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io-model\BGDP\"/>
    </mc:Choice>
  </mc:AlternateContent>
  <xr:revisionPtr revIDLastSave="0" documentId="13_ncr:1_{73C132C2-EF9D-4E33-80DD-0E5F19A4620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BEA Data" sheetId="2" r:id="rId2"/>
    <sheet name="AEO 2025 Table 20" sheetId="3" r:id="rId3"/>
    <sheet name="AEO 2026 Table 20" sheetId="4" r:id="rId4"/>
    <sheet name="calcs" sheetId="5" r:id="rId5"/>
    <sheet name="BGDP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5" l="1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5" i="2" a="1"/>
  <c r="G5" i="2" s="1"/>
  <c r="B2" i="6" l="1"/>
  <c r="B3" i="6" s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H4" i="3"/>
  <c r="E5" i="2"/>
  <c r="D5" i="2"/>
  <c r="F5" i="2"/>
</calcChain>
</file>

<file path=xl/sharedStrings.xml><?xml version="1.0" encoding="utf-8"?>
<sst xmlns="http://schemas.openxmlformats.org/spreadsheetml/2006/main" count="387" uniqueCount="256">
  <si>
    <t>BGDP BAU Gross Domestic Product</t>
  </si>
  <si>
    <t>Source:</t>
  </si>
  <si>
    <t>2021 Data</t>
  </si>
  <si>
    <t>BEA</t>
  </si>
  <si>
    <t>Industry File Download</t>
  </si>
  <si>
    <t>https://apps.bea.gov/iTable/?isuri=1&amp;reqid=151&amp;step=1</t>
  </si>
  <si>
    <t>Value Added by Industry</t>
  </si>
  <si>
    <t>Projections</t>
  </si>
  <si>
    <t>EIA</t>
  </si>
  <si>
    <t>Annual Energy Outlook 2026</t>
  </si>
  <si>
    <t>https://www.eia.gov/outlooks/aeo/tables_ref.php</t>
  </si>
  <si>
    <t>Table 20</t>
  </si>
  <si>
    <t>Alternative Electricity and Transportation</t>
  </si>
  <si>
    <t>Notes</t>
  </si>
  <si>
    <t>We use historical data from BEA for 2021 and 2022, then scale by the growth in GDP in the AEO.</t>
  </si>
  <si>
    <t>2021 to 2012 USD</t>
  </si>
  <si>
    <t>2022 to 2012 USD</t>
  </si>
  <si>
    <t>2023 to 2012 USD</t>
  </si>
  <si>
    <t>2024 to 2012 USD</t>
  </si>
  <si>
    <t>2025 Data:</t>
  </si>
  <si>
    <t>[Millions of dollars]</t>
  </si>
  <si>
    <t>(nominal)</t>
  </si>
  <si>
    <t>Line</t>
  </si>
  <si>
    <t>ISIC Code</t>
  </si>
  <si>
    <t>2021</t>
  </si>
  <si>
    <t>2022</t>
  </si>
  <si>
    <t>2023</t>
  </si>
  <si>
    <t>2024</t>
  </si>
  <si>
    <t>1</t>
  </si>
  <si>
    <t xml:space="preserve">    Gross domestic product</t>
  </si>
  <si>
    <t>in 2012 USD:</t>
  </si>
  <si>
    <t>Table 20.  Macroeconomic Indicators</t>
  </si>
  <si>
    <t>https://www.eia.gov/outlooks/aeo/data/browser/#/?id=18-AEO2025&amp;cases=highZTC&amp;sourcekey=0</t>
  </si>
  <si>
    <t>Tue Dec 02 2025 13:21:36 GMT-0800 (Pacific Standard Time)</t>
  </si>
  <si>
    <t>Source: U.S. Energy Information Administration</t>
  </si>
  <si>
    <t>full name</t>
  </si>
  <si>
    <t>api key</t>
  </si>
  <si>
    <t>units</t>
  </si>
  <si>
    <t>Growth (2024-2050)</t>
  </si>
  <si>
    <t>Real Gross Domestic Product</t>
  </si>
  <si>
    <t>Macroeconomic Indicators: Real Gross Domestic Product: High Zero-Carbon Technology Cost</t>
  </si>
  <si>
    <t>AEO.2025.HIGHZTC.ECI_NA_NA_NA_GDP_REAL_NA_BLNY09DLR.A</t>
  </si>
  <si>
    <t>billion 2012  $</t>
  </si>
  <si>
    <t>Components of Real Gross Domestic Product</t>
  </si>
  <si>
    <t>Real Consumption</t>
  </si>
  <si>
    <t>Macroeconomic Indicators: GDP Components: Real Consumption: High Zero-Carbon Technology Cost</t>
  </si>
  <si>
    <t>AEO.2025.HIGHZTC.ECI_NA_NA_NA_GDP_RCNSP_NA_BLNY09DLR.A</t>
  </si>
  <si>
    <t>Real Business Fixed Investment</t>
  </si>
  <si>
    <t>Macroeconomic Indicators: GDP Components: Real Business Fixed Investment: High Zero-Carbon Technology Cost</t>
  </si>
  <si>
    <t>AEO.2025.HIGHZTC.ECI_NA_NA_NA_GDP_RINV_NA_BLNY09DLR.A</t>
  </si>
  <si>
    <t>Real Government Spending</t>
  </si>
  <si>
    <t>Macroeconomic Indicators: GDP Components: Real Government Spending: High Zero-Carbon Technology Cost</t>
  </si>
  <si>
    <t>AEO.2025.HIGHZTC.ECI_NA_NA_NA_GDP_RGSP_NA_BLNY09DLR.A</t>
  </si>
  <si>
    <t>Real Exports</t>
  </si>
  <si>
    <t>Macroeconomic Indicators: GDP Components: Real Exports: High Zero-Carbon Technology Cost</t>
  </si>
  <si>
    <t>AEO.2025.HIGHZTC.ECI_NA_NA_NA_GDP_REXP_NA_BLNY09DLR.A</t>
  </si>
  <si>
    <t>Real Imports</t>
  </si>
  <si>
    <t>Macroeconomic Indicators: GDP Components: Real Imports: High Zero-Carbon Technology Cost</t>
  </si>
  <si>
    <t>AEO.2025.HIGHZTC.ECI_NA_NA_NA_GDP_RIMP_NA_BLNY09DLR.A</t>
  </si>
  <si>
    <t>Energy Intensity</t>
  </si>
  <si>
    <t>(thousand Btu per 2012 dollar of GDP)</t>
  </si>
  <si>
    <t>Delivered Energy</t>
  </si>
  <si>
    <t>Macroeconomic Indicators: Energy Intensity: Delivered Energy: High Zero-Carbon Technology Cost</t>
  </si>
  <si>
    <t>AEO.2025.HIGHZTC.INY_NA_NA_NA_DELE_NA_NA_THBTUPDLRGDP.A</t>
  </si>
  <si>
    <t>thousand Btu/$ GDP</t>
  </si>
  <si>
    <t>Total Energy</t>
  </si>
  <si>
    <t>Macroeconomic Indicators: Energy Intensity: Total Energy: High Zero-Carbon Technology Cost</t>
  </si>
  <si>
    <t>AEO.2025.HIGHZTC.INY_NA_NA_NA_TEN_NA_NA_THBTUPDLRGDP.A</t>
  </si>
  <si>
    <t>Price Indices</t>
  </si>
  <si>
    <t>GDP Chain-type Price Index (2012=1.000)</t>
  </si>
  <si>
    <t>Macroeconomic Indicators: Price Indices: GDP Chain-type Price Index: High Zero-Carbon Technology Cost</t>
  </si>
  <si>
    <t>AEO.2025.HIGHZTC.ECI_INDX_NA_NA_GDP_NA_NA_Y09EQ1D3Z.A</t>
  </si>
  <si>
    <t>2012=1.000</t>
  </si>
  <si>
    <t>Consumer Price Index (1982-84=1.00)</t>
  </si>
  <si>
    <t>All-urban</t>
  </si>
  <si>
    <t>Macroeconomic Indicators: Consumer Price Index: All-Urban: High Zero-Carbon Technology Cost</t>
  </si>
  <si>
    <t>AEO.2025.HIGHZTC.ECI_INDX_NA_NA_CPI_URB_NA_IDX82TO84EQ1.A</t>
  </si>
  <si>
    <t>1982-84=1.00</t>
  </si>
  <si>
    <t>Energy Commodities and Services</t>
  </si>
  <si>
    <t>Macroeconomic Indicators: Consumer Price Index: Energy Commodities and Services: High Zero-Carbon Technology Cost</t>
  </si>
  <si>
    <t>AEO.2025.HIGHZTC.ECI_INDX_NA_NA_CPI_ENE_NA_IDX82TO84EQ1.A</t>
  </si>
  <si>
    <t>Wholesale Price Index (1982=1.00)</t>
  </si>
  <si>
    <t>All Commodities</t>
  </si>
  <si>
    <t>Macroeconomic Indicators: Wholesale Price Index: All Commodities: High Zero-Carbon Technology Cost</t>
  </si>
  <si>
    <t>AEO.2025.HIGHZTC.ECI_INDX_NA_NA_WHP_NA_NA_IDX82EQ1.A</t>
  </si>
  <si>
    <t>1982=1.00</t>
  </si>
  <si>
    <t>Fuel and Power</t>
  </si>
  <si>
    <t>Macroeconomic Indicators: Wholesale Price Index: Fuel and Power: High Zero-Carbon Technology Cost</t>
  </si>
  <si>
    <t>AEO.2025.HIGHZTC.ECI_INDX_NA_NA_WHP_FULP_NA_IDX82EQ1.A</t>
  </si>
  <si>
    <t>Metals and Metal Products</t>
  </si>
  <si>
    <t>Macroeconomic Indicators: Wholesale Price Index: Metals and Metal Products: High Zero-Carbon Technology Cost</t>
  </si>
  <si>
    <t>AEO.2025.HIGHZTC.ECI_INDX_NA_NA_WHP_MET_NA_IDX82EQ1.A</t>
  </si>
  <si>
    <t>Industrial Commodities excluding Energy</t>
  </si>
  <si>
    <t>Macroeconomic Indicators: Wholesale Price Index: Industrial Commodities Excluding Energy: High Zero-Carbon Technology Cost</t>
  </si>
  <si>
    <t>AEO.2025.HIGHZTC.ECI_INDX_NA_NA_WHP_INDCOM_NA_IDX82EQ1.A</t>
  </si>
  <si>
    <t>Interest Rates (percentage</t>
  </si>
  <si>
    <t xml:space="preserve"> nominal)</t>
  </si>
  <si>
    <t>Federal Funds Rate</t>
  </si>
  <si>
    <t>Macroeconomic Indicators: Interest Rates: Federal Funds Rate: High Zero-Carbon Technology Cost</t>
  </si>
  <si>
    <t>AEO.2025.HIGHZTC.ECI_FFR_NA_NA_NA_NA_NA_PCNTN.A</t>
  </si>
  <si>
    <t>percent, nominal</t>
  </si>
  <si>
    <t>10-Year Treasury Note</t>
  </si>
  <si>
    <t>Macroeconomic Indicators: Interest Rates: 10-Year Treasury Note: High Zero-Carbon Technology Cost</t>
  </si>
  <si>
    <t>AEO.2025.HIGHZTC.ECI_TNR10_NA_NA_NA_NA_NA_PCNTN.A</t>
  </si>
  <si>
    <t>AA Utility Bond Rate</t>
  </si>
  <si>
    <t>Macroeconomic Indicators: Interest Rates: AA Utility Bond Rate: High Zero-Carbon Technology Cost</t>
  </si>
  <si>
    <t>AEO.2025.HIGHZTC.ECI_AAUTR_NA_NA_NA_NA_NA_PCNTN.A</t>
  </si>
  <si>
    <t>Value of Shipments (billion 2012 dollars)</t>
  </si>
  <si>
    <t>Non-Industrial and Service Sectors</t>
  </si>
  <si>
    <t>Macroeconomic Indicators: Value of Shipments: Non-Industrial: High Zero-Carbon Technology Cost</t>
  </si>
  <si>
    <t>AEO.2025.HIGHZTC.ECI_VOS_NIND_NA_NA_NA_NA_BLNY09DLR.A</t>
  </si>
  <si>
    <t>billion 2012 $</t>
  </si>
  <si>
    <t>Total Industrial</t>
  </si>
  <si>
    <t>Macroeconomic Indicators: Value of Shipments: Total Industrial: High Zero-Carbon Technology Cost</t>
  </si>
  <si>
    <t>AEO.2025.HIGHZTC.ECI_VOS_IDAL_NA_NA_NA_NA_BLNY09DLR.A</t>
  </si>
  <si>
    <t>Agriculture</t>
  </si>
  <si>
    <t xml:space="preserve"> Mining</t>
  </si>
  <si>
    <t xml:space="preserve"> and Construction</t>
  </si>
  <si>
    <t>Macroeconomic Indicators: Value of Shipments: Agriculture, Mining, and Construction: High Zero-Carbon Technology Cost</t>
  </si>
  <si>
    <t>AEO.2025.HIGHZTC.ECI_VOS_NMFG_NA_NA_NA_NA_BLNY09DLR.A</t>
  </si>
  <si>
    <t>Manufacturing</t>
  </si>
  <si>
    <t>Macroeconomic Indicators: Value of Shipments: Manufacturing: High Zero-Carbon Technology Cost</t>
  </si>
  <si>
    <t>AEO.2025.HIGHZTC.ECI_VOS_MANF_NA_NA_NA_NA_BLNY09DLR.A</t>
  </si>
  <si>
    <t>Energy-Intensive</t>
  </si>
  <si>
    <t>Macroeconomic Indicators: Value of Shipments: Energy-Intensive: High Zero-Carbon Technology Cost</t>
  </si>
  <si>
    <t>AEO.2025.HIGHZTC.ECI_VOS_EINT_NA_NA_NA_NA_BLNY09DLR.A</t>
  </si>
  <si>
    <t>Non-Energy-Intensive</t>
  </si>
  <si>
    <t>Macroeconomic Indicators: Value of Shipments: Non-Energy-Intensive: High Zero-Carbon Technology Cost</t>
  </si>
  <si>
    <t>AEO.2025.HIGHZTC.ECI_VOS_NEINT_NA_NA_NA_NA_BLNY09DLR.A</t>
  </si>
  <si>
    <t>Total Shipments</t>
  </si>
  <si>
    <t>Macroeconomic Indicators: Value of Shipments: Total: High Zero-Carbon Technology Cost</t>
  </si>
  <si>
    <t>AEO.2025.HIGHZTC.ECI_VOS_NA_NA_NA_NA_NA_BLNY09DLR.A</t>
  </si>
  <si>
    <t>Population and Employment (millions)</t>
  </si>
  <si>
    <t>Population</t>
  </si>
  <si>
    <t xml:space="preserve"> with Armed Forces Overseas</t>
  </si>
  <si>
    <t>Macroeconomic Indicators: Population, with Armed Forces Overseas: High Zero-Carbon Technology Cost</t>
  </si>
  <si>
    <t>AEO.2025.HIGHZTC.DMG_POP_PWAF_NA_NA_NA_NA_MILL.A</t>
  </si>
  <si>
    <t>millions</t>
  </si>
  <si>
    <t xml:space="preserve"> aged 16 and over</t>
  </si>
  <si>
    <t>Macroeconomic Indicators: Population, aged 16 and over: High Zero-Carbon Technology Cost</t>
  </si>
  <si>
    <t>AEO.2025.HIGHZTC.DMG_POP_16+_NA_NA_NA_NA_MILL.A</t>
  </si>
  <si>
    <t xml:space="preserve"> aged 65 and over</t>
  </si>
  <si>
    <t>Macroeconomic Indicators: Population, aged 65 and over: High Zero-Carbon Technology Cost</t>
  </si>
  <si>
    <t>AEO.2025.HIGHZTC.DMG_POP_65+_NA_NA_NA_NA_MILL.A</t>
  </si>
  <si>
    <t>Employment</t>
  </si>
  <si>
    <t xml:space="preserve"> Nonfarm</t>
  </si>
  <si>
    <t>Macroeconomic Indicators: Employment, Nonfarm: High Zero-Carbon Technology Cost</t>
  </si>
  <si>
    <t>AEO.2025.HIGHZTC.DMG_EMPM_NOFM_NA_NA_NA_NA_MILL.A</t>
  </si>
  <si>
    <t xml:space="preserve"> Manufacturing</t>
  </si>
  <si>
    <t>Macroeconomic Indicators: Employment, Manufacturing: High Zero-Carbon Technology Cost</t>
  </si>
  <si>
    <t>AEO.2025.HIGHZTC.DMG_EMPM_MANF_NA_NA_NA_NA_MILL.A</t>
  </si>
  <si>
    <t>Key Labor Indicators</t>
  </si>
  <si>
    <t>Labor Force (millions)</t>
  </si>
  <si>
    <t>Macroeconomic Indicators: Key Labor Indicators: Labor Force: High Zero-Carbon Technology Cost</t>
  </si>
  <si>
    <t>AEO.2025.HIGHZTC.ECI_LBF_NA_NA_NA_NA_NA_MILL.A</t>
  </si>
  <si>
    <t>Nonfarm Labor Productivity (2012=1.00)</t>
  </si>
  <si>
    <t>Macroeconomic Indicators: Key Labor Indicators: Nonfarm Labor Productivity: High Zero-Carbon Technology Cost</t>
  </si>
  <si>
    <t>AEO.2025.HIGHZTC.ECI_LP_NOFM_NA_NA_NA_NA_Y09EQ1.A</t>
  </si>
  <si>
    <t>2012=1.00</t>
  </si>
  <si>
    <t>Unemployment Rate (percentage)</t>
  </si>
  <si>
    <t>Macroeconomic Indicators: Key Labor Indicators: Unemployment Rate: High Zero-Carbon Technology Cost</t>
  </si>
  <si>
    <t>AEO.2025.HIGHZTC.ECI_UER_NA_NA_NA_NA_NA_PCT.A</t>
  </si>
  <si>
    <t>percent</t>
  </si>
  <si>
    <t>Key Indicators for Energy Demand</t>
  </si>
  <si>
    <t>Real Disposable Personal Income</t>
  </si>
  <si>
    <t>Macroeconomic Indicators: Key Indicators for Energy Use: Real Disposable Personal Income: High Zero-Carbon Technology Cost</t>
  </si>
  <si>
    <t>AEO.2025.HIGHZTC.ECI_PEI_NA_NA_NA_NA_NA_BLNY09DLR.A</t>
  </si>
  <si>
    <t>Housing Starts (millions)</t>
  </si>
  <si>
    <t>Macroeconomic Indicators: Key Indicators for Energy Use: Housing Starts: High Zero-Carbon Technology Cost</t>
  </si>
  <si>
    <t>AEO.2025.HIGHZTC.ECI_HST_NA_NA_NA_NA_NA_MILL.A</t>
  </si>
  <si>
    <t>Commercial Floorspace (billion square feet)</t>
  </si>
  <si>
    <t>Macroeconomic Indicators: Key Indicators for Energy Use: Commercial Floorspace: High Zero-Carbon Technology Cost</t>
  </si>
  <si>
    <t>AEO.2025.HIGHZTC.ECI_FLR_COMM_NA_NA_NA_NA_BLNSQFT.A</t>
  </si>
  <si>
    <t>billion sq ft</t>
  </si>
  <si>
    <t>Unit Sales of Light-Duty Vehicles (millions)</t>
  </si>
  <si>
    <t>Macroeconomic Indicators: Key Indicators for Energy Use: Unit Sales of Light-Duty Vehicles: High Zero-Carbon Technology Cost</t>
  </si>
  <si>
    <t>AEO.2025.HIGHZTC.KEI_SAL_TRN_LDV_NA_NA_NA_MILL.A</t>
  </si>
  <si>
    <t>https://www.eia.gov/outlooks/aeo/data/browser/#/?id=18-AEO2026&amp;cases=electrnp&amp;sourcekey=0</t>
  </si>
  <si>
    <t>Thu Apr 23 2026 15:00:34 GMT-0700 (Pacific Daylight Time)</t>
  </si>
  <si>
    <t>Growth (2025-2050)</t>
  </si>
  <si>
    <t>Macroeconomic Indicators: Real Gross Domestic Product: Alternative Electricity and Transportation</t>
  </si>
  <si>
    <t>AEO.2026.ELECTRNP.ECI_NA_NA_NA_GDP_REAL_NA_BLNY09DLR.A</t>
  </si>
  <si>
    <t>Macroeconomic Indicators: GDP Components: Real Consumption: Alternative Electricity and Transportation</t>
  </si>
  <si>
    <t>AEO.2026.ELECTRNP.ECI_NA_NA_NA_GDP_RCNSP_NA_BLNY09DLR.A</t>
  </si>
  <si>
    <t>Macroeconomic Indicators: GDP Components: Real Business Fixed Investment: Alternative Electricity and Transportation</t>
  </si>
  <si>
    <t>AEO.2026.ELECTRNP.ECI_NA_NA_NA_GDP_RINV_NA_BLNY09DLR.A</t>
  </si>
  <si>
    <t>Macroeconomic Indicators: GDP Components: Real Government Spending: Alternative Electricity and Transportation</t>
  </si>
  <si>
    <t>AEO.2026.ELECTRNP.ECI_NA_NA_NA_GDP_RGSP_NA_BLNY09DLR.A</t>
  </si>
  <si>
    <t>Macroeconomic Indicators: GDP Components: Real Exports: Alternative Electricity and Transportation</t>
  </si>
  <si>
    <t>AEO.2026.ELECTRNP.ECI_NA_NA_NA_GDP_REXP_NA_BLNY09DLR.A</t>
  </si>
  <si>
    <t>Macroeconomic Indicators: GDP Components: Real Imports: Alternative Electricity and Transportation</t>
  </si>
  <si>
    <t>AEO.2026.ELECTRNP.ECI_NA_NA_NA_GDP_RIMP_NA_BLNY09DLR.A</t>
  </si>
  <si>
    <t>Macroeconomic Indicators: Energy Intensity: Delivered Energy: Alternative Electricity and Transportation</t>
  </si>
  <si>
    <t>AEO.2026.ELECTRNP.INY_NA_NA_NA_DELE_NA_NA_THBTUPDLRGDP.A</t>
  </si>
  <si>
    <t>Macroeconomic Indicators: Energy Intensity: Total Energy: Alternative Electricity and Transportation</t>
  </si>
  <si>
    <t>AEO.2026.ELECTRNP.INY_NA_NA_NA_TEN_NA_NA_THBTUPDLRGDP.A</t>
  </si>
  <si>
    <t>Macroeconomic Indicators: Price Indices: GDP Chain-type Price Index: Alternative Electricity and Transportation</t>
  </si>
  <si>
    <t>AEO.2026.ELECTRNP.ECI_INDX_NA_NA_GDP_NA_NA_Y09EQ1D3Z.A</t>
  </si>
  <si>
    <t>Macroeconomic Indicators: Consumer Price Index: All-Urban: Alternative Electricity and Transportation</t>
  </si>
  <si>
    <t>AEO.2026.ELECTRNP.ECI_INDX_NA_NA_CPI_URB_NA_IDX82TO84EQ1.A</t>
  </si>
  <si>
    <t>Macroeconomic Indicators: Consumer Price Index: Energy Commodities and Services: Alternative Electricity and Transportation</t>
  </si>
  <si>
    <t>AEO.2026.ELECTRNP.ECI_INDX_NA_NA_CPI_ENE_NA_IDX82TO84EQ1.A</t>
  </si>
  <si>
    <t>Macroeconomic Indicators: Wholesale Price Index: All Commodities: Alternative Electricity and Transportation</t>
  </si>
  <si>
    <t>AEO.2026.ELECTRNP.ECI_INDX_NA_NA_WHP_NA_NA_IDX82EQ1.A</t>
  </si>
  <si>
    <t>Macroeconomic Indicators: Wholesale Price Index: Fuel and Power: Alternative Electricity and Transportation</t>
  </si>
  <si>
    <t>AEO.2026.ELECTRNP.ECI_INDX_NA_NA_WHP_FULP_NA_IDX82EQ1.A</t>
  </si>
  <si>
    <t>Macroeconomic Indicators: Wholesale Price Index: Metals and Metal Products: Alternative Electricity and Transportation</t>
  </si>
  <si>
    <t>AEO.2026.ELECTRNP.ECI_INDX_NA_NA_WHP_MET_NA_IDX82EQ1.A</t>
  </si>
  <si>
    <t>Macroeconomic Indicators: Wholesale Price Index: Industrial Commodities Excluding Energy: Alternative Electricity and Transportation</t>
  </si>
  <si>
    <t>AEO.2026.ELECTRNP.ECI_INDX_NA_NA_WHP_INDCOM_NA_IDX82EQ1.A</t>
  </si>
  <si>
    <t>Macroeconomic Indicators: Interest Rates: Federal Funds Rate: Alternative Electricity and Transportation</t>
  </si>
  <si>
    <t>AEO.2026.ELECTRNP.ECI_FFR_NA_NA_NA_NA_NA_PCNTN.A</t>
  </si>
  <si>
    <t>Macroeconomic Indicators: Interest Rates: 10-Year Treasury Note: Alternative Electricity and Transportation</t>
  </si>
  <si>
    <t>AEO.2026.ELECTRNP.ECI_TNR10_NA_NA_NA_NA_NA_PCNTN.A</t>
  </si>
  <si>
    <t>Macroeconomic Indicators: Interest Rates: AA Utility Bond Rate: Alternative Electricity and Transportation</t>
  </si>
  <si>
    <t>AEO.2026.ELECTRNP.ECI_AAUTR_NA_NA_NA_NA_NA_PCNTN.A</t>
  </si>
  <si>
    <t>Macroeconomic Indicators: Value of Shipments: Non-Industrial: Alternative Electricity and Transportation</t>
  </si>
  <si>
    <t>AEO.2026.ELECTRNP.ECI_VOS_NIND_NA_NA_NA_NA_BLNY09DLR.A</t>
  </si>
  <si>
    <t>Macroeconomic Indicators: Value of Shipments: Total Industrial: Alternative Electricity and Transportation</t>
  </si>
  <si>
    <t>AEO.2026.ELECTRNP.ECI_VOS_IDAL_NA_NA_NA_NA_BLNY09DLR.A</t>
  </si>
  <si>
    <t>Macroeconomic Indicators: Value of Shipments: Agriculture, Mining, and Construction: Alternative Electricity and Transportation</t>
  </si>
  <si>
    <t>AEO.2026.ELECTRNP.ECI_VOS_NMFG_NA_NA_NA_NA_BLNY09DLR.A</t>
  </si>
  <si>
    <t>Macroeconomic Indicators: Value of Shipments: Manufacturing: Alternative Electricity and Transportation</t>
  </si>
  <si>
    <t>AEO.2026.ELECTRNP.ECI_VOS_MANF_NA_NA_NA_NA_BLNY09DLR.A</t>
  </si>
  <si>
    <t>Macroeconomic Indicators: Value of Shipments: Energy-Intensive: Alternative Electricity and Transportation</t>
  </si>
  <si>
    <t>AEO.2026.ELECTRNP.ECI_VOS_EINT_NA_NA_NA_NA_BLNY09DLR.A</t>
  </si>
  <si>
    <t>Macroeconomic Indicators: Value of Shipments: Non-Energy-Intensive: Alternative Electricity and Transportation</t>
  </si>
  <si>
    <t>AEO.2026.ELECTRNP.ECI_VOS_NEINT_NA_NA_NA_NA_BLNY09DLR.A</t>
  </si>
  <si>
    <t>Macroeconomic Indicators: Value of Shipments: Total: Alternative Electricity and Transportation</t>
  </si>
  <si>
    <t>AEO.2026.ELECTRNP.ECI_VOS_NA_NA_NA_NA_NA_BLNY09DLR.A</t>
  </si>
  <si>
    <t>Macroeconomic Indicators: Population, with Armed Forces Overseas: Alternative Electricity and Transportation</t>
  </si>
  <si>
    <t>AEO.2026.ELECTRNP.DMG_POP_PWAF_NA_NA_NA_NA_MILL.A</t>
  </si>
  <si>
    <t>Macroeconomic Indicators: Population, aged 16 and over: Alternative Electricity and Transportation</t>
  </si>
  <si>
    <t>AEO.2026.ELECTRNP.DMG_POP_16+_NA_NA_NA_NA_MILL.A</t>
  </si>
  <si>
    <t>Macroeconomic Indicators: Population, aged 65 and over: Alternative Electricity and Transportation</t>
  </si>
  <si>
    <t>AEO.2026.ELECTRNP.DMG_POP_65+_NA_NA_NA_NA_MILL.A</t>
  </si>
  <si>
    <t>Macroeconomic Indicators: Employment, Nonfarm: Alternative Electricity and Transportation</t>
  </si>
  <si>
    <t>AEO.2026.ELECTRNP.DMG_EMPM_NOFM_NA_NA_NA_NA_MILL.A</t>
  </si>
  <si>
    <t>Macroeconomic Indicators: Employment, Manufacturing: Alternative Electricity and Transportation</t>
  </si>
  <si>
    <t>AEO.2026.ELECTRNP.DMG_EMPM_MANF_NA_NA_NA_NA_MILL.A</t>
  </si>
  <si>
    <t>Macroeconomic Indicators: Key Labor Indicators: Labor Force: Alternative Electricity and Transportation</t>
  </si>
  <si>
    <t>AEO.2026.ELECTRNP.ECI_LBF_NA_NA_NA_NA_NA_MILL.A</t>
  </si>
  <si>
    <t>Macroeconomic Indicators: Key Labor Indicators: Nonfarm Labor Productivity: Alternative Electricity and Transportation</t>
  </si>
  <si>
    <t>AEO.2026.ELECTRNP.ECI_LP_NOFM_NA_NA_NA_NA_Y09EQ1.A</t>
  </si>
  <si>
    <t>Macroeconomic Indicators: Key Labor Indicators: Unemployment Rate: Alternative Electricity and Transportation</t>
  </si>
  <si>
    <t>AEO.2026.ELECTRNP.ECI_UER_NA_NA_NA_NA_NA_PCT.A</t>
  </si>
  <si>
    <t>Macroeconomic Indicators: Key Indicators for Energy Use: Real Disposable Personal Income: Alternative Electricity and Transportation</t>
  </si>
  <si>
    <t>AEO.2026.ELECTRNP.ECI_PEI_NA_NA_NA_NA_NA_BLNY09DLR.A</t>
  </si>
  <si>
    <t>Macroeconomic Indicators: Key Indicators for Energy Use: Housing Starts: Alternative Electricity and Transportation</t>
  </si>
  <si>
    <t>AEO.2026.ELECTRNP.ECI_HST_NA_NA_NA_NA_NA_MILL.A</t>
  </si>
  <si>
    <t>Macroeconomic Indicators: Key Indicators for Energy Use: Commercial Floorspace: Alternative Electricity and Transportation</t>
  </si>
  <si>
    <t>AEO.2026.ELECTRNP.ECI_FLR_COMM_NA_NA_NA_NA_BLNSQFT.A</t>
  </si>
  <si>
    <t>Macroeconomic Indicators: Key Indicators for Energy Use: Unit Sales of Light-Duty Vehicles: Alternative Electricity and Transportation</t>
  </si>
  <si>
    <t>AEO.2026.ELECTRNP.KEI_SAL_TRN_LDV_NA_NA_NA_MILL.A</t>
  </si>
  <si>
    <t>Unit: 2012 USD</t>
  </si>
  <si>
    <t>GDP  {2025+ recomputed: AEO 2026 ELECTRNP real-GDP growth, 2025 spliced vs AEO 2025 (consistent with the Table-23 industrial rates); &lt;=2024 unchanged BEA-anchored history. Scheme-independent: 42-code BGDP == 52-code BGDP (no ISIC dimension).}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</si>
</sst>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9">
    <xf numFmtId="0" fontId="0" fillId="0" borderId="0"/>
    <xf numFmtId="0" fontId="2" fillId="0" borderId="0"/>
    <xf numFmtId="0" fontId="4" fillId="0" borderId="0"/>
    <xf numFmtId="0" fontId="5" fillId="0" borderId="1">
      <alignment wrapText="1"/>
    </xf>
    <xf numFmtId="0" fontId="4" fillId="0" borderId="0"/>
    <xf numFmtId="0" fontId="6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right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indent="1"/>
    </xf>
    <xf numFmtId="0" fontId="0" fillId="3" borderId="0" xfId="0" applyFill="1"/>
    <xf numFmtId="10" fontId="0" fillId="0" borderId="0" xfId="0" applyNumberFormat="1"/>
    <xf numFmtId="0" fontId="0" fillId="4" borderId="0" xfId="0" applyFill="1"/>
    <xf numFmtId="10" fontId="0" fillId="4" borderId="0" xfId="0" applyNumberFormat="1" applyFill="1"/>
    <xf numFmtId="0" fontId="0" fillId="3" borderId="0" xfId="0" applyFill="1" applyAlignment="1">
      <alignment horizontal="right"/>
    </xf>
    <xf numFmtId="164" fontId="0" fillId="3" borderId="0" xfId="0" applyNumberFormat="1" applyFill="1"/>
    <xf numFmtId="164" fontId="0" fillId="0" borderId="0" xfId="0" applyNumberFormat="1"/>
  </cellXfs>
  <cellStyles count="9">
    <cellStyle name="Body: normal cell" xfId="7" xr:uid="{00000000-0005-0000-0000-000007000000}"/>
    <cellStyle name="Font: Calibri, 9pt regular" xfId="2" xr:uid="{00000000-0005-0000-0000-000002000000}"/>
    <cellStyle name="Footnotes: top row" xfId="8" xr:uid="{00000000-0005-0000-0000-000008000000}"/>
    <cellStyle name="Header: bottom row" xfId="3" xr:uid="{00000000-0005-0000-0000-000003000000}"/>
    <cellStyle name="Hyperlink" xfId="1" builtinId="8"/>
    <cellStyle name="Normal" xfId="0" builtinId="0"/>
    <cellStyle name="Normal 2" xfId="4" xr:uid="{00000000-0005-0000-0000-000004000000}"/>
    <cellStyle name="Parent row" xfId="6" xr:uid="{00000000-0005-0000-0000-000006000000}"/>
    <cellStyle name="Table titl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s.bea.gov/iTable/?isuri=1&amp;reqid=151&amp;step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17" sqref="B17"/>
    </sheetView>
  </sheetViews>
  <sheetFormatPr defaultRowHeight="15" x14ac:dyDescent="0.25"/>
  <cols>
    <col min="2" max="2" width="77.57031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8" t="s">
        <v>2</v>
      </c>
    </row>
    <row r="4" spans="1:2" x14ac:dyDescent="0.25">
      <c r="B4" t="s">
        <v>3</v>
      </c>
    </row>
    <row r="5" spans="1:2" x14ac:dyDescent="0.25">
      <c r="B5" s="2">
        <v>2025</v>
      </c>
    </row>
    <row r="6" spans="1:2" x14ac:dyDescent="0.25">
      <c r="B6" t="s">
        <v>4</v>
      </c>
    </row>
    <row r="7" spans="1:2" x14ac:dyDescent="0.25">
      <c r="B7" s="3" t="s">
        <v>5</v>
      </c>
    </row>
    <row r="8" spans="1:2" x14ac:dyDescent="0.25">
      <c r="B8" s="11" t="s">
        <v>6</v>
      </c>
    </row>
    <row r="10" spans="1:2" x14ac:dyDescent="0.25">
      <c r="B10" s="8" t="s">
        <v>7</v>
      </c>
    </row>
    <row r="11" spans="1:2" x14ac:dyDescent="0.25">
      <c r="B11" t="s">
        <v>8</v>
      </c>
    </row>
    <row r="12" spans="1:2" x14ac:dyDescent="0.25">
      <c r="B12" s="2">
        <v>2026</v>
      </c>
    </row>
    <row r="13" spans="1:2" x14ac:dyDescent="0.25">
      <c r="B13" t="s">
        <v>9</v>
      </c>
    </row>
    <row r="14" spans="1:2" x14ac:dyDescent="0.25">
      <c r="B14" s="3" t="s">
        <v>10</v>
      </c>
    </row>
    <row r="15" spans="1:2" x14ac:dyDescent="0.25">
      <c r="B15" s="11" t="s">
        <v>11</v>
      </c>
    </row>
    <row r="16" spans="1:2" x14ac:dyDescent="0.25">
      <c r="B16" t="s">
        <v>12</v>
      </c>
    </row>
    <row r="17" spans="1:2" x14ac:dyDescent="0.25">
      <c r="A17" s="1" t="s">
        <v>13</v>
      </c>
    </row>
    <row r="18" spans="1:2" x14ac:dyDescent="0.25">
      <c r="A18" t="s">
        <v>14</v>
      </c>
    </row>
    <row r="19" spans="1:2" x14ac:dyDescent="0.25">
      <c r="A19" s="1"/>
    </row>
    <row r="20" spans="1:2" x14ac:dyDescent="0.25">
      <c r="A20">
        <v>0.84730412960844359</v>
      </c>
      <c r="B20" t="s">
        <v>15</v>
      </c>
    </row>
    <row r="21" spans="1:2" x14ac:dyDescent="0.25">
      <c r="A21">
        <v>0.78452102304761584</v>
      </c>
      <c r="B21" t="s">
        <v>16</v>
      </c>
    </row>
    <row r="22" spans="1:2" x14ac:dyDescent="0.25">
      <c r="A22">
        <v>0.75350342301658668</v>
      </c>
      <c r="B22" t="s">
        <v>17</v>
      </c>
    </row>
    <row r="23" spans="1:2" x14ac:dyDescent="0.25">
      <c r="A23">
        <v>0.73191600598044548</v>
      </c>
      <c r="B23" t="s">
        <v>18</v>
      </c>
    </row>
  </sheetData>
  <hyperlinks>
    <hyperlink ref="B7" r:id="rId1" xr:uid="{00000000-0004-0000-0000-000000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D5" sqref="D5"/>
    </sheetView>
  </sheetViews>
  <sheetFormatPr defaultRowHeight="15" x14ac:dyDescent="0.25"/>
  <cols>
    <col min="1" max="1" width="13.140625" customWidth="1"/>
    <col min="2" max="2" width="21" customWidth="1"/>
    <col min="3" max="3" width="10.85546875" customWidth="1"/>
    <col min="4" max="4" width="13" customWidth="1"/>
    <col min="5" max="7" width="17" customWidth="1"/>
  </cols>
  <sheetData>
    <row r="1" spans="1:7" x14ac:dyDescent="0.25">
      <c r="A1" s="1" t="s">
        <v>19</v>
      </c>
      <c r="B1" s="1" t="s">
        <v>20</v>
      </c>
      <c r="C1" t="s">
        <v>21</v>
      </c>
      <c r="E1" s="4"/>
    </row>
    <row r="2" spans="1:7" x14ac:dyDescent="0.25">
      <c r="A2" s="7" t="s">
        <v>22</v>
      </c>
      <c r="B2" s="7"/>
      <c r="C2" s="8" t="s">
        <v>23</v>
      </c>
      <c r="D2" s="9" t="s">
        <v>24</v>
      </c>
      <c r="E2" s="9" t="s">
        <v>25</v>
      </c>
      <c r="F2" s="9" t="s">
        <v>26</v>
      </c>
      <c r="G2" s="9" t="s">
        <v>27</v>
      </c>
    </row>
    <row r="3" spans="1:7" x14ac:dyDescent="0.25">
      <c r="A3" t="s">
        <v>28</v>
      </c>
      <c r="B3" t="s">
        <v>29</v>
      </c>
      <c r="D3" s="10">
        <v>23725645</v>
      </c>
      <c r="E3" s="10">
        <v>26054614</v>
      </c>
      <c r="F3" s="10">
        <v>27811517</v>
      </c>
      <c r="G3" s="10">
        <v>29298013</v>
      </c>
    </row>
    <row r="5" spans="1:7" x14ac:dyDescent="0.25">
      <c r="B5" s="12"/>
      <c r="C5" s="16" t="s">
        <v>30</v>
      </c>
      <c r="D5">
        <f t="array" ref="D5:G5">D3:G3*TRANSPOSE(About!A20:A23)</f>
        <v>20102836.986123923</v>
      </c>
      <c r="E5">
        <v>20440392.430390734</v>
      </c>
      <c r="F5">
        <v>20956073.258783992</v>
      </c>
      <c r="G5">
        <v>21443684.658123169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3"/>
  <sheetViews>
    <sheetView workbookViewId="0">
      <selection activeCell="F5" sqref="F5:AF6"/>
    </sheetView>
  </sheetViews>
  <sheetFormatPr defaultRowHeight="15" x14ac:dyDescent="0.25"/>
  <cols>
    <col min="8" max="8" width="10.85546875" bestFit="1" customWidth="1"/>
  </cols>
  <sheetData>
    <row r="1" spans="1:33" x14ac:dyDescent="0.25">
      <c r="A1" t="s">
        <v>31</v>
      </c>
    </row>
    <row r="2" spans="1:33" x14ac:dyDescent="0.25">
      <c r="A2" t="s">
        <v>32</v>
      </c>
    </row>
    <row r="3" spans="1:33" x14ac:dyDescent="0.25">
      <c r="A3" t="s">
        <v>33</v>
      </c>
    </row>
    <row r="4" spans="1:33" x14ac:dyDescent="0.25">
      <c r="A4" t="s">
        <v>34</v>
      </c>
      <c r="H4">
        <f>G6/F6*'BEA Data'!G5</f>
        <v>21910371.328670204</v>
      </c>
    </row>
    <row r="5" spans="1:33" x14ac:dyDescent="0.25">
      <c r="B5" t="s">
        <v>35</v>
      </c>
      <c r="C5" t="s">
        <v>36</v>
      </c>
      <c r="D5" t="s">
        <v>37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38</v>
      </c>
    </row>
    <row r="6" spans="1:33" s="14" customFormat="1" x14ac:dyDescent="0.25">
      <c r="A6" s="14" t="s">
        <v>39</v>
      </c>
      <c r="B6" s="14" t="s">
        <v>40</v>
      </c>
      <c r="C6" s="14" t="s">
        <v>41</v>
      </c>
      <c r="D6" s="14" t="s">
        <v>42</v>
      </c>
      <c r="F6" s="14">
        <v>21699.671875</v>
      </c>
      <c r="G6" s="14">
        <v>22171.929688</v>
      </c>
      <c r="H6" s="14">
        <v>22685.953125</v>
      </c>
      <c r="I6" s="14">
        <v>23162.595702999999</v>
      </c>
      <c r="J6" s="14">
        <v>23590.015625</v>
      </c>
      <c r="K6" s="14">
        <v>24042.869140999999</v>
      </c>
      <c r="L6" s="14">
        <v>24479.318359000001</v>
      </c>
      <c r="M6" s="14">
        <v>24877.939452999999</v>
      </c>
      <c r="N6" s="14">
        <v>25299.824218999998</v>
      </c>
      <c r="O6" s="14">
        <v>25731.902343999998</v>
      </c>
      <c r="P6" s="14">
        <v>26166.296875</v>
      </c>
      <c r="Q6" s="14">
        <v>26621.835938</v>
      </c>
      <c r="R6" s="14">
        <v>27077.875</v>
      </c>
      <c r="S6" s="14">
        <v>27546.341797000001</v>
      </c>
      <c r="T6" s="14">
        <v>28018.710938</v>
      </c>
      <c r="U6" s="14">
        <v>28503.035156000002</v>
      </c>
      <c r="V6" s="14">
        <v>29003.939452999999</v>
      </c>
      <c r="W6" s="14">
        <v>29486.919922000001</v>
      </c>
      <c r="X6" s="14">
        <v>29991.914062</v>
      </c>
      <c r="Y6" s="14">
        <v>30494.671875</v>
      </c>
      <c r="Z6" s="14">
        <v>30998.292968999998</v>
      </c>
      <c r="AA6" s="14">
        <v>31501.849609000001</v>
      </c>
      <c r="AB6" s="14">
        <v>32021.367188</v>
      </c>
      <c r="AC6" s="14">
        <v>32546.509765999999</v>
      </c>
      <c r="AD6" s="14">
        <v>33074.625</v>
      </c>
      <c r="AE6" s="14">
        <v>33617.65625</v>
      </c>
      <c r="AF6" s="14">
        <v>34162.722655999998</v>
      </c>
      <c r="AG6" s="15">
        <v>1.7999999999999999E-2</v>
      </c>
    </row>
    <row r="7" spans="1:33" x14ac:dyDescent="0.25">
      <c r="A7" t="s">
        <v>43</v>
      </c>
    </row>
    <row r="8" spans="1:33" x14ac:dyDescent="0.25">
      <c r="A8" t="s">
        <v>44</v>
      </c>
      <c r="B8" t="s">
        <v>45</v>
      </c>
      <c r="C8" t="s">
        <v>46</v>
      </c>
      <c r="D8" t="s">
        <v>42</v>
      </c>
      <c r="F8">
        <v>15151.048828000001</v>
      </c>
      <c r="G8">
        <v>15524.572265999999</v>
      </c>
      <c r="H8">
        <v>15926.875</v>
      </c>
      <c r="I8">
        <v>16368.389648</v>
      </c>
      <c r="J8">
        <v>16790.757812</v>
      </c>
      <c r="K8">
        <v>17202.304688</v>
      </c>
      <c r="L8">
        <v>17601.259765999999</v>
      </c>
      <c r="M8">
        <v>17987.453125</v>
      </c>
      <c r="N8">
        <v>18384.164062</v>
      </c>
      <c r="O8">
        <v>18798.505859000001</v>
      </c>
      <c r="P8">
        <v>19221.488281000002</v>
      </c>
      <c r="Q8">
        <v>19634.119140999999</v>
      </c>
      <c r="R8">
        <v>20038.617188</v>
      </c>
      <c r="S8">
        <v>20454.4375</v>
      </c>
      <c r="T8">
        <v>20860.751952999999</v>
      </c>
      <c r="U8">
        <v>21268.019531000002</v>
      </c>
      <c r="V8">
        <v>21682.087890999999</v>
      </c>
      <c r="W8">
        <v>22091.867188</v>
      </c>
      <c r="X8">
        <v>22505.357422000001</v>
      </c>
      <c r="Y8">
        <v>22920.322265999999</v>
      </c>
      <c r="Z8">
        <v>23337.054688</v>
      </c>
      <c r="AA8">
        <v>23747.720702999999</v>
      </c>
      <c r="AB8">
        <v>24165.929688</v>
      </c>
      <c r="AC8">
        <v>24601.738281000002</v>
      </c>
      <c r="AD8">
        <v>25052.125</v>
      </c>
      <c r="AE8">
        <v>25519.373047000001</v>
      </c>
      <c r="AF8">
        <v>25983.876952999999</v>
      </c>
      <c r="AG8" s="13">
        <v>2.1000000000000001E-2</v>
      </c>
    </row>
    <row r="9" spans="1:33" x14ac:dyDescent="0.25">
      <c r="A9" t="s">
        <v>47</v>
      </c>
      <c r="B9" t="s">
        <v>48</v>
      </c>
      <c r="C9" t="s">
        <v>49</v>
      </c>
      <c r="D9" t="s">
        <v>42</v>
      </c>
      <c r="F9">
        <v>3493.9401859999998</v>
      </c>
      <c r="G9">
        <v>3594.2749020000001</v>
      </c>
      <c r="H9">
        <v>3649.9650879999999</v>
      </c>
      <c r="I9">
        <v>3702.7680660000001</v>
      </c>
      <c r="J9">
        <v>3743.2592770000001</v>
      </c>
      <c r="K9">
        <v>3788.8195799999999</v>
      </c>
      <c r="L9">
        <v>3847.7333979999999</v>
      </c>
      <c r="M9">
        <v>3920.0410160000001</v>
      </c>
      <c r="N9">
        <v>4008.1608890000002</v>
      </c>
      <c r="O9">
        <v>4113.0161129999997</v>
      </c>
      <c r="P9">
        <v>4230.0839839999999</v>
      </c>
      <c r="Q9">
        <v>4347.6567379999997</v>
      </c>
      <c r="R9">
        <v>4442.9697269999997</v>
      </c>
      <c r="S9">
        <v>4543.9965819999998</v>
      </c>
      <c r="T9">
        <v>4646.4091799999997</v>
      </c>
      <c r="U9">
        <v>4749.9125979999999</v>
      </c>
      <c r="V9">
        <v>4858.6166990000002</v>
      </c>
      <c r="W9">
        <v>4967.8120120000003</v>
      </c>
      <c r="X9">
        <v>5077.7265619999998</v>
      </c>
      <c r="Y9">
        <v>5191.7080079999996</v>
      </c>
      <c r="Z9">
        <v>5302.5922849999997</v>
      </c>
      <c r="AA9">
        <v>5413.7685549999997</v>
      </c>
      <c r="AB9">
        <v>5525.9057620000003</v>
      </c>
      <c r="AC9">
        <v>5645.53125</v>
      </c>
      <c r="AD9">
        <v>5763.8344729999999</v>
      </c>
      <c r="AE9">
        <v>5887.2368159999996</v>
      </c>
      <c r="AF9">
        <v>6010.6650390000004</v>
      </c>
      <c r="AG9" s="13">
        <v>2.1000000000000001E-2</v>
      </c>
    </row>
    <row r="10" spans="1:33" x14ac:dyDescent="0.25">
      <c r="A10" t="s">
        <v>50</v>
      </c>
      <c r="B10" t="s">
        <v>51</v>
      </c>
      <c r="C10" t="s">
        <v>52</v>
      </c>
      <c r="D10" t="s">
        <v>42</v>
      </c>
      <c r="F10">
        <v>3663.0996089999999</v>
      </c>
      <c r="G10">
        <v>3692.658203</v>
      </c>
      <c r="H10">
        <v>3702.429443</v>
      </c>
      <c r="I10">
        <v>3705.2067870000001</v>
      </c>
      <c r="J10">
        <v>3700.4521479999999</v>
      </c>
      <c r="K10">
        <v>3692.9423830000001</v>
      </c>
      <c r="L10">
        <v>3692.6364749999998</v>
      </c>
      <c r="M10">
        <v>3683.7204590000001</v>
      </c>
      <c r="N10">
        <v>3684.8178710000002</v>
      </c>
      <c r="O10">
        <v>3687.0541990000002</v>
      </c>
      <c r="P10">
        <v>3686.1518550000001</v>
      </c>
      <c r="Q10">
        <v>3695.8171390000002</v>
      </c>
      <c r="R10">
        <v>3716.4252929999998</v>
      </c>
      <c r="S10">
        <v>3739.5742190000001</v>
      </c>
      <c r="T10">
        <v>3763.750732</v>
      </c>
      <c r="U10">
        <v>3787.4892580000001</v>
      </c>
      <c r="V10">
        <v>3815.9572750000002</v>
      </c>
      <c r="W10">
        <v>3832.6760250000002</v>
      </c>
      <c r="X10">
        <v>3856.4804690000001</v>
      </c>
      <c r="Y10">
        <v>3879.9494629999999</v>
      </c>
      <c r="Z10">
        <v>3900.8937989999999</v>
      </c>
      <c r="AA10">
        <v>3921.0200199999999</v>
      </c>
      <c r="AB10">
        <v>3941.8579100000002</v>
      </c>
      <c r="AC10">
        <v>3959.2687989999999</v>
      </c>
      <c r="AD10">
        <v>3977.9833979999999</v>
      </c>
      <c r="AE10">
        <v>3997.8740229999999</v>
      </c>
      <c r="AF10">
        <v>4025.7573240000002</v>
      </c>
      <c r="AG10" s="13">
        <v>4.0000000000000001E-3</v>
      </c>
    </row>
    <row r="11" spans="1:33" x14ac:dyDescent="0.25">
      <c r="A11" t="s">
        <v>53</v>
      </c>
      <c r="B11" t="s">
        <v>54</v>
      </c>
      <c r="C11" t="s">
        <v>55</v>
      </c>
      <c r="D11" t="s">
        <v>42</v>
      </c>
      <c r="F11">
        <v>2721.9965820000002</v>
      </c>
      <c r="G11">
        <v>2817.2946780000002</v>
      </c>
      <c r="H11">
        <v>2907.773193</v>
      </c>
      <c r="I11">
        <v>3020.0053710000002</v>
      </c>
      <c r="J11">
        <v>3130.0764159999999</v>
      </c>
      <c r="K11">
        <v>3230.9099120000001</v>
      </c>
      <c r="L11">
        <v>3328.4602049999999</v>
      </c>
      <c r="M11">
        <v>3416.2929690000001</v>
      </c>
      <c r="N11">
        <v>3509.2990719999998</v>
      </c>
      <c r="O11">
        <v>3589.1208499999998</v>
      </c>
      <c r="P11">
        <v>3685.4812010000001</v>
      </c>
      <c r="Q11">
        <v>3762.8725589999999</v>
      </c>
      <c r="R11">
        <v>3821.4929200000001</v>
      </c>
      <c r="S11">
        <v>3883.985107</v>
      </c>
      <c r="T11">
        <v>3946.661865</v>
      </c>
      <c r="U11">
        <v>4015.3747560000002</v>
      </c>
      <c r="V11">
        <v>4087.0009770000001</v>
      </c>
      <c r="W11">
        <v>4157.4023440000001</v>
      </c>
      <c r="X11">
        <v>4230.5415039999998</v>
      </c>
      <c r="Y11">
        <v>4302.7900390000004</v>
      </c>
      <c r="Z11">
        <v>4378.001953</v>
      </c>
      <c r="AA11">
        <v>4441.7431640000004</v>
      </c>
      <c r="AB11">
        <v>4512.8193359999996</v>
      </c>
      <c r="AC11">
        <v>4584.1948240000002</v>
      </c>
      <c r="AD11">
        <v>4643.1547849999997</v>
      </c>
      <c r="AE11">
        <v>4699.0834960000002</v>
      </c>
      <c r="AF11">
        <v>4750.3662109999996</v>
      </c>
      <c r="AG11" s="13">
        <v>2.1999999999999999E-2</v>
      </c>
    </row>
    <row r="12" spans="1:33" x14ac:dyDescent="0.25">
      <c r="A12" t="s">
        <v>56</v>
      </c>
      <c r="B12" t="s">
        <v>57</v>
      </c>
      <c r="C12" t="s">
        <v>58</v>
      </c>
      <c r="D12" t="s">
        <v>42</v>
      </c>
      <c r="F12">
        <v>4085.1303710000002</v>
      </c>
      <c r="G12">
        <v>4233.8344729999999</v>
      </c>
      <c r="H12">
        <v>4349.9331050000001</v>
      </c>
      <c r="I12">
        <v>4482.4501950000003</v>
      </c>
      <c r="J12">
        <v>4617.8198240000002</v>
      </c>
      <c r="K12">
        <v>4748.7231449999999</v>
      </c>
      <c r="L12">
        <v>4891.5942379999997</v>
      </c>
      <c r="M12">
        <v>5038.9599609999996</v>
      </c>
      <c r="N12">
        <v>5209.8481449999999</v>
      </c>
      <c r="O12">
        <v>5367.5698240000002</v>
      </c>
      <c r="P12">
        <v>5568.1762699999999</v>
      </c>
      <c r="Q12">
        <v>5712.3798829999996</v>
      </c>
      <c r="R12">
        <v>5821.236328</v>
      </c>
      <c r="S12">
        <v>5943.6083980000003</v>
      </c>
      <c r="T12">
        <v>6033.5253910000001</v>
      </c>
      <c r="U12">
        <v>6125.2973629999997</v>
      </c>
      <c r="V12">
        <v>6213.2670900000003</v>
      </c>
      <c r="W12">
        <v>6286.7270509999998</v>
      </c>
      <c r="X12">
        <v>6369.7358400000003</v>
      </c>
      <c r="Y12">
        <v>6443.5234380000002</v>
      </c>
      <c r="Z12">
        <v>6522.7333980000003</v>
      </c>
      <c r="AA12">
        <v>6587.8569340000004</v>
      </c>
      <c r="AB12">
        <v>6664.9497069999998</v>
      </c>
      <c r="AC12">
        <v>6768.4184569999998</v>
      </c>
      <c r="AD12">
        <v>6865.8984380000002</v>
      </c>
      <c r="AE12">
        <v>6979.140625</v>
      </c>
      <c r="AF12">
        <v>7082.5068359999996</v>
      </c>
      <c r="AG12" s="13">
        <v>2.1000000000000001E-2</v>
      </c>
    </row>
    <row r="13" spans="1:33" x14ac:dyDescent="0.25">
      <c r="A13" t="s">
        <v>59</v>
      </c>
    </row>
    <row r="14" spans="1:33" x14ac:dyDescent="0.25">
      <c r="A14" t="s">
        <v>60</v>
      </c>
    </row>
    <row r="15" spans="1:33" x14ac:dyDescent="0.25">
      <c r="A15" t="s">
        <v>61</v>
      </c>
      <c r="B15" t="s">
        <v>62</v>
      </c>
      <c r="C15" t="s">
        <v>63</v>
      </c>
      <c r="D15" t="s">
        <v>64</v>
      </c>
      <c r="F15">
        <v>3.4284460000000001</v>
      </c>
      <c r="G15">
        <v>3.411206</v>
      </c>
      <c r="H15">
        <v>3.3420169999999998</v>
      </c>
      <c r="I15">
        <v>3.275083</v>
      </c>
      <c r="J15">
        <v>3.2179419999999999</v>
      </c>
      <c r="K15">
        <v>3.1543049999999999</v>
      </c>
      <c r="L15">
        <v>3.0912160000000002</v>
      </c>
      <c r="M15">
        <v>3.032044</v>
      </c>
      <c r="N15">
        <v>2.9704809999999999</v>
      </c>
      <c r="O15">
        <v>2.9045879999999999</v>
      </c>
      <c r="P15">
        <v>2.8461699999999999</v>
      </c>
      <c r="Q15">
        <v>2.7882769999999999</v>
      </c>
      <c r="R15">
        <v>2.7347980000000001</v>
      </c>
      <c r="S15">
        <v>2.6815500000000001</v>
      </c>
      <c r="T15">
        <v>2.6327989999999999</v>
      </c>
      <c r="U15">
        <v>2.587637</v>
      </c>
      <c r="V15">
        <v>2.5466350000000002</v>
      </c>
      <c r="W15">
        <v>2.5057239999999998</v>
      </c>
      <c r="X15">
        <v>2.464391</v>
      </c>
      <c r="Y15">
        <v>2.4268930000000002</v>
      </c>
      <c r="Z15">
        <v>2.392449</v>
      </c>
      <c r="AA15">
        <v>2.3607740000000002</v>
      </c>
      <c r="AB15">
        <v>2.328157</v>
      </c>
      <c r="AC15">
        <v>2.3003429999999998</v>
      </c>
      <c r="AD15">
        <v>2.2698969999999998</v>
      </c>
      <c r="AE15">
        <v>2.2427670000000002</v>
      </c>
      <c r="AF15">
        <v>2.216291</v>
      </c>
      <c r="AG15" s="13">
        <v>-1.7000000000000001E-2</v>
      </c>
    </row>
    <row r="16" spans="1:33" x14ac:dyDescent="0.25">
      <c r="A16" t="s">
        <v>65</v>
      </c>
      <c r="B16" t="s">
        <v>66</v>
      </c>
      <c r="C16" t="s">
        <v>67</v>
      </c>
      <c r="D16" t="s">
        <v>64</v>
      </c>
      <c r="F16">
        <v>4.3222800000000001</v>
      </c>
      <c r="G16">
        <v>4.2643950000000004</v>
      </c>
      <c r="H16">
        <v>4.132428</v>
      </c>
      <c r="I16">
        <v>4.0300190000000002</v>
      </c>
      <c r="J16">
        <v>3.951152</v>
      </c>
      <c r="K16">
        <v>3.8704619999999998</v>
      </c>
      <c r="L16">
        <v>3.7755049999999999</v>
      </c>
      <c r="M16">
        <v>3.6931050000000001</v>
      </c>
      <c r="N16">
        <v>3.5904980000000002</v>
      </c>
      <c r="O16">
        <v>3.5060579999999999</v>
      </c>
      <c r="P16">
        <v>3.4292720000000001</v>
      </c>
      <c r="Q16">
        <v>3.3496980000000001</v>
      </c>
      <c r="R16">
        <v>3.2760120000000001</v>
      </c>
      <c r="S16">
        <v>3.1973530000000001</v>
      </c>
      <c r="T16">
        <v>3.1336360000000001</v>
      </c>
      <c r="U16">
        <v>3.0601430000000001</v>
      </c>
      <c r="V16">
        <v>3.011317</v>
      </c>
      <c r="W16">
        <v>2.9696039999999999</v>
      </c>
      <c r="X16">
        <v>2.9267889999999999</v>
      </c>
      <c r="Y16">
        <v>2.8854329999999999</v>
      </c>
      <c r="Z16">
        <v>2.8475579999999998</v>
      </c>
      <c r="AA16">
        <v>2.8097159999999999</v>
      </c>
      <c r="AB16">
        <v>2.7706499999999998</v>
      </c>
      <c r="AC16">
        <v>2.7378589999999998</v>
      </c>
      <c r="AD16">
        <v>2.7034189999999998</v>
      </c>
      <c r="AE16">
        <v>2.6727750000000001</v>
      </c>
      <c r="AF16">
        <v>2.6398160000000002</v>
      </c>
      <c r="AG16" s="13">
        <v>-1.9E-2</v>
      </c>
    </row>
    <row r="17" spans="1:33" x14ac:dyDescent="0.25">
      <c r="A17" t="s">
        <v>68</v>
      </c>
    </row>
    <row r="18" spans="1:33" x14ac:dyDescent="0.25">
      <c r="A18" t="s">
        <v>69</v>
      </c>
      <c r="B18" t="s">
        <v>70</v>
      </c>
      <c r="C18" t="s">
        <v>71</v>
      </c>
      <c r="D18" t="s">
        <v>72</v>
      </c>
      <c r="F18">
        <v>1.3431169999999999</v>
      </c>
      <c r="G18">
        <v>1.37063</v>
      </c>
      <c r="H18">
        <v>1.3938109999999999</v>
      </c>
      <c r="I18">
        <v>1.4171339999999999</v>
      </c>
      <c r="J18">
        <v>1.443964</v>
      </c>
      <c r="K18">
        <v>1.4697340000000001</v>
      </c>
      <c r="L18">
        <v>1.497355</v>
      </c>
      <c r="M18">
        <v>1.528316</v>
      </c>
      <c r="N18">
        <v>1.5609390000000001</v>
      </c>
      <c r="O18">
        <v>1.5951900000000001</v>
      </c>
      <c r="P18">
        <v>1.6307860000000001</v>
      </c>
      <c r="Q18">
        <v>1.666277</v>
      </c>
      <c r="R18">
        <v>1.700817</v>
      </c>
      <c r="S18">
        <v>1.736221</v>
      </c>
      <c r="T18">
        <v>1.7723930000000001</v>
      </c>
      <c r="U18">
        <v>1.808899</v>
      </c>
      <c r="V18">
        <v>1.8468249999999999</v>
      </c>
      <c r="W18">
        <v>1.8862300000000001</v>
      </c>
      <c r="X18">
        <v>1.9269259999999999</v>
      </c>
      <c r="Y18">
        <v>1.9691639999999999</v>
      </c>
      <c r="Z18">
        <v>2.0126740000000001</v>
      </c>
      <c r="AA18">
        <v>2.0575079999999999</v>
      </c>
      <c r="AB18">
        <v>2.1034350000000002</v>
      </c>
      <c r="AC18">
        <v>2.151106</v>
      </c>
      <c r="AD18">
        <v>2.200072</v>
      </c>
      <c r="AE18">
        <v>2.2503690000000001</v>
      </c>
      <c r="AF18">
        <v>2.3020529999999999</v>
      </c>
      <c r="AG18" s="13">
        <v>2.1000000000000001E-2</v>
      </c>
    </row>
    <row r="19" spans="1:33" x14ac:dyDescent="0.25">
      <c r="A19" t="s">
        <v>73</v>
      </c>
    </row>
    <row r="20" spans="1:33" x14ac:dyDescent="0.25">
      <c r="A20" t="s">
        <v>74</v>
      </c>
      <c r="B20" t="s">
        <v>75</v>
      </c>
      <c r="C20" t="s">
        <v>76</v>
      </c>
      <c r="D20" t="s">
        <v>77</v>
      </c>
      <c r="F20">
        <v>3.1332360000000001</v>
      </c>
      <c r="G20">
        <v>3.1873100000000001</v>
      </c>
      <c r="H20">
        <v>3.2438159999999998</v>
      </c>
      <c r="I20">
        <v>3.29739</v>
      </c>
      <c r="J20">
        <v>3.358501</v>
      </c>
      <c r="K20">
        <v>3.4197440000000001</v>
      </c>
      <c r="L20">
        <v>3.4840200000000001</v>
      </c>
      <c r="M20">
        <v>3.5537990000000002</v>
      </c>
      <c r="N20">
        <v>3.6269870000000002</v>
      </c>
      <c r="O20">
        <v>3.70384</v>
      </c>
      <c r="P20">
        <v>3.783029</v>
      </c>
      <c r="Q20">
        <v>3.8627280000000002</v>
      </c>
      <c r="R20">
        <v>3.9415480000000001</v>
      </c>
      <c r="S20">
        <v>4.0227899999999996</v>
      </c>
      <c r="T20">
        <v>4.1064660000000002</v>
      </c>
      <c r="U20">
        <v>4.1913130000000001</v>
      </c>
      <c r="V20">
        <v>4.2789830000000002</v>
      </c>
      <c r="W20">
        <v>4.3724210000000001</v>
      </c>
      <c r="X20">
        <v>4.4684990000000004</v>
      </c>
      <c r="Y20">
        <v>4.5693440000000001</v>
      </c>
      <c r="Z20">
        <v>4.672993</v>
      </c>
      <c r="AA20">
        <v>4.780564</v>
      </c>
      <c r="AB20">
        <v>4.8909840000000004</v>
      </c>
      <c r="AC20">
        <v>5.0057999999999998</v>
      </c>
      <c r="AD20">
        <v>5.1239569999999999</v>
      </c>
      <c r="AE20">
        <v>5.2466879999999998</v>
      </c>
      <c r="AF20">
        <v>5.3733490000000002</v>
      </c>
      <c r="AG20" s="13">
        <v>2.1000000000000001E-2</v>
      </c>
    </row>
    <row r="21" spans="1:33" x14ac:dyDescent="0.25">
      <c r="A21" t="s">
        <v>78</v>
      </c>
      <c r="B21" t="s">
        <v>79</v>
      </c>
      <c r="C21" t="s">
        <v>80</v>
      </c>
      <c r="D21" t="s">
        <v>77</v>
      </c>
      <c r="F21">
        <v>2.7925080000000002</v>
      </c>
      <c r="G21">
        <v>2.6914549999999999</v>
      </c>
      <c r="H21">
        <v>2.6876129999999998</v>
      </c>
      <c r="I21">
        <v>2.6521680000000001</v>
      </c>
      <c r="J21">
        <v>2.6949160000000001</v>
      </c>
      <c r="K21">
        <v>2.7545130000000002</v>
      </c>
      <c r="L21">
        <v>2.8223549999999999</v>
      </c>
      <c r="M21">
        <v>2.9040720000000002</v>
      </c>
      <c r="N21">
        <v>2.9858380000000002</v>
      </c>
      <c r="O21">
        <v>3.0742289999999999</v>
      </c>
      <c r="P21">
        <v>3.1541549999999998</v>
      </c>
      <c r="Q21">
        <v>3.2223570000000001</v>
      </c>
      <c r="R21">
        <v>3.2833749999999999</v>
      </c>
      <c r="S21">
        <v>3.3454839999999999</v>
      </c>
      <c r="T21">
        <v>3.4118200000000001</v>
      </c>
      <c r="U21">
        <v>3.4737680000000002</v>
      </c>
      <c r="V21">
        <v>3.537099</v>
      </c>
      <c r="W21">
        <v>3.624193</v>
      </c>
      <c r="X21">
        <v>3.7039749999999998</v>
      </c>
      <c r="Y21">
        <v>3.798629</v>
      </c>
      <c r="Z21">
        <v>3.8853330000000001</v>
      </c>
      <c r="AA21">
        <v>3.978532</v>
      </c>
      <c r="AB21">
        <v>4.0711120000000003</v>
      </c>
      <c r="AC21">
        <v>4.1738499999999998</v>
      </c>
      <c r="AD21">
        <v>4.2806730000000002</v>
      </c>
      <c r="AE21">
        <v>4.4049050000000003</v>
      </c>
      <c r="AF21">
        <v>4.5420879999999997</v>
      </c>
      <c r="AG21" s="13">
        <v>1.9E-2</v>
      </c>
    </row>
    <row r="22" spans="1:33" x14ac:dyDescent="0.25">
      <c r="A22" t="s">
        <v>81</v>
      </c>
    </row>
    <row r="23" spans="1:33" x14ac:dyDescent="0.25">
      <c r="A23" t="s">
        <v>82</v>
      </c>
      <c r="B23" t="s">
        <v>83</v>
      </c>
      <c r="C23" t="s">
        <v>84</v>
      </c>
      <c r="D23" t="s">
        <v>85</v>
      </c>
      <c r="F23">
        <v>2.5444830000000001</v>
      </c>
      <c r="G23">
        <v>2.5369220000000001</v>
      </c>
      <c r="H23">
        <v>2.5284499999999999</v>
      </c>
      <c r="I23">
        <v>2.5255619999999999</v>
      </c>
      <c r="J23">
        <v>2.550341</v>
      </c>
      <c r="K23">
        <v>2.579834</v>
      </c>
      <c r="L23">
        <v>2.6191559999999998</v>
      </c>
      <c r="M23">
        <v>2.6681780000000002</v>
      </c>
      <c r="N23">
        <v>2.726175</v>
      </c>
      <c r="O23">
        <v>2.7891460000000001</v>
      </c>
      <c r="P23">
        <v>2.8477459999999999</v>
      </c>
      <c r="Q23">
        <v>2.8974600000000001</v>
      </c>
      <c r="R23">
        <v>2.9412569999999998</v>
      </c>
      <c r="S23">
        <v>2.990532</v>
      </c>
      <c r="T23">
        <v>3.0430139999999999</v>
      </c>
      <c r="U23">
        <v>3.0926149999999999</v>
      </c>
      <c r="V23">
        <v>3.145597</v>
      </c>
      <c r="W23">
        <v>3.2068669999999999</v>
      </c>
      <c r="X23">
        <v>3.2677420000000001</v>
      </c>
      <c r="Y23">
        <v>3.331159</v>
      </c>
      <c r="Z23">
        <v>3.3918210000000002</v>
      </c>
      <c r="AA23">
        <v>3.4568500000000002</v>
      </c>
      <c r="AB23">
        <v>3.5212629999999998</v>
      </c>
      <c r="AC23">
        <v>3.5894659999999998</v>
      </c>
      <c r="AD23">
        <v>3.660784</v>
      </c>
      <c r="AE23">
        <v>3.7397339999999999</v>
      </c>
      <c r="AF23">
        <v>3.8224320000000001</v>
      </c>
      <c r="AG23" s="13">
        <v>1.6E-2</v>
      </c>
    </row>
    <row r="24" spans="1:33" x14ac:dyDescent="0.25">
      <c r="A24" t="s">
        <v>86</v>
      </c>
      <c r="B24" t="s">
        <v>87</v>
      </c>
      <c r="C24" t="s">
        <v>88</v>
      </c>
      <c r="D24" t="s">
        <v>85</v>
      </c>
      <c r="F24">
        <v>2.310759</v>
      </c>
      <c r="G24">
        <v>2.3202950000000002</v>
      </c>
      <c r="H24">
        <v>2.3035570000000001</v>
      </c>
      <c r="I24">
        <v>2.2750270000000001</v>
      </c>
      <c r="J24">
        <v>2.3186619999999998</v>
      </c>
      <c r="K24">
        <v>2.3827029999999998</v>
      </c>
      <c r="L24">
        <v>2.4596049999999998</v>
      </c>
      <c r="M24">
        <v>2.5416979999999998</v>
      </c>
      <c r="N24">
        <v>2.6475369999999998</v>
      </c>
      <c r="O24">
        <v>2.7716880000000002</v>
      </c>
      <c r="P24">
        <v>2.8764110000000001</v>
      </c>
      <c r="Q24">
        <v>2.9504220000000001</v>
      </c>
      <c r="R24">
        <v>3.007536</v>
      </c>
      <c r="S24">
        <v>3.0685519999999999</v>
      </c>
      <c r="T24">
        <v>3.1362619999999999</v>
      </c>
      <c r="U24">
        <v>3.1936040000000001</v>
      </c>
      <c r="V24">
        <v>3.256008</v>
      </c>
      <c r="W24">
        <v>3.3452799999999998</v>
      </c>
      <c r="X24">
        <v>3.4294229999999999</v>
      </c>
      <c r="Y24">
        <v>3.5230860000000002</v>
      </c>
      <c r="Z24">
        <v>3.6022310000000002</v>
      </c>
      <c r="AA24">
        <v>3.6951930000000002</v>
      </c>
      <c r="AB24">
        <v>3.7813189999999999</v>
      </c>
      <c r="AC24">
        <v>3.8727140000000002</v>
      </c>
      <c r="AD24">
        <v>3.9718249999999999</v>
      </c>
      <c r="AE24">
        <v>4.0962160000000001</v>
      </c>
      <c r="AF24">
        <v>4.2370239999999999</v>
      </c>
      <c r="AG24" s="13">
        <v>2.4E-2</v>
      </c>
    </row>
    <row r="25" spans="1:33" x14ac:dyDescent="0.25">
      <c r="A25" t="s">
        <v>89</v>
      </c>
      <c r="B25" t="s">
        <v>90</v>
      </c>
      <c r="C25" t="s">
        <v>91</v>
      </c>
      <c r="D25" t="s">
        <v>85</v>
      </c>
      <c r="F25">
        <v>3.0321470000000001</v>
      </c>
      <c r="G25">
        <v>2.8606750000000001</v>
      </c>
      <c r="H25">
        <v>2.7882159999999998</v>
      </c>
      <c r="I25">
        <v>2.7634050000000001</v>
      </c>
      <c r="J25">
        <v>2.74133</v>
      </c>
      <c r="K25">
        <v>2.739916</v>
      </c>
      <c r="L25">
        <v>2.7641249999999999</v>
      </c>
      <c r="M25">
        <v>2.8123089999999999</v>
      </c>
      <c r="N25">
        <v>2.8618760000000001</v>
      </c>
      <c r="O25">
        <v>2.9031259999999999</v>
      </c>
      <c r="P25">
        <v>2.9436629999999999</v>
      </c>
      <c r="Q25">
        <v>2.9681030000000002</v>
      </c>
      <c r="R25">
        <v>2.9973230000000002</v>
      </c>
      <c r="S25">
        <v>3.0429599999999999</v>
      </c>
      <c r="T25">
        <v>3.0893760000000001</v>
      </c>
      <c r="U25">
        <v>3.1330010000000001</v>
      </c>
      <c r="V25">
        <v>3.182893</v>
      </c>
      <c r="W25">
        <v>3.233063</v>
      </c>
      <c r="X25">
        <v>3.2827130000000002</v>
      </c>
      <c r="Y25">
        <v>3.3297669999999999</v>
      </c>
      <c r="Z25">
        <v>3.375909</v>
      </c>
      <c r="AA25">
        <v>3.4205899999999998</v>
      </c>
      <c r="AB25">
        <v>3.4675090000000002</v>
      </c>
      <c r="AC25">
        <v>3.520473</v>
      </c>
      <c r="AD25">
        <v>3.5745100000000001</v>
      </c>
      <c r="AE25">
        <v>3.6313430000000002</v>
      </c>
      <c r="AF25">
        <v>3.6830430000000001</v>
      </c>
      <c r="AG25" s="13">
        <v>8.0000000000000002E-3</v>
      </c>
    </row>
    <row r="26" spans="1:33" x14ac:dyDescent="0.25">
      <c r="A26" t="s">
        <v>92</v>
      </c>
      <c r="B26" t="s">
        <v>93</v>
      </c>
      <c r="C26" t="s">
        <v>94</v>
      </c>
      <c r="D26" t="s">
        <v>85</v>
      </c>
      <c r="F26">
        <v>2.5845829999999999</v>
      </c>
      <c r="G26">
        <v>2.5789309999999999</v>
      </c>
      <c r="H26">
        <v>2.570989</v>
      </c>
      <c r="I26">
        <v>2.5752169999999999</v>
      </c>
      <c r="J26">
        <v>2.5917110000000001</v>
      </c>
      <c r="K26">
        <v>2.6081340000000002</v>
      </c>
      <c r="L26">
        <v>2.6363020000000001</v>
      </c>
      <c r="M26">
        <v>2.6758570000000002</v>
      </c>
      <c r="N26">
        <v>2.7211020000000001</v>
      </c>
      <c r="O26">
        <v>2.768586</v>
      </c>
      <c r="P26">
        <v>2.817564</v>
      </c>
      <c r="Q26">
        <v>2.8628550000000001</v>
      </c>
      <c r="R26">
        <v>2.9047350000000001</v>
      </c>
      <c r="S26">
        <v>2.9532609999999999</v>
      </c>
      <c r="T26">
        <v>3.0041820000000001</v>
      </c>
      <c r="U26">
        <v>3.0542050000000001</v>
      </c>
      <c r="V26">
        <v>3.1074130000000002</v>
      </c>
      <c r="W26">
        <v>3.1637219999999999</v>
      </c>
      <c r="X26">
        <v>3.2208929999999998</v>
      </c>
      <c r="Y26">
        <v>3.2785319999999998</v>
      </c>
      <c r="Z26">
        <v>3.3365719999999999</v>
      </c>
      <c r="AA26">
        <v>3.3964110000000001</v>
      </c>
      <c r="AB26">
        <v>3.457436</v>
      </c>
      <c r="AC26">
        <v>3.522192</v>
      </c>
      <c r="AD26">
        <v>3.5888740000000001</v>
      </c>
      <c r="AE26">
        <v>3.6585109999999998</v>
      </c>
      <c r="AF26">
        <v>3.728199</v>
      </c>
      <c r="AG26" s="13">
        <v>1.4E-2</v>
      </c>
    </row>
    <row r="27" spans="1:33" x14ac:dyDescent="0.25">
      <c r="A27" t="s">
        <v>95</v>
      </c>
      <c r="B27" t="s">
        <v>96</v>
      </c>
    </row>
    <row r="28" spans="1:33" x14ac:dyDescent="0.25">
      <c r="A28" t="s">
        <v>97</v>
      </c>
      <c r="B28" t="s">
        <v>98</v>
      </c>
      <c r="C28" t="s">
        <v>99</v>
      </c>
      <c r="D28" t="s">
        <v>100</v>
      </c>
      <c r="F28">
        <v>5.145988</v>
      </c>
      <c r="G28">
        <v>3.788913</v>
      </c>
      <c r="H28">
        <v>2.6381709999999998</v>
      </c>
      <c r="I28">
        <v>2.6231360000000001</v>
      </c>
      <c r="J28">
        <v>2.6236510000000002</v>
      </c>
      <c r="K28">
        <v>2.6241110000000001</v>
      </c>
      <c r="L28">
        <v>2.6239669999999999</v>
      </c>
      <c r="M28">
        <v>2.6230159999999998</v>
      </c>
      <c r="N28">
        <v>2.6237149999999998</v>
      </c>
      <c r="O28">
        <v>2.6252110000000002</v>
      </c>
      <c r="P28">
        <v>2.62642</v>
      </c>
      <c r="Q28">
        <v>2.6271279999999999</v>
      </c>
      <c r="R28">
        <v>2.6271279999999999</v>
      </c>
      <c r="S28">
        <v>2.6271279999999999</v>
      </c>
      <c r="T28">
        <v>2.6271279999999999</v>
      </c>
      <c r="U28">
        <v>2.6271279999999999</v>
      </c>
      <c r="V28">
        <v>2.6271279999999999</v>
      </c>
      <c r="W28">
        <v>2.6271279999999999</v>
      </c>
      <c r="X28">
        <v>2.6271279999999999</v>
      </c>
      <c r="Y28">
        <v>2.6271279999999999</v>
      </c>
      <c r="Z28">
        <v>2.6271279999999999</v>
      </c>
      <c r="AA28">
        <v>2.6271279999999999</v>
      </c>
      <c r="AB28">
        <v>2.6271279999999999</v>
      </c>
      <c r="AC28">
        <v>2.6271279999999999</v>
      </c>
      <c r="AD28">
        <v>2.6271279999999999</v>
      </c>
      <c r="AE28">
        <v>2.6271279999999999</v>
      </c>
      <c r="AF28">
        <v>2.6271279999999999</v>
      </c>
      <c r="AG28" s="13">
        <v>-2.5999999999999999E-2</v>
      </c>
    </row>
    <row r="29" spans="1:33" x14ac:dyDescent="0.25">
      <c r="A29" t="s">
        <v>101</v>
      </c>
      <c r="B29" t="s">
        <v>102</v>
      </c>
      <c r="C29" t="s">
        <v>103</v>
      </c>
      <c r="D29" t="s">
        <v>100</v>
      </c>
      <c r="F29">
        <v>4.0761909999999997</v>
      </c>
      <c r="G29">
        <v>3.4812539999999998</v>
      </c>
      <c r="H29">
        <v>3.2802570000000002</v>
      </c>
      <c r="I29">
        <v>3.187414</v>
      </c>
      <c r="J29">
        <v>3.1661350000000001</v>
      </c>
      <c r="K29">
        <v>3.1823890000000001</v>
      </c>
      <c r="L29">
        <v>3.2130740000000002</v>
      </c>
      <c r="M29">
        <v>3.2357770000000001</v>
      </c>
      <c r="N29">
        <v>3.2451759999999998</v>
      </c>
      <c r="O29">
        <v>3.2456399999999999</v>
      </c>
      <c r="P29">
        <v>3.2573110000000001</v>
      </c>
      <c r="Q29">
        <v>3.2711830000000002</v>
      </c>
      <c r="R29">
        <v>3.280437</v>
      </c>
      <c r="S29">
        <v>3.281555</v>
      </c>
      <c r="T29">
        <v>3.27677</v>
      </c>
      <c r="U29">
        <v>3.2741150000000001</v>
      </c>
      <c r="V29">
        <v>3.2669990000000002</v>
      </c>
      <c r="W29">
        <v>3.2605599999999999</v>
      </c>
      <c r="X29">
        <v>3.2607439999999999</v>
      </c>
      <c r="Y29">
        <v>3.2648700000000002</v>
      </c>
      <c r="Z29">
        <v>3.2731889999999999</v>
      </c>
      <c r="AA29">
        <v>3.280186</v>
      </c>
      <c r="AB29">
        <v>3.2903340000000001</v>
      </c>
      <c r="AC29">
        <v>3.30423</v>
      </c>
      <c r="AD29">
        <v>3.309904</v>
      </c>
      <c r="AE29">
        <v>3.3122959999999999</v>
      </c>
      <c r="AF29">
        <v>3.3176429999999999</v>
      </c>
      <c r="AG29" s="13">
        <v>-8.0000000000000002E-3</v>
      </c>
    </row>
    <row r="30" spans="1:33" x14ac:dyDescent="0.25">
      <c r="A30" t="s">
        <v>104</v>
      </c>
      <c r="B30" t="s">
        <v>105</v>
      </c>
      <c r="C30" t="s">
        <v>106</v>
      </c>
      <c r="D30" t="s">
        <v>100</v>
      </c>
      <c r="F30">
        <v>5.3953499999999996</v>
      </c>
      <c r="G30">
        <v>5.2155269999999998</v>
      </c>
      <c r="H30">
        <v>5.1328880000000003</v>
      </c>
      <c r="I30">
        <v>5.0468950000000001</v>
      </c>
      <c r="J30">
        <v>5.0313189999999999</v>
      </c>
      <c r="K30">
        <v>5.0189380000000003</v>
      </c>
      <c r="L30">
        <v>5.0012819999999998</v>
      </c>
      <c r="M30">
        <v>4.9834290000000001</v>
      </c>
      <c r="N30">
        <v>4.9927099999999998</v>
      </c>
      <c r="O30">
        <v>5.0253410000000001</v>
      </c>
      <c r="P30">
        <v>5.0341940000000003</v>
      </c>
      <c r="Q30">
        <v>5.057391</v>
      </c>
      <c r="R30">
        <v>5.0617619999999999</v>
      </c>
      <c r="S30">
        <v>5.0389290000000004</v>
      </c>
      <c r="T30">
        <v>5.0397299999999996</v>
      </c>
      <c r="U30">
        <v>5.0290059999999999</v>
      </c>
      <c r="V30">
        <v>4.991193</v>
      </c>
      <c r="W30">
        <v>4.9822199999999999</v>
      </c>
      <c r="X30">
        <v>4.9792139999999998</v>
      </c>
      <c r="Y30">
        <v>4.9968620000000001</v>
      </c>
      <c r="Z30">
        <v>4.9914110000000003</v>
      </c>
      <c r="AA30">
        <v>5.0237999999999996</v>
      </c>
      <c r="AB30">
        <v>5.0331960000000002</v>
      </c>
      <c r="AC30">
        <v>5.0482810000000002</v>
      </c>
      <c r="AD30">
        <v>5.0383800000000001</v>
      </c>
      <c r="AE30">
        <v>5.04697</v>
      </c>
      <c r="AF30">
        <v>5.0879380000000003</v>
      </c>
      <c r="AG30" s="13">
        <v>-2E-3</v>
      </c>
    </row>
    <row r="31" spans="1:33" x14ac:dyDescent="0.25">
      <c r="A31" t="s">
        <v>107</v>
      </c>
    </row>
    <row r="32" spans="1:33" x14ac:dyDescent="0.25">
      <c r="A32" t="s">
        <v>108</v>
      </c>
      <c r="B32" t="s">
        <v>109</v>
      </c>
      <c r="C32" t="s">
        <v>110</v>
      </c>
      <c r="D32" t="s">
        <v>111</v>
      </c>
      <c r="F32">
        <v>28226.228515999999</v>
      </c>
      <c r="G32">
        <v>28832.503906000002</v>
      </c>
      <c r="H32">
        <v>29531.828125</v>
      </c>
      <c r="I32">
        <v>30358.589843999998</v>
      </c>
      <c r="J32">
        <v>31193.046875</v>
      </c>
      <c r="K32">
        <v>31916.195312</v>
      </c>
      <c r="L32">
        <v>32552.964843999998</v>
      </c>
      <c r="M32">
        <v>33193.347655999998</v>
      </c>
      <c r="N32">
        <v>33870.484375</v>
      </c>
      <c r="O32">
        <v>34561.386719000002</v>
      </c>
      <c r="P32">
        <v>35260.015625</v>
      </c>
      <c r="Q32">
        <v>35955.832030999998</v>
      </c>
      <c r="R32">
        <v>36628.492187999997</v>
      </c>
      <c r="S32">
        <v>37306.128905999998</v>
      </c>
      <c r="T32">
        <v>37972.011719000002</v>
      </c>
      <c r="U32">
        <v>38639.6875</v>
      </c>
      <c r="V32">
        <v>39328.714844000002</v>
      </c>
      <c r="W32">
        <v>40017.15625</v>
      </c>
      <c r="X32">
        <v>40711.210937999997</v>
      </c>
      <c r="Y32">
        <v>41405.953125</v>
      </c>
      <c r="Z32">
        <v>42105.753905999998</v>
      </c>
      <c r="AA32">
        <v>42813.265625</v>
      </c>
      <c r="AB32">
        <v>43534.359375</v>
      </c>
      <c r="AC32">
        <v>44293.554687999997</v>
      </c>
      <c r="AD32">
        <v>45075.363280999998</v>
      </c>
      <c r="AE32">
        <v>45888.054687999997</v>
      </c>
      <c r="AF32">
        <v>46699.144530999998</v>
      </c>
      <c r="AG32" s="13">
        <v>0.02</v>
      </c>
    </row>
    <row r="33" spans="1:35" x14ac:dyDescent="0.25">
      <c r="A33" t="s">
        <v>112</v>
      </c>
      <c r="B33" t="s">
        <v>113</v>
      </c>
      <c r="C33" t="s">
        <v>114</v>
      </c>
      <c r="D33" t="s">
        <v>111</v>
      </c>
      <c r="F33">
        <v>8693.2148440000001</v>
      </c>
      <c r="G33">
        <v>8880.0214840000008</v>
      </c>
      <c r="H33">
        <v>9023.890625</v>
      </c>
      <c r="I33">
        <v>9136.9658199999994</v>
      </c>
      <c r="J33">
        <v>9250.2949219999991</v>
      </c>
      <c r="K33">
        <v>9368.2050780000009</v>
      </c>
      <c r="L33">
        <v>9471.4042969999991</v>
      </c>
      <c r="M33">
        <v>9544.3271480000003</v>
      </c>
      <c r="N33">
        <v>9631.375</v>
      </c>
      <c r="O33">
        <v>9680.8300780000009</v>
      </c>
      <c r="P33">
        <v>9759.0693360000005</v>
      </c>
      <c r="Q33">
        <v>9833.1796880000002</v>
      </c>
      <c r="R33">
        <v>9910.9326170000004</v>
      </c>
      <c r="S33">
        <v>9985.4941409999992</v>
      </c>
      <c r="T33">
        <v>10063.265625</v>
      </c>
      <c r="U33">
        <v>10146.550781</v>
      </c>
      <c r="V33">
        <v>10240.190430000001</v>
      </c>
      <c r="W33">
        <v>10320.269531</v>
      </c>
      <c r="X33">
        <v>10409.382812</v>
      </c>
      <c r="Y33">
        <v>10482.778319999999</v>
      </c>
      <c r="Z33">
        <v>10564.851562</v>
      </c>
      <c r="AA33">
        <v>10653.480469</v>
      </c>
      <c r="AB33">
        <v>10756.961914</v>
      </c>
      <c r="AC33">
        <v>10868.238281</v>
      </c>
      <c r="AD33">
        <v>10969.666992</v>
      </c>
      <c r="AE33">
        <v>11079.728515999999</v>
      </c>
      <c r="AF33">
        <v>11173.776367</v>
      </c>
      <c r="AG33" s="13">
        <v>0.01</v>
      </c>
    </row>
    <row r="34" spans="1:35" x14ac:dyDescent="0.25">
      <c r="A34" t="s">
        <v>115</v>
      </c>
      <c r="B34" t="s">
        <v>116</v>
      </c>
      <c r="C34" t="s">
        <v>117</v>
      </c>
      <c r="D34" t="s">
        <v>118</v>
      </c>
      <c r="E34" t="s">
        <v>119</v>
      </c>
      <c r="F34" t="s">
        <v>111</v>
      </c>
      <c r="H34">
        <v>2718.2504880000001</v>
      </c>
      <c r="I34">
        <v>2777.9179690000001</v>
      </c>
      <c r="J34">
        <v>2803.5085450000001</v>
      </c>
      <c r="K34">
        <v>2839.2778320000002</v>
      </c>
      <c r="L34">
        <v>2891.1875</v>
      </c>
      <c r="M34">
        <v>2948.4794919999999</v>
      </c>
      <c r="N34">
        <v>2992.1098630000001</v>
      </c>
      <c r="O34">
        <v>3020.3398440000001</v>
      </c>
      <c r="P34">
        <v>3053.4860840000001</v>
      </c>
      <c r="Q34">
        <v>3066.1999510000001</v>
      </c>
      <c r="R34">
        <v>3074.7314449999999</v>
      </c>
      <c r="S34">
        <v>3093.0898440000001</v>
      </c>
      <c r="T34">
        <v>3117.248047</v>
      </c>
      <c r="U34">
        <v>3128.8452149999998</v>
      </c>
      <c r="V34">
        <v>3144.9645999999998</v>
      </c>
      <c r="W34">
        <v>3159.154297</v>
      </c>
      <c r="X34">
        <v>3177.1713869999999</v>
      </c>
      <c r="Y34">
        <v>3191.8076169999999</v>
      </c>
      <c r="Z34">
        <v>3212.5195309999999</v>
      </c>
      <c r="AA34">
        <v>3226.1708979999999</v>
      </c>
      <c r="AB34">
        <v>3241.9814449999999</v>
      </c>
      <c r="AC34">
        <v>3269.1503910000001</v>
      </c>
      <c r="AD34">
        <v>3302.4121089999999</v>
      </c>
      <c r="AE34">
        <v>3332.982422</v>
      </c>
      <c r="AF34">
        <v>3363.429443</v>
      </c>
      <c r="AG34">
        <v>3398.2006839999999</v>
      </c>
      <c r="AH34">
        <v>3430.1721189999998</v>
      </c>
      <c r="AI34" s="13">
        <v>8.9999999999999993E-3</v>
      </c>
    </row>
    <row r="35" spans="1:35" x14ac:dyDescent="0.25">
      <c r="A35" t="s">
        <v>120</v>
      </c>
      <c r="B35" t="s">
        <v>121</v>
      </c>
      <c r="C35" t="s">
        <v>122</v>
      </c>
      <c r="D35" t="s">
        <v>111</v>
      </c>
      <c r="F35">
        <v>5974.9643550000001</v>
      </c>
      <c r="G35">
        <v>6102.1030270000001</v>
      </c>
      <c r="H35">
        <v>6220.3818359999996</v>
      </c>
      <c r="I35">
        <v>6297.6884769999997</v>
      </c>
      <c r="J35">
        <v>6359.1064450000003</v>
      </c>
      <c r="K35">
        <v>6419.7250979999999</v>
      </c>
      <c r="L35">
        <v>6479.2939450000003</v>
      </c>
      <c r="M35">
        <v>6523.9873049999997</v>
      </c>
      <c r="N35">
        <v>6577.888672</v>
      </c>
      <c r="O35">
        <v>6614.6298829999996</v>
      </c>
      <c r="P35">
        <v>6684.3378910000001</v>
      </c>
      <c r="Q35">
        <v>6740.0898440000001</v>
      </c>
      <c r="R35">
        <v>6793.6845700000003</v>
      </c>
      <c r="S35">
        <v>6856.6494140000004</v>
      </c>
      <c r="T35">
        <v>6918.3007809999999</v>
      </c>
      <c r="U35">
        <v>6987.3964839999999</v>
      </c>
      <c r="V35">
        <v>7063.0190430000002</v>
      </c>
      <c r="W35">
        <v>7128.4624020000001</v>
      </c>
      <c r="X35">
        <v>7196.8632809999999</v>
      </c>
      <c r="Y35">
        <v>7256.607422</v>
      </c>
      <c r="Z35">
        <v>7322.8701170000004</v>
      </c>
      <c r="AA35">
        <v>7384.330078</v>
      </c>
      <c r="AB35">
        <v>7454.5502930000002</v>
      </c>
      <c r="AC35">
        <v>7535.2553710000002</v>
      </c>
      <c r="AD35">
        <v>7606.2373049999997</v>
      </c>
      <c r="AE35">
        <v>7681.5273440000001</v>
      </c>
      <c r="AF35">
        <v>7743.6040039999998</v>
      </c>
      <c r="AG35" s="13">
        <v>0.01</v>
      </c>
    </row>
    <row r="36" spans="1:35" x14ac:dyDescent="0.25">
      <c r="A36" t="s">
        <v>123</v>
      </c>
      <c r="B36" t="s">
        <v>124</v>
      </c>
      <c r="C36" t="s">
        <v>125</v>
      </c>
      <c r="D36" t="s">
        <v>111</v>
      </c>
      <c r="F36">
        <v>2316.6770019999999</v>
      </c>
      <c r="G36">
        <v>2344.0678710000002</v>
      </c>
      <c r="H36">
        <v>2344.7004390000002</v>
      </c>
      <c r="I36">
        <v>2344.4560550000001</v>
      </c>
      <c r="J36">
        <v>2339.9897460000002</v>
      </c>
      <c r="K36">
        <v>2341.404297</v>
      </c>
      <c r="L36">
        <v>2345.9621579999998</v>
      </c>
      <c r="M36">
        <v>2352.5458979999999</v>
      </c>
      <c r="N36">
        <v>2357.4746089999999</v>
      </c>
      <c r="O36">
        <v>2357.0366210000002</v>
      </c>
      <c r="P36">
        <v>2364.6447750000002</v>
      </c>
      <c r="Q36">
        <v>2371.5659179999998</v>
      </c>
      <c r="R36">
        <v>2377.9558109999998</v>
      </c>
      <c r="S36">
        <v>2386.4594729999999</v>
      </c>
      <c r="T36">
        <v>2396.358154</v>
      </c>
      <c r="U36">
        <v>2410.375</v>
      </c>
      <c r="V36">
        <v>2428.2468260000001</v>
      </c>
      <c r="W36">
        <v>2443.2141109999998</v>
      </c>
      <c r="X36">
        <v>2458.0295409999999</v>
      </c>
      <c r="Y36">
        <v>2472.5490719999998</v>
      </c>
      <c r="Z36">
        <v>2488.7951659999999</v>
      </c>
      <c r="AA36">
        <v>2501.2651369999999</v>
      </c>
      <c r="AB36">
        <v>2515.9790039999998</v>
      </c>
      <c r="AC36">
        <v>2536.919922</v>
      </c>
      <c r="AD36">
        <v>2552.499268</v>
      </c>
      <c r="AE36">
        <v>2569.5615229999999</v>
      </c>
      <c r="AF36">
        <v>2586.6147460000002</v>
      </c>
      <c r="AG36" s="13">
        <v>4.0000000000000001E-3</v>
      </c>
    </row>
    <row r="37" spans="1:35" x14ac:dyDescent="0.25">
      <c r="A37" t="s">
        <v>126</v>
      </c>
      <c r="B37" t="s">
        <v>127</v>
      </c>
      <c r="C37" t="s">
        <v>128</v>
      </c>
      <c r="D37" t="s">
        <v>111</v>
      </c>
      <c r="F37">
        <v>3658.2871089999999</v>
      </c>
      <c r="G37">
        <v>3758.0356449999999</v>
      </c>
      <c r="H37">
        <v>3875.6811520000001</v>
      </c>
      <c r="I37">
        <v>3953.2326659999999</v>
      </c>
      <c r="J37">
        <v>4019.1171880000002</v>
      </c>
      <c r="K37">
        <v>4078.3217770000001</v>
      </c>
      <c r="L37">
        <v>4133.3310549999997</v>
      </c>
      <c r="M37">
        <v>4171.4423829999996</v>
      </c>
      <c r="N37">
        <v>4220.4150390000004</v>
      </c>
      <c r="O37">
        <v>4257.59375</v>
      </c>
      <c r="P37">
        <v>4319.6933589999999</v>
      </c>
      <c r="Q37">
        <v>4368.5234380000002</v>
      </c>
      <c r="R37">
        <v>4415.7285160000001</v>
      </c>
      <c r="S37">
        <v>4470.1904299999997</v>
      </c>
      <c r="T37">
        <v>4521.9423829999996</v>
      </c>
      <c r="U37">
        <v>4577.0209960000002</v>
      </c>
      <c r="V37">
        <v>4634.7724609999996</v>
      </c>
      <c r="W37">
        <v>4685.2485349999997</v>
      </c>
      <c r="X37">
        <v>4738.8339839999999</v>
      </c>
      <c r="Y37">
        <v>4784.0585940000001</v>
      </c>
      <c r="Z37">
        <v>4834.0747069999998</v>
      </c>
      <c r="AA37">
        <v>4883.0659180000002</v>
      </c>
      <c r="AB37">
        <v>4938.5712890000004</v>
      </c>
      <c r="AC37">
        <v>4998.3364259999998</v>
      </c>
      <c r="AD37">
        <v>5053.7377930000002</v>
      </c>
      <c r="AE37">
        <v>5111.9658200000003</v>
      </c>
      <c r="AF37">
        <v>5156.9897460000002</v>
      </c>
      <c r="AG37" s="13">
        <v>1.2999999999999999E-2</v>
      </c>
    </row>
    <row r="38" spans="1:35" x14ac:dyDescent="0.25">
      <c r="A38" t="s">
        <v>129</v>
      </c>
      <c r="B38" t="s">
        <v>130</v>
      </c>
      <c r="C38" t="s">
        <v>131</v>
      </c>
      <c r="D38" t="s">
        <v>111</v>
      </c>
      <c r="F38">
        <v>36919.445312000003</v>
      </c>
      <c r="G38">
        <v>37712.523437999997</v>
      </c>
      <c r="H38">
        <v>38555.71875</v>
      </c>
      <c r="I38">
        <v>39495.554687999997</v>
      </c>
      <c r="J38">
        <v>40443.34375</v>
      </c>
      <c r="K38">
        <v>41284.398437999997</v>
      </c>
      <c r="L38">
        <v>42024.367187999997</v>
      </c>
      <c r="M38">
        <v>42737.675780999998</v>
      </c>
      <c r="N38">
        <v>43501.859375</v>
      </c>
      <c r="O38">
        <v>44242.21875</v>
      </c>
      <c r="P38">
        <v>45019.085937999997</v>
      </c>
      <c r="Q38">
        <v>45789.011719000002</v>
      </c>
      <c r="R38">
        <v>46539.425780999998</v>
      </c>
      <c r="S38">
        <v>47291.625</v>
      </c>
      <c r="T38">
        <v>48035.277344000002</v>
      </c>
      <c r="U38">
        <v>48786.238280999998</v>
      </c>
      <c r="V38">
        <v>49568.90625</v>
      </c>
      <c r="W38">
        <v>50337.425780999998</v>
      </c>
      <c r="X38">
        <v>51120.59375</v>
      </c>
      <c r="Y38">
        <v>51888.730469000002</v>
      </c>
      <c r="Z38">
        <v>52670.605469000002</v>
      </c>
      <c r="AA38">
        <v>53466.746094000002</v>
      </c>
      <c r="AB38">
        <v>54291.320312000003</v>
      </c>
      <c r="AC38">
        <v>55161.792969000002</v>
      </c>
      <c r="AD38">
        <v>56045.03125</v>
      </c>
      <c r="AE38">
        <v>56967.78125</v>
      </c>
      <c r="AF38">
        <v>57872.921875</v>
      </c>
      <c r="AG38" s="13">
        <v>1.7000000000000001E-2</v>
      </c>
    </row>
    <row r="39" spans="1:35" x14ac:dyDescent="0.25">
      <c r="A39" t="s">
        <v>132</v>
      </c>
    </row>
    <row r="40" spans="1:35" x14ac:dyDescent="0.25">
      <c r="A40" t="s">
        <v>133</v>
      </c>
      <c r="B40" t="s">
        <v>134</v>
      </c>
      <c r="C40" t="s">
        <v>135</v>
      </c>
      <c r="D40" t="s">
        <v>136</v>
      </c>
      <c r="E40" t="s">
        <v>137</v>
      </c>
      <c r="G40">
        <v>342.00198399999999</v>
      </c>
      <c r="H40">
        <v>344.85076900000001</v>
      </c>
      <c r="I40">
        <v>346.96423299999998</v>
      </c>
      <c r="J40">
        <v>348.437408</v>
      </c>
      <c r="K40">
        <v>349.87805200000003</v>
      </c>
      <c r="L40">
        <v>351.28118899999998</v>
      </c>
      <c r="M40">
        <v>352.64178500000003</v>
      </c>
      <c r="N40">
        <v>353.95739700000001</v>
      </c>
      <c r="O40">
        <v>355.23046900000003</v>
      </c>
      <c r="P40">
        <v>356.458527</v>
      </c>
      <c r="Q40">
        <v>357.63406400000002</v>
      </c>
      <c r="R40">
        <v>358.73593099999999</v>
      </c>
      <c r="S40">
        <v>359.77282700000001</v>
      </c>
      <c r="T40">
        <v>360.75125100000002</v>
      </c>
      <c r="U40">
        <v>361.67263800000001</v>
      </c>
      <c r="V40">
        <v>362.53564499999999</v>
      </c>
      <c r="W40">
        <v>363.34353599999997</v>
      </c>
      <c r="X40">
        <v>364.09573399999999</v>
      </c>
      <c r="Y40">
        <v>364.79132099999998</v>
      </c>
      <c r="Z40">
        <v>365.436127</v>
      </c>
      <c r="AA40">
        <v>366.03445399999998</v>
      </c>
      <c r="AB40">
        <v>366.59066799999999</v>
      </c>
      <c r="AC40">
        <v>367.10647599999999</v>
      </c>
      <c r="AD40">
        <v>367.58792099999999</v>
      </c>
      <c r="AE40">
        <v>368.03945900000002</v>
      </c>
      <c r="AF40">
        <v>368.46582000000001</v>
      </c>
      <c r="AG40">
        <v>368.87057499999997</v>
      </c>
      <c r="AH40" s="13">
        <v>3.0000000000000001E-3</v>
      </c>
    </row>
    <row r="41" spans="1:35" x14ac:dyDescent="0.25">
      <c r="A41" t="s">
        <v>133</v>
      </c>
      <c r="B41" t="s">
        <v>138</v>
      </c>
      <c r="C41" t="s">
        <v>139</v>
      </c>
      <c r="D41" t="s">
        <v>140</v>
      </c>
      <c r="E41" t="s">
        <v>137</v>
      </c>
      <c r="G41">
        <v>277.99807700000002</v>
      </c>
      <c r="H41">
        <v>280.90438799999998</v>
      </c>
      <c r="I41">
        <v>283.17041</v>
      </c>
      <c r="J41">
        <v>284.87118500000003</v>
      </c>
      <c r="K41">
        <v>286.50192299999998</v>
      </c>
      <c r="L41">
        <v>288.10513300000002</v>
      </c>
      <c r="M41">
        <v>289.69085699999999</v>
      </c>
      <c r="N41">
        <v>291.249054</v>
      </c>
      <c r="O41">
        <v>292.72473100000002</v>
      </c>
      <c r="P41">
        <v>294.080353</v>
      </c>
      <c r="Q41">
        <v>295.31839000000002</v>
      </c>
      <c r="R41">
        <v>296.44641100000001</v>
      </c>
      <c r="S41">
        <v>297.47686800000002</v>
      </c>
      <c r="T41">
        <v>298.40228300000001</v>
      </c>
      <c r="U41">
        <v>299.38275099999998</v>
      </c>
      <c r="V41">
        <v>300.31817599999999</v>
      </c>
      <c r="W41">
        <v>301.21105999999997</v>
      </c>
      <c r="X41">
        <v>302.063965</v>
      </c>
      <c r="Y41">
        <v>302.88681000000003</v>
      </c>
      <c r="Z41">
        <v>303.67718500000001</v>
      </c>
      <c r="AA41">
        <v>304.44003300000003</v>
      </c>
      <c r="AB41">
        <v>305.17785600000002</v>
      </c>
      <c r="AC41">
        <v>305.89819299999999</v>
      </c>
      <c r="AD41">
        <v>306.60101300000002</v>
      </c>
      <c r="AE41">
        <v>307.29382299999997</v>
      </c>
      <c r="AF41">
        <v>307.96661399999999</v>
      </c>
      <c r="AG41">
        <v>308.62692299999998</v>
      </c>
      <c r="AH41" s="13">
        <v>4.0000000000000001E-3</v>
      </c>
    </row>
    <row r="42" spans="1:35" x14ac:dyDescent="0.25">
      <c r="A42" t="s">
        <v>133</v>
      </c>
      <c r="B42" t="s">
        <v>141</v>
      </c>
      <c r="C42" t="s">
        <v>142</v>
      </c>
      <c r="D42" t="s">
        <v>143</v>
      </c>
      <c r="E42" t="s">
        <v>137</v>
      </c>
      <c r="G42">
        <v>61.577815999999999</v>
      </c>
      <c r="H42">
        <v>63.338611999999998</v>
      </c>
      <c r="I42">
        <v>65.071892000000005</v>
      </c>
      <c r="J42">
        <v>66.737647999999993</v>
      </c>
      <c r="K42">
        <v>68.305854999999994</v>
      </c>
      <c r="L42">
        <v>69.771514999999994</v>
      </c>
      <c r="M42">
        <v>71.052093999999997</v>
      </c>
      <c r="N42">
        <v>72.125084000000001</v>
      </c>
      <c r="O42">
        <v>73.070510999999996</v>
      </c>
      <c r="P42">
        <v>73.940903000000006</v>
      </c>
      <c r="Q42">
        <v>74.821297000000001</v>
      </c>
      <c r="R42">
        <v>75.754219000000006</v>
      </c>
      <c r="S42">
        <v>76.622107999999997</v>
      </c>
      <c r="T42">
        <v>77.209877000000006</v>
      </c>
      <c r="U42">
        <v>77.577545000000001</v>
      </c>
      <c r="V42">
        <v>77.862671000000006</v>
      </c>
      <c r="W42">
        <v>78.140297000000004</v>
      </c>
      <c r="X42">
        <v>78.365402000000003</v>
      </c>
      <c r="Y42">
        <v>78.663032999999999</v>
      </c>
      <c r="Z42">
        <v>78.975677000000005</v>
      </c>
      <c r="AA42">
        <v>79.355850000000004</v>
      </c>
      <c r="AB42">
        <v>79.833564999999993</v>
      </c>
      <c r="AC42">
        <v>80.308777000000006</v>
      </c>
      <c r="AD42">
        <v>80.819007999999997</v>
      </c>
      <c r="AE42">
        <v>81.304230000000004</v>
      </c>
      <c r="AF42">
        <v>81.759429999999995</v>
      </c>
      <c r="AG42">
        <v>82.294678000000005</v>
      </c>
      <c r="AH42" s="13">
        <v>1.0999999999999999E-2</v>
      </c>
    </row>
    <row r="43" spans="1:35" x14ac:dyDescent="0.25">
      <c r="A43" t="s">
        <v>144</v>
      </c>
      <c r="B43" t="s">
        <v>145</v>
      </c>
      <c r="C43" t="s">
        <v>146</v>
      </c>
      <c r="D43" t="s">
        <v>147</v>
      </c>
      <c r="E43" t="s">
        <v>137</v>
      </c>
      <c r="G43">
        <v>159.54521199999999</v>
      </c>
      <c r="H43">
        <v>160.89846800000001</v>
      </c>
      <c r="I43">
        <v>161.43066400000001</v>
      </c>
      <c r="J43">
        <v>161.697113</v>
      </c>
      <c r="K43">
        <v>161.99790999999999</v>
      </c>
      <c r="L43">
        <v>162.53140300000001</v>
      </c>
      <c r="M43">
        <v>163.241547</v>
      </c>
      <c r="N43">
        <v>163.92671200000001</v>
      </c>
      <c r="O43">
        <v>164.54892000000001</v>
      </c>
      <c r="P43">
        <v>164.98477199999999</v>
      </c>
      <c r="Q43">
        <v>165.29776000000001</v>
      </c>
      <c r="R43">
        <v>165.56591800000001</v>
      </c>
      <c r="S43">
        <v>166.08338900000001</v>
      </c>
      <c r="T43">
        <v>166.79139699999999</v>
      </c>
      <c r="U43">
        <v>167.53140300000001</v>
      </c>
      <c r="V43">
        <v>168.18656899999999</v>
      </c>
      <c r="W43">
        <v>169.00384500000001</v>
      </c>
      <c r="X43">
        <v>169.658646</v>
      </c>
      <c r="Y43">
        <v>170.29731799999999</v>
      </c>
      <c r="Z43">
        <v>170.74044799999999</v>
      </c>
      <c r="AA43">
        <v>171.20611600000001</v>
      </c>
      <c r="AB43">
        <v>171.654968</v>
      </c>
      <c r="AC43">
        <v>172.127533</v>
      </c>
      <c r="AD43">
        <v>172.64163199999999</v>
      </c>
      <c r="AE43">
        <v>173.163284</v>
      </c>
      <c r="AF43">
        <v>173.71743799999999</v>
      </c>
      <c r="AG43">
        <v>174.28782699999999</v>
      </c>
      <c r="AH43" s="13">
        <v>3.0000000000000001E-3</v>
      </c>
    </row>
    <row r="44" spans="1:35" x14ac:dyDescent="0.25">
      <c r="A44" t="s">
        <v>144</v>
      </c>
      <c r="B44" t="s">
        <v>148</v>
      </c>
      <c r="C44" t="s">
        <v>149</v>
      </c>
      <c r="D44" t="s">
        <v>150</v>
      </c>
      <c r="E44" t="s">
        <v>137</v>
      </c>
      <c r="G44">
        <v>12.946291</v>
      </c>
      <c r="H44">
        <v>12.607818</v>
      </c>
      <c r="I44">
        <v>12.266394999999999</v>
      </c>
      <c r="J44">
        <v>12.145358999999999</v>
      </c>
      <c r="K44">
        <v>11.975657</v>
      </c>
      <c r="L44">
        <v>11.855324</v>
      </c>
      <c r="M44">
        <v>11.823164</v>
      </c>
      <c r="N44">
        <v>11.811355000000001</v>
      </c>
      <c r="O44">
        <v>11.753557000000001</v>
      </c>
      <c r="P44">
        <v>11.639316000000001</v>
      </c>
      <c r="Q44">
        <v>11.500506</v>
      </c>
      <c r="R44">
        <v>11.483269</v>
      </c>
      <c r="S44">
        <v>11.548651</v>
      </c>
      <c r="T44">
        <v>11.638992</v>
      </c>
      <c r="U44">
        <v>11.723704</v>
      </c>
      <c r="V44">
        <v>11.786910000000001</v>
      </c>
      <c r="W44">
        <v>11.825393999999999</v>
      </c>
      <c r="X44">
        <v>11.847021</v>
      </c>
      <c r="Y44">
        <v>11.844115</v>
      </c>
      <c r="Z44">
        <v>11.812518000000001</v>
      </c>
      <c r="AA44">
        <v>11.792035</v>
      </c>
      <c r="AB44">
        <v>11.817151000000001</v>
      </c>
      <c r="AC44">
        <v>11.839629</v>
      </c>
      <c r="AD44">
        <v>11.86697</v>
      </c>
      <c r="AE44">
        <v>11.895567</v>
      </c>
      <c r="AF44">
        <v>11.917655999999999</v>
      </c>
      <c r="AG44">
        <v>11.917175</v>
      </c>
      <c r="AH44" s="13">
        <v>-3.0000000000000001E-3</v>
      </c>
    </row>
    <row r="45" spans="1:35" x14ac:dyDescent="0.25">
      <c r="A45" t="s">
        <v>151</v>
      </c>
    </row>
    <row r="46" spans="1:35" x14ac:dyDescent="0.25">
      <c r="A46" t="s">
        <v>152</v>
      </c>
      <c r="B46" t="s">
        <v>153</v>
      </c>
      <c r="C46" t="s">
        <v>154</v>
      </c>
      <c r="D46" t="s">
        <v>137</v>
      </c>
      <c r="F46">
        <v>168.244507</v>
      </c>
      <c r="G46">
        <v>169.61247299999999</v>
      </c>
      <c r="H46">
        <v>170.370926</v>
      </c>
      <c r="I46">
        <v>170.93872099999999</v>
      </c>
      <c r="J46">
        <v>171.43718000000001</v>
      </c>
      <c r="K46">
        <v>171.976822</v>
      </c>
      <c r="L46">
        <v>172.528076</v>
      </c>
      <c r="M46">
        <v>172.99882500000001</v>
      </c>
      <c r="N46">
        <v>173.50010700000001</v>
      </c>
      <c r="O46">
        <v>173.97044399999999</v>
      </c>
      <c r="P46">
        <v>174.39047199999999</v>
      </c>
      <c r="Q46">
        <v>174.836533</v>
      </c>
      <c r="R46">
        <v>175.40377799999999</v>
      </c>
      <c r="S46">
        <v>176.1875</v>
      </c>
      <c r="T46">
        <v>177.08592200000001</v>
      </c>
      <c r="U46">
        <v>177.926468</v>
      </c>
      <c r="V46">
        <v>178.68949900000001</v>
      </c>
      <c r="W46">
        <v>179.39688100000001</v>
      </c>
      <c r="X46">
        <v>179.99130199999999</v>
      </c>
      <c r="Y46">
        <v>180.49859599999999</v>
      </c>
      <c r="Z46">
        <v>180.95825199999999</v>
      </c>
      <c r="AA46">
        <v>181.417801</v>
      </c>
      <c r="AB46">
        <v>181.86991900000001</v>
      </c>
      <c r="AC46">
        <v>182.33622700000001</v>
      </c>
      <c r="AD46">
        <v>182.85797099999999</v>
      </c>
      <c r="AE46">
        <v>183.42129499999999</v>
      </c>
      <c r="AF46">
        <v>183.963303</v>
      </c>
      <c r="AG46" s="13">
        <v>3.0000000000000001E-3</v>
      </c>
    </row>
    <row r="47" spans="1:35" x14ac:dyDescent="0.25">
      <c r="A47" t="s">
        <v>155</v>
      </c>
      <c r="B47" t="s">
        <v>156</v>
      </c>
      <c r="C47" t="s">
        <v>157</v>
      </c>
      <c r="D47" t="s">
        <v>158</v>
      </c>
      <c r="F47">
        <v>1.200237</v>
      </c>
      <c r="G47">
        <v>1.2221420000000001</v>
      </c>
      <c r="H47">
        <v>1.2499739999999999</v>
      </c>
      <c r="I47">
        <v>1.2750520000000001</v>
      </c>
      <c r="J47">
        <v>1.2965279999999999</v>
      </c>
      <c r="K47">
        <v>1.3171600000000001</v>
      </c>
      <c r="L47">
        <v>1.335774</v>
      </c>
      <c r="M47">
        <v>1.353707</v>
      </c>
      <c r="N47">
        <v>1.3744730000000001</v>
      </c>
      <c r="O47">
        <v>1.396873</v>
      </c>
      <c r="P47">
        <v>1.4208719999999999</v>
      </c>
      <c r="Q47">
        <v>1.445487</v>
      </c>
      <c r="R47">
        <v>1.469641</v>
      </c>
      <c r="S47">
        <v>1.4949570000000001</v>
      </c>
      <c r="T47">
        <v>1.52258</v>
      </c>
      <c r="U47">
        <v>1.5537099999999999</v>
      </c>
      <c r="V47">
        <v>1.5864050000000001</v>
      </c>
      <c r="W47">
        <v>1.621016</v>
      </c>
      <c r="X47">
        <v>1.6581669999999999</v>
      </c>
      <c r="Y47">
        <v>1.6965870000000001</v>
      </c>
      <c r="Z47">
        <v>1.735201</v>
      </c>
      <c r="AA47">
        <v>1.773522</v>
      </c>
      <c r="AB47">
        <v>1.8128439999999999</v>
      </c>
      <c r="AC47">
        <v>1.852177</v>
      </c>
      <c r="AD47">
        <v>1.8924609999999999</v>
      </c>
      <c r="AE47">
        <v>1.9334450000000001</v>
      </c>
      <c r="AF47">
        <v>1.975163</v>
      </c>
      <c r="AG47" s="13">
        <v>1.9E-2</v>
      </c>
    </row>
    <row r="48" spans="1:35" x14ac:dyDescent="0.25">
      <c r="A48" t="s">
        <v>159</v>
      </c>
      <c r="B48" t="s">
        <v>160</v>
      </c>
      <c r="C48" t="s">
        <v>161</v>
      </c>
      <c r="D48" t="s">
        <v>162</v>
      </c>
      <c r="F48">
        <v>4.027698</v>
      </c>
      <c r="G48">
        <v>4.3234389999999996</v>
      </c>
      <c r="H48">
        <v>4.4824020000000004</v>
      </c>
      <c r="I48">
        <v>4.5178050000000001</v>
      </c>
      <c r="J48">
        <v>4.4896529999999997</v>
      </c>
      <c r="K48">
        <v>4.3921130000000002</v>
      </c>
      <c r="L48">
        <v>4.2577109999999996</v>
      </c>
      <c r="M48">
        <v>4.1460800000000004</v>
      </c>
      <c r="N48">
        <v>4.0749360000000001</v>
      </c>
      <c r="O48">
        <v>4.0667340000000003</v>
      </c>
      <c r="P48">
        <v>4.0972730000000004</v>
      </c>
      <c r="Q48">
        <v>4.0881470000000002</v>
      </c>
      <c r="R48">
        <v>4.0768959999999996</v>
      </c>
      <c r="S48">
        <v>4.0943290000000001</v>
      </c>
      <c r="T48">
        <v>4.1547429999999999</v>
      </c>
      <c r="U48">
        <v>4.2350209999999997</v>
      </c>
      <c r="V48">
        <v>4.2689370000000002</v>
      </c>
      <c r="W48">
        <v>4.296646</v>
      </c>
      <c r="X48">
        <v>4.2949960000000003</v>
      </c>
      <c r="Y48">
        <v>4.2819649999999996</v>
      </c>
      <c r="Z48">
        <v>4.2713929999999998</v>
      </c>
      <c r="AA48">
        <v>4.2865690000000001</v>
      </c>
      <c r="AB48">
        <v>4.2942280000000004</v>
      </c>
      <c r="AC48">
        <v>4.2851749999999997</v>
      </c>
      <c r="AD48">
        <v>4.276694</v>
      </c>
      <c r="AE48">
        <v>4.269107</v>
      </c>
      <c r="AF48">
        <v>4.278886</v>
      </c>
      <c r="AG48" s="13">
        <v>2E-3</v>
      </c>
    </row>
    <row r="49" spans="1:33" x14ac:dyDescent="0.25">
      <c r="A49" t="s">
        <v>163</v>
      </c>
    </row>
    <row r="50" spans="1:33" x14ac:dyDescent="0.25">
      <c r="A50" t="s">
        <v>164</v>
      </c>
      <c r="B50" t="s">
        <v>165</v>
      </c>
      <c r="C50" t="s">
        <v>166</v>
      </c>
      <c r="D50" t="s">
        <v>42</v>
      </c>
      <c r="F50">
        <v>16628.990234000001</v>
      </c>
      <c r="G50">
        <v>17088.570312</v>
      </c>
      <c r="H50">
        <v>17659.257812</v>
      </c>
      <c r="I50">
        <v>18160.914062</v>
      </c>
      <c r="J50">
        <v>18622.626952999999</v>
      </c>
      <c r="K50">
        <v>19065.867188</v>
      </c>
      <c r="L50">
        <v>19500.0625</v>
      </c>
      <c r="M50">
        <v>19916.849609000001</v>
      </c>
      <c r="N50">
        <v>20345.167968999998</v>
      </c>
      <c r="O50">
        <v>20778.535156000002</v>
      </c>
      <c r="P50">
        <v>21232.025390999999</v>
      </c>
      <c r="Q50">
        <v>21663.232422000001</v>
      </c>
      <c r="R50">
        <v>22105.75</v>
      </c>
      <c r="S50">
        <v>22560.574218999998</v>
      </c>
      <c r="T50">
        <v>23022.482422000001</v>
      </c>
      <c r="U50">
        <v>23508.675781000002</v>
      </c>
      <c r="V50">
        <v>24013.269531000002</v>
      </c>
      <c r="W50">
        <v>24495.851562</v>
      </c>
      <c r="X50">
        <v>25000.126952999999</v>
      </c>
      <c r="Y50">
        <v>25509.75</v>
      </c>
      <c r="Z50">
        <v>26027.070312</v>
      </c>
      <c r="AA50">
        <v>26546.287109000001</v>
      </c>
      <c r="AB50">
        <v>27081.972656000002</v>
      </c>
      <c r="AC50">
        <v>27627.421875</v>
      </c>
      <c r="AD50">
        <v>28177.890625</v>
      </c>
      <c r="AE50">
        <v>28739.75</v>
      </c>
      <c r="AF50">
        <v>29311.912109000001</v>
      </c>
      <c r="AG50" s="13">
        <v>2.1999999999999999E-2</v>
      </c>
    </row>
    <row r="51" spans="1:33" x14ac:dyDescent="0.25">
      <c r="A51" t="s">
        <v>167</v>
      </c>
      <c r="B51" t="s">
        <v>168</v>
      </c>
      <c r="C51" t="s">
        <v>169</v>
      </c>
      <c r="D51" t="s">
        <v>137</v>
      </c>
      <c r="F51">
        <v>1.4524600000000001</v>
      </c>
      <c r="G51">
        <v>1.485654</v>
      </c>
      <c r="H51">
        <v>1.5696749999999999</v>
      </c>
      <c r="I51">
        <v>1.5868390000000001</v>
      </c>
      <c r="J51">
        <v>1.5930960000000001</v>
      </c>
      <c r="K51">
        <v>1.6307100000000001</v>
      </c>
      <c r="L51">
        <v>1.630992</v>
      </c>
      <c r="M51">
        <v>1.6331310000000001</v>
      </c>
      <c r="N51">
        <v>1.6178619999999999</v>
      </c>
      <c r="O51">
        <v>1.565299</v>
      </c>
      <c r="P51">
        <v>1.500715</v>
      </c>
      <c r="Q51">
        <v>1.478613</v>
      </c>
      <c r="R51">
        <v>1.4490959999999999</v>
      </c>
      <c r="S51">
        <v>1.392733</v>
      </c>
      <c r="T51">
        <v>1.3415280000000001</v>
      </c>
      <c r="U51">
        <v>1.285423</v>
      </c>
      <c r="V51">
        <v>1.2426429999999999</v>
      </c>
      <c r="W51">
        <v>1.1913050000000001</v>
      </c>
      <c r="X51">
        <v>1.153365</v>
      </c>
      <c r="Y51">
        <v>1.113051</v>
      </c>
      <c r="Z51">
        <v>1.094303</v>
      </c>
      <c r="AA51">
        <v>1.0945009999999999</v>
      </c>
      <c r="AB51">
        <v>1.0915790000000001</v>
      </c>
      <c r="AC51">
        <v>1.0903320000000001</v>
      </c>
      <c r="AD51">
        <v>1.089172</v>
      </c>
      <c r="AE51">
        <v>1.089164</v>
      </c>
      <c r="AF51">
        <v>1.0858350000000001</v>
      </c>
      <c r="AG51" s="13">
        <v>-1.0999999999999999E-2</v>
      </c>
    </row>
    <row r="52" spans="1:33" x14ac:dyDescent="0.25">
      <c r="A52" t="s">
        <v>170</v>
      </c>
      <c r="B52" t="s">
        <v>171</v>
      </c>
      <c r="C52" t="s">
        <v>172</v>
      </c>
      <c r="D52" t="s">
        <v>173</v>
      </c>
      <c r="F52">
        <v>103.371872</v>
      </c>
      <c r="G52">
        <v>104.52195</v>
      </c>
      <c r="H52">
        <v>105.93501999999999</v>
      </c>
      <c r="I52">
        <v>107.51918000000001</v>
      </c>
      <c r="J52">
        <v>109.194839</v>
      </c>
      <c r="K52">
        <v>110.865685</v>
      </c>
      <c r="L52">
        <v>112.493584</v>
      </c>
      <c r="M52">
        <v>114.092934</v>
      </c>
      <c r="N52">
        <v>115.698303</v>
      </c>
      <c r="O52">
        <v>117.31967899999999</v>
      </c>
      <c r="P52">
        <v>118.94864699999999</v>
      </c>
      <c r="Q52">
        <v>120.570572</v>
      </c>
      <c r="R52">
        <v>122.16892199999999</v>
      </c>
      <c r="S52">
        <v>123.73555</v>
      </c>
      <c r="T52">
        <v>125.27293400000001</v>
      </c>
      <c r="U52">
        <v>126.786034</v>
      </c>
      <c r="V52">
        <v>128.28021200000001</v>
      </c>
      <c r="W52">
        <v>129.76083399999999</v>
      </c>
      <c r="X52">
        <v>131.231323</v>
      </c>
      <c r="Y52">
        <v>132.69490099999999</v>
      </c>
      <c r="Z52">
        <v>134.15536499999999</v>
      </c>
      <c r="AA52">
        <v>135.616333</v>
      </c>
      <c r="AB52">
        <v>137.08107000000001</v>
      </c>
      <c r="AC52">
        <v>138.55230700000001</v>
      </c>
      <c r="AD52">
        <v>140.03160099999999</v>
      </c>
      <c r="AE52">
        <v>141.51960800000001</v>
      </c>
      <c r="AF52">
        <v>143.01623499999999</v>
      </c>
      <c r="AG52" s="13">
        <v>1.2999999999999999E-2</v>
      </c>
    </row>
    <row r="53" spans="1:33" x14ac:dyDescent="0.25">
      <c r="A53" t="s">
        <v>174</v>
      </c>
      <c r="B53" t="s">
        <v>175</v>
      </c>
      <c r="C53" t="s">
        <v>176</v>
      </c>
      <c r="D53" t="s">
        <v>137</v>
      </c>
      <c r="F53">
        <v>15.735111</v>
      </c>
      <c r="G53">
        <v>16.256453</v>
      </c>
      <c r="H53">
        <v>16.903842999999998</v>
      </c>
      <c r="I53">
        <v>17.003399000000002</v>
      </c>
      <c r="J53">
        <v>16.499796</v>
      </c>
      <c r="K53">
        <v>16.222467000000002</v>
      </c>
      <c r="L53">
        <v>16.024592999999999</v>
      </c>
      <c r="M53">
        <v>15.67191</v>
      </c>
      <c r="N53">
        <v>15.482900000000001</v>
      </c>
      <c r="O53">
        <v>15.518478999999999</v>
      </c>
      <c r="P53">
        <v>15.631788</v>
      </c>
      <c r="Q53">
        <v>15.618696999999999</v>
      </c>
      <c r="R53">
        <v>15.587206</v>
      </c>
      <c r="S53">
        <v>15.601235000000001</v>
      </c>
      <c r="T53">
        <v>15.641641999999999</v>
      </c>
      <c r="U53">
        <v>15.727674</v>
      </c>
      <c r="V53">
        <v>15.74424</v>
      </c>
      <c r="W53">
        <v>15.652267</v>
      </c>
      <c r="X53">
        <v>15.621376</v>
      </c>
      <c r="Y53">
        <v>15.562071</v>
      </c>
      <c r="Z53">
        <v>15.513393000000001</v>
      </c>
      <c r="AA53">
        <v>15.461762999999999</v>
      </c>
      <c r="AB53">
        <v>15.408041000000001</v>
      </c>
      <c r="AC53">
        <v>15.295394</v>
      </c>
      <c r="AD53">
        <v>15.206058000000001</v>
      </c>
      <c r="AE53">
        <v>15.107029000000001</v>
      </c>
      <c r="AF53">
        <v>14.964993</v>
      </c>
      <c r="AG53" s="13">
        <v>-2E-3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53"/>
  <sheetViews>
    <sheetView workbookViewId="0">
      <selection activeCell="E6" sqref="E6"/>
    </sheetView>
  </sheetViews>
  <sheetFormatPr defaultRowHeight="15" x14ac:dyDescent="0.25"/>
  <cols>
    <col min="1" max="1" width="37.140625" customWidth="1"/>
    <col min="3" max="3" width="101.42578125" bestFit="1" customWidth="1"/>
  </cols>
  <sheetData>
    <row r="1" spans="1:31" x14ac:dyDescent="0.25">
      <c r="A1" t="s">
        <v>31</v>
      </c>
    </row>
    <row r="2" spans="1:31" x14ac:dyDescent="0.25">
      <c r="A2" t="s">
        <v>177</v>
      </c>
    </row>
    <row r="3" spans="1:31" x14ac:dyDescent="0.25">
      <c r="A3" t="s">
        <v>178</v>
      </c>
    </row>
    <row r="4" spans="1:31" x14ac:dyDescent="0.25">
      <c r="A4" t="s">
        <v>34</v>
      </c>
    </row>
    <row r="5" spans="1:31" x14ac:dyDescent="0.25">
      <c r="B5" t="s">
        <v>35</v>
      </c>
      <c r="C5" t="s">
        <v>36</v>
      </c>
      <c r="D5" t="s">
        <v>37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179</v>
      </c>
    </row>
    <row r="6" spans="1:31" x14ac:dyDescent="0.25">
      <c r="A6" t="s">
        <v>39</v>
      </c>
      <c r="B6" t="s">
        <v>180</v>
      </c>
      <c r="C6" t="s">
        <v>181</v>
      </c>
      <c r="D6" t="s">
        <v>42</v>
      </c>
      <c r="E6">
        <v>22086.083984000001</v>
      </c>
      <c r="F6">
        <v>22669.974609000001</v>
      </c>
      <c r="G6">
        <v>23095.640625</v>
      </c>
      <c r="H6">
        <v>23390.617188</v>
      </c>
      <c r="I6">
        <v>23750.759765999999</v>
      </c>
      <c r="J6">
        <v>24166.652343999998</v>
      </c>
      <c r="K6">
        <v>24572.644531000002</v>
      </c>
      <c r="L6">
        <v>25034.144531000002</v>
      </c>
      <c r="M6">
        <v>25522.300781000002</v>
      </c>
      <c r="N6">
        <v>26041.154297000001</v>
      </c>
      <c r="O6">
        <v>26595.578125</v>
      </c>
      <c r="P6">
        <v>27063.660156000002</v>
      </c>
      <c r="Q6">
        <v>27531.339843999998</v>
      </c>
      <c r="R6">
        <v>28000.277343999998</v>
      </c>
      <c r="S6">
        <v>28461.050781000002</v>
      </c>
      <c r="T6">
        <v>28925.544922000001</v>
      </c>
      <c r="U6">
        <v>29375.912109000001</v>
      </c>
      <c r="V6">
        <v>29841.964843999998</v>
      </c>
      <c r="W6">
        <v>30321.671875</v>
      </c>
      <c r="X6">
        <v>30806.214843999998</v>
      </c>
      <c r="Y6">
        <v>31294.171875</v>
      </c>
      <c r="Z6">
        <v>31769.9375</v>
      </c>
      <c r="AA6">
        <v>32226.466797000001</v>
      </c>
      <c r="AB6">
        <v>32681.023438</v>
      </c>
      <c r="AC6">
        <v>33125.082030999998</v>
      </c>
      <c r="AD6">
        <v>33582.949219000002</v>
      </c>
      <c r="AE6" s="13">
        <v>1.7000000000000001E-2</v>
      </c>
    </row>
    <row r="7" spans="1:31" x14ac:dyDescent="0.25">
      <c r="A7" t="s">
        <v>43</v>
      </c>
    </row>
    <row r="8" spans="1:31" x14ac:dyDescent="0.25">
      <c r="A8" t="s">
        <v>44</v>
      </c>
      <c r="B8" t="s">
        <v>182</v>
      </c>
      <c r="C8" t="s">
        <v>183</v>
      </c>
      <c r="D8" t="s">
        <v>42</v>
      </c>
      <c r="E8">
        <v>15470.457031</v>
      </c>
      <c r="F8">
        <v>15745.257812</v>
      </c>
      <c r="G8">
        <v>16077.065430000001</v>
      </c>
      <c r="H8">
        <v>16443.414062</v>
      </c>
      <c r="I8">
        <v>16808.171875</v>
      </c>
      <c r="J8">
        <v>17210.960938</v>
      </c>
      <c r="K8">
        <v>17613.142577999999</v>
      </c>
      <c r="L8">
        <v>18045.730468999998</v>
      </c>
      <c r="M8">
        <v>18508.070312</v>
      </c>
      <c r="N8">
        <v>18995.169922000001</v>
      </c>
      <c r="O8">
        <v>19504.886718999998</v>
      </c>
      <c r="P8">
        <v>19969.222656000002</v>
      </c>
      <c r="Q8">
        <v>20418.203125</v>
      </c>
      <c r="R8">
        <v>20862.244140999999</v>
      </c>
      <c r="S8">
        <v>21285.115234000001</v>
      </c>
      <c r="T8">
        <v>21701.123047000001</v>
      </c>
      <c r="U8">
        <v>22115.761718999998</v>
      </c>
      <c r="V8">
        <v>22530.050781000002</v>
      </c>
      <c r="W8">
        <v>22959.675781000002</v>
      </c>
      <c r="X8">
        <v>23398.494140999999</v>
      </c>
      <c r="Y8">
        <v>23833.767577999999</v>
      </c>
      <c r="Z8">
        <v>24265.730468999998</v>
      </c>
      <c r="AA8">
        <v>24688.705077999999</v>
      </c>
      <c r="AB8">
        <v>25114.117188</v>
      </c>
      <c r="AC8">
        <v>25538.404297000001</v>
      </c>
      <c r="AD8">
        <v>25973.339843999998</v>
      </c>
      <c r="AE8" s="13">
        <v>2.1000000000000001E-2</v>
      </c>
    </row>
    <row r="9" spans="1:31" x14ac:dyDescent="0.25">
      <c r="A9" t="s">
        <v>47</v>
      </c>
      <c r="B9" t="s">
        <v>184</v>
      </c>
      <c r="C9" t="s">
        <v>185</v>
      </c>
      <c r="D9" t="s">
        <v>42</v>
      </c>
      <c r="E9">
        <v>3563.6354980000001</v>
      </c>
      <c r="F9">
        <v>3578.648682</v>
      </c>
      <c r="G9">
        <v>3636.2075199999999</v>
      </c>
      <c r="H9">
        <v>3675.7741700000001</v>
      </c>
      <c r="I9">
        <v>3739.963135</v>
      </c>
      <c r="J9">
        <v>3828.876221</v>
      </c>
      <c r="K9">
        <v>3932.9365229999999</v>
      </c>
      <c r="L9">
        <v>4064.6870119999999</v>
      </c>
      <c r="M9">
        <v>4220.5517579999996</v>
      </c>
      <c r="N9">
        <v>4389.6118159999996</v>
      </c>
      <c r="O9">
        <v>4577.15625</v>
      </c>
      <c r="P9">
        <v>4708.2509769999997</v>
      </c>
      <c r="Q9">
        <v>4803.7773440000001</v>
      </c>
      <c r="R9">
        <v>4906.7871089999999</v>
      </c>
      <c r="S9">
        <v>5008.8701170000004</v>
      </c>
      <c r="T9">
        <v>5115.3515619999998</v>
      </c>
      <c r="U9">
        <v>5224.2739259999998</v>
      </c>
      <c r="V9">
        <v>5330.0991210000002</v>
      </c>
      <c r="W9">
        <v>5439.5434569999998</v>
      </c>
      <c r="X9">
        <v>5548.8520509999998</v>
      </c>
      <c r="Y9">
        <v>5656.4873049999997</v>
      </c>
      <c r="Z9">
        <v>5759.685547</v>
      </c>
      <c r="AA9">
        <v>5856.4038090000004</v>
      </c>
      <c r="AB9">
        <v>5955.8071289999998</v>
      </c>
      <c r="AC9">
        <v>6052.5615230000003</v>
      </c>
      <c r="AD9">
        <v>6153.7348629999997</v>
      </c>
      <c r="AE9" s="13">
        <v>2.1999999999999999E-2</v>
      </c>
    </row>
    <row r="10" spans="1:31" x14ac:dyDescent="0.25">
      <c r="A10" t="s">
        <v>50</v>
      </c>
      <c r="B10" t="s">
        <v>186</v>
      </c>
      <c r="C10" t="s">
        <v>187</v>
      </c>
      <c r="D10" t="s">
        <v>42</v>
      </c>
      <c r="E10">
        <v>3737.1342770000001</v>
      </c>
      <c r="F10">
        <v>3772.5563959999999</v>
      </c>
      <c r="G10">
        <v>3775.8491210000002</v>
      </c>
      <c r="H10">
        <v>3765.763672</v>
      </c>
      <c r="I10">
        <v>3760.9731449999999</v>
      </c>
      <c r="J10">
        <v>3758.6948240000002</v>
      </c>
      <c r="K10">
        <v>3745.5551759999998</v>
      </c>
      <c r="L10">
        <v>3742.2780760000001</v>
      </c>
      <c r="M10">
        <v>3740.5402829999998</v>
      </c>
      <c r="N10">
        <v>3740.7231449999999</v>
      </c>
      <c r="O10">
        <v>3741.6040039999998</v>
      </c>
      <c r="P10">
        <v>3755.5668949999999</v>
      </c>
      <c r="Q10">
        <v>3777.7124020000001</v>
      </c>
      <c r="R10">
        <v>3798.3129880000001</v>
      </c>
      <c r="S10">
        <v>3816.788818</v>
      </c>
      <c r="T10">
        <v>3839.5361330000001</v>
      </c>
      <c r="U10">
        <v>3850.3596189999998</v>
      </c>
      <c r="V10">
        <v>3869.3964839999999</v>
      </c>
      <c r="W10">
        <v>3887.5898440000001</v>
      </c>
      <c r="X10">
        <v>3907.6989749999998</v>
      </c>
      <c r="Y10">
        <v>3928.4328609999998</v>
      </c>
      <c r="Z10">
        <v>3946.7456050000001</v>
      </c>
      <c r="AA10">
        <v>3963.8059079999998</v>
      </c>
      <c r="AB10">
        <v>3979.4841310000002</v>
      </c>
      <c r="AC10">
        <v>3992.6289059999999</v>
      </c>
      <c r="AD10">
        <v>4010.4638669999999</v>
      </c>
      <c r="AE10" s="13">
        <v>3.0000000000000001E-3</v>
      </c>
    </row>
    <row r="11" spans="1:31" x14ac:dyDescent="0.25">
      <c r="A11" t="s">
        <v>53</v>
      </c>
      <c r="B11" t="s">
        <v>188</v>
      </c>
      <c r="C11" t="s">
        <v>189</v>
      </c>
      <c r="D11" t="s">
        <v>42</v>
      </c>
      <c r="E11">
        <v>2741.9916990000002</v>
      </c>
      <c r="F11">
        <v>2835.4887699999999</v>
      </c>
      <c r="G11">
        <v>2965.720703</v>
      </c>
      <c r="H11">
        <v>3053.7248540000001</v>
      </c>
      <c r="I11">
        <v>3141.3420409999999</v>
      </c>
      <c r="J11">
        <v>3221.047607</v>
      </c>
      <c r="K11">
        <v>3296.9470209999999</v>
      </c>
      <c r="L11">
        <v>3370.631836</v>
      </c>
      <c r="M11">
        <v>3442.1298830000001</v>
      </c>
      <c r="N11">
        <v>3516.7746579999998</v>
      </c>
      <c r="O11">
        <v>3600.7878420000002</v>
      </c>
      <c r="P11">
        <v>3663.3139649999998</v>
      </c>
      <c r="Q11">
        <v>3717.053711</v>
      </c>
      <c r="R11">
        <v>3773.1755370000001</v>
      </c>
      <c r="S11">
        <v>3830.6137699999999</v>
      </c>
      <c r="T11">
        <v>3891.9331050000001</v>
      </c>
      <c r="U11">
        <v>3953.213135</v>
      </c>
      <c r="V11">
        <v>4015.360596</v>
      </c>
      <c r="W11">
        <v>4078.2385250000002</v>
      </c>
      <c r="X11">
        <v>4136.7773440000001</v>
      </c>
      <c r="Y11">
        <v>4201.0942379999997</v>
      </c>
      <c r="Z11">
        <v>4263.4404299999997</v>
      </c>
      <c r="AA11">
        <v>4324.482422</v>
      </c>
      <c r="AB11">
        <v>4377.5756840000004</v>
      </c>
      <c r="AC11">
        <v>4423.9746089999999</v>
      </c>
      <c r="AD11">
        <v>4471.935547</v>
      </c>
      <c r="AE11" s="13">
        <v>0.02</v>
      </c>
    </row>
    <row r="12" spans="1:31" x14ac:dyDescent="0.25">
      <c r="A12" t="s">
        <v>56</v>
      </c>
      <c r="B12" t="s">
        <v>190</v>
      </c>
      <c r="C12" t="s">
        <v>191</v>
      </c>
      <c r="D12" t="s">
        <v>42</v>
      </c>
      <c r="E12">
        <v>4186.7524409999996</v>
      </c>
      <c r="F12">
        <v>4022.1733399999998</v>
      </c>
      <c r="G12">
        <v>4147.2221680000002</v>
      </c>
      <c r="H12">
        <v>4320.2763670000004</v>
      </c>
      <c r="I12">
        <v>4507.0161129999997</v>
      </c>
      <c r="J12">
        <v>4704.029297</v>
      </c>
      <c r="K12">
        <v>4907.7055659999996</v>
      </c>
      <c r="L12">
        <v>5125.8798829999996</v>
      </c>
      <c r="M12">
        <v>5352.9960940000001</v>
      </c>
      <c r="N12">
        <v>5587.9282229999999</v>
      </c>
      <c r="O12">
        <v>5844.6904299999997</v>
      </c>
      <c r="P12">
        <v>6048.5541990000002</v>
      </c>
      <c r="Q12">
        <v>6204.1308589999999</v>
      </c>
      <c r="R12">
        <v>6358.2119140000004</v>
      </c>
      <c r="S12">
        <v>6485.8808589999999</v>
      </c>
      <c r="T12">
        <v>6615.1049800000001</v>
      </c>
      <c r="U12">
        <v>6735.5190430000002</v>
      </c>
      <c r="V12">
        <v>6867.3271480000003</v>
      </c>
      <c r="W12">
        <v>6990.7377930000002</v>
      </c>
      <c r="X12">
        <v>7119.1679690000001</v>
      </c>
      <c r="Y12">
        <v>7268.3828119999998</v>
      </c>
      <c r="Z12">
        <v>7422.4975590000004</v>
      </c>
      <c r="AA12">
        <v>7583.2998049999997</v>
      </c>
      <c r="AB12">
        <v>7741.9418949999999</v>
      </c>
      <c r="AC12">
        <v>7900.013672</v>
      </c>
      <c r="AD12">
        <v>8086.9848629999997</v>
      </c>
      <c r="AE12" s="13">
        <v>2.7E-2</v>
      </c>
    </row>
    <row r="13" spans="1:31" x14ac:dyDescent="0.25">
      <c r="A13" t="s">
        <v>59</v>
      </c>
    </row>
    <row r="14" spans="1:31" x14ac:dyDescent="0.25">
      <c r="A14" t="s">
        <v>60</v>
      </c>
    </row>
    <row r="15" spans="1:31" x14ac:dyDescent="0.25">
      <c r="A15" t="s">
        <v>61</v>
      </c>
      <c r="B15" t="s">
        <v>192</v>
      </c>
      <c r="C15" t="s">
        <v>193</v>
      </c>
      <c r="D15" t="s">
        <v>64</v>
      </c>
      <c r="E15">
        <v>3.439244</v>
      </c>
      <c r="F15">
        <v>3.3509090000000001</v>
      </c>
      <c r="G15">
        <v>3.2941500000000001</v>
      </c>
      <c r="H15">
        <v>3.2559290000000001</v>
      </c>
      <c r="I15">
        <v>3.1960700000000002</v>
      </c>
      <c r="J15">
        <v>3.1393759999999999</v>
      </c>
      <c r="K15">
        <v>3.0822430000000001</v>
      </c>
      <c r="L15">
        <v>3.0264890000000002</v>
      </c>
      <c r="M15">
        <v>2.9679350000000002</v>
      </c>
      <c r="N15">
        <v>2.9160560000000002</v>
      </c>
      <c r="O15">
        <v>2.8609770000000001</v>
      </c>
      <c r="P15">
        <v>2.8160530000000001</v>
      </c>
      <c r="Q15">
        <v>2.7724259999999998</v>
      </c>
      <c r="R15">
        <v>2.7315130000000001</v>
      </c>
      <c r="S15">
        <v>2.694315</v>
      </c>
      <c r="T15">
        <v>2.6598799999999998</v>
      </c>
      <c r="U15">
        <v>2.6273520000000001</v>
      </c>
      <c r="V15">
        <v>2.5955210000000002</v>
      </c>
      <c r="W15">
        <v>2.5641020000000001</v>
      </c>
      <c r="X15">
        <v>2.5327359999999999</v>
      </c>
      <c r="Y15">
        <v>2.5035959999999999</v>
      </c>
      <c r="Z15">
        <v>2.4747859999999999</v>
      </c>
      <c r="AA15">
        <v>2.4508529999999999</v>
      </c>
      <c r="AB15">
        <v>2.4238940000000002</v>
      </c>
      <c r="AC15">
        <v>2.3963230000000002</v>
      </c>
      <c r="AD15">
        <v>2.370422</v>
      </c>
      <c r="AE15" s="13">
        <v>-1.4999999999999999E-2</v>
      </c>
    </row>
    <row r="16" spans="1:31" x14ac:dyDescent="0.25">
      <c r="A16" t="s">
        <v>65</v>
      </c>
      <c r="B16" t="s">
        <v>194</v>
      </c>
      <c r="C16" t="s">
        <v>195</v>
      </c>
      <c r="D16" t="s">
        <v>64</v>
      </c>
      <c r="E16">
        <v>4.314489</v>
      </c>
      <c r="F16">
        <v>4.2182060000000003</v>
      </c>
      <c r="G16">
        <v>4.0781419999999997</v>
      </c>
      <c r="H16">
        <v>4.0030450000000002</v>
      </c>
      <c r="I16">
        <v>3.9204059999999998</v>
      </c>
      <c r="J16">
        <v>3.8419810000000001</v>
      </c>
      <c r="K16">
        <v>3.7541120000000001</v>
      </c>
      <c r="L16">
        <v>3.676647</v>
      </c>
      <c r="M16">
        <v>3.602411</v>
      </c>
      <c r="N16">
        <v>3.5308660000000001</v>
      </c>
      <c r="O16">
        <v>3.4595739999999999</v>
      </c>
      <c r="P16">
        <v>3.401268</v>
      </c>
      <c r="Q16">
        <v>3.3483480000000001</v>
      </c>
      <c r="R16">
        <v>3.2997489999999998</v>
      </c>
      <c r="S16">
        <v>3.2540779999999998</v>
      </c>
      <c r="T16">
        <v>3.209533</v>
      </c>
      <c r="U16">
        <v>3.1673689999999999</v>
      </c>
      <c r="V16">
        <v>3.1284160000000001</v>
      </c>
      <c r="W16">
        <v>3.090411</v>
      </c>
      <c r="X16">
        <v>3.0528569999999999</v>
      </c>
      <c r="Y16">
        <v>3.0179840000000002</v>
      </c>
      <c r="Z16">
        <v>2.9838110000000002</v>
      </c>
      <c r="AA16">
        <v>2.9552369999999999</v>
      </c>
      <c r="AB16">
        <v>2.9234490000000002</v>
      </c>
      <c r="AC16">
        <v>2.8893900000000001</v>
      </c>
      <c r="AD16">
        <v>2.8583159999999999</v>
      </c>
      <c r="AE16" s="13">
        <v>-1.6E-2</v>
      </c>
    </row>
    <row r="17" spans="1:31" x14ac:dyDescent="0.25">
      <c r="A17" t="s">
        <v>68</v>
      </c>
    </row>
    <row r="18" spans="1:31" x14ac:dyDescent="0.25">
      <c r="A18" t="s">
        <v>69</v>
      </c>
      <c r="B18" t="s">
        <v>196</v>
      </c>
      <c r="C18" t="s">
        <v>197</v>
      </c>
      <c r="D18" t="s">
        <v>72</v>
      </c>
      <c r="E18">
        <v>1.383637</v>
      </c>
      <c r="F18">
        <v>1.421667</v>
      </c>
      <c r="G18">
        <v>1.448645</v>
      </c>
      <c r="H18">
        <v>1.478788</v>
      </c>
      <c r="I18">
        <v>1.5091920000000001</v>
      </c>
      <c r="J18">
        <v>1.5406310000000001</v>
      </c>
      <c r="K18">
        <v>1.572918</v>
      </c>
      <c r="L18">
        <v>1.6053249999999999</v>
      </c>
      <c r="M18">
        <v>1.6396440000000001</v>
      </c>
      <c r="N18">
        <v>1.673843</v>
      </c>
      <c r="O18">
        <v>1.709171</v>
      </c>
      <c r="P18">
        <v>1.7443379999999999</v>
      </c>
      <c r="Q18">
        <v>1.778532</v>
      </c>
      <c r="R18">
        <v>1.813455</v>
      </c>
      <c r="S18">
        <v>1.8486560000000001</v>
      </c>
      <c r="T18">
        <v>1.884722</v>
      </c>
      <c r="U18">
        <v>1.920868</v>
      </c>
      <c r="V18">
        <v>1.9570160000000001</v>
      </c>
      <c r="W18">
        <v>1.993336</v>
      </c>
      <c r="X18">
        <v>2.0298289999999999</v>
      </c>
      <c r="Y18">
        <v>2.066643</v>
      </c>
      <c r="Z18">
        <v>2.1040740000000002</v>
      </c>
      <c r="AA18">
        <v>2.1422789999999998</v>
      </c>
      <c r="AB18">
        <v>2.1814900000000002</v>
      </c>
      <c r="AC18">
        <v>2.2210999999999999</v>
      </c>
      <c r="AD18">
        <v>2.260831</v>
      </c>
      <c r="AE18" s="13">
        <v>0.02</v>
      </c>
    </row>
    <row r="19" spans="1:31" x14ac:dyDescent="0.25">
      <c r="A19" t="s">
        <v>73</v>
      </c>
    </row>
    <row r="20" spans="1:31" x14ac:dyDescent="0.25">
      <c r="A20" t="s">
        <v>74</v>
      </c>
      <c r="B20" t="s">
        <v>198</v>
      </c>
      <c r="C20" t="s">
        <v>199</v>
      </c>
      <c r="D20" t="s">
        <v>77</v>
      </c>
      <c r="E20">
        <v>3.2241629999999999</v>
      </c>
      <c r="F20">
        <v>3.299957</v>
      </c>
      <c r="G20">
        <v>3.3637009999999998</v>
      </c>
      <c r="H20">
        <v>3.431324</v>
      </c>
      <c r="I20">
        <v>3.5013269999999999</v>
      </c>
      <c r="J20">
        <v>3.5758549999999998</v>
      </c>
      <c r="K20">
        <v>3.6519439999999999</v>
      </c>
      <c r="L20">
        <v>3.7285620000000002</v>
      </c>
      <c r="M20">
        <v>3.8105790000000002</v>
      </c>
      <c r="N20">
        <v>3.8895559999999998</v>
      </c>
      <c r="O20">
        <v>3.972642</v>
      </c>
      <c r="P20">
        <v>4.0555320000000004</v>
      </c>
      <c r="Q20">
        <v>4.137613</v>
      </c>
      <c r="R20">
        <v>4.2209240000000001</v>
      </c>
      <c r="S20">
        <v>4.3054209999999999</v>
      </c>
      <c r="T20">
        <v>4.3917229999999998</v>
      </c>
      <c r="U20">
        <v>4.4786979999999996</v>
      </c>
      <c r="V20">
        <v>4.5660730000000003</v>
      </c>
      <c r="W20">
        <v>4.6538149999999998</v>
      </c>
      <c r="X20">
        <v>4.7424609999999996</v>
      </c>
      <c r="Y20">
        <v>4.8342559999999999</v>
      </c>
      <c r="Z20">
        <v>4.9276590000000002</v>
      </c>
      <c r="AA20">
        <v>5.0239739999999999</v>
      </c>
      <c r="AB20">
        <v>5.1232490000000004</v>
      </c>
      <c r="AC20">
        <v>5.2240919999999997</v>
      </c>
      <c r="AD20">
        <v>5.323658</v>
      </c>
      <c r="AE20" s="13">
        <v>0.02</v>
      </c>
    </row>
    <row r="21" spans="1:31" x14ac:dyDescent="0.25">
      <c r="A21" t="s">
        <v>78</v>
      </c>
      <c r="B21" t="s">
        <v>200</v>
      </c>
      <c r="C21" t="s">
        <v>201</v>
      </c>
      <c r="D21" t="s">
        <v>77</v>
      </c>
      <c r="E21">
        <v>2.7731669999999999</v>
      </c>
      <c r="F21">
        <v>2.6997110000000002</v>
      </c>
      <c r="G21">
        <v>2.6944409999999999</v>
      </c>
      <c r="H21">
        <v>2.7303869999999999</v>
      </c>
      <c r="I21">
        <v>2.7957239999999999</v>
      </c>
      <c r="J21">
        <v>2.8885290000000001</v>
      </c>
      <c r="K21">
        <v>2.9868860000000002</v>
      </c>
      <c r="L21">
        <v>3.0733570000000001</v>
      </c>
      <c r="M21">
        <v>3.1896360000000001</v>
      </c>
      <c r="N21">
        <v>3.2563960000000001</v>
      </c>
      <c r="O21">
        <v>3.3496610000000002</v>
      </c>
      <c r="P21">
        <v>3.4384920000000001</v>
      </c>
      <c r="Q21">
        <v>3.5349430000000002</v>
      </c>
      <c r="R21">
        <v>3.6258569999999999</v>
      </c>
      <c r="S21">
        <v>3.7147899999999998</v>
      </c>
      <c r="T21">
        <v>3.802111</v>
      </c>
      <c r="U21">
        <v>3.8875199999999999</v>
      </c>
      <c r="V21">
        <v>3.9730530000000002</v>
      </c>
      <c r="W21">
        <v>4.0486319999999996</v>
      </c>
      <c r="X21">
        <v>4.1209939999999996</v>
      </c>
      <c r="Y21">
        <v>4.2132170000000002</v>
      </c>
      <c r="Z21">
        <v>4.3021580000000004</v>
      </c>
      <c r="AA21">
        <v>4.4039739999999998</v>
      </c>
      <c r="AB21">
        <v>4.5147339999999998</v>
      </c>
      <c r="AC21">
        <v>4.6218750000000002</v>
      </c>
      <c r="AD21">
        <v>4.7172580000000002</v>
      </c>
      <c r="AE21" s="13">
        <v>2.1000000000000001E-2</v>
      </c>
    </row>
    <row r="22" spans="1:31" x14ac:dyDescent="0.25">
      <c r="A22" t="s">
        <v>81</v>
      </c>
    </row>
    <row r="23" spans="1:31" x14ac:dyDescent="0.25">
      <c r="A23" t="s">
        <v>82</v>
      </c>
      <c r="B23" t="s">
        <v>202</v>
      </c>
      <c r="C23" t="s">
        <v>203</v>
      </c>
      <c r="D23" t="s">
        <v>85</v>
      </c>
      <c r="E23">
        <v>2.5913550000000001</v>
      </c>
      <c r="F23">
        <v>2.597289</v>
      </c>
      <c r="G23">
        <v>2.6266539999999998</v>
      </c>
      <c r="H23">
        <v>2.6554989999999998</v>
      </c>
      <c r="I23">
        <v>2.6939410000000001</v>
      </c>
      <c r="J23">
        <v>2.7463039999999999</v>
      </c>
      <c r="K23">
        <v>2.8018900000000002</v>
      </c>
      <c r="L23">
        <v>2.8532229999999998</v>
      </c>
      <c r="M23">
        <v>2.910415</v>
      </c>
      <c r="N23">
        <v>2.959416</v>
      </c>
      <c r="O23">
        <v>3.0165690000000001</v>
      </c>
      <c r="P23">
        <v>3.0734669999999999</v>
      </c>
      <c r="Q23">
        <v>3.1332040000000001</v>
      </c>
      <c r="R23">
        <v>3.1968350000000001</v>
      </c>
      <c r="S23">
        <v>3.259201</v>
      </c>
      <c r="T23">
        <v>3.3238029999999998</v>
      </c>
      <c r="U23">
        <v>3.3869199999999999</v>
      </c>
      <c r="V23">
        <v>3.4466130000000001</v>
      </c>
      <c r="W23">
        <v>3.5039069999999999</v>
      </c>
      <c r="X23">
        <v>3.5610050000000002</v>
      </c>
      <c r="Y23">
        <v>3.6256400000000002</v>
      </c>
      <c r="Z23">
        <v>3.6951960000000001</v>
      </c>
      <c r="AA23">
        <v>3.7684929999999999</v>
      </c>
      <c r="AB23">
        <v>3.8453819999999999</v>
      </c>
      <c r="AC23">
        <v>3.9213809999999998</v>
      </c>
      <c r="AD23">
        <v>3.9972249999999998</v>
      </c>
      <c r="AE23" s="13">
        <v>1.7000000000000001E-2</v>
      </c>
    </row>
    <row r="24" spans="1:31" x14ac:dyDescent="0.25">
      <c r="A24" t="s">
        <v>86</v>
      </c>
      <c r="B24" t="s">
        <v>204</v>
      </c>
      <c r="C24" t="s">
        <v>205</v>
      </c>
      <c r="D24" t="s">
        <v>85</v>
      </c>
      <c r="E24">
        <v>2.2429079999999999</v>
      </c>
      <c r="F24">
        <v>2.1996180000000001</v>
      </c>
      <c r="G24">
        <v>2.2256079999999998</v>
      </c>
      <c r="H24">
        <v>2.2675879999999999</v>
      </c>
      <c r="I24">
        <v>2.3429069999999999</v>
      </c>
      <c r="J24">
        <v>2.4468269999999999</v>
      </c>
      <c r="K24">
        <v>2.5524019999999998</v>
      </c>
      <c r="L24">
        <v>2.628374</v>
      </c>
      <c r="M24">
        <v>2.7270460000000001</v>
      </c>
      <c r="N24">
        <v>2.7970920000000001</v>
      </c>
      <c r="O24">
        <v>2.8836560000000002</v>
      </c>
      <c r="P24">
        <v>2.9631069999999999</v>
      </c>
      <c r="Q24">
        <v>3.0470199999999998</v>
      </c>
      <c r="R24">
        <v>3.1301869999999998</v>
      </c>
      <c r="S24">
        <v>3.2087490000000001</v>
      </c>
      <c r="T24">
        <v>3.2888600000000001</v>
      </c>
      <c r="U24">
        <v>3.3540869999999998</v>
      </c>
      <c r="V24">
        <v>3.4048940000000001</v>
      </c>
      <c r="W24">
        <v>3.4421590000000002</v>
      </c>
      <c r="X24">
        <v>3.4782099999999998</v>
      </c>
      <c r="Y24">
        <v>3.5364909999999998</v>
      </c>
      <c r="Z24">
        <v>3.608317</v>
      </c>
      <c r="AA24">
        <v>3.69306</v>
      </c>
      <c r="AB24">
        <v>3.783067</v>
      </c>
      <c r="AC24">
        <v>3.865132</v>
      </c>
      <c r="AD24">
        <v>3.9382730000000001</v>
      </c>
      <c r="AE24" s="13">
        <v>2.3E-2</v>
      </c>
    </row>
    <row r="25" spans="1:31" x14ac:dyDescent="0.25">
      <c r="A25" t="s">
        <v>89</v>
      </c>
      <c r="B25" t="s">
        <v>206</v>
      </c>
      <c r="C25" t="s">
        <v>207</v>
      </c>
      <c r="D25" t="s">
        <v>85</v>
      </c>
      <c r="E25">
        <v>3.2021440000000001</v>
      </c>
      <c r="F25">
        <v>3.1732200000000002</v>
      </c>
      <c r="G25">
        <v>3.169432</v>
      </c>
      <c r="H25">
        <v>3.1629610000000001</v>
      </c>
      <c r="I25">
        <v>3.1666069999999999</v>
      </c>
      <c r="J25">
        <v>3.1979449999999998</v>
      </c>
      <c r="K25">
        <v>3.232062</v>
      </c>
      <c r="L25">
        <v>3.2793299999999999</v>
      </c>
      <c r="M25">
        <v>3.3228960000000001</v>
      </c>
      <c r="N25">
        <v>3.3657970000000001</v>
      </c>
      <c r="O25">
        <v>3.4122530000000002</v>
      </c>
      <c r="P25">
        <v>3.4547530000000002</v>
      </c>
      <c r="Q25">
        <v>3.5058020000000001</v>
      </c>
      <c r="R25">
        <v>3.5678420000000002</v>
      </c>
      <c r="S25">
        <v>3.6247780000000001</v>
      </c>
      <c r="T25">
        <v>3.687192</v>
      </c>
      <c r="U25">
        <v>3.7524519999999999</v>
      </c>
      <c r="V25">
        <v>3.8146629999999999</v>
      </c>
      <c r="W25">
        <v>3.8793709999999999</v>
      </c>
      <c r="X25">
        <v>3.941341</v>
      </c>
      <c r="Y25">
        <v>4.0112439999999996</v>
      </c>
      <c r="Z25">
        <v>4.0861010000000002</v>
      </c>
      <c r="AA25">
        <v>4.1593299999999997</v>
      </c>
      <c r="AB25">
        <v>4.2380979999999999</v>
      </c>
      <c r="AC25">
        <v>4.3138779999999999</v>
      </c>
      <c r="AD25">
        <v>4.3971109999999998</v>
      </c>
      <c r="AE25" s="13">
        <v>1.2999999999999999E-2</v>
      </c>
    </row>
    <row r="26" spans="1:31" x14ac:dyDescent="0.25">
      <c r="A26" t="s">
        <v>92</v>
      </c>
      <c r="B26" t="s">
        <v>208</v>
      </c>
      <c r="C26" t="s">
        <v>209</v>
      </c>
      <c r="D26" t="s">
        <v>85</v>
      </c>
      <c r="E26">
        <v>2.6622889999999999</v>
      </c>
      <c r="F26">
        <v>2.704771</v>
      </c>
      <c r="G26">
        <v>2.7381099999999998</v>
      </c>
      <c r="H26">
        <v>2.759989</v>
      </c>
      <c r="I26">
        <v>2.7842229999999999</v>
      </c>
      <c r="J26">
        <v>2.8217279999999998</v>
      </c>
      <c r="K26">
        <v>2.863219</v>
      </c>
      <c r="L26">
        <v>2.9087519999999998</v>
      </c>
      <c r="M26">
        <v>2.9565899999999998</v>
      </c>
      <c r="N26">
        <v>3.0034839999999998</v>
      </c>
      <c r="O26">
        <v>3.0564710000000002</v>
      </c>
      <c r="P26">
        <v>3.11063</v>
      </c>
      <c r="Q26">
        <v>3.1675949999999999</v>
      </c>
      <c r="R26">
        <v>3.2303850000000001</v>
      </c>
      <c r="S26">
        <v>3.2927840000000002</v>
      </c>
      <c r="T26">
        <v>3.3579439999999998</v>
      </c>
      <c r="U26">
        <v>3.425665</v>
      </c>
      <c r="V26">
        <v>3.493071</v>
      </c>
      <c r="W26">
        <v>3.5614159999999999</v>
      </c>
      <c r="X26">
        <v>3.6298889999999999</v>
      </c>
      <c r="Y26">
        <v>3.7022529999999998</v>
      </c>
      <c r="Z26">
        <v>3.7774100000000002</v>
      </c>
      <c r="AA26">
        <v>3.8538389999999998</v>
      </c>
      <c r="AB26">
        <v>3.9336669999999998</v>
      </c>
      <c r="AC26">
        <v>4.0146689999999996</v>
      </c>
      <c r="AD26">
        <v>4.0984379999999998</v>
      </c>
      <c r="AE26" s="13">
        <v>1.7000000000000001E-2</v>
      </c>
    </row>
    <row r="27" spans="1:31" x14ac:dyDescent="0.25">
      <c r="A27" t="s">
        <v>95</v>
      </c>
      <c r="B27" t="s">
        <v>96</v>
      </c>
    </row>
    <row r="28" spans="1:31" x14ac:dyDescent="0.25">
      <c r="A28" t="s">
        <v>97</v>
      </c>
      <c r="B28" t="s">
        <v>210</v>
      </c>
      <c r="C28" t="s">
        <v>211</v>
      </c>
      <c r="D28" t="s">
        <v>100</v>
      </c>
      <c r="E28">
        <v>4.3285869999999997</v>
      </c>
      <c r="F28">
        <v>3.471333</v>
      </c>
      <c r="G28">
        <v>2.875</v>
      </c>
      <c r="H28">
        <v>2.9205160000000001</v>
      </c>
      <c r="I28">
        <v>3.125</v>
      </c>
      <c r="J28">
        <v>3.125</v>
      </c>
      <c r="K28">
        <v>3.125</v>
      </c>
      <c r="L28">
        <v>3.125</v>
      </c>
      <c r="M28">
        <v>3.125</v>
      </c>
      <c r="N28">
        <v>3.125</v>
      </c>
      <c r="O28">
        <v>3.125</v>
      </c>
      <c r="P28">
        <v>3.125</v>
      </c>
      <c r="Q28">
        <v>3.125</v>
      </c>
      <c r="R28">
        <v>3.125</v>
      </c>
      <c r="S28">
        <v>3.125</v>
      </c>
      <c r="T28">
        <v>3.125</v>
      </c>
      <c r="U28">
        <v>3.125</v>
      </c>
      <c r="V28">
        <v>3.125</v>
      </c>
      <c r="W28">
        <v>3.125</v>
      </c>
      <c r="X28">
        <v>3.125</v>
      </c>
      <c r="Y28">
        <v>3.125</v>
      </c>
      <c r="Z28">
        <v>3.125</v>
      </c>
      <c r="AA28">
        <v>3.125</v>
      </c>
      <c r="AB28">
        <v>3.125</v>
      </c>
      <c r="AC28">
        <v>3.125</v>
      </c>
      <c r="AD28">
        <v>3.125</v>
      </c>
      <c r="AE28" s="13">
        <v>-1.2999999999999999E-2</v>
      </c>
    </row>
    <row r="29" spans="1:31" x14ac:dyDescent="0.25">
      <c r="A29" t="s">
        <v>101</v>
      </c>
      <c r="B29" t="s">
        <v>212</v>
      </c>
      <c r="C29" t="s">
        <v>213</v>
      </c>
      <c r="D29" t="s">
        <v>100</v>
      </c>
      <c r="E29">
        <v>4.359502</v>
      </c>
      <c r="F29">
        <v>4.0218619999999996</v>
      </c>
      <c r="G29">
        <v>3.8927010000000002</v>
      </c>
      <c r="H29">
        <v>3.9309590000000001</v>
      </c>
      <c r="I29">
        <v>3.9890249999999998</v>
      </c>
      <c r="J29">
        <v>4.0004970000000002</v>
      </c>
      <c r="K29">
        <v>3.9753289999999999</v>
      </c>
      <c r="L29">
        <v>3.9495209999999998</v>
      </c>
      <c r="M29">
        <v>3.9323739999999998</v>
      </c>
      <c r="N29">
        <v>3.9028119999999999</v>
      </c>
      <c r="O29">
        <v>3.8877190000000001</v>
      </c>
      <c r="P29">
        <v>3.8894419999999998</v>
      </c>
      <c r="Q29">
        <v>3.8939089999999998</v>
      </c>
      <c r="R29">
        <v>3.908684</v>
      </c>
      <c r="S29">
        <v>3.9116680000000001</v>
      </c>
      <c r="T29">
        <v>3.9078149999999998</v>
      </c>
      <c r="U29">
        <v>3.900185</v>
      </c>
      <c r="V29">
        <v>3.8876919999999999</v>
      </c>
      <c r="W29">
        <v>3.8728720000000001</v>
      </c>
      <c r="X29">
        <v>3.8523670000000001</v>
      </c>
      <c r="Y29">
        <v>3.839636</v>
      </c>
      <c r="Z29">
        <v>3.8322539999999998</v>
      </c>
      <c r="AA29">
        <v>3.831839</v>
      </c>
      <c r="AB29">
        <v>3.8430840000000002</v>
      </c>
      <c r="AC29">
        <v>3.859855</v>
      </c>
      <c r="AD29">
        <v>3.872646</v>
      </c>
      <c r="AE29" s="13">
        <v>-5.0000000000000001E-3</v>
      </c>
    </row>
    <row r="30" spans="1:31" x14ac:dyDescent="0.25">
      <c r="A30" t="s">
        <v>104</v>
      </c>
      <c r="B30" t="s">
        <v>214</v>
      </c>
      <c r="C30" t="s">
        <v>215</v>
      </c>
      <c r="D30" t="s">
        <v>100</v>
      </c>
      <c r="E30">
        <v>5.7773570000000003</v>
      </c>
      <c r="F30">
        <v>5.7709219999999997</v>
      </c>
      <c r="G30">
        <v>5.7389210000000004</v>
      </c>
      <c r="H30">
        <v>5.72926</v>
      </c>
      <c r="I30">
        <v>5.7293539999999998</v>
      </c>
      <c r="J30">
        <v>5.699732</v>
      </c>
      <c r="K30">
        <v>5.6656969999999998</v>
      </c>
      <c r="L30">
        <v>5.6283079999999996</v>
      </c>
      <c r="M30">
        <v>5.6066070000000003</v>
      </c>
      <c r="N30">
        <v>5.6002479999999997</v>
      </c>
      <c r="O30">
        <v>5.5574599999999998</v>
      </c>
      <c r="P30">
        <v>5.5823080000000003</v>
      </c>
      <c r="Q30">
        <v>5.5929520000000004</v>
      </c>
      <c r="R30">
        <v>5.6081630000000002</v>
      </c>
      <c r="S30">
        <v>5.6289790000000002</v>
      </c>
      <c r="T30">
        <v>5.6093159999999997</v>
      </c>
      <c r="U30">
        <v>5.5992170000000003</v>
      </c>
      <c r="V30">
        <v>5.5910039999999999</v>
      </c>
      <c r="W30">
        <v>5.5695449999999997</v>
      </c>
      <c r="X30">
        <v>5.5445330000000004</v>
      </c>
      <c r="Y30">
        <v>5.5212870000000001</v>
      </c>
      <c r="Z30">
        <v>5.5070620000000003</v>
      </c>
      <c r="AA30">
        <v>5.5148809999999999</v>
      </c>
      <c r="AB30">
        <v>5.5321259999999999</v>
      </c>
      <c r="AC30">
        <v>5.5689120000000001</v>
      </c>
      <c r="AD30">
        <v>5.5801679999999996</v>
      </c>
      <c r="AE30" s="13">
        <v>-1E-3</v>
      </c>
    </row>
    <row r="31" spans="1:31" x14ac:dyDescent="0.25">
      <c r="A31" t="s">
        <v>107</v>
      </c>
    </row>
    <row r="32" spans="1:31" x14ac:dyDescent="0.25">
      <c r="A32" t="s">
        <v>108</v>
      </c>
      <c r="B32" t="s">
        <v>216</v>
      </c>
      <c r="C32" t="s">
        <v>217</v>
      </c>
      <c r="D32" t="s">
        <v>111</v>
      </c>
      <c r="E32">
        <v>29310.039062</v>
      </c>
      <c r="F32">
        <v>30023.714843999998</v>
      </c>
      <c r="G32">
        <v>30766.251952999999</v>
      </c>
      <c r="H32">
        <v>31515.330077999999</v>
      </c>
      <c r="I32">
        <v>32089.751952999999</v>
      </c>
      <c r="J32">
        <v>32683.011718999998</v>
      </c>
      <c r="K32">
        <v>33302.929687999997</v>
      </c>
      <c r="L32">
        <v>33955.328125</v>
      </c>
      <c r="M32">
        <v>34627.875</v>
      </c>
      <c r="N32">
        <v>35322.40625</v>
      </c>
      <c r="O32">
        <v>36045.230469000002</v>
      </c>
      <c r="P32">
        <v>36780.773437999997</v>
      </c>
      <c r="Q32">
        <v>37524.59375</v>
      </c>
      <c r="R32">
        <v>38263.554687999997</v>
      </c>
      <c r="S32">
        <v>38972.632812000003</v>
      </c>
      <c r="T32">
        <v>39668.195312000003</v>
      </c>
      <c r="U32">
        <v>40357.140625</v>
      </c>
      <c r="V32">
        <v>41045.8125</v>
      </c>
      <c r="W32">
        <v>41749.960937999997</v>
      </c>
      <c r="X32">
        <v>42474.761719000002</v>
      </c>
      <c r="Y32">
        <v>43209.519530999998</v>
      </c>
      <c r="Z32">
        <v>43937.121094000002</v>
      </c>
      <c r="AA32">
        <v>44650.023437999997</v>
      </c>
      <c r="AB32">
        <v>45374.546875</v>
      </c>
      <c r="AC32">
        <v>46099.578125</v>
      </c>
      <c r="AD32">
        <v>46845.535155999998</v>
      </c>
      <c r="AE32" s="13">
        <v>1.9E-2</v>
      </c>
    </row>
    <row r="33" spans="1:33" x14ac:dyDescent="0.25">
      <c r="A33" t="s">
        <v>112</v>
      </c>
      <c r="B33" t="s">
        <v>218</v>
      </c>
      <c r="C33" t="s">
        <v>219</v>
      </c>
      <c r="D33" t="s">
        <v>111</v>
      </c>
      <c r="E33">
        <v>8703.1972659999992</v>
      </c>
      <c r="F33">
        <v>8752.5634769999997</v>
      </c>
      <c r="G33">
        <v>8860.0849610000005</v>
      </c>
      <c r="H33">
        <v>8925.2109380000002</v>
      </c>
      <c r="I33">
        <v>8996.9726559999999</v>
      </c>
      <c r="J33">
        <v>9096.0136719999991</v>
      </c>
      <c r="K33">
        <v>9180.3886719999991</v>
      </c>
      <c r="L33">
        <v>9280.9082030000009</v>
      </c>
      <c r="M33">
        <v>9357.7578119999998</v>
      </c>
      <c r="N33">
        <v>9436.4335940000001</v>
      </c>
      <c r="O33">
        <v>9520.1660159999992</v>
      </c>
      <c r="P33">
        <v>9604.2978519999997</v>
      </c>
      <c r="Q33">
        <v>9697.3642579999996</v>
      </c>
      <c r="R33">
        <v>9786.8828119999998</v>
      </c>
      <c r="S33">
        <v>9878.1230469999991</v>
      </c>
      <c r="T33">
        <v>9974.8271480000003</v>
      </c>
      <c r="U33">
        <v>10069.033203000001</v>
      </c>
      <c r="V33">
        <v>10166.393555000001</v>
      </c>
      <c r="W33">
        <v>10253.316406</v>
      </c>
      <c r="X33">
        <v>10343.382812</v>
      </c>
      <c r="Y33">
        <v>10450.386719</v>
      </c>
      <c r="Z33">
        <v>10563.197265999999</v>
      </c>
      <c r="AA33">
        <v>10674.791992</v>
      </c>
      <c r="AB33">
        <v>10773.287109000001</v>
      </c>
      <c r="AC33">
        <v>10876.103515999999</v>
      </c>
      <c r="AD33">
        <v>10975.347656</v>
      </c>
      <c r="AE33" s="13">
        <v>8.9999999999999993E-3</v>
      </c>
    </row>
    <row r="34" spans="1:33" x14ac:dyDescent="0.25">
      <c r="A34" t="s">
        <v>115</v>
      </c>
      <c r="B34" t="s">
        <v>116</v>
      </c>
      <c r="C34" t="s">
        <v>117</v>
      </c>
      <c r="D34" t="s">
        <v>220</v>
      </c>
      <c r="E34" t="s">
        <v>221</v>
      </c>
      <c r="F34" t="s">
        <v>111</v>
      </c>
      <c r="G34">
        <v>2803.3442380000001</v>
      </c>
      <c r="H34">
        <v>2871.4665530000002</v>
      </c>
      <c r="I34">
        <v>2881.3139649999998</v>
      </c>
      <c r="J34">
        <v>2905.5051269999999</v>
      </c>
      <c r="K34">
        <v>2942.6826169999999</v>
      </c>
      <c r="L34">
        <v>2994.1713869999999</v>
      </c>
      <c r="M34">
        <v>3039.165039</v>
      </c>
      <c r="N34">
        <v>3083.439453</v>
      </c>
      <c r="O34">
        <v>3117.4536130000001</v>
      </c>
      <c r="P34">
        <v>3149.9682619999999</v>
      </c>
      <c r="Q34">
        <v>3179.411865</v>
      </c>
      <c r="R34">
        <v>3207.255615</v>
      </c>
      <c r="S34">
        <v>3233.6860350000002</v>
      </c>
      <c r="T34">
        <v>3258.142578</v>
      </c>
      <c r="U34">
        <v>3282.6372070000002</v>
      </c>
      <c r="V34">
        <v>3307.2116700000001</v>
      </c>
      <c r="W34">
        <v>3331.680664</v>
      </c>
      <c r="X34">
        <v>3357.1152339999999</v>
      </c>
      <c r="Y34">
        <v>3380.1191410000001</v>
      </c>
      <c r="Z34">
        <v>3401.780518</v>
      </c>
      <c r="AA34">
        <v>3431.3510740000002</v>
      </c>
      <c r="AB34">
        <v>3462.294922</v>
      </c>
      <c r="AC34">
        <v>3493.6669919999999</v>
      </c>
      <c r="AD34">
        <v>3521.9921880000002</v>
      </c>
      <c r="AE34">
        <v>3550.4157709999999</v>
      </c>
      <c r="AF34">
        <v>3579.9399410000001</v>
      </c>
      <c r="AG34" s="13">
        <v>0.01</v>
      </c>
    </row>
    <row r="35" spans="1:33" x14ac:dyDescent="0.25">
      <c r="A35" t="s">
        <v>120</v>
      </c>
      <c r="B35" t="s">
        <v>222</v>
      </c>
      <c r="C35" t="s">
        <v>223</v>
      </c>
      <c r="D35" t="s">
        <v>111</v>
      </c>
      <c r="E35">
        <v>5899.8525390000004</v>
      </c>
      <c r="F35">
        <v>5881.0971680000002</v>
      </c>
      <c r="G35">
        <v>5978.7719729999999</v>
      </c>
      <c r="H35">
        <v>6019.7055659999996</v>
      </c>
      <c r="I35">
        <v>6054.2890619999998</v>
      </c>
      <c r="J35">
        <v>6101.841797</v>
      </c>
      <c r="K35">
        <v>6141.2236329999996</v>
      </c>
      <c r="L35">
        <v>6197.46875</v>
      </c>
      <c r="M35">
        <v>6240.3041990000002</v>
      </c>
      <c r="N35">
        <v>6286.4653319999998</v>
      </c>
      <c r="O35">
        <v>6340.7539059999999</v>
      </c>
      <c r="P35">
        <v>6397.0424800000001</v>
      </c>
      <c r="Q35">
        <v>6463.6777339999999</v>
      </c>
      <c r="R35">
        <v>6528.7402339999999</v>
      </c>
      <c r="S35">
        <v>6595.4858400000003</v>
      </c>
      <c r="T35">
        <v>6667.6152339999999</v>
      </c>
      <c r="U35">
        <v>6737.3515619999998</v>
      </c>
      <c r="V35">
        <v>6809.2788090000004</v>
      </c>
      <c r="W35">
        <v>6873.1972660000001</v>
      </c>
      <c r="X35">
        <v>6941.6020509999998</v>
      </c>
      <c r="Y35">
        <v>7019.0356449999999</v>
      </c>
      <c r="Z35">
        <v>7100.9023440000001</v>
      </c>
      <c r="AA35">
        <v>7181.1245120000003</v>
      </c>
      <c r="AB35">
        <v>7251.2944340000004</v>
      </c>
      <c r="AC35">
        <v>7325.6870120000003</v>
      </c>
      <c r="AD35">
        <v>7395.4077150000003</v>
      </c>
      <c r="AE35" s="13">
        <v>8.9999999999999993E-3</v>
      </c>
    </row>
    <row r="36" spans="1:33" x14ac:dyDescent="0.25">
      <c r="A36" t="s">
        <v>123</v>
      </c>
      <c r="B36" t="s">
        <v>224</v>
      </c>
      <c r="C36" t="s">
        <v>225</v>
      </c>
      <c r="D36" t="s">
        <v>111</v>
      </c>
      <c r="E36">
        <v>2268.0803219999998</v>
      </c>
      <c r="F36">
        <v>2262.8012699999999</v>
      </c>
      <c r="G36">
        <v>2273.1584469999998</v>
      </c>
      <c r="H36">
        <v>2277.8271479999999</v>
      </c>
      <c r="I36">
        <v>2273.0415039999998</v>
      </c>
      <c r="J36">
        <v>2281.1123050000001</v>
      </c>
      <c r="K36">
        <v>2292.3989259999998</v>
      </c>
      <c r="L36">
        <v>2305.2055660000001</v>
      </c>
      <c r="M36">
        <v>2320.08374</v>
      </c>
      <c r="N36">
        <v>2336.4343260000001</v>
      </c>
      <c r="O36">
        <v>2354.8857419999999</v>
      </c>
      <c r="P36">
        <v>2369.820068</v>
      </c>
      <c r="Q36">
        <v>2380.8422850000002</v>
      </c>
      <c r="R36">
        <v>2392.513672</v>
      </c>
      <c r="S36">
        <v>2409.4174800000001</v>
      </c>
      <c r="T36">
        <v>2428.3510740000002</v>
      </c>
      <c r="U36">
        <v>2449.6044919999999</v>
      </c>
      <c r="V36">
        <v>2469.7426759999998</v>
      </c>
      <c r="W36">
        <v>2485.3383789999998</v>
      </c>
      <c r="X36">
        <v>2500.5458979999999</v>
      </c>
      <c r="Y36">
        <v>2517.7094729999999</v>
      </c>
      <c r="Z36">
        <v>2539.046875</v>
      </c>
      <c r="AA36">
        <v>2562.5078119999998</v>
      </c>
      <c r="AB36">
        <v>2580.4128420000002</v>
      </c>
      <c r="AC36">
        <v>2597.0922850000002</v>
      </c>
      <c r="AD36">
        <v>2616.8942870000001</v>
      </c>
      <c r="AE36" s="13">
        <v>6.0000000000000001E-3</v>
      </c>
    </row>
    <row r="37" spans="1:33" x14ac:dyDescent="0.25">
      <c r="A37" t="s">
        <v>126</v>
      </c>
      <c r="B37" t="s">
        <v>226</v>
      </c>
      <c r="C37" t="s">
        <v>227</v>
      </c>
      <c r="D37" t="s">
        <v>111</v>
      </c>
      <c r="E37">
        <v>3631.7719729999999</v>
      </c>
      <c r="F37">
        <v>3618.2966310000002</v>
      </c>
      <c r="G37">
        <v>3705.6135250000002</v>
      </c>
      <c r="H37">
        <v>3741.8793949999999</v>
      </c>
      <c r="I37">
        <v>3781.2473140000002</v>
      </c>
      <c r="J37">
        <v>3820.7292480000001</v>
      </c>
      <c r="K37">
        <v>3848.8247070000002</v>
      </c>
      <c r="L37">
        <v>3892.2626949999999</v>
      </c>
      <c r="M37">
        <v>3920.2211910000001</v>
      </c>
      <c r="N37">
        <v>3950.0314939999998</v>
      </c>
      <c r="O37">
        <v>3985.8686520000001</v>
      </c>
      <c r="P37">
        <v>4027.2221679999998</v>
      </c>
      <c r="Q37">
        <v>4082.8354490000002</v>
      </c>
      <c r="R37">
        <v>4136.2270509999998</v>
      </c>
      <c r="S37">
        <v>4186.0683589999999</v>
      </c>
      <c r="T37">
        <v>4239.2641599999997</v>
      </c>
      <c r="U37">
        <v>4287.7465819999998</v>
      </c>
      <c r="V37">
        <v>4339.5361329999996</v>
      </c>
      <c r="W37">
        <v>4387.8583980000003</v>
      </c>
      <c r="X37">
        <v>4441.0561520000001</v>
      </c>
      <c r="Y37">
        <v>4501.326172</v>
      </c>
      <c r="Z37">
        <v>4561.8554690000001</v>
      </c>
      <c r="AA37">
        <v>4618.6162109999996</v>
      </c>
      <c r="AB37">
        <v>4670.8818359999996</v>
      </c>
      <c r="AC37">
        <v>4728.5952150000003</v>
      </c>
      <c r="AD37">
        <v>4778.513672</v>
      </c>
      <c r="AE37" s="13">
        <v>1.0999999999999999E-2</v>
      </c>
    </row>
    <row r="38" spans="1:33" x14ac:dyDescent="0.25">
      <c r="A38" t="s">
        <v>129</v>
      </c>
      <c r="B38" t="s">
        <v>228</v>
      </c>
      <c r="C38" t="s">
        <v>229</v>
      </c>
      <c r="D38" t="s">
        <v>111</v>
      </c>
      <c r="E38">
        <v>38013.234375</v>
      </c>
      <c r="F38">
        <v>38776.277344000002</v>
      </c>
      <c r="G38">
        <v>39626.335937999997</v>
      </c>
      <c r="H38">
        <v>40440.539062000003</v>
      </c>
      <c r="I38">
        <v>41086.726562000003</v>
      </c>
      <c r="J38">
        <v>41779.023437999997</v>
      </c>
      <c r="K38">
        <v>42483.320312000003</v>
      </c>
      <c r="L38">
        <v>43236.234375</v>
      </c>
      <c r="M38">
        <v>43985.632812000003</v>
      </c>
      <c r="N38">
        <v>44758.839844000002</v>
      </c>
      <c r="O38">
        <v>45565.398437999997</v>
      </c>
      <c r="P38">
        <v>46385.070312000003</v>
      </c>
      <c r="Q38">
        <v>47221.957030999998</v>
      </c>
      <c r="R38">
        <v>48050.4375</v>
      </c>
      <c r="S38">
        <v>48850.757812000003</v>
      </c>
      <c r="T38">
        <v>49643.023437999997</v>
      </c>
      <c r="U38">
        <v>50426.171875</v>
      </c>
      <c r="V38">
        <v>51212.207030999998</v>
      </c>
      <c r="W38">
        <v>52003.277344000002</v>
      </c>
      <c r="X38">
        <v>52818.144530999998</v>
      </c>
      <c r="Y38">
        <v>53659.90625</v>
      </c>
      <c r="Z38">
        <v>54500.320312000003</v>
      </c>
      <c r="AA38">
        <v>55324.816405999998</v>
      </c>
      <c r="AB38">
        <v>56147.835937999997</v>
      </c>
      <c r="AC38">
        <v>56975.679687999997</v>
      </c>
      <c r="AD38">
        <v>57820.882812000003</v>
      </c>
      <c r="AE38" s="13">
        <v>1.7000000000000001E-2</v>
      </c>
    </row>
    <row r="39" spans="1:33" x14ac:dyDescent="0.25">
      <c r="A39" t="s">
        <v>132</v>
      </c>
    </row>
    <row r="40" spans="1:33" x14ac:dyDescent="0.25">
      <c r="A40" t="s">
        <v>133</v>
      </c>
      <c r="B40" t="s">
        <v>134</v>
      </c>
      <c r="C40" t="s">
        <v>230</v>
      </c>
      <c r="D40" t="s">
        <v>231</v>
      </c>
      <c r="E40" t="s">
        <v>137</v>
      </c>
      <c r="F40">
        <v>341.753174</v>
      </c>
      <c r="G40">
        <v>343.011414</v>
      </c>
      <c r="H40">
        <v>344.24215700000002</v>
      </c>
      <c r="I40">
        <v>345.60836799999998</v>
      </c>
      <c r="J40">
        <v>347.091949</v>
      </c>
      <c r="K40">
        <v>348.5</v>
      </c>
      <c r="L40">
        <v>349.84817500000003</v>
      </c>
      <c r="M40">
        <v>351.130157</v>
      </c>
      <c r="N40">
        <v>352.35476699999998</v>
      </c>
      <c r="O40">
        <v>353.526184</v>
      </c>
      <c r="P40">
        <v>354.64001500000001</v>
      </c>
      <c r="Q40">
        <v>355.69448899999998</v>
      </c>
      <c r="R40">
        <v>356.68884300000002</v>
      </c>
      <c r="S40">
        <v>357.62469499999997</v>
      </c>
      <c r="T40">
        <v>358.50103799999999</v>
      </c>
      <c r="U40">
        <v>359.31768799999998</v>
      </c>
      <c r="V40">
        <v>360.06976300000002</v>
      </c>
      <c r="W40">
        <v>360.76501500000001</v>
      </c>
      <c r="X40">
        <v>361.40600599999999</v>
      </c>
      <c r="Y40">
        <v>361.99826000000002</v>
      </c>
      <c r="Z40">
        <v>362.542145</v>
      </c>
      <c r="AA40">
        <v>363.04501299999998</v>
      </c>
      <c r="AB40">
        <v>363.51031499999999</v>
      </c>
      <c r="AC40">
        <v>363.94164999999998</v>
      </c>
      <c r="AD40">
        <v>364.34548999999998</v>
      </c>
      <c r="AE40">
        <v>364.72808800000001</v>
      </c>
      <c r="AF40" s="13">
        <v>3.0000000000000001E-3</v>
      </c>
    </row>
    <row r="41" spans="1:33" x14ac:dyDescent="0.25">
      <c r="A41" t="s">
        <v>133</v>
      </c>
      <c r="B41" t="s">
        <v>138</v>
      </c>
      <c r="C41" t="s">
        <v>232</v>
      </c>
      <c r="D41" t="s">
        <v>233</v>
      </c>
      <c r="E41" t="s">
        <v>137</v>
      </c>
      <c r="F41">
        <v>278.51181000000003</v>
      </c>
      <c r="G41">
        <v>280.23049900000001</v>
      </c>
      <c r="H41">
        <v>281.84906000000001</v>
      </c>
      <c r="I41">
        <v>283.52218599999998</v>
      </c>
      <c r="J41">
        <v>285.27172899999999</v>
      </c>
      <c r="K41">
        <v>286.978973</v>
      </c>
      <c r="L41">
        <v>288.63653599999998</v>
      </c>
      <c r="M41">
        <v>290.182861</v>
      </c>
      <c r="N41">
        <v>291.590485</v>
      </c>
      <c r="O41">
        <v>292.87170400000002</v>
      </c>
      <c r="P41">
        <v>294.04205300000001</v>
      </c>
      <c r="Q41">
        <v>295.07418799999999</v>
      </c>
      <c r="R41">
        <v>296.01522799999998</v>
      </c>
      <c r="S41">
        <v>296.94845600000002</v>
      </c>
      <c r="T41">
        <v>297.74847399999999</v>
      </c>
      <c r="U41">
        <v>298.49188199999998</v>
      </c>
      <c r="V41">
        <v>299.26394699999997</v>
      </c>
      <c r="W41">
        <v>300.00024400000001</v>
      </c>
      <c r="X41">
        <v>300.71508799999998</v>
      </c>
      <c r="Y41">
        <v>301.41366599999998</v>
      </c>
      <c r="Z41">
        <v>302.09307899999999</v>
      </c>
      <c r="AA41">
        <v>302.75048800000002</v>
      </c>
      <c r="AB41">
        <v>303.38995399999999</v>
      </c>
      <c r="AC41">
        <v>304.01367199999999</v>
      </c>
      <c r="AD41">
        <v>304.626465</v>
      </c>
      <c r="AE41">
        <v>305.23468000000003</v>
      </c>
      <c r="AF41" s="13">
        <v>4.0000000000000001E-3</v>
      </c>
    </row>
    <row r="42" spans="1:33" x14ac:dyDescent="0.25">
      <c r="A42" t="s">
        <v>133</v>
      </c>
      <c r="B42" t="s">
        <v>141</v>
      </c>
      <c r="C42" t="s">
        <v>234</v>
      </c>
      <c r="D42" t="s">
        <v>235</v>
      </c>
      <c r="E42" t="s">
        <v>137</v>
      </c>
      <c r="F42">
        <v>63.792053000000003</v>
      </c>
      <c r="G42">
        <v>65.655959999999993</v>
      </c>
      <c r="H42">
        <v>67.422668000000002</v>
      </c>
      <c r="I42">
        <v>69.082092000000003</v>
      </c>
      <c r="J42">
        <v>70.607651000000004</v>
      </c>
      <c r="K42">
        <v>71.922027999999997</v>
      </c>
      <c r="L42">
        <v>73.025795000000002</v>
      </c>
      <c r="M42">
        <v>74.004333000000003</v>
      </c>
      <c r="N42">
        <v>74.917122000000006</v>
      </c>
      <c r="O42">
        <v>75.859870999999998</v>
      </c>
      <c r="P42">
        <v>76.848159999999993</v>
      </c>
      <c r="Q42">
        <v>77.70787</v>
      </c>
      <c r="R42">
        <v>78.281807000000001</v>
      </c>
      <c r="S42">
        <v>78.665786999999995</v>
      </c>
      <c r="T42">
        <v>78.985100000000003</v>
      </c>
      <c r="U42">
        <v>79.269988999999995</v>
      </c>
      <c r="V42">
        <v>79.525374999999997</v>
      </c>
      <c r="W42">
        <v>79.832001000000005</v>
      </c>
      <c r="X42">
        <v>80.155342000000005</v>
      </c>
      <c r="Y42">
        <v>80.552436999999998</v>
      </c>
      <c r="Z42">
        <v>81.031357</v>
      </c>
      <c r="AA42">
        <v>81.519256999999996</v>
      </c>
      <c r="AB42">
        <v>82.025550999999993</v>
      </c>
      <c r="AC42">
        <v>82.509040999999996</v>
      </c>
      <c r="AD42">
        <v>82.988204999999994</v>
      </c>
      <c r="AE42">
        <v>83.523185999999995</v>
      </c>
      <c r="AF42" s="13">
        <v>1.0999999999999999E-2</v>
      </c>
    </row>
    <row r="43" spans="1:33" x14ac:dyDescent="0.25">
      <c r="A43" t="s">
        <v>144</v>
      </c>
      <c r="B43" t="s">
        <v>145</v>
      </c>
      <c r="C43" t="s">
        <v>236</v>
      </c>
      <c r="D43" t="s">
        <v>237</v>
      </c>
      <c r="E43" t="s">
        <v>137</v>
      </c>
      <c r="F43">
        <v>160.34007299999999</v>
      </c>
      <c r="G43">
        <v>161.28100599999999</v>
      </c>
      <c r="H43">
        <v>162.17047099999999</v>
      </c>
      <c r="I43">
        <v>162.60861199999999</v>
      </c>
      <c r="J43">
        <v>163.086288</v>
      </c>
      <c r="K43">
        <v>163.62586999999999</v>
      </c>
      <c r="L43">
        <v>164.11605800000001</v>
      </c>
      <c r="M43">
        <v>164.787308</v>
      </c>
      <c r="N43">
        <v>165.46202099999999</v>
      </c>
      <c r="O43">
        <v>166.16980000000001</v>
      </c>
      <c r="P43">
        <v>166.884872</v>
      </c>
      <c r="Q43">
        <v>167.66197199999999</v>
      </c>
      <c r="R43">
        <v>168.565765</v>
      </c>
      <c r="S43">
        <v>169.439774</v>
      </c>
      <c r="T43">
        <v>170.151398</v>
      </c>
      <c r="U43">
        <v>170.95246900000001</v>
      </c>
      <c r="V43">
        <v>171.58038300000001</v>
      </c>
      <c r="W43">
        <v>172.17842099999999</v>
      </c>
      <c r="X43">
        <v>172.70611600000001</v>
      </c>
      <c r="Y43">
        <v>173.327744</v>
      </c>
      <c r="Z43">
        <v>174.001205</v>
      </c>
      <c r="AA43">
        <v>174.60243199999999</v>
      </c>
      <c r="AB43">
        <v>175.097656</v>
      </c>
      <c r="AC43">
        <v>175.47995</v>
      </c>
      <c r="AD43">
        <v>175.77896100000001</v>
      </c>
      <c r="AE43">
        <v>176.12506099999999</v>
      </c>
      <c r="AF43" s="13">
        <v>4.0000000000000001E-3</v>
      </c>
    </row>
    <row r="44" spans="1:33" x14ac:dyDescent="0.25">
      <c r="A44" t="s">
        <v>144</v>
      </c>
      <c r="B44" t="s">
        <v>148</v>
      </c>
      <c r="C44" t="s">
        <v>238</v>
      </c>
      <c r="D44" t="s">
        <v>239</v>
      </c>
      <c r="E44" t="s">
        <v>137</v>
      </c>
      <c r="F44">
        <v>12.703077</v>
      </c>
      <c r="G44">
        <v>12.506076999999999</v>
      </c>
      <c r="H44">
        <v>12.613194999999999</v>
      </c>
      <c r="I44">
        <v>12.464388</v>
      </c>
      <c r="J44">
        <v>12.222918</v>
      </c>
      <c r="K44">
        <v>12.106469000000001</v>
      </c>
      <c r="L44">
        <v>12.017034000000001</v>
      </c>
      <c r="M44">
        <v>11.918694</v>
      </c>
      <c r="N44">
        <v>11.786911</v>
      </c>
      <c r="O44">
        <v>11.567508</v>
      </c>
      <c r="P44">
        <v>11.441331999999999</v>
      </c>
      <c r="Q44">
        <v>11.462002</v>
      </c>
      <c r="R44">
        <v>11.537077999999999</v>
      </c>
      <c r="S44">
        <v>11.623907000000001</v>
      </c>
      <c r="T44">
        <v>11.677308999999999</v>
      </c>
      <c r="U44">
        <v>11.724118000000001</v>
      </c>
      <c r="V44">
        <v>11.766093</v>
      </c>
      <c r="W44">
        <v>11.78767</v>
      </c>
      <c r="X44">
        <v>11.782259</v>
      </c>
      <c r="Y44">
        <v>11.78955</v>
      </c>
      <c r="Z44">
        <v>11.861155999999999</v>
      </c>
      <c r="AA44">
        <v>11.941236</v>
      </c>
      <c r="AB44">
        <v>12.033709999999999</v>
      </c>
      <c r="AC44">
        <v>12.115080000000001</v>
      </c>
      <c r="AD44">
        <v>12.205622999999999</v>
      </c>
      <c r="AE44">
        <v>12.271933000000001</v>
      </c>
      <c r="AF44" s="13">
        <v>-1E-3</v>
      </c>
    </row>
    <row r="45" spans="1:33" x14ac:dyDescent="0.25">
      <c r="A45" t="s">
        <v>151</v>
      </c>
    </row>
    <row r="46" spans="1:33" x14ac:dyDescent="0.25">
      <c r="A46" t="s">
        <v>152</v>
      </c>
      <c r="B46" t="s">
        <v>240</v>
      </c>
      <c r="C46" t="s">
        <v>241</v>
      </c>
      <c r="D46" t="s">
        <v>137</v>
      </c>
      <c r="E46">
        <v>170.75103799999999</v>
      </c>
      <c r="F46">
        <v>171.09260599999999</v>
      </c>
      <c r="G46">
        <v>171.804779</v>
      </c>
      <c r="H46">
        <v>172.37233000000001</v>
      </c>
      <c r="I46">
        <v>172.981247</v>
      </c>
      <c r="J46">
        <v>173.56605500000001</v>
      </c>
      <c r="K46">
        <v>174.033646</v>
      </c>
      <c r="L46">
        <v>174.57221999999999</v>
      </c>
      <c r="M46">
        <v>175.069153</v>
      </c>
      <c r="N46">
        <v>175.56170700000001</v>
      </c>
      <c r="O46">
        <v>176.04452499999999</v>
      </c>
      <c r="P46">
        <v>176.68232699999999</v>
      </c>
      <c r="Q46">
        <v>177.524857</v>
      </c>
      <c r="R46">
        <v>178.41940299999999</v>
      </c>
      <c r="S46">
        <v>179.238846</v>
      </c>
      <c r="T46">
        <v>180.01769999999999</v>
      </c>
      <c r="U46">
        <v>180.734894</v>
      </c>
      <c r="V46">
        <v>181.33560199999999</v>
      </c>
      <c r="W46">
        <v>181.85405</v>
      </c>
      <c r="X46">
        <v>182.328857</v>
      </c>
      <c r="Y46">
        <v>182.77119400000001</v>
      </c>
      <c r="Z46">
        <v>183.170807</v>
      </c>
      <c r="AA46">
        <v>183.65206900000001</v>
      </c>
      <c r="AB46">
        <v>184.18225100000001</v>
      </c>
      <c r="AC46">
        <v>184.73332199999999</v>
      </c>
      <c r="AD46">
        <v>185.291977</v>
      </c>
      <c r="AE46" s="13">
        <v>3.0000000000000001E-3</v>
      </c>
    </row>
    <row r="47" spans="1:33" x14ac:dyDescent="0.25">
      <c r="A47" t="s">
        <v>155</v>
      </c>
      <c r="B47" t="s">
        <v>242</v>
      </c>
      <c r="C47" t="s">
        <v>243</v>
      </c>
      <c r="D47" t="s">
        <v>158</v>
      </c>
      <c r="E47">
        <v>1.216278</v>
      </c>
      <c r="F47">
        <v>1.2454769999999999</v>
      </c>
      <c r="G47">
        <v>1.2663219999999999</v>
      </c>
      <c r="H47">
        <v>1.2827679999999999</v>
      </c>
      <c r="I47">
        <v>1.302433</v>
      </c>
      <c r="J47">
        <v>1.324193</v>
      </c>
      <c r="K47">
        <v>1.345283</v>
      </c>
      <c r="L47">
        <v>1.368074</v>
      </c>
      <c r="M47">
        <v>1.3923570000000001</v>
      </c>
      <c r="N47">
        <v>1.4182049999999999</v>
      </c>
      <c r="O47">
        <v>1.4458230000000001</v>
      </c>
      <c r="P47">
        <v>1.46902</v>
      </c>
      <c r="Q47">
        <v>1.493886</v>
      </c>
      <c r="R47">
        <v>1.520837</v>
      </c>
      <c r="S47">
        <v>1.551005</v>
      </c>
      <c r="T47">
        <v>1.582492</v>
      </c>
      <c r="U47">
        <v>1.615999</v>
      </c>
      <c r="V47">
        <v>1.65204</v>
      </c>
      <c r="W47">
        <v>1.689487</v>
      </c>
      <c r="X47">
        <v>1.7268190000000001</v>
      </c>
      <c r="Y47">
        <v>1.7634609999999999</v>
      </c>
      <c r="Z47">
        <v>1.800171</v>
      </c>
      <c r="AA47">
        <v>1.837051</v>
      </c>
      <c r="AB47">
        <v>1.8751770000000001</v>
      </c>
      <c r="AC47">
        <v>1.9133629999999999</v>
      </c>
      <c r="AD47">
        <v>1.9522269999999999</v>
      </c>
      <c r="AE47" s="13">
        <v>1.9E-2</v>
      </c>
    </row>
    <row r="48" spans="1:33" x14ac:dyDescent="0.25">
      <c r="A48" t="s">
        <v>159</v>
      </c>
      <c r="B48" t="s">
        <v>244</v>
      </c>
      <c r="C48" t="s">
        <v>245</v>
      </c>
      <c r="D48" t="s">
        <v>162</v>
      </c>
      <c r="E48">
        <v>4.2274219999999998</v>
      </c>
      <c r="F48">
        <v>4.4644529999999998</v>
      </c>
      <c r="G48">
        <v>4.4469279999999998</v>
      </c>
      <c r="H48">
        <v>4.4197620000000004</v>
      </c>
      <c r="I48">
        <v>4.3831769999999999</v>
      </c>
      <c r="J48">
        <v>4.3244999999999996</v>
      </c>
      <c r="K48">
        <v>4.3012009999999998</v>
      </c>
      <c r="L48">
        <v>4.2616750000000003</v>
      </c>
      <c r="M48">
        <v>4.2366010000000003</v>
      </c>
      <c r="N48">
        <v>4.2095719999999996</v>
      </c>
      <c r="O48">
        <v>4.1697249999999997</v>
      </c>
      <c r="P48">
        <v>4.1619169999999999</v>
      </c>
      <c r="Q48">
        <v>4.2127920000000003</v>
      </c>
      <c r="R48">
        <v>4.2810009999999998</v>
      </c>
      <c r="S48">
        <v>4.3840940000000002</v>
      </c>
      <c r="T48">
        <v>4.4469900000000004</v>
      </c>
      <c r="U48">
        <v>4.485125</v>
      </c>
      <c r="V48">
        <v>4.4890800000000004</v>
      </c>
      <c r="W48">
        <v>4.4456939999999996</v>
      </c>
      <c r="X48">
        <v>4.3803720000000004</v>
      </c>
      <c r="Y48">
        <v>4.30802</v>
      </c>
      <c r="Z48">
        <v>4.2430700000000003</v>
      </c>
      <c r="AA48">
        <v>4.2095250000000002</v>
      </c>
      <c r="AB48">
        <v>4.1886869999999998</v>
      </c>
      <c r="AC48">
        <v>4.1865119999999996</v>
      </c>
      <c r="AD48">
        <v>4.1615880000000001</v>
      </c>
      <c r="AE48" s="13">
        <v>-1E-3</v>
      </c>
    </row>
    <row r="49" spans="1:31" x14ac:dyDescent="0.25">
      <c r="A49" t="s">
        <v>163</v>
      </c>
    </row>
    <row r="50" spans="1:31" x14ac:dyDescent="0.25">
      <c r="A50" t="s">
        <v>164</v>
      </c>
      <c r="B50" t="s">
        <v>246</v>
      </c>
      <c r="C50" t="s">
        <v>247</v>
      </c>
      <c r="D50" t="s">
        <v>42</v>
      </c>
      <c r="E50">
        <v>16819.988281000002</v>
      </c>
      <c r="F50">
        <v>17419.429688</v>
      </c>
      <c r="G50">
        <v>17966.023438</v>
      </c>
      <c r="H50">
        <v>18430.591797000001</v>
      </c>
      <c r="I50">
        <v>18890.945312</v>
      </c>
      <c r="J50">
        <v>19349.445312</v>
      </c>
      <c r="K50">
        <v>19798.207031000002</v>
      </c>
      <c r="L50">
        <v>20250.675781000002</v>
      </c>
      <c r="M50">
        <v>20707.828125</v>
      </c>
      <c r="N50">
        <v>21224.564452999999</v>
      </c>
      <c r="O50">
        <v>21759.009765999999</v>
      </c>
      <c r="P50">
        <v>22280.761718999998</v>
      </c>
      <c r="Q50">
        <v>22823.425781000002</v>
      </c>
      <c r="R50">
        <v>23374.630859000001</v>
      </c>
      <c r="S50">
        <v>23908.109375</v>
      </c>
      <c r="T50">
        <v>24349.046875</v>
      </c>
      <c r="U50">
        <v>24838.697265999999</v>
      </c>
      <c r="V50">
        <v>25344.472656000002</v>
      </c>
      <c r="W50">
        <v>25865.765625</v>
      </c>
      <c r="X50">
        <v>26393.070312</v>
      </c>
      <c r="Y50">
        <v>26824.154297000001</v>
      </c>
      <c r="Z50">
        <v>27344.341797000001</v>
      </c>
      <c r="AA50">
        <v>27871.779297000001</v>
      </c>
      <c r="AB50">
        <v>28414.349609000001</v>
      </c>
      <c r="AC50">
        <v>28967.552734000001</v>
      </c>
      <c r="AD50">
        <v>29541.8125</v>
      </c>
      <c r="AE50" s="13">
        <v>2.3E-2</v>
      </c>
    </row>
    <row r="51" spans="1:31" x14ac:dyDescent="0.25">
      <c r="A51" t="s">
        <v>167</v>
      </c>
      <c r="B51" t="s">
        <v>248</v>
      </c>
      <c r="C51" t="s">
        <v>249</v>
      </c>
      <c r="D51" t="s">
        <v>137</v>
      </c>
      <c r="E51">
        <v>1.4477199999999999</v>
      </c>
      <c r="F51">
        <v>1.486049</v>
      </c>
      <c r="G51">
        <v>1.5204279999999999</v>
      </c>
      <c r="H51">
        <v>1.4980100000000001</v>
      </c>
      <c r="I51">
        <v>1.4983040000000001</v>
      </c>
      <c r="J51">
        <v>1.4832430000000001</v>
      </c>
      <c r="K51">
        <v>1.4899640000000001</v>
      </c>
      <c r="L51">
        <v>1.491298</v>
      </c>
      <c r="M51">
        <v>1.469409</v>
      </c>
      <c r="N51">
        <v>1.4305969999999999</v>
      </c>
      <c r="O51">
        <v>1.4037539999999999</v>
      </c>
      <c r="P51">
        <v>1.3693869999999999</v>
      </c>
      <c r="Q51">
        <v>1.3071120000000001</v>
      </c>
      <c r="R51">
        <v>1.2557799999999999</v>
      </c>
      <c r="S51">
        <v>1.196771</v>
      </c>
      <c r="T51">
        <v>1.152172</v>
      </c>
      <c r="U51">
        <v>1.101699</v>
      </c>
      <c r="V51">
        <v>1.0682750000000001</v>
      </c>
      <c r="W51">
        <v>1.0363309999999999</v>
      </c>
      <c r="X51">
        <v>1.0174110000000001</v>
      </c>
      <c r="Y51">
        <v>1.02172</v>
      </c>
      <c r="Z51">
        <v>1.0267679999999999</v>
      </c>
      <c r="AA51">
        <v>1.023274</v>
      </c>
      <c r="AB51">
        <v>1.0203500000000001</v>
      </c>
      <c r="AC51">
        <v>1.0193080000000001</v>
      </c>
      <c r="AD51">
        <v>1.023431</v>
      </c>
      <c r="AE51" s="13">
        <v>-1.4E-2</v>
      </c>
    </row>
    <row r="52" spans="1:31" x14ac:dyDescent="0.25">
      <c r="A52" t="s">
        <v>170</v>
      </c>
      <c r="B52" t="s">
        <v>250</v>
      </c>
      <c r="C52" t="s">
        <v>251</v>
      </c>
      <c r="D52" t="s">
        <v>173</v>
      </c>
      <c r="E52">
        <v>104.64386</v>
      </c>
      <c r="F52">
        <v>105.867554</v>
      </c>
      <c r="G52">
        <v>107.04986599999999</v>
      </c>
      <c r="H52">
        <v>108.21045700000001</v>
      </c>
      <c r="I52">
        <v>109.35656</v>
      </c>
      <c r="J52">
        <v>110.51398500000001</v>
      </c>
      <c r="K52">
        <v>111.69770800000001</v>
      </c>
      <c r="L52">
        <v>112.910751</v>
      </c>
      <c r="M52">
        <v>114.159492</v>
      </c>
      <c r="N52">
        <v>115.445183</v>
      </c>
      <c r="O52">
        <v>116.76805899999999</v>
      </c>
      <c r="P52">
        <v>118.12674699999999</v>
      </c>
      <c r="Q52">
        <v>119.511673</v>
      </c>
      <c r="R52">
        <v>120.864799</v>
      </c>
      <c r="S52">
        <v>122.184166</v>
      </c>
      <c r="T52">
        <v>123.471954</v>
      </c>
      <c r="U52">
        <v>124.70360599999999</v>
      </c>
      <c r="V52">
        <v>125.88758900000001</v>
      </c>
      <c r="W52">
        <v>127.039177</v>
      </c>
      <c r="X52">
        <v>128.16529800000001</v>
      </c>
      <c r="Y52">
        <v>129.275116</v>
      </c>
      <c r="Z52">
        <v>130.37233000000001</v>
      </c>
      <c r="AA52">
        <v>131.45846599999999</v>
      </c>
      <c r="AB52">
        <v>132.53507999999999</v>
      </c>
      <c r="AC52">
        <v>133.603241</v>
      </c>
      <c r="AD52">
        <v>134.66409300000001</v>
      </c>
      <c r="AE52" s="13">
        <v>0.01</v>
      </c>
    </row>
    <row r="53" spans="1:31" x14ac:dyDescent="0.25">
      <c r="A53" t="s">
        <v>174</v>
      </c>
      <c r="B53" t="s">
        <v>252</v>
      </c>
      <c r="C53" t="s">
        <v>253</v>
      </c>
      <c r="D53" t="s">
        <v>137</v>
      </c>
      <c r="E53">
        <v>15.812405</v>
      </c>
      <c r="F53">
        <v>15.377604</v>
      </c>
      <c r="G53">
        <v>15.855638000000001</v>
      </c>
      <c r="H53">
        <v>16.052624000000002</v>
      </c>
      <c r="I53">
        <v>16.394119</v>
      </c>
      <c r="J53">
        <v>16.898895</v>
      </c>
      <c r="K53">
        <v>17.157703000000001</v>
      </c>
      <c r="L53">
        <v>17.294743</v>
      </c>
      <c r="M53">
        <v>17.471609000000001</v>
      </c>
      <c r="N53">
        <v>17.513344</v>
      </c>
      <c r="O53">
        <v>17.561474</v>
      </c>
      <c r="P53">
        <v>17.312103</v>
      </c>
      <c r="Q53">
        <v>17.327036</v>
      </c>
      <c r="R53">
        <v>17.322724999999998</v>
      </c>
      <c r="S53">
        <v>17.281417999999999</v>
      </c>
      <c r="T53">
        <v>17.241014</v>
      </c>
      <c r="U53">
        <v>17.11919</v>
      </c>
      <c r="V53">
        <v>16.995007000000001</v>
      </c>
      <c r="W53">
        <v>16.891577000000002</v>
      </c>
      <c r="X53">
        <v>16.801416</v>
      </c>
      <c r="Y53">
        <v>16.749783999999998</v>
      </c>
      <c r="Z53">
        <v>16.645475000000001</v>
      </c>
      <c r="AA53">
        <v>16.577404000000001</v>
      </c>
      <c r="AB53">
        <v>16.445074000000002</v>
      </c>
      <c r="AC53">
        <v>16.298859</v>
      </c>
      <c r="AD53">
        <v>16.054881999999999</v>
      </c>
      <c r="AE53" s="13">
        <v>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H50"/>
  <sheetViews>
    <sheetView workbookViewId="0">
      <selection activeCell="G3" sqref="G3"/>
    </sheetView>
  </sheetViews>
  <sheetFormatPr defaultRowHeight="15" x14ac:dyDescent="0.25"/>
  <cols>
    <col min="7" max="7" width="10.85546875" bestFit="1" customWidth="1"/>
  </cols>
  <sheetData>
    <row r="2" spans="1:32" x14ac:dyDescent="0.25"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2" s="14" customFormat="1" x14ac:dyDescent="0.25">
      <c r="A3" s="14" t="s">
        <v>39</v>
      </c>
      <c r="B3" s="14" t="s">
        <v>40</v>
      </c>
      <c r="C3" s="14" t="s">
        <v>41</v>
      </c>
      <c r="D3" s="14" t="s">
        <v>42</v>
      </c>
      <c r="E3" s="14">
        <f>'AEO 2025 Table 20'!F6</f>
        <v>21699.671875</v>
      </c>
      <c r="F3" s="14">
        <f>'AEO 2026 Table 20'!E6</f>
        <v>22086.083984000001</v>
      </c>
      <c r="G3" s="14">
        <f>'AEO 2026 Table 20'!F6</f>
        <v>22669.974609000001</v>
      </c>
      <c r="H3" s="14">
        <f>'AEO 2026 Table 20'!G6</f>
        <v>23095.640625</v>
      </c>
      <c r="I3" s="14">
        <f>'AEO 2026 Table 20'!H6</f>
        <v>23390.617188</v>
      </c>
      <c r="J3" s="14">
        <f>'AEO 2026 Table 20'!I6</f>
        <v>23750.759765999999</v>
      </c>
      <c r="K3" s="14">
        <f>'AEO 2026 Table 20'!J6</f>
        <v>24166.652343999998</v>
      </c>
      <c r="L3" s="14">
        <f>'AEO 2026 Table 20'!K6</f>
        <v>24572.644531000002</v>
      </c>
      <c r="M3" s="14">
        <f>'AEO 2026 Table 20'!L6</f>
        <v>25034.144531000002</v>
      </c>
      <c r="N3" s="14">
        <f>'AEO 2026 Table 20'!M6</f>
        <v>25522.300781000002</v>
      </c>
      <c r="O3" s="14">
        <f>'AEO 2026 Table 20'!N6</f>
        <v>26041.154297000001</v>
      </c>
      <c r="P3" s="14">
        <f>'AEO 2026 Table 20'!O6</f>
        <v>26595.578125</v>
      </c>
      <c r="Q3" s="14">
        <f>'AEO 2026 Table 20'!P6</f>
        <v>27063.660156000002</v>
      </c>
      <c r="R3" s="14">
        <f>'AEO 2026 Table 20'!Q6</f>
        <v>27531.339843999998</v>
      </c>
      <c r="S3" s="14">
        <f>'AEO 2026 Table 20'!R6</f>
        <v>28000.277343999998</v>
      </c>
      <c r="T3" s="14">
        <f>'AEO 2026 Table 20'!S6</f>
        <v>28461.050781000002</v>
      </c>
      <c r="U3" s="14">
        <f>'AEO 2026 Table 20'!T6</f>
        <v>28925.544922000001</v>
      </c>
      <c r="V3" s="14">
        <f>'AEO 2026 Table 20'!U6</f>
        <v>29375.912109000001</v>
      </c>
      <c r="W3" s="14">
        <f>'AEO 2026 Table 20'!V6</f>
        <v>29841.964843999998</v>
      </c>
      <c r="X3" s="14">
        <f>'AEO 2026 Table 20'!W6</f>
        <v>30321.671875</v>
      </c>
      <c r="Y3" s="14">
        <f>'AEO 2026 Table 20'!X6</f>
        <v>30806.214843999998</v>
      </c>
      <c r="Z3" s="14">
        <f>'AEO 2026 Table 20'!Y6</f>
        <v>31294.171875</v>
      </c>
      <c r="AA3" s="14">
        <f>'AEO 2026 Table 20'!Z6</f>
        <v>31769.9375</v>
      </c>
      <c r="AB3" s="14">
        <f>'AEO 2026 Table 20'!AA6</f>
        <v>32226.466797000001</v>
      </c>
      <c r="AC3" s="14">
        <f>'AEO 2026 Table 20'!AB6</f>
        <v>32681.023438</v>
      </c>
      <c r="AD3" s="14">
        <f>'AEO 2026 Table 20'!AC6</f>
        <v>33125.082030999998</v>
      </c>
      <c r="AE3" s="14">
        <f>'AEO 2026 Table 20'!AD6</f>
        <v>33582.949219000002</v>
      </c>
    </row>
    <row r="5" spans="1:32" x14ac:dyDescent="0.25">
      <c r="AF5" s="13"/>
    </row>
    <row r="6" spans="1:32" x14ac:dyDescent="0.25">
      <c r="AF6" s="13"/>
    </row>
    <row r="7" spans="1:32" x14ac:dyDescent="0.25">
      <c r="AF7" s="13"/>
    </row>
    <row r="8" spans="1:32" x14ac:dyDescent="0.25">
      <c r="AF8" s="13"/>
    </row>
    <row r="9" spans="1:32" x14ac:dyDescent="0.25">
      <c r="AF9" s="13"/>
    </row>
    <row r="12" spans="1:32" x14ac:dyDescent="0.25">
      <c r="AF12" s="13"/>
    </row>
    <row r="13" spans="1:32" x14ac:dyDescent="0.25">
      <c r="AF13" s="13"/>
    </row>
    <row r="15" spans="1:32" x14ac:dyDescent="0.25">
      <c r="AF15" s="13"/>
    </row>
    <row r="17" spans="32:34" x14ac:dyDescent="0.25">
      <c r="AF17" s="13"/>
    </row>
    <row r="18" spans="32:34" x14ac:dyDescent="0.25">
      <c r="AF18" s="13"/>
    </row>
    <row r="20" spans="32:34" x14ac:dyDescent="0.25">
      <c r="AF20" s="13"/>
    </row>
    <row r="21" spans="32:34" x14ac:dyDescent="0.25">
      <c r="AF21" s="13"/>
    </row>
    <row r="22" spans="32:34" x14ac:dyDescent="0.25">
      <c r="AF22" s="13"/>
    </row>
    <row r="23" spans="32:34" x14ac:dyDescent="0.25">
      <c r="AF23" s="13"/>
    </row>
    <row r="25" spans="32:34" x14ac:dyDescent="0.25">
      <c r="AF25" s="13"/>
    </row>
    <row r="26" spans="32:34" x14ac:dyDescent="0.25">
      <c r="AF26" s="13"/>
    </row>
    <row r="27" spans="32:34" x14ac:dyDescent="0.25">
      <c r="AF27" s="13"/>
    </row>
    <row r="29" spans="32:34" x14ac:dyDescent="0.25">
      <c r="AF29" s="13"/>
    </row>
    <row r="30" spans="32:34" x14ac:dyDescent="0.25">
      <c r="AF30" s="13"/>
    </row>
    <row r="31" spans="32:34" x14ac:dyDescent="0.25">
      <c r="AH31" s="13"/>
    </row>
    <row r="32" spans="32:34" x14ac:dyDescent="0.25">
      <c r="AF32" s="13"/>
    </row>
    <row r="33" spans="32:33" x14ac:dyDescent="0.25">
      <c r="AF33" s="13"/>
    </row>
    <row r="34" spans="32:33" x14ac:dyDescent="0.25">
      <c r="AF34" s="13"/>
    </row>
    <row r="35" spans="32:33" x14ac:dyDescent="0.25">
      <c r="AF35" s="13"/>
    </row>
    <row r="37" spans="32:33" x14ac:dyDescent="0.25">
      <c r="AG37" s="13"/>
    </row>
    <row r="38" spans="32:33" x14ac:dyDescent="0.25">
      <c r="AG38" s="13"/>
    </row>
    <row r="39" spans="32:33" x14ac:dyDescent="0.25">
      <c r="AG39" s="13"/>
    </row>
    <row r="40" spans="32:33" x14ac:dyDescent="0.25">
      <c r="AG40" s="13"/>
    </row>
    <row r="41" spans="32:33" x14ac:dyDescent="0.25">
      <c r="AG41" s="13"/>
    </row>
    <row r="43" spans="32:33" x14ac:dyDescent="0.25">
      <c r="AF43" s="13"/>
    </row>
    <row r="44" spans="32:33" x14ac:dyDescent="0.25">
      <c r="AF44" s="13"/>
    </row>
    <row r="45" spans="32:33" x14ac:dyDescent="0.25">
      <c r="AF45" s="13"/>
    </row>
    <row r="47" spans="32:33" x14ac:dyDescent="0.25">
      <c r="AF47" s="13"/>
    </row>
    <row r="48" spans="32:33" x14ac:dyDescent="0.25">
      <c r="AF48" s="13"/>
    </row>
    <row r="49" spans="32:32" x14ac:dyDescent="0.25">
      <c r="AF49" s="13"/>
    </row>
    <row r="50" spans="32:32" x14ac:dyDescent="0.25">
      <c r="AF50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3864"/>
  </sheetPr>
  <dimension ref="A1:B28"/>
  <sheetViews>
    <sheetView workbookViewId="0">
      <selection activeCell="B4" sqref="B4"/>
    </sheetView>
  </sheetViews>
  <sheetFormatPr defaultRowHeight="15" x14ac:dyDescent="0.25"/>
  <cols>
    <col min="1" max="1" width="17.7109375" customWidth="1"/>
    <col min="2" max="2" width="15.140625" customWidth="1"/>
  </cols>
  <sheetData>
    <row r="1" spans="1:2" x14ac:dyDescent="0.25">
      <c r="A1" s="6" t="s">
        <v>254</v>
      </c>
      <c r="B1" s="5" t="s">
        <v>255</v>
      </c>
    </row>
    <row r="2" spans="1:2" x14ac:dyDescent="0.25">
      <c r="A2">
        <v>2024</v>
      </c>
      <c r="B2" s="17">
        <f>'BEA Data'!G5*10^6</f>
        <v>21443684658123.168</v>
      </c>
    </row>
    <row r="3" spans="1:2" x14ac:dyDescent="0.25">
      <c r="A3">
        <v>2025</v>
      </c>
      <c r="B3" s="18">
        <f>B2*(1+(('AEO 2026 Table 20'!E6-'AEO 2025 Table 20'!F6)/'AEO 2025 Table 20'!F6))</f>
        <v>21825538331358.785</v>
      </c>
    </row>
    <row r="4" spans="1:2" x14ac:dyDescent="0.25">
      <c r="A4">
        <v>2026</v>
      </c>
      <c r="B4" s="18">
        <f>B3*(1+('AEO 2026 Table 20'!F6/'AEO 2026 Table 20'!E6-1))</f>
        <v>22402540901234.484</v>
      </c>
    </row>
    <row r="5" spans="1:2" x14ac:dyDescent="0.25">
      <c r="A5">
        <v>2027</v>
      </c>
      <c r="B5" s="18">
        <f>B4*(1+('AEO 2026 Table 20'!G6/'AEO 2026 Table 20'!F6-1))</f>
        <v>22823185410025.406</v>
      </c>
    </row>
    <row r="6" spans="1:2" x14ac:dyDescent="0.25">
      <c r="A6">
        <v>2028</v>
      </c>
      <c r="B6" s="18">
        <f>B5*(1+('AEO 2026 Table 20'!H6/'AEO 2026 Table 20'!G6-1))</f>
        <v>23114682186333.645</v>
      </c>
    </row>
    <row r="7" spans="1:2" x14ac:dyDescent="0.25">
      <c r="A7">
        <v>2029</v>
      </c>
      <c r="B7" s="18">
        <f>B6*(1+('AEO 2026 Table 20'!I6/'AEO 2026 Table 20'!H6-1))</f>
        <v>23470576225611.395</v>
      </c>
    </row>
    <row r="8" spans="1:2" x14ac:dyDescent="0.25">
      <c r="A8">
        <v>2030</v>
      </c>
      <c r="B8" s="18">
        <f>B7*(1+('AEO 2026 Table 20'!J6/'AEO 2026 Table 20'!I6-1))</f>
        <v>23881562591933.391</v>
      </c>
    </row>
    <row r="9" spans="1:2" x14ac:dyDescent="0.25">
      <c r="A9">
        <v>2031</v>
      </c>
      <c r="B9" s="18">
        <f>B8*(1+('AEO 2026 Table 20'!K6/'AEO 2026 Table 20'!J6-1))</f>
        <v>24282765360428.703</v>
      </c>
    </row>
    <row r="10" spans="1:2" x14ac:dyDescent="0.25">
      <c r="A10">
        <v>2032</v>
      </c>
      <c r="B10" s="18">
        <f>B9*(1+('AEO 2026 Table 20'!L6/'AEO 2026 Table 20'!K6-1))</f>
        <v>24738821126005.75</v>
      </c>
    </row>
    <row r="11" spans="1:2" x14ac:dyDescent="0.25">
      <c r="A11">
        <v>2033</v>
      </c>
      <c r="B11" s="18">
        <f>B10*(1+('AEO 2026 Table 20'!M6/'AEO 2026 Table 20'!L6-1))</f>
        <v>25221218682484.559</v>
      </c>
    </row>
    <row r="12" spans="1:2" x14ac:dyDescent="0.25">
      <c r="A12">
        <v>2034</v>
      </c>
      <c r="B12" s="18">
        <f>B11*(1+('AEO 2026 Table 20'!N6/'AEO 2026 Table 20'!M6-1))</f>
        <v>25733951374709.309</v>
      </c>
    </row>
    <row r="13" spans="1:2" x14ac:dyDescent="0.25">
      <c r="A13">
        <v>2035</v>
      </c>
      <c r="B13" s="18">
        <f>B12*(1+('AEO 2026 Table 20'!O6/'AEO 2026 Table 20'!N6-1))</f>
        <v>26281834762212.445</v>
      </c>
    </row>
    <row r="14" spans="1:2" x14ac:dyDescent="0.25">
      <c r="A14">
        <v>2036</v>
      </c>
      <c r="B14" s="18">
        <f>B13*(1+('AEO 2026 Table 20'!P6/'AEO 2026 Table 20'!O6-1))</f>
        <v>26744394911726.125</v>
      </c>
    </row>
    <row r="15" spans="1:2" x14ac:dyDescent="0.25">
      <c r="A15">
        <v>2037</v>
      </c>
      <c r="B15" s="18">
        <f>B14*(1+('AEO 2026 Table 20'!Q6/'AEO 2026 Table 20'!P6-1))</f>
        <v>27206557464609.492</v>
      </c>
    </row>
    <row r="16" spans="1:2" x14ac:dyDescent="0.25">
      <c r="A16">
        <v>2038</v>
      </c>
      <c r="B16" s="18">
        <f>B15*(1+('AEO 2026 Table 20'!R6/'AEO 2026 Table 20'!Q6-1))</f>
        <v>27669962991305.668</v>
      </c>
    </row>
    <row r="17" spans="1:2" x14ac:dyDescent="0.25">
      <c r="A17">
        <v>2039</v>
      </c>
      <c r="B17" s="18">
        <f>B16*(1+('AEO 2026 Table 20'!S6/'AEO 2026 Table 20'!R6-1))</f>
        <v>28125300765018.785</v>
      </c>
    </row>
    <row r="18" spans="1:2" x14ac:dyDescent="0.25">
      <c r="A18">
        <v>2040</v>
      </c>
      <c r="B18" s="18">
        <f>B17*(1+('AEO 2026 Table 20'!T6/'AEO 2026 Table 20'!S6-1))</f>
        <v>28584315350240.469</v>
      </c>
    </row>
    <row r="19" spans="1:2" x14ac:dyDescent="0.25">
      <c r="A19">
        <v>2041</v>
      </c>
      <c r="B19" s="18">
        <f>B18*(1+('AEO 2026 Table 20'!U6/'AEO 2026 Table 20'!T6-1))</f>
        <v>29029369634656.645</v>
      </c>
    </row>
    <row r="20" spans="1:2" x14ac:dyDescent="0.25">
      <c r="A20">
        <v>2042</v>
      </c>
      <c r="B20" s="18">
        <f>B19*(1+('AEO 2026 Table 20'!V6/'AEO 2026 Table 20'!U6-1))</f>
        <v>29489924427418.727</v>
      </c>
    </row>
    <row r="21" spans="1:2" x14ac:dyDescent="0.25">
      <c r="A21">
        <v>2043</v>
      </c>
      <c r="B21" s="18">
        <f>B20*(1+('AEO 2026 Table 20'!W6/'AEO 2026 Table 20'!V6-1))</f>
        <v>29963972438849.707</v>
      </c>
    </row>
    <row r="22" spans="1:2" x14ac:dyDescent="0.25">
      <c r="A22">
        <v>2044</v>
      </c>
      <c r="B22" s="18">
        <f>B21*(1+('AEO 2026 Table 20'!X6/'AEO 2026 Table 20'!W6-1))</f>
        <v>30442799339569.684</v>
      </c>
    </row>
    <row r="23" spans="1:2" x14ac:dyDescent="0.25">
      <c r="A23">
        <v>2045</v>
      </c>
      <c r="B23" s="18">
        <f>B22*(1+('AEO 2026 Table 20'!Y6/'AEO 2026 Table 20'!X6-1))</f>
        <v>30925000027200.035</v>
      </c>
    </row>
    <row r="24" spans="1:2" x14ac:dyDescent="0.25">
      <c r="A24">
        <v>2046</v>
      </c>
      <c r="B24" s="18">
        <f>B23*(1+('AEO 2026 Table 20'!Z6/'AEO 2026 Table 20'!Y6-1))</f>
        <v>31395153128705.168</v>
      </c>
    </row>
    <row r="25" spans="1:2" x14ac:dyDescent="0.25">
      <c r="A25">
        <v>2047</v>
      </c>
      <c r="B25" s="18">
        <f>B24*(1+('AEO 2026 Table 20'!AA6/'AEO 2026 Table 20'!Z6-1))</f>
        <v>31846296829792.242</v>
      </c>
    </row>
    <row r="26" spans="1:2" x14ac:dyDescent="0.25">
      <c r="A26">
        <v>2048</v>
      </c>
      <c r="B26" s="18">
        <f>B25*(1+('AEO 2026 Table 20'!AB6/'AEO 2026 Table 20'!AA6-1))</f>
        <v>32295491145955.59</v>
      </c>
    </row>
    <row r="27" spans="1:2" x14ac:dyDescent="0.25">
      <c r="A27">
        <v>2049</v>
      </c>
      <c r="B27" s="18">
        <f>B26*(1+('AEO 2026 Table 20'!AC6/'AEO 2026 Table 20'!AB6-1))</f>
        <v>32734311257746.883</v>
      </c>
    </row>
    <row r="28" spans="1:2" x14ac:dyDescent="0.25">
      <c r="A28">
        <v>2050</v>
      </c>
      <c r="B28" s="18">
        <f>B27*(1+('AEO 2026 Table 20'!AD6/'AEO 2026 Table 20'!AC6-1))</f>
        <v>33186777066968.883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BEA Data</vt:lpstr>
      <vt:lpstr>AEO 2025 Table 20</vt:lpstr>
      <vt:lpstr>AEO 2026 Table 20</vt:lpstr>
      <vt:lpstr>calcs</vt:lpstr>
      <vt:lpstr>BGDP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2019-12-02T22:49:06Z</dcterms:created>
  <dcterms:modified xsi:type="dcterms:W3CDTF">2026-08-27T18:19:06Z</dcterms:modified>
</cp:coreProperties>
</file>