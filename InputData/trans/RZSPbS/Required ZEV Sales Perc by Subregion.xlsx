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RZSPbS\"/>
    </mc:Choice>
  </mc:AlternateContent>
  <xr:revisionPtr revIDLastSave="0" documentId="13_ncr:1_{D408AA90-F290-4E93-8DC6-4B5780C93E14}" xr6:coauthVersionLast="47" xr6:coauthVersionMax="47" xr10:uidLastSave="{00000000-0000-0000-0000-000000000000}"/>
  <bookViews>
    <workbookView xWindow="-120" yWindow="-120" windowWidth="29040" windowHeight="17520" xr2:uid="{8F1AFB95-7E48-4A2A-86D9-67ED7638AFF8}"/>
  </bookViews>
  <sheets>
    <sheet name="About" sheetId="1" r:id="rId1"/>
    <sheet name="CA Standards and Followers" sheetId="9" r:id="rId2"/>
    <sheet name="Schedules" sheetId="19" r:id="rId3"/>
    <sheet name="State Map" sheetId="20" r:id="rId4"/>
    <sheet name="RZSPbS-psgr-ldv" sheetId="2" r:id="rId5"/>
    <sheet name="RZSPbS-psgr-hdv" sheetId="3" r:id="rId6"/>
    <sheet name="RZSPbS-psgr-aircraft" sheetId="13" r:id="rId7"/>
    <sheet name="RZSPbS-psgr-rail" sheetId="14" r:id="rId8"/>
    <sheet name="RZSPbS-psgr-ships" sheetId="15" r:id="rId9"/>
    <sheet name="RZSPbS-psgr-mtrbk" sheetId="4" r:id="rId10"/>
    <sheet name="RZSPbS-frgt-ldv" sheetId="5" r:id="rId11"/>
    <sheet name="RZSPbS-frgt-hdv" sheetId="6" r:id="rId12"/>
    <sheet name="RZSPbS-frgt-aircraft" sheetId="16" r:id="rId13"/>
    <sheet name="RZSPbS-frgt-rail" sheetId="17" r:id="rId14"/>
    <sheet name="RZSPbS-frgt-ships" sheetId="18" r:id="rId15"/>
    <sheet name="RZSPbS-frgt-mtrbk" sheetId="7" r:id="rId16"/>
  </sheets>
  <externalReferences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" i="6" l="1"/>
  <c r="L61" i="6" s="1"/>
  <c r="M61" i="6" s="1"/>
  <c r="N61" i="6" s="1"/>
  <c r="O61" i="6" s="1"/>
  <c r="P61" i="6" s="1"/>
  <c r="Q61" i="6" s="1"/>
  <c r="R61" i="6" s="1"/>
  <c r="S61" i="6" s="1"/>
  <c r="T61" i="6" s="1"/>
  <c r="U61" i="6" s="1"/>
  <c r="V61" i="6" s="1"/>
  <c r="W61" i="6" s="1"/>
  <c r="X61" i="6" s="1"/>
  <c r="Y61" i="6" s="1"/>
  <c r="Z61" i="6" s="1"/>
  <c r="AA61" i="6" s="1"/>
  <c r="AB61" i="6" s="1"/>
  <c r="AC61" i="6" s="1"/>
  <c r="AD61" i="6" s="1"/>
  <c r="AE61" i="6" s="1"/>
  <c r="AF61" i="6" s="1"/>
  <c r="L60" i="6"/>
  <c r="M60" i="6" s="1"/>
  <c r="N60" i="6" s="1"/>
  <c r="O60" i="6" s="1"/>
  <c r="P60" i="6" s="1"/>
  <c r="Q60" i="6" s="1"/>
  <c r="R60" i="6" s="1"/>
  <c r="S60" i="6" s="1"/>
  <c r="T60" i="6" s="1"/>
  <c r="U60" i="6" s="1"/>
  <c r="V60" i="6" s="1"/>
  <c r="W60" i="6" s="1"/>
  <c r="X60" i="6" s="1"/>
  <c r="Y60" i="6" s="1"/>
  <c r="Z60" i="6" s="1"/>
  <c r="AA60" i="6" s="1"/>
  <c r="AB60" i="6" s="1"/>
  <c r="AC60" i="6" s="1"/>
  <c r="AD60" i="6" s="1"/>
  <c r="AE60" i="6" s="1"/>
  <c r="AF60" i="6" s="1"/>
  <c r="K60" i="6"/>
  <c r="U59" i="6"/>
  <c r="V59" i="6" s="1"/>
  <c r="W59" i="6" s="1"/>
  <c r="X59" i="6" s="1"/>
  <c r="Y59" i="6" s="1"/>
  <c r="Z59" i="6" s="1"/>
  <c r="AA59" i="6" s="1"/>
  <c r="AB59" i="6" s="1"/>
  <c r="AC59" i="6" s="1"/>
  <c r="AD59" i="6" s="1"/>
  <c r="AE59" i="6" s="1"/>
  <c r="AF59" i="6" s="1"/>
  <c r="K59" i="6"/>
  <c r="L59" i="6" s="1"/>
  <c r="M59" i="6" s="1"/>
  <c r="N59" i="6" s="1"/>
  <c r="O59" i="6" s="1"/>
  <c r="P59" i="6" s="1"/>
  <c r="Q59" i="6" s="1"/>
  <c r="R59" i="6" s="1"/>
  <c r="S59" i="6" s="1"/>
  <c r="T59" i="6" s="1"/>
  <c r="L58" i="6"/>
  <c r="M58" i="6" s="1"/>
  <c r="N58" i="6" s="1"/>
  <c r="O58" i="6" s="1"/>
  <c r="P58" i="6" s="1"/>
  <c r="Q58" i="6" s="1"/>
  <c r="R58" i="6" s="1"/>
  <c r="S58" i="6" s="1"/>
  <c r="T58" i="6" s="1"/>
  <c r="U58" i="6" s="1"/>
  <c r="V58" i="6" s="1"/>
  <c r="W58" i="6" s="1"/>
  <c r="X58" i="6" s="1"/>
  <c r="Y58" i="6" s="1"/>
  <c r="Z58" i="6" s="1"/>
  <c r="AA58" i="6" s="1"/>
  <c r="AB58" i="6" s="1"/>
  <c r="AC58" i="6" s="1"/>
  <c r="AD58" i="6" s="1"/>
  <c r="AE58" i="6" s="1"/>
  <c r="AF58" i="6" s="1"/>
  <c r="K58" i="6"/>
  <c r="K57" i="6"/>
  <c r="L57" i="6" s="1"/>
  <c r="M57" i="6" s="1"/>
  <c r="N57" i="6" s="1"/>
  <c r="O57" i="6" s="1"/>
  <c r="P57" i="6" s="1"/>
  <c r="Q57" i="6" s="1"/>
  <c r="R57" i="6" s="1"/>
  <c r="S57" i="6" s="1"/>
  <c r="T57" i="6" s="1"/>
  <c r="U57" i="6" s="1"/>
  <c r="V57" i="6" s="1"/>
  <c r="W57" i="6" s="1"/>
  <c r="X57" i="6" s="1"/>
  <c r="Y57" i="6" s="1"/>
  <c r="Z57" i="6" s="1"/>
  <c r="AA57" i="6" s="1"/>
  <c r="AB57" i="6" s="1"/>
  <c r="AC57" i="6" s="1"/>
  <c r="AD57" i="6" s="1"/>
  <c r="AE57" i="6" s="1"/>
  <c r="AF57" i="6" s="1"/>
  <c r="K56" i="6"/>
  <c r="L56" i="6" s="1"/>
  <c r="M56" i="6" s="1"/>
  <c r="N56" i="6" s="1"/>
  <c r="O56" i="6" s="1"/>
  <c r="P56" i="6" s="1"/>
  <c r="Q56" i="6" s="1"/>
  <c r="R56" i="6" s="1"/>
  <c r="S56" i="6" s="1"/>
  <c r="T56" i="6" s="1"/>
  <c r="U56" i="6" s="1"/>
  <c r="V56" i="6" s="1"/>
  <c r="W56" i="6" s="1"/>
  <c r="X56" i="6" s="1"/>
  <c r="Y56" i="6" s="1"/>
  <c r="Z56" i="6" s="1"/>
  <c r="AA56" i="6" s="1"/>
  <c r="AB56" i="6" s="1"/>
  <c r="AC56" i="6" s="1"/>
  <c r="AD56" i="6" s="1"/>
  <c r="AE56" i="6" s="1"/>
  <c r="AF56" i="6" s="1"/>
  <c r="L55" i="6"/>
  <c r="M55" i="6" s="1"/>
  <c r="N55" i="6" s="1"/>
  <c r="O55" i="6" s="1"/>
  <c r="P55" i="6" s="1"/>
  <c r="Q55" i="6" s="1"/>
  <c r="R55" i="6" s="1"/>
  <c r="S55" i="6" s="1"/>
  <c r="T55" i="6" s="1"/>
  <c r="U55" i="6" s="1"/>
  <c r="V55" i="6" s="1"/>
  <c r="W55" i="6" s="1"/>
  <c r="X55" i="6" s="1"/>
  <c r="Y55" i="6" s="1"/>
  <c r="Z55" i="6" s="1"/>
  <c r="AA55" i="6" s="1"/>
  <c r="AB55" i="6" s="1"/>
  <c r="AC55" i="6" s="1"/>
  <c r="AD55" i="6" s="1"/>
  <c r="AE55" i="6" s="1"/>
  <c r="AF55" i="6" s="1"/>
  <c r="K55" i="6"/>
  <c r="K54" i="6"/>
  <c r="L54" i="6" s="1"/>
  <c r="M54" i="6" s="1"/>
  <c r="N54" i="6" s="1"/>
  <c r="O54" i="6" s="1"/>
  <c r="P54" i="6" s="1"/>
  <c r="Q54" i="6" s="1"/>
  <c r="R54" i="6" s="1"/>
  <c r="S54" i="6" s="1"/>
  <c r="T54" i="6" s="1"/>
  <c r="U54" i="6" s="1"/>
  <c r="V54" i="6" s="1"/>
  <c r="W54" i="6" s="1"/>
  <c r="X54" i="6" s="1"/>
  <c r="Y54" i="6" s="1"/>
  <c r="Z54" i="6" s="1"/>
  <c r="AA54" i="6" s="1"/>
  <c r="AB54" i="6" s="1"/>
  <c r="AC54" i="6" s="1"/>
  <c r="AD54" i="6" s="1"/>
  <c r="AE54" i="6" s="1"/>
  <c r="AF54" i="6" s="1"/>
  <c r="K53" i="6"/>
  <c r="L53" i="6" s="1"/>
  <c r="M53" i="6" s="1"/>
  <c r="N53" i="6" s="1"/>
  <c r="O53" i="6" s="1"/>
  <c r="P53" i="6" s="1"/>
  <c r="Q53" i="6" s="1"/>
  <c r="R53" i="6" s="1"/>
  <c r="S53" i="6" s="1"/>
  <c r="T53" i="6" s="1"/>
  <c r="U53" i="6" s="1"/>
  <c r="V53" i="6" s="1"/>
  <c r="W53" i="6" s="1"/>
  <c r="X53" i="6" s="1"/>
  <c r="Y53" i="6" s="1"/>
  <c r="Z53" i="6" s="1"/>
  <c r="AA53" i="6" s="1"/>
  <c r="AB53" i="6" s="1"/>
  <c r="AC53" i="6" s="1"/>
  <c r="AD53" i="6" s="1"/>
  <c r="AE53" i="6" s="1"/>
  <c r="AF53" i="6" s="1"/>
  <c r="K52" i="6"/>
  <c r="L52" i="6" s="1"/>
  <c r="M52" i="6" s="1"/>
  <c r="N52" i="6" s="1"/>
  <c r="O52" i="6" s="1"/>
  <c r="P52" i="6" s="1"/>
  <c r="Q52" i="6" s="1"/>
  <c r="R52" i="6" s="1"/>
  <c r="S52" i="6" s="1"/>
  <c r="T52" i="6" s="1"/>
  <c r="U52" i="6" s="1"/>
  <c r="V52" i="6" s="1"/>
  <c r="W52" i="6" s="1"/>
  <c r="X52" i="6" s="1"/>
  <c r="Y52" i="6" s="1"/>
  <c r="Z52" i="6" s="1"/>
  <c r="AA52" i="6" s="1"/>
  <c r="AB52" i="6" s="1"/>
  <c r="AC52" i="6" s="1"/>
  <c r="AD52" i="6" s="1"/>
  <c r="AE52" i="6" s="1"/>
  <c r="AF52" i="6" s="1"/>
  <c r="K51" i="6"/>
  <c r="L51" i="6" s="1"/>
  <c r="M51" i="6" s="1"/>
  <c r="N51" i="6" s="1"/>
  <c r="O51" i="6" s="1"/>
  <c r="P51" i="6" s="1"/>
  <c r="Q51" i="6" s="1"/>
  <c r="R51" i="6" s="1"/>
  <c r="S51" i="6" s="1"/>
  <c r="T51" i="6" s="1"/>
  <c r="U51" i="6" s="1"/>
  <c r="V51" i="6" s="1"/>
  <c r="W51" i="6" s="1"/>
  <c r="X51" i="6" s="1"/>
  <c r="Y51" i="6" s="1"/>
  <c r="Z51" i="6" s="1"/>
  <c r="AA51" i="6" s="1"/>
  <c r="AB51" i="6" s="1"/>
  <c r="AC51" i="6" s="1"/>
  <c r="AD51" i="6" s="1"/>
  <c r="AE51" i="6" s="1"/>
  <c r="AF51" i="6" s="1"/>
  <c r="K50" i="6"/>
  <c r="L50" i="6" s="1"/>
  <c r="M50" i="6" s="1"/>
  <c r="N50" i="6" s="1"/>
  <c r="O50" i="6" s="1"/>
  <c r="P50" i="6" s="1"/>
  <c r="Q50" i="6" s="1"/>
  <c r="R50" i="6" s="1"/>
  <c r="S50" i="6" s="1"/>
  <c r="T50" i="6" s="1"/>
  <c r="U50" i="6" s="1"/>
  <c r="V50" i="6" s="1"/>
  <c r="W50" i="6" s="1"/>
  <c r="X50" i="6" s="1"/>
  <c r="Y50" i="6" s="1"/>
  <c r="Z50" i="6" s="1"/>
  <c r="AA50" i="6" s="1"/>
  <c r="AB50" i="6" s="1"/>
  <c r="AC50" i="6" s="1"/>
  <c r="AD50" i="6" s="1"/>
  <c r="AE50" i="6" s="1"/>
  <c r="AF50" i="6" s="1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K48" i="6"/>
  <c r="L48" i="6" s="1"/>
  <c r="M48" i="6" s="1"/>
  <c r="N48" i="6" s="1"/>
  <c r="O48" i="6" s="1"/>
  <c r="P48" i="6" s="1"/>
  <c r="Q48" i="6" s="1"/>
  <c r="R48" i="6" s="1"/>
  <c r="S48" i="6" s="1"/>
  <c r="T48" i="6" s="1"/>
  <c r="U48" i="6" s="1"/>
  <c r="V48" i="6" s="1"/>
  <c r="W48" i="6" s="1"/>
  <c r="X48" i="6" s="1"/>
  <c r="Y48" i="6" s="1"/>
  <c r="Z48" i="6" s="1"/>
  <c r="AA48" i="6" s="1"/>
  <c r="AB48" i="6" s="1"/>
  <c r="AC48" i="6" s="1"/>
  <c r="AD48" i="6" s="1"/>
  <c r="AE48" i="6" s="1"/>
  <c r="AF48" i="6" s="1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K46" i="6"/>
  <c r="L46" i="6" s="1"/>
  <c r="M46" i="6" s="1"/>
  <c r="N46" i="6" s="1"/>
  <c r="O46" i="6" s="1"/>
  <c r="P46" i="6" s="1"/>
  <c r="Q46" i="6" s="1"/>
  <c r="R46" i="6" s="1"/>
  <c r="S46" i="6" s="1"/>
  <c r="T46" i="6" s="1"/>
  <c r="U46" i="6" s="1"/>
  <c r="V46" i="6" s="1"/>
  <c r="W46" i="6" s="1"/>
  <c r="X46" i="6" s="1"/>
  <c r="Y46" i="6" s="1"/>
  <c r="Z46" i="6" s="1"/>
  <c r="AA46" i="6" s="1"/>
  <c r="AB46" i="6" s="1"/>
  <c r="AC46" i="6" s="1"/>
  <c r="AD46" i="6" s="1"/>
  <c r="AE46" i="6" s="1"/>
  <c r="AF46" i="6" s="1"/>
  <c r="K45" i="6"/>
  <c r="L45" i="6" s="1"/>
  <c r="M45" i="6" s="1"/>
  <c r="N45" i="6" s="1"/>
  <c r="O45" i="6" s="1"/>
  <c r="P45" i="6" s="1"/>
  <c r="Q45" i="6" s="1"/>
  <c r="R45" i="6" s="1"/>
  <c r="S45" i="6" s="1"/>
  <c r="T45" i="6" s="1"/>
  <c r="U45" i="6" s="1"/>
  <c r="V45" i="6" s="1"/>
  <c r="W45" i="6" s="1"/>
  <c r="X45" i="6" s="1"/>
  <c r="Y45" i="6" s="1"/>
  <c r="Z45" i="6" s="1"/>
  <c r="AA45" i="6" s="1"/>
  <c r="AB45" i="6" s="1"/>
  <c r="AC45" i="6" s="1"/>
  <c r="AD45" i="6" s="1"/>
  <c r="AE45" i="6" s="1"/>
  <c r="AF45" i="6" s="1"/>
  <c r="M44" i="6"/>
  <c r="N44" i="6" s="1"/>
  <c r="O44" i="6" s="1"/>
  <c r="P44" i="6" s="1"/>
  <c r="Q44" i="6" s="1"/>
  <c r="R44" i="6" s="1"/>
  <c r="S44" i="6" s="1"/>
  <c r="T44" i="6" s="1"/>
  <c r="U44" i="6" s="1"/>
  <c r="V44" i="6" s="1"/>
  <c r="W44" i="6" s="1"/>
  <c r="X44" i="6" s="1"/>
  <c r="Y44" i="6" s="1"/>
  <c r="Z44" i="6" s="1"/>
  <c r="AA44" i="6" s="1"/>
  <c r="AB44" i="6" s="1"/>
  <c r="AC44" i="6" s="1"/>
  <c r="AD44" i="6" s="1"/>
  <c r="AE44" i="6" s="1"/>
  <c r="AF44" i="6" s="1"/>
  <c r="K44" i="6"/>
  <c r="L44" i="6" s="1"/>
  <c r="L43" i="6"/>
  <c r="M43" i="6" s="1"/>
  <c r="N43" i="6" s="1"/>
  <c r="O43" i="6" s="1"/>
  <c r="P43" i="6" s="1"/>
  <c r="Q43" i="6" s="1"/>
  <c r="R43" i="6" s="1"/>
  <c r="S43" i="6" s="1"/>
  <c r="T43" i="6" s="1"/>
  <c r="U43" i="6" s="1"/>
  <c r="V43" i="6" s="1"/>
  <c r="W43" i="6" s="1"/>
  <c r="X43" i="6" s="1"/>
  <c r="Y43" i="6" s="1"/>
  <c r="Z43" i="6" s="1"/>
  <c r="AA43" i="6" s="1"/>
  <c r="AB43" i="6" s="1"/>
  <c r="AC43" i="6" s="1"/>
  <c r="AD43" i="6" s="1"/>
  <c r="AE43" i="6" s="1"/>
  <c r="AF43" i="6" s="1"/>
  <c r="K43" i="6"/>
  <c r="K42" i="6"/>
  <c r="L42" i="6" s="1"/>
  <c r="M42" i="6" s="1"/>
  <c r="N42" i="6" s="1"/>
  <c r="O42" i="6" s="1"/>
  <c r="P42" i="6" s="1"/>
  <c r="Q42" i="6" s="1"/>
  <c r="R42" i="6" s="1"/>
  <c r="S42" i="6" s="1"/>
  <c r="T42" i="6" s="1"/>
  <c r="U42" i="6" s="1"/>
  <c r="V42" i="6" s="1"/>
  <c r="W42" i="6" s="1"/>
  <c r="X42" i="6" s="1"/>
  <c r="Y42" i="6" s="1"/>
  <c r="Z42" i="6" s="1"/>
  <c r="AA42" i="6" s="1"/>
  <c r="AB42" i="6" s="1"/>
  <c r="AC42" i="6" s="1"/>
  <c r="AD42" i="6" s="1"/>
  <c r="AE42" i="6" s="1"/>
  <c r="AF42" i="6" s="1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K40" i="6"/>
  <c r="L40" i="6" s="1"/>
  <c r="M40" i="6" s="1"/>
  <c r="N40" i="6" s="1"/>
  <c r="O40" i="6" s="1"/>
  <c r="P40" i="6" s="1"/>
  <c r="Q40" i="6" s="1"/>
  <c r="R40" i="6" s="1"/>
  <c r="S40" i="6" s="1"/>
  <c r="T40" i="6" s="1"/>
  <c r="U40" i="6" s="1"/>
  <c r="V40" i="6" s="1"/>
  <c r="W40" i="6" s="1"/>
  <c r="X40" i="6" s="1"/>
  <c r="Y40" i="6" s="1"/>
  <c r="Z40" i="6" s="1"/>
  <c r="AA40" i="6" s="1"/>
  <c r="AB40" i="6" s="1"/>
  <c r="AC40" i="6" s="1"/>
  <c r="AD40" i="6" s="1"/>
  <c r="AE40" i="6" s="1"/>
  <c r="AF40" i="6" s="1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W38" i="6"/>
  <c r="X38" i="6" s="1"/>
  <c r="Y38" i="6" s="1"/>
  <c r="Z38" i="6" s="1"/>
  <c r="AA38" i="6" s="1"/>
  <c r="AB38" i="6" s="1"/>
  <c r="AC38" i="6" s="1"/>
  <c r="AD38" i="6" s="1"/>
  <c r="AE38" i="6" s="1"/>
  <c r="AF38" i="6" s="1"/>
  <c r="K38" i="6"/>
  <c r="L38" i="6" s="1"/>
  <c r="M38" i="6" s="1"/>
  <c r="N38" i="6" s="1"/>
  <c r="O38" i="6" s="1"/>
  <c r="P38" i="6" s="1"/>
  <c r="Q38" i="6" s="1"/>
  <c r="R38" i="6" s="1"/>
  <c r="S38" i="6" s="1"/>
  <c r="T38" i="6" s="1"/>
  <c r="U38" i="6" s="1"/>
  <c r="V38" i="6" s="1"/>
  <c r="T37" i="6"/>
  <c r="U37" i="6" s="1"/>
  <c r="V37" i="6" s="1"/>
  <c r="W37" i="6" s="1"/>
  <c r="X37" i="6" s="1"/>
  <c r="Y37" i="6" s="1"/>
  <c r="Z37" i="6" s="1"/>
  <c r="AA37" i="6" s="1"/>
  <c r="AB37" i="6" s="1"/>
  <c r="AC37" i="6" s="1"/>
  <c r="AD37" i="6" s="1"/>
  <c r="AE37" i="6" s="1"/>
  <c r="AF37" i="6" s="1"/>
  <c r="L37" i="6"/>
  <c r="M37" i="6" s="1"/>
  <c r="N37" i="6" s="1"/>
  <c r="O37" i="6" s="1"/>
  <c r="P37" i="6" s="1"/>
  <c r="Q37" i="6" s="1"/>
  <c r="R37" i="6" s="1"/>
  <c r="S37" i="6" s="1"/>
  <c r="K37" i="6"/>
  <c r="K36" i="6"/>
  <c r="L36" i="6" s="1"/>
  <c r="M36" i="6" s="1"/>
  <c r="N36" i="6" s="1"/>
  <c r="O36" i="6" s="1"/>
  <c r="P36" i="6" s="1"/>
  <c r="Q36" i="6" s="1"/>
  <c r="R36" i="6" s="1"/>
  <c r="S36" i="6" s="1"/>
  <c r="T36" i="6" s="1"/>
  <c r="U36" i="6" s="1"/>
  <c r="V36" i="6" s="1"/>
  <c r="W36" i="6" s="1"/>
  <c r="X36" i="6" s="1"/>
  <c r="Y36" i="6" s="1"/>
  <c r="Z36" i="6" s="1"/>
  <c r="AA36" i="6" s="1"/>
  <c r="AB36" i="6" s="1"/>
  <c r="AC36" i="6" s="1"/>
  <c r="AD36" i="6" s="1"/>
  <c r="AE36" i="6" s="1"/>
  <c r="AF36" i="6" s="1"/>
  <c r="K35" i="6"/>
  <c r="L35" i="6" s="1"/>
  <c r="M35" i="6" s="1"/>
  <c r="N35" i="6" s="1"/>
  <c r="O35" i="6" s="1"/>
  <c r="P35" i="6" s="1"/>
  <c r="Q35" i="6" s="1"/>
  <c r="R35" i="6" s="1"/>
  <c r="S35" i="6" s="1"/>
  <c r="T35" i="6" s="1"/>
  <c r="U35" i="6" s="1"/>
  <c r="V35" i="6" s="1"/>
  <c r="W35" i="6" s="1"/>
  <c r="X35" i="6" s="1"/>
  <c r="Y35" i="6" s="1"/>
  <c r="Z35" i="6" s="1"/>
  <c r="AA35" i="6" s="1"/>
  <c r="AB35" i="6" s="1"/>
  <c r="AC35" i="6" s="1"/>
  <c r="AD35" i="6" s="1"/>
  <c r="AE35" i="6" s="1"/>
  <c r="AF35" i="6" s="1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K31" i="6"/>
  <c r="L31" i="6" s="1"/>
  <c r="M31" i="6" s="1"/>
  <c r="N31" i="6" s="1"/>
  <c r="O31" i="6" s="1"/>
  <c r="P31" i="6" s="1"/>
  <c r="Q31" i="6" s="1"/>
  <c r="R31" i="6" s="1"/>
  <c r="S31" i="6" s="1"/>
  <c r="T31" i="6" s="1"/>
  <c r="U31" i="6" s="1"/>
  <c r="V31" i="6" s="1"/>
  <c r="W31" i="6" s="1"/>
  <c r="X31" i="6" s="1"/>
  <c r="Y31" i="6" s="1"/>
  <c r="Z31" i="6" s="1"/>
  <c r="AA31" i="6" s="1"/>
  <c r="AB31" i="6" s="1"/>
  <c r="AC31" i="6" s="1"/>
  <c r="AD31" i="6" s="1"/>
  <c r="AE31" i="6" s="1"/>
  <c r="AF31" i="6" s="1"/>
  <c r="K30" i="6"/>
  <c r="L30" i="6" s="1"/>
  <c r="M30" i="6" s="1"/>
  <c r="N30" i="6" s="1"/>
  <c r="O30" i="6" s="1"/>
  <c r="P30" i="6" s="1"/>
  <c r="Q30" i="6" s="1"/>
  <c r="R30" i="6" s="1"/>
  <c r="S30" i="6" s="1"/>
  <c r="T30" i="6" s="1"/>
  <c r="U30" i="6" s="1"/>
  <c r="V30" i="6" s="1"/>
  <c r="W30" i="6" s="1"/>
  <c r="X30" i="6" s="1"/>
  <c r="Y30" i="6" s="1"/>
  <c r="Z30" i="6" s="1"/>
  <c r="AA30" i="6" s="1"/>
  <c r="AB30" i="6" s="1"/>
  <c r="AC30" i="6" s="1"/>
  <c r="AD30" i="6" s="1"/>
  <c r="AE30" i="6" s="1"/>
  <c r="AF30" i="6" s="1"/>
  <c r="K29" i="6"/>
  <c r="L29" i="6" s="1"/>
  <c r="M29" i="6" s="1"/>
  <c r="N29" i="6" s="1"/>
  <c r="O29" i="6" s="1"/>
  <c r="P29" i="6" s="1"/>
  <c r="Q29" i="6" s="1"/>
  <c r="R29" i="6" s="1"/>
  <c r="S29" i="6" s="1"/>
  <c r="T29" i="6" s="1"/>
  <c r="U29" i="6" s="1"/>
  <c r="V29" i="6" s="1"/>
  <c r="W29" i="6" s="1"/>
  <c r="X29" i="6" s="1"/>
  <c r="Y29" i="6" s="1"/>
  <c r="Z29" i="6" s="1"/>
  <c r="AA29" i="6" s="1"/>
  <c r="AB29" i="6" s="1"/>
  <c r="AC29" i="6" s="1"/>
  <c r="AD29" i="6" s="1"/>
  <c r="AE29" i="6" s="1"/>
  <c r="AF29" i="6" s="1"/>
  <c r="K28" i="6"/>
  <c r="L28" i="6" s="1"/>
  <c r="M28" i="6" s="1"/>
  <c r="N28" i="6" s="1"/>
  <c r="O28" i="6" s="1"/>
  <c r="P28" i="6" s="1"/>
  <c r="Q28" i="6" s="1"/>
  <c r="R28" i="6" s="1"/>
  <c r="S28" i="6" s="1"/>
  <c r="T28" i="6" s="1"/>
  <c r="U28" i="6" s="1"/>
  <c r="V28" i="6" s="1"/>
  <c r="W28" i="6" s="1"/>
  <c r="X28" i="6" s="1"/>
  <c r="Y28" i="6" s="1"/>
  <c r="Z28" i="6" s="1"/>
  <c r="AA28" i="6" s="1"/>
  <c r="AB28" i="6" s="1"/>
  <c r="AC28" i="6" s="1"/>
  <c r="AD28" i="6" s="1"/>
  <c r="AE28" i="6" s="1"/>
  <c r="AF28" i="6" s="1"/>
  <c r="K27" i="6"/>
  <c r="L27" i="6" s="1"/>
  <c r="M27" i="6" s="1"/>
  <c r="N27" i="6" s="1"/>
  <c r="O27" i="6" s="1"/>
  <c r="P27" i="6" s="1"/>
  <c r="Q27" i="6" s="1"/>
  <c r="R27" i="6" s="1"/>
  <c r="S27" i="6" s="1"/>
  <c r="T27" i="6" s="1"/>
  <c r="U27" i="6" s="1"/>
  <c r="V27" i="6" s="1"/>
  <c r="W27" i="6" s="1"/>
  <c r="X27" i="6" s="1"/>
  <c r="Y27" i="6" s="1"/>
  <c r="Z27" i="6" s="1"/>
  <c r="AA27" i="6" s="1"/>
  <c r="AB27" i="6" s="1"/>
  <c r="AC27" i="6" s="1"/>
  <c r="AD27" i="6" s="1"/>
  <c r="AE27" i="6" s="1"/>
  <c r="AF27" i="6" s="1"/>
  <c r="K26" i="6"/>
  <c r="L26" i="6" s="1"/>
  <c r="M26" i="6" s="1"/>
  <c r="N26" i="6" s="1"/>
  <c r="O26" i="6" s="1"/>
  <c r="P26" i="6" s="1"/>
  <c r="Q26" i="6" s="1"/>
  <c r="R26" i="6" s="1"/>
  <c r="S26" i="6" s="1"/>
  <c r="T26" i="6" s="1"/>
  <c r="U26" i="6" s="1"/>
  <c r="V26" i="6" s="1"/>
  <c r="W26" i="6" s="1"/>
  <c r="X26" i="6" s="1"/>
  <c r="Y26" i="6" s="1"/>
  <c r="Z26" i="6" s="1"/>
  <c r="AA26" i="6" s="1"/>
  <c r="AB26" i="6" s="1"/>
  <c r="AC26" i="6" s="1"/>
  <c r="AD26" i="6" s="1"/>
  <c r="AE26" i="6" s="1"/>
  <c r="AF26" i="6" s="1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L20" i="6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AF20" i="6" s="1"/>
  <c r="K20" i="6"/>
  <c r="K19" i="6"/>
  <c r="L19" i="6" s="1"/>
  <c r="M19" i="6" s="1"/>
  <c r="N19" i="6" s="1"/>
  <c r="O19" i="6" s="1"/>
  <c r="P19" i="6" s="1"/>
  <c r="Q19" i="6" s="1"/>
  <c r="R19" i="6" s="1"/>
  <c r="S19" i="6" s="1"/>
  <c r="T19" i="6" s="1"/>
  <c r="U19" i="6" s="1"/>
  <c r="V19" i="6" s="1"/>
  <c r="W19" i="6" s="1"/>
  <c r="X19" i="6" s="1"/>
  <c r="Y19" i="6" s="1"/>
  <c r="Z19" i="6" s="1"/>
  <c r="AA19" i="6" s="1"/>
  <c r="AB19" i="6" s="1"/>
  <c r="AC19" i="6" s="1"/>
  <c r="AD19" i="6" s="1"/>
  <c r="AE19" i="6" s="1"/>
  <c r="AF19" i="6" s="1"/>
  <c r="K18" i="6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K17" i="6"/>
  <c r="L17" i="6" s="1"/>
  <c r="M17" i="6" s="1"/>
  <c r="N17" i="6" s="1"/>
  <c r="O17" i="6" s="1"/>
  <c r="P17" i="6" s="1"/>
  <c r="Q17" i="6" s="1"/>
  <c r="R17" i="6" s="1"/>
  <c r="S17" i="6" s="1"/>
  <c r="T17" i="6" s="1"/>
  <c r="U17" i="6" s="1"/>
  <c r="V17" i="6" s="1"/>
  <c r="W17" i="6" s="1"/>
  <c r="X17" i="6" s="1"/>
  <c r="Y17" i="6" s="1"/>
  <c r="Z17" i="6" s="1"/>
  <c r="AA17" i="6" s="1"/>
  <c r="AB17" i="6" s="1"/>
  <c r="AC17" i="6" s="1"/>
  <c r="AD17" i="6" s="1"/>
  <c r="AE17" i="6" s="1"/>
  <c r="AF17" i="6" s="1"/>
  <c r="L16" i="6"/>
  <c r="M16" i="6" s="1"/>
  <c r="N16" i="6" s="1"/>
  <c r="O16" i="6" s="1"/>
  <c r="P16" i="6" s="1"/>
  <c r="Q16" i="6" s="1"/>
  <c r="R16" i="6" s="1"/>
  <c r="S16" i="6" s="1"/>
  <c r="T16" i="6" s="1"/>
  <c r="U16" i="6" s="1"/>
  <c r="V16" i="6" s="1"/>
  <c r="W16" i="6" s="1"/>
  <c r="X16" i="6" s="1"/>
  <c r="Y16" i="6" s="1"/>
  <c r="Z16" i="6" s="1"/>
  <c r="AA16" i="6" s="1"/>
  <c r="AB16" i="6" s="1"/>
  <c r="AC16" i="6" s="1"/>
  <c r="AD16" i="6" s="1"/>
  <c r="AE16" i="6" s="1"/>
  <c r="AF16" i="6" s="1"/>
  <c r="K16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K14" i="6"/>
  <c r="L14" i="6" s="1"/>
  <c r="M14" i="6" s="1"/>
  <c r="N14" i="6" s="1"/>
  <c r="O14" i="6" s="1"/>
  <c r="P14" i="6" s="1"/>
  <c r="Q14" i="6" s="1"/>
  <c r="R14" i="6" s="1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K13" i="6"/>
  <c r="L13" i="6" s="1"/>
  <c r="M13" i="6" s="1"/>
  <c r="N13" i="6" s="1"/>
  <c r="O13" i="6" s="1"/>
  <c r="P13" i="6" s="1"/>
  <c r="Q13" i="6" s="1"/>
  <c r="R13" i="6" s="1"/>
  <c r="S13" i="6" s="1"/>
  <c r="T13" i="6" s="1"/>
  <c r="U13" i="6" s="1"/>
  <c r="V13" i="6" s="1"/>
  <c r="W13" i="6" s="1"/>
  <c r="X13" i="6" s="1"/>
  <c r="Y13" i="6" s="1"/>
  <c r="Z13" i="6" s="1"/>
  <c r="AA13" i="6" s="1"/>
  <c r="AB13" i="6" s="1"/>
  <c r="AC13" i="6" s="1"/>
  <c r="AD13" i="6" s="1"/>
  <c r="AE13" i="6" s="1"/>
  <c r="AF13" i="6" s="1"/>
  <c r="L12" i="6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K12" i="6"/>
  <c r="K11" i="6"/>
  <c r="L11" i="6" s="1"/>
  <c r="M11" i="6" s="1"/>
  <c r="N11" i="6" s="1"/>
  <c r="O11" i="6" s="1"/>
  <c r="P11" i="6" s="1"/>
  <c r="Q11" i="6" s="1"/>
  <c r="R11" i="6" s="1"/>
  <c r="S11" i="6" s="1"/>
  <c r="T11" i="6" s="1"/>
  <c r="U11" i="6" s="1"/>
  <c r="V11" i="6" s="1"/>
  <c r="W11" i="6" s="1"/>
  <c r="X11" i="6" s="1"/>
  <c r="Y11" i="6" s="1"/>
  <c r="Z11" i="6" s="1"/>
  <c r="AA11" i="6" s="1"/>
  <c r="AB11" i="6" s="1"/>
  <c r="AC11" i="6" s="1"/>
  <c r="AD11" i="6" s="1"/>
  <c r="AE11" i="6" s="1"/>
  <c r="AF11" i="6" s="1"/>
  <c r="K10" i="6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K8" i="6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AF8" i="6" s="1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L5" i="6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K5" i="6"/>
  <c r="O4" i="6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K4" i="6"/>
  <c r="L4" i="6" s="1"/>
  <c r="M4" i="6" s="1"/>
  <c r="N4" i="6" s="1"/>
  <c r="K3" i="6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N2" i="6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AF2" i="6" s="1"/>
  <c r="L2" i="6"/>
  <c r="M2" i="6" s="1"/>
  <c r="K2" i="6"/>
  <c r="K61" i="5"/>
  <c r="L61" i="5" s="1"/>
  <c r="M61" i="5" s="1"/>
  <c r="N61" i="5" s="1"/>
  <c r="O61" i="5" s="1"/>
  <c r="P61" i="5" s="1"/>
  <c r="Q61" i="5" s="1"/>
  <c r="R61" i="5" s="1"/>
  <c r="S61" i="5" s="1"/>
  <c r="T61" i="5" s="1"/>
  <c r="U61" i="5" s="1"/>
  <c r="V61" i="5" s="1"/>
  <c r="W61" i="5" s="1"/>
  <c r="X61" i="5" s="1"/>
  <c r="Y61" i="5" s="1"/>
  <c r="Z61" i="5" s="1"/>
  <c r="AA61" i="5" s="1"/>
  <c r="AB61" i="5" s="1"/>
  <c r="AC61" i="5" s="1"/>
  <c r="AD61" i="5" s="1"/>
  <c r="AE61" i="5" s="1"/>
  <c r="AF61" i="5" s="1"/>
  <c r="K60" i="5"/>
  <c r="L60" i="5" s="1"/>
  <c r="M60" i="5" s="1"/>
  <c r="N60" i="5" s="1"/>
  <c r="O60" i="5" s="1"/>
  <c r="P60" i="5" s="1"/>
  <c r="Q60" i="5" s="1"/>
  <c r="R60" i="5" s="1"/>
  <c r="S60" i="5" s="1"/>
  <c r="T60" i="5" s="1"/>
  <c r="U60" i="5" s="1"/>
  <c r="V60" i="5" s="1"/>
  <c r="W60" i="5" s="1"/>
  <c r="X60" i="5" s="1"/>
  <c r="Y60" i="5" s="1"/>
  <c r="Z60" i="5" s="1"/>
  <c r="AA60" i="5" s="1"/>
  <c r="AB60" i="5" s="1"/>
  <c r="AC60" i="5" s="1"/>
  <c r="AD60" i="5" s="1"/>
  <c r="AE60" i="5" s="1"/>
  <c r="AF60" i="5" s="1"/>
  <c r="K59" i="5"/>
  <c r="L59" i="5" s="1"/>
  <c r="M59" i="5" s="1"/>
  <c r="N59" i="5" s="1"/>
  <c r="O59" i="5" s="1"/>
  <c r="P59" i="5" s="1"/>
  <c r="Q59" i="5" s="1"/>
  <c r="R59" i="5" s="1"/>
  <c r="S59" i="5" s="1"/>
  <c r="T59" i="5" s="1"/>
  <c r="U59" i="5" s="1"/>
  <c r="V59" i="5" s="1"/>
  <c r="W59" i="5" s="1"/>
  <c r="X59" i="5" s="1"/>
  <c r="Y59" i="5" s="1"/>
  <c r="Z59" i="5" s="1"/>
  <c r="AA59" i="5" s="1"/>
  <c r="AB59" i="5" s="1"/>
  <c r="AC59" i="5" s="1"/>
  <c r="AD59" i="5" s="1"/>
  <c r="AE59" i="5" s="1"/>
  <c r="AF59" i="5" s="1"/>
  <c r="K58" i="5"/>
  <c r="L58" i="5" s="1"/>
  <c r="M58" i="5" s="1"/>
  <c r="N58" i="5" s="1"/>
  <c r="O58" i="5" s="1"/>
  <c r="P58" i="5" s="1"/>
  <c r="Q58" i="5" s="1"/>
  <c r="R58" i="5" s="1"/>
  <c r="S58" i="5" s="1"/>
  <c r="T58" i="5" s="1"/>
  <c r="U58" i="5" s="1"/>
  <c r="V58" i="5" s="1"/>
  <c r="W58" i="5" s="1"/>
  <c r="X58" i="5" s="1"/>
  <c r="Y58" i="5" s="1"/>
  <c r="Z58" i="5" s="1"/>
  <c r="AA58" i="5" s="1"/>
  <c r="AB58" i="5" s="1"/>
  <c r="AC58" i="5" s="1"/>
  <c r="AD58" i="5" s="1"/>
  <c r="AE58" i="5" s="1"/>
  <c r="AF58" i="5" s="1"/>
  <c r="K57" i="5"/>
  <c r="L57" i="5" s="1"/>
  <c r="M57" i="5" s="1"/>
  <c r="N57" i="5" s="1"/>
  <c r="O57" i="5" s="1"/>
  <c r="P57" i="5" s="1"/>
  <c r="Q57" i="5" s="1"/>
  <c r="R57" i="5" s="1"/>
  <c r="S57" i="5" s="1"/>
  <c r="T57" i="5" s="1"/>
  <c r="U57" i="5" s="1"/>
  <c r="V57" i="5" s="1"/>
  <c r="W57" i="5" s="1"/>
  <c r="X57" i="5" s="1"/>
  <c r="Y57" i="5" s="1"/>
  <c r="Z57" i="5" s="1"/>
  <c r="AA57" i="5" s="1"/>
  <c r="AB57" i="5" s="1"/>
  <c r="AC57" i="5" s="1"/>
  <c r="AD57" i="5" s="1"/>
  <c r="AE57" i="5" s="1"/>
  <c r="AF57" i="5" s="1"/>
  <c r="L56" i="5"/>
  <c r="M56" i="5" s="1"/>
  <c r="N56" i="5" s="1"/>
  <c r="O56" i="5" s="1"/>
  <c r="P56" i="5" s="1"/>
  <c r="Q56" i="5" s="1"/>
  <c r="R56" i="5" s="1"/>
  <c r="S56" i="5" s="1"/>
  <c r="T56" i="5" s="1"/>
  <c r="U56" i="5" s="1"/>
  <c r="V56" i="5" s="1"/>
  <c r="W56" i="5" s="1"/>
  <c r="X56" i="5" s="1"/>
  <c r="Y56" i="5" s="1"/>
  <c r="Z56" i="5" s="1"/>
  <c r="AA56" i="5" s="1"/>
  <c r="AB56" i="5" s="1"/>
  <c r="AC56" i="5" s="1"/>
  <c r="AD56" i="5" s="1"/>
  <c r="AE56" i="5" s="1"/>
  <c r="AF56" i="5" s="1"/>
  <c r="K56" i="5"/>
  <c r="L55" i="5"/>
  <c r="M55" i="5" s="1"/>
  <c r="N55" i="5" s="1"/>
  <c r="O55" i="5" s="1"/>
  <c r="P55" i="5" s="1"/>
  <c r="Q55" i="5" s="1"/>
  <c r="R55" i="5" s="1"/>
  <c r="S55" i="5" s="1"/>
  <c r="T55" i="5" s="1"/>
  <c r="U55" i="5" s="1"/>
  <c r="V55" i="5" s="1"/>
  <c r="W55" i="5" s="1"/>
  <c r="X55" i="5" s="1"/>
  <c r="Y55" i="5" s="1"/>
  <c r="Z55" i="5" s="1"/>
  <c r="AA55" i="5" s="1"/>
  <c r="AB55" i="5" s="1"/>
  <c r="AC55" i="5" s="1"/>
  <c r="AD55" i="5" s="1"/>
  <c r="AE55" i="5" s="1"/>
  <c r="AF55" i="5" s="1"/>
  <c r="K55" i="5"/>
  <c r="K54" i="5"/>
  <c r="L54" i="5" s="1"/>
  <c r="M54" i="5" s="1"/>
  <c r="N54" i="5" s="1"/>
  <c r="O54" i="5" s="1"/>
  <c r="P54" i="5" s="1"/>
  <c r="Q54" i="5" s="1"/>
  <c r="R54" i="5" s="1"/>
  <c r="S54" i="5" s="1"/>
  <c r="T54" i="5" s="1"/>
  <c r="U54" i="5" s="1"/>
  <c r="V54" i="5" s="1"/>
  <c r="W54" i="5" s="1"/>
  <c r="X54" i="5" s="1"/>
  <c r="Y54" i="5" s="1"/>
  <c r="Z54" i="5" s="1"/>
  <c r="AA54" i="5" s="1"/>
  <c r="AB54" i="5" s="1"/>
  <c r="AC54" i="5" s="1"/>
  <c r="AD54" i="5" s="1"/>
  <c r="AE54" i="5" s="1"/>
  <c r="AF54" i="5" s="1"/>
  <c r="K53" i="5"/>
  <c r="L53" i="5" s="1"/>
  <c r="M53" i="5" s="1"/>
  <c r="N53" i="5" s="1"/>
  <c r="O53" i="5" s="1"/>
  <c r="P53" i="5" s="1"/>
  <c r="Q53" i="5" s="1"/>
  <c r="R53" i="5" s="1"/>
  <c r="S53" i="5" s="1"/>
  <c r="T53" i="5" s="1"/>
  <c r="U53" i="5" s="1"/>
  <c r="V53" i="5" s="1"/>
  <c r="W53" i="5" s="1"/>
  <c r="X53" i="5" s="1"/>
  <c r="Y53" i="5" s="1"/>
  <c r="Z53" i="5" s="1"/>
  <c r="AA53" i="5" s="1"/>
  <c r="AB53" i="5" s="1"/>
  <c r="AC53" i="5" s="1"/>
  <c r="AD53" i="5" s="1"/>
  <c r="AE53" i="5" s="1"/>
  <c r="AF53" i="5" s="1"/>
  <c r="K52" i="5"/>
  <c r="L52" i="5" s="1"/>
  <c r="M52" i="5" s="1"/>
  <c r="N52" i="5" s="1"/>
  <c r="O52" i="5" s="1"/>
  <c r="P52" i="5" s="1"/>
  <c r="Q52" i="5" s="1"/>
  <c r="R52" i="5" s="1"/>
  <c r="S52" i="5" s="1"/>
  <c r="T52" i="5" s="1"/>
  <c r="U52" i="5" s="1"/>
  <c r="V52" i="5" s="1"/>
  <c r="W52" i="5" s="1"/>
  <c r="X52" i="5" s="1"/>
  <c r="Y52" i="5" s="1"/>
  <c r="Z52" i="5" s="1"/>
  <c r="AA52" i="5" s="1"/>
  <c r="AB52" i="5" s="1"/>
  <c r="AC52" i="5" s="1"/>
  <c r="AD52" i="5" s="1"/>
  <c r="AE52" i="5" s="1"/>
  <c r="AF52" i="5" s="1"/>
  <c r="L51" i="5"/>
  <c r="M51" i="5" s="1"/>
  <c r="N51" i="5" s="1"/>
  <c r="O51" i="5" s="1"/>
  <c r="P51" i="5" s="1"/>
  <c r="Q51" i="5" s="1"/>
  <c r="R51" i="5" s="1"/>
  <c r="S51" i="5" s="1"/>
  <c r="T51" i="5" s="1"/>
  <c r="U51" i="5" s="1"/>
  <c r="V51" i="5" s="1"/>
  <c r="W51" i="5" s="1"/>
  <c r="X51" i="5" s="1"/>
  <c r="Y51" i="5" s="1"/>
  <c r="Z51" i="5" s="1"/>
  <c r="AA51" i="5" s="1"/>
  <c r="AB51" i="5" s="1"/>
  <c r="AC51" i="5" s="1"/>
  <c r="AD51" i="5" s="1"/>
  <c r="AE51" i="5" s="1"/>
  <c r="AF51" i="5" s="1"/>
  <c r="K51" i="5"/>
  <c r="K50" i="5"/>
  <c r="L50" i="5" s="1"/>
  <c r="M50" i="5" s="1"/>
  <c r="N50" i="5" s="1"/>
  <c r="O50" i="5" s="1"/>
  <c r="P50" i="5" s="1"/>
  <c r="Q50" i="5" s="1"/>
  <c r="R50" i="5" s="1"/>
  <c r="S50" i="5" s="1"/>
  <c r="T50" i="5" s="1"/>
  <c r="U50" i="5" s="1"/>
  <c r="V50" i="5" s="1"/>
  <c r="W50" i="5" s="1"/>
  <c r="X50" i="5" s="1"/>
  <c r="Y50" i="5" s="1"/>
  <c r="Z50" i="5" s="1"/>
  <c r="AA50" i="5" s="1"/>
  <c r="AB50" i="5" s="1"/>
  <c r="AC50" i="5" s="1"/>
  <c r="AD50" i="5" s="1"/>
  <c r="AE50" i="5" s="1"/>
  <c r="AF50" i="5" s="1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K48" i="5"/>
  <c r="L48" i="5" s="1"/>
  <c r="M48" i="5" s="1"/>
  <c r="N48" i="5" s="1"/>
  <c r="O48" i="5" s="1"/>
  <c r="P48" i="5" s="1"/>
  <c r="Q48" i="5" s="1"/>
  <c r="R48" i="5" s="1"/>
  <c r="S48" i="5" s="1"/>
  <c r="T48" i="5" s="1"/>
  <c r="U48" i="5" s="1"/>
  <c r="V48" i="5" s="1"/>
  <c r="W48" i="5" s="1"/>
  <c r="X48" i="5" s="1"/>
  <c r="Y48" i="5" s="1"/>
  <c r="Z48" i="5" s="1"/>
  <c r="AA48" i="5" s="1"/>
  <c r="AB48" i="5" s="1"/>
  <c r="AC48" i="5" s="1"/>
  <c r="AD48" i="5" s="1"/>
  <c r="AE48" i="5" s="1"/>
  <c r="AF48" i="5" s="1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K46" i="5"/>
  <c r="L46" i="5" s="1"/>
  <c r="M46" i="5" s="1"/>
  <c r="N46" i="5" s="1"/>
  <c r="O46" i="5" s="1"/>
  <c r="P46" i="5" s="1"/>
  <c r="Q46" i="5" s="1"/>
  <c r="R46" i="5" s="1"/>
  <c r="S46" i="5" s="1"/>
  <c r="T46" i="5" s="1"/>
  <c r="U46" i="5" s="1"/>
  <c r="V46" i="5" s="1"/>
  <c r="W46" i="5" s="1"/>
  <c r="X46" i="5" s="1"/>
  <c r="Y46" i="5" s="1"/>
  <c r="Z46" i="5" s="1"/>
  <c r="AA46" i="5" s="1"/>
  <c r="AB46" i="5" s="1"/>
  <c r="AC46" i="5" s="1"/>
  <c r="AD46" i="5" s="1"/>
  <c r="AE46" i="5" s="1"/>
  <c r="AF46" i="5" s="1"/>
  <c r="L45" i="5"/>
  <c r="M45" i="5" s="1"/>
  <c r="N45" i="5" s="1"/>
  <c r="O45" i="5" s="1"/>
  <c r="P45" i="5" s="1"/>
  <c r="Q45" i="5" s="1"/>
  <c r="R45" i="5" s="1"/>
  <c r="S45" i="5" s="1"/>
  <c r="T45" i="5" s="1"/>
  <c r="U45" i="5" s="1"/>
  <c r="V45" i="5" s="1"/>
  <c r="W45" i="5" s="1"/>
  <c r="X45" i="5" s="1"/>
  <c r="Y45" i="5" s="1"/>
  <c r="Z45" i="5" s="1"/>
  <c r="AA45" i="5" s="1"/>
  <c r="AB45" i="5" s="1"/>
  <c r="AC45" i="5" s="1"/>
  <c r="AD45" i="5" s="1"/>
  <c r="AE45" i="5" s="1"/>
  <c r="AF45" i="5" s="1"/>
  <c r="K45" i="5"/>
  <c r="K44" i="5"/>
  <c r="L44" i="5" s="1"/>
  <c r="M44" i="5" s="1"/>
  <c r="N44" i="5" s="1"/>
  <c r="O44" i="5" s="1"/>
  <c r="P44" i="5" s="1"/>
  <c r="Q44" i="5" s="1"/>
  <c r="R44" i="5" s="1"/>
  <c r="S44" i="5" s="1"/>
  <c r="T44" i="5" s="1"/>
  <c r="U44" i="5" s="1"/>
  <c r="V44" i="5" s="1"/>
  <c r="W44" i="5" s="1"/>
  <c r="X44" i="5" s="1"/>
  <c r="Y44" i="5" s="1"/>
  <c r="Z44" i="5" s="1"/>
  <c r="AA44" i="5" s="1"/>
  <c r="AB44" i="5" s="1"/>
  <c r="AC44" i="5" s="1"/>
  <c r="AD44" i="5" s="1"/>
  <c r="AE44" i="5" s="1"/>
  <c r="AF44" i="5" s="1"/>
  <c r="K43" i="5"/>
  <c r="L43" i="5" s="1"/>
  <c r="M43" i="5" s="1"/>
  <c r="N43" i="5" s="1"/>
  <c r="O43" i="5" s="1"/>
  <c r="P43" i="5" s="1"/>
  <c r="Q43" i="5" s="1"/>
  <c r="R43" i="5" s="1"/>
  <c r="S43" i="5" s="1"/>
  <c r="T43" i="5" s="1"/>
  <c r="U43" i="5" s="1"/>
  <c r="V43" i="5" s="1"/>
  <c r="W43" i="5" s="1"/>
  <c r="X43" i="5" s="1"/>
  <c r="Y43" i="5" s="1"/>
  <c r="Z43" i="5" s="1"/>
  <c r="AA43" i="5" s="1"/>
  <c r="AB43" i="5" s="1"/>
  <c r="AC43" i="5" s="1"/>
  <c r="AD43" i="5" s="1"/>
  <c r="AE43" i="5" s="1"/>
  <c r="AF43" i="5" s="1"/>
  <c r="K42" i="5"/>
  <c r="L42" i="5" s="1"/>
  <c r="M42" i="5" s="1"/>
  <c r="N42" i="5" s="1"/>
  <c r="O42" i="5" s="1"/>
  <c r="P42" i="5" s="1"/>
  <c r="Q42" i="5" s="1"/>
  <c r="R42" i="5" s="1"/>
  <c r="S42" i="5" s="1"/>
  <c r="T42" i="5" s="1"/>
  <c r="U42" i="5" s="1"/>
  <c r="V42" i="5" s="1"/>
  <c r="W42" i="5" s="1"/>
  <c r="X42" i="5" s="1"/>
  <c r="Y42" i="5" s="1"/>
  <c r="Z42" i="5" s="1"/>
  <c r="AA42" i="5" s="1"/>
  <c r="AB42" i="5" s="1"/>
  <c r="AC42" i="5" s="1"/>
  <c r="AD42" i="5" s="1"/>
  <c r="AE42" i="5" s="1"/>
  <c r="AF42" i="5" s="1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K40" i="5"/>
  <c r="L40" i="5" s="1"/>
  <c r="M40" i="5" s="1"/>
  <c r="N40" i="5" s="1"/>
  <c r="O40" i="5" s="1"/>
  <c r="P40" i="5" s="1"/>
  <c r="Q40" i="5" s="1"/>
  <c r="R40" i="5" s="1"/>
  <c r="S40" i="5" s="1"/>
  <c r="T40" i="5" s="1"/>
  <c r="U40" i="5" s="1"/>
  <c r="V40" i="5" s="1"/>
  <c r="W40" i="5" s="1"/>
  <c r="X40" i="5" s="1"/>
  <c r="Y40" i="5" s="1"/>
  <c r="Z40" i="5" s="1"/>
  <c r="AA40" i="5" s="1"/>
  <c r="AB40" i="5" s="1"/>
  <c r="AC40" i="5" s="1"/>
  <c r="AD40" i="5" s="1"/>
  <c r="AE40" i="5" s="1"/>
  <c r="AF40" i="5" s="1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K38" i="5"/>
  <c r="L38" i="5" s="1"/>
  <c r="M38" i="5" s="1"/>
  <c r="N38" i="5" s="1"/>
  <c r="O38" i="5" s="1"/>
  <c r="P38" i="5" s="1"/>
  <c r="Q38" i="5" s="1"/>
  <c r="R38" i="5" s="1"/>
  <c r="S38" i="5" s="1"/>
  <c r="T38" i="5" s="1"/>
  <c r="U38" i="5" s="1"/>
  <c r="V38" i="5" s="1"/>
  <c r="W38" i="5" s="1"/>
  <c r="X38" i="5" s="1"/>
  <c r="Y38" i="5" s="1"/>
  <c r="Z38" i="5" s="1"/>
  <c r="AA38" i="5" s="1"/>
  <c r="AB38" i="5" s="1"/>
  <c r="AC38" i="5" s="1"/>
  <c r="AD38" i="5" s="1"/>
  <c r="AE38" i="5" s="1"/>
  <c r="AF38" i="5" s="1"/>
  <c r="K37" i="5"/>
  <c r="L37" i="5" s="1"/>
  <c r="M37" i="5" s="1"/>
  <c r="N37" i="5" s="1"/>
  <c r="O37" i="5" s="1"/>
  <c r="P37" i="5" s="1"/>
  <c r="Q37" i="5" s="1"/>
  <c r="R37" i="5" s="1"/>
  <c r="S37" i="5" s="1"/>
  <c r="T37" i="5" s="1"/>
  <c r="U37" i="5" s="1"/>
  <c r="V37" i="5" s="1"/>
  <c r="W37" i="5" s="1"/>
  <c r="X37" i="5" s="1"/>
  <c r="Y37" i="5" s="1"/>
  <c r="Z37" i="5" s="1"/>
  <c r="AA37" i="5" s="1"/>
  <c r="AB37" i="5" s="1"/>
  <c r="AC37" i="5" s="1"/>
  <c r="AD37" i="5" s="1"/>
  <c r="AE37" i="5" s="1"/>
  <c r="AF37" i="5" s="1"/>
  <c r="K36" i="5"/>
  <c r="L36" i="5" s="1"/>
  <c r="M36" i="5" s="1"/>
  <c r="N36" i="5" s="1"/>
  <c r="O36" i="5" s="1"/>
  <c r="P36" i="5" s="1"/>
  <c r="Q36" i="5" s="1"/>
  <c r="R36" i="5" s="1"/>
  <c r="S36" i="5" s="1"/>
  <c r="T36" i="5" s="1"/>
  <c r="U36" i="5" s="1"/>
  <c r="V36" i="5" s="1"/>
  <c r="W36" i="5" s="1"/>
  <c r="X36" i="5" s="1"/>
  <c r="Y36" i="5" s="1"/>
  <c r="Z36" i="5" s="1"/>
  <c r="AA36" i="5" s="1"/>
  <c r="AB36" i="5" s="1"/>
  <c r="AC36" i="5" s="1"/>
  <c r="AD36" i="5" s="1"/>
  <c r="AE36" i="5" s="1"/>
  <c r="AF36" i="5" s="1"/>
  <c r="L35" i="5"/>
  <c r="M35" i="5" s="1"/>
  <c r="N35" i="5" s="1"/>
  <c r="O35" i="5" s="1"/>
  <c r="P35" i="5" s="1"/>
  <c r="Q35" i="5" s="1"/>
  <c r="R35" i="5" s="1"/>
  <c r="S35" i="5" s="1"/>
  <c r="T35" i="5" s="1"/>
  <c r="U35" i="5" s="1"/>
  <c r="V35" i="5" s="1"/>
  <c r="W35" i="5" s="1"/>
  <c r="X35" i="5" s="1"/>
  <c r="Y35" i="5" s="1"/>
  <c r="Z35" i="5" s="1"/>
  <c r="AA35" i="5" s="1"/>
  <c r="AB35" i="5" s="1"/>
  <c r="AC35" i="5" s="1"/>
  <c r="AD35" i="5" s="1"/>
  <c r="AE35" i="5" s="1"/>
  <c r="AF35" i="5" s="1"/>
  <c r="K35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L31" i="5"/>
  <c r="M31" i="5" s="1"/>
  <c r="N31" i="5" s="1"/>
  <c r="O31" i="5" s="1"/>
  <c r="P31" i="5" s="1"/>
  <c r="Q31" i="5" s="1"/>
  <c r="R31" i="5" s="1"/>
  <c r="S31" i="5" s="1"/>
  <c r="T31" i="5" s="1"/>
  <c r="U31" i="5" s="1"/>
  <c r="V31" i="5" s="1"/>
  <c r="W31" i="5" s="1"/>
  <c r="X31" i="5" s="1"/>
  <c r="Y31" i="5" s="1"/>
  <c r="Z31" i="5" s="1"/>
  <c r="AA31" i="5" s="1"/>
  <c r="AB31" i="5" s="1"/>
  <c r="AC31" i="5" s="1"/>
  <c r="AD31" i="5" s="1"/>
  <c r="AE31" i="5" s="1"/>
  <c r="AF31" i="5" s="1"/>
  <c r="K31" i="5"/>
  <c r="K30" i="5"/>
  <c r="L30" i="5" s="1"/>
  <c r="M30" i="5" s="1"/>
  <c r="N30" i="5" s="1"/>
  <c r="O30" i="5" s="1"/>
  <c r="P30" i="5" s="1"/>
  <c r="Q30" i="5" s="1"/>
  <c r="R30" i="5" s="1"/>
  <c r="S30" i="5" s="1"/>
  <c r="T30" i="5" s="1"/>
  <c r="U30" i="5" s="1"/>
  <c r="V30" i="5" s="1"/>
  <c r="W30" i="5" s="1"/>
  <c r="X30" i="5" s="1"/>
  <c r="Y30" i="5" s="1"/>
  <c r="Z30" i="5" s="1"/>
  <c r="AA30" i="5" s="1"/>
  <c r="AB30" i="5" s="1"/>
  <c r="AC30" i="5" s="1"/>
  <c r="AD30" i="5" s="1"/>
  <c r="AE30" i="5" s="1"/>
  <c r="AF30" i="5" s="1"/>
  <c r="L29" i="5"/>
  <c r="M29" i="5" s="1"/>
  <c r="N29" i="5" s="1"/>
  <c r="O29" i="5" s="1"/>
  <c r="P29" i="5" s="1"/>
  <c r="Q29" i="5" s="1"/>
  <c r="R29" i="5" s="1"/>
  <c r="S29" i="5" s="1"/>
  <c r="T29" i="5" s="1"/>
  <c r="U29" i="5" s="1"/>
  <c r="V29" i="5" s="1"/>
  <c r="W29" i="5" s="1"/>
  <c r="X29" i="5" s="1"/>
  <c r="Y29" i="5" s="1"/>
  <c r="Z29" i="5" s="1"/>
  <c r="AA29" i="5" s="1"/>
  <c r="AB29" i="5" s="1"/>
  <c r="AC29" i="5" s="1"/>
  <c r="AD29" i="5" s="1"/>
  <c r="AE29" i="5" s="1"/>
  <c r="AF29" i="5" s="1"/>
  <c r="K29" i="5"/>
  <c r="K28" i="5"/>
  <c r="L28" i="5" s="1"/>
  <c r="M28" i="5" s="1"/>
  <c r="N28" i="5" s="1"/>
  <c r="O28" i="5" s="1"/>
  <c r="P28" i="5" s="1"/>
  <c r="Q28" i="5" s="1"/>
  <c r="R28" i="5" s="1"/>
  <c r="S28" i="5" s="1"/>
  <c r="T28" i="5" s="1"/>
  <c r="U28" i="5" s="1"/>
  <c r="V28" i="5" s="1"/>
  <c r="W28" i="5" s="1"/>
  <c r="X28" i="5" s="1"/>
  <c r="Y28" i="5" s="1"/>
  <c r="Z28" i="5" s="1"/>
  <c r="AA28" i="5" s="1"/>
  <c r="AB28" i="5" s="1"/>
  <c r="AC28" i="5" s="1"/>
  <c r="AD28" i="5" s="1"/>
  <c r="AE28" i="5" s="1"/>
  <c r="AF28" i="5" s="1"/>
  <c r="K27" i="5"/>
  <c r="L27" i="5" s="1"/>
  <c r="M27" i="5" s="1"/>
  <c r="N27" i="5" s="1"/>
  <c r="O27" i="5" s="1"/>
  <c r="P27" i="5" s="1"/>
  <c r="Q27" i="5" s="1"/>
  <c r="R27" i="5" s="1"/>
  <c r="S27" i="5" s="1"/>
  <c r="T27" i="5" s="1"/>
  <c r="U27" i="5" s="1"/>
  <c r="V27" i="5" s="1"/>
  <c r="W27" i="5" s="1"/>
  <c r="X27" i="5" s="1"/>
  <c r="Y27" i="5" s="1"/>
  <c r="Z27" i="5" s="1"/>
  <c r="AA27" i="5" s="1"/>
  <c r="AB27" i="5" s="1"/>
  <c r="AC27" i="5" s="1"/>
  <c r="AD27" i="5" s="1"/>
  <c r="AE27" i="5" s="1"/>
  <c r="AF27" i="5" s="1"/>
  <c r="K26" i="5"/>
  <c r="L26" i="5" s="1"/>
  <c r="M26" i="5" s="1"/>
  <c r="N26" i="5" s="1"/>
  <c r="O26" i="5" s="1"/>
  <c r="P26" i="5" s="1"/>
  <c r="Q26" i="5" s="1"/>
  <c r="R26" i="5" s="1"/>
  <c r="S26" i="5" s="1"/>
  <c r="T26" i="5" s="1"/>
  <c r="U26" i="5" s="1"/>
  <c r="V26" i="5" s="1"/>
  <c r="W26" i="5" s="1"/>
  <c r="X26" i="5" s="1"/>
  <c r="Y26" i="5" s="1"/>
  <c r="Z26" i="5" s="1"/>
  <c r="AA26" i="5" s="1"/>
  <c r="AB26" i="5" s="1"/>
  <c r="AC26" i="5" s="1"/>
  <c r="AD26" i="5" s="1"/>
  <c r="AE26" i="5" s="1"/>
  <c r="AF26" i="5" s="1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K20" i="5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K19" i="5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L18" i="5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K18" i="5"/>
  <c r="L17" i="5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K17" i="5"/>
  <c r="M16" i="5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L16" i="5"/>
  <c r="K16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K14" i="5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K13" i="5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M12" i="5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L12" i="5"/>
  <c r="K12" i="5"/>
  <c r="K11" i="5"/>
  <c r="L11" i="5" s="1"/>
  <c r="M11" i="5" s="1"/>
  <c r="N11" i="5" s="1"/>
  <c r="O11" i="5" s="1"/>
  <c r="P11" i="5" s="1"/>
  <c r="Q11" i="5" s="1"/>
  <c r="R11" i="5" s="1"/>
  <c r="S11" i="5" s="1"/>
  <c r="T11" i="5" s="1"/>
  <c r="U11" i="5" s="1"/>
  <c r="V11" i="5" s="1"/>
  <c r="W11" i="5" s="1"/>
  <c r="X11" i="5" s="1"/>
  <c r="Y11" i="5" s="1"/>
  <c r="Z11" i="5" s="1"/>
  <c r="AA11" i="5" s="1"/>
  <c r="AB11" i="5" s="1"/>
  <c r="AC11" i="5" s="1"/>
  <c r="AD11" i="5" s="1"/>
  <c r="AE11" i="5" s="1"/>
  <c r="AF11" i="5" s="1"/>
  <c r="K10" i="5"/>
  <c r="L10" i="5" s="1"/>
  <c r="M10" i="5" s="1"/>
  <c r="N10" i="5" s="1"/>
  <c r="O10" i="5" s="1"/>
  <c r="P10" i="5" s="1"/>
  <c r="Q10" i="5" s="1"/>
  <c r="R10" i="5" s="1"/>
  <c r="S10" i="5" s="1"/>
  <c r="T10" i="5" s="1"/>
  <c r="U10" i="5" s="1"/>
  <c r="V10" i="5" s="1"/>
  <c r="W10" i="5" s="1"/>
  <c r="X10" i="5" s="1"/>
  <c r="Y10" i="5" s="1"/>
  <c r="Z10" i="5" s="1"/>
  <c r="AA10" i="5" s="1"/>
  <c r="AB10" i="5" s="1"/>
  <c r="AC10" i="5" s="1"/>
  <c r="AD10" i="5" s="1"/>
  <c r="AE10" i="5" s="1"/>
  <c r="AF10" i="5" s="1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L8" i="5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AF8" i="5" s="1"/>
  <c r="K8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K5" i="5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AF5" i="5" s="1"/>
  <c r="K4" i="5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L3" i="5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K3" i="5"/>
  <c r="L2" i="5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K2" i="5"/>
  <c r="K61" i="3"/>
  <c r="L61" i="3" s="1"/>
  <c r="M61" i="3" s="1"/>
  <c r="N61" i="3" s="1"/>
  <c r="O61" i="3" s="1"/>
  <c r="P61" i="3" s="1"/>
  <c r="Q61" i="3" s="1"/>
  <c r="R61" i="3" s="1"/>
  <c r="S61" i="3" s="1"/>
  <c r="T61" i="3" s="1"/>
  <c r="U61" i="3" s="1"/>
  <c r="V61" i="3" s="1"/>
  <c r="W61" i="3" s="1"/>
  <c r="X61" i="3" s="1"/>
  <c r="Y61" i="3" s="1"/>
  <c r="Z61" i="3" s="1"/>
  <c r="AA61" i="3" s="1"/>
  <c r="AB61" i="3" s="1"/>
  <c r="AC61" i="3" s="1"/>
  <c r="AD61" i="3" s="1"/>
  <c r="AE61" i="3" s="1"/>
  <c r="AF61" i="3" s="1"/>
  <c r="L60" i="3"/>
  <c r="M60" i="3" s="1"/>
  <c r="N60" i="3" s="1"/>
  <c r="O60" i="3" s="1"/>
  <c r="P60" i="3" s="1"/>
  <c r="Q60" i="3" s="1"/>
  <c r="R60" i="3" s="1"/>
  <c r="S60" i="3" s="1"/>
  <c r="T60" i="3" s="1"/>
  <c r="U60" i="3" s="1"/>
  <c r="V60" i="3" s="1"/>
  <c r="W60" i="3" s="1"/>
  <c r="X60" i="3" s="1"/>
  <c r="Y60" i="3" s="1"/>
  <c r="Z60" i="3" s="1"/>
  <c r="AA60" i="3" s="1"/>
  <c r="AB60" i="3" s="1"/>
  <c r="AC60" i="3" s="1"/>
  <c r="AD60" i="3" s="1"/>
  <c r="AE60" i="3" s="1"/>
  <c r="AF60" i="3" s="1"/>
  <c r="K60" i="3"/>
  <c r="K59" i="3"/>
  <c r="L59" i="3" s="1"/>
  <c r="M59" i="3" s="1"/>
  <c r="N59" i="3" s="1"/>
  <c r="O59" i="3" s="1"/>
  <c r="P59" i="3" s="1"/>
  <c r="Q59" i="3" s="1"/>
  <c r="R59" i="3" s="1"/>
  <c r="S59" i="3" s="1"/>
  <c r="T59" i="3" s="1"/>
  <c r="U59" i="3" s="1"/>
  <c r="V59" i="3" s="1"/>
  <c r="W59" i="3" s="1"/>
  <c r="X59" i="3" s="1"/>
  <c r="Y59" i="3" s="1"/>
  <c r="Z59" i="3" s="1"/>
  <c r="AA59" i="3" s="1"/>
  <c r="AB59" i="3" s="1"/>
  <c r="AC59" i="3" s="1"/>
  <c r="AD59" i="3" s="1"/>
  <c r="AE59" i="3" s="1"/>
  <c r="AF59" i="3" s="1"/>
  <c r="K58" i="3"/>
  <c r="L58" i="3" s="1"/>
  <c r="M58" i="3" s="1"/>
  <c r="N58" i="3" s="1"/>
  <c r="O58" i="3" s="1"/>
  <c r="P58" i="3" s="1"/>
  <c r="Q58" i="3" s="1"/>
  <c r="R58" i="3" s="1"/>
  <c r="S58" i="3" s="1"/>
  <c r="T58" i="3" s="1"/>
  <c r="U58" i="3" s="1"/>
  <c r="V58" i="3" s="1"/>
  <c r="W58" i="3" s="1"/>
  <c r="X58" i="3" s="1"/>
  <c r="Y58" i="3" s="1"/>
  <c r="Z58" i="3" s="1"/>
  <c r="AA58" i="3" s="1"/>
  <c r="AB58" i="3" s="1"/>
  <c r="AC58" i="3" s="1"/>
  <c r="AD58" i="3" s="1"/>
  <c r="AE58" i="3" s="1"/>
  <c r="AF58" i="3" s="1"/>
  <c r="K57" i="3"/>
  <c r="L57" i="3" s="1"/>
  <c r="M57" i="3" s="1"/>
  <c r="N57" i="3" s="1"/>
  <c r="O57" i="3" s="1"/>
  <c r="P57" i="3" s="1"/>
  <c r="Q57" i="3" s="1"/>
  <c r="R57" i="3" s="1"/>
  <c r="S57" i="3" s="1"/>
  <c r="T57" i="3" s="1"/>
  <c r="U57" i="3" s="1"/>
  <c r="V57" i="3" s="1"/>
  <c r="W57" i="3" s="1"/>
  <c r="X57" i="3" s="1"/>
  <c r="Y57" i="3" s="1"/>
  <c r="Z57" i="3" s="1"/>
  <c r="AA57" i="3" s="1"/>
  <c r="AB57" i="3" s="1"/>
  <c r="AC57" i="3" s="1"/>
  <c r="AD57" i="3" s="1"/>
  <c r="AE57" i="3" s="1"/>
  <c r="AF57" i="3" s="1"/>
  <c r="K56" i="3"/>
  <c r="L56" i="3" s="1"/>
  <c r="M56" i="3" s="1"/>
  <c r="N56" i="3" s="1"/>
  <c r="O56" i="3" s="1"/>
  <c r="P56" i="3" s="1"/>
  <c r="Q56" i="3" s="1"/>
  <c r="R56" i="3" s="1"/>
  <c r="S56" i="3" s="1"/>
  <c r="T56" i="3" s="1"/>
  <c r="U56" i="3" s="1"/>
  <c r="V56" i="3" s="1"/>
  <c r="W56" i="3" s="1"/>
  <c r="X56" i="3" s="1"/>
  <c r="Y56" i="3" s="1"/>
  <c r="Z56" i="3" s="1"/>
  <c r="AA56" i="3" s="1"/>
  <c r="AB56" i="3" s="1"/>
  <c r="AC56" i="3" s="1"/>
  <c r="AD56" i="3" s="1"/>
  <c r="AE56" i="3" s="1"/>
  <c r="AF56" i="3" s="1"/>
  <c r="K55" i="3"/>
  <c r="L55" i="3" s="1"/>
  <c r="M55" i="3" s="1"/>
  <c r="N55" i="3" s="1"/>
  <c r="O55" i="3" s="1"/>
  <c r="P55" i="3" s="1"/>
  <c r="Q55" i="3" s="1"/>
  <c r="R55" i="3" s="1"/>
  <c r="S55" i="3" s="1"/>
  <c r="T55" i="3" s="1"/>
  <c r="U55" i="3" s="1"/>
  <c r="V55" i="3" s="1"/>
  <c r="W55" i="3" s="1"/>
  <c r="X55" i="3" s="1"/>
  <c r="Y55" i="3" s="1"/>
  <c r="Z55" i="3" s="1"/>
  <c r="AA55" i="3" s="1"/>
  <c r="AB55" i="3" s="1"/>
  <c r="AC55" i="3" s="1"/>
  <c r="AD55" i="3" s="1"/>
  <c r="AE55" i="3" s="1"/>
  <c r="AF55" i="3" s="1"/>
  <c r="K54" i="3"/>
  <c r="L54" i="3" s="1"/>
  <c r="M54" i="3" s="1"/>
  <c r="N54" i="3" s="1"/>
  <c r="O54" i="3" s="1"/>
  <c r="P54" i="3" s="1"/>
  <c r="Q54" i="3" s="1"/>
  <c r="R54" i="3" s="1"/>
  <c r="S54" i="3" s="1"/>
  <c r="T54" i="3" s="1"/>
  <c r="U54" i="3" s="1"/>
  <c r="V54" i="3" s="1"/>
  <c r="W54" i="3" s="1"/>
  <c r="X54" i="3" s="1"/>
  <c r="Y54" i="3" s="1"/>
  <c r="Z54" i="3" s="1"/>
  <c r="AA54" i="3" s="1"/>
  <c r="AB54" i="3" s="1"/>
  <c r="AC54" i="3" s="1"/>
  <c r="AD54" i="3" s="1"/>
  <c r="AE54" i="3" s="1"/>
  <c r="AF54" i="3" s="1"/>
  <c r="K53" i="3"/>
  <c r="L53" i="3" s="1"/>
  <c r="M53" i="3" s="1"/>
  <c r="N53" i="3" s="1"/>
  <c r="O53" i="3" s="1"/>
  <c r="P53" i="3" s="1"/>
  <c r="Q53" i="3" s="1"/>
  <c r="R53" i="3" s="1"/>
  <c r="S53" i="3" s="1"/>
  <c r="T53" i="3" s="1"/>
  <c r="U53" i="3" s="1"/>
  <c r="V53" i="3" s="1"/>
  <c r="W53" i="3" s="1"/>
  <c r="X53" i="3" s="1"/>
  <c r="Y53" i="3" s="1"/>
  <c r="Z53" i="3" s="1"/>
  <c r="AA53" i="3" s="1"/>
  <c r="AB53" i="3" s="1"/>
  <c r="AC53" i="3" s="1"/>
  <c r="AD53" i="3" s="1"/>
  <c r="AE53" i="3" s="1"/>
  <c r="AF53" i="3" s="1"/>
  <c r="K52" i="3"/>
  <c r="L52" i="3" s="1"/>
  <c r="M52" i="3" s="1"/>
  <c r="N52" i="3" s="1"/>
  <c r="O52" i="3" s="1"/>
  <c r="P52" i="3" s="1"/>
  <c r="Q52" i="3" s="1"/>
  <c r="R52" i="3" s="1"/>
  <c r="S52" i="3" s="1"/>
  <c r="T52" i="3" s="1"/>
  <c r="U52" i="3" s="1"/>
  <c r="V52" i="3" s="1"/>
  <c r="W52" i="3" s="1"/>
  <c r="X52" i="3" s="1"/>
  <c r="Y52" i="3" s="1"/>
  <c r="Z52" i="3" s="1"/>
  <c r="AA52" i="3" s="1"/>
  <c r="AB52" i="3" s="1"/>
  <c r="AC52" i="3" s="1"/>
  <c r="AD52" i="3" s="1"/>
  <c r="AE52" i="3" s="1"/>
  <c r="AF52" i="3" s="1"/>
  <c r="K51" i="3"/>
  <c r="L51" i="3" s="1"/>
  <c r="M51" i="3" s="1"/>
  <c r="N51" i="3" s="1"/>
  <c r="O51" i="3" s="1"/>
  <c r="P51" i="3" s="1"/>
  <c r="Q51" i="3" s="1"/>
  <c r="R51" i="3" s="1"/>
  <c r="S51" i="3" s="1"/>
  <c r="T51" i="3" s="1"/>
  <c r="U51" i="3" s="1"/>
  <c r="V51" i="3" s="1"/>
  <c r="W51" i="3" s="1"/>
  <c r="X51" i="3" s="1"/>
  <c r="Y51" i="3" s="1"/>
  <c r="Z51" i="3" s="1"/>
  <c r="AA51" i="3" s="1"/>
  <c r="AB51" i="3" s="1"/>
  <c r="AC51" i="3" s="1"/>
  <c r="AD51" i="3" s="1"/>
  <c r="AE51" i="3" s="1"/>
  <c r="AF51" i="3" s="1"/>
  <c r="K50" i="3"/>
  <c r="L50" i="3" s="1"/>
  <c r="M50" i="3" s="1"/>
  <c r="N50" i="3" s="1"/>
  <c r="O50" i="3" s="1"/>
  <c r="P50" i="3" s="1"/>
  <c r="Q50" i="3" s="1"/>
  <c r="R50" i="3" s="1"/>
  <c r="S50" i="3" s="1"/>
  <c r="T50" i="3" s="1"/>
  <c r="U50" i="3" s="1"/>
  <c r="V50" i="3" s="1"/>
  <c r="W50" i="3" s="1"/>
  <c r="X50" i="3" s="1"/>
  <c r="Y50" i="3" s="1"/>
  <c r="Z50" i="3" s="1"/>
  <c r="AA50" i="3" s="1"/>
  <c r="AB50" i="3" s="1"/>
  <c r="AC50" i="3" s="1"/>
  <c r="AD50" i="3" s="1"/>
  <c r="AE50" i="3" s="1"/>
  <c r="AF50" i="3" s="1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K48" i="3"/>
  <c r="L48" i="3" s="1"/>
  <c r="M48" i="3" s="1"/>
  <c r="N48" i="3" s="1"/>
  <c r="O48" i="3" s="1"/>
  <c r="P48" i="3" s="1"/>
  <c r="Q48" i="3" s="1"/>
  <c r="R48" i="3" s="1"/>
  <c r="S48" i="3" s="1"/>
  <c r="T48" i="3" s="1"/>
  <c r="U48" i="3" s="1"/>
  <c r="V48" i="3" s="1"/>
  <c r="W48" i="3" s="1"/>
  <c r="X48" i="3" s="1"/>
  <c r="Y48" i="3" s="1"/>
  <c r="Z48" i="3" s="1"/>
  <c r="AA48" i="3" s="1"/>
  <c r="AB48" i="3" s="1"/>
  <c r="AC48" i="3" s="1"/>
  <c r="AD48" i="3" s="1"/>
  <c r="AE48" i="3" s="1"/>
  <c r="AF48" i="3" s="1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M46" i="3"/>
  <c r="N46" i="3" s="1"/>
  <c r="O46" i="3" s="1"/>
  <c r="P46" i="3" s="1"/>
  <c r="Q46" i="3" s="1"/>
  <c r="R46" i="3" s="1"/>
  <c r="S46" i="3" s="1"/>
  <c r="T46" i="3" s="1"/>
  <c r="U46" i="3" s="1"/>
  <c r="V46" i="3" s="1"/>
  <c r="W46" i="3" s="1"/>
  <c r="X46" i="3" s="1"/>
  <c r="Y46" i="3" s="1"/>
  <c r="Z46" i="3" s="1"/>
  <c r="AA46" i="3" s="1"/>
  <c r="AB46" i="3" s="1"/>
  <c r="AC46" i="3" s="1"/>
  <c r="AD46" i="3" s="1"/>
  <c r="AE46" i="3" s="1"/>
  <c r="AF46" i="3" s="1"/>
  <c r="L46" i="3"/>
  <c r="K46" i="3"/>
  <c r="N45" i="3"/>
  <c r="O45" i="3" s="1"/>
  <c r="P45" i="3" s="1"/>
  <c r="Q45" i="3" s="1"/>
  <c r="R45" i="3" s="1"/>
  <c r="S45" i="3" s="1"/>
  <c r="T45" i="3" s="1"/>
  <c r="U45" i="3" s="1"/>
  <c r="V45" i="3" s="1"/>
  <c r="W45" i="3" s="1"/>
  <c r="X45" i="3" s="1"/>
  <c r="Y45" i="3" s="1"/>
  <c r="Z45" i="3" s="1"/>
  <c r="AA45" i="3" s="1"/>
  <c r="AB45" i="3" s="1"/>
  <c r="AC45" i="3" s="1"/>
  <c r="AD45" i="3" s="1"/>
  <c r="AE45" i="3" s="1"/>
  <c r="AF45" i="3" s="1"/>
  <c r="K45" i="3"/>
  <c r="L45" i="3" s="1"/>
  <c r="M45" i="3" s="1"/>
  <c r="K44" i="3"/>
  <c r="L44" i="3" s="1"/>
  <c r="M44" i="3" s="1"/>
  <c r="N44" i="3" s="1"/>
  <c r="O44" i="3" s="1"/>
  <c r="P44" i="3" s="1"/>
  <c r="Q44" i="3" s="1"/>
  <c r="R44" i="3" s="1"/>
  <c r="S44" i="3" s="1"/>
  <c r="T44" i="3" s="1"/>
  <c r="U44" i="3" s="1"/>
  <c r="V44" i="3" s="1"/>
  <c r="W44" i="3" s="1"/>
  <c r="X44" i="3" s="1"/>
  <c r="Y44" i="3" s="1"/>
  <c r="Z44" i="3" s="1"/>
  <c r="AA44" i="3" s="1"/>
  <c r="AB44" i="3" s="1"/>
  <c r="AC44" i="3" s="1"/>
  <c r="AD44" i="3" s="1"/>
  <c r="AE44" i="3" s="1"/>
  <c r="AF44" i="3" s="1"/>
  <c r="K43" i="3"/>
  <c r="L43" i="3" s="1"/>
  <c r="M43" i="3" s="1"/>
  <c r="N43" i="3" s="1"/>
  <c r="O43" i="3" s="1"/>
  <c r="P43" i="3" s="1"/>
  <c r="Q43" i="3" s="1"/>
  <c r="R43" i="3" s="1"/>
  <c r="S43" i="3" s="1"/>
  <c r="T43" i="3" s="1"/>
  <c r="U43" i="3" s="1"/>
  <c r="V43" i="3" s="1"/>
  <c r="W43" i="3" s="1"/>
  <c r="X43" i="3" s="1"/>
  <c r="Y43" i="3" s="1"/>
  <c r="Z43" i="3" s="1"/>
  <c r="AA43" i="3" s="1"/>
  <c r="AB43" i="3" s="1"/>
  <c r="AC43" i="3" s="1"/>
  <c r="AD43" i="3" s="1"/>
  <c r="AE43" i="3" s="1"/>
  <c r="AF43" i="3" s="1"/>
  <c r="U42" i="3"/>
  <c r="V42" i="3" s="1"/>
  <c r="W42" i="3" s="1"/>
  <c r="X42" i="3" s="1"/>
  <c r="Y42" i="3" s="1"/>
  <c r="Z42" i="3" s="1"/>
  <c r="AA42" i="3" s="1"/>
  <c r="AB42" i="3" s="1"/>
  <c r="AC42" i="3" s="1"/>
  <c r="AD42" i="3" s="1"/>
  <c r="AE42" i="3" s="1"/>
  <c r="AF42" i="3" s="1"/>
  <c r="K42" i="3"/>
  <c r="L42" i="3" s="1"/>
  <c r="M42" i="3" s="1"/>
  <c r="N42" i="3" s="1"/>
  <c r="O42" i="3" s="1"/>
  <c r="P42" i="3" s="1"/>
  <c r="Q42" i="3" s="1"/>
  <c r="R42" i="3" s="1"/>
  <c r="S42" i="3" s="1"/>
  <c r="T42" i="3" s="1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R40" i="3"/>
  <c r="S40" i="3" s="1"/>
  <c r="T40" i="3" s="1"/>
  <c r="U40" i="3" s="1"/>
  <c r="V40" i="3" s="1"/>
  <c r="W40" i="3" s="1"/>
  <c r="X40" i="3" s="1"/>
  <c r="Y40" i="3" s="1"/>
  <c r="Z40" i="3" s="1"/>
  <c r="AA40" i="3" s="1"/>
  <c r="AB40" i="3" s="1"/>
  <c r="AC40" i="3" s="1"/>
  <c r="AD40" i="3" s="1"/>
  <c r="AE40" i="3" s="1"/>
  <c r="AF40" i="3" s="1"/>
  <c r="K40" i="3"/>
  <c r="L40" i="3" s="1"/>
  <c r="M40" i="3" s="1"/>
  <c r="N40" i="3" s="1"/>
  <c r="O40" i="3" s="1"/>
  <c r="P40" i="3" s="1"/>
  <c r="Q40" i="3" s="1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L38" i="3"/>
  <c r="M38" i="3" s="1"/>
  <c r="N38" i="3" s="1"/>
  <c r="O38" i="3" s="1"/>
  <c r="P38" i="3" s="1"/>
  <c r="Q38" i="3" s="1"/>
  <c r="R38" i="3" s="1"/>
  <c r="S38" i="3" s="1"/>
  <c r="T38" i="3" s="1"/>
  <c r="U38" i="3" s="1"/>
  <c r="V38" i="3" s="1"/>
  <c r="W38" i="3" s="1"/>
  <c r="X38" i="3" s="1"/>
  <c r="Y38" i="3" s="1"/>
  <c r="Z38" i="3" s="1"/>
  <c r="AA38" i="3" s="1"/>
  <c r="AB38" i="3" s="1"/>
  <c r="AC38" i="3" s="1"/>
  <c r="AD38" i="3" s="1"/>
  <c r="AE38" i="3" s="1"/>
  <c r="AF38" i="3" s="1"/>
  <c r="K38" i="3"/>
  <c r="L37" i="3"/>
  <c r="M37" i="3" s="1"/>
  <c r="N37" i="3" s="1"/>
  <c r="O37" i="3" s="1"/>
  <c r="P37" i="3" s="1"/>
  <c r="Q37" i="3" s="1"/>
  <c r="R37" i="3" s="1"/>
  <c r="S37" i="3" s="1"/>
  <c r="T37" i="3" s="1"/>
  <c r="U37" i="3" s="1"/>
  <c r="V37" i="3" s="1"/>
  <c r="W37" i="3" s="1"/>
  <c r="X37" i="3" s="1"/>
  <c r="Y37" i="3" s="1"/>
  <c r="Z37" i="3" s="1"/>
  <c r="AA37" i="3" s="1"/>
  <c r="AB37" i="3" s="1"/>
  <c r="AC37" i="3" s="1"/>
  <c r="AD37" i="3" s="1"/>
  <c r="AE37" i="3" s="1"/>
  <c r="AF37" i="3" s="1"/>
  <c r="K37" i="3"/>
  <c r="K36" i="3"/>
  <c r="L36" i="3" s="1"/>
  <c r="M36" i="3" s="1"/>
  <c r="N36" i="3" s="1"/>
  <c r="O36" i="3" s="1"/>
  <c r="P36" i="3" s="1"/>
  <c r="Q36" i="3" s="1"/>
  <c r="R36" i="3" s="1"/>
  <c r="S36" i="3" s="1"/>
  <c r="T36" i="3" s="1"/>
  <c r="U36" i="3" s="1"/>
  <c r="V36" i="3" s="1"/>
  <c r="W36" i="3" s="1"/>
  <c r="X36" i="3" s="1"/>
  <c r="Y36" i="3" s="1"/>
  <c r="Z36" i="3" s="1"/>
  <c r="AA36" i="3" s="1"/>
  <c r="AB36" i="3" s="1"/>
  <c r="AC36" i="3" s="1"/>
  <c r="AD36" i="3" s="1"/>
  <c r="AE36" i="3" s="1"/>
  <c r="AF36" i="3" s="1"/>
  <c r="L35" i="3"/>
  <c r="M35" i="3" s="1"/>
  <c r="N35" i="3" s="1"/>
  <c r="O35" i="3" s="1"/>
  <c r="P35" i="3" s="1"/>
  <c r="Q35" i="3" s="1"/>
  <c r="R35" i="3" s="1"/>
  <c r="S35" i="3" s="1"/>
  <c r="T35" i="3" s="1"/>
  <c r="U35" i="3" s="1"/>
  <c r="V35" i="3" s="1"/>
  <c r="W35" i="3" s="1"/>
  <c r="X35" i="3" s="1"/>
  <c r="Y35" i="3" s="1"/>
  <c r="Z35" i="3" s="1"/>
  <c r="AA35" i="3" s="1"/>
  <c r="AB35" i="3" s="1"/>
  <c r="AC35" i="3" s="1"/>
  <c r="AD35" i="3" s="1"/>
  <c r="AE35" i="3" s="1"/>
  <c r="AF35" i="3" s="1"/>
  <c r="K35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K31" i="3"/>
  <c r="L31" i="3" s="1"/>
  <c r="M31" i="3" s="1"/>
  <c r="N31" i="3" s="1"/>
  <c r="O31" i="3" s="1"/>
  <c r="P31" i="3" s="1"/>
  <c r="Q31" i="3" s="1"/>
  <c r="R31" i="3" s="1"/>
  <c r="S31" i="3" s="1"/>
  <c r="T31" i="3" s="1"/>
  <c r="U31" i="3" s="1"/>
  <c r="V31" i="3" s="1"/>
  <c r="W31" i="3" s="1"/>
  <c r="X31" i="3" s="1"/>
  <c r="Y31" i="3" s="1"/>
  <c r="Z31" i="3" s="1"/>
  <c r="AA31" i="3" s="1"/>
  <c r="AB31" i="3" s="1"/>
  <c r="AC31" i="3" s="1"/>
  <c r="AD31" i="3" s="1"/>
  <c r="AE31" i="3" s="1"/>
  <c r="AF31" i="3" s="1"/>
  <c r="K30" i="3"/>
  <c r="L30" i="3" s="1"/>
  <c r="M30" i="3" s="1"/>
  <c r="N30" i="3" s="1"/>
  <c r="O30" i="3" s="1"/>
  <c r="P30" i="3" s="1"/>
  <c r="Q30" i="3" s="1"/>
  <c r="R30" i="3" s="1"/>
  <c r="S30" i="3" s="1"/>
  <c r="T30" i="3" s="1"/>
  <c r="U30" i="3" s="1"/>
  <c r="V30" i="3" s="1"/>
  <c r="W30" i="3" s="1"/>
  <c r="X30" i="3" s="1"/>
  <c r="Y30" i="3" s="1"/>
  <c r="Z30" i="3" s="1"/>
  <c r="AA30" i="3" s="1"/>
  <c r="AB30" i="3" s="1"/>
  <c r="AC30" i="3" s="1"/>
  <c r="AD30" i="3" s="1"/>
  <c r="AE30" i="3" s="1"/>
  <c r="AF30" i="3" s="1"/>
  <c r="T29" i="3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L29" i="3"/>
  <c r="M29" i="3" s="1"/>
  <c r="N29" i="3" s="1"/>
  <c r="O29" i="3" s="1"/>
  <c r="P29" i="3" s="1"/>
  <c r="Q29" i="3" s="1"/>
  <c r="R29" i="3" s="1"/>
  <c r="S29" i="3" s="1"/>
  <c r="K29" i="3"/>
  <c r="K28" i="3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K27" i="3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N26" i="3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AF26" i="3" s="1"/>
  <c r="K26" i="3"/>
  <c r="L26" i="3" s="1"/>
  <c r="M26" i="3" s="1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L20" i="3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K20" i="3"/>
  <c r="K19" i="3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K18" i="3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M17" i="3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L17" i="3"/>
  <c r="K17" i="3"/>
  <c r="K16" i="3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K14" i="3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K13" i="3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L12" i="3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K12" i="3"/>
  <c r="K11" i="3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K10" i="3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K8" i="3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L5" i="3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K5" i="3"/>
  <c r="K4" i="3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K3" i="3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L2" i="3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K2" i="3"/>
  <c r="C7" i="9" l="1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G25" i="2"/>
  <c r="D6" i="2"/>
  <c r="C6" i="2"/>
  <c r="B6" i="2"/>
  <c r="B3" i="2"/>
  <c r="C3" i="2"/>
  <c r="D3" i="2"/>
  <c r="E3" i="2"/>
  <c r="F3" i="2"/>
  <c r="G3" i="2"/>
  <c r="H3" i="2"/>
  <c r="I3" i="2"/>
  <c r="J3" i="2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B4" i="2"/>
  <c r="C4" i="2"/>
  <c r="D4" i="2"/>
  <c r="E4" i="2"/>
  <c r="F4" i="2"/>
  <c r="G4" i="2"/>
  <c r="H4" i="2"/>
  <c r="I4" i="2"/>
  <c r="J4" i="2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B5" i="2"/>
  <c r="C5" i="2"/>
  <c r="D5" i="2"/>
  <c r="E5" i="2"/>
  <c r="F5" i="2"/>
  <c r="G5" i="2"/>
  <c r="H5" i="2"/>
  <c r="I5" i="2"/>
  <c r="J5" i="2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E6" i="2"/>
  <c r="F6" i="2"/>
  <c r="H6" i="2"/>
  <c r="I6" i="2"/>
  <c r="J6" i="2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B7" i="2"/>
  <c r="C7" i="2"/>
  <c r="D7" i="2"/>
  <c r="E7" i="2"/>
  <c r="F7" i="2"/>
  <c r="H7" i="2"/>
  <c r="I7" i="2"/>
  <c r="J7" i="2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B8" i="2"/>
  <c r="C8" i="2"/>
  <c r="D8" i="2"/>
  <c r="E8" i="2"/>
  <c r="F8" i="2"/>
  <c r="H8" i="2"/>
  <c r="I8" i="2"/>
  <c r="J8" i="2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B9" i="2"/>
  <c r="C9" i="2"/>
  <c r="D9" i="2"/>
  <c r="E9" i="2"/>
  <c r="F9" i="2"/>
  <c r="G9" i="2"/>
  <c r="H9" i="2"/>
  <c r="I9" i="2"/>
  <c r="J9" i="2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B10" i="2"/>
  <c r="C10" i="2"/>
  <c r="D10" i="2"/>
  <c r="E10" i="2"/>
  <c r="F10" i="2"/>
  <c r="G10" i="2"/>
  <c r="H10" i="2"/>
  <c r="I10" i="2"/>
  <c r="J10" i="2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B11" i="2"/>
  <c r="C11" i="2"/>
  <c r="D11" i="2"/>
  <c r="E11" i="2"/>
  <c r="F11" i="2"/>
  <c r="G11" i="2"/>
  <c r="H11" i="2"/>
  <c r="I11" i="2"/>
  <c r="J11" i="2"/>
  <c r="K11" i="2" s="1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B12" i="2"/>
  <c r="C12" i="2"/>
  <c r="D12" i="2"/>
  <c r="E12" i="2"/>
  <c r="F12" i="2"/>
  <c r="G12" i="2"/>
  <c r="H12" i="2"/>
  <c r="I12" i="2"/>
  <c r="J12" i="2"/>
  <c r="K12" i="2" s="1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B13" i="2"/>
  <c r="C13" i="2"/>
  <c r="D13" i="2"/>
  <c r="E13" i="2"/>
  <c r="F13" i="2"/>
  <c r="G13" i="2"/>
  <c r="H13" i="2"/>
  <c r="I13" i="2"/>
  <c r="J13" i="2"/>
  <c r="K13" i="2" s="1"/>
  <c r="L13" i="2" s="1"/>
  <c r="M13" i="2" s="1"/>
  <c r="N13" i="2" s="1"/>
  <c r="O13" i="2" s="1"/>
  <c r="P13" i="2" s="1"/>
  <c r="Q13" i="2" s="1"/>
  <c r="R13" i="2" s="1"/>
  <c r="S13" i="2" s="1"/>
  <c r="T13" i="2" s="1"/>
  <c r="U13" i="2" s="1"/>
  <c r="V13" i="2" s="1"/>
  <c r="W13" i="2" s="1"/>
  <c r="X13" i="2" s="1"/>
  <c r="Y13" i="2" s="1"/>
  <c r="Z13" i="2" s="1"/>
  <c r="AA13" i="2" s="1"/>
  <c r="AB13" i="2" s="1"/>
  <c r="AC13" i="2" s="1"/>
  <c r="AD13" i="2" s="1"/>
  <c r="AE13" i="2" s="1"/>
  <c r="AF13" i="2" s="1"/>
  <c r="B14" i="2"/>
  <c r="C14" i="2"/>
  <c r="D14" i="2"/>
  <c r="E14" i="2"/>
  <c r="F14" i="2"/>
  <c r="G14" i="2"/>
  <c r="H14" i="2"/>
  <c r="I14" i="2"/>
  <c r="J14" i="2"/>
  <c r="K14" i="2" s="1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AD14" i="2" s="1"/>
  <c r="AE14" i="2" s="1"/>
  <c r="AF14" i="2" s="1"/>
  <c r="B15" i="2"/>
  <c r="C15" i="2"/>
  <c r="D15" i="2"/>
  <c r="E15" i="2"/>
  <c r="F15" i="2"/>
  <c r="G15" i="2"/>
  <c r="H15" i="2"/>
  <c r="I15" i="2"/>
  <c r="J15" i="2"/>
  <c r="K15" i="2" s="1"/>
  <c r="L15" i="2" s="1"/>
  <c r="M15" i="2" s="1"/>
  <c r="N15" i="2" s="1"/>
  <c r="O15" i="2" s="1"/>
  <c r="P15" i="2" s="1"/>
  <c r="Q15" i="2" s="1"/>
  <c r="R15" i="2" s="1"/>
  <c r="S15" i="2" s="1"/>
  <c r="T15" i="2" s="1"/>
  <c r="U15" i="2" s="1"/>
  <c r="V15" i="2" s="1"/>
  <c r="W15" i="2" s="1"/>
  <c r="X15" i="2" s="1"/>
  <c r="Y15" i="2" s="1"/>
  <c r="Z15" i="2" s="1"/>
  <c r="AA15" i="2" s="1"/>
  <c r="AB15" i="2" s="1"/>
  <c r="AC15" i="2" s="1"/>
  <c r="AD15" i="2" s="1"/>
  <c r="AE15" i="2" s="1"/>
  <c r="AF15" i="2" s="1"/>
  <c r="B16" i="2"/>
  <c r="C16" i="2"/>
  <c r="D16" i="2"/>
  <c r="E16" i="2"/>
  <c r="F16" i="2"/>
  <c r="G16" i="2"/>
  <c r="H16" i="2"/>
  <c r="I16" i="2"/>
  <c r="J16" i="2"/>
  <c r="K16" i="2" s="1"/>
  <c r="L16" i="2" s="1"/>
  <c r="M16" i="2" s="1"/>
  <c r="N16" i="2" s="1"/>
  <c r="O16" i="2" s="1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B17" i="2"/>
  <c r="C17" i="2"/>
  <c r="D17" i="2"/>
  <c r="E17" i="2"/>
  <c r="F17" i="2"/>
  <c r="G17" i="2"/>
  <c r="H17" i="2"/>
  <c r="I17" i="2"/>
  <c r="J17" i="2"/>
  <c r="K17" i="2" s="1"/>
  <c r="L17" i="2" s="1"/>
  <c r="M17" i="2" s="1"/>
  <c r="N17" i="2" s="1"/>
  <c r="O17" i="2" s="1"/>
  <c r="P17" i="2" s="1"/>
  <c r="Q17" i="2" s="1"/>
  <c r="R17" i="2" s="1"/>
  <c r="S17" i="2" s="1"/>
  <c r="T17" i="2" s="1"/>
  <c r="U17" i="2" s="1"/>
  <c r="V17" i="2" s="1"/>
  <c r="W17" i="2" s="1"/>
  <c r="X17" i="2" s="1"/>
  <c r="Y17" i="2" s="1"/>
  <c r="Z17" i="2" s="1"/>
  <c r="AA17" i="2" s="1"/>
  <c r="AB17" i="2" s="1"/>
  <c r="AC17" i="2" s="1"/>
  <c r="AD17" i="2" s="1"/>
  <c r="AE17" i="2" s="1"/>
  <c r="AF17" i="2" s="1"/>
  <c r="B18" i="2"/>
  <c r="C18" i="2"/>
  <c r="D18" i="2"/>
  <c r="E18" i="2"/>
  <c r="F18" i="2"/>
  <c r="G18" i="2"/>
  <c r="H18" i="2"/>
  <c r="I18" i="2"/>
  <c r="J18" i="2"/>
  <c r="K18" i="2" s="1"/>
  <c r="L18" i="2" s="1"/>
  <c r="M18" i="2" s="1"/>
  <c r="N18" i="2" s="1"/>
  <c r="O18" i="2" s="1"/>
  <c r="P18" i="2" s="1"/>
  <c r="Q18" i="2" s="1"/>
  <c r="R18" i="2" s="1"/>
  <c r="S18" i="2" s="1"/>
  <c r="T18" i="2" s="1"/>
  <c r="U18" i="2" s="1"/>
  <c r="V18" i="2" s="1"/>
  <c r="W18" i="2" s="1"/>
  <c r="X18" i="2" s="1"/>
  <c r="Y18" i="2" s="1"/>
  <c r="Z18" i="2" s="1"/>
  <c r="AA18" i="2" s="1"/>
  <c r="AB18" i="2" s="1"/>
  <c r="AC18" i="2" s="1"/>
  <c r="AD18" i="2" s="1"/>
  <c r="AE18" i="2" s="1"/>
  <c r="AF18" i="2" s="1"/>
  <c r="B19" i="2"/>
  <c r="C19" i="2"/>
  <c r="D19" i="2"/>
  <c r="E19" i="2"/>
  <c r="F19" i="2"/>
  <c r="G19" i="2"/>
  <c r="H19" i="2"/>
  <c r="I19" i="2"/>
  <c r="J19" i="2"/>
  <c r="K19" i="2" s="1"/>
  <c r="L19" i="2" s="1"/>
  <c r="M19" i="2" s="1"/>
  <c r="N19" i="2" s="1"/>
  <c r="O19" i="2" s="1"/>
  <c r="P19" i="2" s="1"/>
  <c r="Q19" i="2" s="1"/>
  <c r="R19" i="2" s="1"/>
  <c r="S19" i="2" s="1"/>
  <c r="T19" i="2" s="1"/>
  <c r="U19" i="2" s="1"/>
  <c r="V19" i="2" s="1"/>
  <c r="W19" i="2" s="1"/>
  <c r="X19" i="2" s="1"/>
  <c r="Y19" i="2" s="1"/>
  <c r="Z19" i="2" s="1"/>
  <c r="AA19" i="2" s="1"/>
  <c r="AB19" i="2" s="1"/>
  <c r="AC19" i="2" s="1"/>
  <c r="AD19" i="2" s="1"/>
  <c r="AE19" i="2" s="1"/>
  <c r="AF19" i="2" s="1"/>
  <c r="B20" i="2"/>
  <c r="C20" i="2"/>
  <c r="D20" i="2"/>
  <c r="E20" i="2"/>
  <c r="F20" i="2"/>
  <c r="G20" i="2"/>
  <c r="H20" i="2"/>
  <c r="I20" i="2"/>
  <c r="J20" i="2"/>
  <c r="K20" i="2" s="1"/>
  <c r="L20" i="2" s="1"/>
  <c r="M20" i="2" s="1"/>
  <c r="N20" i="2" s="1"/>
  <c r="O20" i="2" s="1"/>
  <c r="P20" i="2" s="1"/>
  <c r="Q20" i="2" s="1"/>
  <c r="R20" i="2" s="1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B21" i="2"/>
  <c r="C21" i="2"/>
  <c r="D21" i="2"/>
  <c r="E21" i="2"/>
  <c r="F21" i="2"/>
  <c r="H21" i="2"/>
  <c r="I21" i="2"/>
  <c r="J21" i="2"/>
  <c r="K21" i="2" s="1"/>
  <c r="L21" i="2" s="1"/>
  <c r="M21" i="2" s="1"/>
  <c r="N21" i="2" s="1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B22" i="2"/>
  <c r="C22" i="2"/>
  <c r="D22" i="2"/>
  <c r="E22" i="2"/>
  <c r="F22" i="2"/>
  <c r="G22" i="2"/>
  <c r="H22" i="2"/>
  <c r="I22" i="2"/>
  <c r="J22" i="2"/>
  <c r="K22" i="2" s="1"/>
  <c r="L22" i="2" s="1"/>
  <c r="M22" i="2" s="1"/>
  <c r="N22" i="2" s="1"/>
  <c r="O22" i="2" s="1"/>
  <c r="P22" i="2" s="1"/>
  <c r="Q22" i="2" s="1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AF22" i="2" s="1"/>
  <c r="B23" i="2"/>
  <c r="C23" i="2"/>
  <c r="D23" i="2"/>
  <c r="E23" i="2"/>
  <c r="F23" i="2"/>
  <c r="H23" i="2"/>
  <c r="I23" i="2"/>
  <c r="J23" i="2"/>
  <c r="K23" i="2" s="1"/>
  <c r="L23" i="2" s="1"/>
  <c r="M23" i="2" s="1"/>
  <c r="N23" i="2" s="1"/>
  <c r="O23" i="2" s="1"/>
  <c r="P23" i="2" s="1"/>
  <c r="Q23" i="2" s="1"/>
  <c r="R23" i="2" s="1"/>
  <c r="S23" i="2" s="1"/>
  <c r="T23" i="2" s="1"/>
  <c r="U23" i="2" s="1"/>
  <c r="V23" i="2" s="1"/>
  <c r="W23" i="2" s="1"/>
  <c r="X23" i="2" s="1"/>
  <c r="Y23" i="2" s="1"/>
  <c r="Z23" i="2" s="1"/>
  <c r="AA23" i="2" s="1"/>
  <c r="AB23" i="2" s="1"/>
  <c r="AC23" i="2" s="1"/>
  <c r="AD23" i="2" s="1"/>
  <c r="AE23" i="2" s="1"/>
  <c r="AF23" i="2" s="1"/>
  <c r="B24" i="2"/>
  <c r="C24" i="2"/>
  <c r="D24" i="2"/>
  <c r="E24" i="2"/>
  <c r="F24" i="2"/>
  <c r="G24" i="2"/>
  <c r="H24" i="2"/>
  <c r="I24" i="2"/>
  <c r="J24" i="2"/>
  <c r="K24" i="2" s="1"/>
  <c r="L24" i="2" s="1"/>
  <c r="M24" i="2" s="1"/>
  <c r="N24" i="2" s="1"/>
  <c r="O24" i="2" s="1"/>
  <c r="P24" i="2" s="1"/>
  <c r="Q24" i="2" s="1"/>
  <c r="R24" i="2" s="1"/>
  <c r="S24" i="2" s="1"/>
  <c r="T24" i="2" s="1"/>
  <c r="U24" i="2" s="1"/>
  <c r="V24" i="2" s="1"/>
  <c r="W24" i="2" s="1"/>
  <c r="X24" i="2" s="1"/>
  <c r="Y24" i="2" s="1"/>
  <c r="Z24" i="2" s="1"/>
  <c r="AA24" i="2" s="1"/>
  <c r="AB24" i="2" s="1"/>
  <c r="AC24" i="2" s="1"/>
  <c r="AD24" i="2" s="1"/>
  <c r="AE24" i="2" s="1"/>
  <c r="AF24" i="2" s="1"/>
  <c r="B25" i="2"/>
  <c r="C25" i="2"/>
  <c r="D25" i="2"/>
  <c r="E25" i="2"/>
  <c r="F25" i="2"/>
  <c r="H25" i="2"/>
  <c r="I25" i="2"/>
  <c r="J25" i="2"/>
  <c r="K25" i="2" s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AC25" i="2" s="1"/>
  <c r="AD25" i="2" s="1"/>
  <c r="AE25" i="2" s="1"/>
  <c r="AF25" i="2" s="1"/>
  <c r="B26" i="2"/>
  <c r="C26" i="2"/>
  <c r="D26" i="2"/>
  <c r="E26" i="2"/>
  <c r="F26" i="2"/>
  <c r="G26" i="2"/>
  <c r="H26" i="2"/>
  <c r="I26" i="2"/>
  <c r="J26" i="2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AD26" i="2" s="1"/>
  <c r="AE26" i="2" s="1"/>
  <c r="AF26" i="2" s="1"/>
  <c r="B27" i="2"/>
  <c r="C27" i="2"/>
  <c r="D27" i="2"/>
  <c r="E27" i="2"/>
  <c r="F27" i="2"/>
  <c r="G27" i="2"/>
  <c r="H27" i="2"/>
  <c r="I27" i="2"/>
  <c r="J27" i="2"/>
  <c r="K27" i="2" s="1"/>
  <c r="L27" i="2" s="1"/>
  <c r="M27" i="2" s="1"/>
  <c r="N27" i="2" s="1"/>
  <c r="O27" i="2" s="1"/>
  <c r="P27" i="2" s="1"/>
  <c r="Q27" i="2" s="1"/>
  <c r="R27" i="2" s="1"/>
  <c r="S27" i="2" s="1"/>
  <c r="T27" i="2" s="1"/>
  <c r="U27" i="2" s="1"/>
  <c r="V27" i="2" s="1"/>
  <c r="W27" i="2" s="1"/>
  <c r="X27" i="2" s="1"/>
  <c r="Y27" i="2" s="1"/>
  <c r="Z27" i="2" s="1"/>
  <c r="AA27" i="2" s="1"/>
  <c r="AB27" i="2" s="1"/>
  <c r="AC27" i="2" s="1"/>
  <c r="AD27" i="2" s="1"/>
  <c r="AE27" i="2" s="1"/>
  <c r="AF27" i="2" s="1"/>
  <c r="B28" i="2"/>
  <c r="C28" i="2"/>
  <c r="D28" i="2"/>
  <c r="E28" i="2"/>
  <c r="F28" i="2"/>
  <c r="G28" i="2"/>
  <c r="H28" i="2"/>
  <c r="I28" i="2"/>
  <c r="J28" i="2"/>
  <c r="K28" i="2" s="1"/>
  <c r="L28" i="2" s="1"/>
  <c r="M28" i="2" s="1"/>
  <c r="N28" i="2" s="1"/>
  <c r="O28" i="2" s="1"/>
  <c r="P28" i="2" s="1"/>
  <c r="Q28" i="2" s="1"/>
  <c r="R28" i="2" s="1"/>
  <c r="S28" i="2" s="1"/>
  <c r="T28" i="2" s="1"/>
  <c r="U28" i="2" s="1"/>
  <c r="V28" i="2" s="1"/>
  <c r="W28" i="2" s="1"/>
  <c r="X28" i="2" s="1"/>
  <c r="Y28" i="2" s="1"/>
  <c r="Z28" i="2" s="1"/>
  <c r="AA28" i="2" s="1"/>
  <c r="AB28" i="2" s="1"/>
  <c r="AC28" i="2" s="1"/>
  <c r="AD28" i="2" s="1"/>
  <c r="AE28" i="2" s="1"/>
  <c r="AF28" i="2" s="1"/>
  <c r="B29" i="2"/>
  <c r="C29" i="2"/>
  <c r="D29" i="2"/>
  <c r="E29" i="2"/>
  <c r="F29" i="2"/>
  <c r="G29" i="2"/>
  <c r="H29" i="2"/>
  <c r="I29" i="2"/>
  <c r="J29" i="2"/>
  <c r="K29" i="2" s="1"/>
  <c r="L29" i="2" s="1"/>
  <c r="M29" i="2" s="1"/>
  <c r="N29" i="2" s="1"/>
  <c r="O29" i="2" s="1"/>
  <c r="P29" i="2" s="1"/>
  <c r="Q29" i="2" s="1"/>
  <c r="R29" i="2" s="1"/>
  <c r="S29" i="2" s="1"/>
  <c r="T29" i="2" s="1"/>
  <c r="U29" i="2" s="1"/>
  <c r="V29" i="2" s="1"/>
  <c r="W29" i="2" s="1"/>
  <c r="X29" i="2" s="1"/>
  <c r="Y29" i="2" s="1"/>
  <c r="Z29" i="2" s="1"/>
  <c r="AA29" i="2" s="1"/>
  <c r="AB29" i="2" s="1"/>
  <c r="AC29" i="2" s="1"/>
  <c r="AD29" i="2" s="1"/>
  <c r="AE29" i="2" s="1"/>
  <c r="AF29" i="2" s="1"/>
  <c r="B30" i="2"/>
  <c r="C30" i="2"/>
  <c r="D30" i="2"/>
  <c r="E30" i="2"/>
  <c r="F30" i="2"/>
  <c r="H30" i="2"/>
  <c r="I30" i="2"/>
  <c r="J30" i="2"/>
  <c r="K30" i="2" s="1"/>
  <c r="L30" i="2" s="1"/>
  <c r="M30" i="2" s="1"/>
  <c r="N30" i="2" s="1"/>
  <c r="O30" i="2" s="1"/>
  <c r="P30" i="2" s="1"/>
  <c r="Q30" i="2" s="1"/>
  <c r="R30" i="2" s="1"/>
  <c r="S30" i="2" s="1"/>
  <c r="T30" i="2" s="1"/>
  <c r="U30" i="2" s="1"/>
  <c r="V30" i="2" s="1"/>
  <c r="W30" i="2" s="1"/>
  <c r="X30" i="2" s="1"/>
  <c r="Y30" i="2" s="1"/>
  <c r="Z30" i="2" s="1"/>
  <c r="AA30" i="2" s="1"/>
  <c r="AB30" i="2" s="1"/>
  <c r="AC30" i="2" s="1"/>
  <c r="AD30" i="2" s="1"/>
  <c r="AE30" i="2" s="1"/>
  <c r="AF30" i="2" s="1"/>
  <c r="B31" i="2"/>
  <c r="C31" i="2"/>
  <c r="D31" i="2"/>
  <c r="E31" i="2"/>
  <c r="F31" i="2"/>
  <c r="G31" i="2"/>
  <c r="H31" i="2"/>
  <c r="I31" i="2"/>
  <c r="J31" i="2"/>
  <c r="K31" i="2" s="1"/>
  <c r="L31" i="2" s="1"/>
  <c r="M31" i="2" s="1"/>
  <c r="N31" i="2" s="1"/>
  <c r="O31" i="2" s="1"/>
  <c r="P31" i="2" s="1"/>
  <c r="Q31" i="2" s="1"/>
  <c r="R31" i="2" s="1"/>
  <c r="S31" i="2" s="1"/>
  <c r="T31" i="2" s="1"/>
  <c r="U31" i="2" s="1"/>
  <c r="V31" i="2" s="1"/>
  <c r="W31" i="2" s="1"/>
  <c r="X31" i="2" s="1"/>
  <c r="Y31" i="2" s="1"/>
  <c r="Z31" i="2" s="1"/>
  <c r="AA31" i="2" s="1"/>
  <c r="AB31" i="2" s="1"/>
  <c r="AC31" i="2" s="1"/>
  <c r="AD31" i="2" s="1"/>
  <c r="AE31" i="2" s="1"/>
  <c r="AF31" i="2" s="1"/>
  <c r="C32" i="2"/>
  <c r="E32" i="2"/>
  <c r="F32" i="2"/>
  <c r="H32" i="2"/>
  <c r="I32" i="2"/>
  <c r="J32" i="2"/>
  <c r="K32" i="2" s="1"/>
  <c r="L32" i="2" s="1"/>
  <c r="M32" i="2" s="1"/>
  <c r="N32" i="2" s="1"/>
  <c r="O32" i="2" s="1"/>
  <c r="P32" i="2" s="1"/>
  <c r="Q32" i="2" s="1"/>
  <c r="R32" i="2" s="1"/>
  <c r="S32" i="2" s="1"/>
  <c r="T32" i="2" s="1"/>
  <c r="U32" i="2" s="1"/>
  <c r="V32" i="2" s="1"/>
  <c r="W32" i="2" s="1"/>
  <c r="X32" i="2" s="1"/>
  <c r="Y32" i="2" s="1"/>
  <c r="Z32" i="2" s="1"/>
  <c r="AA32" i="2" s="1"/>
  <c r="AB32" i="2" s="1"/>
  <c r="AC32" i="2" s="1"/>
  <c r="AD32" i="2" s="1"/>
  <c r="AE32" i="2" s="1"/>
  <c r="AF32" i="2" s="1"/>
  <c r="B33" i="2"/>
  <c r="C33" i="2"/>
  <c r="D33" i="2"/>
  <c r="E33" i="2"/>
  <c r="F33" i="2"/>
  <c r="G33" i="2"/>
  <c r="H33" i="2"/>
  <c r="I33" i="2"/>
  <c r="J33" i="2"/>
  <c r="K33" i="2" s="1"/>
  <c r="L33" i="2" s="1"/>
  <c r="M33" i="2" s="1"/>
  <c r="N33" i="2" s="1"/>
  <c r="O33" i="2" s="1"/>
  <c r="P33" i="2" s="1"/>
  <c r="Q33" i="2" s="1"/>
  <c r="R33" i="2" s="1"/>
  <c r="S33" i="2" s="1"/>
  <c r="T33" i="2" s="1"/>
  <c r="U33" i="2" s="1"/>
  <c r="V33" i="2" s="1"/>
  <c r="W33" i="2" s="1"/>
  <c r="X33" i="2" s="1"/>
  <c r="Y33" i="2" s="1"/>
  <c r="Z33" i="2" s="1"/>
  <c r="AA33" i="2" s="1"/>
  <c r="AB33" i="2" s="1"/>
  <c r="AC33" i="2" s="1"/>
  <c r="AD33" i="2" s="1"/>
  <c r="AE33" i="2" s="1"/>
  <c r="AF33" i="2" s="1"/>
  <c r="B34" i="2"/>
  <c r="C34" i="2"/>
  <c r="D34" i="2"/>
  <c r="E34" i="2"/>
  <c r="F34" i="2"/>
  <c r="H34" i="2"/>
  <c r="I34" i="2"/>
  <c r="J34" i="2"/>
  <c r="K34" i="2" s="1"/>
  <c r="L34" i="2" s="1"/>
  <c r="M34" i="2" s="1"/>
  <c r="N34" i="2" s="1"/>
  <c r="O34" i="2" s="1"/>
  <c r="P34" i="2" s="1"/>
  <c r="Q34" i="2" s="1"/>
  <c r="R34" i="2" s="1"/>
  <c r="S34" i="2" s="1"/>
  <c r="T34" i="2" s="1"/>
  <c r="U34" i="2" s="1"/>
  <c r="V34" i="2" s="1"/>
  <c r="W34" i="2" s="1"/>
  <c r="X34" i="2" s="1"/>
  <c r="Y34" i="2" s="1"/>
  <c r="Z34" i="2" s="1"/>
  <c r="AA34" i="2" s="1"/>
  <c r="AB34" i="2" s="1"/>
  <c r="AC34" i="2" s="1"/>
  <c r="AD34" i="2" s="1"/>
  <c r="AE34" i="2" s="1"/>
  <c r="AF34" i="2" s="1"/>
  <c r="B35" i="2"/>
  <c r="C35" i="2"/>
  <c r="D35" i="2"/>
  <c r="E35" i="2"/>
  <c r="F35" i="2"/>
  <c r="G35" i="2"/>
  <c r="H35" i="2"/>
  <c r="I35" i="2"/>
  <c r="J35" i="2"/>
  <c r="K35" i="2" s="1"/>
  <c r="L35" i="2" s="1"/>
  <c r="M35" i="2" s="1"/>
  <c r="N35" i="2" s="1"/>
  <c r="O35" i="2" s="1"/>
  <c r="P35" i="2" s="1"/>
  <c r="Q35" i="2" s="1"/>
  <c r="R35" i="2" s="1"/>
  <c r="S35" i="2" s="1"/>
  <c r="T35" i="2" s="1"/>
  <c r="U35" i="2" s="1"/>
  <c r="V35" i="2" s="1"/>
  <c r="W35" i="2" s="1"/>
  <c r="X35" i="2" s="1"/>
  <c r="Y35" i="2" s="1"/>
  <c r="Z35" i="2" s="1"/>
  <c r="AA35" i="2" s="1"/>
  <c r="AB35" i="2" s="1"/>
  <c r="AC35" i="2" s="1"/>
  <c r="AD35" i="2" s="1"/>
  <c r="AE35" i="2" s="1"/>
  <c r="AF35" i="2" s="1"/>
  <c r="B36" i="2"/>
  <c r="C36" i="2"/>
  <c r="D36" i="2"/>
  <c r="E36" i="2"/>
  <c r="F36" i="2"/>
  <c r="G36" i="2"/>
  <c r="H36" i="2"/>
  <c r="I36" i="2"/>
  <c r="J36" i="2"/>
  <c r="K36" i="2" s="1"/>
  <c r="L36" i="2" s="1"/>
  <c r="M36" i="2" s="1"/>
  <c r="N36" i="2" s="1"/>
  <c r="O36" i="2" s="1"/>
  <c r="P36" i="2" s="1"/>
  <c r="Q36" i="2" s="1"/>
  <c r="R36" i="2" s="1"/>
  <c r="S36" i="2" s="1"/>
  <c r="T36" i="2" s="1"/>
  <c r="U36" i="2" s="1"/>
  <c r="V36" i="2" s="1"/>
  <c r="W36" i="2" s="1"/>
  <c r="X36" i="2" s="1"/>
  <c r="Y36" i="2" s="1"/>
  <c r="Z36" i="2" s="1"/>
  <c r="AA36" i="2" s="1"/>
  <c r="AB36" i="2" s="1"/>
  <c r="AC36" i="2" s="1"/>
  <c r="AD36" i="2" s="1"/>
  <c r="AE36" i="2" s="1"/>
  <c r="AF36" i="2" s="1"/>
  <c r="B37" i="2"/>
  <c r="C37" i="2"/>
  <c r="D37" i="2"/>
  <c r="E37" i="2"/>
  <c r="F37" i="2"/>
  <c r="G37" i="2"/>
  <c r="H37" i="2"/>
  <c r="I37" i="2"/>
  <c r="J37" i="2"/>
  <c r="K37" i="2" s="1"/>
  <c r="L37" i="2" s="1"/>
  <c r="M37" i="2" s="1"/>
  <c r="N37" i="2" s="1"/>
  <c r="O37" i="2" s="1"/>
  <c r="P37" i="2" s="1"/>
  <c r="Q37" i="2" s="1"/>
  <c r="R37" i="2" s="1"/>
  <c r="S37" i="2" s="1"/>
  <c r="T37" i="2" s="1"/>
  <c r="U37" i="2" s="1"/>
  <c r="V37" i="2" s="1"/>
  <c r="W37" i="2" s="1"/>
  <c r="X37" i="2" s="1"/>
  <c r="Y37" i="2" s="1"/>
  <c r="Z37" i="2" s="1"/>
  <c r="AA37" i="2" s="1"/>
  <c r="AB37" i="2" s="1"/>
  <c r="AC37" i="2" s="1"/>
  <c r="AD37" i="2" s="1"/>
  <c r="AE37" i="2" s="1"/>
  <c r="AF37" i="2" s="1"/>
  <c r="B38" i="2"/>
  <c r="C38" i="2"/>
  <c r="D38" i="2"/>
  <c r="E38" i="2"/>
  <c r="F38" i="2"/>
  <c r="G38" i="2"/>
  <c r="H38" i="2"/>
  <c r="I38" i="2"/>
  <c r="J38" i="2"/>
  <c r="K38" i="2" s="1"/>
  <c r="L38" i="2" s="1"/>
  <c r="M38" i="2" s="1"/>
  <c r="N38" i="2" s="1"/>
  <c r="O38" i="2" s="1"/>
  <c r="P38" i="2" s="1"/>
  <c r="Q38" i="2" s="1"/>
  <c r="R38" i="2" s="1"/>
  <c r="S38" i="2" s="1"/>
  <c r="T38" i="2" s="1"/>
  <c r="U38" i="2" s="1"/>
  <c r="V38" i="2" s="1"/>
  <c r="W38" i="2" s="1"/>
  <c r="X38" i="2" s="1"/>
  <c r="Y38" i="2" s="1"/>
  <c r="Z38" i="2" s="1"/>
  <c r="AA38" i="2" s="1"/>
  <c r="AB38" i="2" s="1"/>
  <c r="AC38" i="2" s="1"/>
  <c r="AD38" i="2" s="1"/>
  <c r="AE38" i="2" s="1"/>
  <c r="AF38" i="2" s="1"/>
  <c r="B39" i="2"/>
  <c r="C39" i="2"/>
  <c r="D39" i="2"/>
  <c r="E39" i="2"/>
  <c r="F39" i="2"/>
  <c r="H39" i="2"/>
  <c r="I39" i="2"/>
  <c r="J39" i="2"/>
  <c r="K39" i="2" s="1"/>
  <c r="L39" i="2" s="1"/>
  <c r="M39" i="2" s="1"/>
  <c r="N39" i="2" s="1"/>
  <c r="O39" i="2" s="1"/>
  <c r="P39" i="2" s="1"/>
  <c r="Q39" i="2" s="1"/>
  <c r="R39" i="2" s="1"/>
  <c r="S39" i="2" s="1"/>
  <c r="T39" i="2" s="1"/>
  <c r="U39" i="2" s="1"/>
  <c r="V39" i="2" s="1"/>
  <c r="W39" i="2" s="1"/>
  <c r="X39" i="2" s="1"/>
  <c r="Y39" i="2" s="1"/>
  <c r="Z39" i="2" s="1"/>
  <c r="AA39" i="2" s="1"/>
  <c r="AB39" i="2" s="1"/>
  <c r="AC39" i="2" s="1"/>
  <c r="AD39" i="2" s="1"/>
  <c r="AE39" i="2" s="1"/>
  <c r="AF39" i="2" s="1"/>
  <c r="B40" i="2"/>
  <c r="C40" i="2"/>
  <c r="D40" i="2"/>
  <c r="E40" i="2"/>
  <c r="F40" i="2"/>
  <c r="G40" i="2"/>
  <c r="H40" i="2"/>
  <c r="I40" i="2"/>
  <c r="J40" i="2"/>
  <c r="K40" i="2" s="1"/>
  <c r="L40" i="2" s="1"/>
  <c r="M40" i="2" s="1"/>
  <c r="N40" i="2" s="1"/>
  <c r="O40" i="2" s="1"/>
  <c r="P40" i="2" s="1"/>
  <c r="Q40" i="2" s="1"/>
  <c r="R40" i="2" s="1"/>
  <c r="S40" i="2" s="1"/>
  <c r="T40" i="2" s="1"/>
  <c r="U40" i="2" s="1"/>
  <c r="V40" i="2" s="1"/>
  <c r="W40" i="2" s="1"/>
  <c r="X40" i="2" s="1"/>
  <c r="Y40" i="2" s="1"/>
  <c r="Z40" i="2" s="1"/>
  <c r="AA40" i="2" s="1"/>
  <c r="AB40" i="2" s="1"/>
  <c r="AC40" i="2" s="1"/>
  <c r="AD40" i="2" s="1"/>
  <c r="AE40" i="2" s="1"/>
  <c r="AF40" i="2" s="1"/>
  <c r="B41" i="2"/>
  <c r="C41" i="2"/>
  <c r="D41" i="2"/>
  <c r="E41" i="2"/>
  <c r="F41" i="2"/>
  <c r="H41" i="2"/>
  <c r="I41" i="2"/>
  <c r="J41" i="2"/>
  <c r="K41" i="2" s="1"/>
  <c r="L41" i="2" s="1"/>
  <c r="M41" i="2" s="1"/>
  <c r="N41" i="2" s="1"/>
  <c r="O41" i="2" s="1"/>
  <c r="P41" i="2" s="1"/>
  <c r="Q41" i="2" s="1"/>
  <c r="R41" i="2" s="1"/>
  <c r="S41" i="2" s="1"/>
  <c r="T41" i="2" s="1"/>
  <c r="U41" i="2" s="1"/>
  <c r="V41" i="2" s="1"/>
  <c r="W41" i="2" s="1"/>
  <c r="X41" i="2" s="1"/>
  <c r="Y41" i="2" s="1"/>
  <c r="Z41" i="2" s="1"/>
  <c r="AA41" i="2" s="1"/>
  <c r="AB41" i="2" s="1"/>
  <c r="AC41" i="2" s="1"/>
  <c r="AD41" i="2" s="1"/>
  <c r="AE41" i="2" s="1"/>
  <c r="AF41" i="2" s="1"/>
  <c r="B42" i="2"/>
  <c r="C42" i="2"/>
  <c r="D42" i="2"/>
  <c r="E42" i="2"/>
  <c r="F42" i="2"/>
  <c r="G42" i="2"/>
  <c r="H42" i="2"/>
  <c r="I42" i="2"/>
  <c r="J42" i="2"/>
  <c r="K42" i="2" s="1"/>
  <c r="L42" i="2" s="1"/>
  <c r="M42" i="2" s="1"/>
  <c r="N42" i="2" s="1"/>
  <c r="O42" i="2" s="1"/>
  <c r="P42" i="2" s="1"/>
  <c r="Q42" i="2" s="1"/>
  <c r="R42" i="2" s="1"/>
  <c r="S42" i="2" s="1"/>
  <c r="T42" i="2" s="1"/>
  <c r="U42" i="2" s="1"/>
  <c r="V42" i="2" s="1"/>
  <c r="W42" i="2" s="1"/>
  <c r="X42" i="2" s="1"/>
  <c r="Y42" i="2" s="1"/>
  <c r="Z42" i="2" s="1"/>
  <c r="AA42" i="2" s="1"/>
  <c r="AB42" i="2" s="1"/>
  <c r="AC42" i="2" s="1"/>
  <c r="AD42" i="2" s="1"/>
  <c r="AE42" i="2" s="1"/>
  <c r="AF42" i="2" s="1"/>
  <c r="B43" i="2"/>
  <c r="C43" i="2"/>
  <c r="D43" i="2"/>
  <c r="E43" i="2"/>
  <c r="F43" i="2"/>
  <c r="G43" i="2"/>
  <c r="H43" i="2"/>
  <c r="I43" i="2"/>
  <c r="J43" i="2"/>
  <c r="K43" i="2" s="1"/>
  <c r="L43" i="2" s="1"/>
  <c r="M43" i="2" s="1"/>
  <c r="N43" i="2" s="1"/>
  <c r="O43" i="2" s="1"/>
  <c r="P43" i="2" s="1"/>
  <c r="Q43" i="2" s="1"/>
  <c r="R43" i="2" s="1"/>
  <c r="S43" i="2" s="1"/>
  <c r="T43" i="2" s="1"/>
  <c r="U43" i="2" s="1"/>
  <c r="V43" i="2" s="1"/>
  <c r="W43" i="2" s="1"/>
  <c r="X43" i="2" s="1"/>
  <c r="Y43" i="2" s="1"/>
  <c r="Z43" i="2" s="1"/>
  <c r="AA43" i="2" s="1"/>
  <c r="AB43" i="2" s="1"/>
  <c r="AC43" i="2" s="1"/>
  <c r="AD43" i="2" s="1"/>
  <c r="AE43" i="2" s="1"/>
  <c r="AF43" i="2" s="1"/>
  <c r="B44" i="2"/>
  <c r="C44" i="2"/>
  <c r="D44" i="2"/>
  <c r="E44" i="2"/>
  <c r="F44" i="2"/>
  <c r="G44" i="2"/>
  <c r="H44" i="2"/>
  <c r="I44" i="2"/>
  <c r="J44" i="2"/>
  <c r="K44" i="2" s="1"/>
  <c r="L44" i="2" s="1"/>
  <c r="M44" i="2" s="1"/>
  <c r="N44" i="2" s="1"/>
  <c r="O44" i="2" s="1"/>
  <c r="P44" i="2" s="1"/>
  <c r="Q44" i="2" s="1"/>
  <c r="R44" i="2" s="1"/>
  <c r="S44" i="2" s="1"/>
  <c r="T44" i="2" s="1"/>
  <c r="U44" i="2" s="1"/>
  <c r="V44" i="2" s="1"/>
  <c r="W44" i="2" s="1"/>
  <c r="X44" i="2" s="1"/>
  <c r="Y44" i="2" s="1"/>
  <c r="Z44" i="2" s="1"/>
  <c r="AA44" i="2" s="1"/>
  <c r="AB44" i="2" s="1"/>
  <c r="AC44" i="2" s="1"/>
  <c r="AD44" i="2" s="1"/>
  <c r="AE44" i="2" s="1"/>
  <c r="AF44" i="2" s="1"/>
  <c r="B45" i="2"/>
  <c r="C45" i="2"/>
  <c r="D45" i="2"/>
  <c r="E45" i="2"/>
  <c r="F45" i="2"/>
  <c r="G45" i="2"/>
  <c r="H45" i="2"/>
  <c r="I45" i="2"/>
  <c r="J45" i="2"/>
  <c r="K45" i="2" s="1"/>
  <c r="L45" i="2" s="1"/>
  <c r="M45" i="2" s="1"/>
  <c r="N45" i="2" s="1"/>
  <c r="O45" i="2" s="1"/>
  <c r="P45" i="2" s="1"/>
  <c r="Q45" i="2" s="1"/>
  <c r="R45" i="2" s="1"/>
  <c r="S45" i="2" s="1"/>
  <c r="T45" i="2" s="1"/>
  <c r="U45" i="2" s="1"/>
  <c r="V45" i="2" s="1"/>
  <c r="W45" i="2" s="1"/>
  <c r="X45" i="2" s="1"/>
  <c r="Y45" i="2" s="1"/>
  <c r="Z45" i="2" s="1"/>
  <c r="AA45" i="2" s="1"/>
  <c r="AB45" i="2" s="1"/>
  <c r="AC45" i="2" s="1"/>
  <c r="AD45" i="2" s="1"/>
  <c r="AE45" i="2" s="1"/>
  <c r="AF45" i="2" s="1"/>
  <c r="B46" i="2"/>
  <c r="C46" i="2"/>
  <c r="D46" i="2"/>
  <c r="E46" i="2"/>
  <c r="F46" i="2"/>
  <c r="G46" i="2"/>
  <c r="H46" i="2"/>
  <c r="I46" i="2"/>
  <c r="J46" i="2"/>
  <c r="K46" i="2" s="1"/>
  <c r="L46" i="2" s="1"/>
  <c r="M46" i="2" s="1"/>
  <c r="N46" i="2" s="1"/>
  <c r="O46" i="2" s="1"/>
  <c r="P46" i="2" s="1"/>
  <c r="Q46" i="2" s="1"/>
  <c r="R46" i="2" s="1"/>
  <c r="S46" i="2" s="1"/>
  <c r="T46" i="2" s="1"/>
  <c r="U46" i="2" s="1"/>
  <c r="V46" i="2" s="1"/>
  <c r="W46" i="2" s="1"/>
  <c r="X46" i="2" s="1"/>
  <c r="Y46" i="2" s="1"/>
  <c r="Z46" i="2" s="1"/>
  <c r="AA46" i="2" s="1"/>
  <c r="AB46" i="2" s="1"/>
  <c r="AC46" i="2" s="1"/>
  <c r="AD46" i="2" s="1"/>
  <c r="AE46" i="2" s="1"/>
  <c r="AF46" i="2" s="1"/>
  <c r="C47" i="2"/>
  <c r="D47" i="2"/>
  <c r="E47" i="2"/>
  <c r="F47" i="2"/>
  <c r="H47" i="2"/>
  <c r="I47" i="2"/>
  <c r="J47" i="2"/>
  <c r="K47" i="2" s="1"/>
  <c r="L47" i="2" s="1"/>
  <c r="M47" i="2" s="1"/>
  <c r="N47" i="2" s="1"/>
  <c r="O47" i="2" s="1"/>
  <c r="P47" i="2" s="1"/>
  <c r="Q47" i="2" s="1"/>
  <c r="R47" i="2" s="1"/>
  <c r="S47" i="2" s="1"/>
  <c r="T47" i="2" s="1"/>
  <c r="U47" i="2" s="1"/>
  <c r="V47" i="2" s="1"/>
  <c r="W47" i="2" s="1"/>
  <c r="X47" i="2" s="1"/>
  <c r="Y47" i="2" s="1"/>
  <c r="Z47" i="2" s="1"/>
  <c r="AA47" i="2" s="1"/>
  <c r="AB47" i="2" s="1"/>
  <c r="AC47" i="2" s="1"/>
  <c r="AD47" i="2" s="1"/>
  <c r="AE47" i="2" s="1"/>
  <c r="AF47" i="2" s="1"/>
  <c r="B48" i="2"/>
  <c r="C48" i="2"/>
  <c r="D48" i="2"/>
  <c r="E48" i="2"/>
  <c r="F48" i="2"/>
  <c r="H48" i="2"/>
  <c r="I48" i="2"/>
  <c r="J48" i="2"/>
  <c r="K48" i="2" s="1"/>
  <c r="L48" i="2" s="1"/>
  <c r="M48" i="2" s="1"/>
  <c r="N48" i="2" s="1"/>
  <c r="O48" i="2" s="1"/>
  <c r="P48" i="2" s="1"/>
  <c r="Q48" i="2" s="1"/>
  <c r="R48" i="2" s="1"/>
  <c r="S48" i="2" s="1"/>
  <c r="T48" i="2" s="1"/>
  <c r="U48" i="2" s="1"/>
  <c r="V48" i="2" s="1"/>
  <c r="W48" i="2" s="1"/>
  <c r="X48" i="2" s="1"/>
  <c r="Y48" i="2" s="1"/>
  <c r="Z48" i="2" s="1"/>
  <c r="AA48" i="2" s="1"/>
  <c r="AB48" i="2" s="1"/>
  <c r="AC48" i="2" s="1"/>
  <c r="AD48" i="2" s="1"/>
  <c r="AE48" i="2" s="1"/>
  <c r="AF48" i="2" s="1"/>
  <c r="B49" i="2"/>
  <c r="C49" i="2"/>
  <c r="D49" i="2"/>
  <c r="E49" i="2"/>
  <c r="F49" i="2"/>
  <c r="H49" i="2"/>
  <c r="I49" i="2"/>
  <c r="J49" i="2"/>
  <c r="K49" i="2" s="1"/>
  <c r="L49" i="2" s="1"/>
  <c r="M49" i="2" s="1"/>
  <c r="N49" i="2" s="1"/>
  <c r="O49" i="2" s="1"/>
  <c r="P49" i="2" s="1"/>
  <c r="Q49" i="2" s="1"/>
  <c r="R49" i="2" s="1"/>
  <c r="S49" i="2" s="1"/>
  <c r="T49" i="2" s="1"/>
  <c r="U49" i="2" s="1"/>
  <c r="V49" i="2" s="1"/>
  <c r="W49" i="2" s="1"/>
  <c r="X49" i="2" s="1"/>
  <c r="Y49" i="2" s="1"/>
  <c r="Z49" i="2" s="1"/>
  <c r="AA49" i="2" s="1"/>
  <c r="AB49" i="2" s="1"/>
  <c r="AC49" i="2" s="1"/>
  <c r="AD49" i="2" s="1"/>
  <c r="AE49" i="2" s="1"/>
  <c r="AF49" i="2" s="1"/>
  <c r="B50" i="2"/>
  <c r="C50" i="2"/>
  <c r="D50" i="2"/>
  <c r="E50" i="2"/>
  <c r="F50" i="2"/>
  <c r="G50" i="2"/>
  <c r="H50" i="2"/>
  <c r="I50" i="2"/>
  <c r="J50" i="2"/>
  <c r="K50" i="2" s="1"/>
  <c r="L50" i="2" s="1"/>
  <c r="M50" i="2" s="1"/>
  <c r="N50" i="2" s="1"/>
  <c r="O50" i="2" s="1"/>
  <c r="P50" i="2" s="1"/>
  <c r="Q50" i="2" s="1"/>
  <c r="R50" i="2" s="1"/>
  <c r="S50" i="2" s="1"/>
  <c r="T50" i="2" s="1"/>
  <c r="U50" i="2" s="1"/>
  <c r="V50" i="2" s="1"/>
  <c r="W50" i="2" s="1"/>
  <c r="X50" i="2" s="1"/>
  <c r="Y50" i="2" s="1"/>
  <c r="Z50" i="2" s="1"/>
  <c r="AA50" i="2" s="1"/>
  <c r="AB50" i="2" s="1"/>
  <c r="AC50" i="2" s="1"/>
  <c r="AD50" i="2" s="1"/>
  <c r="AE50" i="2" s="1"/>
  <c r="AF50" i="2" s="1"/>
  <c r="B51" i="2"/>
  <c r="C51" i="2"/>
  <c r="D51" i="2"/>
  <c r="E51" i="2"/>
  <c r="F51" i="2"/>
  <c r="G51" i="2"/>
  <c r="H51" i="2"/>
  <c r="I51" i="2"/>
  <c r="J51" i="2"/>
  <c r="K51" i="2" s="1"/>
  <c r="L51" i="2" s="1"/>
  <c r="M51" i="2" s="1"/>
  <c r="N51" i="2" s="1"/>
  <c r="O51" i="2" s="1"/>
  <c r="P51" i="2" s="1"/>
  <c r="Q51" i="2" s="1"/>
  <c r="R51" i="2" s="1"/>
  <c r="S51" i="2" s="1"/>
  <c r="T51" i="2" s="1"/>
  <c r="U51" i="2" s="1"/>
  <c r="V51" i="2" s="1"/>
  <c r="W51" i="2" s="1"/>
  <c r="X51" i="2" s="1"/>
  <c r="Y51" i="2" s="1"/>
  <c r="Z51" i="2" s="1"/>
  <c r="AA51" i="2" s="1"/>
  <c r="AB51" i="2" s="1"/>
  <c r="AC51" i="2" s="1"/>
  <c r="AD51" i="2" s="1"/>
  <c r="AE51" i="2" s="1"/>
  <c r="AF51" i="2" s="1"/>
  <c r="B52" i="2"/>
  <c r="C52" i="2"/>
  <c r="D52" i="2"/>
  <c r="E52" i="2"/>
  <c r="F52" i="2"/>
  <c r="G52" i="2"/>
  <c r="H52" i="2"/>
  <c r="I52" i="2"/>
  <c r="J52" i="2"/>
  <c r="K52" i="2" s="1"/>
  <c r="L52" i="2" s="1"/>
  <c r="M52" i="2" s="1"/>
  <c r="N52" i="2" s="1"/>
  <c r="O52" i="2" s="1"/>
  <c r="P52" i="2" s="1"/>
  <c r="Q52" i="2" s="1"/>
  <c r="R52" i="2" s="1"/>
  <c r="S52" i="2" s="1"/>
  <c r="T52" i="2" s="1"/>
  <c r="U52" i="2" s="1"/>
  <c r="V52" i="2" s="1"/>
  <c r="W52" i="2" s="1"/>
  <c r="X52" i="2" s="1"/>
  <c r="Y52" i="2" s="1"/>
  <c r="Z52" i="2" s="1"/>
  <c r="AA52" i="2" s="1"/>
  <c r="AB52" i="2" s="1"/>
  <c r="AC52" i="2" s="1"/>
  <c r="AD52" i="2" s="1"/>
  <c r="AE52" i="2" s="1"/>
  <c r="AF52" i="2" s="1"/>
  <c r="B53" i="2"/>
  <c r="C53" i="2"/>
  <c r="D53" i="2"/>
  <c r="E53" i="2"/>
  <c r="F53" i="2"/>
  <c r="G53" i="2"/>
  <c r="H53" i="2"/>
  <c r="I53" i="2"/>
  <c r="J53" i="2"/>
  <c r="K53" i="2" s="1"/>
  <c r="L53" i="2" s="1"/>
  <c r="M53" i="2" s="1"/>
  <c r="N53" i="2" s="1"/>
  <c r="O53" i="2" s="1"/>
  <c r="P53" i="2" s="1"/>
  <c r="Q53" i="2" s="1"/>
  <c r="R53" i="2" s="1"/>
  <c r="S53" i="2" s="1"/>
  <c r="T53" i="2" s="1"/>
  <c r="U53" i="2" s="1"/>
  <c r="V53" i="2" s="1"/>
  <c r="W53" i="2" s="1"/>
  <c r="X53" i="2" s="1"/>
  <c r="Y53" i="2" s="1"/>
  <c r="Z53" i="2" s="1"/>
  <c r="AA53" i="2" s="1"/>
  <c r="AB53" i="2" s="1"/>
  <c r="AC53" i="2" s="1"/>
  <c r="AD53" i="2" s="1"/>
  <c r="AE53" i="2" s="1"/>
  <c r="AF53" i="2" s="1"/>
  <c r="B54" i="2"/>
  <c r="C54" i="2"/>
  <c r="D54" i="2"/>
  <c r="E54" i="2"/>
  <c r="F54" i="2"/>
  <c r="G54" i="2"/>
  <c r="H54" i="2"/>
  <c r="I54" i="2"/>
  <c r="J54" i="2"/>
  <c r="K54" i="2" s="1"/>
  <c r="L54" i="2" s="1"/>
  <c r="M54" i="2" s="1"/>
  <c r="N54" i="2" s="1"/>
  <c r="O54" i="2" s="1"/>
  <c r="P54" i="2" s="1"/>
  <c r="Q54" i="2" s="1"/>
  <c r="R54" i="2" s="1"/>
  <c r="S54" i="2" s="1"/>
  <c r="T54" i="2" s="1"/>
  <c r="U54" i="2" s="1"/>
  <c r="V54" i="2" s="1"/>
  <c r="W54" i="2" s="1"/>
  <c r="X54" i="2" s="1"/>
  <c r="Y54" i="2" s="1"/>
  <c r="Z54" i="2" s="1"/>
  <c r="AA54" i="2" s="1"/>
  <c r="AB54" i="2" s="1"/>
  <c r="AC54" i="2" s="1"/>
  <c r="AD54" i="2" s="1"/>
  <c r="AE54" i="2" s="1"/>
  <c r="AF54" i="2" s="1"/>
  <c r="B55" i="2"/>
  <c r="C55" i="2"/>
  <c r="D55" i="2"/>
  <c r="E55" i="2"/>
  <c r="F55" i="2"/>
  <c r="G55" i="2"/>
  <c r="H55" i="2"/>
  <c r="I55" i="2"/>
  <c r="J55" i="2"/>
  <c r="K55" i="2" s="1"/>
  <c r="L55" i="2" s="1"/>
  <c r="M55" i="2" s="1"/>
  <c r="N55" i="2" s="1"/>
  <c r="O55" i="2" s="1"/>
  <c r="P55" i="2" s="1"/>
  <c r="Q55" i="2" s="1"/>
  <c r="R55" i="2" s="1"/>
  <c r="S55" i="2" s="1"/>
  <c r="T55" i="2" s="1"/>
  <c r="U55" i="2" s="1"/>
  <c r="V55" i="2" s="1"/>
  <c r="W55" i="2" s="1"/>
  <c r="X55" i="2" s="1"/>
  <c r="Y55" i="2" s="1"/>
  <c r="Z55" i="2" s="1"/>
  <c r="AA55" i="2" s="1"/>
  <c r="AB55" i="2" s="1"/>
  <c r="AC55" i="2" s="1"/>
  <c r="AD55" i="2" s="1"/>
  <c r="AE55" i="2" s="1"/>
  <c r="AF55" i="2" s="1"/>
  <c r="B56" i="2"/>
  <c r="C56" i="2"/>
  <c r="D56" i="2"/>
  <c r="E56" i="2"/>
  <c r="F56" i="2"/>
  <c r="G56" i="2"/>
  <c r="H56" i="2"/>
  <c r="I56" i="2"/>
  <c r="J56" i="2"/>
  <c r="K56" i="2" s="1"/>
  <c r="L56" i="2" s="1"/>
  <c r="M56" i="2" s="1"/>
  <c r="N56" i="2" s="1"/>
  <c r="O56" i="2" s="1"/>
  <c r="P56" i="2" s="1"/>
  <c r="Q56" i="2" s="1"/>
  <c r="R56" i="2" s="1"/>
  <c r="S56" i="2" s="1"/>
  <c r="T56" i="2" s="1"/>
  <c r="U56" i="2" s="1"/>
  <c r="V56" i="2" s="1"/>
  <c r="W56" i="2" s="1"/>
  <c r="X56" i="2" s="1"/>
  <c r="Y56" i="2" s="1"/>
  <c r="Z56" i="2" s="1"/>
  <c r="AA56" i="2" s="1"/>
  <c r="AB56" i="2" s="1"/>
  <c r="AC56" i="2" s="1"/>
  <c r="AD56" i="2" s="1"/>
  <c r="AE56" i="2" s="1"/>
  <c r="AF56" i="2" s="1"/>
  <c r="B57" i="2"/>
  <c r="C57" i="2"/>
  <c r="D57" i="2"/>
  <c r="E57" i="2"/>
  <c r="F57" i="2"/>
  <c r="G57" i="2"/>
  <c r="H57" i="2"/>
  <c r="I57" i="2"/>
  <c r="J57" i="2"/>
  <c r="K57" i="2" s="1"/>
  <c r="L57" i="2" s="1"/>
  <c r="M57" i="2" s="1"/>
  <c r="N57" i="2" s="1"/>
  <c r="O57" i="2" s="1"/>
  <c r="P57" i="2" s="1"/>
  <c r="Q57" i="2" s="1"/>
  <c r="R57" i="2" s="1"/>
  <c r="S57" i="2" s="1"/>
  <c r="T57" i="2" s="1"/>
  <c r="U57" i="2" s="1"/>
  <c r="V57" i="2" s="1"/>
  <c r="W57" i="2" s="1"/>
  <c r="X57" i="2" s="1"/>
  <c r="Y57" i="2" s="1"/>
  <c r="Z57" i="2" s="1"/>
  <c r="AA57" i="2" s="1"/>
  <c r="AB57" i="2" s="1"/>
  <c r="AC57" i="2" s="1"/>
  <c r="AD57" i="2" s="1"/>
  <c r="AE57" i="2" s="1"/>
  <c r="AF57" i="2" s="1"/>
  <c r="B58" i="2"/>
  <c r="C58" i="2"/>
  <c r="D58" i="2"/>
  <c r="E58" i="2"/>
  <c r="F58" i="2"/>
  <c r="G58" i="2"/>
  <c r="H58" i="2"/>
  <c r="I58" i="2"/>
  <c r="J58" i="2"/>
  <c r="K58" i="2" s="1"/>
  <c r="L58" i="2" s="1"/>
  <c r="M58" i="2" s="1"/>
  <c r="N58" i="2" s="1"/>
  <c r="O58" i="2" s="1"/>
  <c r="P58" i="2" s="1"/>
  <c r="Q58" i="2" s="1"/>
  <c r="R58" i="2" s="1"/>
  <c r="S58" i="2" s="1"/>
  <c r="T58" i="2" s="1"/>
  <c r="U58" i="2" s="1"/>
  <c r="V58" i="2" s="1"/>
  <c r="W58" i="2" s="1"/>
  <c r="X58" i="2" s="1"/>
  <c r="Y58" i="2" s="1"/>
  <c r="Z58" i="2" s="1"/>
  <c r="AA58" i="2" s="1"/>
  <c r="AB58" i="2" s="1"/>
  <c r="AC58" i="2" s="1"/>
  <c r="AD58" i="2" s="1"/>
  <c r="AE58" i="2" s="1"/>
  <c r="AF58" i="2" s="1"/>
  <c r="B59" i="2"/>
  <c r="C59" i="2"/>
  <c r="D59" i="2"/>
  <c r="E59" i="2"/>
  <c r="F59" i="2"/>
  <c r="G59" i="2"/>
  <c r="H59" i="2"/>
  <c r="I59" i="2"/>
  <c r="J59" i="2"/>
  <c r="K59" i="2" s="1"/>
  <c r="L59" i="2" s="1"/>
  <c r="M59" i="2" s="1"/>
  <c r="N59" i="2" s="1"/>
  <c r="O59" i="2" s="1"/>
  <c r="P59" i="2" s="1"/>
  <c r="Q59" i="2" s="1"/>
  <c r="R59" i="2" s="1"/>
  <c r="S59" i="2" s="1"/>
  <c r="T59" i="2" s="1"/>
  <c r="U59" i="2" s="1"/>
  <c r="V59" i="2" s="1"/>
  <c r="W59" i="2" s="1"/>
  <c r="X59" i="2" s="1"/>
  <c r="Y59" i="2" s="1"/>
  <c r="Z59" i="2" s="1"/>
  <c r="AA59" i="2" s="1"/>
  <c r="AB59" i="2" s="1"/>
  <c r="AC59" i="2" s="1"/>
  <c r="AD59" i="2" s="1"/>
  <c r="AE59" i="2" s="1"/>
  <c r="AF59" i="2" s="1"/>
  <c r="B60" i="2"/>
  <c r="C60" i="2"/>
  <c r="D60" i="2"/>
  <c r="E60" i="2"/>
  <c r="F60" i="2"/>
  <c r="G60" i="2"/>
  <c r="H60" i="2"/>
  <c r="I60" i="2"/>
  <c r="J60" i="2"/>
  <c r="K60" i="2" s="1"/>
  <c r="L60" i="2" s="1"/>
  <c r="M60" i="2" s="1"/>
  <c r="N60" i="2" s="1"/>
  <c r="O60" i="2" s="1"/>
  <c r="P60" i="2" s="1"/>
  <c r="Q60" i="2" s="1"/>
  <c r="R60" i="2" s="1"/>
  <c r="S60" i="2" s="1"/>
  <c r="T60" i="2" s="1"/>
  <c r="U60" i="2" s="1"/>
  <c r="V60" i="2" s="1"/>
  <c r="W60" i="2" s="1"/>
  <c r="X60" i="2" s="1"/>
  <c r="Y60" i="2" s="1"/>
  <c r="Z60" i="2" s="1"/>
  <c r="AA60" i="2" s="1"/>
  <c r="AB60" i="2" s="1"/>
  <c r="AC60" i="2" s="1"/>
  <c r="AD60" i="2" s="1"/>
  <c r="AE60" i="2" s="1"/>
  <c r="AF60" i="2" s="1"/>
  <c r="B61" i="2"/>
  <c r="C61" i="2"/>
  <c r="D61" i="2"/>
  <c r="E61" i="2"/>
  <c r="F61" i="2"/>
  <c r="G61" i="2"/>
  <c r="H61" i="2"/>
  <c r="I61" i="2"/>
  <c r="J61" i="2"/>
  <c r="K61" i="2" s="1"/>
  <c r="L61" i="2" s="1"/>
  <c r="M61" i="2" s="1"/>
  <c r="N61" i="2" s="1"/>
  <c r="O61" i="2" s="1"/>
  <c r="P61" i="2" s="1"/>
  <c r="Q61" i="2" s="1"/>
  <c r="R61" i="2" s="1"/>
  <c r="S61" i="2" s="1"/>
  <c r="T61" i="2" s="1"/>
  <c r="U61" i="2" s="1"/>
  <c r="V61" i="2" s="1"/>
  <c r="W61" i="2" s="1"/>
  <c r="X61" i="2" s="1"/>
  <c r="Y61" i="2" s="1"/>
  <c r="Z61" i="2" s="1"/>
  <c r="AA61" i="2" s="1"/>
  <c r="AB61" i="2" s="1"/>
  <c r="AC61" i="2" s="1"/>
  <c r="AD61" i="2" s="1"/>
  <c r="AE61" i="2" s="1"/>
  <c r="AF61" i="2" s="1"/>
  <c r="C2" i="2"/>
  <c r="D2" i="2"/>
  <c r="E2" i="2"/>
  <c r="F2" i="2"/>
  <c r="G2" i="2"/>
  <c r="H2" i="2"/>
  <c r="I2" i="2"/>
  <c r="J2" i="2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B47" i="2" l="1"/>
  <c r="D32" i="2"/>
  <c r="B32" i="2"/>
  <c r="G6" i="2"/>
  <c r="G47" i="2"/>
  <c r="G7" i="2"/>
  <c r="G34" i="2"/>
  <c r="G23" i="2"/>
  <c r="G32" i="2"/>
  <c r="G49" i="2"/>
  <c r="G41" i="2"/>
  <c r="G21" i="2"/>
  <c r="G30" i="2"/>
  <c r="G39" i="2"/>
  <c r="G48" i="2"/>
  <c r="G8" i="2"/>
  <c r="B2" i="2"/>
  <c r="B8" i="9" l="1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7" i="9"/>
</calcChain>
</file>

<file path=xl/sharedStrings.xml><?xml version="1.0" encoding="utf-8"?>
<sst xmlns="http://schemas.openxmlformats.org/spreadsheetml/2006/main" count="991" uniqueCount="239">
  <si>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</si>
  <si>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</si>
  <si>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</si>
  <si>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</si>
  <si>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</si>
  <si>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</si>
  <si>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</si>
  <si>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</si>
  <si>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</si>
  <si>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</si>
  <si>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</si>
  <si>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</si>
  <si>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</si>
  <si>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</si>
  <si>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</si>
  <si>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</si>
  <si>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</si>
  <si>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</si>
  <si>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</si>
  <si>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</si>
  <si>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</si>
  <si>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</si>
  <si>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</si>
  <si>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</si>
  <si>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</si>
  <si>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</si>
  <si>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</si>
  <si>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</si>
  <si>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</si>
  <si>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</si>
  <si>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</si>
  <si>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</si>
  <si>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</si>
  <si>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</si>
  <si>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</si>
  <si>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</si>
  <si>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</si>
  <si>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</si>
  <si>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</si>
  <si>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</si>
  <si>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</si>
  <si>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</si>
  <si>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</si>
  <si>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</si>
  <si>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</si>
  <si>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</si>
  <si>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</si>
  <si>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</si>
  <si>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</si>
  <si>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</si>
  <si>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</si>
  <si>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</si>
  <si>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</si>
  <si>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</si>
  <si>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</si>
  <si>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</si>
  <si>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</si>
  <si>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</si>
  <si>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</si>
  <si>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</si>
  <si>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</si>
  <si>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</si>
  <si>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</si>
  <si>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</si>
  <si>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</si>
  <si>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</si>
  <si>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</si>
  <si>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</si>
  <si>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</si>
  <si>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</si>
  <si>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</si>
  <si>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Page 4</t>
  </si>
  <si>
    <t>U.S. Data</t>
  </si>
  <si>
    <t>Sources:</t>
  </si>
  <si>
    <t>passenger LDVs  ACC I</t>
  </si>
  <si>
    <t>ACC I</t>
  </si>
  <si>
    <t>ACC II</t>
  </si>
  <si>
    <t>Does this state follow:</t>
  </si>
  <si>
    <t>ACT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</si>
  <si>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</si>
  <si>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</si>
  <si>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</si>
  <si>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</si>
  <si>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</si>
  <si>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</si>
  <si>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</si>
  <si>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</si>
  <si>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 xml:space="preserve"> 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</si>
  <si>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</si>
  <si>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</si>
  <si>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</si>
  <si>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</si>
  <si>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</si>
  <si>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</si>
  <si>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</si>
  <si>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</si>
  <si>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</si>
  <si>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</si>
  <si>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</si>
  <si>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</si>
  <si>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</si>
  <si>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</si>
  <si>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</si>
  <si>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</si>
  <si>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</si>
  <si>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</si>
  <si>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</si>
  <si>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</si>
  <si>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</si>
  <si>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</si>
  <si>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</si>
  <si>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</si>
  <si>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</si>
  <si>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</si>
  <si>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</si>
  <si>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</si>
  <si>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</si>
  <si>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</si>
  <si>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</si>
  <si>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</si>
  <si>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</si>
  <si>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</si>
  <si>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</si>
  <si>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</si>
  <si>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</si>
  <si>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</si>
  <si>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</si>
  <si>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</si>
  <si>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</si>
  <si>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</si>
  <si>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</si>
  <si>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</si>
  <si>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</si>
  <si>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</si>
  <si>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</si>
  <si>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</si>
  <si>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</si>
  <si>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</si>
  <si>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</si>
  <si>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</si>
  <si>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</si>
  <si>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</si>
  <si>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</si>
  <si>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</si>
  <si>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</si>
  <si>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</si>
  <si>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</si>
  <si>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Calibration Values for EPA LDV Stds Applied?</t>
  </si>
  <si>
    <t>Calibration Values for EPA HDV Stds Applied?</t>
  </si>
  <si>
    <t>It should not cover any requirements outside the subregional geography (for the whole model region).</t>
  </si>
  <si>
    <t>I.e. the US national model should not cover federal requirements here, only state requirements.</t>
  </si>
  <si>
    <t>gray = no longer used</t>
  </si>
  <si>
    <t>State Passenger LDV Requirements</t>
  </si>
  <si>
    <t>This variable implements ACCI for states that have formally adopted these rules.</t>
  </si>
  <si>
    <t>RZSPbS BAU Required ZEV Sales Percentage by Subregion</t>
  </si>
  <si>
    <t>AL</t>
  </si>
  <si>
    <t>Reference</t>
  </si>
  <si>
    <t>AR</t>
  </si>
  <si>
    <t>AZ</t>
  </si>
  <si>
    <t>Moderate Ambition</t>
  </si>
  <si>
    <t>CA</t>
  </si>
  <si>
    <t>Max Ambition</t>
  </si>
  <si>
    <t>CO</t>
  </si>
  <si>
    <t>CT</t>
  </si>
  <si>
    <t>DE</t>
  </si>
  <si>
    <t>FL</t>
  </si>
  <si>
    <t>GA</t>
  </si>
  <si>
    <t>Electricity Only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</si>
  <si>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</si>
  <si>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</si>
  <si>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</si>
  <si>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</si>
  <si>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</si>
  <si>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</si>
  <si>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</si>
  <si>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</si>
  <si>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</si>
  <si>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</si>
  <si>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</si>
  <si>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</si>
  <si>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</si>
  <si>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</si>
  <si>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</si>
  <si>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</si>
  <si>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</si>
  <si>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</si>
  <si>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</si>
  <si>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</si>
  <si>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</si>
  <si>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</si>
  <si>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</si>
  <si>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</si>
  <si>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</si>
  <si>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</si>
  <si>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</si>
  <si>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</si>
  <si>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</si>
  <si>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</si>
  <si>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</si>
  <si>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</si>
  <si>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</si>
  <si>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</si>
  <si>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</si>
  <si>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</si>
  <si>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</si>
  <si>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</si>
  <si>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</si>
  <si>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logic in chart</t>
  </si>
  <si>
    <t>Passenger LDVs (% ZEV Share)</t>
  </si>
  <si>
    <t>mimic the pathway for passenger LDVs</t>
  </si>
  <si>
    <t>Passenger HDVs (% ZEV Share)</t>
  </si>
  <si>
    <t>1.5% annual growth; waiver + 10 yr to 80% (5% higher than ACT; start from 10% higher)</t>
  </si>
  <si>
    <t>Freight LDVs (% ZEV Share)</t>
  </si>
  <si>
    <t>Freight HDVs (% ZEV Share)</t>
  </si>
  <si>
    <t>minimal growth to 2031; new ACT schedule</t>
  </si>
  <si>
    <t>California</t>
  </si>
  <si>
    <t>Colorado</t>
  </si>
  <si>
    <t>Delaware</t>
  </si>
  <si>
    <t>Florida</t>
  </si>
  <si>
    <t>Georgia</t>
  </si>
  <si>
    <t>Iowa</t>
  </si>
  <si>
    <t>Illinois</t>
  </si>
  <si>
    <t>Indiana</t>
  </si>
  <si>
    <t>Maine</t>
  </si>
  <si>
    <t>Minnesota</t>
  </si>
  <si>
    <t>Mississippi</t>
  </si>
  <si>
    <t>Montana</t>
  </si>
  <si>
    <t>New Jersey</t>
  </si>
  <si>
    <t>Nevada</t>
  </si>
  <si>
    <t>New York</t>
  </si>
  <si>
    <t>Oklahoma</t>
  </si>
  <si>
    <t>Oregon</t>
  </si>
  <si>
    <t>Rhode Island</t>
  </si>
  <si>
    <t>South Dakota</t>
  </si>
  <si>
    <t>Tennessee</t>
  </si>
  <si>
    <t>Texas</t>
  </si>
  <si>
    <t>Washington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</si>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</sst>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29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7" fillId="0" borderId="0"/>
    <xf numFmtId="0" fontId="8" fillId="0" borderId="11">
      <alignment wrapText="1"/>
    </xf>
    <xf numFmtId="0" fontId="9" fillId="0" borderId="0">
      <alignment horizontal="left"/>
    </xf>
    <xf numFmtId="0" fontId="8" fillId="0" borderId="12">
      <alignment wrapText="1"/>
    </xf>
    <xf numFmtId="0" fontId="7" fillId="0" borderId="13">
      <alignment wrapText="1"/>
    </xf>
    <xf numFmtId="0" fontId="7" fillId="0" borderId="14">
      <alignment wrapText="1"/>
    </xf>
    <xf numFmtId="0" fontId="7" fillId="0" borderId="0"/>
    <xf numFmtId="0" fontId="4" fillId="0" borderId="0"/>
    <xf numFmtId="0" fontId="7" fillId="0" borderId="0"/>
    <xf numFmtId="0" fontId="7" fillId="0" borderId="13">
      <alignment wrapText="1"/>
    </xf>
    <xf numFmtId="0" fontId="7" fillId="0" borderId="0"/>
    <xf numFmtId="0" fontId="7" fillId="0" borderId="14">
      <alignment wrapText="1"/>
    </xf>
    <xf numFmtId="0" fontId="8" fillId="0" borderId="11">
      <alignment wrapText="1"/>
    </xf>
    <xf numFmtId="0" fontId="8" fillId="0" borderId="12">
      <alignment wrapText="1"/>
    </xf>
    <xf numFmtId="0" fontId="9" fillId="0" borderId="0">
      <alignment horizontal="left"/>
    </xf>
    <xf numFmtId="0" fontId="4" fillId="0" borderId="0"/>
    <xf numFmtId="0" fontId="7" fillId="0" borderId="0"/>
    <xf numFmtId="0" fontId="7" fillId="0" borderId="13">
      <alignment wrapText="1"/>
    </xf>
    <xf numFmtId="0" fontId="7" fillId="0" borderId="0"/>
    <xf numFmtId="0" fontId="7" fillId="0" borderId="14">
      <alignment wrapText="1"/>
    </xf>
    <xf numFmtId="0" fontId="8" fillId="0" borderId="11">
      <alignment wrapText="1"/>
    </xf>
    <xf numFmtId="0" fontId="8" fillId="0" borderId="12">
      <alignment wrapText="1"/>
    </xf>
    <xf numFmtId="0" fontId="9" fillId="0" borderId="0">
      <alignment horizontal="left"/>
    </xf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4" xfId="0" applyFont="1" applyBorder="1"/>
    <xf numFmtId="9" fontId="0" fillId="0" borderId="0" xfId="2" applyFont="1" applyBorder="1" applyAlignment="1"/>
    <xf numFmtId="9" fontId="0" fillId="0" borderId="0" xfId="0" applyNumberFormat="1"/>
    <xf numFmtId="0" fontId="2" fillId="0" borderId="0" xfId="0" applyFont="1" applyAlignment="1">
      <alignment horizontal="right" wrapText="1"/>
    </xf>
    <xf numFmtId="1" fontId="0" fillId="0" borderId="4" xfId="0" applyNumberFormat="1" applyBorder="1"/>
    <xf numFmtId="1" fontId="0" fillId="0" borderId="6" xfId="0" applyNumberFormat="1" applyBorder="1"/>
    <xf numFmtId="164" fontId="0" fillId="0" borderId="0" xfId="0" applyNumberFormat="1"/>
    <xf numFmtId="164" fontId="1" fillId="0" borderId="4" xfId="0" applyNumberFormat="1" applyFont="1" applyBorder="1"/>
    <xf numFmtId="0" fontId="0" fillId="0" borderId="10" xfId="0" applyBorder="1"/>
    <xf numFmtId="0" fontId="1" fillId="0" borderId="9" xfId="0" applyFont="1" applyBorder="1" applyAlignment="1">
      <alignment horizontal="center" wrapText="1"/>
    </xf>
    <xf numFmtId="0" fontId="1" fillId="4" borderId="9" xfId="0" applyFont="1" applyFill="1" applyBorder="1" applyAlignment="1">
      <alignment horizontal="center" wrapText="1"/>
    </xf>
    <xf numFmtId="0" fontId="0" fillId="4" borderId="4" xfId="0" applyFill="1" applyBorder="1"/>
    <xf numFmtId="0" fontId="1" fillId="4" borderId="0" xfId="0" applyFont="1" applyFill="1"/>
    <xf numFmtId="0" fontId="1" fillId="4" borderId="5" xfId="0" applyFont="1" applyFill="1" applyBorder="1"/>
    <xf numFmtId="0" fontId="0" fillId="4" borderId="0" xfId="0" applyFill="1"/>
    <xf numFmtId="0" fontId="0" fillId="4" borderId="5" xfId="0" applyFill="1" applyBorder="1"/>
    <xf numFmtId="0" fontId="0" fillId="4" borderId="7" xfId="0" applyFill="1" applyBorder="1"/>
    <xf numFmtId="0" fontId="0" fillId="4" borderId="8" xfId="0" applyFill="1" applyBorder="1"/>
    <xf numFmtId="0" fontId="10" fillId="0" borderId="0" xfId="0" applyFont="1"/>
    <xf numFmtId="9" fontId="0" fillId="5" borderId="0" xfId="0" applyNumberFormat="1" applyFill="1"/>
    <xf numFmtId="10" fontId="0" fillId="5" borderId="0" xfId="0" applyNumberFormat="1" applyFill="1"/>
    <xf numFmtId="9" fontId="0" fillId="6" borderId="0" xfId="0" applyNumberFormat="1" applyFill="1"/>
    <xf numFmtId="10" fontId="0" fillId="6" borderId="0" xfId="0" applyNumberFormat="1" applyFill="1"/>
    <xf numFmtId="165" fontId="0" fillId="5" borderId="0" xfId="0" applyNumberFormat="1" applyFill="1"/>
    <xf numFmtId="9" fontId="0" fillId="7" borderId="0" xfId="0" applyNumberFormat="1" applyFill="1"/>
    <xf numFmtId="10" fontId="0" fillId="7" borderId="0" xfId="0" applyNumberFormat="1" applyFill="1"/>
    <xf numFmtId="165" fontId="0" fillId="7" borderId="0" xfId="0" applyNumberFormat="1" applyFill="1"/>
    <xf numFmtId="165" fontId="0" fillId="4" borderId="0" xfId="0" applyNumberFormat="1" applyFill="1"/>
    <xf numFmtId="0" fontId="0" fillId="8" borderId="0" xfId="0" applyFill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9">
    <cellStyle name="Body: normal cell" xfId="10" xr:uid="{6E0D69C1-7579-4768-BC9E-CB46E3A628E1}"/>
    <cellStyle name="Body: normal cell 2" xfId="23" xr:uid="{0B374BB5-F48E-4AE7-89B7-41923F1837AD}"/>
    <cellStyle name="Body: normal cell 3" xfId="15" xr:uid="{4B2461D6-2676-48F7-BFD8-CD51D56C08A5}"/>
    <cellStyle name="Font: Calibri, 9pt regular" xfId="6" xr:uid="{5FA8EC28-D5BA-4BA5-B321-7A0FA836A0D7}"/>
    <cellStyle name="Font: Calibri, 9pt regular 2" xfId="24" xr:uid="{AE36F5B4-3C33-4B51-AA02-D90D934ED1C2}"/>
    <cellStyle name="Font: Calibri, 9pt regular 3" xfId="16" xr:uid="{990A1D37-3269-46FD-8E44-B617F7C1FD30}"/>
    <cellStyle name="Footnotes: top row" xfId="11" xr:uid="{CFD6E002-F319-4608-B6BB-076C11234B0B}"/>
    <cellStyle name="Footnotes: top row 2" xfId="25" xr:uid="{9E27E92A-0474-4A9D-8FC0-113EB0E8AB73}"/>
    <cellStyle name="Footnotes: top row 3" xfId="17" xr:uid="{50379A3B-8BC9-46A9-A7F9-8B5313477983}"/>
    <cellStyle name="Header: bottom row" xfId="7" xr:uid="{3FC0D18F-7C68-4D4E-BAB9-66A254D3D521}"/>
    <cellStyle name="Header: bottom row 2" xfId="26" xr:uid="{946D4A76-039D-4F9F-A7D8-FE0EDC506409}"/>
    <cellStyle name="Header: bottom row 3" xfId="18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2" xr:uid="{D7B1E054-72D1-44F8-B6DE-B090E0BAC21C}"/>
    <cellStyle name="Normal 3" xfId="21" xr:uid="{86D60DC1-9144-4C25-98AA-CD10440326DD}"/>
    <cellStyle name="Normal 4" xfId="14" xr:uid="{6DB8CE63-3255-4C17-B9EC-12CE63DC92B7}"/>
    <cellStyle name="Normal 5" xfId="13" xr:uid="{D73A427D-8CE4-4B21-AD01-9083917F1F30}"/>
    <cellStyle name="Normal 6" xfId="4" xr:uid="{E2B12D69-7D41-4280-9F3E-C781A8A731C4}"/>
    <cellStyle name="Normal 7" xfId="5" xr:uid="{48AF448C-3CF7-4FA5-88CE-588C2F4CB9C8}"/>
    <cellStyle name="Normal 8" xfId="12" xr:uid="{2EEBBD64-A0C7-4870-835D-1E4A19720401}"/>
    <cellStyle name="Parent row" xfId="9" xr:uid="{90FB8930-F9AF-4A88-91E5-2CF3CC6EAB22}"/>
    <cellStyle name="Parent row 2" xfId="27" xr:uid="{71C340E2-28EE-469F-B9A4-030C4131117E}"/>
    <cellStyle name="Parent row 3" xfId="19" xr:uid="{8685B65F-6905-45D6-BD82-29FCCAD97AD2}"/>
    <cellStyle name="Percent" xfId="2" builtinId="5"/>
    <cellStyle name="Table title" xfId="8" xr:uid="{CD6AA8E8-8392-4D2A-BC56-9177D2D37534}"/>
    <cellStyle name="Table title 2" xfId="28" xr:uid="{07ACC78F-4A26-4F33-9214-3DBA3C693F82}"/>
    <cellStyle name="Table title 3" xfId="20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Passenger LDVs in Max Ambition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032868031969575E-2"/>
          <c:y val="0.11525659869431823"/>
          <c:w val="0.88879492309880359"/>
          <c:h val="0.8129037435889782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[1]Vehicles!$K$5:$AJ$5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[1]Vehicles!$K$6:$AJ$6</c:f>
              <c:numCache>
                <c:formatCode>General</c:formatCode>
                <c:ptCount val="26"/>
                <c:pt idx="0">
                  <c:v>0.15</c:v>
                </c:pt>
                <c:pt idx="1">
                  <c:v>0.1</c:v>
                </c:pt>
                <c:pt idx="2">
                  <c:v>0.125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0.38</c:v>
                </c:pt>
                <c:pt idx="8">
                  <c:v>0.46</c:v>
                </c:pt>
                <c:pt idx="9">
                  <c:v>0.51400000000000001</c:v>
                </c:pt>
                <c:pt idx="10">
                  <c:v>0.56799999999999995</c:v>
                </c:pt>
                <c:pt idx="11">
                  <c:v>0.622</c:v>
                </c:pt>
                <c:pt idx="12">
                  <c:v>0.67600000000000005</c:v>
                </c:pt>
                <c:pt idx="13">
                  <c:v>0.73</c:v>
                </c:pt>
                <c:pt idx="14">
                  <c:v>0.78400000000000003</c:v>
                </c:pt>
                <c:pt idx="15">
                  <c:v>0.83799999999999997</c:v>
                </c:pt>
                <c:pt idx="16">
                  <c:v>0.89200000000000002</c:v>
                </c:pt>
                <c:pt idx="17">
                  <c:v>0.94599999999999995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FB-4A94-BCDC-C325224EC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76048"/>
        <c:axId val="108979888"/>
      </c:lineChart>
      <c:catAx>
        <c:axId val="10897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9888"/>
        <c:crosses val="autoZero"/>
        <c:auto val="1"/>
        <c:lblAlgn val="ctr"/>
        <c:lblOffset val="100"/>
        <c:noMultiLvlLbl val="0"/>
      </c:catAx>
      <c:valAx>
        <c:axId val="1089798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BEV Sale Share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Freight LDVs in Max Ambition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032868031969575E-2"/>
          <c:y val="0.11525659869431823"/>
          <c:w val="0.88879492309880359"/>
          <c:h val="0.8129037435889782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[1]Vehicles!$K$5:$AJ$5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[1]Vehicles!$K$12:$AJ$12</c:f>
              <c:numCache>
                <c:formatCode>General</c:formatCode>
                <c:ptCount val="26"/>
                <c:pt idx="0">
                  <c:v>7.4999999999999997E-2</c:v>
                </c:pt>
                <c:pt idx="1">
                  <c:v>9.5000000000000001E-2</c:v>
                </c:pt>
                <c:pt idx="2">
                  <c:v>0.115</c:v>
                </c:pt>
                <c:pt idx="3">
                  <c:v>0.13500000000000001</c:v>
                </c:pt>
                <c:pt idx="4">
                  <c:v>0.155</c:v>
                </c:pt>
                <c:pt idx="5">
                  <c:v>0.17499999999999999</c:v>
                </c:pt>
                <c:pt idx="6">
                  <c:v>0.19500000000000001</c:v>
                </c:pt>
                <c:pt idx="7">
                  <c:v>0.255</c:v>
                </c:pt>
                <c:pt idx="8">
                  <c:v>0.315</c:v>
                </c:pt>
                <c:pt idx="9">
                  <c:v>0.375</c:v>
                </c:pt>
                <c:pt idx="10">
                  <c:v>0.435</c:v>
                </c:pt>
                <c:pt idx="11">
                  <c:v>0.495</c:v>
                </c:pt>
                <c:pt idx="12">
                  <c:v>0.55500000000000005</c:v>
                </c:pt>
                <c:pt idx="13">
                  <c:v>0.61499999999999999</c:v>
                </c:pt>
                <c:pt idx="14">
                  <c:v>0.67500000000000004</c:v>
                </c:pt>
                <c:pt idx="15">
                  <c:v>0.73499999999999999</c:v>
                </c:pt>
                <c:pt idx="16">
                  <c:v>0.79500000000000004</c:v>
                </c:pt>
                <c:pt idx="17">
                  <c:v>0.85</c:v>
                </c:pt>
                <c:pt idx="18">
                  <c:v>0.88</c:v>
                </c:pt>
                <c:pt idx="19">
                  <c:v>0.91</c:v>
                </c:pt>
                <c:pt idx="20">
                  <c:v>0.94</c:v>
                </c:pt>
                <c:pt idx="21">
                  <c:v>0.97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9-45D3-BAB2-CE37A655B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76048"/>
        <c:axId val="108979888"/>
      </c:lineChart>
      <c:catAx>
        <c:axId val="10897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9888"/>
        <c:crosses val="autoZero"/>
        <c:auto val="1"/>
        <c:lblAlgn val="ctr"/>
        <c:lblOffset val="100"/>
        <c:noMultiLvlLbl val="0"/>
      </c:catAx>
      <c:valAx>
        <c:axId val="1089798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BEV Sale Share</a:t>
                </a:r>
              </a:p>
            </c:rich>
          </c:tx>
          <c:layout>
            <c:manualLayout>
              <c:xMode val="edge"/>
              <c:yMode val="edge"/>
              <c:x val="1.6284171097035338E-2"/>
              <c:y val="0.33600948715305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5</xdr:col>
      <xdr:colOff>92906</xdr:colOff>
      <xdr:row>36</xdr:row>
      <xdr:rowOff>104399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DF29B3-9A7B-4B42-95B6-1A5DE9FCF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5</xdr:col>
      <xdr:colOff>67035</xdr:colOff>
      <xdr:row>56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0C27B-6E37-4368-B45A-52E62E81F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0.21725</cdr:x>
      <cdr:y>0.18928</cdr:y>
    </cdr:from>
    <cdr:to>
      <cdr:x>0.21849</cdr:x>
      <cdr:y>0.84418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A2F999EB-D5A3-AE45-F579-EBC4C482C1B2}"/>
            </a:ext>
          </a:extLst>
        </cdr:cNvPr>
        <cdr:cNvCxnSpPr/>
      </cdr:nvCxnSpPr>
      <cdr:spPr>
        <a:xfrm xmlns:a="http://schemas.openxmlformats.org/drawingml/2006/main" flipH="1">
          <a:off x="1675434" y="773568"/>
          <a:ext cx="9523" cy="2676525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0.3857</cdr:x>
      <cdr:y>0.19422</cdr:y>
    </cdr:from>
    <cdr:to>
      <cdr:x>0.38693</cdr:x>
      <cdr:y>0.84912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B4289FF6-FAE6-DCEB-3030-32BD3636F221}"/>
            </a:ext>
          </a:extLst>
        </cdr:cNvPr>
        <cdr:cNvCxnSpPr/>
      </cdr:nvCxnSpPr>
      <cdr:spPr>
        <a:xfrm xmlns:a="http://schemas.openxmlformats.org/drawingml/2006/main" flipH="1">
          <a:off x="2974443" y="793750"/>
          <a:ext cx="9524" cy="2676525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0.23134</cdr:x>
      <cdr:y>0.18723</cdr:y>
    </cdr:from>
    <cdr:to>
      <cdr:x>0.37038</cdr:x>
      <cdr:y>0.47828</cdr:y>
    </cdr:to>
    <cdr:sp macro="" textlink="">
      <cdr:nvSpPr>
        <cdr:cNvPr id="10" name="TextBox 5">
          <a:extLst xmlns:a="http://schemas.openxmlformats.org/drawingml/2006/main">
            <a:ext uri="{FF2B5EF4-FFF2-40B4-BE49-F238E27FC236}">
              <a16:creationId xmlns:a16="http://schemas.microsoft.com/office/drawing/2014/main" id="{9EF8B7ED-C528-D74A-EBEE-FD87222E933F}"/>
            </a:ext>
          </a:extLst>
        </cdr:cNvPr>
        <cdr:cNvSpPr txBox="1"/>
      </cdr:nvSpPr>
      <cdr:spPr>
        <a:xfrm xmlns:a="http://schemas.openxmlformats.org/drawingml/2006/main">
          <a:off x="1784350" y="765175"/>
          <a:ext cx="1072471" cy="118949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States continue growing incentives + add criteria pollutant standards. States apply for new CAA waiver in 2029</a:t>
          </a:r>
        </a:p>
      </cdr:txBody>
    </cdr:sp>
  </cdr:relSizeAnchor>
  <cdr:relSizeAnchor xmlns:cdr="http://schemas.openxmlformats.org/drawingml/2006/chartDrawing">
    <cdr:from>
      <cdr:x>0.72773</cdr:x>
      <cdr:y>0.1779</cdr:y>
    </cdr:from>
    <cdr:to>
      <cdr:x>0.72896</cdr:x>
      <cdr:y>0.83281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FB04B220-48C9-4C32-5B30-1B309F2702CA}"/>
            </a:ext>
          </a:extLst>
        </cdr:cNvPr>
        <cdr:cNvCxnSpPr/>
      </cdr:nvCxnSpPr>
      <cdr:spPr>
        <a:xfrm xmlns:a="http://schemas.openxmlformats.org/drawingml/2006/main" flipH="1">
          <a:off x="5615091" y="727075"/>
          <a:ext cx="9529" cy="2676525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0.40793</cdr:x>
      <cdr:y>0.16858</cdr:y>
    </cdr:from>
    <cdr:to>
      <cdr:x>0.64536</cdr:x>
      <cdr:y>0.33744</cdr:y>
    </cdr:to>
    <cdr:sp macro="" textlink="">
      <cdr:nvSpPr>
        <cdr:cNvPr id="12" name="TextBox 5">
          <a:extLst xmlns:a="http://schemas.openxmlformats.org/drawingml/2006/main">
            <a:ext uri="{FF2B5EF4-FFF2-40B4-BE49-F238E27FC236}">
              <a16:creationId xmlns:a16="http://schemas.microsoft.com/office/drawing/2014/main" id="{1B61CC3F-2FE1-58BC-5F67-A4B6DFE7BE47}"/>
            </a:ext>
          </a:extLst>
        </cdr:cNvPr>
        <cdr:cNvSpPr txBox="1"/>
      </cdr:nvSpPr>
      <cdr:spPr>
        <a:xfrm xmlns:a="http://schemas.openxmlformats.org/drawingml/2006/main">
          <a:off x="3147569" y="688975"/>
          <a:ext cx="1831966" cy="6901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States implement new CAA waiver that ramps requirements, getting to 100% by 2043,</a:t>
          </a:r>
          <a:r>
            <a:rPr lang="en-US" sz="1000" baseline="0"/>
            <a:t> the same 10-yr phase in as ACC2</a:t>
          </a:r>
          <a:endParaRPr lang="en-US" sz="10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0.31901</cdr:x>
      <cdr:y>0.13369</cdr:y>
    </cdr:from>
    <cdr:to>
      <cdr:x>0.3219</cdr:x>
      <cdr:y>0.92185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A2F999EB-D5A3-AE45-F579-EBC4C482C1B2}"/>
            </a:ext>
          </a:extLst>
        </cdr:cNvPr>
        <cdr:cNvCxnSpPr/>
      </cdr:nvCxnSpPr>
      <cdr:spPr>
        <a:xfrm xmlns:a="http://schemas.openxmlformats.org/drawingml/2006/main" flipH="1">
          <a:off x="2454282" y="465666"/>
          <a:ext cx="22218" cy="27454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0.13095</cdr:x>
      <cdr:y>0.28616</cdr:y>
    </cdr:from>
    <cdr:to>
      <cdr:x>0.29016</cdr:x>
      <cdr:y>0.57721</cdr:y>
    </cdr:to>
    <cdr:sp macro="" textlink="">
      <cdr:nvSpPr>
        <cdr:cNvPr id="10" name="TextBox 5">
          <a:extLst xmlns:a="http://schemas.openxmlformats.org/drawingml/2006/main">
            <a:ext uri="{FF2B5EF4-FFF2-40B4-BE49-F238E27FC236}">
              <a16:creationId xmlns:a16="http://schemas.microsoft.com/office/drawing/2014/main" id="{9EF8B7ED-C528-D74A-EBEE-FD87222E933F}"/>
            </a:ext>
          </a:extLst>
        </cdr:cNvPr>
        <cdr:cNvSpPr txBox="1"/>
      </cdr:nvSpPr>
      <cdr:spPr>
        <a:xfrm xmlns:a="http://schemas.openxmlformats.org/drawingml/2006/main">
          <a:off x="1007839" y="1163310"/>
          <a:ext cx="1225245" cy="118320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Market share continues with fleet adoption, incentives criteria pollutant standards. States apply for new CAA waiver in 2029</a:t>
          </a:r>
        </a:p>
      </cdr:txBody>
    </cdr:sp>
  </cdr:relSizeAnchor>
  <cdr:relSizeAnchor xmlns:cdr="http://schemas.openxmlformats.org/drawingml/2006/chartDrawing">
    <cdr:from>
      <cdr:x>0.69332</cdr:x>
      <cdr:y>0.12153</cdr:y>
    </cdr:from>
    <cdr:to>
      <cdr:x>0.69335</cdr:x>
      <cdr:y>0.92132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FB04B220-48C9-4C32-5B30-1B309F2702CA}"/>
            </a:ext>
          </a:extLst>
        </cdr:cNvPr>
        <cdr:cNvCxnSpPr/>
      </cdr:nvCxnSpPr>
      <cdr:spPr>
        <a:xfrm xmlns:a="http://schemas.openxmlformats.org/drawingml/2006/main">
          <a:off x="5334000" y="423332"/>
          <a:ext cx="230" cy="2785893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0.34654</cdr:x>
      <cdr:y>0.14468</cdr:y>
    </cdr:from>
    <cdr:to>
      <cdr:x>0.59723</cdr:x>
      <cdr:y>0.31354</cdr:y>
    </cdr:to>
    <cdr:sp macro="" textlink="">
      <cdr:nvSpPr>
        <cdr:cNvPr id="12" name="TextBox 5">
          <a:extLst xmlns:a="http://schemas.openxmlformats.org/drawingml/2006/main">
            <a:ext uri="{FF2B5EF4-FFF2-40B4-BE49-F238E27FC236}">
              <a16:creationId xmlns:a16="http://schemas.microsoft.com/office/drawing/2014/main" id="{1B61CC3F-2FE1-58BC-5F67-A4B6DFE7BE47}"/>
            </a:ext>
          </a:extLst>
        </cdr:cNvPr>
        <cdr:cNvSpPr txBox="1"/>
      </cdr:nvSpPr>
      <cdr:spPr>
        <a:xfrm xmlns:a="http://schemas.openxmlformats.org/drawingml/2006/main">
          <a:off x="2666053" y="503945"/>
          <a:ext cx="1928673" cy="58818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States implement new CAA waiver that ramps requirements, getting to 85% by 2042,</a:t>
          </a:r>
          <a:r>
            <a:rPr lang="en-US" sz="1000" baseline="0"/>
            <a:t> the same 10-yr, 65% phase in as ACT</a:t>
          </a:r>
          <a:endParaRPr lang="en-US" sz="10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yinnovation-my.sharepoint.com/personal/dobrien_energyinnovation_org/Documents/Desktop/Updates%20Max%20States%20ZEV%203-30-26.xlsx" TargetMode="External"/><Relationship Id="rId1" Type="http://schemas.openxmlformats.org/officeDocument/2006/relationships/externalLinkPath" Target="https://energyinnovation-my.sharepoint.com/personal/dobrien_energyinnovation_org/Documents/Desktop/Updates%20Max%20States%20ZEV%203-30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hicles"/>
    </sheetNames>
    <sheetDataSet>
      <sheetData sheetId="0">
        <row r="5">
          <cell r="K5">
            <v>2025</v>
          </cell>
          <cell r="L5">
            <v>2026</v>
          </cell>
          <cell r="M5">
            <v>2027</v>
          </cell>
          <cell r="N5">
            <v>2028</v>
          </cell>
          <cell r="O5">
            <v>2029</v>
          </cell>
          <cell r="P5">
            <v>2030</v>
          </cell>
          <cell r="Q5">
            <v>2031</v>
          </cell>
          <cell r="R5">
            <v>2032</v>
          </cell>
          <cell r="S5">
            <v>2033</v>
          </cell>
          <cell r="T5">
            <v>2034</v>
          </cell>
          <cell r="U5">
            <v>2035</v>
          </cell>
          <cell r="V5">
            <v>2036</v>
          </cell>
          <cell r="W5">
            <v>2037</v>
          </cell>
          <cell r="X5">
            <v>2038</v>
          </cell>
          <cell r="Y5">
            <v>2039</v>
          </cell>
          <cell r="Z5">
            <v>2040</v>
          </cell>
          <cell r="AA5">
            <v>2041</v>
          </cell>
          <cell r="AB5">
            <v>2042</v>
          </cell>
          <cell r="AC5">
            <v>2043</v>
          </cell>
          <cell r="AD5">
            <v>2044</v>
          </cell>
          <cell r="AE5">
            <v>2045</v>
          </cell>
          <cell r="AF5">
            <v>2046</v>
          </cell>
          <cell r="AG5">
            <v>2047</v>
          </cell>
          <cell r="AH5">
            <v>2048</v>
          </cell>
          <cell r="AI5">
            <v>2049</v>
          </cell>
          <cell r="AJ5">
            <v>2050</v>
          </cell>
        </row>
        <row r="6">
          <cell r="K6">
            <v>0.15</v>
          </cell>
          <cell r="L6">
            <v>0.1</v>
          </cell>
          <cell r="M6">
            <v>0.125</v>
          </cell>
          <cell r="N6">
            <v>0.15</v>
          </cell>
          <cell r="O6">
            <v>0.2</v>
          </cell>
          <cell r="P6">
            <v>0.25</v>
          </cell>
          <cell r="Q6">
            <v>0.3</v>
          </cell>
          <cell r="R6">
            <v>0.38</v>
          </cell>
          <cell r="S6">
            <v>0.46</v>
          </cell>
          <cell r="T6">
            <v>0.51400000000000001</v>
          </cell>
          <cell r="U6">
            <v>0.56799999999999995</v>
          </cell>
          <cell r="V6">
            <v>0.622</v>
          </cell>
          <cell r="W6">
            <v>0.67600000000000005</v>
          </cell>
          <cell r="X6">
            <v>0.73</v>
          </cell>
          <cell r="Y6">
            <v>0.78400000000000003</v>
          </cell>
          <cell r="Z6">
            <v>0.83799999999999997</v>
          </cell>
          <cell r="AA6">
            <v>0.89200000000000002</v>
          </cell>
          <cell r="AB6">
            <v>0.94599999999999995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</row>
        <row r="12">
          <cell r="K12">
            <v>7.4999999999999997E-2</v>
          </cell>
          <cell r="L12">
            <v>9.5000000000000001E-2</v>
          </cell>
          <cell r="M12">
            <v>0.115</v>
          </cell>
          <cell r="N12">
            <v>0.13500000000000001</v>
          </cell>
          <cell r="O12">
            <v>0.155</v>
          </cell>
          <cell r="P12">
            <v>0.17499999999999999</v>
          </cell>
          <cell r="Q12">
            <v>0.19500000000000001</v>
          </cell>
          <cell r="R12">
            <v>0.255</v>
          </cell>
          <cell r="S12">
            <v>0.315</v>
          </cell>
          <cell r="T12">
            <v>0.375</v>
          </cell>
          <cell r="U12">
            <v>0.435</v>
          </cell>
          <cell r="V12">
            <v>0.495</v>
          </cell>
          <cell r="W12">
            <v>0.55500000000000005</v>
          </cell>
          <cell r="X12">
            <v>0.61499999999999999</v>
          </cell>
          <cell r="Y12">
            <v>0.67500000000000004</v>
          </cell>
          <cell r="Z12">
            <v>0.73499999999999999</v>
          </cell>
          <cell r="AA12">
            <v>0.79500000000000004</v>
          </cell>
          <cell r="AB12">
            <v>0.85</v>
          </cell>
          <cell r="AC12">
            <v>0.88</v>
          </cell>
          <cell r="AD12">
            <v>0.91</v>
          </cell>
          <cell r="AE12">
            <v>0.94</v>
          </cell>
          <cell r="AF12">
            <v>0.97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C34"/>
  <sheetViews>
    <sheetView tabSelected="1" workbookViewId="0">
      <selection activeCell="B22" sqref="B2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3" x14ac:dyDescent="0.25">
      <c r="A1" s="1" t="s">
        <v>154</v>
      </c>
    </row>
    <row r="3" spans="1:3" x14ac:dyDescent="0.25">
      <c r="A3" s="1" t="s">
        <v>73</v>
      </c>
      <c r="B3" s="3" t="s">
        <v>152</v>
      </c>
    </row>
    <row r="4" spans="1:3" x14ac:dyDescent="0.25">
      <c r="B4" t="s">
        <v>68</v>
      </c>
    </row>
    <row r="5" spans="1:3" x14ac:dyDescent="0.25">
      <c r="B5" s="4">
        <v>2022</v>
      </c>
    </row>
    <row r="6" spans="1:3" x14ac:dyDescent="0.25">
      <c r="B6" t="s">
        <v>69</v>
      </c>
    </row>
    <row r="7" spans="1:3" x14ac:dyDescent="0.25">
      <c r="B7" s="5" t="s">
        <v>70</v>
      </c>
    </row>
    <row r="8" spans="1:3" x14ac:dyDescent="0.25">
      <c r="B8" t="s">
        <v>71</v>
      </c>
    </row>
    <row r="10" spans="1:3" x14ac:dyDescent="0.25">
      <c r="B10" s="3" t="s">
        <v>95</v>
      </c>
    </row>
    <row r="11" spans="1:3" x14ac:dyDescent="0.25">
      <c r="B11" t="s">
        <v>84</v>
      </c>
    </row>
    <row r="12" spans="1:3" x14ac:dyDescent="0.25">
      <c r="B12" s="4" t="s">
        <v>85</v>
      </c>
    </row>
    <row r="13" spans="1:3" x14ac:dyDescent="0.25">
      <c r="B13" t="s">
        <v>80</v>
      </c>
    </row>
    <row r="14" spans="1:3" x14ac:dyDescent="0.25">
      <c r="B14" s="5" t="s">
        <v>79</v>
      </c>
    </row>
    <row r="15" spans="1:3" x14ac:dyDescent="0.25">
      <c r="B15" s="5" t="s">
        <v>81</v>
      </c>
      <c r="C15" t="s">
        <v>87</v>
      </c>
    </row>
    <row r="16" spans="1:3" x14ac:dyDescent="0.25">
      <c r="B16" s="5" t="s">
        <v>82</v>
      </c>
    </row>
    <row r="17" spans="1:3" x14ac:dyDescent="0.25">
      <c r="B17" s="5" t="s">
        <v>83</v>
      </c>
      <c r="C17" t="s">
        <v>87</v>
      </c>
    </row>
    <row r="18" spans="1:3" x14ac:dyDescent="0.25">
      <c r="B18" s="5" t="s">
        <v>86</v>
      </c>
    </row>
    <row r="20" spans="1:3" x14ac:dyDescent="0.25">
      <c r="A20" s="1" t="s">
        <v>0</v>
      </c>
    </row>
    <row r="21" spans="1:3" x14ac:dyDescent="0.25">
      <c r="A21" t="s">
        <v>62</v>
      </c>
    </row>
    <row r="22" spans="1:3" x14ac:dyDescent="0.25">
      <c r="A22" t="s">
        <v>63</v>
      </c>
    </row>
    <row r="23" spans="1:3" x14ac:dyDescent="0.25">
      <c r="A23" t="s">
        <v>149</v>
      </c>
    </row>
    <row r="24" spans="1:3" x14ac:dyDescent="0.25">
      <c r="A24" t="s">
        <v>150</v>
      </c>
    </row>
    <row r="25" spans="1:3" x14ac:dyDescent="0.25">
      <c r="A25" t="s">
        <v>64</v>
      </c>
    </row>
    <row r="26" spans="1:3" x14ac:dyDescent="0.25">
      <c r="A26" t="s">
        <v>65</v>
      </c>
    </row>
    <row r="27" spans="1:3" x14ac:dyDescent="0.25">
      <c r="A27" t="s">
        <v>66</v>
      </c>
    </row>
    <row r="28" spans="1:3" x14ac:dyDescent="0.25">
      <c r="A28" t="s">
        <v>67</v>
      </c>
    </row>
    <row r="30" spans="1:3" x14ac:dyDescent="0.25">
      <c r="A30" t="s">
        <v>89</v>
      </c>
    </row>
    <row r="31" spans="1:3" x14ac:dyDescent="0.25">
      <c r="A31" t="s">
        <v>88</v>
      </c>
    </row>
    <row r="33" spans="1:2" x14ac:dyDescent="0.25">
      <c r="A33" s="6" t="s">
        <v>72</v>
      </c>
      <c r="B33" s="7"/>
    </row>
    <row r="34" spans="1:2" x14ac:dyDescent="0.25">
      <c r="A34" t="s">
        <v>153</v>
      </c>
    </row>
  </sheetData>
  <hyperlinks>
    <hyperlink ref="B7" r:id="rId1" xr:uid="{F8140FB2-3B51-496C-8576-F4F6562F84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66"/>
  <sheetViews>
    <sheetView topLeftCell="F1" workbookViewId="0">
      <selection activeCell="H2" sqref="H2:AF2"/>
    </sheetView>
  </sheetViews>
  <sheetFormatPr defaultRowHeight="15" x14ac:dyDescent="0.25"/>
  <cols>
    <col min="1" max="1" width="30" customWidth="1"/>
    <col min="2" max="2" width="25" style="17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 s="9">
        <v>2050</v>
      </c>
    </row>
    <row r="2" spans="1:32" x14ac:dyDescent="0.25">
      <c r="A2" s="1" t="s">
        <v>74</v>
      </c>
      <c r="B2" s="12">
        <v>0</v>
      </c>
      <c r="C2" s="12">
        <v>0</v>
      </c>
      <c r="D2" s="12">
        <v>0</v>
      </c>
      <c r="E2" s="12">
        <v>0</v>
      </c>
      <c r="F2" s="12">
        <v>0.08</v>
      </c>
      <c r="G2" s="12">
        <v>0.08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</row>
    <row r="4" spans="1:32" x14ac:dyDescent="0.25">
      <c r="C4" t="s">
        <v>151</v>
      </c>
    </row>
    <row r="5" spans="1:32" ht="29.1" customHeight="1" x14ac:dyDescent="0.25">
      <c r="A5" s="14" t="s">
        <v>92</v>
      </c>
      <c r="B5" s="20" t="s">
        <v>147</v>
      </c>
      <c r="C5" s="21" t="s">
        <v>148</v>
      </c>
      <c r="D5" s="43" t="s">
        <v>77</v>
      </c>
      <c r="E5" s="44"/>
      <c r="F5" s="45"/>
      <c r="G5" s="40" t="s">
        <v>91</v>
      </c>
      <c r="H5" s="41"/>
      <c r="I5" s="42"/>
    </row>
    <row r="6" spans="1:32" x14ac:dyDescent="0.25">
      <c r="B6" s="19"/>
      <c r="C6" s="22"/>
      <c r="D6" s="18" t="s">
        <v>75</v>
      </c>
      <c r="E6" s="23" t="s">
        <v>76</v>
      </c>
      <c r="F6" s="24" t="s">
        <v>78</v>
      </c>
      <c r="G6" s="11" t="s">
        <v>93</v>
      </c>
      <c r="H6" s="23" t="s">
        <v>94</v>
      </c>
      <c r="I6" s="24" t="s">
        <v>90</v>
      </c>
      <c r="J6" s="1"/>
      <c r="K6" s="1"/>
    </row>
    <row r="7" spans="1:32" x14ac:dyDescent="0.25">
      <c r="A7" t="s">
        <v>1</v>
      </c>
      <c r="B7" s="19">
        <f>IF(E7&gt;0,0,1)</f>
        <v>1</v>
      </c>
      <c r="C7" s="22">
        <f>IF(F7=0,1)</f>
        <v>1</v>
      </c>
      <c r="D7" s="15">
        <v>0</v>
      </c>
      <c r="E7" s="25">
        <v>0</v>
      </c>
      <c r="F7" s="26">
        <v>0</v>
      </c>
      <c r="G7" s="8"/>
      <c r="H7" s="25"/>
      <c r="I7" s="26"/>
    </row>
    <row r="8" spans="1:32" x14ac:dyDescent="0.25">
      <c r="A8" t="s">
        <v>2</v>
      </c>
      <c r="B8" s="19">
        <f t="shared" ref="B8:B66" si="0">IF(E8&gt;0,0,1)</f>
        <v>1</v>
      </c>
      <c r="C8" s="22">
        <f t="shared" ref="C8:C66" si="1">IF(F8=0,1)</f>
        <v>1</v>
      </c>
      <c r="D8" s="15">
        <v>0</v>
      </c>
      <c r="E8" s="25">
        <v>0</v>
      </c>
      <c r="F8" s="26">
        <v>0</v>
      </c>
      <c r="G8" s="8"/>
      <c r="H8" s="25"/>
      <c r="I8" s="26"/>
    </row>
    <row r="9" spans="1:32" x14ac:dyDescent="0.25">
      <c r="A9" t="s">
        <v>3</v>
      </c>
      <c r="B9" s="19">
        <f t="shared" si="0"/>
        <v>1</v>
      </c>
      <c r="C9" s="22">
        <f t="shared" si="1"/>
        <v>1</v>
      </c>
      <c r="D9" s="15">
        <v>0</v>
      </c>
      <c r="E9" s="25">
        <v>0</v>
      </c>
      <c r="F9" s="26">
        <v>0</v>
      </c>
      <c r="G9" s="8"/>
      <c r="H9" s="25"/>
      <c r="I9" s="26"/>
    </row>
    <row r="10" spans="1:32" x14ac:dyDescent="0.25">
      <c r="A10" t="s">
        <v>4</v>
      </c>
      <c r="B10" s="19">
        <f t="shared" si="0"/>
        <v>1</v>
      </c>
      <c r="C10" s="22">
        <f t="shared" si="1"/>
        <v>1</v>
      </c>
      <c r="D10" s="15">
        <v>0</v>
      </c>
      <c r="E10" s="25">
        <v>0</v>
      </c>
      <c r="F10" s="26">
        <v>0</v>
      </c>
      <c r="G10" s="8"/>
      <c r="H10" s="25"/>
      <c r="I10" s="26"/>
    </row>
    <row r="11" spans="1:32" x14ac:dyDescent="0.25">
      <c r="A11" t="s">
        <v>5</v>
      </c>
      <c r="B11" s="19">
        <f t="shared" si="0"/>
        <v>1</v>
      </c>
      <c r="C11" s="22">
        <f t="shared" si="1"/>
        <v>1</v>
      </c>
      <c r="D11" s="15">
        <v>1</v>
      </c>
      <c r="E11" s="25">
        <v>0</v>
      </c>
      <c r="F11" s="26">
        <v>0</v>
      </c>
      <c r="G11" s="8">
        <v>1990</v>
      </c>
      <c r="H11" s="25">
        <v>2026</v>
      </c>
      <c r="I11" s="26">
        <v>2024</v>
      </c>
    </row>
    <row r="12" spans="1:32" x14ac:dyDescent="0.25">
      <c r="A12" t="s">
        <v>6</v>
      </c>
      <c r="B12" s="19">
        <f t="shared" si="0"/>
        <v>1</v>
      </c>
      <c r="C12" s="22">
        <f t="shared" si="1"/>
        <v>1</v>
      </c>
      <c r="D12" s="15">
        <v>1</v>
      </c>
      <c r="E12" s="25">
        <v>0</v>
      </c>
      <c r="F12" s="26">
        <v>0</v>
      </c>
      <c r="G12" s="8">
        <v>2023</v>
      </c>
      <c r="H12" s="25">
        <v>2026</v>
      </c>
      <c r="I12" s="26">
        <v>2027</v>
      </c>
    </row>
    <row r="13" spans="1:32" x14ac:dyDescent="0.25">
      <c r="A13" t="s">
        <v>7</v>
      </c>
      <c r="B13" s="19">
        <f t="shared" si="0"/>
        <v>1</v>
      </c>
      <c r="C13" s="22">
        <f t="shared" si="1"/>
        <v>1</v>
      </c>
      <c r="D13" s="15">
        <v>1</v>
      </c>
      <c r="E13" s="25">
        <v>0</v>
      </c>
      <c r="F13" s="26">
        <v>0</v>
      </c>
      <c r="G13" s="8">
        <v>2008</v>
      </c>
      <c r="H13" s="25"/>
      <c r="I13" s="26"/>
    </row>
    <row r="14" spans="1:32" x14ac:dyDescent="0.25">
      <c r="A14" t="s">
        <v>8</v>
      </c>
      <c r="B14" s="19">
        <f t="shared" si="0"/>
        <v>1</v>
      </c>
      <c r="C14" s="22">
        <f t="shared" si="1"/>
        <v>1</v>
      </c>
      <c r="D14" s="15">
        <v>0</v>
      </c>
      <c r="E14" s="25">
        <v>0</v>
      </c>
      <c r="F14" s="26">
        <v>0</v>
      </c>
      <c r="G14" s="8"/>
      <c r="H14" s="25">
        <v>2026</v>
      </c>
      <c r="I14" s="26"/>
    </row>
    <row r="15" spans="1:32" x14ac:dyDescent="0.25">
      <c r="A15" t="s">
        <v>9</v>
      </c>
      <c r="B15" s="19">
        <f t="shared" si="0"/>
        <v>1</v>
      </c>
      <c r="C15" s="22">
        <f t="shared" si="1"/>
        <v>1</v>
      </c>
      <c r="D15" s="15">
        <v>0</v>
      </c>
      <c r="E15" s="25">
        <v>0</v>
      </c>
      <c r="F15" s="26">
        <v>0</v>
      </c>
      <c r="G15" s="8"/>
      <c r="H15" s="25">
        <v>2026</v>
      </c>
      <c r="I15" s="26"/>
    </row>
    <row r="16" spans="1:32" x14ac:dyDescent="0.25">
      <c r="A16" t="s">
        <v>10</v>
      </c>
      <c r="B16" s="19">
        <f t="shared" si="0"/>
        <v>1</v>
      </c>
      <c r="C16" s="22">
        <f t="shared" si="1"/>
        <v>1</v>
      </c>
      <c r="D16" s="15">
        <v>0</v>
      </c>
      <c r="E16" s="25">
        <v>0</v>
      </c>
      <c r="F16" s="26">
        <v>0</v>
      </c>
      <c r="G16" s="8"/>
      <c r="H16" s="25"/>
      <c r="I16" s="26"/>
    </row>
    <row r="17" spans="1:9" x14ac:dyDescent="0.25">
      <c r="A17" t="s">
        <v>11</v>
      </c>
      <c r="B17" s="19">
        <f t="shared" si="0"/>
        <v>1</v>
      </c>
      <c r="C17" s="22">
        <f t="shared" si="1"/>
        <v>1</v>
      </c>
      <c r="D17" s="15">
        <v>0</v>
      </c>
      <c r="E17" s="25">
        <v>0</v>
      </c>
      <c r="F17" s="26">
        <v>0</v>
      </c>
      <c r="G17" s="8"/>
      <c r="H17" s="25"/>
      <c r="I17" s="26"/>
    </row>
    <row r="18" spans="1:9" x14ac:dyDescent="0.25">
      <c r="A18" t="s">
        <v>12</v>
      </c>
      <c r="B18" s="19">
        <f t="shared" si="0"/>
        <v>1</v>
      </c>
      <c r="C18" s="22">
        <f t="shared" si="1"/>
        <v>1</v>
      </c>
      <c r="D18" s="15">
        <v>0</v>
      </c>
      <c r="E18" s="25">
        <v>0</v>
      </c>
      <c r="F18" s="26">
        <v>0</v>
      </c>
      <c r="G18" s="8"/>
      <c r="H18" s="25"/>
      <c r="I18" s="26"/>
    </row>
    <row r="19" spans="1:9" x14ac:dyDescent="0.25">
      <c r="A19" t="s">
        <v>13</v>
      </c>
      <c r="B19" s="19">
        <f t="shared" si="0"/>
        <v>1</v>
      </c>
      <c r="C19" s="22">
        <f t="shared" si="1"/>
        <v>1</v>
      </c>
      <c r="D19" s="15">
        <v>0</v>
      </c>
      <c r="E19" s="25">
        <v>0</v>
      </c>
      <c r="F19" s="26">
        <v>0</v>
      </c>
      <c r="G19" s="8"/>
      <c r="H19" s="25"/>
      <c r="I19" s="26"/>
    </row>
    <row r="20" spans="1:9" x14ac:dyDescent="0.25">
      <c r="A20" t="s">
        <v>14</v>
      </c>
      <c r="B20" s="19">
        <f t="shared" si="0"/>
        <v>1</v>
      </c>
      <c r="C20" s="22">
        <f t="shared" si="1"/>
        <v>1</v>
      </c>
      <c r="D20" s="15">
        <v>0</v>
      </c>
      <c r="E20" s="25">
        <v>0</v>
      </c>
      <c r="F20" s="26">
        <v>0</v>
      </c>
      <c r="G20" s="8"/>
      <c r="H20" s="25"/>
      <c r="I20" s="26"/>
    </row>
    <row r="21" spans="1:9" x14ac:dyDescent="0.25">
      <c r="A21" t="s">
        <v>15</v>
      </c>
      <c r="B21" s="19">
        <f t="shared" si="0"/>
        <v>1</v>
      </c>
      <c r="C21" s="22">
        <f t="shared" si="1"/>
        <v>1</v>
      </c>
      <c r="D21" s="15">
        <v>0</v>
      </c>
      <c r="E21" s="25">
        <v>0</v>
      </c>
      <c r="F21" s="26">
        <v>0</v>
      </c>
      <c r="G21" s="8"/>
      <c r="H21" s="25"/>
      <c r="I21" s="26"/>
    </row>
    <row r="22" spans="1:9" x14ac:dyDescent="0.25">
      <c r="A22" t="s">
        <v>16</v>
      </c>
      <c r="B22" s="19">
        <f t="shared" si="0"/>
        <v>1</v>
      </c>
      <c r="C22" s="22">
        <f t="shared" si="1"/>
        <v>1</v>
      </c>
      <c r="D22" s="15">
        <v>0</v>
      </c>
      <c r="E22" s="25">
        <v>0</v>
      </c>
      <c r="F22" s="26">
        <v>0</v>
      </c>
      <c r="G22" s="8"/>
      <c r="H22" s="25"/>
      <c r="I22" s="26"/>
    </row>
    <row r="23" spans="1:9" x14ac:dyDescent="0.25">
      <c r="A23" t="s">
        <v>17</v>
      </c>
      <c r="B23" s="19">
        <f t="shared" si="0"/>
        <v>1</v>
      </c>
      <c r="C23" s="22">
        <f t="shared" si="1"/>
        <v>1</v>
      </c>
      <c r="D23" s="15">
        <v>0</v>
      </c>
      <c r="E23" s="25">
        <v>0</v>
      </c>
      <c r="F23" s="26">
        <v>0</v>
      </c>
      <c r="G23" s="8"/>
      <c r="H23" s="25"/>
      <c r="I23" s="26"/>
    </row>
    <row r="24" spans="1:9" x14ac:dyDescent="0.25">
      <c r="A24" t="s">
        <v>18</v>
      </c>
      <c r="B24" s="19">
        <f t="shared" si="0"/>
        <v>1</v>
      </c>
      <c r="C24" s="22">
        <f t="shared" si="1"/>
        <v>1</v>
      </c>
      <c r="D24" s="15">
        <v>0</v>
      </c>
      <c r="E24" s="25">
        <v>0</v>
      </c>
      <c r="F24" s="26">
        <v>0</v>
      </c>
      <c r="G24" s="8"/>
      <c r="H24" s="25"/>
      <c r="I24" s="26"/>
    </row>
    <row r="25" spans="1:9" x14ac:dyDescent="0.25">
      <c r="A25" t="s">
        <v>19</v>
      </c>
      <c r="B25" s="19">
        <f t="shared" si="0"/>
        <v>1</v>
      </c>
      <c r="C25" s="22">
        <f t="shared" si="1"/>
        <v>1</v>
      </c>
      <c r="D25" s="15">
        <v>0</v>
      </c>
      <c r="E25" s="25">
        <v>0</v>
      </c>
      <c r="F25" s="26">
        <v>0</v>
      </c>
      <c r="G25" s="8"/>
      <c r="H25" s="25"/>
      <c r="I25" s="26"/>
    </row>
    <row r="26" spans="1:9" x14ac:dyDescent="0.25">
      <c r="A26" t="s">
        <v>20</v>
      </c>
      <c r="B26" s="19">
        <f t="shared" si="0"/>
        <v>1</v>
      </c>
      <c r="C26" s="22">
        <f t="shared" si="1"/>
        <v>1</v>
      </c>
      <c r="D26" s="15">
        <v>1</v>
      </c>
      <c r="E26" s="25">
        <v>0</v>
      </c>
      <c r="F26" s="26">
        <v>0</v>
      </c>
      <c r="G26" s="8">
        <v>2001</v>
      </c>
      <c r="H26" s="25"/>
      <c r="I26" s="26"/>
    </row>
    <row r="27" spans="1:9" x14ac:dyDescent="0.25">
      <c r="A27" t="s">
        <v>21</v>
      </c>
      <c r="B27" s="19">
        <f t="shared" si="0"/>
        <v>1</v>
      </c>
      <c r="C27" s="22">
        <f t="shared" si="1"/>
        <v>1</v>
      </c>
      <c r="D27" s="15">
        <v>1</v>
      </c>
      <c r="E27" s="25">
        <v>0</v>
      </c>
      <c r="F27" s="26">
        <v>0</v>
      </c>
      <c r="G27" s="8">
        <v>2011</v>
      </c>
      <c r="H27" s="25">
        <v>2026</v>
      </c>
      <c r="I27" s="26">
        <v>2027</v>
      </c>
    </row>
    <row r="28" spans="1:9" x14ac:dyDescent="0.25">
      <c r="A28" t="s">
        <v>22</v>
      </c>
      <c r="B28" s="19">
        <f t="shared" si="0"/>
        <v>1</v>
      </c>
      <c r="C28" s="22">
        <f t="shared" si="1"/>
        <v>1</v>
      </c>
      <c r="D28" s="15">
        <v>1</v>
      </c>
      <c r="E28" s="25">
        <v>0</v>
      </c>
      <c r="F28" s="26">
        <v>0</v>
      </c>
      <c r="G28" s="8">
        <v>1995</v>
      </c>
      <c r="H28" s="25">
        <v>2026</v>
      </c>
      <c r="I28" s="26">
        <v>2025</v>
      </c>
    </row>
    <row r="29" spans="1:9" x14ac:dyDescent="0.25">
      <c r="A29" t="s">
        <v>23</v>
      </c>
      <c r="B29" s="19">
        <f t="shared" si="0"/>
        <v>1</v>
      </c>
      <c r="C29" s="22">
        <f t="shared" si="1"/>
        <v>1</v>
      </c>
      <c r="D29" s="15">
        <v>0</v>
      </c>
      <c r="E29" s="25">
        <v>0</v>
      </c>
      <c r="F29" s="26">
        <v>0</v>
      </c>
      <c r="G29" s="8"/>
      <c r="H29" s="25"/>
      <c r="I29" s="26"/>
    </row>
    <row r="30" spans="1:9" x14ac:dyDescent="0.25">
      <c r="A30" t="s">
        <v>24</v>
      </c>
      <c r="B30" s="19">
        <f t="shared" si="0"/>
        <v>1</v>
      </c>
      <c r="C30" s="22">
        <f t="shared" si="1"/>
        <v>1</v>
      </c>
      <c r="D30" s="15">
        <v>1</v>
      </c>
      <c r="E30" s="25">
        <v>0</v>
      </c>
      <c r="F30" s="26">
        <v>0</v>
      </c>
      <c r="G30" s="8">
        <v>2025</v>
      </c>
      <c r="H30" s="25"/>
      <c r="I30" s="26"/>
    </row>
    <row r="31" spans="1:9" x14ac:dyDescent="0.25">
      <c r="A31" t="s">
        <v>25</v>
      </c>
      <c r="B31" s="19">
        <f t="shared" si="0"/>
        <v>1</v>
      </c>
      <c r="C31" s="22">
        <f t="shared" si="1"/>
        <v>1</v>
      </c>
      <c r="D31" s="15">
        <v>0</v>
      </c>
      <c r="E31" s="25">
        <v>0</v>
      </c>
      <c r="F31" s="26">
        <v>0</v>
      </c>
      <c r="G31" s="8"/>
      <c r="H31" s="25"/>
      <c r="I31" s="26"/>
    </row>
    <row r="32" spans="1:9" x14ac:dyDescent="0.25">
      <c r="A32" t="s">
        <v>26</v>
      </c>
      <c r="B32" s="19">
        <f t="shared" si="0"/>
        <v>1</v>
      </c>
      <c r="C32" s="22">
        <f t="shared" si="1"/>
        <v>1</v>
      </c>
      <c r="D32" s="15">
        <v>0</v>
      </c>
      <c r="E32" s="25">
        <v>0</v>
      </c>
      <c r="F32" s="26">
        <v>0</v>
      </c>
      <c r="G32" s="8"/>
      <c r="H32" s="25"/>
      <c r="I32" s="26"/>
    </row>
    <row r="33" spans="1:9" x14ac:dyDescent="0.25">
      <c r="A33" t="s">
        <v>27</v>
      </c>
      <c r="B33" s="19">
        <f t="shared" si="0"/>
        <v>1</v>
      </c>
      <c r="C33" s="22">
        <f t="shared" si="1"/>
        <v>1</v>
      </c>
      <c r="D33" s="15">
        <v>0</v>
      </c>
      <c r="E33" s="25">
        <v>0</v>
      </c>
      <c r="F33" s="26">
        <v>0</v>
      </c>
      <c r="G33" s="8"/>
      <c r="H33" s="25"/>
      <c r="I33" s="26"/>
    </row>
    <row r="34" spans="1:9" x14ac:dyDescent="0.25">
      <c r="A34" t="s">
        <v>28</v>
      </c>
      <c r="B34" s="19">
        <f t="shared" si="0"/>
        <v>1</v>
      </c>
      <c r="C34" s="22">
        <f t="shared" si="1"/>
        <v>1</v>
      </c>
      <c r="D34" s="15">
        <v>0</v>
      </c>
      <c r="E34" s="25">
        <v>0</v>
      </c>
      <c r="F34" s="26">
        <v>0</v>
      </c>
      <c r="G34" s="8"/>
      <c r="H34" s="25"/>
      <c r="I34" s="26"/>
    </row>
    <row r="35" spans="1:9" x14ac:dyDescent="0.25">
      <c r="A35" t="s">
        <v>29</v>
      </c>
      <c r="B35" s="19">
        <f t="shared" si="0"/>
        <v>1</v>
      </c>
      <c r="C35" s="22">
        <f t="shared" si="1"/>
        <v>1</v>
      </c>
      <c r="D35" s="15">
        <v>1</v>
      </c>
      <c r="E35" s="25">
        <v>0</v>
      </c>
      <c r="F35" s="26">
        <v>0</v>
      </c>
      <c r="G35" s="8">
        <v>2025</v>
      </c>
      <c r="H35" s="25"/>
      <c r="I35" s="26"/>
    </row>
    <row r="36" spans="1:9" x14ac:dyDescent="0.25">
      <c r="A36" t="s">
        <v>30</v>
      </c>
      <c r="B36" s="19">
        <f t="shared" si="0"/>
        <v>1</v>
      </c>
      <c r="C36" s="22">
        <f t="shared" si="1"/>
        <v>1</v>
      </c>
      <c r="D36" s="15">
        <v>0</v>
      </c>
      <c r="E36" s="25">
        <v>0</v>
      </c>
      <c r="F36" s="26">
        <v>0</v>
      </c>
      <c r="G36" s="8"/>
      <c r="H36" s="25"/>
      <c r="I36" s="26"/>
    </row>
    <row r="37" spans="1:9" x14ac:dyDescent="0.25">
      <c r="A37" t="s">
        <v>31</v>
      </c>
      <c r="B37" s="19">
        <f t="shared" si="0"/>
        <v>1</v>
      </c>
      <c r="C37" s="22">
        <f t="shared" si="1"/>
        <v>1</v>
      </c>
      <c r="D37" s="15">
        <v>1</v>
      </c>
      <c r="E37" s="25">
        <v>0</v>
      </c>
      <c r="F37" s="26">
        <v>0</v>
      </c>
      <c r="G37" s="8">
        <v>2009</v>
      </c>
      <c r="H37" s="25">
        <v>2026</v>
      </c>
      <c r="I37" s="26">
        <v>2025</v>
      </c>
    </row>
    <row r="38" spans="1:9" x14ac:dyDescent="0.25">
      <c r="A38" t="s">
        <v>32</v>
      </c>
      <c r="B38" s="19">
        <f t="shared" si="0"/>
        <v>1</v>
      </c>
      <c r="C38" s="22">
        <f t="shared" si="1"/>
        <v>1</v>
      </c>
      <c r="D38" s="15">
        <v>1</v>
      </c>
      <c r="E38" s="25">
        <v>0</v>
      </c>
      <c r="F38" s="26">
        <v>0</v>
      </c>
      <c r="G38" s="8">
        <v>2026</v>
      </c>
      <c r="H38" s="25">
        <v>2026</v>
      </c>
      <c r="I38" s="26">
        <v>2027</v>
      </c>
    </row>
    <row r="39" spans="1:9" x14ac:dyDescent="0.25">
      <c r="A39" t="s">
        <v>33</v>
      </c>
      <c r="B39" s="19">
        <f t="shared" si="0"/>
        <v>1</v>
      </c>
      <c r="C39" s="22">
        <f t="shared" si="1"/>
        <v>1</v>
      </c>
      <c r="D39" s="15">
        <v>1</v>
      </c>
      <c r="E39" s="25">
        <v>0</v>
      </c>
      <c r="F39" s="26">
        <v>0</v>
      </c>
      <c r="G39" s="8">
        <v>1993</v>
      </c>
      <c r="H39" s="25">
        <v>2026</v>
      </c>
      <c r="I39" s="26">
        <v>2025</v>
      </c>
    </row>
    <row r="40" spans="1:9" x14ac:dyDescent="0.25">
      <c r="A40" t="s">
        <v>34</v>
      </c>
      <c r="B40" s="19">
        <f t="shared" si="0"/>
        <v>1</v>
      </c>
      <c r="C40" s="22">
        <f t="shared" si="1"/>
        <v>1</v>
      </c>
      <c r="D40" s="15">
        <v>0</v>
      </c>
      <c r="E40" s="25">
        <v>0</v>
      </c>
      <c r="F40" s="26">
        <v>0</v>
      </c>
      <c r="G40" s="8"/>
      <c r="H40" s="25"/>
      <c r="I40" s="26"/>
    </row>
    <row r="41" spans="1:9" x14ac:dyDescent="0.25">
      <c r="A41" t="s">
        <v>35</v>
      </c>
      <c r="B41" s="19">
        <f t="shared" si="0"/>
        <v>1</v>
      </c>
      <c r="C41" s="22">
        <f t="shared" si="1"/>
        <v>1</v>
      </c>
      <c r="D41" s="15">
        <v>0</v>
      </c>
      <c r="E41" s="25">
        <v>0</v>
      </c>
      <c r="F41" s="26">
        <v>0</v>
      </c>
      <c r="G41" s="8"/>
      <c r="H41" s="25"/>
      <c r="I41" s="26"/>
    </row>
    <row r="42" spans="1:9" x14ac:dyDescent="0.25">
      <c r="A42" t="s">
        <v>36</v>
      </c>
      <c r="B42" s="19">
        <f t="shared" si="0"/>
        <v>1</v>
      </c>
      <c r="C42" s="22">
        <f t="shared" si="1"/>
        <v>1</v>
      </c>
      <c r="D42" s="15">
        <v>0</v>
      </c>
      <c r="E42" s="25">
        <v>0</v>
      </c>
      <c r="F42" s="26">
        <v>0</v>
      </c>
      <c r="G42" s="8"/>
      <c r="H42" s="25"/>
      <c r="I42" s="26"/>
    </row>
    <row r="43" spans="1:9" x14ac:dyDescent="0.25">
      <c r="A43" t="s">
        <v>37</v>
      </c>
      <c r="B43" s="19">
        <f t="shared" si="0"/>
        <v>1</v>
      </c>
      <c r="C43" s="22">
        <f t="shared" si="1"/>
        <v>1</v>
      </c>
      <c r="D43" s="15">
        <v>0</v>
      </c>
      <c r="E43" s="25">
        <v>0</v>
      </c>
      <c r="F43" s="26">
        <v>0</v>
      </c>
      <c r="G43" s="8"/>
      <c r="H43" s="25"/>
      <c r="I43" s="26"/>
    </row>
    <row r="44" spans="1:9" x14ac:dyDescent="0.25">
      <c r="A44" t="s">
        <v>38</v>
      </c>
      <c r="B44" s="19">
        <f t="shared" si="0"/>
        <v>1</v>
      </c>
      <c r="C44" s="22">
        <f t="shared" si="1"/>
        <v>1</v>
      </c>
      <c r="D44" s="15">
        <v>1</v>
      </c>
      <c r="E44" s="25">
        <v>0</v>
      </c>
      <c r="F44" s="26">
        <v>0</v>
      </c>
      <c r="G44" s="8">
        <v>2009</v>
      </c>
      <c r="H44" s="25">
        <v>2026</v>
      </c>
      <c r="I44" s="26">
        <v>2024</v>
      </c>
    </row>
    <row r="45" spans="1:9" x14ac:dyDescent="0.25">
      <c r="A45" t="s">
        <v>39</v>
      </c>
      <c r="B45" s="19">
        <f t="shared" si="0"/>
        <v>1</v>
      </c>
      <c r="C45" s="22">
        <f t="shared" si="1"/>
        <v>1</v>
      </c>
      <c r="D45" s="15">
        <v>0</v>
      </c>
      <c r="E45" s="25">
        <v>0</v>
      </c>
      <c r="F45" s="26">
        <v>0</v>
      </c>
      <c r="G45" s="8"/>
      <c r="H45" s="25"/>
      <c r="I45" s="26"/>
    </row>
    <row r="46" spans="1:9" x14ac:dyDescent="0.25">
      <c r="A46" t="s">
        <v>40</v>
      </c>
      <c r="B46" s="19">
        <f t="shared" si="0"/>
        <v>1</v>
      </c>
      <c r="C46" s="22">
        <f t="shared" si="1"/>
        <v>1</v>
      </c>
      <c r="D46" s="15">
        <v>1</v>
      </c>
      <c r="E46" s="25">
        <v>0</v>
      </c>
      <c r="F46" s="26">
        <v>0</v>
      </c>
      <c r="G46" s="8">
        <v>2008</v>
      </c>
      <c r="H46" s="25">
        <v>2026</v>
      </c>
      <c r="I46" s="26">
        <v>2027</v>
      </c>
    </row>
    <row r="47" spans="1:9" x14ac:dyDescent="0.25">
      <c r="A47" t="s">
        <v>41</v>
      </c>
      <c r="B47" s="19">
        <f t="shared" si="0"/>
        <v>1</v>
      </c>
      <c r="C47" s="22">
        <f t="shared" si="1"/>
        <v>1</v>
      </c>
      <c r="D47" s="15">
        <v>0</v>
      </c>
      <c r="E47" s="25">
        <v>0</v>
      </c>
      <c r="F47" s="26">
        <v>0</v>
      </c>
      <c r="G47" s="8"/>
      <c r="H47" s="25"/>
      <c r="I47" s="26"/>
    </row>
    <row r="48" spans="1:9" x14ac:dyDescent="0.25">
      <c r="A48" t="s">
        <v>42</v>
      </c>
      <c r="B48" s="19">
        <f t="shared" si="0"/>
        <v>1</v>
      </c>
      <c r="C48" s="22">
        <f t="shared" si="1"/>
        <v>1</v>
      </c>
      <c r="D48" s="15">
        <v>0</v>
      </c>
      <c r="E48" s="25">
        <v>0</v>
      </c>
      <c r="F48" s="26">
        <v>0</v>
      </c>
      <c r="G48" s="8"/>
      <c r="H48" s="25"/>
      <c r="I48" s="26"/>
    </row>
    <row r="49" spans="1:9" x14ac:dyDescent="0.25">
      <c r="A49" t="s">
        <v>43</v>
      </c>
      <c r="B49" s="19">
        <f t="shared" si="0"/>
        <v>1</v>
      </c>
      <c r="C49" s="22">
        <f t="shared" si="1"/>
        <v>1</v>
      </c>
      <c r="D49" s="15">
        <v>0</v>
      </c>
      <c r="E49" s="25">
        <v>0</v>
      </c>
      <c r="F49" s="26">
        <v>0</v>
      </c>
      <c r="G49" s="8"/>
      <c r="H49" s="25"/>
      <c r="I49" s="26"/>
    </row>
    <row r="50" spans="1:9" x14ac:dyDescent="0.25">
      <c r="A50" t="s">
        <v>44</v>
      </c>
      <c r="B50" s="19">
        <f t="shared" si="0"/>
        <v>1</v>
      </c>
      <c r="C50" s="22">
        <f t="shared" si="1"/>
        <v>1</v>
      </c>
      <c r="D50" s="15">
        <v>0</v>
      </c>
      <c r="E50" s="25">
        <v>0</v>
      </c>
      <c r="F50" s="26">
        <v>0</v>
      </c>
      <c r="G50" s="8"/>
      <c r="H50" s="25"/>
      <c r="I50" s="26"/>
    </row>
    <row r="51" spans="1:9" x14ac:dyDescent="0.25">
      <c r="A51" t="s">
        <v>45</v>
      </c>
      <c r="B51" s="19">
        <f t="shared" si="0"/>
        <v>1</v>
      </c>
      <c r="C51" s="22">
        <f t="shared" si="1"/>
        <v>1</v>
      </c>
      <c r="D51" s="15">
        <v>0</v>
      </c>
      <c r="E51" s="25">
        <v>0</v>
      </c>
      <c r="F51" s="26">
        <v>0</v>
      </c>
      <c r="G51" s="8"/>
      <c r="H51" s="25"/>
      <c r="I51" s="26"/>
    </row>
    <row r="52" spans="1:9" x14ac:dyDescent="0.25">
      <c r="A52" t="s">
        <v>46</v>
      </c>
      <c r="B52" s="19">
        <f t="shared" si="0"/>
        <v>1</v>
      </c>
      <c r="C52" s="22">
        <f t="shared" si="1"/>
        <v>1</v>
      </c>
      <c r="D52" s="15">
        <v>1</v>
      </c>
      <c r="E52" s="25">
        <v>0</v>
      </c>
      <c r="F52" s="26">
        <v>0</v>
      </c>
      <c r="G52" s="8">
        <v>2000</v>
      </c>
      <c r="H52" s="25">
        <v>2026</v>
      </c>
      <c r="I52" s="26">
        <v>2025</v>
      </c>
    </row>
    <row r="53" spans="1:9" x14ac:dyDescent="0.25">
      <c r="A53" t="s">
        <v>47</v>
      </c>
      <c r="B53" s="19">
        <f t="shared" si="0"/>
        <v>1</v>
      </c>
      <c r="C53" s="22">
        <f t="shared" si="1"/>
        <v>1</v>
      </c>
      <c r="D53" s="15">
        <v>1</v>
      </c>
      <c r="E53" s="25">
        <v>0</v>
      </c>
      <c r="F53" s="26">
        <v>0</v>
      </c>
      <c r="G53" s="8">
        <v>2025</v>
      </c>
      <c r="H53" s="25">
        <v>2026</v>
      </c>
      <c r="I53" s="26"/>
    </row>
    <row r="54" spans="1:9" x14ac:dyDescent="0.25">
      <c r="A54" t="s">
        <v>48</v>
      </c>
      <c r="B54" s="19">
        <f t="shared" si="0"/>
        <v>1</v>
      </c>
      <c r="C54" s="22">
        <f t="shared" si="1"/>
        <v>1</v>
      </c>
      <c r="D54" s="15">
        <v>1</v>
      </c>
      <c r="E54" s="25">
        <v>0</v>
      </c>
      <c r="F54" s="26">
        <v>0</v>
      </c>
      <c r="G54" s="8">
        <v>2025</v>
      </c>
      <c r="H54" s="25">
        <v>2026</v>
      </c>
      <c r="I54" s="26">
        <v>2025</v>
      </c>
    </row>
    <row r="55" spans="1:9" x14ac:dyDescent="0.25">
      <c r="A55" t="s">
        <v>49</v>
      </c>
      <c r="B55" s="19">
        <f t="shared" si="0"/>
        <v>1</v>
      </c>
      <c r="C55" s="22">
        <f t="shared" si="1"/>
        <v>1</v>
      </c>
      <c r="D55" s="15">
        <v>0</v>
      </c>
      <c r="E55" s="25">
        <v>0</v>
      </c>
      <c r="F55" s="26">
        <v>0</v>
      </c>
      <c r="G55" s="8"/>
      <c r="H55" s="25"/>
      <c r="I55" s="26"/>
    </row>
    <row r="56" spans="1:9" x14ac:dyDescent="0.25">
      <c r="A56" t="s">
        <v>50</v>
      </c>
      <c r="B56" s="19">
        <f t="shared" si="0"/>
        <v>1</v>
      </c>
      <c r="C56" s="22">
        <f t="shared" si="1"/>
        <v>1</v>
      </c>
      <c r="D56" s="15">
        <v>0</v>
      </c>
      <c r="E56" s="25">
        <v>0</v>
      </c>
      <c r="F56" s="26">
        <v>0</v>
      </c>
      <c r="G56" s="8"/>
      <c r="H56" s="25"/>
      <c r="I56" s="26"/>
    </row>
    <row r="57" spans="1:9" x14ac:dyDescent="0.25">
      <c r="A57" t="s">
        <v>51</v>
      </c>
      <c r="B57" s="19">
        <f t="shared" si="0"/>
        <v>1</v>
      </c>
      <c r="C57" s="22">
        <f t="shared" si="1"/>
        <v>1</v>
      </c>
      <c r="D57" s="15">
        <v>0</v>
      </c>
      <c r="E57" s="25">
        <v>0</v>
      </c>
      <c r="F57" s="26">
        <v>0</v>
      </c>
      <c r="G57" s="8"/>
      <c r="H57" s="25"/>
      <c r="I57" s="26"/>
    </row>
    <row r="58" spans="1:9" x14ac:dyDescent="0.25">
      <c r="A58" t="s">
        <v>52</v>
      </c>
      <c r="B58" s="19">
        <f t="shared" si="0"/>
        <v>1</v>
      </c>
      <c r="C58" s="22">
        <f t="shared" si="1"/>
        <v>1</v>
      </c>
      <c r="D58" s="15">
        <v>0</v>
      </c>
      <c r="E58" s="25">
        <v>0</v>
      </c>
      <c r="F58" s="26">
        <v>0</v>
      </c>
      <c r="G58" s="8"/>
      <c r="H58" s="25"/>
      <c r="I58" s="26"/>
    </row>
    <row r="59" spans="1:9" x14ac:dyDescent="0.25">
      <c r="A59" t="s">
        <v>53</v>
      </c>
      <c r="B59" s="19">
        <f t="shared" si="0"/>
        <v>1</v>
      </c>
      <c r="C59" s="22">
        <f t="shared" si="1"/>
        <v>1</v>
      </c>
      <c r="D59" s="15">
        <v>0</v>
      </c>
      <c r="E59" s="25">
        <v>0</v>
      </c>
      <c r="F59" s="26">
        <v>0</v>
      </c>
      <c r="G59" s="8"/>
      <c r="H59" s="25"/>
      <c r="I59" s="26"/>
    </row>
    <row r="60" spans="1:9" x14ac:dyDescent="0.25">
      <c r="A60" t="s">
        <v>54</v>
      </c>
      <c r="B60" s="19">
        <f t="shared" si="0"/>
        <v>1</v>
      </c>
      <c r="C60" s="22">
        <f t="shared" si="1"/>
        <v>1</v>
      </c>
      <c r="D60" s="15">
        <v>0</v>
      </c>
      <c r="E60" s="25">
        <v>0</v>
      </c>
      <c r="F60" s="26">
        <v>0</v>
      </c>
      <c r="G60" s="8"/>
      <c r="H60" s="25"/>
      <c r="I60" s="26"/>
    </row>
    <row r="61" spans="1:9" x14ac:dyDescent="0.25">
      <c r="A61" t="s">
        <v>55</v>
      </c>
      <c r="B61" s="19">
        <f t="shared" si="0"/>
        <v>1</v>
      </c>
      <c r="C61" s="22">
        <f t="shared" si="1"/>
        <v>1</v>
      </c>
      <c r="D61" s="15">
        <v>0</v>
      </c>
      <c r="E61" s="25">
        <v>0</v>
      </c>
      <c r="F61" s="26">
        <v>0</v>
      </c>
      <c r="G61" s="8"/>
      <c r="H61" s="25"/>
      <c r="I61" s="26"/>
    </row>
    <row r="62" spans="1:9" x14ac:dyDescent="0.25">
      <c r="A62" t="s">
        <v>56</v>
      </c>
      <c r="B62" s="19">
        <f t="shared" si="0"/>
        <v>1</v>
      </c>
      <c r="C62" s="22">
        <f t="shared" si="1"/>
        <v>1</v>
      </c>
      <c r="D62" s="15">
        <v>0</v>
      </c>
      <c r="E62" s="25">
        <v>0</v>
      </c>
      <c r="F62" s="26">
        <v>0</v>
      </c>
      <c r="G62" s="8"/>
      <c r="H62" s="25"/>
      <c r="I62" s="26"/>
    </row>
    <row r="63" spans="1:9" x14ac:dyDescent="0.25">
      <c r="A63" t="s">
        <v>57</v>
      </c>
      <c r="B63" s="19">
        <f t="shared" si="0"/>
        <v>1</v>
      </c>
      <c r="C63" s="22">
        <f t="shared" si="1"/>
        <v>1</v>
      </c>
      <c r="D63" s="15">
        <v>0</v>
      </c>
      <c r="E63" s="25">
        <v>0</v>
      </c>
      <c r="F63" s="26">
        <v>0</v>
      </c>
      <c r="G63" s="8"/>
      <c r="H63" s="25"/>
      <c r="I63" s="26"/>
    </row>
    <row r="64" spans="1:9" x14ac:dyDescent="0.25">
      <c r="A64" t="s">
        <v>58</v>
      </c>
      <c r="B64" s="19">
        <f t="shared" si="0"/>
        <v>1</v>
      </c>
      <c r="C64" s="22">
        <f t="shared" si="1"/>
        <v>1</v>
      </c>
      <c r="D64" s="15">
        <v>0</v>
      </c>
      <c r="E64" s="25">
        <v>0</v>
      </c>
      <c r="F64" s="26">
        <v>0</v>
      </c>
      <c r="G64" s="8"/>
      <c r="H64" s="25"/>
      <c r="I64" s="26"/>
    </row>
    <row r="65" spans="1:9" x14ac:dyDescent="0.25">
      <c r="A65" t="s">
        <v>59</v>
      </c>
      <c r="B65" s="19">
        <f t="shared" si="0"/>
        <v>1</v>
      </c>
      <c r="C65" s="22">
        <f t="shared" si="1"/>
        <v>1</v>
      </c>
      <c r="D65" s="15">
        <v>0</v>
      </c>
      <c r="E65" s="25">
        <v>0</v>
      </c>
      <c r="F65" s="26">
        <v>0</v>
      </c>
      <c r="G65" s="8"/>
      <c r="H65" s="25"/>
      <c r="I65" s="26"/>
    </row>
    <row r="66" spans="1:9" x14ac:dyDescent="0.25">
      <c r="A66" t="s">
        <v>60</v>
      </c>
      <c r="B66" s="19">
        <f t="shared" si="0"/>
        <v>1</v>
      </c>
      <c r="C66" s="22">
        <f t="shared" si="1"/>
        <v>1</v>
      </c>
      <c r="D66" s="16">
        <v>0</v>
      </c>
      <c r="E66" s="25">
        <v>0</v>
      </c>
      <c r="F66" s="26">
        <v>0</v>
      </c>
      <c r="G66" s="10"/>
      <c r="H66" s="27"/>
      <c r="I66" s="28"/>
    </row>
  </sheetData>
  <mergeCells count="2">
    <mergeCell ref="G5:I5"/>
    <mergeCell ref="D5:F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459C3-4120-4DF4-A9E7-EDB76CBBE114}">
  <dimension ref="B2:AB13"/>
  <sheetViews>
    <sheetView workbookViewId="0">
      <selection activeCell="G10" sqref="G10"/>
    </sheetView>
  </sheetViews>
  <sheetFormatPr defaultRowHeight="15" x14ac:dyDescent="0.25"/>
  <cols>
    <col min="2" max="2" width="78.5703125" bestFit="1" customWidth="1"/>
  </cols>
  <sheetData>
    <row r="2" spans="2:28" x14ac:dyDescent="0.25">
      <c r="B2" s="29" t="s">
        <v>207</v>
      </c>
      <c r="C2" s="1" t="s">
        <v>208</v>
      </c>
    </row>
    <row r="3" spans="2:28" x14ac:dyDescent="0.25">
      <c r="C3">
        <v>2025</v>
      </c>
      <c r="D3">
        <v>2026</v>
      </c>
      <c r="E3">
        <v>2027</v>
      </c>
      <c r="F3">
        <v>2028</v>
      </c>
      <c r="G3">
        <v>2029</v>
      </c>
      <c r="H3">
        <v>2030</v>
      </c>
      <c r="I3">
        <v>2031</v>
      </c>
      <c r="J3">
        <v>2032</v>
      </c>
      <c r="K3">
        <v>2033</v>
      </c>
      <c r="L3">
        <v>2034</v>
      </c>
      <c r="M3">
        <v>2035</v>
      </c>
      <c r="N3">
        <v>2036</v>
      </c>
      <c r="O3">
        <v>2037</v>
      </c>
      <c r="P3">
        <v>2038</v>
      </c>
      <c r="Q3">
        <v>2039</v>
      </c>
      <c r="R3">
        <v>2040</v>
      </c>
      <c r="S3">
        <v>2041</v>
      </c>
      <c r="T3">
        <v>2042</v>
      </c>
      <c r="U3">
        <v>2043</v>
      </c>
      <c r="V3">
        <v>2044</v>
      </c>
      <c r="W3">
        <v>2045</v>
      </c>
      <c r="X3">
        <v>2046</v>
      </c>
      <c r="Y3">
        <v>2047</v>
      </c>
      <c r="Z3">
        <v>2048</v>
      </c>
      <c r="AA3">
        <v>2049</v>
      </c>
      <c r="AB3">
        <v>2050</v>
      </c>
    </row>
    <row r="4" spans="2:28" x14ac:dyDescent="0.25">
      <c r="C4" s="30">
        <v>0.15</v>
      </c>
      <c r="D4" s="30">
        <v>0.1</v>
      </c>
      <c r="E4" s="31">
        <v>0.125</v>
      </c>
      <c r="F4" s="30">
        <v>0.15</v>
      </c>
      <c r="G4" s="32">
        <v>0.2</v>
      </c>
      <c r="H4" s="32">
        <v>0.25</v>
      </c>
      <c r="I4" s="33">
        <v>0.3</v>
      </c>
      <c r="J4" s="30">
        <v>0.38</v>
      </c>
      <c r="K4" s="31">
        <v>0.46</v>
      </c>
      <c r="L4" s="34">
        <v>0.51400000000000001</v>
      </c>
      <c r="M4" s="31">
        <v>0.56799999999999995</v>
      </c>
      <c r="N4" s="34">
        <v>0.622</v>
      </c>
      <c r="O4" s="31">
        <v>0.67600000000000005</v>
      </c>
      <c r="P4" s="34">
        <v>0.73</v>
      </c>
      <c r="Q4" s="31">
        <v>0.78400000000000003</v>
      </c>
      <c r="R4" s="34">
        <v>0.83799999999999997</v>
      </c>
      <c r="S4" s="31">
        <v>0.89200000000000002</v>
      </c>
      <c r="T4" s="34">
        <v>0.94599999999999995</v>
      </c>
      <c r="U4" s="13">
        <v>1</v>
      </c>
      <c r="V4" s="13">
        <v>1</v>
      </c>
      <c r="W4" s="13">
        <v>1</v>
      </c>
      <c r="X4" s="13">
        <v>1</v>
      </c>
      <c r="Y4" s="13">
        <v>1</v>
      </c>
      <c r="Z4" s="13">
        <v>1</v>
      </c>
      <c r="AA4" s="13">
        <v>1</v>
      </c>
      <c r="AB4" s="13">
        <v>1</v>
      </c>
    </row>
    <row r="5" spans="2:28" x14ac:dyDescent="0.25">
      <c r="B5" s="29" t="s">
        <v>209</v>
      </c>
      <c r="C5" s="1" t="s">
        <v>210</v>
      </c>
    </row>
    <row r="6" spans="2:28" x14ac:dyDescent="0.25">
      <c r="C6">
        <v>2025</v>
      </c>
      <c r="D6">
        <v>2026</v>
      </c>
      <c r="E6">
        <v>2027</v>
      </c>
      <c r="F6">
        <v>2028</v>
      </c>
      <c r="G6">
        <v>2029</v>
      </c>
      <c r="H6">
        <v>2030</v>
      </c>
      <c r="I6">
        <v>2031</v>
      </c>
      <c r="J6">
        <v>2032</v>
      </c>
      <c r="K6">
        <v>2033</v>
      </c>
      <c r="L6">
        <v>2034</v>
      </c>
      <c r="M6">
        <v>2035</v>
      </c>
      <c r="N6">
        <v>2036</v>
      </c>
      <c r="O6">
        <v>2037</v>
      </c>
      <c r="P6">
        <v>2038</v>
      </c>
      <c r="Q6">
        <v>2039</v>
      </c>
      <c r="R6">
        <v>2040</v>
      </c>
      <c r="S6">
        <v>2041</v>
      </c>
      <c r="T6">
        <v>2042</v>
      </c>
      <c r="U6">
        <v>2043</v>
      </c>
      <c r="V6">
        <v>2044</v>
      </c>
      <c r="W6">
        <v>2045</v>
      </c>
      <c r="X6">
        <v>2046</v>
      </c>
      <c r="Y6">
        <v>2047</v>
      </c>
      <c r="Z6">
        <v>2048</v>
      </c>
      <c r="AA6">
        <v>2049</v>
      </c>
      <c r="AB6">
        <v>2050</v>
      </c>
    </row>
    <row r="7" spans="2:28" x14ac:dyDescent="0.25">
      <c r="C7" s="30">
        <v>0.15</v>
      </c>
      <c r="D7" s="30">
        <v>0.1</v>
      </c>
      <c r="E7" s="31">
        <v>0.125</v>
      </c>
      <c r="F7" s="30">
        <v>0.15</v>
      </c>
      <c r="G7" s="32">
        <v>0.2</v>
      </c>
      <c r="H7" s="32">
        <v>0.25</v>
      </c>
      <c r="I7" s="33">
        <v>0.3</v>
      </c>
      <c r="J7" s="30">
        <v>0.38</v>
      </c>
      <c r="K7" s="31">
        <v>0.46</v>
      </c>
      <c r="L7" s="34">
        <v>0.51400000000000001</v>
      </c>
      <c r="M7" s="31">
        <v>0.56799999999999995</v>
      </c>
      <c r="N7" s="34">
        <v>0.622</v>
      </c>
      <c r="O7" s="31">
        <v>0.67600000000000005</v>
      </c>
      <c r="P7" s="34">
        <v>0.73</v>
      </c>
      <c r="Q7" s="31">
        <v>0.78400000000000003</v>
      </c>
      <c r="R7" s="34">
        <v>0.83799999999999997</v>
      </c>
      <c r="S7" s="31">
        <v>0.89200000000000002</v>
      </c>
      <c r="T7" s="34">
        <v>0.94599999999999995</v>
      </c>
      <c r="U7" s="13">
        <v>1</v>
      </c>
      <c r="V7" s="13">
        <v>1</v>
      </c>
      <c r="W7" s="13">
        <v>1</v>
      </c>
      <c r="X7" s="13">
        <v>1</v>
      </c>
      <c r="Y7" s="13">
        <v>1</v>
      </c>
      <c r="Z7" s="13">
        <v>1</v>
      </c>
      <c r="AA7" s="13">
        <v>1</v>
      </c>
      <c r="AB7" s="13">
        <v>1</v>
      </c>
    </row>
    <row r="8" spans="2:28" x14ac:dyDescent="0.25">
      <c r="B8" s="29" t="s">
        <v>211</v>
      </c>
      <c r="C8" s="1" t="s">
        <v>212</v>
      </c>
    </row>
    <row r="9" spans="2:28" x14ac:dyDescent="0.25">
      <c r="C9">
        <v>2025</v>
      </c>
      <c r="D9">
        <v>2026</v>
      </c>
      <c r="E9">
        <v>2027</v>
      </c>
      <c r="F9">
        <v>2028</v>
      </c>
      <c r="G9">
        <v>2029</v>
      </c>
      <c r="H9">
        <v>2030</v>
      </c>
      <c r="I9">
        <v>2031</v>
      </c>
      <c r="J9">
        <v>2032</v>
      </c>
      <c r="K9">
        <v>2033</v>
      </c>
      <c r="L9">
        <v>2034</v>
      </c>
      <c r="M9">
        <v>2035</v>
      </c>
      <c r="N9">
        <v>2036</v>
      </c>
      <c r="O9">
        <v>2037</v>
      </c>
      <c r="P9">
        <v>2038</v>
      </c>
      <c r="Q9">
        <v>2039</v>
      </c>
      <c r="R9">
        <v>2040</v>
      </c>
      <c r="S9">
        <v>2041</v>
      </c>
      <c r="T9">
        <v>2042</v>
      </c>
      <c r="U9">
        <v>2043</v>
      </c>
      <c r="V9">
        <v>2044</v>
      </c>
      <c r="W9">
        <v>2045</v>
      </c>
      <c r="X9">
        <v>2046</v>
      </c>
      <c r="Y9">
        <v>2047</v>
      </c>
      <c r="Z9">
        <v>2048</v>
      </c>
      <c r="AA9">
        <v>2049</v>
      </c>
      <c r="AB9">
        <v>2050</v>
      </c>
    </row>
    <row r="10" spans="2:28" x14ac:dyDescent="0.25">
      <c r="C10" s="35">
        <v>7.4999999999999997E-2</v>
      </c>
      <c r="D10" s="36">
        <v>9.5000000000000001E-2</v>
      </c>
      <c r="E10" s="35">
        <v>0.115</v>
      </c>
      <c r="F10" s="36">
        <v>0.13500000000000001</v>
      </c>
      <c r="G10" s="35">
        <v>0.155</v>
      </c>
      <c r="H10" s="36">
        <v>0.17499999999999999</v>
      </c>
      <c r="I10" s="37">
        <v>0.19500000000000001</v>
      </c>
      <c r="J10" s="34">
        <v>0.255</v>
      </c>
      <c r="K10" s="34">
        <v>0.315</v>
      </c>
      <c r="L10" s="34">
        <v>0.375</v>
      </c>
      <c r="M10" s="34">
        <v>0.435</v>
      </c>
      <c r="N10" s="34">
        <v>0.495</v>
      </c>
      <c r="O10" s="34">
        <v>0.55500000000000005</v>
      </c>
      <c r="P10" s="34">
        <v>0.61499999999999999</v>
      </c>
      <c r="Q10" s="34">
        <v>0.67500000000000004</v>
      </c>
      <c r="R10" s="34">
        <v>0.73499999999999999</v>
      </c>
      <c r="S10" s="34">
        <v>0.79500000000000004</v>
      </c>
      <c r="T10" s="34">
        <v>0.85</v>
      </c>
      <c r="U10" s="32">
        <v>0.88</v>
      </c>
      <c r="V10" s="32">
        <v>0.91</v>
      </c>
      <c r="W10" s="32">
        <v>0.94</v>
      </c>
      <c r="X10" s="32">
        <v>0.97</v>
      </c>
      <c r="Y10" s="32">
        <v>1</v>
      </c>
      <c r="Z10" s="13">
        <v>1</v>
      </c>
      <c r="AA10" s="13">
        <v>1</v>
      </c>
      <c r="AB10" s="13">
        <v>1</v>
      </c>
    </row>
    <row r="11" spans="2:28" x14ac:dyDescent="0.25">
      <c r="C11" s="1" t="s">
        <v>213</v>
      </c>
    </row>
    <row r="12" spans="2:28" x14ac:dyDescent="0.25">
      <c r="C12">
        <v>2025</v>
      </c>
      <c r="D12">
        <v>2026</v>
      </c>
      <c r="E12">
        <v>2027</v>
      </c>
      <c r="F12">
        <v>2028</v>
      </c>
      <c r="G12">
        <v>2029</v>
      </c>
      <c r="H12">
        <v>2030</v>
      </c>
      <c r="I12">
        <v>2031</v>
      </c>
      <c r="J12">
        <v>2032</v>
      </c>
      <c r="K12">
        <v>2033</v>
      </c>
      <c r="L12">
        <v>2034</v>
      </c>
      <c r="M12">
        <v>2035</v>
      </c>
      <c r="N12">
        <v>2036</v>
      </c>
      <c r="O12">
        <v>2037</v>
      </c>
      <c r="P12">
        <v>2038</v>
      </c>
      <c r="Q12">
        <v>2039</v>
      </c>
      <c r="R12">
        <v>2040</v>
      </c>
      <c r="S12">
        <v>2041</v>
      </c>
      <c r="T12">
        <v>2042</v>
      </c>
      <c r="U12">
        <v>2043</v>
      </c>
      <c r="V12">
        <v>2044</v>
      </c>
      <c r="W12">
        <v>2045</v>
      </c>
      <c r="X12">
        <v>2046</v>
      </c>
      <c r="Y12">
        <v>2047</v>
      </c>
      <c r="Z12">
        <v>2048</v>
      </c>
      <c r="AA12">
        <v>2049</v>
      </c>
      <c r="AB12">
        <v>2050</v>
      </c>
    </row>
    <row r="13" spans="2:28" x14ac:dyDescent="0.25">
      <c r="B13" s="29" t="s">
        <v>214</v>
      </c>
      <c r="C13" s="34">
        <v>0.01</v>
      </c>
      <c r="D13" s="34">
        <v>1.4E-2</v>
      </c>
      <c r="E13" s="34">
        <v>1.7999999999999999E-2</v>
      </c>
      <c r="F13" s="34">
        <v>2.1999999999999999E-2</v>
      </c>
      <c r="G13" s="34">
        <v>2.5999999999999999E-2</v>
      </c>
      <c r="H13" s="30">
        <v>0.03</v>
      </c>
      <c r="I13" s="34">
        <v>3.4000000000000002E-2</v>
      </c>
      <c r="J13" s="35">
        <v>0.05</v>
      </c>
      <c r="K13" s="35">
        <v>7.0000000000000007E-2</v>
      </c>
      <c r="L13" s="35">
        <v>0.1</v>
      </c>
      <c r="M13" s="35">
        <v>0.15</v>
      </c>
      <c r="N13" s="35">
        <v>0.2</v>
      </c>
      <c r="O13" s="35">
        <v>0.25</v>
      </c>
      <c r="P13" s="35">
        <v>0.3</v>
      </c>
      <c r="Q13" s="35">
        <v>0.35</v>
      </c>
      <c r="R13" s="35">
        <v>0.4</v>
      </c>
      <c r="S13" s="35">
        <v>0.4</v>
      </c>
      <c r="T13" s="35">
        <v>0.4</v>
      </c>
      <c r="U13" s="35">
        <v>0.4</v>
      </c>
      <c r="V13" s="38">
        <v>0.45700000000000002</v>
      </c>
      <c r="W13" s="38">
        <v>0.51400000000000001</v>
      </c>
      <c r="X13" s="38">
        <v>0.57099999999999995</v>
      </c>
      <c r="Y13" s="38">
        <v>0.628</v>
      </c>
      <c r="Z13" s="38">
        <v>0.68500000000000005</v>
      </c>
      <c r="AA13" s="38">
        <v>0.74199999999999999</v>
      </c>
      <c r="AB13" s="38">
        <v>0.8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8AED-A592-40BC-B079-D24EF72AA2A4}">
  <dimension ref="A2:E49"/>
  <sheetViews>
    <sheetView workbookViewId="0">
      <selection activeCell="C7" sqref="A7:C7"/>
    </sheetView>
  </sheetViews>
  <sheetFormatPr defaultRowHeight="15" x14ac:dyDescent="0.25"/>
  <sheetData>
    <row r="2" spans="1:5" x14ac:dyDescent="0.25">
      <c r="A2" t="s">
        <v>1</v>
      </c>
      <c r="B2" t="s">
        <v>155</v>
      </c>
      <c r="C2" t="s">
        <v>156</v>
      </c>
      <c r="E2" t="s">
        <v>161</v>
      </c>
    </row>
    <row r="3" spans="1:5" x14ac:dyDescent="0.25">
      <c r="A3" t="s">
        <v>4</v>
      </c>
      <c r="B3" t="s">
        <v>157</v>
      </c>
      <c r="C3" t="s">
        <v>156</v>
      </c>
      <c r="E3" t="s">
        <v>159</v>
      </c>
    </row>
    <row r="4" spans="1:5" x14ac:dyDescent="0.25">
      <c r="A4" t="s">
        <v>3</v>
      </c>
      <c r="B4" t="s">
        <v>158</v>
      </c>
      <c r="C4" t="s">
        <v>159</v>
      </c>
      <c r="E4" t="s">
        <v>156</v>
      </c>
    </row>
    <row r="5" spans="1:5" x14ac:dyDescent="0.25">
      <c r="A5" t="s">
        <v>215</v>
      </c>
      <c r="B5" t="s">
        <v>160</v>
      </c>
      <c r="C5" t="s">
        <v>161</v>
      </c>
    </row>
    <row r="6" spans="1:5" x14ac:dyDescent="0.25">
      <c r="A6" t="s">
        <v>216</v>
      </c>
      <c r="B6" t="s">
        <v>162</v>
      </c>
      <c r="C6" t="s">
        <v>161</v>
      </c>
    </row>
    <row r="7" spans="1:5" x14ac:dyDescent="0.25">
      <c r="A7" t="s">
        <v>7</v>
      </c>
      <c r="B7" t="s">
        <v>163</v>
      </c>
      <c r="C7" t="s">
        <v>159</v>
      </c>
    </row>
    <row r="8" spans="1:5" x14ac:dyDescent="0.25">
      <c r="A8" t="s">
        <v>217</v>
      </c>
      <c r="B8" t="s">
        <v>164</v>
      </c>
      <c r="C8" t="s">
        <v>161</v>
      </c>
    </row>
    <row r="9" spans="1:5" x14ac:dyDescent="0.25">
      <c r="A9" t="s">
        <v>218</v>
      </c>
      <c r="B9" t="s">
        <v>165</v>
      </c>
      <c r="C9" t="s">
        <v>156</v>
      </c>
    </row>
    <row r="10" spans="1:5" x14ac:dyDescent="0.25">
      <c r="A10" t="s">
        <v>219</v>
      </c>
      <c r="B10" t="s">
        <v>166</v>
      </c>
      <c r="C10" t="s">
        <v>167</v>
      </c>
    </row>
    <row r="11" spans="1:5" x14ac:dyDescent="0.25">
      <c r="A11" t="s">
        <v>220</v>
      </c>
      <c r="B11" t="s">
        <v>168</v>
      </c>
      <c r="C11" t="s">
        <v>167</v>
      </c>
    </row>
    <row r="12" spans="1:5" x14ac:dyDescent="0.25">
      <c r="A12" t="s">
        <v>13</v>
      </c>
      <c r="B12" t="s">
        <v>169</v>
      </c>
      <c r="C12" t="s">
        <v>156</v>
      </c>
    </row>
    <row r="13" spans="1:5" x14ac:dyDescent="0.25">
      <c r="A13" t="s">
        <v>221</v>
      </c>
      <c r="B13" t="s">
        <v>170</v>
      </c>
      <c r="C13" t="s">
        <v>161</v>
      </c>
    </row>
    <row r="14" spans="1:5" x14ac:dyDescent="0.25">
      <c r="A14" t="s">
        <v>222</v>
      </c>
      <c r="B14" t="s">
        <v>171</v>
      </c>
      <c r="C14" t="s">
        <v>156</v>
      </c>
    </row>
    <row r="15" spans="1:5" x14ac:dyDescent="0.25">
      <c r="A15" t="s">
        <v>17</v>
      </c>
      <c r="B15" t="s">
        <v>172</v>
      </c>
      <c r="C15" t="s">
        <v>156</v>
      </c>
    </row>
    <row r="16" spans="1:5" x14ac:dyDescent="0.25">
      <c r="A16" t="s">
        <v>18</v>
      </c>
      <c r="B16" t="s">
        <v>173</v>
      </c>
      <c r="C16" t="s">
        <v>156</v>
      </c>
    </row>
    <row r="17" spans="1:3" x14ac:dyDescent="0.25">
      <c r="A17" t="s">
        <v>19</v>
      </c>
      <c r="B17" t="s">
        <v>174</v>
      </c>
      <c r="C17" t="s">
        <v>156</v>
      </c>
    </row>
    <row r="18" spans="1:3" x14ac:dyDescent="0.25">
      <c r="A18" t="s">
        <v>22</v>
      </c>
      <c r="B18" t="s">
        <v>175</v>
      </c>
      <c r="C18" t="s">
        <v>161</v>
      </c>
    </row>
    <row r="19" spans="1:3" x14ac:dyDescent="0.25">
      <c r="A19" t="s">
        <v>21</v>
      </c>
      <c r="B19" t="s">
        <v>176</v>
      </c>
      <c r="C19" t="s">
        <v>161</v>
      </c>
    </row>
    <row r="20" spans="1:3" x14ac:dyDescent="0.25">
      <c r="A20" t="s">
        <v>223</v>
      </c>
      <c r="B20" t="s">
        <v>177</v>
      </c>
      <c r="C20" t="s">
        <v>161</v>
      </c>
    </row>
    <row r="21" spans="1:3" x14ac:dyDescent="0.25">
      <c r="A21" t="s">
        <v>23</v>
      </c>
      <c r="B21" t="s">
        <v>178</v>
      </c>
      <c r="C21" t="s">
        <v>161</v>
      </c>
    </row>
    <row r="22" spans="1:3" x14ac:dyDescent="0.25">
      <c r="A22" t="s">
        <v>224</v>
      </c>
      <c r="B22" t="s">
        <v>179</v>
      </c>
      <c r="C22" t="s">
        <v>161</v>
      </c>
    </row>
    <row r="23" spans="1:3" x14ac:dyDescent="0.25">
      <c r="A23" t="s">
        <v>26</v>
      </c>
      <c r="B23" t="s">
        <v>180</v>
      </c>
      <c r="C23" t="s">
        <v>156</v>
      </c>
    </row>
    <row r="24" spans="1:3" x14ac:dyDescent="0.25">
      <c r="A24" t="s">
        <v>225</v>
      </c>
      <c r="B24" t="s">
        <v>181</v>
      </c>
      <c r="C24" t="s">
        <v>156</v>
      </c>
    </row>
    <row r="25" spans="1:3" x14ac:dyDescent="0.25">
      <c r="A25" t="s">
        <v>226</v>
      </c>
      <c r="B25" t="s">
        <v>182</v>
      </c>
      <c r="C25" t="s">
        <v>156</v>
      </c>
    </row>
    <row r="26" spans="1:3" x14ac:dyDescent="0.25">
      <c r="A26" t="s">
        <v>34</v>
      </c>
      <c r="B26" t="s">
        <v>183</v>
      </c>
      <c r="C26" t="s">
        <v>159</v>
      </c>
    </row>
    <row r="27" spans="1:3" x14ac:dyDescent="0.25">
      <c r="A27" t="s">
        <v>35</v>
      </c>
      <c r="B27" t="s">
        <v>184</v>
      </c>
      <c r="C27" t="s">
        <v>156</v>
      </c>
    </row>
    <row r="28" spans="1:3" x14ac:dyDescent="0.25">
      <c r="A28" t="s">
        <v>28</v>
      </c>
      <c r="B28" t="s">
        <v>185</v>
      </c>
      <c r="C28" t="s">
        <v>156</v>
      </c>
    </row>
    <row r="29" spans="1:3" x14ac:dyDescent="0.25">
      <c r="A29" t="s">
        <v>30</v>
      </c>
      <c r="B29" t="s">
        <v>186</v>
      </c>
      <c r="C29" t="s">
        <v>159</v>
      </c>
    </row>
    <row r="30" spans="1:3" x14ac:dyDescent="0.25">
      <c r="A30" t="s">
        <v>227</v>
      </c>
      <c r="B30" t="s">
        <v>187</v>
      </c>
      <c r="C30" t="s">
        <v>161</v>
      </c>
    </row>
    <row r="31" spans="1:3" x14ac:dyDescent="0.25">
      <c r="A31" t="s">
        <v>32</v>
      </c>
      <c r="B31" t="s">
        <v>188</v>
      </c>
      <c r="C31" t="s">
        <v>161</v>
      </c>
    </row>
    <row r="32" spans="1:3" x14ac:dyDescent="0.25">
      <c r="A32" t="s">
        <v>228</v>
      </c>
      <c r="B32" t="s">
        <v>189</v>
      </c>
      <c r="C32" t="s">
        <v>159</v>
      </c>
    </row>
    <row r="33" spans="1:3" x14ac:dyDescent="0.25">
      <c r="A33" t="s">
        <v>229</v>
      </c>
      <c r="B33" t="s">
        <v>190</v>
      </c>
      <c r="C33" t="s">
        <v>161</v>
      </c>
    </row>
    <row r="34" spans="1:3" x14ac:dyDescent="0.25">
      <c r="A34" t="s">
        <v>36</v>
      </c>
      <c r="B34" t="s">
        <v>191</v>
      </c>
      <c r="C34" t="s">
        <v>156</v>
      </c>
    </row>
    <row r="35" spans="1:3" x14ac:dyDescent="0.25">
      <c r="A35" t="s">
        <v>230</v>
      </c>
      <c r="B35" t="s">
        <v>192</v>
      </c>
      <c r="C35" t="s">
        <v>156</v>
      </c>
    </row>
    <row r="36" spans="1:3" x14ac:dyDescent="0.25">
      <c r="A36" t="s">
        <v>231</v>
      </c>
      <c r="B36" t="s">
        <v>193</v>
      </c>
      <c r="C36" t="s">
        <v>161</v>
      </c>
    </row>
    <row r="37" spans="1:3" x14ac:dyDescent="0.25">
      <c r="A37" t="s">
        <v>39</v>
      </c>
      <c r="B37" t="s">
        <v>194</v>
      </c>
      <c r="C37" t="s">
        <v>159</v>
      </c>
    </row>
    <row r="38" spans="1:3" x14ac:dyDescent="0.25">
      <c r="A38" t="s">
        <v>232</v>
      </c>
      <c r="B38" t="s">
        <v>195</v>
      </c>
      <c r="C38" t="s">
        <v>161</v>
      </c>
    </row>
    <row r="39" spans="1:3" x14ac:dyDescent="0.25">
      <c r="A39" t="s">
        <v>41</v>
      </c>
      <c r="B39" t="s">
        <v>196</v>
      </c>
      <c r="C39" t="s">
        <v>156</v>
      </c>
    </row>
    <row r="40" spans="1:3" x14ac:dyDescent="0.25">
      <c r="A40" t="s">
        <v>233</v>
      </c>
      <c r="B40" t="s">
        <v>197</v>
      </c>
      <c r="C40" t="s">
        <v>156</v>
      </c>
    </row>
    <row r="41" spans="1:3" x14ac:dyDescent="0.25">
      <c r="A41" t="s">
        <v>234</v>
      </c>
      <c r="B41" t="s">
        <v>198</v>
      </c>
      <c r="C41" t="s">
        <v>156</v>
      </c>
    </row>
    <row r="42" spans="1:3" x14ac:dyDescent="0.25">
      <c r="A42" t="s">
        <v>235</v>
      </c>
      <c r="B42" t="s">
        <v>199</v>
      </c>
      <c r="C42" t="s">
        <v>167</v>
      </c>
    </row>
    <row r="43" spans="1:3" x14ac:dyDescent="0.25">
      <c r="A43" t="s">
        <v>45</v>
      </c>
      <c r="B43" t="s">
        <v>200</v>
      </c>
      <c r="C43" t="s">
        <v>156</v>
      </c>
    </row>
    <row r="44" spans="1:3" x14ac:dyDescent="0.25">
      <c r="A44" t="s">
        <v>47</v>
      </c>
      <c r="B44" t="s">
        <v>201</v>
      </c>
      <c r="C44" t="s">
        <v>159</v>
      </c>
    </row>
    <row r="45" spans="1:3" x14ac:dyDescent="0.25">
      <c r="A45" t="s">
        <v>46</v>
      </c>
      <c r="B45" t="s">
        <v>202</v>
      </c>
      <c r="C45" t="s">
        <v>161</v>
      </c>
    </row>
    <row r="46" spans="1:3" x14ac:dyDescent="0.25">
      <c r="A46" t="s">
        <v>236</v>
      </c>
      <c r="B46" t="s">
        <v>203</v>
      </c>
      <c r="C46" t="s">
        <v>161</v>
      </c>
    </row>
    <row r="47" spans="1:3" x14ac:dyDescent="0.25">
      <c r="A47" t="s">
        <v>237</v>
      </c>
      <c r="B47" t="s">
        <v>204</v>
      </c>
      <c r="C47" t="s">
        <v>159</v>
      </c>
    </row>
    <row r="48" spans="1:3" x14ac:dyDescent="0.25">
      <c r="A48" t="s">
        <v>49</v>
      </c>
      <c r="B48" t="s">
        <v>205</v>
      </c>
      <c r="C48" t="s">
        <v>156</v>
      </c>
    </row>
    <row r="49" spans="1:3" x14ac:dyDescent="0.25">
      <c r="A49" t="s">
        <v>238</v>
      </c>
      <c r="B49" t="s">
        <v>206</v>
      </c>
      <c r="C49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zoomScale="85" zoomScaleNormal="85" workbookViewId="0">
      <selection activeCell="K2" sqref="K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IF(AND(INDEX('CA Standards and Followers'!$E$7:$E$66,MATCH($A2,'CA Standards and Followers'!$A$7:$A$66,0))=1,INDEX('CA Standards and Followers'!$H$7:$H$66,MATCH($A2,'CA Standards and Followers'!$A$7:$A$66,0))&lt;=B$1),INDEX('CA Standards and Followers'!#REF!,MATCH(B$1,'CA Standards and Followers'!$1:$1,0)),IF(AND(INDEX('CA Standards and Followers'!$D$7:$D$66,MATCH($A2,'CA Standards and Followers'!$A$7:$A$66,0))=1,INDEX('CA Standards and Followers'!$G$7:$G$66,MATCH($A2,'CA Standards and Followers'!$A$7:$A$66,0))&lt;=B$1),INDEX('CA Standards and Followers'!$2:$2,MATCH(B$1,'CA Standards and Followers'!$1:$1,0)),0))</f>
        <v>0</v>
      </c>
      <c r="C2">
        <f>IF(AND(INDEX('CA Standards and Followers'!$E$7:$E$66,MATCH($A2,'CA Standards and Followers'!$A$7:$A$66,0))=1,INDEX('CA Standards and Followers'!$H$7:$H$66,MATCH($A2,'CA Standards and Followers'!$A$7:$A$66,0))&lt;=C$1),INDEX('CA Standards and Followers'!#REF!,MATCH(C$1,'CA Standards and Followers'!$1:$1,0)),IF(AND(INDEX('CA Standards and Followers'!$D$7:$D$66,MATCH($A2,'CA Standards and Followers'!$A$7:$A$66,0))=1,INDEX('CA Standards and Followers'!$G$7:$G$66,MATCH($A2,'CA Standards and Followers'!$A$7:$A$66,0))&lt;=C$1),INDEX('CA Standards and Followers'!$2:$2,MATCH(C$1,'CA Standards and Followers'!$1:$1,0)),0))</f>
        <v>0</v>
      </c>
      <c r="D2">
        <f>IF(AND(INDEX('CA Standards and Followers'!$E$7:$E$66,MATCH($A2,'CA Standards and Followers'!$A$7:$A$66,0))=1,INDEX('CA Standards and Followers'!$H$7:$H$66,MATCH($A2,'CA Standards and Followers'!$A$7:$A$66,0))&lt;=D$1),INDEX('CA Standards and Followers'!#REF!,MATCH(D$1,'CA Standards and Followers'!$1:$1,0)),IF(AND(INDEX('CA Standards and Followers'!$D$7:$D$66,MATCH($A2,'CA Standards and Followers'!$A$7:$A$66,0))=1,INDEX('CA Standards and Followers'!$G$7:$G$66,MATCH($A2,'CA Standards and Followers'!$A$7:$A$66,0))&lt;=D$1),INDEX('CA Standards and Followers'!$2:$2,MATCH(D$1,'CA Standards and Followers'!$1:$1,0)),0))</f>
        <v>0</v>
      </c>
      <c r="E2">
        <f>IF(AND(INDEX('CA Standards and Followers'!$E$7:$E$66,MATCH($A2,'CA Standards and Followers'!$A$7:$A$66,0))=1,INDEX('CA Standards and Followers'!$H$7:$H$66,MATCH($A2,'CA Standards and Followers'!$A$7:$A$66,0))&lt;=E$1),INDEX('CA Standards and Followers'!#REF!,MATCH(E$1,'CA Standards and Followers'!$1:$1,0)),IF(AND(INDEX('CA Standards and Followers'!$D$7:$D$66,MATCH($A2,'CA Standards and Followers'!$A$7:$A$66,0))=1,INDEX('CA Standards and Followers'!$G$7:$G$66,MATCH($A2,'CA Standards and Followers'!$A$7:$A$66,0))&lt;=E$1),INDEX('CA Standards and Followers'!$2:$2,MATCH(E$1,'CA Standards and Followers'!$1:$1,0)),0))</f>
        <v>0</v>
      </c>
      <c r="F2">
        <f>IF(AND(INDEX('CA Standards and Followers'!$E$7:$E$66,MATCH($A2,'CA Standards and Followers'!$A$7:$A$66,0))=1,INDEX('CA Standards and Followers'!$H$7:$H$66,MATCH($A2,'CA Standards and Followers'!$A$7:$A$66,0))&lt;=F$1),INDEX('CA Standards and Followers'!#REF!,MATCH(F$1,'CA Standards and Followers'!$1:$1,0)),IF(AND(INDEX('CA Standards and Followers'!$D$7:$D$66,MATCH($A2,'CA Standards and Followers'!$A$7:$A$66,0))=1,INDEX('CA Standards and Followers'!$G$7:$G$66,MATCH($A2,'CA Standards and Followers'!$A$7:$A$66,0))&lt;=F$1),INDEX('CA Standards and Followers'!$2:$2,MATCH(F$1,'CA Standards and Followers'!$1:$1,0)),0))</f>
        <v>0</v>
      </c>
      <c r="G2">
        <f>IF(AND(INDEX('CA Standards and Followers'!$E$7:$E$66,MATCH($A2,'CA Standards and Followers'!$A$7:$A$66,0))=1,INDEX('CA Standards and Followers'!$H$7:$H$66,MATCH($A2,'CA Standards and Followers'!$A$7:$A$66,0))&lt;=G$1),INDEX('CA Standards and Followers'!#REF!,MATCH(G$1,'CA Standards and Followers'!$1:$1,0)),IF(AND(INDEX('CA Standards and Followers'!$D$7:$D$66,MATCH($A2,'CA Standards and Followers'!$A$7:$A$66,0))=1,INDEX('CA Standards and Followers'!$G$7:$G$66,MATCH($A2,'CA Standards and Followers'!$A$7:$A$66,0))&lt;=G$1),INDEX('CA Standards and Followers'!$2:$2,MATCH(G$1,'CA Standards and Followers'!$1:$1,0)),0))</f>
        <v>0</v>
      </c>
      <c r="H2">
        <f>IF(AND(INDEX('CA Standards and Followers'!$E$7:$E$66,MATCH($A2,'CA Standards and Followers'!$A$7:$A$66,0))=1,INDEX('CA Standards and Followers'!$H$7:$H$66,MATCH($A2,'CA Standards and Followers'!$A$7:$A$66,0))&lt;=H$1),INDEX('CA Standards and Followers'!#REF!,MATCH(H$1,'CA Standards and Followers'!$1:$1,0)),IF(AND(INDEX('CA Standards and Followers'!$D$7:$D$66,MATCH($A2,'CA Standards and Followers'!$A$7:$A$66,0))=1,INDEX('CA Standards and Followers'!$G$7:$G$66,MATCH($A2,'CA Standards and Followers'!$A$7:$A$66,0))&lt;=H$1),INDEX('CA Standards and Followers'!$2:$2,MATCH(H$1,'CA Standards and Followers'!$1:$1,0)),0))</f>
        <v>0</v>
      </c>
      <c r="I2">
        <f>IF(AND(INDEX('CA Standards and Followers'!$E$7:$E$66,MATCH($A2,'CA Standards and Followers'!$A$7:$A$66,0))=1,INDEX('CA Standards and Followers'!$H$7:$H$66,MATCH($A2,'CA Standards and Followers'!$A$7:$A$66,0))&lt;=I$1),INDEX('CA Standards and Followers'!#REF!,MATCH(I$1,'CA Standards and Followers'!$1:$1,0)),IF(AND(INDEX('CA Standards and Followers'!$D$7:$D$66,MATCH($A2,'CA Standards and Followers'!$A$7:$A$66,0))=1,INDEX('CA Standards and Followers'!$G$7:$G$66,MATCH($A2,'CA Standards and Followers'!$A$7:$A$66,0))&lt;=I$1),INDEX('CA Standards and Followers'!$2:$2,MATCH(I$1,'CA Standards and Followers'!$1:$1,0)),0))</f>
        <v>0</v>
      </c>
      <c r="J2">
        <f>IF(AND(INDEX('CA Standards and Followers'!$E$7:$E$66,MATCH($A2,'CA Standards and Followers'!$A$7:$A$66,0))=1,INDEX('CA Standards and Followers'!$H$7:$H$66,MATCH($A2,'CA Standards and Followers'!$A$7:$A$66,0))&lt;=J$1),INDEX('CA Standards and Followers'!#REF!,MATCH(J$1,'CA Standards and Followers'!$1:$1,0)),IF(AND(INDEX('CA Standards and Followers'!$D$7:$D$66,MATCH($A2,'CA Standards and Followers'!$A$7:$A$66,0))=1,INDEX('CA Standards and Followers'!$G$7:$G$66,MATCH($A2,'CA Standards and Followers'!$A$7:$A$66,0))&lt;=J$1),INDEX('CA Standards and Followers'!$2:$2,MATCH(J$1,'CA Standards and Followers'!$1:$1,0)),0))</f>
        <v>0</v>
      </c>
      <c r="K2" s="39">
        <f>MAX(IFERROR(IF(INDEX('State Map'!$C:$C,MATCH(TRIM('RZSPbS-psgr-ldv'!$A2),'State Map'!$A:$A,0))="Max Ambition",Schedules!G$4,J2),J2),J2)</f>
        <v>0</v>
      </c>
      <c r="L2" s="39">
        <f>MAX(IFERROR(IF(INDEX('State Map'!$C:$C,MATCH(TRIM('RZSPbS-psgr-ldv'!$A2),'State Map'!$A:$A,0))="Max Ambition",Schedules!H$4,K2),K2),K2)</f>
        <v>0</v>
      </c>
      <c r="M2" s="39">
        <f>MAX(IFERROR(IF(INDEX('State Map'!$C:$C,MATCH(TRIM('RZSPbS-psgr-ldv'!$A2),'State Map'!$A:$A,0))="Max Ambition",Schedules!I$4,L2),L2),L2)</f>
        <v>0</v>
      </c>
      <c r="N2" s="39">
        <f>MAX(IFERROR(IF(INDEX('State Map'!$C:$C,MATCH(TRIM('RZSPbS-psgr-ldv'!$A2),'State Map'!$A:$A,0))="Max Ambition",Schedules!J$4,M2),M2),M2)</f>
        <v>0</v>
      </c>
      <c r="O2" s="39">
        <f>MAX(IFERROR(IF(INDEX('State Map'!$C:$C,MATCH(TRIM('RZSPbS-psgr-ldv'!$A2),'State Map'!$A:$A,0))="Max Ambition",Schedules!K$4,N2),N2),N2)</f>
        <v>0</v>
      </c>
      <c r="P2" s="39">
        <f>MAX(IFERROR(IF(INDEX('State Map'!$C:$C,MATCH(TRIM('RZSPbS-psgr-ldv'!$A2),'State Map'!$A:$A,0))="Max Ambition",Schedules!L$4,O2),O2),O2)</f>
        <v>0</v>
      </c>
      <c r="Q2" s="39">
        <f>MAX(IFERROR(IF(INDEX('State Map'!$C:$C,MATCH(TRIM('RZSPbS-psgr-ldv'!$A2),'State Map'!$A:$A,0))="Max Ambition",Schedules!M$4,P2),P2),P2)</f>
        <v>0</v>
      </c>
      <c r="R2" s="39">
        <f>MAX(IFERROR(IF(INDEX('State Map'!$C:$C,MATCH(TRIM('RZSPbS-psgr-ldv'!$A2),'State Map'!$A:$A,0))="Max Ambition",Schedules!N$4,Q2),Q2),Q2)</f>
        <v>0</v>
      </c>
      <c r="S2" s="39">
        <f>MAX(IFERROR(IF(INDEX('State Map'!$C:$C,MATCH(TRIM('RZSPbS-psgr-ldv'!$A2),'State Map'!$A:$A,0))="Max Ambition",Schedules!O$4,R2),R2),R2)</f>
        <v>0</v>
      </c>
      <c r="T2" s="39">
        <f>MAX(IFERROR(IF(INDEX('State Map'!$C:$C,MATCH(TRIM('RZSPbS-psgr-ldv'!$A2),'State Map'!$A:$A,0))="Max Ambition",Schedules!P$4,S2),S2),S2)</f>
        <v>0</v>
      </c>
      <c r="U2" s="39">
        <f>MAX(IFERROR(IF(INDEX('State Map'!$C:$C,MATCH(TRIM('RZSPbS-psgr-ldv'!$A2),'State Map'!$A:$A,0))="Max Ambition",Schedules!Q$4,T2),T2),T2)</f>
        <v>0</v>
      </c>
      <c r="V2" s="39">
        <f>MAX(IFERROR(IF(INDEX('State Map'!$C:$C,MATCH(TRIM('RZSPbS-psgr-ldv'!$A2),'State Map'!$A:$A,0))="Max Ambition",Schedules!R$4,U2),U2),U2)</f>
        <v>0</v>
      </c>
      <c r="W2" s="39">
        <f>MAX(IFERROR(IF(INDEX('State Map'!$C:$C,MATCH(TRIM('RZSPbS-psgr-ldv'!$A2),'State Map'!$A:$A,0))="Max Ambition",Schedules!S$4,V2),V2),V2)</f>
        <v>0</v>
      </c>
      <c r="X2" s="39">
        <f>MAX(IFERROR(IF(INDEX('State Map'!$C:$C,MATCH(TRIM('RZSPbS-psgr-ldv'!$A2),'State Map'!$A:$A,0))="Max Ambition",Schedules!T$4,W2),W2),W2)</f>
        <v>0</v>
      </c>
      <c r="Y2" s="39">
        <f>MAX(IFERROR(IF(INDEX('State Map'!$C:$C,MATCH(TRIM('RZSPbS-psgr-ldv'!$A2),'State Map'!$A:$A,0))="Max Ambition",Schedules!U$4,X2),X2),X2)</f>
        <v>0</v>
      </c>
      <c r="Z2" s="39">
        <f>MAX(IFERROR(IF(INDEX('State Map'!$C:$C,MATCH(TRIM('RZSPbS-psgr-ldv'!$A2),'State Map'!$A:$A,0))="Max Ambition",Schedules!V$4,Y2),Y2),Y2)</f>
        <v>0</v>
      </c>
      <c r="AA2" s="39">
        <f>MAX(IFERROR(IF(INDEX('State Map'!$C:$C,MATCH(TRIM('RZSPbS-psgr-ldv'!$A2),'State Map'!$A:$A,0))="Max Ambition",Schedules!W$4,Z2),Z2),Z2)</f>
        <v>0</v>
      </c>
      <c r="AB2" s="39">
        <f>MAX(IFERROR(IF(INDEX('State Map'!$C:$C,MATCH(TRIM('RZSPbS-psgr-ldv'!$A2),'State Map'!$A:$A,0))="Max Ambition",Schedules!X$4,AA2),AA2),AA2)</f>
        <v>0</v>
      </c>
      <c r="AC2" s="39">
        <f>MAX(IFERROR(IF(INDEX('State Map'!$C:$C,MATCH(TRIM('RZSPbS-psgr-ldv'!$A2),'State Map'!$A:$A,0))="Max Ambition",Schedules!Y$4,AB2),AB2),AB2)</f>
        <v>0</v>
      </c>
      <c r="AD2" s="39">
        <f>MAX(IFERROR(IF(INDEX('State Map'!$C:$C,MATCH(TRIM('RZSPbS-psgr-ldv'!$A2),'State Map'!$A:$A,0))="Max Ambition",Schedules!Z$4,AC2),AC2),AC2)</f>
        <v>0</v>
      </c>
      <c r="AE2" s="39">
        <f>MAX(IFERROR(IF(INDEX('State Map'!$C:$C,MATCH(TRIM('RZSPbS-psgr-ldv'!$A2),'State Map'!$A:$A,0))="Max Ambition",Schedules!AA$4,AD2),AD2),AD2)</f>
        <v>0</v>
      </c>
      <c r="AF2" s="39">
        <f>MAX(IFERROR(IF(INDEX('State Map'!$C:$C,MATCH(TRIM('RZSPbS-psgr-ldv'!$A2),'State Map'!$A:$A,0))="Max Ambition",Schedules!AB$4,AE2),AE2),AE2)</f>
        <v>0</v>
      </c>
    </row>
    <row r="3" spans="1:32" x14ac:dyDescent="0.25">
      <c r="A3" t="s">
        <v>2</v>
      </c>
      <c r="B3">
        <f>IF(AND(INDEX('CA Standards and Followers'!$E$7:$E$66,MATCH($A3,'CA Standards and Followers'!$A$7:$A$66,0))=1,INDEX('CA Standards and Followers'!$H$7:$H$66,MATCH($A3,'CA Standards and Followers'!$A$7:$A$66,0))&lt;=B$1),INDEX('CA Standards and Followers'!#REF!,MATCH(B$1,'CA Standards and Followers'!$1:$1,0)),IF(AND(INDEX('CA Standards and Followers'!$D$7:$D$66,MATCH($A3,'CA Standards and Followers'!$A$7:$A$66,0))=1,INDEX('CA Standards and Followers'!$G$7:$G$66,MATCH($A3,'CA Standards and Followers'!$A$7:$A$66,0))&lt;=B$1),INDEX('CA Standards and Followers'!$2:$2,MATCH(B$1,'CA Standards and Followers'!$1:$1,0)),0))</f>
        <v>0</v>
      </c>
      <c r="C3">
        <f>IF(AND(INDEX('CA Standards and Followers'!$E$7:$E$66,MATCH($A3,'CA Standards and Followers'!$A$7:$A$66,0))=1,INDEX('CA Standards and Followers'!$H$7:$H$66,MATCH($A3,'CA Standards and Followers'!$A$7:$A$66,0))&lt;=C$1),INDEX('CA Standards and Followers'!#REF!,MATCH(C$1,'CA Standards and Followers'!$1:$1,0)),IF(AND(INDEX('CA Standards and Followers'!$D$7:$D$66,MATCH($A3,'CA Standards and Followers'!$A$7:$A$66,0))=1,INDEX('CA Standards and Followers'!$G$7:$G$66,MATCH($A3,'CA Standards and Followers'!$A$7:$A$66,0))&lt;=C$1),INDEX('CA Standards and Followers'!$2:$2,MATCH(C$1,'CA Standards and Followers'!$1:$1,0)),0))</f>
        <v>0</v>
      </c>
      <c r="D3">
        <f>IF(AND(INDEX('CA Standards and Followers'!$E$7:$E$66,MATCH($A3,'CA Standards and Followers'!$A$7:$A$66,0))=1,INDEX('CA Standards and Followers'!$H$7:$H$66,MATCH($A3,'CA Standards and Followers'!$A$7:$A$66,0))&lt;=D$1),INDEX('CA Standards and Followers'!#REF!,MATCH(D$1,'CA Standards and Followers'!$1:$1,0)),IF(AND(INDEX('CA Standards and Followers'!$D$7:$D$66,MATCH($A3,'CA Standards and Followers'!$A$7:$A$66,0))=1,INDEX('CA Standards and Followers'!$G$7:$G$66,MATCH($A3,'CA Standards and Followers'!$A$7:$A$66,0))&lt;=D$1),INDEX('CA Standards and Followers'!$2:$2,MATCH(D$1,'CA Standards and Followers'!$1:$1,0)),0))</f>
        <v>0</v>
      </c>
      <c r="E3">
        <f>IF(AND(INDEX('CA Standards and Followers'!$E$7:$E$66,MATCH($A3,'CA Standards and Followers'!$A$7:$A$66,0))=1,INDEX('CA Standards and Followers'!$H$7:$H$66,MATCH($A3,'CA Standards and Followers'!$A$7:$A$66,0))&lt;=E$1),INDEX('CA Standards and Followers'!#REF!,MATCH(E$1,'CA Standards and Followers'!$1:$1,0)),IF(AND(INDEX('CA Standards and Followers'!$D$7:$D$66,MATCH($A3,'CA Standards and Followers'!$A$7:$A$66,0))=1,INDEX('CA Standards and Followers'!$G$7:$G$66,MATCH($A3,'CA Standards and Followers'!$A$7:$A$66,0))&lt;=E$1),INDEX('CA Standards and Followers'!$2:$2,MATCH(E$1,'CA Standards and Followers'!$1:$1,0)),0))</f>
        <v>0</v>
      </c>
      <c r="F3">
        <f>IF(AND(INDEX('CA Standards and Followers'!$E$7:$E$66,MATCH($A3,'CA Standards and Followers'!$A$7:$A$66,0))=1,INDEX('CA Standards and Followers'!$H$7:$H$66,MATCH($A3,'CA Standards and Followers'!$A$7:$A$66,0))&lt;=F$1),INDEX('CA Standards and Followers'!#REF!,MATCH(F$1,'CA Standards and Followers'!$1:$1,0)),IF(AND(INDEX('CA Standards and Followers'!$D$7:$D$66,MATCH($A3,'CA Standards and Followers'!$A$7:$A$66,0))=1,INDEX('CA Standards and Followers'!$G$7:$G$66,MATCH($A3,'CA Standards and Followers'!$A$7:$A$66,0))&lt;=F$1),INDEX('CA Standards and Followers'!$2:$2,MATCH(F$1,'CA Standards and Followers'!$1:$1,0)),0))</f>
        <v>0</v>
      </c>
      <c r="G3">
        <f>IF(AND(INDEX('CA Standards and Followers'!$E$7:$E$66,MATCH($A3,'CA Standards and Followers'!$A$7:$A$66,0))=1,INDEX('CA Standards and Followers'!$H$7:$H$66,MATCH($A3,'CA Standards and Followers'!$A$7:$A$66,0))&lt;=G$1),INDEX('CA Standards and Followers'!#REF!,MATCH(G$1,'CA Standards and Followers'!$1:$1,0)),IF(AND(INDEX('CA Standards and Followers'!$D$7:$D$66,MATCH($A3,'CA Standards and Followers'!$A$7:$A$66,0))=1,INDEX('CA Standards and Followers'!$G$7:$G$66,MATCH($A3,'CA Standards and Followers'!$A$7:$A$66,0))&lt;=G$1),INDEX('CA Standards and Followers'!$2:$2,MATCH(G$1,'CA Standards and Followers'!$1:$1,0)),0))</f>
        <v>0</v>
      </c>
      <c r="H3">
        <f>IF(AND(INDEX('CA Standards and Followers'!$E$7:$E$66,MATCH($A3,'CA Standards and Followers'!$A$7:$A$66,0))=1,INDEX('CA Standards and Followers'!$H$7:$H$66,MATCH($A3,'CA Standards and Followers'!$A$7:$A$66,0))&lt;=H$1),INDEX('CA Standards and Followers'!#REF!,MATCH(H$1,'CA Standards and Followers'!$1:$1,0)),IF(AND(INDEX('CA Standards and Followers'!$D$7:$D$66,MATCH($A3,'CA Standards and Followers'!$A$7:$A$66,0))=1,INDEX('CA Standards and Followers'!$G$7:$G$66,MATCH($A3,'CA Standards and Followers'!$A$7:$A$66,0))&lt;=H$1),INDEX('CA Standards and Followers'!$2:$2,MATCH(H$1,'CA Standards and Followers'!$1:$1,0)),0))</f>
        <v>0</v>
      </c>
      <c r="I3">
        <f>IF(AND(INDEX('CA Standards and Followers'!$E$7:$E$66,MATCH($A3,'CA Standards and Followers'!$A$7:$A$66,0))=1,INDEX('CA Standards and Followers'!$H$7:$H$66,MATCH($A3,'CA Standards and Followers'!$A$7:$A$66,0))&lt;=I$1),INDEX('CA Standards and Followers'!#REF!,MATCH(I$1,'CA Standards and Followers'!$1:$1,0)),IF(AND(INDEX('CA Standards and Followers'!$D$7:$D$66,MATCH($A3,'CA Standards and Followers'!$A$7:$A$66,0))=1,INDEX('CA Standards and Followers'!$G$7:$G$66,MATCH($A3,'CA Standards and Followers'!$A$7:$A$66,0))&lt;=I$1),INDEX('CA Standards and Followers'!$2:$2,MATCH(I$1,'CA Standards and Followers'!$1:$1,0)),0))</f>
        <v>0</v>
      </c>
      <c r="J3">
        <f>IF(AND(INDEX('CA Standards and Followers'!$E$7:$E$66,MATCH($A3,'CA Standards and Followers'!$A$7:$A$66,0))=1,INDEX('CA Standards and Followers'!$H$7:$H$66,MATCH($A3,'CA Standards and Followers'!$A$7:$A$66,0))&lt;=J$1),INDEX('CA Standards and Followers'!#REF!,MATCH(J$1,'CA Standards and Followers'!$1:$1,0)),IF(AND(INDEX('CA Standards and Followers'!$D$7:$D$66,MATCH($A3,'CA Standards and Followers'!$A$7:$A$66,0))=1,INDEX('CA Standards and Followers'!$G$7:$G$66,MATCH($A3,'CA Standards and Followers'!$A$7:$A$66,0))&lt;=J$1),INDEX('CA Standards and Followers'!$2:$2,MATCH(J$1,'CA Standards and Followers'!$1:$1,0)),0))</f>
        <v>0</v>
      </c>
      <c r="K3" s="39">
        <f>MAX(IFERROR(IF(INDEX('State Map'!$C:$C,MATCH(TRIM('RZSPbS-psgr-ldv'!$A3),'State Map'!$A:$A,0))="Max Ambition",Schedules!G$4,J3),J3),J3)</f>
        <v>0</v>
      </c>
      <c r="L3" s="39">
        <f>MAX(IFERROR(IF(INDEX('State Map'!$C:$C,MATCH(TRIM('RZSPbS-psgr-ldv'!$A3),'State Map'!$A:$A,0))="Max Ambition",Schedules!H$4,K3),K3),K3)</f>
        <v>0</v>
      </c>
      <c r="M3" s="39">
        <f>MAX(IFERROR(IF(INDEX('State Map'!$C:$C,MATCH(TRIM('RZSPbS-psgr-ldv'!$A3),'State Map'!$A:$A,0))="Max Ambition",Schedules!I$4,L3),L3),L3)</f>
        <v>0</v>
      </c>
      <c r="N3" s="39">
        <f>MAX(IFERROR(IF(INDEX('State Map'!$C:$C,MATCH(TRIM('RZSPbS-psgr-ldv'!$A3),'State Map'!$A:$A,0))="Max Ambition",Schedules!J$4,M3),M3),M3)</f>
        <v>0</v>
      </c>
      <c r="O3" s="39">
        <f>MAX(IFERROR(IF(INDEX('State Map'!$C:$C,MATCH(TRIM('RZSPbS-psgr-ldv'!$A3),'State Map'!$A:$A,0))="Max Ambition",Schedules!K$4,N3),N3),N3)</f>
        <v>0</v>
      </c>
      <c r="P3" s="39">
        <f>MAX(IFERROR(IF(INDEX('State Map'!$C:$C,MATCH(TRIM('RZSPbS-psgr-ldv'!$A3),'State Map'!$A:$A,0))="Max Ambition",Schedules!L$4,O3),O3),O3)</f>
        <v>0</v>
      </c>
      <c r="Q3" s="39">
        <f>MAX(IFERROR(IF(INDEX('State Map'!$C:$C,MATCH(TRIM('RZSPbS-psgr-ldv'!$A3),'State Map'!$A:$A,0))="Max Ambition",Schedules!M$4,P3),P3),P3)</f>
        <v>0</v>
      </c>
      <c r="R3" s="39">
        <f>MAX(IFERROR(IF(INDEX('State Map'!$C:$C,MATCH(TRIM('RZSPbS-psgr-ldv'!$A3),'State Map'!$A:$A,0))="Max Ambition",Schedules!N$4,Q3),Q3),Q3)</f>
        <v>0</v>
      </c>
      <c r="S3" s="39">
        <f>MAX(IFERROR(IF(INDEX('State Map'!$C:$C,MATCH(TRIM('RZSPbS-psgr-ldv'!$A3),'State Map'!$A:$A,0))="Max Ambition",Schedules!O$4,R3),R3),R3)</f>
        <v>0</v>
      </c>
      <c r="T3" s="39">
        <f>MAX(IFERROR(IF(INDEX('State Map'!$C:$C,MATCH(TRIM('RZSPbS-psgr-ldv'!$A3),'State Map'!$A:$A,0))="Max Ambition",Schedules!P$4,S3),S3),S3)</f>
        <v>0</v>
      </c>
      <c r="U3" s="39">
        <f>MAX(IFERROR(IF(INDEX('State Map'!$C:$C,MATCH(TRIM('RZSPbS-psgr-ldv'!$A3),'State Map'!$A:$A,0))="Max Ambition",Schedules!Q$4,T3),T3),T3)</f>
        <v>0</v>
      </c>
      <c r="V3" s="39">
        <f>MAX(IFERROR(IF(INDEX('State Map'!$C:$C,MATCH(TRIM('RZSPbS-psgr-ldv'!$A3),'State Map'!$A:$A,0))="Max Ambition",Schedules!R$4,U3),U3),U3)</f>
        <v>0</v>
      </c>
      <c r="W3" s="39">
        <f>MAX(IFERROR(IF(INDEX('State Map'!$C:$C,MATCH(TRIM('RZSPbS-psgr-ldv'!$A3),'State Map'!$A:$A,0))="Max Ambition",Schedules!S$4,V3),V3),V3)</f>
        <v>0</v>
      </c>
      <c r="X3" s="39">
        <f>MAX(IFERROR(IF(INDEX('State Map'!$C:$C,MATCH(TRIM('RZSPbS-psgr-ldv'!$A3),'State Map'!$A:$A,0))="Max Ambition",Schedules!T$4,W3),W3),W3)</f>
        <v>0</v>
      </c>
      <c r="Y3" s="39">
        <f>MAX(IFERROR(IF(INDEX('State Map'!$C:$C,MATCH(TRIM('RZSPbS-psgr-ldv'!$A3),'State Map'!$A:$A,0))="Max Ambition",Schedules!U$4,X3),X3),X3)</f>
        <v>0</v>
      </c>
      <c r="Z3" s="39">
        <f>MAX(IFERROR(IF(INDEX('State Map'!$C:$C,MATCH(TRIM('RZSPbS-psgr-ldv'!$A3),'State Map'!$A:$A,0))="Max Ambition",Schedules!V$4,Y3),Y3),Y3)</f>
        <v>0</v>
      </c>
      <c r="AA3" s="39">
        <f>MAX(IFERROR(IF(INDEX('State Map'!$C:$C,MATCH(TRIM('RZSPbS-psgr-ldv'!$A3),'State Map'!$A:$A,0))="Max Ambition",Schedules!W$4,Z3),Z3),Z3)</f>
        <v>0</v>
      </c>
      <c r="AB3" s="39">
        <f>MAX(IFERROR(IF(INDEX('State Map'!$C:$C,MATCH(TRIM('RZSPbS-psgr-ldv'!$A3),'State Map'!$A:$A,0))="Max Ambition",Schedules!X$4,AA3),AA3),AA3)</f>
        <v>0</v>
      </c>
      <c r="AC3" s="39">
        <f>MAX(IFERROR(IF(INDEX('State Map'!$C:$C,MATCH(TRIM('RZSPbS-psgr-ldv'!$A3),'State Map'!$A:$A,0))="Max Ambition",Schedules!Y$4,AB3),AB3),AB3)</f>
        <v>0</v>
      </c>
      <c r="AD3" s="39">
        <f>MAX(IFERROR(IF(INDEX('State Map'!$C:$C,MATCH(TRIM('RZSPbS-psgr-ldv'!$A3),'State Map'!$A:$A,0))="Max Ambition",Schedules!Z$4,AC3),AC3),AC3)</f>
        <v>0</v>
      </c>
      <c r="AE3" s="39">
        <f>MAX(IFERROR(IF(INDEX('State Map'!$C:$C,MATCH(TRIM('RZSPbS-psgr-ldv'!$A3),'State Map'!$A:$A,0))="Max Ambition",Schedules!AA$4,AD3),AD3),AD3)</f>
        <v>0</v>
      </c>
      <c r="AF3" s="39">
        <f>MAX(IFERROR(IF(INDEX('State Map'!$C:$C,MATCH(TRIM('RZSPbS-psgr-ldv'!$A3),'State Map'!$A:$A,0))="Max Ambition",Schedules!AB$4,AE3),AE3),AE3)</f>
        <v>0</v>
      </c>
    </row>
    <row r="4" spans="1:32" x14ac:dyDescent="0.25">
      <c r="A4" t="s">
        <v>3</v>
      </c>
      <c r="B4">
        <f>IF(AND(INDEX('CA Standards and Followers'!$E$7:$E$66,MATCH($A4,'CA Standards and Followers'!$A$7:$A$66,0))=1,INDEX('CA Standards and Followers'!$H$7:$H$66,MATCH($A4,'CA Standards and Followers'!$A$7:$A$66,0))&lt;=B$1),INDEX('CA Standards and Followers'!#REF!,MATCH(B$1,'CA Standards and Followers'!$1:$1,0)),IF(AND(INDEX('CA Standards and Followers'!$D$7:$D$66,MATCH($A4,'CA Standards and Followers'!$A$7:$A$66,0))=1,INDEX('CA Standards and Followers'!$G$7:$G$66,MATCH($A4,'CA Standards and Followers'!$A$7:$A$66,0))&lt;=B$1),INDEX('CA Standards and Followers'!$2:$2,MATCH(B$1,'CA Standards and Followers'!$1:$1,0)),0))</f>
        <v>0</v>
      </c>
      <c r="C4">
        <f>IF(AND(INDEX('CA Standards and Followers'!$E$7:$E$66,MATCH($A4,'CA Standards and Followers'!$A$7:$A$66,0))=1,INDEX('CA Standards and Followers'!$H$7:$H$66,MATCH($A4,'CA Standards and Followers'!$A$7:$A$66,0))&lt;=C$1),INDEX('CA Standards and Followers'!#REF!,MATCH(C$1,'CA Standards and Followers'!$1:$1,0)),IF(AND(INDEX('CA Standards and Followers'!$D$7:$D$66,MATCH($A4,'CA Standards and Followers'!$A$7:$A$66,0))=1,INDEX('CA Standards and Followers'!$G$7:$G$66,MATCH($A4,'CA Standards and Followers'!$A$7:$A$66,0))&lt;=C$1),INDEX('CA Standards and Followers'!$2:$2,MATCH(C$1,'CA Standards and Followers'!$1:$1,0)),0))</f>
        <v>0</v>
      </c>
      <c r="D4">
        <f>IF(AND(INDEX('CA Standards and Followers'!$E$7:$E$66,MATCH($A4,'CA Standards and Followers'!$A$7:$A$66,0))=1,INDEX('CA Standards and Followers'!$H$7:$H$66,MATCH($A4,'CA Standards and Followers'!$A$7:$A$66,0))&lt;=D$1),INDEX('CA Standards and Followers'!#REF!,MATCH(D$1,'CA Standards and Followers'!$1:$1,0)),IF(AND(INDEX('CA Standards and Followers'!$D$7:$D$66,MATCH($A4,'CA Standards and Followers'!$A$7:$A$66,0))=1,INDEX('CA Standards and Followers'!$G$7:$G$66,MATCH($A4,'CA Standards and Followers'!$A$7:$A$66,0))&lt;=D$1),INDEX('CA Standards and Followers'!$2:$2,MATCH(D$1,'CA Standards and Followers'!$1:$1,0)),0))</f>
        <v>0</v>
      </c>
      <c r="E4">
        <f>IF(AND(INDEX('CA Standards and Followers'!$E$7:$E$66,MATCH($A4,'CA Standards and Followers'!$A$7:$A$66,0))=1,INDEX('CA Standards and Followers'!$H$7:$H$66,MATCH($A4,'CA Standards and Followers'!$A$7:$A$66,0))&lt;=E$1),INDEX('CA Standards and Followers'!#REF!,MATCH(E$1,'CA Standards and Followers'!$1:$1,0)),IF(AND(INDEX('CA Standards and Followers'!$D$7:$D$66,MATCH($A4,'CA Standards and Followers'!$A$7:$A$66,0))=1,INDEX('CA Standards and Followers'!$G$7:$G$66,MATCH($A4,'CA Standards and Followers'!$A$7:$A$66,0))&lt;=E$1),INDEX('CA Standards and Followers'!$2:$2,MATCH(E$1,'CA Standards and Followers'!$1:$1,0)),0))</f>
        <v>0</v>
      </c>
      <c r="F4">
        <f>IF(AND(INDEX('CA Standards and Followers'!$E$7:$E$66,MATCH($A4,'CA Standards and Followers'!$A$7:$A$66,0))=1,INDEX('CA Standards and Followers'!$H$7:$H$66,MATCH($A4,'CA Standards and Followers'!$A$7:$A$66,0))&lt;=F$1),INDEX('CA Standards and Followers'!#REF!,MATCH(F$1,'CA Standards and Followers'!$1:$1,0)),IF(AND(INDEX('CA Standards and Followers'!$D$7:$D$66,MATCH($A4,'CA Standards and Followers'!$A$7:$A$66,0))=1,INDEX('CA Standards and Followers'!$G$7:$G$66,MATCH($A4,'CA Standards and Followers'!$A$7:$A$66,0))&lt;=F$1),INDEX('CA Standards and Followers'!$2:$2,MATCH(F$1,'CA Standards and Followers'!$1:$1,0)),0))</f>
        <v>0</v>
      </c>
      <c r="G4">
        <f>IF(AND(INDEX('CA Standards and Followers'!$E$7:$E$66,MATCH($A4,'CA Standards and Followers'!$A$7:$A$66,0))=1,INDEX('CA Standards and Followers'!$H$7:$H$66,MATCH($A4,'CA Standards and Followers'!$A$7:$A$66,0))&lt;=G$1),INDEX('CA Standards and Followers'!#REF!,MATCH(G$1,'CA Standards and Followers'!$1:$1,0)),IF(AND(INDEX('CA Standards and Followers'!$D$7:$D$66,MATCH($A4,'CA Standards and Followers'!$A$7:$A$66,0))=1,INDEX('CA Standards and Followers'!$G$7:$G$66,MATCH($A4,'CA Standards and Followers'!$A$7:$A$66,0))&lt;=G$1),INDEX('CA Standards and Followers'!$2:$2,MATCH(G$1,'CA Standards and Followers'!$1:$1,0)),0))</f>
        <v>0</v>
      </c>
      <c r="H4">
        <f>IF(AND(INDEX('CA Standards and Followers'!$E$7:$E$66,MATCH($A4,'CA Standards and Followers'!$A$7:$A$66,0))=1,INDEX('CA Standards and Followers'!$H$7:$H$66,MATCH($A4,'CA Standards and Followers'!$A$7:$A$66,0))&lt;=H$1),INDEX('CA Standards and Followers'!#REF!,MATCH(H$1,'CA Standards and Followers'!$1:$1,0)),IF(AND(INDEX('CA Standards and Followers'!$D$7:$D$66,MATCH($A4,'CA Standards and Followers'!$A$7:$A$66,0))=1,INDEX('CA Standards and Followers'!$G$7:$G$66,MATCH($A4,'CA Standards and Followers'!$A$7:$A$66,0))&lt;=H$1),INDEX('CA Standards and Followers'!$2:$2,MATCH(H$1,'CA Standards and Followers'!$1:$1,0)),0))</f>
        <v>0</v>
      </c>
      <c r="I4">
        <f>IF(AND(INDEX('CA Standards and Followers'!$E$7:$E$66,MATCH($A4,'CA Standards and Followers'!$A$7:$A$66,0))=1,INDEX('CA Standards and Followers'!$H$7:$H$66,MATCH($A4,'CA Standards and Followers'!$A$7:$A$66,0))&lt;=I$1),INDEX('CA Standards and Followers'!#REF!,MATCH(I$1,'CA Standards and Followers'!$1:$1,0)),IF(AND(INDEX('CA Standards and Followers'!$D$7:$D$66,MATCH($A4,'CA Standards and Followers'!$A$7:$A$66,0))=1,INDEX('CA Standards and Followers'!$G$7:$G$66,MATCH($A4,'CA Standards and Followers'!$A$7:$A$66,0))&lt;=I$1),INDEX('CA Standards and Followers'!$2:$2,MATCH(I$1,'CA Standards and Followers'!$1:$1,0)),0))</f>
        <v>0</v>
      </c>
      <c r="J4">
        <f>IF(AND(INDEX('CA Standards and Followers'!$E$7:$E$66,MATCH($A4,'CA Standards and Followers'!$A$7:$A$66,0))=1,INDEX('CA Standards and Followers'!$H$7:$H$66,MATCH($A4,'CA Standards and Followers'!$A$7:$A$66,0))&lt;=J$1),INDEX('CA Standards and Followers'!#REF!,MATCH(J$1,'CA Standards and Followers'!$1:$1,0)),IF(AND(INDEX('CA Standards and Followers'!$D$7:$D$66,MATCH($A4,'CA Standards and Followers'!$A$7:$A$66,0))=1,INDEX('CA Standards and Followers'!$G$7:$G$66,MATCH($A4,'CA Standards and Followers'!$A$7:$A$66,0))&lt;=J$1),INDEX('CA Standards and Followers'!$2:$2,MATCH(J$1,'CA Standards and Followers'!$1:$1,0)),0))</f>
        <v>0</v>
      </c>
      <c r="K4" s="39">
        <f>MAX(IFERROR(IF(INDEX('State Map'!$C:$C,MATCH(TRIM('RZSPbS-psgr-ldv'!$A4),'State Map'!$A:$A,0))="Max Ambition",Schedules!G$4,J4),J4),J4)</f>
        <v>0</v>
      </c>
      <c r="L4" s="39">
        <f>MAX(IFERROR(IF(INDEX('State Map'!$C:$C,MATCH(TRIM('RZSPbS-psgr-ldv'!$A4),'State Map'!$A:$A,0))="Max Ambition",Schedules!H$4,K4),K4),K4)</f>
        <v>0</v>
      </c>
      <c r="M4" s="39">
        <f>MAX(IFERROR(IF(INDEX('State Map'!$C:$C,MATCH(TRIM('RZSPbS-psgr-ldv'!$A4),'State Map'!$A:$A,0))="Max Ambition",Schedules!I$4,L4),L4),L4)</f>
        <v>0</v>
      </c>
      <c r="N4" s="39">
        <f>MAX(IFERROR(IF(INDEX('State Map'!$C:$C,MATCH(TRIM('RZSPbS-psgr-ldv'!$A4),'State Map'!$A:$A,0))="Max Ambition",Schedules!J$4,M4),M4),M4)</f>
        <v>0</v>
      </c>
      <c r="O4" s="39">
        <f>MAX(IFERROR(IF(INDEX('State Map'!$C:$C,MATCH(TRIM('RZSPbS-psgr-ldv'!$A4),'State Map'!$A:$A,0))="Max Ambition",Schedules!K$4,N4),N4),N4)</f>
        <v>0</v>
      </c>
      <c r="P4" s="39">
        <f>MAX(IFERROR(IF(INDEX('State Map'!$C:$C,MATCH(TRIM('RZSPbS-psgr-ldv'!$A4),'State Map'!$A:$A,0))="Max Ambition",Schedules!L$4,O4),O4),O4)</f>
        <v>0</v>
      </c>
      <c r="Q4" s="39">
        <f>MAX(IFERROR(IF(INDEX('State Map'!$C:$C,MATCH(TRIM('RZSPbS-psgr-ldv'!$A4),'State Map'!$A:$A,0))="Max Ambition",Schedules!M$4,P4),P4),P4)</f>
        <v>0</v>
      </c>
      <c r="R4" s="39">
        <f>MAX(IFERROR(IF(INDEX('State Map'!$C:$C,MATCH(TRIM('RZSPbS-psgr-ldv'!$A4),'State Map'!$A:$A,0))="Max Ambition",Schedules!N$4,Q4),Q4),Q4)</f>
        <v>0</v>
      </c>
      <c r="S4" s="39">
        <f>MAX(IFERROR(IF(INDEX('State Map'!$C:$C,MATCH(TRIM('RZSPbS-psgr-ldv'!$A4),'State Map'!$A:$A,0))="Max Ambition",Schedules!O$4,R4),R4),R4)</f>
        <v>0</v>
      </c>
      <c r="T4" s="39">
        <f>MAX(IFERROR(IF(INDEX('State Map'!$C:$C,MATCH(TRIM('RZSPbS-psgr-ldv'!$A4),'State Map'!$A:$A,0))="Max Ambition",Schedules!P$4,S4),S4),S4)</f>
        <v>0</v>
      </c>
      <c r="U4" s="39">
        <f>MAX(IFERROR(IF(INDEX('State Map'!$C:$C,MATCH(TRIM('RZSPbS-psgr-ldv'!$A4),'State Map'!$A:$A,0))="Max Ambition",Schedules!Q$4,T4),T4),T4)</f>
        <v>0</v>
      </c>
      <c r="V4" s="39">
        <f>MAX(IFERROR(IF(INDEX('State Map'!$C:$C,MATCH(TRIM('RZSPbS-psgr-ldv'!$A4),'State Map'!$A:$A,0))="Max Ambition",Schedules!R$4,U4),U4),U4)</f>
        <v>0</v>
      </c>
      <c r="W4" s="39">
        <f>MAX(IFERROR(IF(INDEX('State Map'!$C:$C,MATCH(TRIM('RZSPbS-psgr-ldv'!$A4),'State Map'!$A:$A,0))="Max Ambition",Schedules!S$4,V4),V4),V4)</f>
        <v>0</v>
      </c>
      <c r="X4" s="39">
        <f>MAX(IFERROR(IF(INDEX('State Map'!$C:$C,MATCH(TRIM('RZSPbS-psgr-ldv'!$A4),'State Map'!$A:$A,0))="Max Ambition",Schedules!T$4,W4),W4),W4)</f>
        <v>0</v>
      </c>
      <c r="Y4" s="39">
        <f>MAX(IFERROR(IF(INDEX('State Map'!$C:$C,MATCH(TRIM('RZSPbS-psgr-ldv'!$A4),'State Map'!$A:$A,0))="Max Ambition",Schedules!U$4,X4),X4),X4)</f>
        <v>0</v>
      </c>
      <c r="Z4" s="39">
        <f>MAX(IFERROR(IF(INDEX('State Map'!$C:$C,MATCH(TRIM('RZSPbS-psgr-ldv'!$A4),'State Map'!$A:$A,0))="Max Ambition",Schedules!V$4,Y4),Y4),Y4)</f>
        <v>0</v>
      </c>
      <c r="AA4" s="39">
        <f>MAX(IFERROR(IF(INDEX('State Map'!$C:$C,MATCH(TRIM('RZSPbS-psgr-ldv'!$A4),'State Map'!$A:$A,0))="Max Ambition",Schedules!W$4,Z4),Z4),Z4)</f>
        <v>0</v>
      </c>
      <c r="AB4" s="39">
        <f>MAX(IFERROR(IF(INDEX('State Map'!$C:$C,MATCH(TRIM('RZSPbS-psgr-ldv'!$A4),'State Map'!$A:$A,0))="Max Ambition",Schedules!X$4,AA4),AA4),AA4)</f>
        <v>0</v>
      </c>
      <c r="AC4" s="39">
        <f>MAX(IFERROR(IF(INDEX('State Map'!$C:$C,MATCH(TRIM('RZSPbS-psgr-ldv'!$A4),'State Map'!$A:$A,0))="Max Ambition",Schedules!Y$4,AB4),AB4),AB4)</f>
        <v>0</v>
      </c>
      <c r="AD4" s="39">
        <f>MAX(IFERROR(IF(INDEX('State Map'!$C:$C,MATCH(TRIM('RZSPbS-psgr-ldv'!$A4),'State Map'!$A:$A,0))="Max Ambition",Schedules!Z$4,AC4),AC4),AC4)</f>
        <v>0</v>
      </c>
      <c r="AE4" s="39">
        <f>MAX(IFERROR(IF(INDEX('State Map'!$C:$C,MATCH(TRIM('RZSPbS-psgr-ldv'!$A4),'State Map'!$A:$A,0))="Max Ambition",Schedules!AA$4,AD4),AD4),AD4)</f>
        <v>0</v>
      </c>
      <c r="AF4" s="39">
        <f>MAX(IFERROR(IF(INDEX('State Map'!$C:$C,MATCH(TRIM('RZSPbS-psgr-ldv'!$A4),'State Map'!$A:$A,0))="Max Ambition",Schedules!AB$4,AE4),AE4),AE4)</f>
        <v>0</v>
      </c>
    </row>
    <row r="5" spans="1:32" x14ac:dyDescent="0.25">
      <c r="A5" t="s">
        <v>4</v>
      </c>
      <c r="B5">
        <f>IF(AND(INDEX('CA Standards and Followers'!$E$7:$E$66,MATCH($A5,'CA Standards and Followers'!$A$7:$A$66,0))=1,INDEX('CA Standards and Followers'!$H$7:$H$66,MATCH($A5,'CA Standards and Followers'!$A$7:$A$66,0))&lt;=B$1),INDEX('CA Standards and Followers'!#REF!,MATCH(B$1,'CA Standards and Followers'!$1:$1,0)),IF(AND(INDEX('CA Standards and Followers'!$D$7:$D$66,MATCH($A5,'CA Standards and Followers'!$A$7:$A$66,0))=1,INDEX('CA Standards and Followers'!$G$7:$G$66,MATCH($A5,'CA Standards and Followers'!$A$7:$A$66,0))&lt;=B$1),INDEX('CA Standards and Followers'!$2:$2,MATCH(B$1,'CA Standards and Followers'!$1:$1,0)),0))</f>
        <v>0</v>
      </c>
      <c r="C5">
        <f>IF(AND(INDEX('CA Standards and Followers'!$E$7:$E$66,MATCH($A5,'CA Standards and Followers'!$A$7:$A$66,0))=1,INDEX('CA Standards and Followers'!$H$7:$H$66,MATCH($A5,'CA Standards and Followers'!$A$7:$A$66,0))&lt;=C$1),INDEX('CA Standards and Followers'!#REF!,MATCH(C$1,'CA Standards and Followers'!$1:$1,0)),IF(AND(INDEX('CA Standards and Followers'!$D$7:$D$66,MATCH($A5,'CA Standards and Followers'!$A$7:$A$66,0))=1,INDEX('CA Standards and Followers'!$G$7:$G$66,MATCH($A5,'CA Standards and Followers'!$A$7:$A$66,0))&lt;=C$1),INDEX('CA Standards and Followers'!$2:$2,MATCH(C$1,'CA Standards and Followers'!$1:$1,0)),0))</f>
        <v>0</v>
      </c>
      <c r="D5">
        <f>IF(AND(INDEX('CA Standards and Followers'!$E$7:$E$66,MATCH($A5,'CA Standards and Followers'!$A$7:$A$66,0))=1,INDEX('CA Standards and Followers'!$H$7:$H$66,MATCH($A5,'CA Standards and Followers'!$A$7:$A$66,0))&lt;=D$1),INDEX('CA Standards and Followers'!#REF!,MATCH(D$1,'CA Standards and Followers'!$1:$1,0)),IF(AND(INDEX('CA Standards and Followers'!$D$7:$D$66,MATCH($A5,'CA Standards and Followers'!$A$7:$A$66,0))=1,INDEX('CA Standards and Followers'!$G$7:$G$66,MATCH($A5,'CA Standards and Followers'!$A$7:$A$66,0))&lt;=D$1),INDEX('CA Standards and Followers'!$2:$2,MATCH(D$1,'CA Standards and Followers'!$1:$1,0)),0))</f>
        <v>0</v>
      </c>
      <c r="E5">
        <f>IF(AND(INDEX('CA Standards and Followers'!$E$7:$E$66,MATCH($A5,'CA Standards and Followers'!$A$7:$A$66,0))=1,INDEX('CA Standards and Followers'!$H$7:$H$66,MATCH($A5,'CA Standards and Followers'!$A$7:$A$66,0))&lt;=E$1),INDEX('CA Standards and Followers'!#REF!,MATCH(E$1,'CA Standards and Followers'!$1:$1,0)),IF(AND(INDEX('CA Standards and Followers'!$D$7:$D$66,MATCH($A5,'CA Standards and Followers'!$A$7:$A$66,0))=1,INDEX('CA Standards and Followers'!$G$7:$G$66,MATCH($A5,'CA Standards and Followers'!$A$7:$A$66,0))&lt;=E$1),INDEX('CA Standards and Followers'!$2:$2,MATCH(E$1,'CA Standards and Followers'!$1:$1,0)),0))</f>
        <v>0</v>
      </c>
      <c r="F5">
        <f>IF(AND(INDEX('CA Standards and Followers'!$E$7:$E$66,MATCH($A5,'CA Standards and Followers'!$A$7:$A$66,0))=1,INDEX('CA Standards and Followers'!$H$7:$H$66,MATCH($A5,'CA Standards and Followers'!$A$7:$A$66,0))&lt;=F$1),INDEX('CA Standards and Followers'!#REF!,MATCH(F$1,'CA Standards and Followers'!$1:$1,0)),IF(AND(INDEX('CA Standards and Followers'!$D$7:$D$66,MATCH($A5,'CA Standards and Followers'!$A$7:$A$66,0))=1,INDEX('CA Standards and Followers'!$G$7:$G$66,MATCH($A5,'CA Standards and Followers'!$A$7:$A$66,0))&lt;=F$1),INDEX('CA Standards and Followers'!$2:$2,MATCH(F$1,'CA Standards and Followers'!$1:$1,0)),0))</f>
        <v>0</v>
      </c>
      <c r="G5">
        <f>IF(AND(INDEX('CA Standards and Followers'!$E$7:$E$66,MATCH($A5,'CA Standards and Followers'!$A$7:$A$66,0))=1,INDEX('CA Standards and Followers'!$H$7:$H$66,MATCH($A5,'CA Standards and Followers'!$A$7:$A$66,0))&lt;=G$1),INDEX('CA Standards and Followers'!#REF!,MATCH(G$1,'CA Standards and Followers'!$1:$1,0)),IF(AND(INDEX('CA Standards and Followers'!$D$7:$D$66,MATCH($A5,'CA Standards and Followers'!$A$7:$A$66,0))=1,INDEX('CA Standards and Followers'!$G$7:$G$66,MATCH($A5,'CA Standards and Followers'!$A$7:$A$66,0))&lt;=G$1),INDEX('CA Standards and Followers'!$2:$2,MATCH(G$1,'CA Standards and Followers'!$1:$1,0)),0))</f>
        <v>0</v>
      </c>
      <c r="H5">
        <f>IF(AND(INDEX('CA Standards and Followers'!$E$7:$E$66,MATCH($A5,'CA Standards and Followers'!$A$7:$A$66,0))=1,INDEX('CA Standards and Followers'!$H$7:$H$66,MATCH($A5,'CA Standards and Followers'!$A$7:$A$66,0))&lt;=H$1),INDEX('CA Standards and Followers'!#REF!,MATCH(H$1,'CA Standards and Followers'!$1:$1,0)),IF(AND(INDEX('CA Standards and Followers'!$D$7:$D$66,MATCH($A5,'CA Standards and Followers'!$A$7:$A$66,0))=1,INDEX('CA Standards and Followers'!$G$7:$G$66,MATCH($A5,'CA Standards and Followers'!$A$7:$A$66,0))&lt;=H$1),INDEX('CA Standards and Followers'!$2:$2,MATCH(H$1,'CA Standards and Followers'!$1:$1,0)),0))</f>
        <v>0</v>
      </c>
      <c r="I5">
        <f>IF(AND(INDEX('CA Standards and Followers'!$E$7:$E$66,MATCH($A5,'CA Standards and Followers'!$A$7:$A$66,0))=1,INDEX('CA Standards and Followers'!$H$7:$H$66,MATCH($A5,'CA Standards and Followers'!$A$7:$A$66,0))&lt;=I$1),INDEX('CA Standards and Followers'!#REF!,MATCH(I$1,'CA Standards and Followers'!$1:$1,0)),IF(AND(INDEX('CA Standards and Followers'!$D$7:$D$66,MATCH($A5,'CA Standards and Followers'!$A$7:$A$66,0))=1,INDEX('CA Standards and Followers'!$G$7:$G$66,MATCH($A5,'CA Standards and Followers'!$A$7:$A$66,0))&lt;=I$1),INDEX('CA Standards and Followers'!$2:$2,MATCH(I$1,'CA Standards and Followers'!$1:$1,0)),0))</f>
        <v>0</v>
      </c>
      <c r="J5">
        <f>IF(AND(INDEX('CA Standards and Followers'!$E$7:$E$66,MATCH($A5,'CA Standards and Followers'!$A$7:$A$66,0))=1,INDEX('CA Standards and Followers'!$H$7:$H$66,MATCH($A5,'CA Standards and Followers'!$A$7:$A$66,0))&lt;=J$1),INDEX('CA Standards and Followers'!#REF!,MATCH(J$1,'CA Standards and Followers'!$1:$1,0)),IF(AND(INDEX('CA Standards and Followers'!$D$7:$D$66,MATCH($A5,'CA Standards and Followers'!$A$7:$A$66,0))=1,INDEX('CA Standards and Followers'!$G$7:$G$66,MATCH($A5,'CA Standards and Followers'!$A$7:$A$66,0))&lt;=J$1),INDEX('CA Standards and Followers'!$2:$2,MATCH(J$1,'CA Standards and Followers'!$1:$1,0)),0))</f>
        <v>0</v>
      </c>
      <c r="K5" s="39">
        <f>MAX(IFERROR(IF(INDEX('State Map'!$C:$C,MATCH(TRIM('RZSPbS-psgr-ldv'!$A5),'State Map'!$A:$A,0))="Max Ambition",Schedules!G$4,J5),J5),J5)</f>
        <v>0</v>
      </c>
      <c r="L5" s="39">
        <f>MAX(IFERROR(IF(INDEX('State Map'!$C:$C,MATCH(TRIM('RZSPbS-psgr-ldv'!$A5),'State Map'!$A:$A,0))="Max Ambition",Schedules!H$4,K5),K5),K5)</f>
        <v>0</v>
      </c>
      <c r="M5" s="39">
        <f>MAX(IFERROR(IF(INDEX('State Map'!$C:$C,MATCH(TRIM('RZSPbS-psgr-ldv'!$A5),'State Map'!$A:$A,0))="Max Ambition",Schedules!I$4,L5),L5),L5)</f>
        <v>0</v>
      </c>
      <c r="N5" s="39">
        <f>MAX(IFERROR(IF(INDEX('State Map'!$C:$C,MATCH(TRIM('RZSPbS-psgr-ldv'!$A5),'State Map'!$A:$A,0))="Max Ambition",Schedules!J$4,M5),M5),M5)</f>
        <v>0</v>
      </c>
      <c r="O5" s="39">
        <f>MAX(IFERROR(IF(INDEX('State Map'!$C:$C,MATCH(TRIM('RZSPbS-psgr-ldv'!$A5),'State Map'!$A:$A,0))="Max Ambition",Schedules!K$4,N5),N5),N5)</f>
        <v>0</v>
      </c>
      <c r="P5" s="39">
        <f>MAX(IFERROR(IF(INDEX('State Map'!$C:$C,MATCH(TRIM('RZSPbS-psgr-ldv'!$A5),'State Map'!$A:$A,0))="Max Ambition",Schedules!L$4,O5),O5),O5)</f>
        <v>0</v>
      </c>
      <c r="Q5" s="39">
        <f>MAX(IFERROR(IF(INDEX('State Map'!$C:$C,MATCH(TRIM('RZSPbS-psgr-ldv'!$A5),'State Map'!$A:$A,0))="Max Ambition",Schedules!M$4,P5),P5),P5)</f>
        <v>0</v>
      </c>
      <c r="R5" s="39">
        <f>MAX(IFERROR(IF(INDEX('State Map'!$C:$C,MATCH(TRIM('RZSPbS-psgr-ldv'!$A5),'State Map'!$A:$A,0))="Max Ambition",Schedules!N$4,Q5),Q5),Q5)</f>
        <v>0</v>
      </c>
      <c r="S5" s="39">
        <f>MAX(IFERROR(IF(INDEX('State Map'!$C:$C,MATCH(TRIM('RZSPbS-psgr-ldv'!$A5),'State Map'!$A:$A,0))="Max Ambition",Schedules!O$4,R5),R5),R5)</f>
        <v>0</v>
      </c>
      <c r="T5" s="39">
        <f>MAX(IFERROR(IF(INDEX('State Map'!$C:$C,MATCH(TRIM('RZSPbS-psgr-ldv'!$A5),'State Map'!$A:$A,0))="Max Ambition",Schedules!P$4,S5),S5),S5)</f>
        <v>0</v>
      </c>
      <c r="U5" s="39">
        <f>MAX(IFERROR(IF(INDEX('State Map'!$C:$C,MATCH(TRIM('RZSPbS-psgr-ldv'!$A5),'State Map'!$A:$A,0))="Max Ambition",Schedules!Q$4,T5),T5),T5)</f>
        <v>0</v>
      </c>
      <c r="V5" s="39">
        <f>MAX(IFERROR(IF(INDEX('State Map'!$C:$C,MATCH(TRIM('RZSPbS-psgr-ldv'!$A5),'State Map'!$A:$A,0))="Max Ambition",Schedules!R$4,U5),U5),U5)</f>
        <v>0</v>
      </c>
      <c r="W5" s="39">
        <f>MAX(IFERROR(IF(INDEX('State Map'!$C:$C,MATCH(TRIM('RZSPbS-psgr-ldv'!$A5),'State Map'!$A:$A,0))="Max Ambition",Schedules!S$4,V5),V5),V5)</f>
        <v>0</v>
      </c>
      <c r="X5" s="39">
        <f>MAX(IFERROR(IF(INDEX('State Map'!$C:$C,MATCH(TRIM('RZSPbS-psgr-ldv'!$A5),'State Map'!$A:$A,0))="Max Ambition",Schedules!T$4,W5),W5),W5)</f>
        <v>0</v>
      </c>
      <c r="Y5" s="39">
        <f>MAX(IFERROR(IF(INDEX('State Map'!$C:$C,MATCH(TRIM('RZSPbS-psgr-ldv'!$A5),'State Map'!$A:$A,0))="Max Ambition",Schedules!U$4,X5),X5),X5)</f>
        <v>0</v>
      </c>
      <c r="Z5" s="39">
        <f>MAX(IFERROR(IF(INDEX('State Map'!$C:$C,MATCH(TRIM('RZSPbS-psgr-ldv'!$A5),'State Map'!$A:$A,0))="Max Ambition",Schedules!V$4,Y5),Y5),Y5)</f>
        <v>0</v>
      </c>
      <c r="AA5" s="39">
        <f>MAX(IFERROR(IF(INDEX('State Map'!$C:$C,MATCH(TRIM('RZSPbS-psgr-ldv'!$A5),'State Map'!$A:$A,0))="Max Ambition",Schedules!W$4,Z5),Z5),Z5)</f>
        <v>0</v>
      </c>
      <c r="AB5" s="39">
        <f>MAX(IFERROR(IF(INDEX('State Map'!$C:$C,MATCH(TRIM('RZSPbS-psgr-ldv'!$A5),'State Map'!$A:$A,0))="Max Ambition",Schedules!X$4,AA5),AA5),AA5)</f>
        <v>0</v>
      </c>
      <c r="AC5" s="39">
        <f>MAX(IFERROR(IF(INDEX('State Map'!$C:$C,MATCH(TRIM('RZSPbS-psgr-ldv'!$A5),'State Map'!$A:$A,0))="Max Ambition",Schedules!Y$4,AB5),AB5),AB5)</f>
        <v>0</v>
      </c>
      <c r="AD5" s="39">
        <f>MAX(IFERROR(IF(INDEX('State Map'!$C:$C,MATCH(TRIM('RZSPbS-psgr-ldv'!$A5),'State Map'!$A:$A,0))="Max Ambition",Schedules!Z$4,AC5),AC5),AC5)</f>
        <v>0</v>
      </c>
      <c r="AE5" s="39">
        <f>MAX(IFERROR(IF(INDEX('State Map'!$C:$C,MATCH(TRIM('RZSPbS-psgr-ldv'!$A5),'State Map'!$A:$A,0))="Max Ambition",Schedules!AA$4,AD5),AD5),AD5)</f>
        <v>0</v>
      </c>
      <c r="AF5" s="39">
        <f>MAX(IFERROR(IF(INDEX('State Map'!$C:$C,MATCH(TRIM('RZSPbS-psgr-ldv'!$A5),'State Map'!$A:$A,0))="Max Ambition",Schedules!AB$4,AE5),AE5),AE5)</f>
        <v>0</v>
      </c>
    </row>
    <row r="6" spans="1:32" x14ac:dyDescent="0.25">
      <c r="A6" t="s">
        <v>5</v>
      </c>
      <c r="B6">
        <f>IF(AND(INDEX('CA Standards and Followers'!$E$7:$E$66,MATCH($A6,'CA Standards and Followers'!$A$7:$A$66,0))=1,INDEX('CA Standards and Followers'!$H$7:$H$66,MATCH($A6,'CA Standards and Followers'!$A$7:$A$66,0))&lt;=B$1),INDEX('CA Standards and Followers'!#REF!,MATCH(B$1,'CA Standards and Followers'!$1:$1,0)),IF(AND(INDEX('CA Standards and Followers'!$D$7:$D$66,MATCH($A6,'CA Standards and Followers'!$A$7:$A$66,0))=1,INDEX('CA Standards and Followers'!$G$7:$G$66,MATCH($A6,'CA Standards and Followers'!$A$7:$A$66,0))&lt;=B$1),INDEX('CA Standards and Followers'!$2:$2,MATCH(B$1,'CA Standards and Followers'!$1:$1,0)),0))</f>
        <v>0</v>
      </c>
      <c r="C6">
        <f>IF(AND(INDEX('CA Standards and Followers'!$E$7:$E$66,MATCH($A6,'CA Standards and Followers'!$A$7:$A$66,0))=1,INDEX('CA Standards and Followers'!$H$7:$H$66,MATCH($A6,'CA Standards and Followers'!$A$7:$A$66,0))&lt;=C$1),INDEX('CA Standards and Followers'!#REF!,MATCH(C$1,'CA Standards and Followers'!$1:$1,0)),IF(AND(INDEX('CA Standards and Followers'!$D$7:$D$66,MATCH($A6,'CA Standards and Followers'!$A$7:$A$66,0))=1,INDEX('CA Standards and Followers'!$G$7:$G$66,MATCH($A6,'CA Standards and Followers'!$A$7:$A$66,0))&lt;=C$1),INDEX('CA Standards and Followers'!$2:$2,MATCH(C$1,'CA Standards and Followers'!$1:$1,0)),0))</f>
        <v>0</v>
      </c>
      <c r="D6">
        <f>IF(AND(INDEX('CA Standards and Followers'!$E$7:$E$66,MATCH($A6,'CA Standards and Followers'!$A$7:$A$66,0))=1,INDEX('CA Standards and Followers'!$H$7:$H$66,MATCH($A6,'CA Standards and Followers'!$A$7:$A$66,0))&lt;=D$1),INDEX('CA Standards and Followers'!#REF!,MATCH(D$1,'CA Standards and Followers'!$1:$1,0)),IF(AND(INDEX('CA Standards and Followers'!$D$7:$D$66,MATCH($A6,'CA Standards and Followers'!$A$7:$A$66,0))=1,INDEX('CA Standards and Followers'!$G$7:$G$66,MATCH($A6,'CA Standards and Followers'!$A$7:$A$66,0))&lt;=D$1),INDEX('CA Standards and Followers'!$2:$2,MATCH(D$1,'CA Standards and Followers'!$1:$1,0)),0))</f>
        <v>0</v>
      </c>
      <c r="E6">
        <f>IF(AND(INDEX('CA Standards and Followers'!$E$7:$E$66,MATCH($A6,'CA Standards and Followers'!$A$7:$A$66,0))=1,INDEX('CA Standards and Followers'!$H$7:$H$66,MATCH($A6,'CA Standards and Followers'!$A$7:$A$66,0))&lt;=E$1),INDEX('CA Standards and Followers'!#REF!,MATCH(E$1,'CA Standards and Followers'!$1:$1,0)),IF(AND(INDEX('CA Standards and Followers'!$D$7:$D$66,MATCH($A6,'CA Standards and Followers'!$A$7:$A$66,0))=1,INDEX('CA Standards and Followers'!$G$7:$G$66,MATCH($A6,'CA Standards and Followers'!$A$7:$A$66,0))&lt;=E$1),INDEX('CA Standards and Followers'!$2:$2,MATCH(E$1,'CA Standards and Followers'!$1:$1,0)),0))</f>
        <v>0</v>
      </c>
      <c r="F6">
        <f>IF(AND(INDEX('CA Standards and Followers'!$E$7:$E$66,MATCH($A6,'CA Standards and Followers'!$A$7:$A$66,0))=1,INDEX('CA Standards and Followers'!$H$7:$H$66,MATCH($A6,'CA Standards and Followers'!$A$7:$A$66,0))&lt;=F$1),INDEX('CA Standards and Followers'!#REF!,MATCH(F$1,'CA Standards and Followers'!$1:$1,0)),IF(AND(INDEX('CA Standards and Followers'!$D$7:$D$66,MATCH($A6,'CA Standards and Followers'!$A$7:$A$66,0))=1,INDEX('CA Standards and Followers'!$G$7:$G$66,MATCH($A6,'CA Standards and Followers'!$A$7:$A$66,0))&lt;=F$1),INDEX('CA Standards and Followers'!$2:$2,MATCH(F$1,'CA Standards and Followers'!$1:$1,0)),0))</f>
        <v>0.08</v>
      </c>
      <c r="G6">
        <f>IF(AND(INDEX('CA Standards and Followers'!$E$7:$E$66,MATCH($A6,'CA Standards and Followers'!$A$7:$A$66,0))=1,INDEX('CA Standards and Followers'!$H$7:$H$66,MATCH($A6,'CA Standards and Followers'!$A$7:$A$66,0))&lt;=G$1),INDEX('CA Standards and Followers'!#REF!,MATCH(G$1,'CA Standards and Followers'!$1:$1,0)),IF(AND(INDEX('CA Standards and Followers'!$D$7:$D$66,MATCH($A6,'CA Standards and Followers'!$A$7:$A$66,0))=1,INDEX('CA Standards and Followers'!$G$7:$G$66,MATCH($A6,'CA Standards and Followers'!$A$7:$A$66,0))&lt;=G$1),INDEX('CA Standards and Followers'!$2:$2,MATCH(G$1,'CA Standards and Followers'!$1:$1,0)),0))</f>
        <v>0.08</v>
      </c>
      <c r="H6">
        <f>IF(AND(INDEX('CA Standards and Followers'!$E$7:$E$66,MATCH($A6,'CA Standards and Followers'!$A$7:$A$66,0))=1,INDEX('CA Standards and Followers'!$H$7:$H$66,MATCH($A6,'CA Standards and Followers'!$A$7:$A$66,0))&lt;=H$1),INDEX('CA Standards and Followers'!#REF!,MATCH(H$1,'CA Standards and Followers'!$1:$1,0)),IF(AND(INDEX('CA Standards and Followers'!$D$7:$D$66,MATCH($A6,'CA Standards and Followers'!$A$7:$A$66,0))=1,INDEX('CA Standards and Followers'!$G$7:$G$66,MATCH($A6,'CA Standards and Followers'!$A$7:$A$66,0))&lt;=H$1),INDEX('CA Standards and Followers'!$2:$2,MATCH(H$1,'CA Standards and Followers'!$1:$1,0)),0))</f>
        <v>0</v>
      </c>
      <c r="I6">
        <f>IF(AND(INDEX('CA Standards and Followers'!$E$7:$E$66,MATCH($A6,'CA Standards and Followers'!$A$7:$A$66,0))=1,INDEX('CA Standards and Followers'!$H$7:$H$66,MATCH($A6,'CA Standards and Followers'!$A$7:$A$66,0))&lt;=I$1),INDEX('CA Standards and Followers'!#REF!,MATCH(I$1,'CA Standards and Followers'!$1:$1,0)),IF(AND(INDEX('CA Standards and Followers'!$D$7:$D$66,MATCH($A6,'CA Standards and Followers'!$A$7:$A$66,0))=1,INDEX('CA Standards and Followers'!$G$7:$G$66,MATCH($A6,'CA Standards and Followers'!$A$7:$A$66,0))&lt;=I$1),INDEX('CA Standards and Followers'!$2:$2,MATCH(I$1,'CA Standards and Followers'!$1:$1,0)),0))</f>
        <v>0</v>
      </c>
      <c r="J6">
        <f>IF(AND(INDEX('CA Standards and Followers'!$E$7:$E$66,MATCH($A6,'CA Standards and Followers'!$A$7:$A$66,0))=1,INDEX('CA Standards and Followers'!$H$7:$H$66,MATCH($A6,'CA Standards and Followers'!$A$7:$A$66,0))&lt;=J$1),INDEX('CA Standards and Followers'!#REF!,MATCH(J$1,'CA Standards and Followers'!$1:$1,0)),IF(AND(INDEX('CA Standards and Followers'!$D$7:$D$66,MATCH($A6,'CA Standards and Followers'!$A$7:$A$66,0))=1,INDEX('CA Standards and Followers'!$G$7:$G$66,MATCH($A6,'CA Standards and Followers'!$A$7:$A$66,0))&lt;=J$1),INDEX('CA Standards and Followers'!$2:$2,MATCH(J$1,'CA Standards and Followers'!$1:$1,0)),0))</f>
        <v>0</v>
      </c>
      <c r="K6" s="39">
        <f>MAX(IFERROR(IF(INDEX('State Map'!$C:$C,MATCH(TRIM('RZSPbS-psgr-ldv'!$A6),'State Map'!$A:$A,0))="Max Ambition",Schedules!G$4,J6),J6),J6)</f>
        <v>0.2</v>
      </c>
      <c r="L6" s="39">
        <f>MAX(IFERROR(IF(INDEX('State Map'!$C:$C,MATCH(TRIM('RZSPbS-psgr-ldv'!$A6),'State Map'!$A:$A,0))="Max Ambition",Schedules!H$4,K6),K6),K6)</f>
        <v>0.25</v>
      </c>
      <c r="M6" s="39">
        <f>MAX(IFERROR(IF(INDEX('State Map'!$C:$C,MATCH(TRIM('RZSPbS-psgr-ldv'!$A6),'State Map'!$A:$A,0))="Max Ambition",Schedules!I$4,L6),L6),L6)</f>
        <v>0.3</v>
      </c>
      <c r="N6" s="39">
        <f>MAX(IFERROR(IF(INDEX('State Map'!$C:$C,MATCH(TRIM('RZSPbS-psgr-ldv'!$A6),'State Map'!$A:$A,0))="Max Ambition",Schedules!J$4,M6),M6),M6)</f>
        <v>0.38</v>
      </c>
      <c r="O6" s="39">
        <f>MAX(IFERROR(IF(INDEX('State Map'!$C:$C,MATCH(TRIM('RZSPbS-psgr-ldv'!$A6),'State Map'!$A:$A,0))="Max Ambition",Schedules!K$4,N6),N6),N6)</f>
        <v>0.46</v>
      </c>
      <c r="P6" s="39">
        <f>MAX(IFERROR(IF(INDEX('State Map'!$C:$C,MATCH(TRIM('RZSPbS-psgr-ldv'!$A6),'State Map'!$A:$A,0))="Max Ambition",Schedules!L$4,O6),O6),O6)</f>
        <v>0.51400000000000001</v>
      </c>
      <c r="Q6" s="39">
        <f>MAX(IFERROR(IF(INDEX('State Map'!$C:$C,MATCH(TRIM('RZSPbS-psgr-ldv'!$A6),'State Map'!$A:$A,0))="Max Ambition",Schedules!M$4,P6),P6),P6)</f>
        <v>0.56799999999999995</v>
      </c>
      <c r="R6" s="39">
        <f>MAX(IFERROR(IF(INDEX('State Map'!$C:$C,MATCH(TRIM('RZSPbS-psgr-ldv'!$A6),'State Map'!$A:$A,0))="Max Ambition",Schedules!N$4,Q6),Q6),Q6)</f>
        <v>0.622</v>
      </c>
      <c r="S6" s="39">
        <f>MAX(IFERROR(IF(INDEX('State Map'!$C:$C,MATCH(TRIM('RZSPbS-psgr-ldv'!$A6),'State Map'!$A:$A,0))="Max Ambition",Schedules!O$4,R6),R6),R6)</f>
        <v>0.67600000000000005</v>
      </c>
      <c r="T6" s="39">
        <f>MAX(IFERROR(IF(INDEX('State Map'!$C:$C,MATCH(TRIM('RZSPbS-psgr-ldv'!$A6),'State Map'!$A:$A,0))="Max Ambition",Schedules!P$4,S6),S6),S6)</f>
        <v>0.73</v>
      </c>
      <c r="U6" s="39">
        <f>MAX(IFERROR(IF(INDEX('State Map'!$C:$C,MATCH(TRIM('RZSPbS-psgr-ldv'!$A6),'State Map'!$A:$A,0))="Max Ambition",Schedules!Q$4,T6),T6),T6)</f>
        <v>0.78400000000000003</v>
      </c>
      <c r="V6" s="39">
        <f>MAX(IFERROR(IF(INDEX('State Map'!$C:$C,MATCH(TRIM('RZSPbS-psgr-ldv'!$A6),'State Map'!$A:$A,0))="Max Ambition",Schedules!R$4,U6),U6),U6)</f>
        <v>0.83799999999999997</v>
      </c>
      <c r="W6" s="39">
        <f>MAX(IFERROR(IF(INDEX('State Map'!$C:$C,MATCH(TRIM('RZSPbS-psgr-ldv'!$A6),'State Map'!$A:$A,0))="Max Ambition",Schedules!S$4,V6),V6),V6)</f>
        <v>0.89200000000000002</v>
      </c>
      <c r="X6" s="39">
        <f>MAX(IFERROR(IF(INDEX('State Map'!$C:$C,MATCH(TRIM('RZSPbS-psgr-ldv'!$A6),'State Map'!$A:$A,0))="Max Ambition",Schedules!T$4,W6),W6),W6)</f>
        <v>0.94599999999999995</v>
      </c>
      <c r="Y6" s="39">
        <f>MAX(IFERROR(IF(INDEX('State Map'!$C:$C,MATCH(TRIM('RZSPbS-psgr-ldv'!$A6),'State Map'!$A:$A,0))="Max Ambition",Schedules!U$4,X6),X6),X6)</f>
        <v>1</v>
      </c>
      <c r="Z6" s="39">
        <f>MAX(IFERROR(IF(INDEX('State Map'!$C:$C,MATCH(TRIM('RZSPbS-psgr-ldv'!$A6),'State Map'!$A:$A,0))="Max Ambition",Schedules!V$4,Y6),Y6),Y6)</f>
        <v>1</v>
      </c>
      <c r="AA6" s="39">
        <f>MAX(IFERROR(IF(INDEX('State Map'!$C:$C,MATCH(TRIM('RZSPbS-psgr-ldv'!$A6),'State Map'!$A:$A,0))="Max Ambition",Schedules!W$4,Z6),Z6),Z6)</f>
        <v>1</v>
      </c>
      <c r="AB6" s="39">
        <f>MAX(IFERROR(IF(INDEX('State Map'!$C:$C,MATCH(TRIM('RZSPbS-psgr-ldv'!$A6),'State Map'!$A:$A,0))="Max Ambition",Schedules!X$4,AA6),AA6),AA6)</f>
        <v>1</v>
      </c>
      <c r="AC6" s="39">
        <f>MAX(IFERROR(IF(INDEX('State Map'!$C:$C,MATCH(TRIM('RZSPbS-psgr-ldv'!$A6),'State Map'!$A:$A,0))="Max Ambition",Schedules!Y$4,AB6),AB6),AB6)</f>
        <v>1</v>
      </c>
      <c r="AD6" s="39">
        <f>MAX(IFERROR(IF(INDEX('State Map'!$C:$C,MATCH(TRIM('RZSPbS-psgr-ldv'!$A6),'State Map'!$A:$A,0))="Max Ambition",Schedules!Z$4,AC6),AC6),AC6)</f>
        <v>1</v>
      </c>
      <c r="AE6" s="39">
        <f>MAX(IFERROR(IF(INDEX('State Map'!$C:$C,MATCH(TRIM('RZSPbS-psgr-ldv'!$A6),'State Map'!$A:$A,0))="Max Ambition",Schedules!AA$4,AD6),AD6),AD6)</f>
        <v>1</v>
      </c>
      <c r="AF6" s="39">
        <f>MAX(IFERROR(IF(INDEX('State Map'!$C:$C,MATCH(TRIM('RZSPbS-psgr-ldv'!$A6),'State Map'!$A:$A,0))="Max Ambition",Schedules!AB$4,AE6),AE6),AE6)</f>
        <v>1</v>
      </c>
    </row>
    <row r="7" spans="1:32" x14ac:dyDescent="0.25">
      <c r="A7" t="s">
        <v>6</v>
      </c>
      <c r="B7">
        <f>IF(AND(INDEX('CA Standards and Followers'!$E$7:$E$66,MATCH($A7,'CA Standards and Followers'!$A$7:$A$66,0))=1,INDEX('CA Standards and Followers'!$H$7:$H$66,MATCH($A7,'CA Standards and Followers'!$A$7:$A$66,0))&lt;=B$1),INDEX('CA Standards and Followers'!#REF!,MATCH(B$1,'CA Standards and Followers'!$1:$1,0)),IF(AND(INDEX('CA Standards and Followers'!$D$7:$D$66,MATCH($A7,'CA Standards and Followers'!$A$7:$A$66,0))=1,INDEX('CA Standards and Followers'!$G$7:$G$66,MATCH($A7,'CA Standards and Followers'!$A$7:$A$66,0))&lt;=B$1),INDEX('CA Standards and Followers'!$2:$2,MATCH(B$1,'CA Standards and Followers'!$1:$1,0)),0))</f>
        <v>0</v>
      </c>
      <c r="C7">
        <f>IF(AND(INDEX('CA Standards and Followers'!$E$7:$E$66,MATCH($A7,'CA Standards and Followers'!$A$7:$A$66,0))=1,INDEX('CA Standards and Followers'!$H$7:$H$66,MATCH($A7,'CA Standards and Followers'!$A$7:$A$66,0))&lt;=C$1),INDEX('CA Standards and Followers'!#REF!,MATCH(C$1,'CA Standards and Followers'!$1:$1,0)),IF(AND(INDEX('CA Standards and Followers'!$D$7:$D$66,MATCH($A7,'CA Standards and Followers'!$A$7:$A$66,0))=1,INDEX('CA Standards and Followers'!$G$7:$G$66,MATCH($A7,'CA Standards and Followers'!$A$7:$A$66,0))&lt;=C$1),INDEX('CA Standards and Followers'!$2:$2,MATCH(C$1,'CA Standards and Followers'!$1:$1,0)),0))</f>
        <v>0</v>
      </c>
      <c r="D7">
        <f>IF(AND(INDEX('CA Standards and Followers'!$E$7:$E$66,MATCH($A7,'CA Standards and Followers'!$A$7:$A$66,0))=1,INDEX('CA Standards and Followers'!$H$7:$H$66,MATCH($A7,'CA Standards and Followers'!$A$7:$A$66,0))&lt;=D$1),INDEX('CA Standards and Followers'!#REF!,MATCH(D$1,'CA Standards and Followers'!$1:$1,0)),IF(AND(INDEX('CA Standards and Followers'!$D$7:$D$66,MATCH($A7,'CA Standards and Followers'!$A$7:$A$66,0))=1,INDEX('CA Standards and Followers'!$G$7:$G$66,MATCH($A7,'CA Standards and Followers'!$A$7:$A$66,0))&lt;=D$1),INDEX('CA Standards and Followers'!$2:$2,MATCH(D$1,'CA Standards and Followers'!$1:$1,0)),0))</f>
        <v>0</v>
      </c>
      <c r="E7">
        <f>IF(AND(INDEX('CA Standards and Followers'!$E$7:$E$66,MATCH($A7,'CA Standards and Followers'!$A$7:$A$66,0))=1,INDEX('CA Standards and Followers'!$H$7:$H$66,MATCH($A7,'CA Standards and Followers'!$A$7:$A$66,0))&lt;=E$1),INDEX('CA Standards and Followers'!#REF!,MATCH(E$1,'CA Standards and Followers'!$1:$1,0)),IF(AND(INDEX('CA Standards and Followers'!$D$7:$D$66,MATCH($A7,'CA Standards and Followers'!$A$7:$A$66,0))=1,INDEX('CA Standards and Followers'!$G$7:$G$66,MATCH($A7,'CA Standards and Followers'!$A$7:$A$66,0))&lt;=E$1),INDEX('CA Standards and Followers'!$2:$2,MATCH(E$1,'CA Standards and Followers'!$1:$1,0)),0))</f>
        <v>0</v>
      </c>
      <c r="F7">
        <f>IF(AND(INDEX('CA Standards and Followers'!$E$7:$E$66,MATCH($A7,'CA Standards and Followers'!$A$7:$A$66,0))=1,INDEX('CA Standards and Followers'!$H$7:$H$66,MATCH($A7,'CA Standards and Followers'!$A$7:$A$66,0))&lt;=F$1),INDEX('CA Standards and Followers'!#REF!,MATCH(F$1,'CA Standards and Followers'!$1:$1,0)),IF(AND(INDEX('CA Standards and Followers'!$D$7:$D$66,MATCH($A7,'CA Standards and Followers'!$A$7:$A$66,0))=1,INDEX('CA Standards and Followers'!$G$7:$G$66,MATCH($A7,'CA Standards and Followers'!$A$7:$A$66,0))&lt;=F$1),INDEX('CA Standards and Followers'!$2:$2,MATCH(F$1,'CA Standards and Followers'!$1:$1,0)),0))</f>
        <v>0.08</v>
      </c>
      <c r="G7">
        <f>IF(AND(INDEX('CA Standards and Followers'!$E$7:$E$66,MATCH($A7,'CA Standards and Followers'!$A$7:$A$66,0))=1,INDEX('CA Standards and Followers'!$H$7:$H$66,MATCH($A7,'CA Standards and Followers'!$A$7:$A$66,0))&lt;=G$1),INDEX('CA Standards and Followers'!#REF!,MATCH(G$1,'CA Standards and Followers'!$1:$1,0)),IF(AND(INDEX('CA Standards and Followers'!$D$7:$D$66,MATCH($A7,'CA Standards and Followers'!$A$7:$A$66,0))=1,INDEX('CA Standards and Followers'!$G$7:$G$66,MATCH($A7,'CA Standards and Followers'!$A$7:$A$66,0))&lt;=G$1),INDEX('CA Standards and Followers'!$2:$2,MATCH(G$1,'CA Standards and Followers'!$1:$1,0)),0))</f>
        <v>0.08</v>
      </c>
      <c r="H7">
        <f>IF(AND(INDEX('CA Standards and Followers'!$E$7:$E$66,MATCH($A7,'CA Standards and Followers'!$A$7:$A$66,0))=1,INDEX('CA Standards and Followers'!$H$7:$H$66,MATCH($A7,'CA Standards and Followers'!$A$7:$A$66,0))&lt;=H$1),INDEX('CA Standards and Followers'!#REF!,MATCH(H$1,'CA Standards and Followers'!$1:$1,0)),IF(AND(INDEX('CA Standards and Followers'!$D$7:$D$66,MATCH($A7,'CA Standards and Followers'!$A$7:$A$66,0))=1,INDEX('CA Standards and Followers'!$G$7:$G$66,MATCH($A7,'CA Standards and Followers'!$A$7:$A$66,0))&lt;=H$1),INDEX('CA Standards and Followers'!$2:$2,MATCH(H$1,'CA Standards and Followers'!$1:$1,0)),0))</f>
        <v>0</v>
      </c>
      <c r="I7">
        <f>IF(AND(INDEX('CA Standards and Followers'!$E$7:$E$66,MATCH($A7,'CA Standards and Followers'!$A$7:$A$66,0))=1,INDEX('CA Standards and Followers'!$H$7:$H$66,MATCH($A7,'CA Standards and Followers'!$A$7:$A$66,0))&lt;=I$1),INDEX('CA Standards and Followers'!#REF!,MATCH(I$1,'CA Standards and Followers'!$1:$1,0)),IF(AND(INDEX('CA Standards and Followers'!$D$7:$D$66,MATCH($A7,'CA Standards and Followers'!$A$7:$A$66,0))=1,INDEX('CA Standards and Followers'!$G$7:$G$66,MATCH($A7,'CA Standards and Followers'!$A$7:$A$66,0))&lt;=I$1),INDEX('CA Standards and Followers'!$2:$2,MATCH(I$1,'CA Standards and Followers'!$1:$1,0)),0))</f>
        <v>0</v>
      </c>
      <c r="J7">
        <f>IF(AND(INDEX('CA Standards and Followers'!$E$7:$E$66,MATCH($A7,'CA Standards and Followers'!$A$7:$A$66,0))=1,INDEX('CA Standards and Followers'!$H$7:$H$66,MATCH($A7,'CA Standards and Followers'!$A$7:$A$66,0))&lt;=J$1),INDEX('CA Standards and Followers'!#REF!,MATCH(J$1,'CA Standards and Followers'!$1:$1,0)),IF(AND(INDEX('CA Standards and Followers'!$D$7:$D$66,MATCH($A7,'CA Standards and Followers'!$A$7:$A$66,0))=1,INDEX('CA Standards and Followers'!$G$7:$G$66,MATCH($A7,'CA Standards and Followers'!$A$7:$A$66,0))&lt;=J$1),INDEX('CA Standards and Followers'!$2:$2,MATCH(J$1,'CA Standards and Followers'!$1:$1,0)),0))</f>
        <v>0</v>
      </c>
      <c r="K7" s="39">
        <f>MAX(IFERROR(IF(INDEX('State Map'!$C:$C,MATCH(TRIM('RZSPbS-psgr-ldv'!$A7),'State Map'!$A:$A,0))="Max Ambition",Schedules!G$4,J7),J7),J7)</f>
        <v>0.2</v>
      </c>
      <c r="L7" s="39">
        <f>MAX(IFERROR(IF(INDEX('State Map'!$C:$C,MATCH(TRIM('RZSPbS-psgr-ldv'!$A7),'State Map'!$A:$A,0))="Max Ambition",Schedules!H$4,K7),K7),K7)</f>
        <v>0.25</v>
      </c>
      <c r="M7" s="39">
        <f>MAX(IFERROR(IF(INDEX('State Map'!$C:$C,MATCH(TRIM('RZSPbS-psgr-ldv'!$A7),'State Map'!$A:$A,0))="Max Ambition",Schedules!I$4,L7),L7),L7)</f>
        <v>0.3</v>
      </c>
      <c r="N7" s="39">
        <f>MAX(IFERROR(IF(INDEX('State Map'!$C:$C,MATCH(TRIM('RZSPbS-psgr-ldv'!$A7),'State Map'!$A:$A,0))="Max Ambition",Schedules!J$4,M7),M7),M7)</f>
        <v>0.38</v>
      </c>
      <c r="O7" s="39">
        <f>MAX(IFERROR(IF(INDEX('State Map'!$C:$C,MATCH(TRIM('RZSPbS-psgr-ldv'!$A7),'State Map'!$A:$A,0))="Max Ambition",Schedules!K$4,N7),N7),N7)</f>
        <v>0.46</v>
      </c>
      <c r="P7" s="39">
        <f>MAX(IFERROR(IF(INDEX('State Map'!$C:$C,MATCH(TRIM('RZSPbS-psgr-ldv'!$A7),'State Map'!$A:$A,0))="Max Ambition",Schedules!L$4,O7),O7),O7)</f>
        <v>0.51400000000000001</v>
      </c>
      <c r="Q7" s="39">
        <f>MAX(IFERROR(IF(INDEX('State Map'!$C:$C,MATCH(TRIM('RZSPbS-psgr-ldv'!$A7),'State Map'!$A:$A,0))="Max Ambition",Schedules!M$4,P7),P7),P7)</f>
        <v>0.56799999999999995</v>
      </c>
      <c r="R7" s="39">
        <f>MAX(IFERROR(IF(INDEX('State Map'!$C:$C,MATCH(TRIM('RZSPbS-psgr-ldv'!$A7),'State Map'!$A:$A,0))="Max Ambition",Schedules!N$4,Q7),Q7),Q7)</f>
        <v>0.622</v>
      </c>
      <c r="S7" s="39">
        <f>MAX(IFERROR(IF(INDEX('State Map'!$C:$C,MATCH(TRIM('RZSPbS-psgr-ldv'!$A7),'State Map'!$A:$A,0))="Max Ambition",Schedules!O$4,R7),R7),R7)</f>
        <v>0.67600000000000005</v>
      </c>
      <c r="T7" s="39">
        <f>MAX(IFERROR(IF(INDEX('State Map'!$C:$C,MATCH(TRIM('RZSPbS-psgr-ldv'!$A7),'State Map'!$A:$A,0))="Max Ambition",Schedules!P$4,S7),S7),S7)</f>
        <v>0.73</v>
      </c>
      <c r="U7" s="39">
        <f>MAX(IFERROR(IF(INDEX('State Map'!$C:$C,MATCH(TRIM('RZSPbS-psgr-ldv'!$A7),'State Map'!$A:$A,0))="Max Ambition",Schedules!Q$4,T7),T7),T7)</f>
        <v>0.78400000000000003</v>
      </c>
      <c r="V7" s="39">
        <f>MAX(IFERROR(IF(INDEX('State Map'!$C:$C,MATCH(TRIM('RZSPbS-psgr-ldv'!$A7),'State Map'!$A:$A,0))="Max Ambition",Schedules!R$4,U7),U7),U7)</f>
        <v>0.83799999999999997</v>
      </c>
      <c r="W7" s="39">
        <f>MAX(IFERROR(IF(INDEX('State Map'!$C:$C,MATCH(TRIM('RZSPbS-psgr-ldv'!$A7),'State Map'!$A:$A,0))="Max Ambition",Schedules!S$4,V7),V7),V7)</f>
        <v>0.89200000000000002</v>
      </c>
      <c r="X7" s="39">
        <f>MAX(IFERROR(IF(INDEX('State Map'!$C:$C,MATCH(TRIM('RZSPbS-psgr-ldv'!$A7),'State Map'!$A:$A,0))="Max Ambition",Schedules!T$4,W7),W7),W7)</f>
        <v>0.94599999999999995</v>
      </c>
      <c r="Y7" s="39">
        <f>MAX(IFERROR(IF(INDEX('State Map'!$C:$C,MATCH(TRIM('RZSPbS-psgr-ldv'!$A7),'State Map'!$A:$A,0))="Max Ambition",Schedules!U$4,X7),X7),X7)</f>
        <v>1</v>
      </c>
      <c r="Z7" s="39">
        <f>MAX(IFERROR(IF(INDEX('State Map'!$C:$C,MATCH(TRIM('RZSPbS-psgr-ldv'!$A7),'State Map'!$A:$A,0))="Max Ambition",Schedules!V$4,Y7),Y7),Y7)</f>
        <v>1</v>
      </c>
      <c r="AA7" s="39">
        <f>MAX(IFERROR(IF(INDEX('State Map'!$C:$C,MATCH(TRIM('RZSPbS-psgr-ldv'!$A7),'State Map'!$A:$A,0))="Max Ambition",Schedules!W$4,Z7),Z7),Z7)</f>
        <v>1</v>
      </c>
      <c r="AB7" s="39">
        <f>MAX(IFERROR(IF(INDEX('State Map'!$C:$C,MATCH(TRIM('RZSPbS-psgr-ldv'!$A7),'State Map'!$A:$A,0))="Max Ambition",Schedules!X$4,AA7),AA7),AA7)</f>
        <v>1</v>
      </c>
      <c r="AC7" s="39">
        <f>MAX(IFERROR(IF(INDEX('State Map'!$C:$C,MATCH(TRIM('RZSPbS-psgr-ldv'!$A7),'State Map'!$A:$A,0))="Max Ambition",Schedules!Y$4,AB7),AB7),AB7)</f>
        <v>1</v>
      </c>
      <c r="AD7" s="39">
        <f>MAX(IFERROR(IF(INDEX('State Map'!$C:$C,MATCH(TRIM('RZSPbS-psgr-ldv'!$A7),'State Map'!$A:$A,0))="Max Ambition",Schedules!Z$4,AC7),AC7),AC7)</f>
        <v>1</v>
      </c>
      <c r="AE7" s="39">
        <f>MAX(IFERROR(IF(INDEX('State Map'!$C:$C,MATCH(TRIM('RZSPbS-psgr-ldv'!$A7),'State Map'!$A:$A,0))="Max Ambition",Schedules!AA$4,AD7),AD7),AD7)</f>
        <v>1</v>
      </c>
      <c r="AF7" s="39">
        <f>MAX(IFERROR(IF(INDEX('State Map'!$C:$C,MATCH(TRIM('RZSPbS-psgr-ldv'!$A7),'State Map'!$A:$A,0))="Max Ambition",Schedules!AB$4,AE7),AE7),AE7)</f>
        <v>1</v>
      </c>
    </row>
    <row r="8" spans="1:32" x14ac:dyDescent="0.25">
      <c r="A8" t="s">
        <v>7</v>
      </c>
      <c r="B8">
        <f>IF(AND(INDEX('CA Standards and Followers'!$E$7:$E$66,MATCH($A8,'CA Standards and Followers'!$A$7:$A$66,0))=1,INDEX('CA Standards and Followers'!$H$7:$H$66,MATCH($A8,'CA Standards and Followers'!$A$7:$A$66,0))&lt;=B$1),INDEX('CA Standards and Followers'!#REF!,MATCH(B$1,'CA Standards and Followers'!$1:$1,0)),IF(AND(INDEX('CA Standards and Followers'!$D$7:$D$66,MATCH($A8,'CA Standards and Followers'!$A$7:$A$66,0))=1,INDEX('CA Standards and Followers'!$G$7:$G$66,MATCH($A8,'CA Standards and Followers'!$A$7:$A$66,0))&lt;=B$1),INDEX('CA Standards and Followers'!$2:$2,MATCH(B$1,'CA Standards and Followers'!$1:$1,0)),0))</f>
        <v>0</v>
      </c>
      <c r="C8">
        <f>IF(AND(INDEX('CA Standards and Followers'!$E$7:$E$66,MATCH($A8,'CA Standards and Followers'!$A$7:$A$66,0))=1,INDEX('CA Standards and Followers'!$H$7:$H$66,MATCH($A8,'CA Standards and Followers'!$A$7:$A$66,0))&lt;=C$1),INDEX('CA Standards and Followers'!#REF!,MATCH(C$1,'CA Standards and Followers'!$1:$1,0)),IF(AND(INDEX('CA Standards and Followers'!$D$7:$D$66,MATCH($A8,'CA Standards and Followers'!$A$7:$A$66,0))=1,INDEX('CA Standards and Followers'!$G$7:$G$66,MATCH($A8,'CA Standards and Followers'!$A$7:$A$66,0))&lt;=C$1),INDEX('CA Standards and Followers'!$2:$2,MATCH(C$1,'CA Standards and Followers'!$1:$1,0)),0))</f>
        <v>0</v>
      </c>
      <c r="D8">
        <f>IF(AND(INDEX('CA Standards and Followers'!$E$7:$E$66,MATCH($A8,'CA Standards and Followers'!$A$7:$A$66,0))=1,INDEX('CA Standards and Followers'!$H$7:$H$66,MATCH($A8,'CA Standards and Followers'!$A$7:$A$66,0))&lt;=D$1),INDEX('CA Standards and Followers'!#REF!,MATCH(D$1,'CA Standards and Followers'!$1:$1,0)),IF(AND(INDEX('CA Standards and Followers'!$D$7:$D$66,MATCH($A8,'CA Standards and Followers'!$A$7:$A$66,0))=1,INDEX('CA Standards and Followers'!$G$7:$G$66,MATCH($A8,'CA Standards and Followers'!$A$7:$A$66,0))&lt;=D$1),INDEX('CA Standards and Followers'!$2:$2,MATCH(D$1,'CA Standards and Followers'!$1:$1,0)),0))</f>
        <v>0</v>
      </c>
      <c r="E8">
        <f>IF(AND(INDEX('CA Standards and Followers'!$E$7:$E$66,MATCH($A8,'CA Standards and Followers'!$A$7:$A$66,0))=1,INDEX('CA Standards and Followers'!$H$7:$H$66,MATCH($A8,'CA Standards and Followers'!$A$7:$A$66,0))&lt;=E$1),INDEX('CA Standards and Followers'!#REF!,MATCH(E$1,'CA Standards and Followers'!$1:$1,0)),IF(AND(INDEX('CA Standards and Followers'!$D$7:$D$66,MATCH($A8,'CA Standards and Followers'!$A$7:$A$66,0))=1,INDEX('CA Standards and Followers'!$G$7:$G$66,MATCH($A8,'CA Standards and Followers'!$A$7:$A$66,0))&lt;=E$1),INDEX('CA Standards and Followers'!$2:$2,MATCH(E$1,'CA Standards and Followers'!$1:$1,0)),0))</f>
        <v>0</v>
      </c>
      <c r="F8">
        <f>IF(AND(INDEX('CA Standards and Followers'!$E$7:$E$66,MATCH($A8,'CA Standards and Followers'!$A$7:$A$66,0))=1,INDEX('CA Standards and Followers'!$H$7:$H$66,MATCH($A8,'CA Standards and Followers'!$A$7:$A$66,0))&lt;=F$1),INDEX('CA Standards and Followers'!#REF!,MATCH(F$1,'CA Standards and Followers'!$1:$1,0)),IF(AND(INDEX('CA Standards and Followers'!$D$7:$D$66,MATCH($A8,'CA Standards and Followers'!$A$7:$A$66,0))=1,INDEX('CA Standards and Followers'!$G$7:$G$66,MATCH($A8,'CA Standards and Followers'!$A$7:$A$66,0))&lt;=F$1),INDEX('CA Standards and Followers'!$2:$2,MATCH(F$1,'CA Standards and Followers'!$1:$1,0)),0))</f>
        <v>0.08</v>
      </c>
      <c r="G8">
        <f>IF(AND(INDEX('CA Standards and Followers'!$E$7:$E$66,MATCH($A8,'CA Standards and Followers'!$A$7:$A$66,0))=1,INDEX('CA Standards and Followers'!$H$7:$H$66,MATCH($A8,'CA Standards and Followers'!$A$7:$A$66,0))&lt;=G$1),INDEX('CA Standards and Followers'!#REF!,MATCH(G$1,'CA Standards and Followers'!$1:$1,0)),IF(AND(INDEX('CA Standards and Followers'!$D$7:$D$66,MATCH($A8,'CA Standards and Followers'!$A$7:$A$66,0))=1,INDEX('CA Standards and Followers'!$G$7:$G$66,MATCH($A8,'CA Standards and Followers'!$A$7:$A$66,0))&lt;=G$1),INDEX('CA Standards and Followers'!$2:$2,MATCH(G$1,'CA Standards and Followers'!$1:$1,0)),0))</f>
        <v>0.08</v>
      </c>
      <c r="H8">
        <f>IF(AND(INDEX('CA Standards and Followers'!$E$7:$E$66,MATCH($A8,'CA Standards and Followers'!$A$7:$A$66,0))=1,INDEX('CA Standards and Followers'!$H$7:$H$66,MATCH($A8,'CA Standards and Followers'!$A$7:$A$66,0))&lt;=H$1),INDEX('CA Standards and Followers'!#REF!,MATCH(H$1,'CA Standards and Followers'!$1:$1,0)),IF(AND(INDEX('CA Standards and Followers'!$D$7:$D$66,MATCH($A8,'CA Standards and Followers'!$A$7:$A$66,0))=1,INDEX('CA Standards and Followers'!$G$7:$G$66,MATCH($A8,'CA Standards and Followers'!$A$7:$A$66,0))&lt;=H$1),INDEX('CA Standards and Followers'!$2:$2,MATCH(H$1,'CA Standards and Followers'!$1:$1,0)),0))</f>
        <v>0</v>
      </c>
      <c r="I8">
        <f>IF(AND(INDEX('CA Standards and Followers'!$E$7:$E$66,MATCH($A8,'CA Standards and Followers'!$A$7:$A$66,0))=1,INDEX('CA Standards and Followers'!$H$7:$H$66,MATCH($A8,'CA Standards and Followers'!$A$7:$A$66,0))&lt;=I$1),INDEX('CA Standards and Followers'!#REF!,MATCH(I$1,'CA Standards and Followers'!$1:$1,0)),IF(AND(INDEX('CA Standards and Followers'!$D$7:$D$66,MATCH($A8,'CA Standards and Followers'!$A$7:$A$66,0))=1,INDEX('CA Standards and Followers'!$G$7:$G$66,MATCH($A8,'CA Standards and Followers'!$A$7:$A$66,0))&lt;=I$1),INDEX('CA Standards and Followers'!$2:$2,MATCH(I$1,'CA Standards and Followers'!$1:$1,0)),0))</f>
        <v>0</v>
      </c>
      <c r="J8">
        <f>IF(AND(INDEX('CA Standards and Followers'!$E$7:$E$66,MATCH($A8,'CA Standards and Followers'!$A$7:$A$66,0))=1,INDEX('CA Standards and Followers'!$H$7:$H$66,MATCH($A8,'CA Standards and Followers'!$A$7:$A$66,0))&lt;=J$1),INDEX('CA Standards and Followers'!#REF!,MATCH(J$1,'CA Standards and Followers'!$1:$1,0)),IF(AND(INDEX('CA Standards and Followers'!$D$7:$D$66,MATCH($A8,'CA Standards and Followers'!$A$7:$A$66,0))=1,INDEX('CA Standards and Followers'!$G$7:$G$66,MATCH($A8,'CA Standards and Followers'!$A$7:$A$66,0))&lt;=J$1),INDEX('CA Standards and Followers'!$2:$2,MATCH(J$1,'CA Standards and Followers'!$1:$1,0)),0))</f>
        <v>0</v>
      </c>
      <c r="K8" s="39">
        <f>MAX(IFERROR(IF(INDEX('State Map'!$C:$C,MATCH(TRIM('RZSPbS-psgr-ldv'!$A8),'State Map'!$A:$A,0))="Max Ambition",Schedules!G$4,J8),J8),J8)</f>
        <v>0</v>
      </c>
      <c r="L8" s="39">
        <f>MAX(IFERROR(IF(INDEX('State Map'!$C:$C,MATCH(TRIM('RZSPbS-psgr-ldv'!$A8),'State Map'!$A:$A,0))="Max Ambition",Schedules!H$4,K8),K8),K8)</f>
        <v>0</v>
      </c>
      <c r="M8" s="39">
        <f>MAX(IFERROR(IF(INDEX('State Map'!$C:$C,MATCH(TRIM('RZSPbS-psgr-ldv'!$A8),'State Map'!$A:$A,0))="Max Ambition",Schedules!I$4,L8),L8),L8)</f>
        <v>0</v>
      </c>
      <c r="N8" s="39">
        <f>MAX(IFERROR(IF(INDEX('State Map'!$C:$C,MATCH(TRIM('RZSPbS-psgr-ldv'!$A8),'State Map'!$A:$A,0))="Max Ambition",Schedules!J$4,M8),M8),M8)</f>
        <v>0</v>
      </c>
      <c r="O8" s="39">
        <f>MAX(IFERROR(IF(INDEX('State Map'!$C:$C,MATCH(TRIM('RZSPbS-psgr-ldv'!$A8),'State Map'!$A:$A,0))="Max Ambition",Schedules!K$4,N8),N8),N8)</f>
        <v>0</v>
      </c>
      <c r="P8" s="39">
        <f>MAX(IFERROR(IF(INDEX('State Map'!$C:$C,MATCH(TRIM('RZSPbS-psgr-ldv'!$A8),'State Map'!$A:$A,0))="Max Ambition",Schedules!L$4,O8),O8),O8)</f>
        <v>0</v>
      </c>
      <c r="Q8" s="39">
        <f>MAX(IFERROR(IF(INDEX('State Map'!$C:$C,MATCH(TRIM('RZSPbS-psgr-ldv'!$A8),'State Map'!$A:$A,0))="Max Ambition",Schedules!M$4,P8),P8),P8)</f>
        <v>0</v>
      </c>
      <c r="R8" s="39">
        <f>MAX(IFERROR(IF(INDEX('State Map'!$C:$C,MATCH(TRIM('RZSPbS-psgr-ldv'!$A8),'State Map'!$A:$A,0))="Max Ambition",Schedules!N$4,Q8),Q8),Q8)</f>
        <v>0</v>
      </c>
      <c r="S8" s="39">
        <f>MAX(IFERROR(IF(INDEX('State Map'!$C:$C,MATCH(TRIM('RZSPbS-psgr-ldv'!$A8),'State Map'!$A:$A,0))="Max Ambition",Schedules!O$4,R8),R8),R8)</f>
        <v>0</v>
      </c>
      <c r="T8" s="39">
        <f>MAX(IFERROR(IF(INDEX('State Map'!$C:$C,MATCH(TRIM('RZSPbS-psgr-ldv'!$A8),'State Map'!$A:$A,0))="Max Ambition",Schedules!P$4,S8),S8),S8)</f>
        <v>0</v>
      </c>
      <c r="U8" s="39">
        <f>MAX(IFERROR(IF(INDEX('State Map'!$C:$C,MATCH(TRIM('RZSPbS-psgr-ldv'!$A8),'State Map'!$A:$A,0))="Max Ambition",Schedules!Q$4,T8),T8),T8)</f>
        <v>0</v>
      </c>
      <c r="V8" s="39">
        <f>MAX(IFERROR(IF(INDEX('State Map'!$C:$C,MATCH(TRIM('RZSPbS-psgr-ldv'!$A8),'State Map'!$A:$A,0))="Max Ambition",Schedules!R$4,U8),U8),U8)</f>
        <v>0</v>
      </c>
      <c r="W8" s="39">
        <f>MAX(IFERROR(IF(INDEX('State Map'!$C:$C,MATCH(TRIM('RZSPbS-psgr-ldv'!$A8),'State Map'!$A:$A,0))="Max Ambition",Schedules!S$4,V8),V8),V8)</f>
        <v>0</v>
      </c>
      <c r="X8" s="39">
        <f>MAX(IFERROR(IF(INDEX('State Map'!$C:$C,MATCH(TRIM('RZSPbS-psgr-ldv'!$A8),'State Map'!$A:$A,0))="Max Ambition",Schedules!T$4,W8),W8),W8)</f>
        <v>0</v>
      </c>
      <c r="Y8" s="39">
        <f>MAX(IFERROR(IF(INDEX('State Map'!$C:$C,MATCH(TRIM('RZSPbS-psgr-ldv'!$A8),'State Map'!$A:$A,0))="Max Ambition",Schedules!U$4,X8),X8),X8)</f>
        <v>0</v>
      </c>
      <c r="Z8" s="39">
        <f>MAX(IFERROR(IF(INDEX('State Map'!$C:$C,MATCH(TRIM('RZSPbS-psgr-ldv'!$A8),'State Map'!$A:$A,0))="Max Ambition",Schedules!V$4,Y8),Y8),Y8)</f>
        <v>0</v>
      </c>
      <c r="AA8" s="39">
        <f>MAX(IFERROR(IF(INDEX('State Map'!$C:$C,MATCH(TRIM('RZSPbS-psgr-ldv'!$A8),'State Map'!$A:$A,0))="Max Ambition",Schedules!W$4,Z8),Z8),Z8)</f>
        <v>0</v>
      </c>
      <c r="AB8" s="39">
        <f>MAX(IFERROR(IF(INDEX('State Map'!$C:$C,MATCH(TRIM('RZSPbS-psgr-ldv'!$A8),'State Map'!$A:$A,0))="Max Ambition",Schedules!X$4,AA8),AA8),AA8)</f>
        <v>0</v>
      </c>
      <c r="AC8" s="39">
        <f>MAX(IFERROR(IF(INDEX('State Map'!$C:$C,MATCH(TRIM('RZSPbS-psgr-ldv'!$A8),'State Map'!$A:$A,0))="Max Ambition",Schedules!Y$4,AB8),AB8),AB8)</f>
        <v>0</v>
      </c>
      <c r="AD8" s="39">
        <f>MAX(IFERROR(IF(INDEX('State Map'!$C:$C,MATCH(TRIM('RZSPbS-psgr-ldv'!$A8),'State Map'!$A:$A,0))="Max Ambition",Schedules!Z$4,AC8),AC8),AC8)</f>
        <v>0</v>
      </c>
      <c r="AE8" s="39">
        <f>MAX(IFERROR(IF(INDEX('State Map'!$C:$C,MATCH(TRIM('RZSPbS-psgr-ldv'!$A8),'State Map'!$A:$A,0))="Max Ambition",Schedules!AA$4,AD8),AD8),AD8)</f>
        <v>0</v>
      </c>
      <c r="AF8" s="39">
        <f>MAX(IFERROR(IF(INDEX('State Map'!$C:$C,MATCH(TRIM('RZSPbS-psgr-ldv'!$A8),'State Map'!$A:$A,0))="Max Ambition",Schedules!AB$4,AE8),AE8),AE8)</f>
        <v>0</v>
      </c>
    </row>
    <row r="9" spans="1:32" x14ac:dyDescent="0.25">
      <c r="A9" t="s">
        <v>8</v>
      </c>
      <c r="B9">
        <f>IF(AND(INDEX('CA Standards and Followers'!$E$7:$E$66,MATCH($A9,'CA Standards and Followers'!$A$7:$A$66,0))=1,INDEX('CA Standards and Followers'!$H$7:$H$66,MATCH($A9,'CA Standards and Followers'!$A$7:$A$66,0))&lt;=B$1),INDEX('CA Standards and Followers'!#REF!,MATCH(B$1,'CA Standards and Followers'!$1:$1,0)),IF(AND(INDEX('CA Standards and Followers'!$D$7:$D$66,MATCH($A9,'CA Standards and Followers'!$A$7:$A$66,0))=1,INDEX('CA Standards and Followers'!$G$7:$G$66,MATCH($A9,'CA Standards and Followers'!$A$7:$A$66,0))&lt;=B$1),INDEX('CA Standards and Followers'!$2:$2,MATCH(B$1,'CA Standards and Followers'!$1:$1,0)),0))</f>
        <v>0</v>
      </c>
      <c r="C9">
        <f>IF(AND(INDEX('CA Standards and Followers'!$E$7:$E$66,MATCH($A9,'CA Standards and Followers'!$A$7:$A$66,0))=1,INDEX('CA Standards and Followers'!$H$7:$H$66,MATCH($A9,'CA Standards and Followers'!$A$7:$A$66,0))&lt;=C$1),INDEX('CA Standards and Followers'!#REF!,MATCH(C$1,'CA Standards and Followers'!$1:$1,0)),IF(AND(INDEX('CA Standards and Followers'!$D$7:$D$66,MATCH($A9,'CA Standards and Followers'!$A$7:$A$66,0))=1,INDEX('CA Standards and Followers'!$G$7:$G$66,MATCH($A9,'CA Standards and Followers'!$A$7:$A$66,0))&lt;=C$1),INDEX('CA Standards and Followers'!$2:$2,MATCH(C$1,'CA Standards and Followers'!$1:$1,0)),0))</f>
        <v>0</v>
      </c>
      <c r="D9">
        <f>IF(AND(INDEX('CA Standards and Followers'!$E$7:$E$66,MATCH($A9,'CA Standards and Followers'!$A$7:$A$66,0))=1,INDEX('CA Standards and Followers'!$H$7:$H$66,MATCH($A9,'CA Standards and Followers'!$A$7:$A$66,0))&lt;=D$1),INDEX('CA Standards and Followers'!#REF!,MATCH(D$1,'CA Standards and Followers'!$1:$1,0)),IF(AND(INDEX('CA Standards and Followers'!$D$7:$D$66,MATCH($A9,'CA Standards and Followers'!$A$7:$A$66,0))=1,INDEX('CA Standards and Followers'!$G$7:$G$66,MATCH($A9,'CA Standards and Followers'!$A$7:$A$66,0))&lt;=D$1),INDEX('CA Standards and Followers'!$2:$2,MATCH(D$1,'CA Standards and Followers'!$1:$1,0)),0))</f>
        <v>0</v>
      </c>
      <c r="E9">
        <f>IF(AND(INDEX('CA Standards and Followers'!$E$7:$E$66,MATCH($A9,'CA Standards and Followers'!$A$7:$A$66,0))=1,INDEX('CA Standards and Followers'!$H$7:$H$66,MATCH($A9,'CA Standards and Followers'!$A$7:$A$66,0))&lt;=E$1),INDEX('CA Standards and Followers'!#REF!,MATCH(E$1,'CA Standards and Followers'!$1:$1,0)),IF(AND(INDEX('CA Standards and Followers'!$D$7:$D$66,MATCH($A9,'CA Standards and Followers'!$A$7:$A$66,0))=1,INDEX('CA Standards and Followers'!$G$7:$G$66,MATCH($A9,'CA Standards and Followers'!$A$7:$A$66,0))&lt;=E$1),INDEX('CA Standards and Followers'!$2:$2,MATCH(E$1,'CA Standards and Followers'!$1:$1,0)),0))</f>
        <v>0</v>
      </c>
      <c r="F9">
        <f>IF(AND(INDEX('CA Standards and Followers'!$E$7:$E$66,MATCH($A9,'CA Standards and Followers'!$A$7:$A$66,0))=1,INDEX('CA Standards and Followers'!$H$7:$H$66,MATCH($A9,'CA Standards and Followers'!$A$7:$A$66,0))&lt;=F$1),INDEX('CA Standards and Followers'!#REF!,MATCH(F$1,'CA Standards and Followers'!$1:$1,0)),IF(AND(INDEX('CA Standards and Followers'!$D$7:$D$66,MATCH($A9,'CA Standards and Followers'!$A$7:$A$66,0))=1,INDEX('CA Standards and Followers'!$G$7:$G$66,MATCH($A9,'CA Standards and Followers'!$A$7:$A$66,0))&lt;=F$1),INDEX('CA Standards and Followers'!$2:$2,MATCH(F$1,'CA Standards and Followers'!$1:$1,0)),0))</f>
        <v>0</v>
      </c>
      <c r="G9">
        <f>IF(AND(INDEX('CA Standards and Followers'!$E$7:$E$66,MATCH($A9,'CA Standards and Followers'!$A$7:$A$66,0))=1,INDEX('CA Standards and Followers'!$H$7:$H$66,MATCH($A9,'CA Standards and Followers'!$A$7:$A$66,0))&lt;=G$1),INDEX('CA Standards and Followers'!#REF!,MATCH(G$1,'CA Standards and Followers'!$1:$1,0)),IF(AND(INDEX('CA Standards and Followers'!$D$7:$D$66,MATCH($A9,'CA Standards and Followers'!$A$7:$A$66,0))=1,INDEX('CA Standards and Followers'!$G$7:$G$66,MATCH($A9,'CA Standards and Followers'!$A$7:$A$66,0))&lt;=G$1),INDEX('CA Standards and Followers'!$2:$2,MATCH(G$1,'CA Standards and Followers'!$1:$1,0)),0))</f>
        <v>0</v>
      </c>
      <c r="H9">
        <f>IF(AND(INDEX('CA Standards and Followers'!$E$7:$E$66,MATCH($A9,'CA Standards and Followers'!$A$7:$A$66,0))=1,INDEX('CA Standards and Followers'!$H$7:$H$66,MATCH($A9,'CA Standards and Followers'!$A$7:$A$66,0))&lt;=H$1),INDEX('CA Standards and Followers'!#REF!,MATCH(H$1,'CA Standards and Followers'!$1:$1,0)),IF(AND(INDEX('CA Standards and Followers'!$D$7:$D$66,MATCH($A9,'CA Standards and Followers'!$A$7:$A$66,0))=1,INDEX('CA Standards and Followers'!$G$7:$G$66,MATCH($A9,'CA Standards and Followers'!$A$7:$A$66,0))&lt;=H$1),INDEX('CA Standards and Followers'!$2:$2,MATCH(H$1,'CA Standards and Followers'!$1:$1,0)),0))</f>
        <v>0</v>
      </c>
      <c r="I9">
        <f>IF(AND(INDEX('CA Standards and Followers'!$E$7:$E$66,MATCH($A9,'CA Standards and Followers'!$A$7:$A$66,0))=1,INDEX('CA Standards and Followers'!$H$7:$H$66,MATCH($A9,'CA Standards and Followers'!$A$7:$A$66,0))&lt;=I$1),INDEX('CA Standards and Followers'!#REF!,MATCH(I$1,'CA Standards and Followers'!$1:$1,0)),IF(AND(INDEX('CA Standards and Followers'!$D$7:$D$66,MATCH($A9,'CA Standards and Followers'!$A$7:$A$66,0))=1,INDEX('CA Standards and Followers'!$G$7:$G$66,MATCH($A9,'CA Standards and Followers'!$A$7:$A$66,0))&lt;=I$1),INDEX('CA Standards and Followers'!$2:$2,MATCH(I$1,'CA Standards and Followers'!$1:$1,0)),0))</f>
        <v>0</v>
      </c>
      <c r="J9">
        <f>IF(AND(INDEX('CA Standards and Followers'!$E$7:$E$66,MATCH($A9,'CA Standards and Followers'!$A$7:$A$66,0))=1,INDEX('CA Standards and Followers'!$H$7:$H$66,MATCH($A9,'CA Standards and Followers'!$A$7:$A$66,0))&lt;=J$1),INDEX('CA Standards and Followers'!#REF!,MATCH(J$1,'CA Standards and Followers'!$1:$1,0)),IF(AND(INDEX('CA Standards and Followers'!$D$7:$D$66,MATCH($A9,'CA Standards and Followers'!$A$7:$A$66,0))=1,INDEX('CA Standards and Followers'!$G$7:$G$66,MATCH($A9,'CA Standards and Followers'!$A$7:$A$66,0))&lt;=J$1),INDEX('CA Standards and Followers'!$2:$2,MATCH(J$1,'CA Standards and Followers'!$1:$1,0)),0))</f>
        <v>0</v>
      </c>
      <c r="K9" s="39">
        <f>MAX(IFERROR(IF(INDEX('State Map'!$C:$C,MATCH(TRIM('RZSPbS-psgr-ldv'!$A9),'State Map'!$A:$A,0))="Max Ambition",Schedules!G$4,J9),J9),J9)</f>
        <v>0.2</v>
      </c>
      <c r="L9" s="39">
        <f>MAX(IFERROR(IF(INDEX('State Map'!$C:$C,MATCH(TRIM('RZSPbS-psgr-ldv'!$A9),'State Map'!$A:$A,0))="Max Ambition",Schedules!H$4,K9),K9),K9)</f>
        <v>0.25</v>
      </c>
      <c r="M9" s="39">
        <f>MAX(IFERROR(IF(INDEX('State Map'!$C:$C,MATCH(TRIM('RZSPbS-psgr-ldv'!$A9),'State Map'!$A:$A,0))="Max Ambition",Schedules!I$4,L9),L9),L9)</f>
        <v>0.3</v>
      </c>
      <c r="N9" s="39">
        <f>MAX(IFERROR(IF(INDEX('State Map'!$C:$C,MATCH(TRIM('RZSPbS-psgr-ldv'!$A9),'State Map'!$A:$A,0))="Max Ambition",Schedules!J$4,M9),M9),M9)</f>
        <v>0.38</v>
      </c>
      <c r="O9" s="39">
        <f>MAX(IFERROR(IF(INDEX('State Map'!$C:$C,MATCH(TRIM('RZSPbS-psgr-ldv'!$A9),'State Map'!$A:$A,0))="Max Ambition",Schedules!K$4,N9),N9),N9)</f>
        <v>0.46</v>
      </c>
      <c r="P9" s="39">
        <f>MAX(IFERROR(IF(INDEX('State Map'!$C:$C,MATCH(TRIM('RZSPbS-psgr-ldv'!$A9),'State Map'!$A:$A,0))="Max Ambition",Schedules!L$4,O9),O9),O9)</f>
        <v>0.51400000000000001</v>
      </c>
      <c r="Q9" s="39">
        <f>MAX(IFERROR(IF(INDEX('State Map'!$C:$C,MATCH(TRIM('RZSPbS-psgr-ldv'!$A9),'State Map'!$A:$A,0))="Max Ambition",Schedules!M$4,P9),P9),P9)</f>
        <v>0.56799999999999995</v>
      </c>
      <c r="R9" s="39">
        <f>MAX(IFERROR(IF(INDEX('State Map'!$C:$C,MATCH(TRIM('RZSPbS-psgr-ldv'!$A9),'State Map'!$A:$A,0))="Max Ambition",Schedules!N$4,Q9),Q9),Q9)</f>
        <v>0.622</v>
      </c>
      <c r="S9" s="39">
        <f>MAX(IFERROR(IF(INDEX('State Map'!$C:$C,MATCH(TRIM('RZSPbS-psgr-ldv'!$A9),'State Map'!$A:$A,0))="Max Ambition",Schedules!O$4,R9),R9),R9)</f>
        <v>0.67600000000000005</v>
      </c>
      <c r="T9" s="39">
        <f>MAX(IFERROR(IF(INDEX('State Map'!$C:$C,MATCH(TRIM('RZSPbS-psgr-ldv'!$A9),'State Map'!$A:$A,0))="Max Ambition",Schedules!P$4,S9),S9),S9)</f>
        <v>0.73</v>
      </c>
      <c r="U9" s="39">
        <f>MAX(IFERROR(IF(INDEX('State Map'!$C:$C,MATCH(TRIM('RZSPbS-psgr-ldv'!$A9),'State Map'!$A:$A,0))="Max Ambition",Schedules!Q$4,T9),T9),T9)</f>
        <v>0.78400000000000003</v>
      </c>
      <c r="V9" s="39">
        <f>MAX(IFERROR(IF(INDEX('State Map'!$C:$C,MATCH(TRIM('RZSPbS-psgr-ldv'!$A9),'State Map'!$A:$A,0))="Max Ambition",Schedules!R$4,U9),U9),U9)</f>
        <v>0.83799999999999997</v>
      </c>
      <c r="W9" s="39">
        <f>MAX(IFERROR(IF(INDEX('State Map'!$C:$C,MATCH(TRIM('RZSPbS-psgr-ldv'!$A9),'State Map'!$A:$A,0))="Max Ambition",Schedules!S$4,V9),V9),V9)</f>
        <v>0.89200000000000002</v>
      </c>
      <c r="X9" s="39">
        <f>MAX(IFERROR(IF(INDEX('State Map'!$C:$C,MATCH(TRIM('RZSPbS-psgr-ldv'!$A9),'State Map'!$A:$A,0))="Max Ambition",Schedules!T$4,W9),W9),W9)</f>
        <v>0.94599999999999995</v>
      </c>
      <c r="Y9" s="39">
        <f>MAX(IFERROR(IF(INDEX('State Map'!$C:$C,MATCH(TRIM('RZSPbS-psgr-ldv'!$A9),'State Map'!$A:$A,0))="Max Ambition",Schedules!U$4,X9),X9),X9)</f>
        <v>1</v>
      </c>
      <c r="Z9" s="39">
        <f>MAX(IFERROR(IF(INDEX('State Map'!$C:$C,MATCH(TRIM('RZSPbS-psgr-ldv'!$A9),'State Map'!$A:$A,0))="Max Ambition",Schedules!V$4,Y9),Y9),Y9)</f>
        <v>1</v>
      </c>
      <c r="AA9" s="39">
        <f>MAX(IFERROR(IF(INDEX('State Map'!$C:$C,MATCH(TRIM('RZSPbS-psgr-ldv'!$A9),'State Map'!$A:$A,0))="Max Ambition",Schedules!W$4,Z9),Z9),Z9)</f>
        <v>1</v>
      </c>
      <c r="AB9" s="39">
        <f>MAX(IFERROR(IF(INDEX('State Map'!$C:$C,MATCH(TRIM('RZSPbS-psgr-ldv'!$A9),'State Map'!$A:$A,0))="Max Ambition",Schedules!X$4,AA9),AA9),AA9)</f>
        <v>1</v>
      </c>
      <c r="AC9" s="39">
        <f>MAX(IFERROR(IF(INDEX('State Map'!$C:$C,MATCH(TRIM('RZSPbS-psgr-ldv'!$A9),'State Map'!$A:$A,0))="Max Ambition",Schedules!Y$4,AB9),AB9),AB9)</f>
        <v>1</v>
      </c>
      <c r="AD9" s="39">
        <f>MAX(IFERROR(IF(INDEX('State Map'!$C:$C,MATCH(TRIM('RZSPbS-psgr-ldv'!$A9),'State Map'!$A:$A,0))="Max Ambition",Schedules!Z$4,AC9),AC9),AC9)</f>
        <v>1</v>
      </c>
      <c r="AE9" s="39">
        <f>MAX(IFERROR(IF(INDEX('State Map'!$C:$C,MATCH(TRIM('RZSPbS-psgr-ldv'!$A9),'State Map'!$A:$A,0))="Max Ambition",Schedules!AA$4,AD9),AD9),AD9)</f>
        <v>1</v>
      </c>
      <c r="AF9" s="39">
        <f>MAX(IFERROR(IF(INDEX('State Map'!$C:$C,MATCH(TRIM('RZSPbS-psgr-ldv'!$A9),'State Map'!$A:$A,0))="Max Ambition",Schedules!AB$4,AE9),AE9),AE9)</f>
        <v>1</v>
      </c>
    </row>
    <row r="10" spans="1:32" x14ac:dyDescent="0.25">
      <c r="A10" t="s">
        <v>9</v>
      </c>
      <c r="B10">
        <f>IF(AND(INDEX('CA Standards and Followers'!$E$7:$E$66,MATCH($A10,'CA Standards and Followers'!$A$7:$A$66,0))=1,INDEX('CA Standards and Followers'!$H$7:$H$66,MATCH($A10,'CA Standards and Followers'!$A$7:$A$66,0))&lt;=B$1),INDEX('CA Standards and Followers'!#REF!,MATCH(B$1,'CA Standards and Followers'!$1:$1,0)),IF(AND(INDEX('CA Standards and Followers'!$D$7:$D$66,MATCH($A10,'CA Standards and Followers'!$A$7:$A$66,0))=1,INDEX('CA Standards and Followers'!$G$7:$G$66,MATCH($A10,'CA Standards and Followers'!$A$7:$A$66,0))&lt;=B$1),INDEX('CA Standards and Followers'!$2:$2,MATCH(B$1,'CA Standards and Followers'!$1:$1,0)),0))</f>
        <v>0</v>
      </c>
      <c r="C10">
        <f>IF(AND(INDEX('CA Standards and Followers'!$E$7:$E$66,MATCH($A10,'CA Standards and Followers'!$A$7:$A$66,0))=1,INDEX('CA Standards and Followers'!$H$7:$H$66,MATCH($A10,'CA Standards and Followers'!$A$7:$A$66,0))&lt;=C$1),INDEX('CA Standards and Followers'!#REF!,MATCH(C$1,'CA Standards and Followers'!$1:$1,0)),IF(AND(INDEX('CA Standards and Followers'!$D$7:$D$66,MATCH($A10,'CA Standards and Followers'!$A$7:$A$66,0))=1,INDEX('CA Standards and Followers'!$G$7:$G$66,MATCH($A10,'CA Standards and Followers'!$A$7:$A$66,0))&lt;=C$1),INDEX('CA Standards and Followers'!$2:$2,MATCH(C$1,'CA Standards and Followers'!$1:$1,0)),0))</f>
        <v>0</v>
      </c>
      <c r="D10">
        <f>IF(AND(INDEX('CA Standards and Followers'!$E$7:$E$66,MATCH($A10,'CA Standards and Followers'!$A$7:$A$66,0))=1,INDEX('CA Standards and Followers'!$H$7:$H$66,MATCH($A10,'CA Standards and Followers'!$A$7:$A$66,0))&lt;=D$1),INDEX('CA Standards and Followers'!#REF!,MATCH(D$1,'CA Standards and Followers'!$1:$1,0)),IF(AND(INDEX('CA Standards and Followers'!$D$7:$D$66,MATCH($A10,'CA Standards and Followers'!$A$7:$A$66,0))=1,INDEX('CA Standards and Followers'!$G$7:$G$66,MATCH($A10,'CA Standards and Followers'!$A$7:$A$66,0))&lt;=D$1),INDEX('CA Standards and Followers'!$2:$2,MATCH(D$1,'CA Standards and Followers'!$1:$1,0)),0))</f>
        <v>0</v>
      </c>
      <c r="E10">
        <f>IF(AND(INDEX('CA Standards and Followers'!$E$7:$E$66,MATCH($A10,'CA Standards and Followers'!$A$7:$A$66,0))=1,INDEX('CA Standards and Followers'!$H$7:$H$66,MATCH($A10,'CA Standards and Followers'!$A$7:$A$66,0))&lt;=E$1),INDEX('CA Standards and Followers'!#REF!,MATCH(E$1,'CA Standards and Followers'!$1:$1,0)),IF(AND(INDEX('CA Standards and Followers'!$D$7:$D$66,MATCH($A10,'CA Standards and Followers'!$A$7:$A$66,0))=1,INDEX('CA Standards and Followers'!$G$7:$G$66,MATCH($A10,'CA Standards and Followers'!$A$7:$A$66,0))&lt;=E$1),INDEX('CA Standards and Followers'!$2:$2,MATCH(E$1,'CA Standards and Followers'!$1:$1,0)),0))</f>
        <v>0</v>
      </c>
      <c r="F10">
        <f>IF(AND(INDEX('CA Standards and Followers'!$E$7:$E$66,MATCH($A10,'CA Standards and Followers'!$A$7:$A$66,0))=1,INDEX('CA Standards and Followers'!$H$7:$H$66,MATCH($A10,'CA Standards and Followers'!$A$7:$A$66,0))&lt;=F$1),INDEX('CA Standards and Followers'!#REF!,MATCH(F$1,'CA Standards and Followers'!$1:$1,0)),IF(AND(INDEX('CA Standards and Followers'!$D$7:$D$66,MATCH($A10,'CA Standards and Followers'!$A$7:$A$66,0))=1,INDEX('CA Standards and Followers'!$G$7:$G$66,MATCH($A10,'CA Standards and Followers'!$A$7:$A$66,0))&lt;=F$1),INDEX('CA Standards and Followers'!$2:$2,MATCH(F$1,'CA Standards and Followers'!$1:$1,0)),0))</f>
        <v>0</v>
      </c>
      <c r="G10">
        <f>IF(AND(INDEX('CA Standards and Followers'!$E$7:$E$66,MATCH($A10,'CA Standards and Followers'!$A$7:$A$66,0))=1,INDEX('CA Standards and Followers'!$H$7:$H$66,MATCH($A10,'CA Standards and Followers'!$A$7:$A$66,0))&lt;=G$1),INDEX('CA Standards and Followers'!#REF!,MATCH(G$1,'CA Standards and Followers'!$1:$1,0)),IF(AND(INDEX('CA Standards and Followers'!$D$7:$D$66,MATCH($A10,'CA Standards and Followers'!$A$7:$A$66,0))=1,INDEX('CA Standards and Followers'!$G$7:$G$66,MATCH($A10,'CA Standards and Followers'!$A$7:$A$66,0))&lt;=G$1),INDEX('CA Standards and Followers'!$2:$2,MATCH(G$1,'CA Standards and Followers'!$1:$1,0)),0))</f>
        <v>0</v>
      </c>
      <c r="H10">
        <f>IF(AND(INDEX('CA Standards and Followers'!$E$7:$E$66,MATCH($A10,'CA Standards and Followers'!$A$7:$A$66,0))=1,INDEX('CA Standards and Followers'!$H$7:$H$66,MATCH($A10,'CA Standards and Followers'!$A$7:$A$66,0))&lt;=H$1),INDEX('CA Standards and Followers'!#REF!,MATCH(H$1,'CA Standards and Followers'!$1:$1,0)),IF(AND(INDEX('CA Standards and Followers'!$D$7:$D$66,MATCH($A10,'CA Standards and Followers'!$A$7:$A$66,0))=1,INDEX('CA Standards and Followers'!$G$7:$G$66,MATCH($A10,'CA Standards and Followers'!$A$7:$A$66,0))&lt;=H$1),INDEX('CA Standards and Followers'!$2:$2,MATCH(H$1,'CA Standards and Followers'!$1:$1,0)),0))</f>
        <v>0</v>
      </c>
      <c r="I10">
        <f>IF(AND(INDEX('CA Standards and Followers'!$E$7:$E$66,MATCH($A10,'CA Standards and Followers'!$A$7:$A$66,0))=1,INDEX('CA Standards and Followers'!$H$7:$H$66,MATCH($A10,'CA Standards and Followers'!$A$7:$A$66,0))&lt;=I$1),INDEX('CA Standards and Followers'!#REF!,MATCH(I$1,'CA Standards and Followers'!$1:$1,0)),IF(AND(INDEX('CA Standards and Followers'!$D$7:$D$66,MATCH($A10,'CA Standards and Followers'!$A$7:$A$66,0))=1,INDEX('CA Standards and Followers'!$G$7:$G$66,MATCH($A10,'CA Standards and Followers'!$A$7:$A$66,0))&lt;=I$1),INDEX('CA Standards and Followers'!$2:$2,MATCH(I$1,'CA Standards and Followers'!$1:$1,0)),0))</f>
        <v>0</v>
      </c>
      <c r="J10">
        <f>IF(AND(INDEX('CA Standards and Followers'!$E$7:$E$66,MATCH($A10,'CA Standards and Followers'!$A$7:$A$66,0))=1,INDEX('CA Standards and Followers'!$H$7:$H$66,MATCH($A10,'CA Standards and Followers'!$A$7:$A$66,0))&lt;=J$1),INDEX('CA Standards and Followers'!#REF!,MATCH(J$1,'CA Standards and Followers'!$1:$1,0)),IF(AND(INDEX('CA Standards and Followers'!$D$7:$D$66,MATCH($A10,'CA Standards and Followers'!$A$7:$A$66,0))=1,INDEX('CA Standards and Followers'!$G$7:$G$66,MATCH($A10,'CA Standards and Followers'!$A$7:$A$66,0))&lt;=J$1),INDEX('CA Standards and Followers'!$2:$2,MATCH(J$1,'CA Standards and Followers'!$1:$1,0)),0))</f>
        <v>0</v>
      </c>
      <c r="K10" s="39">
        <f>MAX(IFERROR(IF(INDEX('State Map'!$C:$C,MATCH(TRIM('RZSPbS-psgr-ldv'!$A10),'State Map'!$A:$A,0))="Max Ambition",Schedules!G$4,J10),J10),J10)</f>
        <v>0</v>
      </c>
      <c r="L10" s="39">
        <f>MAX(IFERROR(IF(INDEX('State Map'!$C:$C,MATCH(TRIM('RZSPbS-psgr-ldv'!$A10),'State Map'!$A:$A,0))="Max Ambition",Schedules!H$4,K10),K10),K10)</f>
        <v>0</v>
      </c>
      <c r="M10" s="39">
        <f>MAX(IFERROR(IF(INDEX('State Map'!$C:$C,MATCH(TRIM('RZSPbS-psgr-ldv'!$A10),'State Map'!$A:$A,0))="Max Ambition",Schedules!I$4,L10),L10),L10)</f>
        <v>0</v>
      </c>
      <c r="N10" s="39">
        <f>MAX(IFERROR(IF(INDEX('State Map'!$C:$C,MATCH(TRIM('RZSPbS-psgr-ldv'!$A10),'State Map'!$A:$A,0))="Max Ambition",Schedules!J$4,M10),M10),M10)</f>
        <v>0</v>
      </c>
      <c r="O10" s="39">
        <f>MAX(IFERROR(IF(INDEX('State Map'!$C:$C,MATCH(TRIM('RZSPbS-psgr-ldv'!$A10),'State Map'!$A:$A,0))="Max Ambition",Schedules!K$4,N10),N10),N10)</f>
        <v>0</v>
      </c>
      <c r="P10" s="39">
        <f>MAX(IFERROR(IF(INDEX('State Map'!$C:$C,MATCH(TRIM('RZSPbS-psgr-ldv'!$A10),'State Map'!$A:$A,0))="Max Ambition",Schedules!L$4,O10),O10),O10)</f>
        <v>0</v>
      </c>
      <c r="Q10" s="39">
        <f>MAX(IFERROR(IF(INDEX('State Map'!$C:$C,MATCH(TRIM('RZSPbS-psgr-ldv'!$A10),'State Map'!$A:$A,0))="Max Ambition",Schedules!M$4,P10),P10),P10)</f>
        <v>0</v>
      </c>
      <c r="R10" s="39">
        <f>MAX(IFERROR(IF(INDEX('State Map'!$C:$C,MATCH(TRIM('RZSPbS-psgr-ldv'!$A10),'State Map'!$A:$A,0))="Max Ambition",Schedules!N$4,Q10),Q10),Q10)</f>
        <v>0</v>
      </c>
      <c r="S10" s="39">
        <f>MAX(IFERROR(IF(INDEX('State Map'!$C:$C,MATCH(TRIM('RZSPbS-psgr-ldv'!$A10),'State Map'!$A:$A,0))="Max Ambition",Schedules!O$4,R10),R10),R10)</f>
        <v>0</v>
      </c>
      <c r="T10" s="39">
        <f>MAX(IFERROR(IF(INDEX('State Map'!$C:$C,MATCH(TRIM('RZSPbS-psgr-ldv'!$A10),'State Map'!$A:$A,0))="Max Ambition",Schedules!P$4,S10),S10),S10)</f>
        <v>0</v>
      </c>
      <c r="U10" s="39">
        <f>MAX(IFERROR(IF(INDEX('State Map'!$C:$C,MATCH(TRIM('RZSPbS-psgr-ldv'!$A10),'State Map'!$A:$A,0))="Max Ambition",Schedules!Q$4,T10),T10),T10)</f>
        <v>0</v>
      </c>
      <c r="V10" s="39">
        <f>MAX(IFERROR(IF(INDEX('State Map'!$C:$C,MATCH(TRIM('RZSPbS-psgr-ldv'!$A10),'State Map'!$A:$A,0))="Max Ambition",Schedules!R$4,U10),U10),U10)</f>
        <v>0</v>
      </c>
      <c r="W10" s="39">
        <f>MAX(IFERROR(IF(INDEX('State Map'!$C:$C,MATCH(TRIM('RZSPbS-psgr-ldv'!$A10),'State Map'!$A:$A,0))="Max Ambition",Schedules!S$4,V10),V10),V10)</f>
        <v>0</v>
      </c>
      <c r="X10" s="39">
        <f>MAX(IFERROR(IF(INDEX('State Map'!$C:$C,MATCH(TRIM('RZSPbS-psgr-ldv'!$A10),'State Map'!$A:$A,0))="Max Ambition",Schedules!T$4,W10),W10),W10)</f>
        <v>0</v>
      </c>
      <c r="Y10" s="39">
        <f>MAX(IFERROR(IF(INDEX('State Map'!$C:$C,MATCH(TRIM('RZSPbS-psgr-ldv'!$A10),'State Map'!$A:$A,0))="Max Ambition",Schedules!U$4,X10),X10),X10)</f>
        <v>0</v>
      </c>
      <c r="Z10" s="39">
        <f>MAX(IFERROR(IF(INDEX('State Map'!$C:$C,MATCH(TRIM('RZSPbS-psgr-ldv'!$A10),'State Map'!$A:$A,0))="Max Ambition",Schedules!V$4,Y10),Y10),Y10)</f>
        <v>0</v>
      </c>
      <c r="AA10" s="39">
        <f>MAX(IFERROR(IF(INDEX('State Map'!$C:$C,MATCH(TRIM('RZSPbS-psgr-ldv'!$A10),'State Map'!$A:$A,0))="Max Ambition",Schedules!W$4,Z10),Z10),Z10)</f>
        <v>0</v>
      </c>
      <c r="AB10" s="39">
        <f>MAX(IFERROR(IF(INDEX('State Map'!$C:$C,MATCH(TRIM('RZSPbS-psgr-ldv'!$A10),'State Map'!$A:$A,0))="Max Ambition",Schedules!X$4,AA10),AA10),AA10)</f>
        <v>0</v>
      </c>
      <c r="AC10" s="39">
        <f>MAX(IFERROR(IF(INDEX('State Map'!$C:$C,MATCH(TRIM('RZSPbS-psgr-ldv'!$A10),'State Map'!$A:$A,0))="Max Ambition",Schedules!Y$4,AB10),AB10),AB10)</f>
        <v>0</v>
      </c>
      <c r="AD10" s="39">
        <f>MAX(IFERROR(IF(INDEX('State Map'!$C:$C,MATCH(TRIM('RZSPbS-psgr-ldv'!$A10),'State Map'!$A:$A,0))="Max Ambition",Schedules!Z$4,AC10),AC10),AC10)</f>
        <v>0</v>
      </c>
      <c r="AE10" s="39">
        <f>MAX(IFERROR(IF(INDEX('State Map'!$C:$C,MATCH(TRIM('RZSPbS-psgr-ldv'!$A10),'State Map'!$A:$A,0))="Max Ambition",Schedules!AA$4,AD10),AD10),AD10)</f>
        <v>0</v>
      </c>
      <c r="AF10" s="39">
        <f>MAX(IFERROR(IF(INDEX('State Map'!$C:$C,MATCH(TRIM('RZSPbS-psgr-ldv'!$A10),'State Map'!$A:$A,0))="Max Ambition",Schedules!AB$4,AE10),AE10),AE10)</f>
        <v>0</v>
      </c>
    </row>
    <row r="11" spans="1:32" x14ac:dyDescent="0.25">
      <c r="A11" t="s">
        <v>10</v>
      </c>
      <c r="B11">
        <f>IF(AND(INDEX('CA Standards and Followers'!$E$7:$E$66,MATCH($A11,'CA Standards and Followers'!$A$7:$A$66,0))=1,INDEX('CA Standards and Followers'!$H$7:$H$66,MATCH($A11,'CA Standards and Followers'!$A$7:$A$66,0))&lt;=B$1),INDEX('CA Standards and Followers'!#REF!,MATCH(B$1,'CA Standards and Followers'!$1:$1,0)),IF(AND(INDEX('CA Standards and Followers'!$D$7:$D$66,MATCH($A11,'CA Standards and Followers'!$A$7:$A$66,0))=1,INDEX('CA Standards and Followers'!$G$7:$G$66,MATCH($A11,'CA Standards and Followers'!$A$7:$A$66,0))&lt;=B$1),INDEX('CA Standards and Followers'!$2:$2,MATCH(B$1,'CA Standards and Followers'!$1:$1,0)),0))</f>
        <v>0</v>
      </c>
      <c r="C11">
        <f>IF(AND(INDEX('CA Standards and Followers'!$E$7:$E$66,MATCH($A11,'CA Standards and Followers'!$A$7:$A$66,0))=1,INDEX('CA Standards and Followers'!$H$7:$H$66,MATCH($A11,'CA Standards and Followers'!$A$7:$A$66,0))&lt;=C$1),INDEX('CA Standards and Followers'!#REF!,MATCH(C$1,'CA Standards and Followers'!$1:$1,0)),IF(AND(INDEX('CA Standards and Followers'!$D$7:$D$66,MATCH($A11,'CA Standards and Followers'!$A$7:$A$66,0))=1,INDEX('CA Standards and Followers'!$G$7:$G$66,MATCH($A11,'CA Standards and Followers'!$A$7:$A$66,0))&lt;=C$1),INDEX('CA Standards and Followers'!$2:$2,MATCH(C$1,'CA Standards and Followers'!$1:$1,0)),0))</f>
        <v>0</v>
      </c>
      <c r="D11">
        <f>IF(AND(INDEX('CA Standards and Followers'!$E$7:$E$66,MATCH($A11,'CA Standards and Followers'!$A$7:$A$66,0))=1,INDEX('CA Standards and Followers'!$H$7:$H$66,MATCH($A11,'CA Standards and Followers'!$A$7:$A$66,0))&lt;=D$1),INDEX('CA Standards and Followers'!#REF!,MATCH(D$1,'CA Standards and Followers'!$1:$1,0)),IF(AND(INDEX('CA Standards and Followers'!$D$7:$D$66,MATCH($A11,'CA Standards and Followers'!$A$7:$A$66,0))=1,INDEX('CA Standards and Followers'!$G$7:$G$66,MATCH($A11,'CA Standards and Followers'!$A$7:$A$66,0))&lt;=D$1),INDEX('CA Standards and Followers'!$2:$2,MATCH(D$1,'CA Standards and Followers'!$1:$1,0)),0))</f>
        <v>0</v>
      </c>
      <c r="E11">
        <f>IF(AND(INDEX('CA Standards and Followers'!$E$7:$E$66,MATCH($A11,'CA Standards and Followers'!$A$7:$A$66,0))=1,INDEX('CA Standards and Followers'!$H$7:$H$66,MATCH($A11,'CA Standards and Followers'!$A$7:$A$66,0))&lt;=E$1),INDEX('CA Standards and Followers'!#REF!,MATCH(E$1,'CA Standards and Followers'!$1:$1,0)),IF(AND(INDEX('CA Standards and Followers'!$D$7:$D$66,MATCH($A11,'CA Standards and Followers'!$A$7:$A$66,0))=1,INDEX('CA Standards and Followers'!$G$7:$G$66,MATCH($A11,'CA Standards and Followers'!$A$7:$A$66,0))&lt;=E$1),INDEX('CA Standards and Followers'!$2:$2,MATCH(E$1,'CA Standards and Followers'!$1:$1,0)),0))</f>
        <v>0</v>
      </c>
      <c r="F11">
        <f>IF(AND(INDEX('CA Standards and Followers'!$E$7:$E$66,MATCH($A11,'CA Standards and Followers'!$A$7:$A$66,0))=1,INDEX('CA Standards and Followers'!$H$7:$H$66,MATCH($A11,'CA Standards and Followers'!$A$7:$A$66,0))&lt;=F$1),INDEX('CA Standards and Followers'!#REF!,MATCH(F$1,'CA Standards and Followers'!$1:$1,0)),IF(AND(INDEX('CA Standards and Followers'!$D$7:$D$66,MATCH($A11,'CA Standards and Followers'!$A$7:$A$66,0))=1,INDEX('CA Standards and Followers'!$G$7:$G$66,MATCH($A11,'CA Standards and Followers'!$A$7:$A$66,0))&lt;=F$1),INDEX('CA Standards and Followers'!$2:$2,MATCH(F$1,'CA Standards and Followers'!$1:$1,0)),0))</f>
        <v>0</v>
      </c>
      <c r="G11">
        <f>IF(AND(INDEX('CA Standards and Followers'!$E$7:$E$66,MATCH($A11,'CA Standards and Followers'!$A$7:$A$66,0))=1,INDEX('CA Standards and Followers'!$H$7:$H$66,MATCH($A11,'CA Standards and Followers'!$A$7:$A$66,0))&lt;=G$1),INDEX('CA Standards and Followers'!#REF!,MATCH(G$1,'CA Standards and Followers'!$1:$1,0)),IF(AND(INDEX('CA Standards and Followers'!$D$7:$D$66,MATCH($A11,'CA Standards and Followers'!$A$7:$A$66,0))=1,INDEX('CA Standards and Followers'!$G$7:$G$66,MATCH($A11,'CA Standards and Followers'!$A$7:$A$66,0))&lt;=G$1),INDEX('CA Standards and Followers'!$2:$2,MATCH(G$1,'CA Standards and Followers'!$1:$1,0)),0))</f>
        <v>0</v>
      </c>
      <c r="H11">
        <f>IF(AND(INDEX('CA Standards and Followers'!$E$7:$E$66,MATCH($A11,'CA Standards and Followers'!$A$7:$A$66,0))=1,INDEX('CA Standards and Followers'!$H$7:$H$66,MATCH($A11,'CA Standards and Followers'!$A$7:$A$66,0))&lt;=H$1),INDEX('CA Standards and Followers'!#REF!,MATCH(H$1,'CA Standards and Followers'!$1:$1,0)),IF(AND(INDEX('CA Standards and Followers'!$D$7:$D$66,MATCH($A11,'CA Standards and Followers'!$A$7:$A$66,0))=1,INDEX('CA Standards and Followers'!$G$7:$G$66,MATCH($A11,'CA Standards and Followers'!$A$7:$A$66,0))&lt;=H$1),INDEX('CA Standards and Followers'!$2:$2,MATCH(H$1,'CA Standards and Followers'!$1:$1,0)),0))</f>
        <v>0</v>
      </c>
      <c r="I11">
        <f>IF(AND(INDEX('CA Standards and Followers'!$E$7:$E$66,MATCH($A11,'CA Standards and Followers'!$A$7:$A$66,0))=1,INDEX('CA Standards and Followers'!$H$7:$H$66,MATCH($A11,'CA Standards and Followers'!$A$7:$A$66,0))&lt;=I$1),INDEX('CA Standards and Followers'!#REF!,MATCH(I$1,'CA Standards and Followers'!$1:$1,0)),IF(AND(INDEX('CA Standards and Followers'!$D$7:$D$66,MATCH($A11,'CA Standards and Followers'!$A$7:$A$66,0))=1,INDEX('CA Standards and Followers'!$G$7:$G$66,MATCH($A11,'CA Standards and Followers'!$A$7:$A$66,0))&lt;=I$1),INDEX('CA Standards and Followers'!$2:$2,MATCH(I$1,'CA Standards and Followers'!$1:$1,0)),0))</f>
        <v>0</v>
      </c>
      <c r="J11">
        <f>IF(AND(INDEX('CA Standards and Followers'!$E$7:$E$66,MATCH($A11,'CA Standards and Followers'!$A$7:$A$66,0))=1,INDEX('CA Standards and Followers'!$H$7:$H$66,MATCH($A11,'CA Standards and Followers'!$A$7:$A$66,0))&lt;=J$1),INDEX('CA Standards and Followers'!#REF!,MATCH(J$1,'CA Standards and Followers'!$1:$1,0)),IF(AND(INDEX('CA Standards and Followers'!$D$7:$D$66,MATCH($A11,'CA Standards and Followers'!$A$7:$A$66,0))=1,INDEX('CA Standards and Followers'!$G$7:$G$66,MATCH($A11,'CA Standards and Followers'!$A$7:$A$66,0))&lt;=J$1),INDEX('CA Standards and Followers'!$2:$2,MATCH(J$1,'CA Standards and Followers'!$1:$1,0)),0))</f>
        <v>0</v>
      </c>
      <c r="K11" s="39">
        <f>MAX(IFERROR(IF(INDEX('State Map'!$C:$C,MATCH(TRIM('RZSPbS-psgr-ldv'!$A11),'State Map'!$A:$A,0))="Max Ambition",Schedules!G$4,J11),J11),J11)</f>
        <v>0</v>
      </c>
      <c r="L11" s="39">
        <f>MAX(IFERROR(IF(INDEX('State Map'!$C:$C,MATCH(TRIM('RZSPbS-psgr-ldv'!$A11),'State Map'!$A:$A,0))="Max Ambition",Schedules!H$4,K11),K11),K11)</f>
        <v>0</v>
      </c>
      <c r="M11" s="39">
        <f>MAX(IFERROR(IF(INDEX('State Map'!$C:$C,MATCH(TRIM('RZSPbS-psgr-ldv'!$A11),'State Map'!$A:$A,0))="Max Ambition",Schedules!I$4,L11),L11),L11)</f>
        <v>0</v>
      </c>
      <c r="N11" s="39">
        <f>MAX(IFERROR(IF(INDEX('State Map'!$C:$C,MATCH(TRIM('RZSPbS-psgr-ldv'!$A11),'State Map'!$A:$A,0))="Max Ambition",Schedules!J$4,M11),M11),M11)</f>
        <v>0</v>
      </c>
      <c r="O11" s="39">
        <f>MAX(IFERROR(IF(INDEX('State Map'!$C:$C,MATCH(TRIM('RZSPbS-psgr-ldv'!$A11),'State Map'!$A:$A,0))="Max Ambition",Schedules!K$4,N11),N11),N11)</f>
        <v>0</v>
      </c>
      <c r="P11" s="39">
        <f>MAX(IFERROR(IF(INDEX('State Map'!$C:$C,MATCH(TRIM('RZSPbS-psgr-ldv'!$A11),'State Map'!$A:$A,0))="Max Ambition",Schedules!L$4,O11),O11),O11)</f>
        <v>0</v>
      </c>
      <c r="Q11" s="39">
        <f>MAX(IFERROR(IF(INDEX('State Map'!$C:$C,MATCH(TRIM('RZSPbS-psgr-ldv'!$A11),'State Map'!$A:$A,0))="Max Ambition",Schedules!M$4,P11),P11),P11)</f>
        <v>0</v>
      </c>
      <c r="R11" s="39">
        <f>MAX(IFERROR(IF(INDEX('State Map'!$C:$C,MATCH(TRIM('RZSPbS-psgr-ldv'!$A11),'State Map'!$A:$A,0))="Max Ambition",Schedules!N$4,Q11),Q11),Q11)</f>
        <v>0</v>
      </c>
      <c r="S11" s="39">
        <f>MAX(IFERROR(IF(INDEX('State Map'!$C:$C,MATCH(TRIM('RZSPbS-psgr-ldv'!$A11),'State Map'!$A:$A,0))="Max Ambition",Schedules!O$4,R11),R11),R11)</f>
        <v>0</v>
      </c>
      <c r="T11" s="39">
        <f>MAX(IFERROR(IF(INDEX('State Map'!$C:$C,MATCH(TRIM('RZSPbS-psgr-ldv'!$A11),'State Map'!$A:$A,0))="Max Ambition",Schedules!P$4,S11),S11),S11)</f>
        <v>0</v>
      </c>
      <c r="U11" s="39">
        <f>MAX(IFERROR(IF(INDEX('State Map'!$C:$C,MATCH(TRIM('RZSPbS-psgr-ldv'!$A11),'State Map'!$A:$A,0))="Max Ambition",Schedules!Q$4,T11),T11),T11)</f>
        <v>0</v>
      </c>
      <c r="V11" s="39">
        <f>MAX(IFERROR(IF(INDEX('State Map'!$C:$C,MATCH(TRIM('RZSPbS-psgr-ldv'!$A11),'State Map'!$A:$A,0))="Max Ambition",Schedules!R$4,U11),U11),U11)</f>
        <v>0</v>
      </c>
      <c r="W11" s="39">
        <f>MAX(IFERROR(IF(INDEX('State Map'!$C:$C,MATCH(TRIM('RZSPbS-psgr-ldv'!$A11),'State Map'!$A:$A,0))="Max Ambition",Schedules!S$4,V11),V11),V11)</f>
        <v>0</v>
      </c>
      <c r="X11" s="39">
        <f>MAX(IFERROR(IF(INDEX('State Map'!$C:$C,MATCH(TRIM('RZSPbS-psgr-ldv'!$A11),'State Map'!$A:$A,0))="Max Ambition",Schedules!T$4,W11),W11),W11)</f>
        <v>0</v>
      </c>
      <c r="Y11" s="39">
        <f>MAX(IFERROR(IF(INDEX('State Map'!$C:$C,MATCH(TRIM('RZSPbS-psgr-ldv'!$A11),'State Map'!$A:$A,0))="Max Ambition",Schedules!U$4,X11),X11),X11)</f>
        <v>0</v>
      </c>
      <c r="Z11" s="39">
        <f>MAX(IFERROR(IF(INDEX('State Map'!$C:$C,MATCH(TRIM('RZSPbS-psgr-ldv'!$A11),'State Map'!$A:$A,0))="Max Ambition",Schedules!V$4,Y11),Y11),Y11)</f>
        <v>0</v>
      </c>
      <c r="AA11" s="39">
        <f>MAX(IFERROR(IF(INDEX('State Map'!$C:$C,MATCH(TRIM('RZSPbS-psgr-ldv'!$A11),'State Map'!$A:$A,0))="Max Ambition",Schedules!W$4,Z11),Z11),Z11)</f>
        <v>0</v>
      </c>
      <c r="AB11" s="39">
        <f>MAX(IFERROR(IF(INDEX('State Map'!$C:$C,MATCH(TRIM('RZSPbS-psgr-ldv'!$A11),'State Map'!$A:$A,0))="Max Ambition",Schedules!X$4,AA11),AA11),AA11)</f>
        <v>0</v>
      </c>
      <c r="AC11" s="39">
        <f>MAX(IFERROR(IF(INDEX('State Map'!$C:$C,MATCH(TRIM('RZSPbS-psgr-ldv'!$A11),'State Map'!$A:$A,0))="Max Ambition",Schedules!Y$4,AB11),AB11),AB11)</f>
        <v>0</v>
      </c>
      <c r="AD11" s="39">
        <f>MAX(IFERROR(IF(INDEX('State Map'!$C:$C,MATCH(TRIM('RZSPbS-psgr-ldv'!$A11),'State Map'!$A:$A,0))="Max Ambition",Schedules!Z$4,AC11),AC11),AC11)</f>
        <v>0</v>
      </c>
      <c r="AE11" s="39">
        <f>MAX(IFERROR(IF(INDEX('State Map'!$C:$C,MATCH(TRIM('RZSPbS-psgr-ldv'!$A11),'State Map'!$A:$A,0))="Max Ambition",Schedules!AA$4,AD11),AD11),AD11)</f>
        <v>0</v>
      </c>
      <c r="AF11" s="39">
        <f>MAX(IFERROR(IF(INDEX('State Map'!$C:$C,MATCH(TRIM('RZSPbS-psgr-ldv'!$A11),'State Map'!$A:$A,0))="Max Ambition",Schedules!AB$4,AE11),AE11),AE11)</f>
        <v>0</v>
      </c>
    </row>
    <row r="12" spans="1:32" x14ac:dyDescent="0.25">
      <c r="A12" t="s">
        <v>11</v>
      </c>
      <c r="B12">
        <f>IF(AND(INDEX('CA Standards and Followers'!$E$7:$E$66,MATCH($A12,'CA Standards and Followers'!$A$7:$A$66,0))=1,INDEX('CA Standards and Followers'!$H$7:$H$66,MATCH($A12,'CA Standards and Followers'!$A$7:$A$66,0))&lt;=B$1),INDEX('CA Standards and Followers'!#REF!,MATCH(B$1,'CA Standards and Followers'!$1:$1,0)),IF(AND(INDEX('CA Standards and Followers'!$D$7:$D$66,MATCH($A12,'CA Standards and Followers'!$A$7:$A$66,0))=1,INDEX('CA Standards and Followers'!$G$7:$G$66,MATCH($A12,'CA Standards and Followers'!$A$7:$A$66,0))&lt;=B$1),INDEX('CA Standards and Followers'!$2:$2,MATCH(B$1,'CA Standards and Followers'!$1:$1,0)),0))</f>
        <v>0</v>
      </c>
      <c r="C12">
        <f>IF(AND(INDEX('CA Standards and Followers'!$E$7:$E$66,MATCH($A12,'CA Standards and Followers'!$A$7:$A$66,0))=1,INDEX('CA Standards and Followers'!$H$7:$H$66,MATCH($A12,'CA Standards and Followers'!$A$7:$A$66,0))&lt;=C$1),INDEX('CA Standards and Followers'!#REF!,MATCH(C$1,'CA Standards and Followers'!$1:$1,0)),IF(AND(INDEX('CA Standards and Followers'!$D$7:$D$66,MATCH($A12,'CA Standards and Followers'!$A$7:$A$66,0))=1,INDEX('CA Standards and Followers'!$G$7:$G$66,MATCH($A12,'CA Standards and Followers'!$A$7:$A$66,0))&lt;=C$1),INDEX('CA Standards and Followers'!$2:$2,MATCH(C$1,'CA Standards and Followers'!$1:$1,0)),0))</f>
        <v>0</v>
      </c>
      <c r="D12">
        <f>IF(AND(INDEX('CA Standards and Followers'!$E$7:$E$66,MATCH($A12,'CA Standards and Followers'!$A$7:$A$66,0))=1,INDEX('CA Standards and Followers'!$H$7:$H$66,MATCH($A12,'CA Standards and Followers'!$A$7:$A$66,0))&lt;=D$1),INDEX('CA Standards and Followers'!#REF!,MATCH(D$1,'CA Standards and Followers'!$1:$1,0)),IF(AND(INDEX('CA Standards and Followers'!$D$7:$D$66,MATCH($A12,'CA Standards and Followers'!$A$7:$A$66,0))=1,INDEX('CA Standards and Followers'!$G$7:$G$66,MATCH($A12,'CA Standards and Followers'!$A$7:$A$66,0))&lt;=D$1),INDEX('CA Standards and Followers'!$2:$2,MATCH(D$1,'CA Standards and Followers'!$1:$1,0)),0))</f>
        <v>0</v>
      </c>
      <c r="E12">
        <f>IF(AND(INDEX('CA Standards and Followers'!$E$7:$E$66,MATCH($A12,'CA Standards and Followers'!$A$7:$A$66,0))=1,INDEX('CA Standards and Followers'!$H$7:$H$66,MATCH($A12,'CA Standards and Followers'!$A$7:$A$66,0))&lt;=E$1),INDEX('CA Standards and Followers'!#REF!,MATCH(E$1,'CA Standards and Followers'!$1:$1,0)),IF(AND(INDEX('CA Standards and Followers'!$D$7:$D$66,MATCH($A12,'CA Standards and Followers'!$A$7:$A$66,0))=1,INDEX('CA Standards and Followers'!$G$7:$G$66,MATCH($A12,'CA Standards and Followers'!$A$7:$A$66,0))&lt;=E$1),INDEX('CA Standards and Followers'!$2:$2,MATCH(E$1,'CA Standards and Followers'!$1:$1,0)),0))</f>
        <v>0</v>
      </c>
      <c r="F12">
        <f>IF(AND(INDEX('CA Standards and Followers'!$E$7:$E$66,MATCH($A12,'CA Standards and Followers'!$A$7:$A$66,0))=1,INDEX('CA Standards and Followers'!$H$7:$H$66,MATCH($A12,'CA Standards and Followers'!$A$7:$A$66,0))&lt;=F$1),INDEX('CA Standards and Followers'!#REF!,MATCH(F$1,'CA Standards and Followers'!$1:$1,0)),IF(AND(INDEX('CA Standards and Followers'!$D$7:$D$66,MATCH($A12,'CA Standards and Followers'!$A$7:$A$66,0))=1,INDEX('CA Standards and Followers'!$G$7:$G$66,MATCH($A12,'CA Standards and Followers'!$A$7:$A$66,0))&lt;=F$1),INDEX('CA Standards and Followers'!$2:$2,MATCH(F$1,'CA Standards and Followers'!$1:$1,0)),0))</f>
        <v>0</v>
      </c>
      <c r="G12">
        <f>IF(AND(INDEX('CA Standards and Followers'!$E$7:$E$66,MATCH($A12,'CA Standards and Followers'!$A$7:$A$66,0))=1,INDEX('CA Standards and Followers'!$H$7:$H$66,MATCH($A12,'CA Standards and Followers'!$A$7:$A$66,0))&lt;=G$1),INDEX('CA Standards and Followers'!#REF!,MATCH(G$1,'CA Standards and Followers'!$1:$1,0)),IF(AND(INDEX('CA Standards and Followers'!$D$7:$D$66,MATCH($A12,'CA Standards and Followers'!$A$7:$A$66,0))=1,INDEX('CA Standards and Followers'!$G$7:$G$66,MATCH($A12,'CA Standards and Followers'!$A$7:$A$66,0))&lt;=G$1),INDEX('CA Standards and Followers'!$2:$2,MATCH(G$1,'CA Standards and Followers'!$1:$1,0)),0))</f>
        <v>0</v>
      </c>
      <c r="H12">
        <f>IF(AND(INDEX('CA Standards and Followers'!$E$7:$E$66,MATCH($A12,'CA Standards and Followers'!$A$7:$A$66,0))=1,INDEX('CA Standards and Followers'!$H$7:$H$66,MATCH($A12,'CA Standards and Followers'!$A$7:$A$66,0))&lt;=H$1),INDEX('CA Standards and Followers'!#REF!,MATCH(H$1,'CA Standards and Followers'!$1:$1,0)),IF(AND(INDEX('CA Standards and Followers'!$D$7:$D$66,MATCH($A12,'CA Standards and Followers'!$A$7:$A$66,0))=1,INDEX('CA Standards and Followers'!$G$7:$G$66,MATCH($A12,'CA Standards and Followers'!$A$7:$A$66,0))&lt;=H$1),INDEX('CA Standards and Followers'!$2:$2,MATCH(H$1,'CA Standards and Followers'!$1:$1,0)),0))</f>
        <v>0</v>
      </c>
      <c r="I12">
        <f>IF(AND(INDEX('CA Standards and Followers'!$E$7:$E$66,MATCH($A12,'CA Standards and Followers'!$A$7:$A$66,0))=1,INDEX('CA Standards and Followers'!$H$7:$H$66,MATCH($A12,'CA Standards and Followers'!$A$7:$A$66,0))&lt;=I$1),INDEX('CA Standards and Followers'!#REF!,MATCH(I$1,'CA Standards and Followers'!$1:$1,0)),IF(AND(INDEX('CA Standards and Followers'!$D$7:$D$66,MATCH($A12,'CA Standards and Followers'!$A$7:$A$66,0))=1,INDEX('CA Standards and Followers'!$G$7:$G$66,MATCH($A12,'CA Standards and Followers'!$A$7:$A$66,0))&lt;=I$1),INDEX('CA Standards and Followers'!$2:$2,MATCH(I$1,'CA Standards and Followers'!$1:$1,0)),0))</f>
        <v>0</v>
      </c>
      <c r="J12">
        <f>IF(AND(INDEX('CA Standards and Followers'!$E$7:$E$66,MATCH($A12,'CA Standards and Followers'!$A$7:$A$66,0))=1,INDEX('CA Standards and Followers'!$H$7:$H$66,MATCH($A12,'CA Standards and Followers'!$A$7:$A$66,0))&lt;=J$1),INDEX('CA Standards and Followers'!#REF!,MATCH(J$1,'CA Standards and Followers'!$1:$1,0)),IF(AND(INDEX('CA Standards and Followers'!$D$7:$D$66,MATCH($A12,'CA Standards and Followers'!$A$7:$A$66,0))=1,INDEX('CA Standards and Followers'!$G$7:$G$66,MATCH($A12,'CA Standards and Followers'!$A$7:$A$66,0))&lt;=J$1),INDEX('CA Standards and Followers'!$2:$2,MATCH(J$1,'CA Standards and Followers'!$1:$1,0)),0))</f>
        <v>0</v>
      </c>
      <c r="K12" s="39">
        <f>MAX(IFERROR(IF(INDEX('State Map'!$C:$C,MATCH(TRIM('RZSPbS-psgr-ldv'!$A12),'State Map'!$A:$A,0))="Max Ambition",Schedules!G$4,J12),J12),J12)</f>
        <v>0</v>
      </c>
      <c r="L12" s="39">
        <f>MAX(IFERROR(IF(INDEX('State Map'!$C:$C,MATCH(TRIM('RZSPbS-psgr-ldv'!$A12),'State Map'!$A:$A,0))="Max Ambition",Schedules!H$4,K12),K12),K12)</f>
        <v>0</v>
      </c>
      <c r="M12" s="39">
        <f>MAX(IFERROR(IF(INDEX('State Map'!$C:$C,MATCH(TRIM('RZSPbS-psgr-ldv'!$A12),'State Map'!$A:$A,0))="Max Ambition",Schedules!I$4,L12),L12),L12)</f>
        <v>0</v>
      </c>
      <c r="N12" s="39">
        <f>MAX(IFERROR(IF(INDEX('State Map'!$C:$C,MATCH(TRIM('RZSPbS-psgr-ldv'!$A12),'State Map'!$A:$A,0))="Max Ambition",Schedules!J$4,M12),M12),M12)</f>
        <v>0</v>
      </c>
      <c r="O12" s="39">
        <f>MAX(IFERROR(IF(INDEX('State Map'!$C:$C,MATCH(TRIM('RZSPbS-psgr-ldv'!$A12),'State Map'!$A:$A,0))="Max Ambition",Schedules!K$4,N12),N12),N12)</f>
        <v>0</v>
      </c>
      <c r="P12" s="39">
        <f>MAX(IFERROR(IF(INDEX('State Map'!$C:$C,MATCH(TRIM('RZSPbS-psgr-ldv'!$A12),'State Map'!$A:$A,0))="Max Ambition",Schedules!L$4,O12),O12),O12)</f>
        <v>0</v>
      </c>
      <c r="Q12" s="39">
        <f>MAX(IFERROR(IF(INDEX('State Map'!$C:$C,MATCH(TRIM('RZSPbS-psgr-ldv'!$A12),'State Map'!$A:$A,0))="Max Ambition",Schedules!M$4,P12),P12),P12)</f>
        <v>0</v>
      </c>
      <c r="R12" s="39">
        <f>MAX(IFERROR(IF(INDEX('State Map'!$C:$C,MATCH(TRIM('RZSPbS-psgr-ldv'!$A12),'State Map'!$A:$A,0))="Max Ambition",Schedules!N$4,Q12),Q12),Q12)</f>
        <v>0</v>
      </c>
      <c r="S12" s="39">
        <f>MAX(IFERROR(IF(INDEX('State Map'!$C:$C,MATCH(TRIM('RZSPbS-psgr-ldv'!$A12),'State Map'!$A:$A,0))="Max Ambition",Schedules!O$4,R12),R12),R12)</f>
        <v>0</v>
      </c>
      <c r="T12" s="39">
        <f>MAX(IFERROR(IF(INDEX('State Map'!$C:$C,MATCH(TRIM('RZSPbS-psgr-ldv'!$A12),'State Map'!$A:$A,0))="Max Ambition",Schedules!P$4,S12),S12),S12)</f>
        <v>0</v>
      </c>
      <c r="U12" s="39">
        <f>MAX(IFERROR(IF(INDEX('State Map'!$C:$C,MATCH(TRIM('RZSPbS-psgr-ldv'!$A12),'State Map'!$A:$A,0))="Max Ambition",Schedules!Q$4,T12),T12),T12)</f>
        <v>0</v>
      </c>
      <c r="V12" s="39">
        <f>MAX(IFERROR(IF(INDEX('State Map'!$C:$C,MATCH(TRIM('RZSPbS-psgr-ldv'!$A12),'State Map'!$A:$A,0))="Max Ambition",Schedules!R$4,U12),U12),U12)</f>
        <v>0</v>
      </c>
      <c r="W12" s="39">
        <f>MAX(IFERROR(IF(INDEX('State Map'!$C:$C,MATCH(TRIM('RZSPbS-psgr-ldv'!$A12),'State Map'!$A:$A,0))="Max Ambition",Schedules!S$4,V12),V12),V12)</f>
        <v>0</v>
      </c>
      <c r="X12" s="39">
        <f>MAX(IFERROR(IF(INDEX('State Map'!$C:$C,MATCH(TRIM('RZSPbS-psgr-ldv'!$A12),'State Map'!$A:$A,0))="Max Ambition",Schedules!T$4,W12),W12),W12)</f>
        <v>0</v>
      </c>
      <c r="Y12" s="39">
        <f>MAX(IFERROR(IF(INDEX('State Map'!$C:$C,MATCH(TRIM('RZSPbS-psgr-ldv'!$A12),'State Map'!$A:$A,0))="Max Ambition",Schedules!U$4,X12),X12),X12)</f>
        <v>0</v>
      </c>
      <c r="Z12" s="39">
        <f>MAX(IFERROR(IF(INDEX('State Map'!$C:$C,MATCH(TRIM('RZSPbS-psgr-ldv'!$A12),'State Map'!$A:$A,0))="Max Ambition",Schedules!V$4,Y12),Y12),Y12)</f>
        <v>0</v>
      </c>
      <c r="AA12" s="39">
        <f>MAX(IFERROR(IF(INDEX('State Map'!$C:$C,MATCH(TRIM('RZSPbS-psgr-ldv'!$A12),'State Map'!$A:$A,0))="Max Ambition",Schedules!W$4,Z12),Z12),Z12)</f>
        <v>0</v>
      </c>
      <c r="AB12" s="39">
        <f>MAX(IFERROR(IF(INDEX('State Map'!$C:$C,MATCH(TRIM('RZSPbS-psgr-ldv'!$A12),'State Map'!$A:$A,0))="Max Ambition",Schedules!X$4,AA12),AA12),AA12)</f>
        <v>0</v>
      </c>
      <c r="AC12" s="39">
        <f>MAX(IFERROR(IF(INDEX('State Map'!$C:$C,MATCH(TRIM('RZSPbS-psgr-ldv'!$A12),'State Map'!$A:$A,0))="Max Ambition",Schedules!Y$4,AB12),AB12),AB12)</f>
        <v>0</v>
      </c>
      <c r="AD12" s="39">
        <f>MAX(IFERROR(IF(INDEX('State Map'!$C:$C,MATCH(TRIM('RZSPbS-psgr-ldv'!$A12),'State Map'!$A:$A,0))="Max Ambition",Schedules!Z$4,AC12),AC12),AC12)</f>
        <v>0</v>
      </c>
      <c r="AE12" s="39">
        <f>MAX(IFERROR(IF(INDEX('State Map'!$C:$C,MATCH(TRIM('RZSPbS-psgr-ldv'!$A12),'State Map'!$A:$A,0))="Max Ambition",Schedules!AA$4,AD12),AD12),AD12)</f>
        <v>0</v>
      </c>
      <c r="AF12" s="39">
        <f>MAX(IFERROR(IF(INDEX('State Map'!$C:$C,MATCH(TRIM('RZSPbS-psgr-ldv'!$A12),'State Map'!$A:$A,0))="Max Ambition",Schedules!AB$4,AE12),AE12),AE12)</f>
        <v>0</v>
      </c>
    </row>
    <row r="13" spans="1:32" x14ac:dyDescent="0.25">
      <c r="A13" t="s">
        <v>12</v>
      </c>
      <c r="B13">
        <f>IF(AND(INDEX('CA Standards and Followers'!$E$7:$E$66,MATCH($A13,'CA Standards and Followers'!$A$7:$A$66,0))=1,INDEX('CA Standards and Followers'!$H$7:$H$66,MATCH($A13,'CA Standards and Followers'!$A$7:$A$66,0))&lt;=B$1),INDEX('CA Standards and Followers'!#REF!,MATCH(B$1,'CA Standards and Followers'!$1:$1,0)),IF(AND(INDEX('CA Standards and Followers'!$D$7:$D$66,MATCH($A13,'CA Standards and Followers'!$A$7:$A$66,0))=1,INDEX('CA Standards and Followers'!$G$7:$G$66,MATCH($A13,'CA Standards and Followers'!$A$7:$A$66,0))&lt;=B$1),INDEX('CA Standards and Followers'!$2:$2,MATCH(B$1,'CA Standards and Followers'!$1:$1,0)),0))</f>
        <v>0</v>
      </c>
      <c r="C13">
        <f>IF(AND(INDEX('CA Standards and Followers'!$E$7:$E$66,MATCH($A13,'CA Standards and Followers'!$A$7:$A$66,0))=1,INDEX('CA Standards and Followers'!$H$7:$H$66,MATCH($A13,'CA Standards and Followers'!$A$7:$A$66,0))&lt;=C$1),INDEX('CA Standards and Followers'!#REF!,MATCH(C$1,'CA Standards and Followers'!$1:$1,0)),IF(AND(INDEX('CA Standards and Followers'!$D$7:$D$66,MATCH($A13,'CA Standards and Followers'!$A$7:$A$66,0))=1,INDEX('CA Standards and Followers'!$G$7:$G$66,MATCH($A13,'CA Standards and Followers'!$A$7:$A$66,0))&lt;=C$1),INDEX('CA Standards and Followers'!$2:$2,MATCH(C$1,'CA Standards and Followers'!$1:$1,0)),0))</f>
        <v>0</v>
      </c>
      <c r="D13">
        <f>IF(AND(INDEX('CA Standards and Followers'!$E$7:$E$66,MATCH($A13,'CA Standards and Followers'!$A$7:$A$66,0))=1,INDEX('CA Standards and Followers'!$H$7:$H$66,MATCH($A13,'CA Standards and Followers'!$A$7:$A$66,0))&lt;=D$1),INDEX('CA Standards and Followers'!#REF!,MATCH(D$1,'CA Standards and Followers'!$1:$1,0)),IF(AND(INDEX('CA Standards and Followers'!$D$7:$D$66,MATCH($A13,'CA Standards and Followers'!$A$7:$A$66,0))=1,INDEX('CA Standards and Followers'!$G$7:$G$66,MATCH($A13,'CA Standards and Followers'!$A$7:$A$66,0))&lt;=D$1),INDEX('CA Standards and Followers'!$2:$2,MATCH(D$1,'CA Standards and Followers'!$1:$1,0)),0))</f>
        <v>0</v>
      </c>
      <c r="E13">
        <f>IF(AND(INDEX('CA Standards and Followers'!$E$7:$E$66,MATCH($A13,'CA Standards and Followers'!$A$7:$A$66,0))=1,INDEX('CA Standards and Followers'!$H$7:$H$66,MATCH($A13,'CA Standards and Followers'!$A$7:$A$66,0))&lt;=E$1),INDEX('CA Standards and Followers'!#REF!,MATCH(E$1,'CA Standards and Followers'!$1:$1,0)),IF(AND(INDEX('CA Standards and Followers'!$D$7:$D$66,MATCH($A13,'CA Standards and Followers'!$A$7:$A$66,0))=1,INDEX('CA Standards and Followers'!$G$7:$G$66,MATCH($A13,'CA Standards and Followers'!$A$7:$A$66,0))&lt;=E$1),INDEX('CA Standards and Followers'!$2:$2,MATCH(E$1,'CA Standards and Followers'!$1:$1,0)),0))</f>
        <v>0</v>
      </c>
      <c r="F13">
        <f>IF(AND(INDEX('CA Standards and Followers'!$E$7:$E$66,MATCH($A13,'CA Standards and Followers'!$A$7:$A$66,0))=1,INDEX('CA Standards and Followers'!$H$7:$H$66,MATCH($A13,'CA Standards and Followers'!$A$7:$A$66,0))&lt;=F$1),INDEX('CA Standards and Followers'!#REF!,MATCH(F$1,'CA Standards and Followers'!$1:$1,0)),IF(AND(INDEX('CA Standards and Followers'!$D$7:$D$66,MATCH($A13,'CA Standards and Followers'!$A$7:$A$66,0))=1,INDEX('CA Standards and Followers'!$G$7:$G$66,MATCH($A13,'CA Standards and Followers'!$A$7:$A$66,0))&lt;=F$1),INDEX('CA Standards and Followers'!$2:$2,MATCH(F$1,'CA Standards and Followers'!$1:$1,0)),0))</f>
        <v>0</v>
      </c>
      <c r="G13">
        <f>IF(AND(INDEX('CA Standards and Followers'!$E$7:$E$66,MATCH($A13,'CA Standards and Followers'!$A$7:$A$66,0))=1,INDEX('CA Standards and Followers'!$H$7:$H$66,MATCH($A13,'CA Standards and Followers'!$A$7:$A$66,0))&lt;=G$1),INDEX('CA Standards and Followers'!#REF!,MATCH(G$1,'CA Standards and Followers'!$1:$1,0)),IF(AND(INDEX('CA Standards and Followers'!$D$7:$D$66,MATCH($A13,'CA Standards and Followers'!$A$7:$A$66,0))=1,INDEX('CA Standards and Followers'!$G$7:$G$66,MATCH($A13,'CA Standards and Followers'!$A$7:$A$66,0))&lt;=G$1),INDEX('CA Standards and Followers'!$2:$2,MATCH(G$1,'CA Standards and Followers'!$1:$1,0)),0))</f>
        <v>0</v>
      </c>
      <c r="H13">
        <f>IF(AND(INDEX('CA Standards and Followers'!$E$7:$E$66,MATCH($A13,'CA Standards and Followers'!$A$7:$A$66,0))=1,INDEX('CA Standards and Followers'!$H$7:$H$66,MATCH($A13,'CA Standards and Followers'!$A$7:$A$66,0))&lt;=H$1),INDEX('CA Standards and Followers'!#REF!,MATCH(H$1,'CA Standards and Followers'!$1:$1,0)),IF(AND(INDEX('CA Standards and Followers'!$D$7:$D$66,MATCH($A13,'CA Standards and Followers'!$A$7:$A$66,0))=1,INDEX('CA Standards and Followers'!$G$7:$G$66,MATCH($A13,'CA Standards and Followers'!$A$7:$A$66,0))&lt;=H$1),INDEX('CA Standards and Followers'!$2:$2,MATCH(H$1,'CA Standards and Followers'!$1:$1,0)),0))</f>
        <v>0</v>
      </c>
      <c r="I13">
        <f>IF(AND(INDEX('CA Standards and Followers'!$E$7:$E$66,MATCH($A13,'CA Standards and Followers'!$A$7:$A$66,0))=1,INDEX('CA Standards and Followers'!$H$7:$H$66,MATCH($A13,'CA Standards and Followers'!$A$7:$A$66,0))&lt;=I$1),INDEX('CA Standards and Followers'!#REF!,MATCH(I$1,'CA Standards and Followers'!$1:$1,0)),IF(AND(INDEX('CA Standards and Followers'!$D$7:$D$66,MATCH($A13,'CA Standards and Followers'!$A$7:$A$66,0))=1,INDEX('CA Standards and Followers'!$G$7:$G$66,MATCH($A13,'CA Standards and Followers'!$A$7:$A$66,0))&lt;=I$1),INDEX('CA Standards and Followers'!$2:$2,MATCH(I$1,'CA Standards and Followers'!$1:$1,0)),0))</f>
        <v>0</v>
      </c>
      <c r="J13">
        <f>IF(AND(INDEX('CA Standards and Followers'!$E$7:$E$66,MATCH($A13,'CA Standards and Followers'!$A$7:$A$66,0))=1,INDEX('CA Standards and Followers'!$H$7:$H$66,MATCH($A13,'CA Standards and Followers'!$A$7:$A$66,0))&lt;=J$1),INDEX('CA Standards and Followers'!#REF!,MATCH(J$1,'CA Standards and Followers'!$1:$1,0)),IF(AND(INDEX('CA Standards and Followers'!$D$7:$D$66,MATCH($A13,'CA Standards and Followers'!$A$7:$A$66,0))=1,INDEX('CA Standards and Followers'!$G$7:$G$66,MATCH($A13,'CA Standards and Followers'!$A$7:$A$66,0))&lt;=J$1),INDEX('CA Standards and Followers'!$2:$2,MATCH(J$1,'CA Standards and Followers'!$1:$1,0)),0))</f>
        <v>0</v>
      </c>
      <c r="K13" s="39">
        <f>MAX(IFERROR(IF(INDEX('State Map'!$C:$C,MATCH(TRIM('RZSPbS-psgr-ldv'!$A13),'State Map'!$A:$A,0))="Max Ambition",Schedules!G$4,J13),J13),J13)</f>
        <v>0</v>
      </c>
      <c r="L13" s="39">
        <f>MAX(IFERROR(IF(INDEX('State Map'!$C:$C,MATCH(TRIM('RZSPbS-psgr-ldv'!$A13),'State Map'!$A:$A,0))="Max Ambition",Schedules!H$4,K13),K13),K13)</f>
        <v>0</v>
      </c>
      <c r="M13" s="39">
        <f>MAX(IFERROR(IF(INDEX('State Map'!$C:$C,MATCH(TRIM('RZSPbS-psgr-ldv'!$A13),'State Map'!$A:$A,0))="Max Ambition",Schedules!I$4,L13),L13),L13)</f>
        <v>0</v>
      </c>
      <c r="N13" s="39">
        <f>MAX(IFERROR(IF(INDEX('State Map'!$C:$C,MATCH(TRIM('RZSPbS-psgr-ldv'!$A13),'State Map'!$A:$A,0))="Max Ambition",Schedules!J$4,M13),M13),M13)</f>
        <v>0</v>
      </c>
      <c r="O13" s="39">
        <f>MAX(IFERROR(IF(INDEX('State Map'!$C:$C,MATCH(TRIM('RZSPbS-psgr-ldv'!$A13),'State Map'!$A:$A,0))="Max Ambition",Schedules!K$4,N13),N13),N13)</f>
        <v>0</v>
      </c>
      <c r="P13" s="39">
        <f>MAX(IFERROR(IF(INDEX('State Map'!$C:$C,MATCH(TRIM('RZSPbS-psgr-ldv'!$A13),'State Map'!$A:$A,0))="Max Ambition",Schedules!L$4,O13),O13),O13)</f>
        <v>0</v>
      </c>
      <c r="Q13" s="39">
        <f>MAX(IFERROR(IF(INDEX('State Map'!$C:$C,MATCH(TRIM('RZSPbS-psgr-ldv'!$A13),'State Map'!$A:$A,0))="Max Ambition",Schedules!M$4,P13),P13),P13)</f>
        <v>0</v>
      </c>
      <c r="R13" s="39">
        <f>MAX(IFERROR(IF(INDEX('State Map'!$C:$C,MATCH(TRIM('RZSPbS-psgr-ldv'!$A13),'State Map'!$A:$A,0))="Max Ambition",Schedules!N$4,Q13),Q13),Q13)</f>
        <v>0</v>
      </c>
      <c r="S13" s="39">
        <f>MAX(IFERROR(IF(INDEX('State Map'!$C:$C,MATCH(TRIM('RZSPbS-psgr-ldv'!$A13),'State Map'!$A:$A,0))="Max Ambition",Schedules!O$4,R13),R13),R13)</f>
        <v>0</v>
      </c>
      <c r="T13" s="39">
        <f>MAX(IFERROR(IF(INDEX('State Map'!$C:$C,MATCH(TRIM('RZSPbS-psgr-ldv'!$A13),'State Map'!$A:$A,0))="Max Ambition",Schedules!P$4,S13),S13),S13)</f>
        <v>0</v>
      </c>
      <c r="U13" s="39">
        <f>MAX(IFERROR(IF(INDEX('State Map'!$C:$C,MATCH(TRIM('RZSPbS-psgr-ldv'!$A13),'State Map'!$A:$A,0))="Max Ambition",Schedules!Q$4,T13),T13),T13)</f>
        <v>0</v>
      </c>
      <c r="V13" s="39">
        <f>MAX(IFERROR(IF(INDEX('State Map'!$C:$C,MATCH(TRIM('RZSPbS-psgr-ldv'!$A13),'State Map'!$A:$A,0))="Max Ambition",Schedules!R$4,U13),U13),U13)</f>
        <v>0</v>
      </c>
      <c r="W13" s="39">
        <f>MAX(IFERROR(IF(INDEX('State Map'!$C:$C,MATCH(TRIM('RZSPbS-psgr-ldv'!$A13),'State Map'!$A:$A,0))="Max Ambition",Schedules!S$4,V13),V13),V13)</f>
        <v>0</v>
      </c>
      <c r="X13" s="39">
        <f>MAX(IFERROR(IF(INDEX('State Map'!$C:$C,MATCH(TRIM('RZSPbS-psgr-ldv'!$A13),'State Map'!$A:$A,0))="Max Ambition",Schedules!T$4,W13),W13),W13)</f>
        <v>0</v>
      </c>
      <c r="Y13" s="39">
        <f>MAX(IFERROR(IF(INDEX('State Map'!$C:$C,MATCH(TRIM('RZSPbS-psgr-ldv'!$A13),'State Map'!$A:$A,0))="Max Ambition",Schedules!U$4,X13),X13),X13)</f>
        <v>0</v>
      </c>
      <c r="Z13" s="39">
        <f>MAX(IFERROR(IF(INDEX('State Map'!$C:$C,MATCH(TRIM('RZSPbS-psgr-ldv'!$A13),'State Map'!$A:$A,0))="Max Ambition",Schedules!V$4,Y13),Y13),Y13)</f>
        <v>0</v>
      </c>
      <c r="AA13" s="39">
        <f>MAX(IFERROR(IF(INDEX('State Map'!$C:$C,MATCH(TRIM('RZSPbS-psgr-ldv'!$A13),'State Map'!$A:$A,0))="Max Ambition",Schedules!W$4,Z13),Z13),Z13)</f>
        <v>0</v>
      </c>
      <c r="AB13" s="39">
        <f>MAX(IFERROR(IF(INDEX('State Map'!$C:$C,MATCH(TRIM('RZSPbS-psgr-ldv'!$A13),'State Map'!$A:$A,0))="Max Ambition",Schedules!X$4,AA13),AA13),AA13)</f>
        <v>0</v>
      </c>
      <c r="AC13" s="39">
        <f>MAX(IFERROR(IF(INDEX('State Map'!$C:$C,MATCH(TRIM('RZSPbS-psgr-ldv'!$A13),'State Map'!$A:$A,0))="Max Ambition",Schedules!Y$4,AB13),AB13),AB13)</f>
        <v>0</v>
      </c>
      <c r="AD13" s="39">
        <f>MAX(IFERROR(IF(INDEX('State Map'!$C:$C,MATCH(TRIM('RZSPbS-psgr-ldv'!$A13),'State Map'!$A:$A,0))="Max Ambition",Schedules!Z$4,AC13),AC13),AC13)</f>
        <v>0</v>
      </c>
      <c r="AE13" s="39">
        <f>MAX(IFERROR(IF(INDEX('State Map'!$C:$C,MATCH(TRIM('RZSPbS-psgr-ldv'!$A13),'State Map'!$A:$A,0))="Max Ambition",Schedules!AA$4,AD13),AD13),AD13)</f>
        <v>0</v>
      </c>
      <c r="AF13" s="39">
        <f>MAX(IFERROR(IF(INDEX('State Map'!$C:$C,MATCH(TRIM('RZSPbS-psgr-ldv'!$A13),'State Map'!$A:$A,0))="Max Ambition",Schedules!AB$4,AE13),AE13),AE13)</f>
        <v>0</v>
      </c>
    </row>
    <row r="14" spans="1:32" x14ac:dyDescent="0.25">
      <c r="A14" t="s">
        <v>13</v>
      </c>
      <c r="B14">
        <f>IF(AND(INDEX('CA Standards and Followers'!$E$7:$E$66,MATCH($A14,'CA Standards and Followers'!$A$7:$A$66,0))=1,INDEX('CA Standards and Followers'!$H$7:$H$66,MATCH($A14,'CA Standards and Followers'!$A$7:$A$66,0))&lt;=B$1),INDEX('CA Standards and Followers'!#REF!,MATCH(B$1,'CA Standards and Followers'!$1:$1,0)),IF(AND(INDEX('CA Standards and Followers'!$D$7:$D$66,MATCH($A14,'CA Standards and Followers'!$A$7:$A$66,0))=1,INDEX('CA Standards and Followers'!$G$7:$G$66,MATCH($A14,'CA Standards and Followers'!$A$7:$A$66,0))&lt;=B$1),INDEX('CA Standards and Followers'!$2:$2,MATCH(B$1,'CA Standards and Followers'!$1:$1,0)),0))</f>
        <v>0</v>
      </c>
      <c r="C14">
        <f>IF(AND(INDEX('CA Standards and Followers'!$E$7:$E$66,MATCH($A14,'CA Standards and Followers'!$A$7:$A$66,0))=1,INDEX('CA Standards and Followers'!$H$7:$H$66,MATCH($A14,'CA Standards and Followers'!$A$7:$A$66,0))&lt;=C$1),INDEX('CA Standards and Followers'!#REF!,MATCH(C$1,'CA Standards and Followers'!$1:$1,0)),IF(AND(INDEX('CA Standards and Followers'!$D$7:$D$66,MATCH($A14,'CA Standards and Followers'!$A$7:$A$66,0))=1,INDEX('CA Standards and Followers'!$G$7:$G$66,MATCH($A14,'CA Standards and Followers'!$A$7:$A$66,0))&lt;=C$1),INDEX('CA Standards and Followers'!$2:$2,MATCH(C$1,'CA Standards and Followers'!$1:$1,0)),0))</f>
        <v>0</v>
      </c>
      <c r="D14">
        <f>IF(AND(INDEX('CA Standards and Followers'!$E$7:$E$66,MATCH($A14,'CA Standards and Followers'!$A$7:$A$66,0))=1,INDEX('CA Standards and Followers'!$H$7:$H$66,MATCH($A14,'CA Standards and Followers'!$A$7:$A$66,0))&lt;=D$1),INDEX('CA Standards and Followers'!#REF!,MATCH(D$1,'CA Standards and Followers'!$1:$1,0)),IF(AND(INDEX('CA Standards and Followers'!$D$7:$D$66,MATCH($A14,'CA Standards and Followers'!$A$7:$A$66,0))=1,INDEX('CA Standards and Followers'!$G$7:$G$66,MATCH($A14,'CA Standards and Followers'!$A$7:$A$66,0))&lt;=D$1),INDEX('CA Standards and Followers'!$2:$2,MATCH(D$1,'CA Standards and Followers'!$1:$1,0)),0))</f>
        <v>0</v>
      </c>
      <c r="E14">
        <f>IF(AND(INDEX('CA Standards and Followers'!$E$7:$E$66,MATCH($A14,'CA Standards and Followers'!$A$7:$A$66,0))=1,INDEX('CA Standards and Followers'!$H$7:$H$66,MATCH($A14,'CA Standards and Followers'!$A$7:$A$66,0))&lt;=E$1),INDEX('CA Standards and Followers'!#REF!,MATCH(E$1,'CA Standards and Followers'!$1:$1,0)),IF(AND(INDEX('CA Standards and Followers'!$D$7:$D$66,MATCH($A14,'CA Standards and Followers'!$A$7:$A$66,0))=1,INDEX('CA Standards and Followers'!$G$7:$G$66,MATCH($A14,'CA Standards and Followers'!$A$7:$A$66,0))&lt;=E$1),INDEX('CA Standards and Followers'!$2:$2,MATCH(E$1,'CA Standards and Followers'!$1:$1,0)),0))</f>
        <v>0</v>
      </c>
      <c r="F14">
        <f>IF(AND(INDEX('CA Standards and Followers'!$E$7:$E$66,MATCH($A14,'CA Standards and Followers'!$A$7:$A$66,0))=1,INDEX('CA Standards and Followers'!$H$7:$H$66,MATCH($A14,'CA Standards and Followers'!$A$7:$A$66,0))&lt;=F$1),INDEX('CA Standards and Followers'!#REF!,MATCH(F$1,'CA Standards and Followers'!$1:$1,0)),IF(AND(INDEX('CA Standards and Followers'!$D$7:$D$66,MATCH($A14,'CA Standards and Followers'!$A$7:$A$66,0))=1,INDEX('CA Standards and Followers'!$G$7:$G$66,MATCH($A14,'CA Standards and Followers'!$A$7:$A$66,0))&lt;=F$1),INDEX('CA Standards and Followers'!$2:$2,MATCH(F$1,'CA Standards and Followers'!$1:$1,0)),0))</f>
        <v>0</v>
      </c>
      <c r="G14">
        <f>IF(AND(INDEX('CA Standards and Followers'!$E$7:$E$66,MATCH($A14,'CA Standards and Followers'!$A$7:$A$66,0))=1,INDEX('CA Standards and Followers'!$H$7:$H$66,MATCH($A14,'CA Standards and Followers'!$A$7:$A$66,0))&lt;=G$1),INDEX('CA Standards and Followers'!#REF!,MATCH(G$1,'CA Standards and Followers'!$1:$1,0)),IF(AND(INDEX('CA Standards and Followers'!$D$7:$D$66,MATCH($A14,'CA Standards and Followers'!$A$7:$A$66,0))=1,INDEX('CA Standards and Followers'!$G$7:$G$66,MATCH($A14,'CA Standards and Followers'!$A$7:$A$66,0))&lt;=G$1),INDEX('CA Standards and Followers'!$2:$2,MATCH(G$1,'CA Standards and Followers'!$1:$1,0)),0))</f>
        <v>0</v>
      </c>
      <c r="H14">
        <f>IF(AND(INDEX('CA Standards and Followers'!$E$7:$E$66,MATCH($A14,'CA Standards and Followers'!$A$7:$A$66,0))=1,INDEX('CA Standards and Followers'!$H$7:$H$66,MATCH($A14,'CA Standards and Followers'!$A$7:$A$66,0))&lt;=H$1),INDEX('CA Standards and Followers'!#REF!,MATCH(H$1,'CA Standards and Followers'!$1:$1,0)),IF(AND(INDEX('CA Standards and Followers'!$D$7:$D$66,MATCH($A14,'CA Standards and Followers'!$A$7:$A$66,0))=1,INDEX('CA Standards and Followers'!$G$7:$G$66,MATCH($A14,'CA Standards and Followers'!$A$7:$A$66,0))&lt;=H$1),INDEX('CA Standards and Followers'!$2:$2,MATCH(H$1,'CA Standards and Followers'!$1:$1,0)),0))</f>
        <v>0</v>
      </c>
      <c r="I14">
        <f>IF(AND(INDEX('CA Standards and Followers'!$E$7:$E$66,MATCH($A14,'CA Standards and Followers'!$A$7:$A$66,0))=1,INDEX('CA Standards and Followers'!$H$7:$H$66,MATCH($A14,'CA Standards and Followers'!$A$7:$A$66,0))&lt;=I$1),INDEX('CA Standards and Followers'!#REF!,MATCH(I$1,'CA Standards and Followers'!$1:$1,0)),IF(AND(INDEX('CA Standards and Followers'!$D$7:$D$66,MATCH($A14,'CA Standards and Followers'!$A$7:$A$66,0))=1,INDEX('CA Standards and Followers'!$G$7:$G$66,MATCH($A14,'CA Standards and Followers'!$A$7:$A$66,0))&lt;=I$1),INDEX('CA Standards and Followers'!$2:$2,MATCH(I$1,'CA Standards and Followers'!$1:$1,0)),0))</f>
        <v>0</v>
      </c>
      <c r="J14">
        <f>IF(AND(INDEX('CA Standards and Followers'!$E$7:$E$66,MATCH($A14,'CA Standards and Followers'!$A$7:$A$66,0))=1,INDEX('CA Standards and Followers'!$H$7:$H$66,MATCH($A14,'CA Standards and Followers'!$A$7:$A$66,0))&lt;=J$1),INDEX('CA Standards and Followers'!#REF!,MATCH(J$1,'CA Standards and Followers'!$1:$1,0)),IF(AND(INDEX('CA Standards and Followers'!$D$7:$D$66,MATCH($A14,'CA Standards and Followers'!$A$7:$A$66,0))=1,INDEX('CA Standards and Followers'!$G$7:$G$66,MATCH($A14,'CA Standards and Followers'!$A$7:$A$66,0))&lt;=J$1),INDEX('CA Standards and Followers'!$2:$2,MATCH(J$1,'CA Standards and Followers'!$1:$1,0)),0))</f>
        <v>0</v>
      </c>
      <c r="K14" s="39">
        <f>MAX(IFERROR(IF(INDEX('State Map'!$C:$C,MATCH(TRIM('RZSPbS-psgr-ldv'!$A14),'State Map'!$A:$A,0))="Max Ambition",Schedules!G$4,J14),J14),J14)</f>
        <v>0</v>
      </c>
      <c r="L14" s="39">
        <f>MAX(IFERROR(IF(INDEX('State Map'!$C:$C,MATCH(TRIM('RZSPbS-psgr-ldv'!$A14),'State Map'!$A:$A,0))="Max Ambition",Schedules!H$4,K14),K14),K14)</f>
        <v>0</v>
      </c>
      <c r="M14" s="39">
        <f>MAX(IFERROR(IF(INDEX('State Map'!$C:$C,MATCH(TRIM('RZSPbS-psgr-ldv'!$A14),'State Map'!$A:$A,0))="Max Ambition",Schedules!I$4,L14),L14),L14)</f>
        <v>0</v>
      </c>
      <c r="N14" s="39">
        <f>MAX(IFERROR(IF(INDEX('State Map'!$C:$C,MATCH(TRIM('RZSPbS-psgr-ldv'!$A14),'State Map'!$A:$A,0))="Max Ambition",Schedules!J$4,M14),M14),M14)</f>
        <v>0</v>
      </c>
      <c r="O14" s="39">
        <f>MAX(IFERROR(IF(INDEX('State Map'!$C:$C,MATCH(TRIM('RZSPbS-psgr-ldv'!$A14),'State Map'!$A:$A,0))="Max Ambition",Schedules!K$4,N14),N14),N14)</f>
        <v>0</v>
      </c>
      <c r="P14" s="39">
        <f>MAX(IFERROR(IF(INDEX('State Map'!$C:$C,MATCH(TRIM('RZSPbS-psgr-ldv'!$A14),'State Map'!$A:$A,0))="Max Ambition",Schedules!L$4,O14),O14),O14)</f>
        <v>0</v>
      </c>
      <c r="Q14" s="39">
        <f>MAX(IFERROR(IF(INDEX('State Map'!$C:$C,MATCH(TRIM('RZSPbS-psgr-ldv'!$A14),'State Map'!$A:$A,0))="Max Ambition",Schedules!M$4,P14),P14),P14)</f>
        <v>0</v>
      </c>
      <c r="R14" s="39">
        <f>MAX(IFERROR(IF(INDEX('State Map'!$C:$C,MATCH(TRIM('RZSPbS-psgr-ldv'!$A14),'State Map'!$A:$A,0))="Max Ambition",Schedules!N$4,Q14),Q14),Q14)</f>
        <v>0</v>
      </c>
      <c r="S14" s="39">
        <f>MAX(IFERROR(IF(INDEX('State Map'!$C:$C,MATCH(TRIM('RZSPbS-psgr-ldv'!$A14),'State Map'!$A:$A,0))="Max Ambition",Schedules!O$4,R14),R14),R14)</f>
        <v>0</v>
      </c>
      <c r="T14" s="39">
        <f>MAX(IFERROR(IF(INDEX('State Map'!$C:$C,MATCH(TRIM('RZSPbS-psgr-ldv'!$A14),'State Map'!$A:$A,0))="Max Ambition",Schedules!P$4,S14),S14),S14)</f>
        <v>0</v>
      </c>
      <c r="U14" s="39">
        <f>MAX(IFERROR(IF(INDEX('State Map'!$C:$C,MATCH(TRIM('RZSPbS-psgr-ldv'!$A14),'State Map'!$A:$A,0))="Max Ambition",Schedules!Q$4,T14),T14),T14)</f>
        <v>0</v>
      </c>
      <c r="V14" s="39">
        <f>MAX(IFERROR(IF(INDEX('State Map'!$C:$C,MATCH(TRIM('RZSPbS-psgr-ldv'!$A14),'State Map'!$A:$A,0))="Max Ambition",Schedules!R$4,U14),U14),U14)</f>
        <v>0</v>
      </c>
      <c r="W14" s="39">
        <f>MAX(IFERROR(IF(INDEX('State Map'!$C:$C,MATCH(TRIM('RZSPbS-psgr-ldv'!$A14),'State Map'!$A:$A,0))="Max Ambition",Schedules!S$4,V14),V14),V14)</f>
        <v>0</v>
      </c>
      <c r="X14" s="39">
        <f>MAX(IFERROR(IF(INDEX('State Map'!$C:$C,MATCH(TRIM('RZSPbS-psgr-ldv'!$A14),'State Map'!$A:$A,0))="Max Ambition",Schedules!T$4,W14),W14),W14)</f>
        <v>0</v>
      </c>
      <c r="Y14" s="39">
        <f>MAX(IFERROR(IF(INDEX('State Map'!$C:$C,MATCH(TRIM('RZSPbS-psgr-ldv'!$A14),'State Map'!$A:$A,0))="Max Ambition",Schedules!U$4,X14),X14),X14)</f>
        <v>0</v>
      </c>
      <c r="Z14" s="39">
        <f>MAX(IFERROR(IF(INDEX('State Map'!$C:$C,MATCH(TRIM('RZSPbS-psgr-ldv'!$A14),'State Map'!$A:$A,0))="Max Ambition",Schedules!V$4,Y14),Y14),Y14)</f>
        <v>0</v>
      </c>
      <c r="AA14" s="39">
        <f>MAX(IFERROR(IF(INDEX('State Map'!$C:$C,MATCH(TRIM('RZSPbS-psgr-ldv'!$A14),'State Map'!$A:$A,0))="Max Ambition",Schedules!W$4,Z14),Z14),Z14)</f>
        <v>0</v>
      </c>
      <c r="AB14" s="39">
        <f>MAX(IFERROR(IF(INDEX('State Map'!$C:$C,MATCH(TRIM('RZSPbS-psgr-ldv'!$A14),'State Map'!$A:$A,0))="Max Ambition",Schedules!X$4,AA14),AA14),AA14)</f>
        <v>0</v>
      </c>
      <c r="AC14" s="39">
        <f>MAX(IFERROR(IF(INDEX('State Map'!$C:$C,MATCH(TRIM('RZSPbS-psgr-ldv'!$A14),'State Map'!$A:$A,0))="Max Ambition",Schedules!Y$4,AB14),AB14),AB14)</f>
        <v>0</v>
      </c>
      <c r="AD14" s="39">
        <f>MAX(IFERROR(IF(INDEX('State Map'!$C:$C,MATCH(TRIM('RZSPbS-psgr-ldv'!$A14),'State Map'!$A:$A,0))="Max Ambition",Schedules!Z$4,AC14),AC14),AC14)</f>
        <v>0</v>
      </c>
      <c r="AE14" s="39">
        <f>MAX(IFERROR(IF(INDEX('State Map'!$C:$C,MATCH(TRIM('RZSPbS-psgr-ldv'!$A14),'State Map'!$A:$A,0))="Max Ambition",Schedules!AA$4,AD14),AD14),AD14)</f>
        <v>0</v>
      </c>
      <c r="AF14" s="39">
        <f>MAX(IFERROR(IF(INDEX('State Map'!$C:$C,MATCH(TRIM('RZSPbS-psgr-ldv'!$A14),'State Map'!$A:$A,0))="Max Ambition",Schedules!AB$4,AE14),AE14),AE14)</f>
        <v>0</v>
      </c>
    </row>
    <row r="15" spans="1:32" x14ac:dyDescent="0.25">
      <c r="A15" t="s">
        <v>14</v>
      </c>
      <c r="B15">
        <f>IF(AND(INDEX('CA Standards and Followers'!$E$7:$E$66,MATCH($A15,'CA Standards and Followers'!$A$7:$A$66,0))=1,INDEX('CA Standards and Followers'!$H$7:$H$66,MATCH($A15,'CA Standards and Followers'!$A$7:$A$66,0))&lt;=B$1),INDEX('CA Standards and Followers'!#REF!,MATCH(B$1,'CA Standards and Followers'!$1:$1,0)),IF(AND(INDEX('CA Standards and Followers'!$D$7:$D$66,MATCH($A15,'CA Standards and Followers'!$A$7:$A$66,0))=1,INDEX('CA Standards and Followers'!$G$7:$G$66,MATCH($A15,'CA Standards and Followers'!$A$7:$A$66,0))&lt;=B$1),INDEX('CA Standards and Followers'!$2:$2,MATCH(B$1,'CA Standards and Followers'!$1:$1,0)),0))</f>
        <v>0</v>
      </c>
      <c r="C15">
        <f>IF(AND(INDEX('CA Standards and Followers'!$E$7:$E$66,MATCH($A15,'CA Standards and Followers'!$A$7:$A$66,0))=1,INDEX('CA Standards and Followers'!$H$7:$H$66,MATCH($A15,'CA Standards and Followers'!$A$7:$A$66,0))&lt;=C$1),INDEX('CA Standards and Followers'!#REF!,MATCH(C$1,'CA Standards and Followers'!$1:$1,0)),IF(AND(INDEX('CA Standards and Followers'!$D$7:$D$66,MATCH($A15,'CA Standards and Followers'!$A$7:$A$66,0))=1,INDEX('CA Standards and Followers'!$G$7:$G$66,MATCH($A15,'CA Standards and Followers'!$A$7:$A$66,0))&lt;=C$1),INDEX('CA Standards and Followers'!$2:$2,MATCH(C$1,'CA Standards and Followers'!$1:$1,0)),0))</f>
        <v>0</v>
      </c>
      <c r="D15">
        <f>IF(AND(INDEX('CA Standards and Followers'!$E$7:$E$66,MATCH($A15,'CA Standards and Followers'!$A$7:$A$66,0))=1,INDEX('CA Standards and Followers'!$H$7:$H$66,MATCH($A15,'CA Standards and Followers'!$A$7:$A$66,0))&lt;=D$1),INDEX('CA Standards and Followers'!#REF!,MATCH(D$1,'CA Standards and Followers'!$1:$1,0)),IF(AND(INDEX('CA Standards and Followers'!$D$7:$D$66,MATCH($A15,'CA Standards and Followers'!$A$7:$A$66,0))=1,INDEX('CA Standards and Followers'!$G$7:$G$66,MATCH($A15,'CA Standards and Followers'!$A$7:$A$66,0))&lt;=D$1),INDEX('CA Standards and Followers'!$2:$2,MATCH(D$1,'CA Standards and Followers'!$1:$1,0)),0))</f>
        <v>0</v>
      </c>
      <c r="E15">
        <f>IF(AND(INDEX('CA Standards and Followers'!$E$7:$E$66,MATCH($A15,'CA Standards and Followers'!$A$7:$A$66,0))=1,INDEX('CA Standards and Followers'!$H$7:$H$66,MATCH($A15,'CA Standards and Followers'!$A$7:$A$66,0))&lt;=E$1),INDEX('CA Standards and Followers'!#REF!,MATCH(E$1,'CA Standards and Followers'!$1:$1,0)),IF(AND(INDEX('CA Standards and Followers'!$D$7:$D$66,MATCH($A15,'CA Standards and Followers'!$A$7:$A$66,0))=1,INDEX('CA Standards and Followers'!$G$7:$G$66,MATCH($A15,'CA Standards and Followers'!$A$7:$A$66,0))&lt;=E$1),INDEX('CA Standards and Followers'!$2:$2,MATCH(E$1,'CA Standards and Followers'!$1:$1,0)),0))</f>
        <v>0</v>
      </c>
      <c r="F15">
        <f>IF(AND(INDEX('CA Standards and Followers'!$E$7:$E$66,MATCH($A15,'CA Standards and Followers'!$A$7:$A$66,0))=1,INDEX('CA Standards and Followers'!$H$7:$H$66,MATCH($A15,'CA Standards and Followers'!$A$7:$A$66,0))&lt;=F$1),INDEX('CA Standards and Followers'!#REF!,MATCH(F$1,'CA Standards and Followers'!$1:$1,0)),IF(AND(INDEX('CA Standards and Followers'!$D$7:$D$66,MATCH($A15,'CA Standards and Followers'!$A$7:$A$66,0))=1,INDEX('CA Standards and Followers'!$G$7:$G$66,MATCH($A15,'CA Standards and Followers'!$A$7:$A$66,0))&lt;=F$1),INDEX('CA Standards and Followers'!$2:$2,MATCH(F$1,'CA Standards and Followers'!$1:$1,0)),0))</f>
        <v>0</v>
      </c>
      <c r="G15">
        <f>IF(AND(INDEX('CA Standards and Followers'!$E$7:$E$66,MATCH($A15,'CA Standards and Followers'!$A$7:$A$66,0))=1,INDEX('CA Standards and Followers'!$H$7:$H$66,MATCH($A15,'CA Standards and Followers'!$A$7:$A$66,0))&lt;=G$1),INDEX('CA Standards and Followers'!#REF!,MATCH(G$1,'CA Standards and Followers'!$1:$1,0)),IF(AND(INDEX('CA Standards and Followers'!$D$7:$D$66,MATCH($A15,'CA Standards and Followers'!$A$7:$A$66,0))=1,INDEX('CA Standards and Followers'!$G$7:$G$66,MATCH($A15,'CA Standards and Followers'!$A$7:$A$66,0))&lt;=G$1),INDEX('CA Standards and Followers'!$2:$2,MATCH(G$1,'CA Standards and Followers'!$1:$1,0)),0))</f>
        <v>0</v>
      </c>
      <c r="H15">
        <f>IF(AND(INDEX('CA Standards and Followers'!$E$7:$E$66,MATCH($A15,'CA Standards and Followers'!$A$7:$A$66,0))=1,INDEX('CA Standards and Followers'!$H$7:$H$66,MATCH($A15,'CA Standards and Followers'!$A$7:$A$66,0))&lt;=H$1),INDEX('CA Standards and Followers'!#REF!,MATCH(H$1,'CA Standards and Followers'!$1:$1,0)),IF(AND(INDEX('CA Standards and Followers'!$D$7:$D$66,MATCH($A15,'CA Standards and Followers'!$A$7:$A$66,0))=1,INDEX('CA Standards and Followers'!$G$7:$G$66,MATCH($A15,'CA Standards and Followers'!$A$7:$A$66,0))&lt;=H$1),INDEX('CA Standards and Followers'!$2:$2,MATCH(H$1,'CA Standards and Followers'!$1:$1,0)),0))</f>
        <v>0</v>
      </c>
      <c r="I15">
        <f>IF(AND(INDEX('CA Standards and Followers'!$E$7:$E$66,MATCH($A15,'CA Standards and Followers'!$A$7:$A$66,0))=1,INDEX('CA Standards and Followers'!$H$7:$H$66,MATCH($A15,'CA Standards and Followers'!$A$7:$A$66,0))&lt;=I$1),INDEX('CA Standards and Followers'!#REF!,MATCH(I$1,'CA Standards and Followers'!$1:$1,0)),IF(AND(INDEX('CA Standards and Followers'!$D$7:$D$66,MATCH($A15,'CA Standards and Followers'!$A$7:$A$66,0))=1,INDEX('CA Standards and Followers'!$G$7:$G$66,MATCH($A15,'CA Standards and Followers'!$A$7:$A$66,0))&lt;=I$1),INDEX('CA Standards and Followers'!$2:$2,MATCH(I$1,'CA Standards and Followers'!$1:$1,0)),0))</f>
        <v>0</v>
      </c>
      <c r="J15">
        <f>IF(AND(INDEX('CA Standards and Followers'!$E$7:$E$66,MATCH($A15,'CA Standards and Followers'!$A$7:$A$66,0))=1,INDEX('CA Standards and Followers'!$H$7:$H$66,MATCH($A15,'CA Standards and Followers'!$A$7:$A$66,0))&lt;=J$1),INDEX('CA Standards and Followers'!#REF!,MATCH(J$1,'CA Standards and Followers'!$1:$1,0)),IF(AND(INDEX('CA Standards and Followers'!$D$7:$D$66,MATCH($A15,'CA Standards and Followers'!$A$7:$A$66,0))=1,INDEX('CA Standards and Followers'!$G$7:$G$66,MATCH($A15,'CA Standards and Followers'!$A$7:$A$66,0))&lt;=J$1),INDEX('CA Standards and Followers'!$2:$2,MATCH(J$1,'CA Standards and Followers'!$1:$1,0)),0))</f>
        <v>0</v>
      </c>
      <c r="K15" s="39">
        <f>MAX(IFERROR(IF(INDEX('State Map'!$C:$C,MATCH(TRIM('RZSPbS-psgr-ldv'!$A15),'State Map'!$A:$A,0))="Max Ambition",Schedules!G$4,J15),J15),J15)</f>
        <v>0.2</v>
      </c>
      <c r="L15" s="39">
        <f>MAX(IFERROR(IF(INDEX('State Map'!$C:$C,MATCH(TRIM('RZSPbS-psgr-ldv'!$A15),'State Map'!$A:$A,0))="Max Ambition",Schedules!H$4,K15),K15),K15)</f>
        <v>0.25</v>
      </c>
      <c r="M15" s="39">
        <f>MAX(IFERROR(IF(INDEX('State Map'!$C:$C,MATCH(TRIM('RZSPbS-psgr-ldv'!$A15),'State Map'!$A:$A,0))="Max Ambition",Schedules!I$4,L15),L15),L15)</f>
        <v>0.3</v>
      </c>
      <c r="N15" s="39">
        <f>MAX(IFERROR(IF(INDEX('State Map'!$C:$C,MATCH(TRIM('RZSPbS-psgr-ldv'!$A15),'State Map'!$A:$A,0))="Max Ambition",Schedules!J$4,M15),M15),M15)</f>
        <v>0.38</v>
      </c>
      <c r="O15" s="39">
        <f>MAX(IFERROR(IF(INDEX('State Map'!$C:$C,MATCH(TRIM('RZSPbS-psgr-ldv'!$A15),'State Map'!$A:$A,0))="Max Ambition",Schedules!K$4,N15),N15),N15)</f>
        <v>0.46</v>
      </c>
      <c r="P15" s="39">
        <f>MAX(IFERROR(IF(INDEX('State Map'!$C:$C,MATCH(TRIM('RZSPbS-psgr-ldv'!$A15),'State Map'!$A:$A,0))="Max Ambition",Schedules!L$4,O15),O15),O15)</f>
        <v>0.51400000000000001</v>
      </c>
      <c r="Q15" s="39">
        <f>MAX(IFERROR(IF(INDEX('State Map'!$C:$C,MATCH(TRIM('RZSPbS-psgr-ldv'!$A15),'State Map'!$A:$A,0))="Max Ambition",Schedules!M$4,P15),P15),P15)</f>
        <v>0.56799999999999995</v>
      </c>
      <c r="R15" s="39">
        <f>MAX(IFERROR(IF(INDEX('State Map'!$C:$C,MATCH(TRIM('RZSPbS-psgr-ldv'!$A15),'State Map'!$A:$A,0))="Max Ambition",Schedules!N$4,Q15),Q15),Q15)</f>
        <v>0.622</v>
      </c>
      <c r="S15" s="39">
        <f>MAX(IFERROR(IF(INDEX('State Map'!$C:$C,MATCH(TRIM('RZSPbS-psgr-ldv'!$A15),'State Map'!$A:$A,0))="Max Ambition",Schedules!O$4,R15),R15),R15)</f>
        <v>0.67600000000000005</v>
      </c>
      <c r="T15" s="39">
        <f>MAX(IFERROR(IF(INDEX('State Map'!$C:$C,MATCH(TRIM('RZSPbS-psgr-ldv'!$A15),'State Map'!$A:$A,0))="Max Ambition",Schedules!P$4,S15),S15),S15)</f>
        <v>0.73</v>
      </c>
      <c r="U15" s="39">
        <f>MAX(IFERROR(IF(INDEX('State Map'!$C:$C,MATCH(TRIM('RZSPbS-psgr-ldv'!$A15),'State Map'!$A:$A,0))="Max Ambition",Schedules!Q$4,T15),T15),T15)</f>
        <v>0.78400000000000003</v>
      </c>
      <c r="V15" s="39">
        <f>MAX(IFERROR(IF(INDEX('State Map'!$C:$C,MATCH(TRIM('RZSPbS-psgr-ldv'!$A15),'State Map'!$A:$A,0))="Max Ambition",Schedules!R$4,U15),U15),U15)</f>
        <v>0.83799999999999997</v>
      </c>
      <c r="W15" s="39">
        <f>MAX(IFERROR(IF(INDEX('State Map'!$C:$C,MATCH(TRIM('RZSPbS-psgr-ldv'!$A15),'State Map'!$A:$A,0))="Max Ambition",Schedules!S$4,V15),V15),V15)</f>
        <v>0.89200000000000002</v>
      </c>
      <c r="X15" s="39">
        <f>MAX(IFERROR(IF(INDEX('State Map'!$C:$C,MATCH(TRIM('RZSPbS-psgr-ldv'!$A15),'State Map'!$A:$A,0))="Max Ambition",Schedules!T$4,W15),W15),W15)</f>
        <v>0.94599999999999995</v>
      </c>
      <c r="Y15" s="39">
        <f>MAX(IFERROR(IF(INDEX('State Map'!$C:$C,MATCH(TRIM('RZSPbS-psgr-ldv'!$A15),'State Map'!$A:$A,0))="Max Ambition",Schedules!U$4,X15),X15),X15)</f>
        <v>1</v>
      </c>
      <c r="Z15" s="39">
        <f>MAX(IFERROR(IF(INDEX('State Map'!$C:$C,MATCH(TRIM('RZSPbS-psgr-ldv'!$A15),'State Map'!$A:$A,0))="Max Ambition",Schedules!V$4,Y15),Y15),Y15)</f>
        <v>1</v>
      </c>
      <c r="AA15" s="39">
        <f>MAX(IFERROR(IF(INDEX('State Map'!$C:$C,MATCH(TRIM('RZSPbS-psgr-ldv'!$A15),'State Map'!$A:$A,0))="Max Ambition",Schedules!W$4,Z15),Z15),Z15)</f>
        <v>1</v>
      </c>
      <c r="AB15" s="39">
        <f>MAX(IFERROR(IF(INDEX('State Map'!$C:$C,MATCH(TRIM('RZSPbS-psgr-ldv'!$A15),'State Map'!$A:$A,0))="Max Ambition",Schedules!X$4,AA15),AA15),AA15)</f>
        <v>1</v>
      </c>
      <c r="AC15" s="39">
        <f>MAX(IFERROR(IF(INDEX('State Map'!$C:$C,MATCH(TRIM('RZSPbS-psgr-ldv'!$A15),'State Map'!$A:$A,0))="Max Ambition",Schedules!Y$4,AB15),AB15),AB15)</f>
        <v>1</v>
      </c>
      <c r="AD15" s="39">
        <f>MAX(IFERROR(IF(INDEX('State Map'!$C:$C,MATCH(TRIM('RZSPbS-psgr-ldv'!$A15),'State Map'!$A:$A,0))="Max Ambition",Schedules!Z$4,AC15),AC15),AC15)</f>
        <v>1</v>
      </c>
      <c r="AE15" s="39">
        <f>MAX(IFERROR(IF(INDEX('State Map'!$C:$C,MATCH(TRIM('RZSPbS-psgr-ldv'!$A15),'State Map'!$A:$A,0))="Max Ambition",Schedules!AA$4,AD15),AD15),AD15)</f>
        <v>1</v>
      </c>
      <c r="AF15" s="39">
        <f>MAX(IFERROR(IF(INDEX('State Map'!$C:$C,MATCH(TRIM('RZSPbS-psgr-ldv'!$A15),'State Map'!$A:$A,0))="Max Ambition",Schedules!AB$4,AE15),AE15),AE15)</f>
        <v>1</v>
      </c>
    </row>
    <row r="16" spans="1:32" x14ac:dyDescent="0.25">
      <c r="A16" t="s">
        <v>15</v>
      </c>
      <c r="B16">
        <f>IF(AND(INDEX('CA Standards and Followers'!$E$7:$E$66,MATCH($A16,'CA Standards and Followers'!$A$7:$A$66,0))=1,INDEX('CA Standards and Followers'!$H$7:$H$66,MATCH($A16,'CA Standards and Followers'!$A$7:$A$66,0))&lt;=B$1),INDEX('CA Standards and Followers'!#REF!,MATCH(B$1,'CA Standards and Followers'!$1:$1,0)),IF(AND(INDEX('CA Standards and Followers'!$D$7:$D$66,MATCH($A16,'CA Standards and Followers'!$A$7:$A$66,0))=1,INDEX('CA Standards and Followers'!$G$7:$G$66,MATCH($A16,'CA Standards and Followers'!$A$7:$A$66,0))&lt;=B$1),INDEX('CA Standards and Followers'!$2:$2,MATCH(B$1,'CA Standards and Followers'!$1:$1,0)),0))</f>
        <v>0</v>
      </c>
      <c r="C16">
        <f>IF(AND(INDEX('CA Standards and Followers'!$E$7:$E$66,MATCH($A16,'CA Standards and Followers'!$A$7:$A$66,0))=1,INDEX('CA Standards and Followers'!$H$7:$H$66,MATCH($A16,'CA Standards and Followers'!$A$7:$A$66,0))&lt;=C$1),INDEX('CA Standards and Followers'!#REF!,MATCH(C$1,'CA Standards and Followers'!$1:$1,0)),IF(AND(INDEX('CA Standards and Followers'!$D$7:$D$66,MATCH($A16,'CA Standards and Followers'!$A$7:$A$66,0))=1,INDEX('CA Standards and Followers'!$G$7:$G$66,MATCH($A16,'CA Standards and Followers'!$A$7:$A$66,0))&lt;=C$1),INDEX('CA Standards and Followers'!$2:$2,MATCH(C$1,'CA Standards and Followers'!$1:$1,0)),0))</f>
        <v>0</v>
      </c>
      <c r="D16">
        <f>IF(AND(INDEX('CA Standards and Followers'!$E$7:$E$66,MATCH($A16,'CA Standards and Followers'!$A$7:$A$66,0))=1,INDEX('CA Standards and Followers'!$H$7:$H$66,MATCH($A16,'CA Standards and Followers'!$A$7:$A$66,0))&lt;=D$1),INDEX('CA Standards and Followers'!#REF!,MATCH(D$1,'CA Standards and Followers'!$1:$1,0)),IF(AND(INDEX('CA Standards and Followers'!$D$7:$D$66,MATCH($A16,'CA Standards and Followers'!$A$7:$A$66,0))=1,INDEX('CA Standards and Followers'!$G$7:$G$66,MATCH($A16,'CA Standards and Followers'!$A$7:$A$66,0))&lt;=D$1),INDEX('CA Standards and Followers'!$2:$2,MATCH(D$1,'CA Standards and Followers'!$1:$1,0)),0))</f>
        <v>0</v>
      </c>
      <c r="E16">
        <f>IF(AND(INDEX('CA Standards and Followers'!$E$7:$E$66,MATCH($A16,'CA Standards and Followers'!$A$7:$A$66,0))=1,INDEX('CA Standards and Followers'!$H$7:$H$66,MATCH($A16,'CA Standards and Followers'!$A$7:$A$66,0))&lt;=E$1),INDEX('CA Standards and Followers'!#REF!,MATCH(E$1,'CA Standards and Followers'!$1:$1,0)),IF(AND(INDEX('CA Standards and Followers'!$D$7:$D$66,MATCH($A16,'CA Standards and Followers'!$A$7:$A$66,0))=1,INDEX('CA Standards and Followers'!$G$7:$G$66,MATCH($A16,'CA Standards and Followers'!$A$7:$A$66,0))&lt;=E$1),INDEX('CA Standards and Followers'!$2:$2,MATCH(E$1,'CA Standards and Followers'!$1:$1,0)),0))</f>
        <v>0</v>
      </c>
      <c r="F16">
        <f>IF(AND(INDEX('CA Standards and Followers'!$E$7:$E$66,MATCH($A16,'CA Standards and Followers'!$A$7:$A$66,0))=1,INDEX('CA Standards and Followers'!$H$7:$H$66,MATCH($A16,'CA Standards and Followers'!$A$7:$A$66,0))&lt;=F$1),INDEX('CA Standards and Followers'!#REF!,MATCH(F$1,'CA Standards and Followers'!$1:$1,0)),IF(AND(INDEX('CA Standards and Followers'!$D$7:$D$66,MATCH($A16,'CA Standards and Followers'!$A$7:$A$66,0))=1,INDEX('CA Standards and Followers'!$G$7:$G$66,MATCH($A16,'CA Standards and Followers'!$A$7:$A$66,0))&lt;=F$1),INDEX('CA Standards and Followers'!$2:$2,MATCH(F$1,'CA Standards and Followers'!$1:$1,0)),0))</f>
        <v>0</v>
      </c>
      <c r="G16">
        <f>IF(AND(INDEX('CA Standards and Followers'!$E$7:$E$66,MATCH($A16,'CA Standards and Followers'!$A$7:$A$66,0))=1,INDEX('CA Standards and Followers'!$H$7:$H$66,MATCH($A16,'CA Standards and Followers'!$A$7:$A$66,0))&lt;=G$1),INDEX('CA Standards and Followers'!#REF!,MATCH(G$1,'CA Standards and Followers'!$1:$1,0)),IF(AND(INDEX('CA Standards and Followers'!$D$7:$D$66,MATCH($A16,'CA Standards and Followers'!$A$7:$A$66,0))=1,INDEX('CA Standards and Followers'!$G$7:$G$66,MATCH($A16,'CA Standards and Followers'!$A$7:$A$66,0))&lt;=G$1),INDEX('CA Standards and Followers'!$2:$2,MATCH(G$1,'CA Standards and Followers'!$1:$1,0)),0))</f>
        <v>0</v>
      </c>
      <c r="H16">
        <f>IF(AND(INDEX('CA Standards and Followers'!$E$7:$E$66,MATCH($A16,'CA Standards and Followers'!$A$7:$A$66,0))=1,INDEX('CA Standards and Followers'!$H$7:$H$66,MATCH($A16,'CA Standards and Followers'!$A$7:$A$66,0))&lt;=H$1),INDEX('CA Standards and Followers'!#REF!,MATCH(H$1,'CA Standards and Followers'!$1:$1,0)),IF(AND(INDEX('CA Standards and Followers'!$D$7:$D$66,MATCH($A16,'CA Standards and Followers'!$A$7:$A$66,0))=1,INDEX('CA Standards and Followers'!$G$7:$G$66,MATCH($A16,'CA Standards and Followers'!$A$7:$A$66,0))&lt;=H$1),INDEX('CA Standards and Followers'!$2:$2,MATCH(H$1,'CA Standards and Followers'!$1:$1,0)),0))</f>
        <v>0</v>
      </c>
      <c r="I16">
        <f>IF(AND(INDEX('CA Standards and Followers'!$E$7:$E$66,MATCH($A16,'CA Standards and Followers'!$A$7:$A$66,0))=1,INDEX('CA Standards and Followers'!$H$7:$H$66,MATCH($A16,'CA Standards and Followers'!$A$7:$A$66,0))&lt;=I$1),INDEX('CA Standards and Followers'!#REF!,MATCH(I$1,'CA Standards and Followers'!$1:$1,0)),IF(AND(INDEX('CA Standards and Followers'!$D$7:$D$66,MATCH($A16,'CA Standards and Followers'!$A$7:$A$66,0))=1,INDEX('CA Standards and Followers'!$G$7:$G$66,MATCH($A16,'CA Standards and Followers'!$A$7:$A$66,0))&lt;=I$1),INDEX('CA Standards and Followers'!$2:$2,MATCH(I$1,'CA Standards and Followers'!$1:$1,0)),0))</f>
        <v>0</v>
      </c>
      <c r="J16">
        <f>IF(AND(INDEX('CA Standards and Followers'!$E$7:$E$66,MATCH($A16,'CA Standards and Followers'!$A$7:$A$66,0))=1,INDEX('CA Standards and Followers'!$H$7:$H$66,MATCH($A16,'CA Standards and Followers'!$A$7:$A$66,0))&lt;=J$1),INDEX('CA Standards and Followers'!#REF!,MATCH(J$1,'CA Standards and Followers'!$1:$1,0)),IF(AND(INDEX('CA Standards and Followers'!$D$7:$D$66,MATCH($A16,'CA Standards and Followers'!$A$7:$A$66,0))=1,INDEX('CA Standards and Followers'!$G$7:$G$66,MATCH($A16,'CA Standards and Followers'!$A$7:$A$66,0))&lt;=J$1),INDEX('CA Standards and Followers'!$2:$2,MATCH(J$1,'CA Standards and Followers'!$1:$1,0)),0))</f>
        <v>0</v>
      </c>
      <c r="K16" s="39">
        <f>MAX(IFERROR(IF(INDEX('State Map'!$C:$C,MATCH(TRIM('RZSPbS-psgr-ldv'!$A16),'State Map'!$A:$A,0))="Max Ambition",Schedules!G$4,J16),J16),J16)</f>
        <v>0</v>
      </c>
      <c r="L16" s="39">
        <f>MAX(IFERROR(IF(INDEX('State Map'!$C:$C,MATCH(TRIM('RZSPbS-psgr-ldv'!$A16),'State Map'!$A:$A,0))="Max Ambition",Schedules!H$4,K16),K16),K16)</f>
        <v>0</v>
      </c>
      <c r="M16" s="39">
        <f>MAX(IFERROR(IF(INDEX('State Map'!$C:$C,MATCH(TRIM('RZSPbS-psgr-ldv'!$A16),'State Map'!$A:$A,0))="Max Ambition",Schedules!I$4,L16),L16),L16)</f>
        <v>0</v>
      </c>
      <c r="N16" s="39">
        <f>MAX(IFERROR(IF(INDEX('State Map'!$C:$C,MATCH(TRIM('RZSPbS-psgr-ldv'!$A16),'State Map'!$A:$A,0))="Max Ambition",Schedules!J$4,M16),M16),M16)</f>
        <v>0</v>
      </c>
      <c r="O16" s="39">
        <f>MAX(IFERROR(IF(INDEX('State Map'!$C:$C,MATCH(TRIM('RZSPbS-psgr-ldv'!$A16),'State Map'!$A:$A,0))="Max Ambition",Schedules!K$4,N16),N16),N16)</f>
        <v>0</v>
      </c>
      <c r="P16" s="39">
        <f>MAX(IFERROR(IF(INDEX('State Map'!$C:$C,MATCH(TRIM('RZSPbS-psgr-ldv'!$A16),'State Map'!$A:$A,0))="Max Ambition",Schedules!L$4,O16),O16),O16)</f>
        <v>0</v>
      </c>
      <c r="Q16" s="39">
        <f>MAX(IFERROR(IF(INDEX('State Map'!$C:$C,MATCH(TRIM('RZSPbS-psgr-ldv'!$A16),'State Map'!$A:$A,0))="Max Ambition",Schedules!M$4,P16),P16),P16)</f>
        <v>0</v>
      </c>
      <c r="R16" s="39">
        <f>MAX(IFERROR(IF(INDEX('State Map'!$C:$C,MATCH(TRIM('RZSPbS-psgr-ldv'!$A16),'State Map'!$A:$A,0))="Max Ambition",Schedules!N$4,Q16),Q16),Q16)</f>
        <v>0</v>
      </c>
      <c r="S16" s="39">
        <f>MAX(IFERROR(IF(INDEX('State Map'!$C:$C,MATCH(TRIM('RZSPbS-psgr-ldv'!$A16),'State Map'!$A:$A,0))="Max Ambition",Schedules!O$4,R16),R16),R16)</f>
        <v>0</v>
      </c>
      <c r="T16" s="39">
        <f>MAX(IFERROR(IF(INDEX('State Map'!$C:$C,MATCH(TRIM('RZSPbS-psgr-ldv'!$A16),'State Map'!$A:$A,0))="Max Ambition",Schedules!P$4,S16),S16),S16)</f>
        <v>0</v>
      </c>
      <c r="U16" s="39">
        <f>MAX(IFERROR(IF(INDEX('State Map'!$C:$C,MATCH(TRIM('RZSPbS-psgr-ldv'!$A16),'State Map'!$A:$A,0))="Max Ambition",Schedules!Q$4,T16),T16),T16)</f>
        <v>0</v>
      </c>
      <c r="V16" s="39">
        <f>MAX(IFERROR(IF(INDEX('State Map'!$C:$C,MATCH(TRIM('RZSPbS-psgr-ldv'!$A16),'State Map'!$A:$A,0))="Max Ambition",Schedules!R$4,U16),U16),U16)</f>
        <v>0</v>
      </c>
      <c r="W16" s="39">
        <f>MAX(IFERROR(IF(INDEX('State Map'!$C:$C,MATCH(TRIM('RZSPbS-psgr-ldv'!$A16),'State Map'!$A:$A,0))="Max Ambition",Schedules!S$4,V16),V16),V16)</f>
        <v>0</v>
      </c>
      <c r="X16" s="39">
        <f>MAX(IFERROR(IF(INDEX('State Map'!$C:$C,MATCH(TRIM('RZSPbS-psgr-ldv'!$A16),'State Map'!$A:$A,0))="Max Ambition",Schedules!T$4,W16),W16),W16)</f>
        <v>0</v>
      </c>
      <c r="Y16" s="39">
        <f>MAX(IFERROR(IF(INDEX('State Map'!$C:$C,MATCH(TRIM('RZSPbS-psgr-ldv'!$A16),'State Map'!$A:$A,0))="Max Ambition",Schedules!U$4,X16),X16),X16)</f>
        <v>0</v>
      </c>
      <c r="Z16" s="39">
        <f>MAX(IFERROR(IF(INDEX('State Map'!$C:$C,MATCH(TRIM('RZSPbS-psgr-ldv'!$A16),'State Map'!$A:$A,0))="Max Ambition",Schedules!V$4,Y16),Y16),Y16)</f>
        <v>0</v>
      </c>
      <c r="AA16" s="39">
        <f>MAX(IFERROR(IF(INDEX('State Map'!$C:$C,MATCH(TRIM('RZSPbS-psgr-ldv'!$A16),'State Map'!$A:$A,0))="Max Ambition",Schedules!W$4,Z16),Z16),Z16)</f>
        <v>0</v>
      </c>
      <c r="AB16" s="39">
        <f>MAX(IFERROR(IF(INDEX('State Map'!$C:$C,MATCH(TRIM('RZSPbS-psgr-ldv'!$A16),'State Map'!$A:$A,0))="Max Ambition",Schedules!X$4,AA16),AA16),AA16)</f>
        <v>0</v>
      </c>
      <c r="AC16" s="39">
        <f>MAX(IFERROR(IF(INDEX('State Map'!$C:$C,MATCH(TRIM('RZSPbS-psgr-ldv'!$A16),'State Map'!$A:$A,0))="Max Ambition",Schedules!Y$4,AB16),AB16),AB16)</f>
        <v>0</v>
      </c>
      <c r="AD16" s="39">
        <f>MAX(IFERROR(IF(INDEX('State Map'!$C:$C,MATCH(TRIM('RZSPbS-psgr-ldv'!$A16),'State Map'!$A:$A,0))="Max Ambition",Schedules!Z$4,AC16),AC16),AC16)</f>
        <v>0</v>
      </c>
      <c r="AE16" s="39">
        <f>MAX(IFERROR(IF(INDEX('State Map'!$C:$C,MATCH(TRIM('RZSPbS-psgr-ldv'!$A16),'State Map'!$A:$A,0))="Max Ambition",Schedules!AA$4,AD16),AD16),AD16)</f>
        <v>0</v>
      </c>
      <c r="AF16" s="39">
        <f>MAX(IFERROR(IF(INDEX('State Map'!$C:$C,MATCH(TRIM('RZSPbS-psgr-ldv'!$A16),'State Map'!$A:$A,0))="Max Ambition",Schedules!AB$4,AE16),AE16),AE16)</f>
        <v>0</v>
      </c>
    </row>
    <row r="17" spans="1:32" x14ac:dyDescent="0.25">
      <c r="A17" t="s">
        <v>16</v>
      </c>
      <c r="B17">
        <f>IF(AND(INDEX('CA Standards and Followers'!$E$7:$E$66,MATCH($A17,'CA Standards and Followers'!$A$7:$A$66,0))=1,INDEX('CA Standards and Followers'!$H$7:$H$66,MATCH($A17,'CA Standards and Followers'!$A$7:$A$66,0))&lt;=B$1),INDEX('CA Standards and Followers'!#REF!,MATCH(B$1,'CA Standards and Followers'!$1:$1,0)),IF(AND(INDEX('CA Standards and Followers'!$D$7:$D$66,MATCH($A17,'CA Standards and Followers'!$A$7:$A$66,0))=1,INDEX('CA Standards and Followers'!$G$7:$G$66,MATCH($A17,'CA Standards and Followers'!$A$7:$A$66,0))&lt;=B$1),INDEX('CA Standards and Followers'!$2:$2,MATCH(B$1,'CA Standards and Followers'!$1:$1,0)),0))</f>
        <v>0</v>
      </c>
      <c r="C17">
        <f>IF(AND(INDEX('CA Standards and Followers'!$E$7:$E$66,MATCH($A17,'CA Standards and Followers'!$A$7:$A$66,0))=1,INDEX('CA Standards and Followers'!$H$7:$H$66,MATCH($A17,'CA Standards and Followers'!$A$7:$A$66,0))&lt;=C$1),INDEX('CA Standards and Followers'!#REF!,MATCH(C$1,'CA Standards and Followers'!$1:$1,0)),IF(AND(INDEX('CA Standards and Followers'!$D$7:$D$66,MATCH($A17,'CA Standards and Followers'!$A$7:$A$66,0))=1,INDEX('CA Standards and Followers'!$G$7:$G$66,MATCH($A17,'CA Standards and Followers'!$A$7:$A$66,0))&lt;=C$1),INDEX('CA Standards and Followers'!$2:$2,MATCH(C$1,'CA Standards and Followers'!$1:$1,0)),0))</f>
        <v>0</v>
      </c>
      <c r="D17">
        <f>IF(AND(INDEX('CA Standards and Followers'!$E$7:$E$66,MATCH($A17,'CA Standards and Followers'!$A$7:$A$66,0))=1,INDEX('CA Standards and Followers'!$H$7:$H$66,MATCH($A17,'CA Standards and Followers'!$A$7:$A$66,0))&lt;=D$1),INDEX('CA Standards and Followers'!#REF!,MATCH(D$1,'CA Standards and Followers'!$1:$1,0)),IF(AND(INDEX('CA Standards and Followers'!$D$7:$D$66,MATCH($A17,'CA Standards and Followers'!$A$7:$A$66,0))=1,INDEX('CA Standards and Followers'!$G$7:$G$66,MATCH($A17,'CA Standards and Followers'!$A$7:$A$66,0))&lt;=D$1),INDEX('CA Standards and Followers'!$2:$2,MATCH(D$1,'CA Standards and Followers'!$1:$1,0)),0))</f>
        <v>0</v>
      </c>
      <c r="E17">
        <f>IF(AND(INDEX('CA Standards and Followers'!$E$7:$E$66,MATCH($A17,'CA Standards and Followers'!$A$7:$A$66,0))=1,INDEX('CA Standards and Followers'!$H$7:$H$66,MATCH($A17,'CA Standards and Followers'!$A$7:$A$66,0))&lt;=E$1),INDEX('CA Standards and Followers'!#REF!,MATCH(E$1,'CA Standards and Followers'!$1:$1,0)),IF(AND(INDEX('CA Standards and Followers'!$D$7:$D$66,MATCH($A17,'CA Standards and Followers'!$A$7:$A$66,0))=1,INDEX('CA Standards and Followers'!$G$7:$G$66,MATCH($A17,'CA Standards and Followers'!$A$7:$A$66,0))&lt;=E$1),INDEX('CA Standards and Followers'!$2:$2,MATCH(E$1,'CA Standards and Followers'!$1:$1,0)),0))</f>
        <v>0</v>
      </c>
      <c r="F17">
        <f>IF(AND(INDEX('CA Standards and Followers'!$E$7:$E$66,MATCH($A17,'CA Standards and Followers'!$A$7:$A$66,0))=1,INDEX('CA Standards and Followers'!$H$7:$H$66,MATCH($A17,'CA Standards and Followers'!$A$7:$A$66,0))&lt;=F$1),INDEX('CA Standards and Followers'!#REF!,MATCH(F$1,'CA Standards and Followers'!$1:$1,0)),IF(AND(INDEX('CA Standards and Followers'!$D$7:$D$66,MATCH($A17,'CA Standards and Followers'!$A$7:$A$66,0))=1,INDEX('CA Standards and Followers'!$G$7:$G$66,MATCH($A17,'CA Standards and Followers'!$A$7:$A$66,0))&lt;=F$1),INDEX('CA Standards and Followers'!$2:$2,MATCH(F$1,'CA Standards and Followers'!$1:$1,0)),0))</f>
        <v>0</v>
      </c>
      <c r="G17">
        <f>IF(AND(INDEX('CA Standards and Followers'!$E$7:$E$66,MATCH($A17,'CA Standards and Followers'!$A$7:$A$66,0))=1,INDEX('CA Standards and Followers'!$H$7:$H$66,MATCH($A17,'CA Standards and Followers'!$A$7:$A$66,0))&lt;=G$1),INDEX('CA Standards and Followers'!#REF!,MATCH(G$1,'CA Standards and Followers'!$1:$1,0)),IF(AND(INDEX('CA Standards and Followers'!$D$7:$D$66,MATCH($A17,'CA Standards and Followers'!$A$7:$A$66,0))=1,INDEX('CA Standards and Followers'!$G$7:$G$66,MATCH($A17,'CA Standards and Followers'!$A$7:$A$66,0))&lt;=G$1),INDEX('CA Standards and Followers'!$2:$2,MATCH(G$1,'CA Standards and Followers'!$1:$1,0)),0))</f>
        <v>0</v>
      </c>
      <c r="H17">
        <f>IF(AND(INDEX('CA Standards and Followers'!$E$7:$E$66,MATCH($A17,'CA Standards and Followers'!$A$7:$A$66,0))=1,INDEX('CA Standards and Followers'!$H$7:$H$66,MATCH($A17,'CA Standards and Followers'!$A$7:$A$66,0))&lt;=H$1),INDEX('CA Standards and Followers'!#REF!,MATCH(H$1,'CA Standards and Followers'!$1:$1,0)),IF(AND(INDEX('CA Standards and Followers'!$D$7:$D$66,MATCH($A17,'CA Standards and Followers'!$A$7:$A$66,0))=1,INDEX('CA Standards and Followers'!$G$7:$G$66,MATCH($A17,'CA Standards and Followers'!$A$7:$A$66,0))&lt;=H$1),INDEX('CA Standards and Followers'!$2:$2,MATCH(H$1,'CA Standards and Followers'!$1:$1,0)),0))</f>
        <v>0</v>
      </c>
      <c r="I17">
        <f>IF(AND(INDEX('CA Standards and Followers'!$E$7:$E$66,MATCH($A17,'CA Standards and Followers'!$A$7:$A$66,0))=1,INDEX('CA Standards and Followers'!$H$7:$H$66,MATCH($A17,'CA Standards and Followers'!$A$7:$A$66,0))&lt;=I$1),INDEX('CA Standards and Followers'!#REF!,MATCH(I$1,'CA Standards and Followers'!$1:$1,0)),IF(AND(INDEX('CA Standards and Followers'!$D$7:$D$66,MATCH($A17,'CA Standards and Followers'!$A$7:$A$66,0))=1,INDEX('CA Standards and Followers'!$G$7:$G$66,MATCH($A17,'CA Standards and Followers'!$A$7:$A$66,0))&lt;=I$1),INDEX('CA Standards and Followers'!$2:$2,MATCH(I$1,'CA Standards and Followers'!$1:$1,0)),0))</f>
        <v>0</v>
      </c>
      <c r="J17">
        <f>IF(AND(INDEX('CA Standards and Followers'!$E$7:$E$66,MATCH($A17,'CA Standards and Followers'!$A$7:$A$66,0))=1,INDEX('CA Standards and Followers'!$H$7:$H$66,MATCH($A17,'CA Standards and Followers'!$A$7:$A$66,0))&lt;=J$1),INDEX('CA Standards and Followers'!#REF!,MATCH(J$1,'CA Standards and Followers'!$1:$1,0)),IF(AND(INDEX('CA Standards and Followers'!$D$7:$D$66,MATCH($A17,'CA Standards and Followers'!$A$7:$A$66,0))=1,INDEX('CA Standards and Followers'!$G$7:$G$66,MATCH($A17,'CA Standards and Followers'!$A$7:$A$66,0))&lt;=J$1),INDEX('CA Standards and Followers'!$2:$2,MATCH(J$1,'CA Standards and Followers'!$1:$1,0)),0))</f>
        <v>0</v>
      </c>
      <c r="K17" s="39">
        <f>MAX(IFERROR(IF(INDEX('State Map'!$C:$C,MATCH(TRIM('RZSPbS-psgr-ldv'!$A17),'State Map'!$A:$A,0))="Max Ambition",Schedules!G$4,J17),J17),J17)</f>
        <v>0</v>
      </c>
      <c r="L17" s="39">
        <f>MAX(IFERROR(IF(INDEX('State Map'!$C:$C,MATCH(TRIM('RZSPbS-psgr-ldv'!$A17),'State Map'!$A:$A,0))="Max Ambition",Schedules!H$4,K17),K17),K17)</f>
        <v>0</v>
      </c>
      <c r="M17" s="39">
        <f>MAX(IFERROR(IF(INDEX('State Map'!$C:$C,MATCH(TRIM('RZSPbS-psgr-ldv'!$A17),'State Map'!$A:$A,0))="Max Ambition",Schedules!I$4,L17),L17),L17)</f>
        <v>0</v>
      </c>
      <c r="N17" s="39">
        <f>MAX(IFERROR(IF(INDEX('State Map'!$C:$C,MATCH(TRIM('RZSPbS-psgr-ldv'!$A17),'State Map'!$A:$A,0))="Max Ambition",Schedules!J$4,M17),M17),M17)</f>
        <v>0</v>
      </c>
      <c r="O17" s="39">
        <f>MAX(IFERROR(IF(INDEX('State Map'!$C:$C,MATCH(TRIM('RZSPbS-psgr-ldv'!$A17),'State Map'!$A:$A,0))="Max Ambition",Schedules!K$4,N17),N17),N17)</f>
        <v>0</v>
      </c>
      <c r="P17" s="39">
        <f>MAX(IFERROR(IF(INDEX('State Map'!$C:$C,MATCH(TRIM('RZSPbS-psgr-ldv'!$A17),'State Map'!$A:$A,0))="Max Ambition",Schedules!L$4,O17),O17),O17)</f>
        <v>0</v>
      </c>
      <c r="Q17" s="39">
        <f>MAX(IFERROR(IF(INDEX('State Map'!$C:$C,MATCH(TRIM('RZSPbS-psgr-ldv'!$A17),'State Map'!$A:$A,0))="Max Ambition",Schedules!M$4,P17),P17),P17)</f>
        <v>0</v>
      </c>
      <c r="R17" s="39">
        <f>MAX(IFERROR(IF(INDEX('State Map'!$C:$C,MATCH(TRIM('RZSPbS-psgr-ldv'!$A17),'State Map'!$A:$A,0))="Max Ambition",Schedules!N$4,Q17),Q17),Q17)</f>
        <v>0</v>
      </c>
      <c r="S17" s="39">
        <f>MAX(IFERROR(IF(INDEX('State Map'!$C:$C,MATCH(TRIM('RZSPbS-psgr-ldv'!$A17),'State Map'!$A:$A,0))="Max Ambition",Schedules!O$4,R17),R17),R17)</f>
        <v>0</v>
      </c>
      <c r="T17" s="39">
        <f>MAX(IFERROR(IF(INDEX('State Map'!$C:$C,MATCH(TRIM('RZSPbS-psgr-ldv'!$A17),'State Map'!$A:$A,0))="Max Ambition",Schedules!P$4,S17),S17),S17)</f>
        <v>0</v>
      </c>
      <c r="U17" s="39">
        <f>MAX(IFERROR(IF(INDEX('State Map'!$C:$C,MATCH(TRIM('RZSPbS-psgr-ldv'!$A17),'State Map'!$A:$A,0))="Max Ambition",Schedules!Q$4,T17),T17),T17)</f>
        <v>0</v>
      </c>
      <c r="V17" s="39">
        <f>MAX(IFERROR(IF(INDEX('State Map'!$C:$C,MATCH(TRIM('RZSPbS-psgr-ldv'!$A17),'State Map'!$A:$A,0))="Max Ambition",Schedules!R$4,U17),U17),U17)</f>
        <v>0</v>
      </c>
      <c r="W17" s="39">
        <f>MAX(IFERROR(IF(INDEX('State Map'!$C:$C,MATCH(TRIM('RZSPbS-psgr-ldv'!$A17),'State Map'!$A:$A,0))="Max Ambition",Schedules!S$4,V17),V17),V17)</f>
        <v>0</v>
      </c>
      <c r="X17" s="39">
        <f>MAX(IFERROR(IF(INDEX('State Map'!$C:$C,MATCH(TRIM('RZSPbS-psgr-ldv'!$A17),'State Map'!$A:$A,0))="Max Ambition",Schedules!T$4,W17),W17),W17)</f>
        <v>0</v>
      </c>
      <c r="Y17" s="39">
        <f>MAX(IFERROR(IF(INDEX('State Map'!$C:$C,MATCH(TRIM('RZSPbS-psgr-ldv'!$A17),'State Map'!$A:$A,0))="Max Ambition",Schedules!U$4,X17),X17),X17)</f>
        <v>0</v>
      </c>
      <c r="Z17" s="39">
        <f>MAX(IFERROR(IF(INDEX('State Map'!$C:$C,MATCH(TRIM('RZSPbS-psgr-ldv'!$A17),'State Map'!$A:$A,0))="Max Ambition",Schedules!V$4,Y17),Y17),Y17)</f>
        <v>0</v>
      </c>
      <c r="AA17" s="39">
        <f>MAX(IFERROR(IF(INDEX('State Map'!$C:$C,MATCH(TRIM('RZSPbS-psgr-ldv'!$A17),'State Map'!$A:$A,0))="Max Ambition",Schedules!W$4,Z17),Z17),Z17)</f>
        <v>0</v>
      </c>
      <c r="AB17" s="39">
        <f>MAX(IFERROR(IF(INDEX('State Map'!$C:$C,MATCH(TRIM('RZSPbS-psgr-ldv'!$A17),'State Map'!$A:$A,0))="Max Ambition",Schedules!X$4,AA17),AA17),AA17)</f>
        <v>0</v>
      </c>
      <c r="AC17" s="39">
        <f>MAX(IFERROR(IF(INDEX('State Map'!$C:$C,MATCH(TRIM('RZSPbS-psgr-ldv'!$A17),'State Map'!$A:$A,0))="Max Ambition",Schedules!Y$4,AB17),AB17),AB17)</f>
        <v>0</v>
      </c>
      <c r="AD17" s="39">
        <f>MAX(IFERROR(IF(INDEX('State Map'!$C:$C,MATCH(TRIM('RZSPbS-psgr-ldv'!$A17),'State Map'!$A:$A,0))="Max Ambition",Schedules!Z$4,AC17),AC17),AC17)</f>
        <v>0</v>
      </c>
      <c r="AE17" s="39">
        <f>MAX(IFERROR(IF(INDEX('State Map'!$C:$C,MATCH(TRIM('RZSPbS-psgr-ldv'!$A17),'State Map'!$A:$A,0))="Max Ambition",Schedules!AA$4,AD17),AD17),AD17)</f>
        <v>0</v>
      </c>
      <c r="AF17" s="39">
        <f>MAX(IFERROR(IF(INDEX('State Map'!$C:$C,MATCH(TRIM('RZSPbS-psgr-ldv'!$A17),'State Map'!$A:$A,0))="Max Ambition",Schedules!AB$4,AE17),AE17),AE17)</f>
        <v>0</v>
      </c>
    </row>
    <row r="18" spans="1:32" x14ac:dyDescent="0.25">
      <c r="A18" t="s">
        <v>17</v>
      </c>
      <c r="B18">
        <f>IF(AND(INDEX('CA Standards and Followers'!$E$7:$E$66,MATCH($A18,'CA Standards and Followers'!$A$7:$A$66,0))=1,INDEX('CA Standards and Followers'!$H$7:$H$66,MATCH($A18,'CA Standards and Followers'!$A$7:$A$66,0))&lt;=B$1),INDEX('CA Standards and Followers'!#REF!,MATCH(B$1,'CA Standards and Followers'!$1:$1,0)),IF(AND(INDEX('CA Standards and Followers'!$D$7:$D$66,MATCH($A18,'CA Standards and Followers'!$A$7:$A$66,0))=1,INDEX('CA Standards and Followers'!$G$7:$G$66,MATCH($A18,'CA Standards and Followers'!$A$7:$A$66,0))&lt;=B$1),INDEX('CA Standards and Followers'!$2:$2,MATCH(B$1,'CA Standards and Followers'!$1:$1,0)),0))</f>
        <v>0</v>
      </c>
      <c r="C18">
        <f>IF(AND(INDEX('CA Standards and Followers'!$E$7:$E$66,MATCH($A18,'CA Standards and Followers'!$A$7:$A$66,0))=1,INDEX('CA Standards and Followers'!$H$7:$H$66,MATCH($A18,'CA Standards and Followers'!$A$7:$A$66,0))&lt;=C$1),INDEX('CA Standards and Followers'!#REF!,MATCH(C$1,'CA Standards and Followers'!$1:$1,0)),IF(AND(INDEX('CA Standards and Followers'!$D$7:$D$66,MATCH($A18,'CA Standards and Followers'!$A$7:$A$66,0))=1,INDEX('CA Standards and Followers'!$G$7:$G$66,MATCH($A18,'CA Standards and Followers'!$A$7:$A$66,0))&lt;=C$1),INDEX('CA Standards and Followers'!$2:$2,MATCH(C$1,'CA Standards and Followers'!$1:$1,0)),0))</f>
        <v>0</v>
      </c>
      <c r="D18">
        <f>IF(AND(INDEX('CA Standards and Followers'!$E$7:$E$66,MATCH($A18,'CA Standards and Followers'!$A$7:$A$66,0))=1,INDEX('CA Standards and Followers'!$H$7:$H$66,MATCH($A18,'CA Standards and Followers'!$A$7:$A$66,0))&lt;=D$1),INDEX('CA Standards and Followers'!#REF!,MATCH(D$1,'CA Standards and Followers'!$1:$1,0)),IF(AND(INDEX('CA Standards and Followers'!$D$7:$D$66,MATCH($A18,'CA Standards and Followers'!$A$7:$A$66,0))=1,INDEX('CA Standards and Followers'!$G$7:$G$66,MATCH($A18,'CA Standards and Followers'!$A$7:$A$66,0))&lt;=D$1),INDEX('CA Standards and Followers'!$2:$2,MATCH(D$1,'CA Standards and Followers'!$1:$1,0)),0))</f>
        <v>0</v>
      </c>
      <c r="E18">
        <f>IF(AND(INDEX('CA Standards and Followers'!$E$7:$E$66,MATCH($A18,'CA Standards and Followers'!$A$7:$A$66,0))=1,INDEX('CA Standards and Followers'!$H$7:$H$66,MATCH($A18,'CA Standards and Followers'!$A$7:$A$66,0))&lt;=E$1),INDEX('CA Standards and Followers'!#REF!,MATCH(E$1,'CA Standards and Followers'!$1:$1,0)),IF(AND(INDEX('CA Standards and Followers'!$D$7:$D$66,MATCH($A18,'CA Standards and Followers'!$A$7:$A$66,0))=1,INDEX('CA Standards and Followers'!$G$7:$G$66,MATCH($A18,'CA Standards and Followers'!$A$7:$A$66,0))&lt;=E$1),INDEX('CA Standards and Followers'!$2:$2,MATCH(E$1,'CA Standards and Followers'!$1:$1,0)),0))</f>
        <v>0</v>
      </c>
      <c r="F18">
        <f>IF(AND(INDEX('CA Standards and Followers'!$E$7:$E$66,MATCH($A18,'CA Standards and Followers'!$A$7:$A$66,0))=1,INDEX('CA Standards and Followers'!$H$7:$H$66,MATCH($A18,'CA Standards and Followers'!$A$7:$A$66,0))&lt;=F$1),INDEX('CA Standards and Followers'!#REF!,MATCH(F$1,'CA Standards and Followers'!$1:$1,0)),IF(AND(INDEX('CA Standards and Followers'!$D$7:$D$66,MATCH($A18,'CA Standards and Followers'!$A$7:$A$66,0))=1,INDEX('CA Standards and Followers'!$G$7:$G$66,MATCH($A18,'CA Standards and Followers'!$A$7:$A$66,0))&lt;=F$1),INDEX('CA Standards and Followers'!$2:$2,MATCH(F$1,'CA Standards and Followers'!$1:$1,0)),0))</f>
        <v>0</v>
      </c>
      <c r="G18">
        <f>IF(AND(INDEX('CA Standards and Followers'!$E$7:$E$66,MATCH($A18,'CA Standards and Followers'!$A$7:$A$66,0))=1,INDEX('CA Standards and Followers'!$H$7:$H$66,MATCH($A18,'CA Standards and Followers'!$A$7:$A$66,0))&lt;=G$1),INDEX('CA Standards and Followers'!#REF!,MATCH(G$1,'CA Standards and Followers'!$1:$1,0)),IF(AND(INDEX('CA Standards and Followers'!$D$7:$D$66,MATCH($A18,'CA Standards and Followers'!$A$7:$A$66,0))=1,INDEX('CA Standards and Followers'!$G$7:$G$66,MATCH($A18,'CA Standards and Followers'!$A$7:$A$66,0))&lt;=G$1),INDEX('CA Standards and Followers'!$2:$2,MATCH(G$1,'CA Standards and Followers'!$1:$1,0)),0))</f>
        <v>0</v>
      </c>
      <c r="H18">
        <f>IF(AND(INDEX('CA Standards and Followers'!$E$7:$E$66,MATCH($A18,'CA Standards and Followers'!$A$7:$A$66,0))=1,INDEX('CA Standards and Followers'!$H$7:$H$66,MATCH($A18,'CA Standards and Followers'!$A$7:$A$66,0))&lt;=H$1),INDEX('CA Standards and Followers'!#REF!,MATCH(H$1,'CA Standards and Followers'!$1:$1,0)),IF(AND(INDEX('CA Standards and Followers'!$D$7:$D$66,MATCH($A18,'CA Standards and Followers'!$A$7:$A$66,0))=1,INDEX('CA Standards and Followers'!$G$7:$G$66,MATCH($A18,'CA Standards and Followers'!$A$7:$A$66,0))&lt;=H$1),INDEX('CA Standards and Followers'!$2:$2,MATCH(H$1,'CA Standards and Followers'!$1:$1,0)),0))</f>
        <v>0</v>
      </c>
      <c r="I18">
        <f>IF(AND(INDEX('CA Standards and Followers'!$E$7:$E$66,MATCH($A18,'CA Standards and Followers'!$A$7:$A$66,0))=1,INDEX('CA Standards and Followers'!$H$7:$H$66,MATCH($A18,'CA Standards and Followers'!$A$7:$A$66,0))&lt;=I$1),INDEX('CA Standards and Followers'!#REF!,MATCH(I$1,'CA Standards and Followers'!$1:$1,0)),IF(AND(INDEX('CA Standards and Followers'!$D$7:$D$66,MATCH($A18,'CA Standards and Followers'!$A$7:$A$66,0))=1,INDEX('CA Standards and Followers'!$G$7:$G$66,MATCH($A18,'CA Standards and Followers'!$A$7:$A$66,0))&lt;=I$1),INDEX('CA Standards and Followers'!$2:$2,MATCH(I$1,'CA Standards and Followers'!$1:$1,0)),0))</f>
        <v>0</v>
      </c>
      <c r="J18">
        <f>IF(AND(INDEX('CA Standards and Followers'!$E$7:$E$66,MATCH($A18,'CA Standards and Followers'!$A$7:$A$66,0))=1,INDEX('CA Standards and Followers'!$H$7:$H$66,MATCH($A18,'CA Standards and Followers'!$A$7:$A$66,0))&lt;=J$1),INDEX('CA Standards and Followers'!#REF!,MATCH(J$1,'CA Standards and Followers'!$1:$1,0)),IF(AND(INDEX('CA Standards and Followers'!$D$7:$D$66,MATCH($A18,'CA Standards and Followers'!$A$7:$A$66,0))=1,INDEX('CA Standards and Followers'!$G$7:$G$66,MATCH($A18,'CA Standards and Followers'!$A$7:$A$66,0))&lt;=J$1),INDEX('CA Standards and Followers'!$2:$2,MATCH(J$1,'CA Standards and Followers'!$1:$1,0)),0))</f>
        <v>0</v>
      </c>
      <c r="K18" s="39">
        <f>MAX(IFERROR(IF(INDEX('State Map'!$C:$C,MATCH(TRIM('RZSPbS-psgr-ldv'!$A18),'State Map'!$A:$A,0))="Max Ambition",Schedules!G$4,J18),J18),J18)</f>
        <v>0</v>
      </c>
      <c r="L18" s="39">
        <f>MAX(IFERROR(IF(INDEX('State Map'!$C:$C,MATCH(TRIM('RZSPbS-psgr-ldv'!$A18),'State Map'!$A:$A,0))="Max Ambition",Schedules!H$4,K18),K18),K18)</f>
        <v>0</v>
      </c>
      <c r="M18" s="39">
        <f>MAX(IFERROR(IF(INDEX('State Map'!$C:$C,MATCH(TRIM('RZSPbS-psgr-ldv'!$A18),'State Map'!$A:$A,0))="Max Ambition",Schedules!I$4,L18),L18),L18)</f>
        <v>0</v>
      </c>
      <c r="N18" s="39">
        <f>MAX(IFERROR(IF(INDEX('State Map'!$C:$C,MATCH(TRIM('RZSPbS-psgr-ldv'!$A18),'State Map'!$A:$A,0))="Max Ambition",Schedules!J$4,M18),M18),M18)</f>
        <v>0</v>
      </c>
      <c r="O18" s="39">
        <f>MAX(IFERROR(IF(INDEX('State Map'!$C:$C,MATCH(TRIM('RZSPbS-psgr-ldv'!$A18),'State Map'!$A:$A,0))="Max Ambition",Schedules!K$4,N18),N18),N18)</f>
        <v>0</v>
      </c>
      <c r="P18" s="39">
        <f>MAX(IFERROR(IF(INDEX('State Map'!$C:$C,MATCH(TRIM('RZSPbS-psgr-ldv'!$A18),'State Map'!$A:$A,0))="Max Ambition",Schedules!L$4,O18),O18),O18)</f>
        <v>0</v>
      </c>
      <c r="Q18" s="39">
        <f>MAX(IFERROR(IF(INDEX('State Map'!$C:$C,MATCH(TRIM('RZSPbS-psgr-ldv'!$A18),'State Map'!$A:$A,0))="Max Ambition",Schedules!M$4,P18),P18),P18)</f>
        <v>0</v>
      </c>
      <c r="R18" s="39">
        <f>MAX(IFERROR(IF(INDEX('State Map'!$C:$C,MATCH(TRIM('RZSPbS-psgr-ldv'!$A18),'State Map'!$A:$A,0))="Max Ambition",Schedules!N$4,Q18),Q18),Q18)</f>
        <v>0</v>
      </c>
      <c r="S18" s="39">
        <f>MAX(IFERROR(IF(INDEX('State Map'!$C:$C,MATCH(TRIM('RZSPbS-psgr-ldv'!$A18),'State Map'!$A:$A,0))="Max Ambition",Schedules!O$4,R18),R18),R18)</f>
        <v>0</v>
      </c>
      <c r="T18" s="39">
        <f>MAX(IFERROR(IF(INDEX('State Map'!$C:$C,MATCH(TRIM('RZSPbS-psgr-ldv'!$A18),'State Map'!$A:$A,0))="Max Ambition",Schedules!P$4,S18),S18),S18)</f>
        <v>0</v>
      </c>
      <c r="U18" s="39">
        <f>MAX(IFERROR(IF(INDEX('State Map'!$C:$C,MATCH(TRIM('RZSPbS-psgr-ldv'!$A18),'State Map'!$A:$A,0))="Max Ambition",Schedules!Q$4,T18),T18),T18)</f>
        <v>0</v>
      </c>
      <c r="V18" s="39">
        <f>MAX(IFERROR(IF(INDEX('State Map'!$C:$C,MATCH(TRIM('RZSPbS-psgr-ldv'!$A18),'State Map'!$A:$A,0))="Max Ambition",Schedules!R$4,U18),U18),U18)</f>
        <v>0</v>
      </c>
      <c r="W18" s="39">
        <f>MAX(IFERROR(IF(INDEX('State Map'!$C:$C,MATCH(TRIM('RZSPbS-psgr-ldv'!$A18),'State Map'!$A:$A,0))="Max Ambition",Schedules!S$4,V18),V18),V18)</f>
        <v>0</v>
      </c>
      <c r="X18" s="39">
        <f>MAX(IFERROR(IF(INDEX('State Map'!$C:$C,MATCH(TRIM('RZSPbS-psgr-ldv'!$A18),'State Map'!$A:$A,0))="Max Ambition",Schedules!T$4,W18),W18),W18)</f>
        <v>0</v>
      </c>
      <c r="Y18" s="39">
        <f>MAX(IFERROR(IF(INDEX('State Map'!$C:$C,MATCH(TRIM('RZSPbS-psgr-ldv'!$A18),'State Map'!$A:$A,0))="Max Ambition",Schedules!U$4,X18),X18),X18)</f>
        <v>0</v>
      </c>
      <c r="Z18" s="39">
        <f>MAX(IFERROR(IF(INDEX('State Map'!$C:$C,MATCH(TRIM('RZSPbS-psgr-ldv'!$A18),'State Map'!$A:$A,0))="Max Ambition",Schedules!V$4,Y18),Y18),Y18)</f>
        <v>0</v>
      </c>
      <c r="AA18" s="39">
        <f>MAX(IFERROR(IF(INDEX('State Map'!$C:$C,MATCH(TRIM('RZSPbS-psgr-ldv'!$A18),'State Map'!$A:$A,0))="Max Ambition",Schedules!W$4,Z18),Z18),Z18)</f>
        <v>0</v>
      </c>
      <c r="AB18" s="39">
        <f>MAX(IFERROR(IF(INDEX('State Map'!$C:$C,MATCH(TRIM('RZSPbS-psgr-ldv'!$A18),'State Map'!$A:$A,0))="Max Ambition",Schedules!X$4,AA18),AA18),AA18)</f>
        <v>0</v>
      </c>
      <c r="AC18" s="39">
        <f>MAX(IFERROR(IF(INDEX('State Map'!$C:$C,MATCH(TRIM('RZSPbS-psgr-ldv'!$A18),'State Map'!$A:$A,0))="Max Ambition",Schedules!Y$4,AB18),AB18),AB18)</f>
        <v>0</v>
      </c>
      <c r="AD18" s="39">
        <f>MAX(IFERROR(IF(INDEX('State Map'!$C:$C,MATCH(TRIM('RZSPbS-psgr-ldv'!$A18),'State Map'!$A:$A,0))="Max Ambition",Schedules!Z$4,AC18),AC18),AC18)</f>
        <v>0</v>
      </c>
      <c r="AE18" s="39">
        <f>MAX(IFERROR(IF(INDEX('State Map'!$C:$C,MATCH(TRIM('RZSPbS-psgr-ldv'!$A18),'State Map'!$A:$A,0))="Max Ambition",Schedules!AA$4,AD18),AD18),AD18)</f>
        <v>0</v>
      </c>
      <c r="AF18" s="39">
        <f>MAX(IFERROR(IF(INDEX('State Map'!$C:$C,MATCH(TRIM('RZSPbS-psgr-ldv'!$A18),'State Map'!$A:$A,0))="Max Ambition",Schedules!AB$4,AE18),AE18),AE18)</f>
        <v>0</v>
      </c>
    </row>
    <row r="19" spans="1:32" x14ac:dyDescent="0.25">
      <c r="A19" t="s">
        <v>18</v>
      </c>
      <c r="B19">
        <f>IF(AND(INDEX('CA Standards and Followers'!$E$7:$E$66,MATCH($A19,'CA Standards and Followers'!$A$7:$A$66,0))=1,INDEX('CA Standards and Followers'!$H$7:$H$66,MATCH($A19,'CA Standards and Followers'!$A$7:$A$66,0))&lt;=B$1),INDEX('CA Standards and Followers'!#REF!,MATCH(B$1,'CA Standards and Followers'!$1:$1,0)),IF(AND(INDEX('CA Standards and Followers'!$D$7:$D$66,MATCH($A19,'CA Standards and Followers'!$A$7:$A$66,0))=1,INDEX('CA Standards and Followers'!$G$7:$G$66,MATCH($A19,'CA Standards and Followers'!$A$7:$A$66,0))&lt;=B$1),INDEX('CA Standards and Followers'!$2:$2,MATCH(B$1,'CA Standards and Followers'!$1:$1,0)),0))</f>
        <v>0</v>
      </c>
      <c r="C19">
        <f>IF(AND(INDEX('CA Standards and Followers'!$E$7:$E$66,MATCH($A19,'CA Standards and Followers'!$A$7:$A$66,0))=1,INDEX('CA Standards and Followers'!$H$7:$H$66,MATCH($A19,'CA Standards and Followers'!$A$7:$A$66,0))&lt;=C$1),INDEX('CA Standards and Followers'!#REF!,MATCH(C$1,'CA Standards and Followers'!$1:$1,0)),IF(AND(INDEX('CA Standards and Followers'!$D$7:$D$66,MATCH($A19,'CA Standards and Followers'!$A$7:$A$66,0))=1,INDEX('CA Standards and Followers'!$G$7:$G$66,MATCH($A19,'CA Standards and Followers'!$A$7:$A$66,0))&lt;=C$1),INDEX('CA Standards and Followers'!$2:$2,MATCH(C$1,'CA Standards and Followers'!$1:$1,0)),0))</f>
        <v>0</v>
      </c>
      <c r="D19">
        <f>IF(AND(INDEX('CA Standards and Followers'!$E$7:$E$66,MATCH($A19,'CA Standards and Followers'!$A$7:$A$66,0))=1,INDEX('CA Standards and Followers'!$H$7:$H$66,MATCH($A19,'CA Standards and Followers'!$A$7:$A$66,0))&lt;=D$1),INDEX('CA Standards and Followers'!#REF!,MATCH(D$1,'CA Standards and Followers'!$1:$1,0)),IF(AND(INDEX('CA Standards and Followers'!$D$7:$D$66,MATCH($A19,'CA Standards and Followers'!$A$7:$A$66,0))=1,INDEX('CA Standards and Followers'!$G$7:$G$66,MATCH($A19,'CA Standards and Followers'!$A$7:$A$66,0))&lt;=D$1),INDEX('CA Standards and Followers'!$2:$2,MATCH(D$1,'CA Standards and Followers'!$1:$1,0)),0))</f>
        <v>0</v>
      </c>
      <c r="E19">
        <f>IF(AND(INDEX('CA Standards and Followers'!$E$7:$E$66,MATCH($A19,'CA Standards and Followers'!$A$7:$A$66,0))=1,INDEX('CA Standards and Followers'!$H$7:$H$66,MATCH($A19,'CA Standards and Followers'!$A$7:$A$66,0))&lt;=E$1),INDEX('CA Standards and Followers'!#REF!,MATCH(E$1,'CA Standards and Followers'!$1:$1,0)),IF(AND(INDEX('CA Standards and Followers'!$D$7:$D$66,MATCH($A19,'CA Standards and Followers'!$A$7:$A$66,0))=1,INDEX('CA Standards and Followers'!$G$7:$G$66,MATCH($A19,'CA Standards and Followers'!$A$7:$A$66,0))&lt;=E$1),INDEX('CA Standards and Followers'!$2:$2,MATCH(E$1,'CA Standards and Followers'!$1:$1,0)),0))</f>
        <v>0</v>
      </c>
      <c r="F19">
        <f>IF(AND(INDEX('CA Standards and Followers'!$E$7:$E$66,MATCH($A19,'CA Standards and Followers'!$A$7:$A$66,0))=1,INDEX('CA Standards and Followers'!$H$7:$H$66,MATCH($A19,'CA Standards and Followers'!$A$7:$A$66,0))&lt;=F$1),INDEX('CA Standards and Followers'!#REF!,MATCH(F$1,'CA Standards and Followers'!$1:$1,0)),IF(AND(INDEX('CA Standards and Followers'!$D$7:$D$66,MATCH($A19,'CA Standards and Followers'!$A$7:$A$66,0))=1,INDEX('CA Standards and Followers'!$G$7:$G$66,MATCH($A19,'CA Standards and Followers'!$A$7:$A$66,0))&lt;=F$1),INDEX('CA Standards and Followers'!$2:$2,MATCH(F$1,'CA Standards and Followers'!$1:$1,0)),0))</f>
        <v>0</v>
      </c>
      <c r="G19">
        <f>IF(AND(INDEX('CA Standards and Followers'!$E$7:$E$66,MATCH($A19,'CA Standards and Followers'!$A$7:$A$66,0))=1,INDEX('CA Standards and Followers'!$H$7:$H$66,MATCH($A19,'CA Standards and Followers'!$A$7:$A$66,0))&lt;=G$1),INDEX('CA Standards and Followers'!#REF!,MATCH(G$1,'CA Standards and Followers'!$1:$1,0)),IF(AND(INDEX('CA Standards and Followers'!$D$7:$D$66,MATCH($A19,'CA Standards and Followers'!$A$7:$A$66,0))=1,INDEX('CA Standards and Followers'!$G$7:$G$66,MATCH($A19,'CA Standards and Followers'!$A$7:$A$66,0))&lt;=G$1),INDEX('CA Standards and Followers'!$2:$2,MATCH(G$1,'CA Standards and Followers'!$1:$1,0)),0))</f>
        <v>0</v>
      </c>
      <c r="H19">
        <f>IF(AND(INDEX('CA Standards and Followers'!$E$7:$E$66,MATCH($A19,'CA Standards and Followers'!$A$7:$A$66,0))=1,INDEX('CA Standards and Followers'!$H$7:$H$66,MATCH($A19,'CA Standards and Followers'!$A$7:$A$66,0))&lt;=H$1),INDEX('CA Standards and Followers'!#REF!,MATCH(H$1,'CA Standards and Followers'!$1:$1,0)),IF(AND(INDEX('CA Standards and Followers'!$D$7:$D$66,MATCH($A19,'CA Standards and Followers'!$A$7:$A$66,0))=1,INDEX('CA Standards and Followers'!$G$7:$G$66,MATCH($A19,'CA Standards and Followers'!$A$7:$A$66,0))&lt;=H$1),INDEX('CA Standards and Followers'!$2:$2,MATCH(H$1,'CA Standards and Followers'!$1:$1,0)),0))</f>
        <v>0</v>
      </c>
      <c r="I19">
        <f>IF(AND(INDEX('CA Standards and Followers'!$E$7:$E$66,MATCH($A19,'CA Standards and Followers'!$A$7:$A$66,0))=1,INDEX('CA Standards and Followers'!$H$7:$H$66,MATCH($A19,'CA Standards and Followers'!$A$7:$A$66,0))&lt;=I$1),INDEX('CA Standards and Followers'!#REF!,MATCH(I$1,'CA Standards and Followers'!$1:$1,0)),IF(AND(INDEX('CA Standards and Followers'!$D$7:$D$66,MATCH($A19,'CA Standards and Followers'!$A$7:$A$66,0))=1,INDEX('CA Standards and Followers'!$G$7:$G$66,MATCH($A19,'CA Standards and Followers'!$A$7:$A$66,0))&lt;=I$1),INDEX('CA Standards and Followers'!$2:$2,MATCH(I$1,'CA Standards and Followers'!$1:$1,0)),0))</f>
        <v>0</v>
      </c>
      <c r="J19">
        <f>IF(AND(INDEX('CA Standards and Followers'!$E$7:$E$66,MATCH($A19,'CA Standards and Followers'!$A$7:$A$66,0))=1,INDEX('CA Standards and Followers'!$H$7:$H$66,MATCH($A19,'CA Standards and Followers'!$A$7:$A$66,0))&lt;=J$1),INDEX('CA Standards and Followers'!#REF!,MATCH(J$1,'CA Standards and Followers'!$1:$1,0)),IF(AND(INDEX('CA Standards and Followers'!$D$7:$D$66,MATCH($A19,'CA Standards and Followers'!$A$7:$A$66,0))=1,INDEX('CA Standards and Followers'!$G$7:$G$66,MATCH($A19,'CA Standards and Followers'!$A$7:$A$66,0))&lt;=J$1),INDEX('CA Standards and Followers'!$2:$2,MATCH(J$1,'CA Standards and Followers'!$1:$1,0)),0))</f>
        <v>0</v>
      </c>
      <c r="K19" s="39">
        <f>MAX(IFERROR(IF(INDEX('State Map'!$C:$C,MATCH(TRIM('RZSPbS-psgr-ldv'!$A19),'State Map'!$A:$A,0))="Max Ambition",Schedules!G$4,J19),J19),J19)</f>
        <v>0</v>
      </c>
      <c r="L19" s="39">
        <f>MAX(IFERROR(IF(INDEX('State Map'!$C:$C,MATCH(TRIM('RZSPbS-psgr-ldv'!$A19),'State Map'!$A:$A,0))="Max Ambition",Schedules!H$4,K19),K19),K19)</f>
        <v>0</v>
      </c>
      <c r="M19" s="39">
        <f>MAX(IFERROR(IF(INDEX('State Map'!$C:$C,MATCH(TRIM('RZSPbS-psgr-ldv'!$A19),'State Map'!$A:$A,0))="Max Ambition",Schedules!I$4,L19),L19),L19)</f>
        <v>0</v>
      </c>
      <c r="N19" s="39">
        <f>MAX(IFERROR(IF(INDEX('State Map'!$C:$C,MATCH(TRIM('RZSPbS-psgr-ldv'!$A19),'State Map'!$A:$A,0))="Max Ambition",Schedules!J$4,M19),M19),M19)</f>
        <v>0</v>
      </c>
      <c r="O19" s="39">
        <f>MAX(IFERROR(IF(INDEX('State Map'!$C:$C,MATCH(TRIM('RZSPbS-psgr-ldv'!$A19),'State Map'!$A:$A,0))="Max Ambition",Schedules!K$4,N19),N19),N19)</f>
        <v>0</v>
      </c>
      <c r="P19" s="39">
        <f>MAX(IFERROR(IF(INDEX('State Map'!$C:$C,MATCH(TRIM('RZSPbS-psgr-ldv'!$A19),'State Map'!$A:$A,0))="Max Ambition",Schedules!L$4,O19),O19),O19)</f>
        <v>0</v>
      </c>
      <c r="Q19" s="39">
        <f>MAX(IFERROR(IF(INDEX('State Map'!$C:$C,MATCH(TRIM('RZSPbS-psgr-ldv'!$A19),'State Map'!$A:$A,0))="Max Ambition",Schedules!M$4,P19),P19),P19)</f>
        <v>0</v>
      </c>
      <c r="R19" s="39">
        <f>MAX(IFERROR(IF(INDEX('State Map'!$C:$C,MATCH(TRIM('RZSPbS-psgr-ldv'!$A19),'State Map'!$A:$A,0))="Max Ambition",Schedules!N$4,Q19),Q19),Q19)</f>
        <v>0</v>
      </c>
      <c r="S19" s="39">
        <f>MAX(IFERROR(IF(INDEX('State Map'!$C:$C,MATCH(TRIM('RZSPbS-psgr-ldv'!$A19),'State Map'!$A:$A,0))="Max Ambition",Schedules!O$4,R19),R19),R19)</f>
        <v>0</v>
      </c>
      <c r="T19" s="39">
        <f>MAX(IFERROR(IF(INDEX('State Map'!$C:$C,MATCH(TRIM('RZSPbS-psgr-ldv'!$A19),'State Map'!$A:$A,0))="Max Ambition",Schedules!P$4,S19),S19),S19)</f>
        <v>0</v>
      </c>
      <c r="U19" s="39">
        <f>MAX(IFERROR(IF(INDEX('State Map'!$C:$C,MATCH(TRIM('RZSPbS-psgr-ldv'!$A19),'State Map'!$A:$A,0))="Max Ambition",Schedules!Q$4,T19),T19),T19)</f>
        <v>0</v>
      </c>
      <c r="V19" s="39">
        <f>MAX(IFERROR(IF(INDEX('State Map'!$C:$C,MATCH(TRIM('RZSPbS-psgr-ldv'!$A19),'State Map'!$A:$A,0))="Max Ambition",Schedules!R$4,U19),U19),U19)</f>
        <v>0</v>
      </c>
      <c r="W19" s="39">
        <f>MAX(IFERROR(IF(INDEX('State Map'!$C:$C,MATCH(TRIM('RZSPbS-psgr-ldv'!$A19),'State Map'!$A:$A,0))="Max Ambition",Schedules!S$4,V19),V19),V19)</f>
        <v>0</v>
      </c>
      <c r="X19" s="39">
        <f>MAX(IFERROR(IF(INDEX('State Map'!$C:$C,MATCH(TRIM('RZSPbS-psgr-ldv'!$A19),'State Map'!$A:$A,0))="Max Ambition",Schedules!T$4,W19),W19),W19)</f>
        <v>0</v>
      </c>
      <c r="Y19" s="39">
        <f>MAX(IFERROR(IF(INDEX('State Map'!$C:$C,MATCH(TRIM('RZSPbS-psgr-ldv'!$A19),'State Map'!$A:$A,0))="Max Ambition",Schedules!U$4,X19),X19),X19)</f>
        <v>0</v>
      </c>
      <c r="Z19" s="39">
        <f>MAX(IFERROR(IF(INDEX('State Map'!$C:$C,MATCH(TRIM('RZSPbS-psgr-ldv'!$A19),'State Map'!$A:$A,0))="Max Ambition",Schedules!V$4,Y19),Y19),Y19)</f>
        <v>0</v>
      </c>
      <c r="AA19" s="39">
        <f>MAX(IFERROR(IF(INDEX('State Map'!$C:$C,MATCH(TRIM('RZSPbS-psgr-ldv'!$A19),'State Map'!$A:$A,0))="Max Ambition",Schedules!W$4,Z19),Z19),Z19)</f>
        <v>0</v>
      </c>
      <c r="AB19" s="39">
        <f>MAX(IFERROR(IF(INDEX('State Map'!$C:$C,MATCH(TRIM('RZSPbS-psgr-ldv'!$A19),'State Map'!$A:$A,0))="Max Ambition",Schedules!X$4,AA19),AA19),AA19)</f>
        <v>0</v>
      </c>
      <c r="AC19" s="39">
        <f>MAX(IFERROR(IF(INDEX('State Map'!$C:$C,MATCH(TRIM('RZSPbS-psgr-ldv'!$A19),'State Map'!$A:$A,0))="Max Ambition",Schedules!Y$4,AB19),AB19),AB19)</f>
        <v>0</v>
      </c>
      <c r="AD19" s="39">
        <f>MAX(IFERROR(IF(INDEX('State Map'!$C:$C,MATCH(TRIM('RZSPbS-psgr-ldv'!$A19),'State Map'!$A:$A,0))="Max Ambition",Schedules!Z$4,AC19),AC19),AC19)</f>
        <v>0</v>
      </c>
      <c r="AE19" s="39">
        <f>MAX(IFERROR(IF(INDEX('State Map'!$C:$C,MATCH(TRIM('RZSPbS-psgr-ldv'!$A19),'State Map'!$A:$A,0))="Max Ambition",Schedules!AA$4,AD19),AD19),AD19)</f>
        <v>0</v>
      </c>
      <c r="AF19" s="39">
        <f>MAX(IFERROR(IF(INDEX('State Map'!$C:$C,MATCH(TRIM('RZSPbS-psgr-ldv'!$A19),'State Map'!$A:$A,0))="Max Ambition",Schedules!AB$4,AE19),AE19),AE19)</f>
        <v>0</v>
      </c>
    </row>
    <row r="20" spans="1:32" x14ac:dyDescent="0.25">
      <c r="A20" t="s">
        <v>19</v>
      </c>
      <c r="B20">
        <f>IF(AND(INDEX('CA Standards and Followers'!$E$7:$E$66,MATCH($A20,'CA Standards and Followers'!$A$7:$A$66,0))=1,INDEX('CA Standards and Followers'!$H$7:$H$66,MATCH($A20,'CA Standards and Followers'!$A$7:$A$66,0))&lt;=B$1),INDEX('CA Standards and Followers'!#REF!,MATCH(B$1,'CA Standards and Followers'!$1:$1,0)),IF(AND(INDEX('CA Standards and Followers'!$D$7:$D$66,MATCH($A20,'CA Standards and Followers'!$A$7:$A$66,0))=1,INDEX('CA Standards and Followers'!$G$7:$G$66,MATCH($A20,'CA Standards and Followers'!$A$7:$A$66,0))&lt;=B$1),INDEX('CA Standards and Followers'!$2:$2,MATCH(B$1,'CA Standards and Followers'!$1:$1,0)),0))</f>
        <v>0</v>
      </c>
      <c r="C20">
        <f>IF(AND(INDEX('CA Standards and Followers'!$E$7:$E$66,MATCH($A20,'CA Standards and Followers'!$A$7:$A$66,0))=1,INDEX('CA Standards and Followers'!$H$7:$H$66,MATCH($A20,'CA Standards and Followers'!$A$7:$A$66,0))&lt;=C$1),INDEX('CA Standards and Followers'!#REF!,MATCH(C$1,'CA Standards and Followers'!$1:$1,0)),IF(AND(INDEX('CA Standards and Followers'!$D$7:$D$66,MATCH($A20,'CA Standards and Followers'!$A$7:$A$66,0))=1,INDEX('CA Standards and Followers'!$G$7:$G$66,MATCH($A20,'CA Standards and Followers'!$A$7:$A$66,0))&lt;=C$1),INDEX('CA Standards and Followers'!$2:$2,MATCH(C$1,'CA Standards and Followers'!$1:$1,0)),0))</f>
        <v>0</v>
      </c>
      <c r="D20">
        <f>IF(AND(INDEX('CA Standards and Followers'!$E$7:$E$66,MATCH($A20,'CA Standards and Followers'!$A$7:$A$66,0))=1,INDEX('CA Standards and Followers'!$H$7:$H$66,MATCH($A20,'CA Standards and Followers'!$A$7:$A$66,0))&lt;=D$1),INDEX('CA Standards and Followers'!#REF!,MATCH(D$1,'CA Standards and Followers'!$1:$1,0)),IF(AND(INDEX('CA Standards and Followers'!$D$7:$D$66,MATCH($A20,'CA Standards and Followers'!$A$7:$A$66,0))=1,INDEX('CA Standards and Followers'!$G$7:$G$66,MATCH($A20,'CA Standards and Followers'!$A$7:$A$66,0))&lt;=D$1),INDEX('CA Standards and Followers'!$2:$2,MATCH(D$1,'CA Standards and Followers'!$1:$1,0)),0))</f>
        <v>0</v>
      </c>
      <c r="E20">
        <f>IF(AND(INDEX('CA Standards and Followers'!$E$7:$E$66,MATCH($A20,'CA Standards and Followers'!$A$7:$A$66,0))=1,INDEX('CA Standards and Followers'!$H$7:$H$66,MATCH($A20,'CA Standards and Followers'!$A$7:$A$66,0))&lt;=E$1),INDEX('CA Standards and Followers'!#REF!,MATCH(E$1,'CA Standards and Followers'!$1:$1,0)),IF(AND(INDEX('CA Standards and Followers'!$D$7:$D$66,MATCH($A20,'CA Standards and Followers'!$A$7:$A$66,0))=1,INDEX('CA Standards and Followers'!$G$7:$G$66,MATCH($A20,'CA Standards and Followers'!$A$7:$A$66,0))&lt;=E$1),INDEX('CA Standards and Followers'!$2:$2,MATCH(E$1,'CA Standards and Followers'!$1:$1,0)),0))</f>
        <v>0</v>
      </c>
      <c r="F20">
        <f>IF(AND(INDEX('CA Standards and Followers'!$E$7:$E$66,MATCH($A20,'CA Standards and Followers'!$A$7:$A$66,0))=1,INDEX('CA Standards and Followers'!$H$7:$H$66,MATCH($A20,'CA Standards and Followers'!$A$7:$A$66,0))&lt;=F$1),INDEX('CA Standards and Followers'!#REF!,MATCH(F$1,'CA Standards and Followers'!$1:$1,0)),IF(AND(INDEX('CA Standards and Followers'!$D$7:$D$66,MATCH($A20,'CA Standards and Followers'!$A$7:$A$66,0))=1,INDEX('CA Standards and Followers'!$G$7:$G$66,MATCH($A20,'CA Standards and Followers'!$A$7:$A$66,0))&lt;=F$1),INDEX('CA Standards and Followers'!$2:$2,MATCH(F$1,'CA Standards and Followers'!$1:$1,0)),0))</f>
        <v>0</v>
      </c>
      <c r="G20">
        <f>IF(AND(INDEX('CA Standards and Followers'!$E$7:$E$66,MATCH($A20,'CA Standards and Followers'!$A$7:$A$66,0))=1,INDEX('CA Standards and Followers'!$H$7:$H$66,MATCH($A20,'CA Standards and Followers'!$A$7:$A$66,0))&lt;=G$1),INDEX('CA Standards and Followers'!#REF!,MATCH(G$1,'CA Standards and Followers'!$1:$1,0)),IF(AND(INDEX('CA Standards and Followers'!$D$7:$D$66,MATCH($A20,'CA Standards and Followers'!$A$7:$A$66,0))=1,INDEX('CA Standards and Followers'!$G$7:$G$66,MATCH($A20,'CA Standards and Followers'!$A$7:$A$66,0))&lt;=G$1),INDEX('CA Standards and Followers'!$2:$2,MATCH(G$1,'CA Standards and Followers'!$1:$1,0)),0))</f>
        <v>0</v>
      </c>
      <c r="H20">
        <f>IF(AND(INDEX('CA Standards and Followers'!$E$7:$E$66,MATCH($A20,'CA Standards and Followers'!$A$7:$A$66,0))=1,INDEX('CA Standards and Followers'!$H$7:$H$66,MATCH($A20,'CA Standards and Followers'!$A$7:$A$66,0))&lt;=H$1),INDEX('CA Standards and Followers'!#REF!,MATCH(H$1,'CA Standards and Followers'!$1:$1,0)),IF(AND(INDEX('CA Standards and Followers'!$D$7:$D$66,MATCH($A20,'CA Standards and Followers'!$A$7:$A$66,0))=1,INDEX('CA Standards and Followers'!$G$7:$G$66,MATCH($A20,'CA Standards and Followers'!$A$7:$A$66,0))&lt;=H$1),INDEX('CA Standards and Followers'!$2:$2,MATCH(H$1,'CA Standards and Followers'!$1:$1,0)),0))</f>
        <v>0</v>
      </c>
      <c r="I20">
        <f>IF(AND(INDEX('CA Standards and Followers'!$E$7:$E$66,MATCH($A20,'CA Standards and Followers'!$A$7:$A$66,0))=1,INDEX('CA Standards and Followers'!$H$7:$H$66,MATCH($A20,'CA Standards and Followers'!$A$7:$A$66,0))&lt;=I$1),INDEX('CA Standards and Followers'!#REF!,MATCH(I$1,'CA Standards and Followers'!$1:$1,0)),IF(AND(INDEX('CA Standards and Followers'!$D$7:$D$66,MATCH($A20,'CA Standards and Followers'!$A$7:$A$66,0))=1,INDEX('CA Standards and Followers'!$G$7:$G$66,MATCH($A20,'CA Standards and Followers'!$A$7:$A$66,0))&lt;=I$1),INDEX('CA Standards and Followers'!$2:$2,MATCH(I$1,'CA Standards and Followers'!$1:$1,0)),0))</f>
        <v>0</v>
      </c>
      <c r="J20">
        <f>IF(AND(INDEX('CA Standards and Followers'!$E$7:$E$66,MATCH($A20,'CA Standards and Followers'!$A$7:$A$66,0))=1,INDEX('CA Standards and Followers'!$H$7:$H$66,MATCH($A20,'CA Standards and Followers'!$A$7:$A$66,0))&lt;=J$1),INDEX('CA Standards and Followers'!#REF!,MATCH(J$1,'CA Standards and Followers'!$1:$1,0)),IF(AND(INDEX('CA Standards and Followers'!$D$7:$D$66,MATCH($A20,'CA Standards and Followers'!$A$7:$A$66,0))=1,INDEX('CA Standards and Followers'!$G$7:$G$66,MATCH($A20,'CA Standards and Followers'!$A$7:$A$66,0))&lt;=J$1),INDEX('CA Standards and Followers'!$2:$2,MATCH(J$1,'CA Standards and Followers'!$1:$1,0)),0))</f>
        <v>0</v>
      </c>
      <c r="K20" s="39">
        <f>MAX(IFERROR(IF(INDEX('State Map'!$C:$C,MATCH(TRIM('RZSPbS-psgr-ldv'!$A20),'State Map'!$A:$A,0))="Max Ambition",Schedules!G$4,J20),J20),J20)</f>
        <v>0</v>
      </c>
      <c r="L20" s="39">
        <f>MAX(IFERROR(IF(INDEX('State Map'!$C:$C,MATCH(TRIM('RZSPbS-psgr-ldv'!$A20),'State Map'!$A:$A,0))="Max Ambition",Schedules!H$4,K20),K20),K20)</f>
        <v>0</v>
      </c>
      <c r="M20" s="39">
        <f>MAX(IFERROR(IF(INDEX('State Map'!$C:$C,MATCH(TRIM('RZSPbS-psgr-ldv'!$A20),'State Map'!$A:$A,0))="Max Ambition",Schedules!I$4,L20),L20),L20)</f>
        <v>0</v>
      </c>
      <c r="N20" s="39">
        <f>MAX(IFERROR(IF(INDEX('State Map'!$C:$C,MATCH(TRIM('RZSPbS-psgr-ldv'!$A20),'State Map'!$A:$A,0))="Max Ambition",Schedules!J$4,M20),M20),M20)</f>
        <v>0</v>
      </c>
      <c r="O20" s="39">
        <f>MAX(IFERROR(IF(INDEX('State Map'!$C:$C,MATCH(TRIM('RZSPbS-psgr-ldv'!$A20),'State Map'!$A:$A,0))="Max Ambition",Schedules!K$4,N20),N20),N20)</f>
        <v>0</v>
      </c>
      <c r="P20" s="39">
        <f>MAX(IFERROR(IF(INDEX('State Map'!$C:$C,MATCH(TRIM('RZSPbS-psgr-ldv'!$A20),'State Map'!$A:$A,0))="Max Ambition",Schedules!L$4,O20),O20),O20)</f>
        <v>0</v>
      </c>
      <c r="Q20" s="39">
        <f>MAX(IFERROR(IF(INDEX('State Map'!$C:$C,MATCH(TRIM('RZSPbS-psgr-ldv'!$A20),'State Map'!$A:$A,0))="Max Ambition",Schedules!M$4,P20),P20),P20)</f>
        <v>0</v>
      </c>
      <c r="R20" s="39">
        <f>MAX(IFERROR(IF(INDEX('State Map'!$C:$C,MATCH(TRIM('RZSPbS-psgr-ldv'!$A20),'State Map'!$A:$A,0))="Max Ambition",Schedules!N$4,Q20),Q20),Q20)</f>
        <v>0</v>
      </c>
      <c r="S20" s="39">
        <f>MAX(IFERROR(IF(INDEX('State Map'!$C:$C,MATCH(TRIM('RZSPbS-psgr-ldv'!$A20),'State Map'!$A:$A,0))="Max Ambition",Schedules!O$4,R20),R20),R20)</f>
        <v>0</v>
      </c>
      <c r="T20" s="39">
        <f>MAX(IFERROR(IF(INDEX('State Map'!$C:$C,MATCH(TRIM('RZSPbS-psgr-ldv'!$A20),'State Map'!$A:$A,0))="Max Ambition",Schedules!P$4,S20),S20),S20)</f>
        <v>0</v>
      </c>
      <c r="U20" s="39">
        <f>MAX(IFERROR(IF(INDEX('State Map'!$C:$C,MATCH(TRIM('RZSPbS-psgr-ldv'!$A20),'State Map'!$A:$A,0))="Max Ambition",Schedules!Q$4,T20),T20),T20)</f>
        <v>0</v>
      </c>
      <c r="V20" s="39">
        <f>MAX(IFERROR(IF(INDEX('State Map'!$C:$C,MATCH(TRIM('RZSPbS-psgr-ldv'!$A20),'State Map'!$A:$A,0))="Max Ambition",Schedules!R$4,U20),U20),U20)</f>
        <v>0</v>
      </c>
      <c r="W20" s="39">
        <f>MAX(IFERROR(IF(INDEX('State Map'!$C:$C,MATCH(TRIM('RZSPbS-psgr-ldv'!$A20),'State Map'!$A:$A,0))="Max Ambition",Schedules!S$4,V20),V20),V20)</f>
        <v>0</v>
      </c>
      <c r="X20" s="39">
        <f>MAX(IFERROR(IF(INDEX('State Map'!$C:$C,MATCH(TRIM('RZSPbS-psgr-ldv'!$A20),'State Map'!$A:$A,0))="Max Ambition",Schedules!T$4,W20),W20),W20)</f>
        <v>0</v>
      </c>
      <c r="Y20" s="39">
        <f>MAX(IFERROR(IF(INDEX('State Map'!$C:$C,MATCH(TRIM('RZSPbS-psgr-ldv'!$A20),'State Map'!$A:$A,0))="Max Ambition",Schedules!U$4,X20),X20),X20)</f>
        <v>0</v>
      </c>
      <c r="Z20" s="39">
        <f>MAX(IFERROR(IF(INDEX('State Map'!$C:$C,MATCH(TRIM('RZSPbS-psgr-ldv'!$A20),'State Map'!$A:$A,0))="Max Ambition",Schedules!V$4,Y20),Y20),Y20)</f>
        <v>0</v>
      </c>
      <c r="AA20" s="39">
        <f>MAX(IFERROR(IF(INDEX('State Map'!$C:$C,MATCH(TRIM('RZSPbS-psgr-ldv'!$A20),'State Map'!$A:$A,0))="Max Ambition",Schedules!W$4,Z20),Z20),Z20)</f>
        <v>0</v>
      </c>
      <c r="AB20" s="39">
        <f>MAX(IFERROR(IF(INDEX('State Map'!$C:$C,MATCH(TRIM('RZSPbS-psgr-ldv'!$A20),'State Map'!$A:$A,0))="Max Ambition",Schedules!X$4,AA20),AA20),AA20)</f>
        <v>0</v>
      </c>
      <c r="AC20" s="39">
        <f>MAX(IFERROR(IF(INDEX('State Map'!$C:$C,MATCH(TRIM('RZSPbS-psgr-ldv'!$A20),'State Map'!$A:$A,0))="Max Ambition",Schedules!Y$4,AB20),AB20),AB20)</f>
        <v>0</v>
      </c>
      <c r="AD20" s="39">
        <f>MAX(IFERROR(IF(INDEX('State Map'!$C:$C,MATCH(TRIM('RZSPbS-psgr-ldv'!$A20),'State Map'!$A:$A,0))="Max Ambition",Schedules!Z$4,AC20),AC20),AC20)</f>
        <v>0</v>
      </c>
      <c r="AE20" s="39">
        <f>MAX(IFERROR(IF(INDEX('State Map'!$C:$C,MATCH(TRIM('RZSPbS-psgr-ldv'!$A20),'State Map'!$A:$A,0))="Max Ambition",Schedules!AA$4,AD20),AD20),AD20)</f>
        <v>0</v>
      </c>
      <c r="AF20" s="39">
        <f>MAX(IFERROR(IF(INDEX('State Map'!$C:$C,MATCH(TRIM('RZSPbS-psgr-ldv'!$A20),'State Map'!$A:$A,0))="Max Ambition",Schedules!AB$4,AE20),AE20),AE20)</f>
        <v>0</v>
      </c>
    </row>
    <row r="21" spans="1:32" x14ac:dyDescent="0.25">
      <c r="A21" t="s">
        <v>20</v>
      </c>
      <c r="B21">
        <f>IF(AND(INDEX('CA Standards and Followers'!$E$7:$E$66,MATCH($A21,'CA Standards and Followers'!$A$7:$A$66,0))=1,INDEX('CA Standards and Followers'!$H$7:$H$66,MATCH($A21,'CA Standards and Followers'!$A$7:$A$66,0))&lt;=B$1),INDEX('CA Standards and Followers'!#REF!,MATCH(B$1,'CA Standards and Followers'!$1:$1,0)),IF(AND(INDEX('CA Standards and Followers'!$D$7:$D$66,MATCH($A21,'CA Standards and Followers'!$A$7:$A$66,0))=1,INDEX('CA Standards and Followers'!$G$7:$G$66,MATCH($A21,'CA Standards and Followers'!$A$7:$A$66,0))&lt;=B$1),INDEX('CA Standards and Followers'!$2:$2,MATCH(B$1,'CA Standards and Followers'!$1:$1,0)),0))</f>
        <v>0</v>
      </c>
      <c r="C21">
        <f>IF(AND(INDEX('CA Standards and Followers'!$E$7:$E$66,MATCH($A21,'CA Standards and Followers'!$A$7:$A$66,0))=1,INDEX('CA Standards and Followers'!$H$7:$H$66,MATCH($A21,'CA Standards and Followers'!$A$7:$A$66,0))&lt;=C$1),INDEX('CA Standards and Followers'!#REF!,MATCH(C$1,'CA Standards and Followers'!$1:$1,0)),IF(AND(INDEX('CA Standards and Followers'!$D$7:$D$66,MATCH($A21,'CA Standards and Followers'!$A$7:$A$66,0))=1,INDEX('CA Standards and Followers'!$G$7:$G$66,MATCH($A21,'CA Standards and Followers'!$A$7:$A$66,0))&lt;=C$1),INDEX('CA Standards and Followers'!$2:$2,MATCH(C$1,'CA Standards and Followers'!$1:$1,0)),0))</f>
        <v>0</v>
      </c>
      <c r="D21">
        <f>IF(AND(INDEX('CA Standards and Followers'!$E$7:$E$66,MATCH($A21,'CA Standards and Followers'!$A$7:$A$66,0))=1,INDEX('CA Standards and Followers'!$H$7:$H$66,MATCH($A21,'CA Standards and Followers'!$A$7:$A$66,0))&lt;=D$1),INDEX('CA Standards and Followers'!#REF!,MATCH(D$1,'CA Standards and Followers'!$1:$1,0)),IF(AND(INDEX('CA Standards and Followers'!$D$7:$D$66,MATCH($A21,'CA Standards and Followers'!$A$7:$A$66,0))=1,INDEX('CA Standards and Followers'!$G$7:$G$66,MATCH($A21,'CA Standards and Followers'!$A$7:$A$66,0))&lt;=D$1),INDEX('CA Standards and Followers'!$2:$2,MATCH(D$1,'CA Standards and Followers'!$1:$1,0)),0))</f>
        <v>0</v>
      </c>
      <c r="E21">
        <f>IF(AND(INDEX('CA Standards and Followers'!$E$7:$E$66,MATCH($A21,'CA Standards and Followers'!$A$7:$A$66,0))=1,INDEX('CA Standards and Followers'!$H$7:$H$66,MATCH($A21,'CA Standards and Followers'!$A$7:$A$66,0))&lt;=E$1),INDEX('CA Standards and Followers'!#REF!,MATCH(E$1,'CA Standards and Followers'!$1:$1,0)),IF(AND(INDEX('CA Standards and Followers'!$D$7:$D$66,MATCH($A21,'CA Standards and Followers'!$A$7:$A$66,0))=1,INDEX('CA Standards and Followers'!$G$7:$G$66,MATCH($A21,'CA Standards and Followers'!$A$7:$A$66,0))&lt;=E$1),INDEX('CA Standards and Followers'!$2:$2,MATCH(E$1,'CA Standards and Followers'!$1:$1,0)),0))</f>
        <v>0</v>
      </c>
      <c r="F21">
        <f>IF(AND(INDEX('CA Standards and Followers'!$E$7:$E$66,MATCH($A21,'CA Standards and Followers'!$A$7:$A$66,0))=1,INDEX('CA Standards and Followers'!$H$7:$H$66,MATCH($A21,'CA Standards and Followers'!$A$7:$A$66,0))&lt;=F$1),INDEX('CA Standards and Followers'!#REF!,MATCH(F$1,'CA Standards and Followers'!$1:$1,0)),IF(AND(INDEX('CA Standards and Followers'!$D$7:$D$66,MATCH($A21,'CA Standards and Followers'!$A$7:$A$66,0))=1,INDEX('CA Standards and Followers'!$G$7:$G$66,MATCH($A21,'CA Standards and Followers'!$A$7:$A$66,0))&lt;=F$1),INDEX('CA Standards and Followers'!$2:$2,MATCH(F$1,'CA Standards and Followers'!$1:$1,0)),0))</f>
        <v>0.08</v>
      </c>
      <c r="G21">
        <f>IF(AND(INDEX('CA Standards and Followers'!$E$7:$E$66,MATCH($A21,'CA Standards and Followers'!$A$7:$A$66,0))=1,INDEX('CA Standards and Followers'!$H$7:$H$66,MATCH($A21,'CA Standards and Followers'!$A$7:$A$66,0))&lt;=G$1),INDEX('CA Standards and Followers'!#REF!,MATCH(G$1,'CA Standards and Followers'!$1:$1,0)),IF(AND(INDEX('CA Standards and Followers'!$D$7:$D$66,MATCH($A21,'CA Standards and Followers'!$A$7:$A$66,0))=1,INDEX('CA Standards and Followers'!$G$7:$G$66,MATCH($A21,'CA Standards and Followers'!$A$7:$A$66,0))&lt;=G$1),INDEX('CA Standards and Followers'!$2:$2,MATCH(G$1,'CA Standards and Followers'!$1:$1,0)),0))</f>
        <v>0.08</v>
      </c>
      <c r="H21">
        <f>IF(AND(INDEX('CA Standards and Followers'!$E$7:$E$66,MATCH($A21,'CA Standards and Followers'!$A$7:$A$66,0))=1,INDEX('CA Standards and Followers'!$H$7:$H$66,MATCH($A21,'CA Standards and Followers'!$A$7:$A$66,0))&lt;=H$1),INDEX('CA Standards and Followers'!#REF!,MATCH(H$1,'CA Standards and Followers'!$1:$1,0)),IF(AND(INDEX('CA Standards and Followers'!$D$7:$D$66,MATCH($A21,'CA Standards and Followers'!$A$7:$A$66,0))=1,INDEX('CA Standards and Followers'!$G$7:$G$66,MATCH($A21,'CA Standards and Followers'!$A$7:$A$66,0))&lt;=H$1),INDEX('CA Standards and Followers'!$2:$2,MATCH(H$1,'CA Standards and Followers'!$1:$1,0)),0))</f>
        <v>0</v>
      </c>
      <c r="I21">
        <f>IF(AND(INDEX('CA Standards and Followers'!$E$7:$E$66,MATCH($A21,'CA Standards and Followers'!$A$7:$A$66,0))=1,INDEX('CA Standards and Followers'!$H$7:$H$66,MATCH($A21,'CA Standards and Followers'!$A$7:$A$66,0))&lt;=I$1),INDEX('CA Standards and Followers'!#REF!,MATCH(I$1,'CA Standards and Followers'!$1:$1,0)),IF(AND(INDEX('CA Standards and Followers'!$D$7:$D$66,MATCH($A21,'CA Standards and Followers'!$A$7:$A$66,0))=1,INDEX('CA Standards and Followers'!$G$7:$G$66,MATCH($A21,'CA Standards and Followers'!$A$7:$A$66,0))&lt;=I$1),INDEX('CA Standards and Followers'!$2:$2,MATCH(I$1,'CA Standards and Followers'!$1:$1,0)),0))</f>
        <v>0</v>
      </c>
      <c r="J21">
        <f>IF(AND(INDEX('CA Standards and Followers'!$E$7:$E$66,MATCH($A21,'CA Standards and Followers'!$A$7:$A$66,0))=1,INDEX('CA Standards and Followers'!$H$7:$H$66,MATCH($A21,'CA Standards and Followers'!$A$7:$A$66,0))&lt;=J$1),INDEX('CA Standards and Followers'!#REF!,MATCH(J$1,'CA Standards and Followers'!$1:$1,0)),IF(AND(INDEX('CA Standards and Followers'!$D$7:$D$66,MATCH($A21,'CA Standards and Followers'!$A$7:$A$66,0))=1,INDEX('CA Standards and Followers'!$G$7:$G$66,MATCH($A21,'CA Standards and Followers'!$A$7:$A$66,0))&lt;=J$1),INDEX('CA Standards and Followers'!$2:$2,MATCH(J$1,'CA Standards and Followers'!$1:$1,0)),0))</f>
        <v>0</v>
      </c>
      <c r="K21" s="39">
        <f>MAX(IFERROR(IF(INDEX('State Map'!$C:$C,MATCH(TRIM('RZSPbS-psgr-ldv'!$A21),'State Map'!$A:$A,0))="Max Ambition",Schedules!G$4,J21),J21),J21)</f>
        <v>0.2</v>
      </c>
      <c r="L21" s="39">
        <f>MAX(IFERROR(IF(INDEX('State Map'!$C:$C,MATCH(TRIM('RZSPbS-psgr-ldv'!$A21),'State Map'!$A:$A,0))="Max Ambition",Schedules!H$4,K21),K21),K21)</f>
        <v>0.25</v>
      </c>
      <c r="M21" s="39">
        <f>MAX(IFERROR(IF(INDEX('State Map'!$C:$C,MATCH(TRIM('RZSPbS-psgr-ldv'!$A21),'State Map'!$A:$A,0))="Max Ambition",Schedules!I$4,L21),L21),L21)</f>
        <v>0.3</v>
      </c>
      <c r="N21" s="39">
        <f>MAX(IFERROR(IF(INDEX('State Map'!$C:$C,MATCH(TRIM('RZSPbS-psgr-ldv'!$A21),'State Map'!$A:$A,0))="Max Ambition",Schedules!J$4,M21),M21),M21)</f>
        <v>0.38</v>
      </c>
      <c r="O21" s="39">
        <f>MAX(IFERROR(IF(INDEX('State Map'!$C:$C,MATCH(TRIM('RZSPbS-psgr-ldv'!$A21),'State Map'!$A:$A,0))="Max Ambition",Schedules!K$4,N21),N21),N21)</f>
        <v>0.46</v>
      </c>
      <c r="P21" s="39">
        <f>MAX(IFERROR(IF(INDEX('State Map'!$C:$C,MATCH(TRIM('RZSPbS-psgr-ldv'!$A21),'State Map'!$A:$A,0))="Max Ambition",Schedules!L$4,O21),O21),O21)</f>
        <v>0.51400000000000001</v>
      </c>
      <c r="Q21" s="39">
        <f>MAX(IFERROR(IF(INDEX('State Map'!$C:$C,MATCH(TRIM('RZSPbS-psgr-ldv'!$A21),'State Map'!$A:$A,0))="Max Ambition",Schedules!M$4,P21),P21),P21)</f>
        <v>0.56799999999999995</v>
      </c>
      <c r="R21" s="39">
        <f>MAX(IFERROR(IF(INDEX('State Map'!$C:$C,MATCH(TRIM('RZSPbS-psgr-ldv'!$A21),'State Map'!$A:$A,0))="Max Ambition",Schedules!N$4,Q21),Q21),Q21)</f>
        <v>0.622</v>
      </c>
      <c r="S21" s="39">
        <f>MAX(IFERROR(IF(INDEX('State Map'!$C:$C,MATCH(TRIM('RZSPbS-psgr-ldv'!$A21),'State Map'!$A:$A,0))="Max Ambition",Schedules!O$4,R21),R21),R21)</f>
        <v>0.67600000000000005</v>
      </c>
      <c r="T21" s="39">
        <f>MAX(IFERROR(IF(INDEX('State Map'!$C:$C,MATCH(TRIM('RZSPbS-psgr-ldv'!$A21),'State Map'!$A:$A,0))="Max Ambition",Schedules!P$4,S21),S21),S21)</f>
        <v>0.73</v>
      </c>
      <c r="U21" s="39">
        <f>MAX(IFERROR(IF(INDEX('State Map'!$C:$C,MATCH(TRIM('RZSPbS-psgr-ldv'!$A21),'State Map'!$A:$A,0))="Max Ambition",Schedules!Q$4,T21),T21),T21)</f>
        <v>0.78400000000000003</v>
      </c>
      <c r="V21" s="39">
        <f>MAX(IFERROR(IF(INDEX('State Map'!$C:$C,MATCH(TRIM('RZSPbS-psgr-ldv'!$A21),'State Map'!$A:$A,0))="Max Ambition",Schedules!R$4,U21),U21),U21)</f>
        <v>0.83799999999999997</v>
      </c>
      <c r="W21" s="39">
        <f>MAX(IFERROR(IF(INDEX('State Map'!$C:$C,MATCH(TRIM('RZSPbS-psgr-ldv'!$A21),'State Map'!$A:$A,0))="Max Ambition",Schedules!S$4,V21),V21),V21)</f>
        <v>0.89200000000000002</v>
      </c>
      <c r="X21" s="39">
        <f>MAX(IFERROR(IF(INDEX('State Map'!$C:$C,MATCH(TRIM('RZSPbS-psgr-ldv'!$A21),'State Map'!$A:$A,0))="Max Ambition",Schedules!T$4,W21),W21),W21)</f>
        <v>0.94599999999999995</v>
      </c>
      <c r="Y21" s="39">
        <f>MAX(IFERROR(IF(INDEX('State Map'!$C:$C,MATCH(TRIM('RZSPbS-psgr-ldv'!$A21),'State Map'!$A:$A,0))="Max Ambition",Schedules!U$4,X21),X21),X21)</f>
        <v>1</v>
      </c>
      <c r="Z21" s="39">
        <f>MAX(IFERROR(IF(INDEX('State Map'!$C:$C,MATCH(TRIM('RZSPbS-psgr-ldv'!$A21),'State Map'!$A:$A,0))="Max Ambition",Schedules!V$4,Y21),Y21),Y21)</f>
        <v>1</v>
      </c>
      <c r="AA21" s="39">
        <f>MAX(IFERROR(IF(INDEX('State Map'!$C:$C,MATCH(TRIM('RZSPbS-psgr-ldv'!$A21),'State Map'!$A:$A,0))="Max Ambition",Schedules!W$4,Z21),Z21),Z21)</f>
        <v>1</v>
      </c>
      <c r="AB21" s="39">
        <f>MAX(IFERROR(IF(INDEX('State Map'!$C:$C,MATCH(TRIM('RZSPbS-psgr-ldv'!$A21),'State Map'!$A:$A,0))="Max Ambition",Schedules!X$4,AA21),AA21),AA21)</f>
        <v>1</v>
      </c>
      <c r="AC21" s="39">
        <f>MAX(IFERROR(IF(INDEX('State Map'!$C:$C,MATCH(TRIM('RZSPbS-psgr-ldv'!$A21),'State Map'!$A:$A,0))="Max Ambition",Schedules!Y$4,AB21),AB21),AB21)</f>
        <v>1</v>
      </c>
      <c r="AD21" s="39">
        <f>MAX(IFERROR(IF(INDEX('State Map'!$C:$C,MATCH(TRIM('RZSPbS-psgr-ldv'!$A21),'State Map'!$A:$A,0))="Max Ambition",Schedules!Z$4,AC21),AC21),AC21)</f>
        <v>1</v>
      </c>
      <c r="AE21" s="39">
        <f>MAX(IFERROR(IF(INDEX('State Map'!$C:$C,MATCH(TRIM('RZSPbS-psgr-ldv'!$A21),'State Map'!$A:$A,0))="Max Ambition",Schedules!AA$4,AD21),AD21),AD21)</f>
        <v>1</v>
      </c>
      <c r="AF21" s="39">
        <f>MAX(IFERROR(IF(INDEX('State Map'!$C:$C,MATCH(TRIM('RZSPbS-psgr-ldv'!$A21),'State Map'!$A:$A,0))="Max Ambition",Schedules!AB$4,AE21),AE21),AE21)</f>
        <v>1</v>
      </c>
    </row>
    <row r="22" spans="1:32" x14ac:dyDescent="0.25">
      <c r="A22" t="s">
        <v>21</v>
      </c>
      <c r="B22">
        <f>IF(AND(INDEX('CA Standards and Followers'!$E$7:$E$66,MATCH($A22,'CA Standards and Followers'!$A$7:$A$66,0))=1,INDEX('CA Standards and Followers'!$H$7:$H$66,MATCH($A22,'CA Standards and Followers'!$A$7:$A$66,0))&lt;=B$1),INDEX('CA Standards and Followers'!#REF!,MATCH(B$1,'CA Standards and Followers'!$1:$1,0)),IF(AND(INDEX('CA Standards and Followers'!$D$7:$D$66,MATCH($A22,'CA Standards and Followers'!$A$7:$A$66,0))=1,INDEX('CA Standards and Followers'!$G$7:$G$66,MATCH($A22,'CA Standards and Followers'!$A$7:$A$66,0))&lt;=B$1),INDEX('CA Standards and Followers'!$2:$2,MATCH(B$1,'CA Standards and Followers'!$1:$1,0)),0))</f>
        <v>0</v>
      </c>
      <c r="C22">
        <f>IF(AND(INDEX('CA Standards and Followers'!$E$7:$E$66,MATCH($A22,'CA Standards and Followers'!$A$7:$A$66,0))=1,INDEX('CA Standards and Followers'!$H$7:$H$66,MATCH($A22,'CA Standards and Followers'!$A$7:$A$66,0))&lt;=C$1),INDEX('CA Standards and Followers'!#REF!,MATCH(C$1,'CA Standards and Followers'!$1:$1,0)),IF(AND(INDEX('CA Standards and Followers'!$D$7:$D$66,MATCH($A22,'CA Standards and Followers'!$A$7:$A$66,0))=1,INDEX('CA Standards and Followers'!$G$7:$G$66,MATCH($A22,'CA Standards and Followers'!$A$7:$A$66,0))&lt;=C$1),INDEX('CA Standards and Followers'!$2:$2,MATCH(C$1,'CA Standards and Followers'!$1:$1,0)),0))</f>
        <v>0</v>
      </c>
      <c r="D22">
        <f>IF(AND(INDEX('CA Standards and Followers'!$E$7:$E$66,MATCH($A22,'CA Standards and Followers'!$A$7:$A$66,0))=1,INDEX('CA Standards and Followers'!$H$7:$H$66,MATCH($A22,'CA Standards and Followers'!$A$7:$A$66,0))&lt;=D$1),INDEX('CA Standards and Followers'!#REF!,MATCH(D$1,'CA Standards and Followers'!$1:$1,0)),IF(AND(INDEX('CA Standards and Followers'!$D$7:$D$66,MATCH($A22,'CA Standards and Followers'!$A$7:$A$66,0))=1,INDEX('CA Standards and Followers'!$G$7:$G$66,MATCH($A22,'CA Standards and Followers'!$A$7:$A$66,0))&lt;=D$1),INDEX('CA Standards and Followers'!$2:$2,MATCH(D$1,'CA Standards and Followers'!$1:$1,0)),0))</f>
        <v>0</v>
      </c>
      <c r="E22">
        <f>IF(AND(INDEX('CA Standards and Followers'!$E$7:$E$66,MATCH($A22,'CA Standards and Followers'!$A$7:$A$66,0))=1,INDEX('CA Standards and Followers'!$H$7:$H$66,MATCH($A22,'CA Standards and Followers'!$A$7:$A$66,0))&lt;=E$1),INDEX('CA Standards and Followers'!#REF!,MATCH(E$1,'CA Standards and Followers'!$1:$1,0)),IF(AND(INDEX('CA Standards and Followers'!$D$7:$D$66,MATCH($A22,'CA Standards and Followers'!$A$7:$A$66,0))=1,INDEX('CA Standards and Followers'!$G$7:$G$66,MATCH($A22,'CA Standards and Followers'!$A$7:$A$66,0))&lt;=E$1),INDEX('CA Standards and Followers'!$2:$2,MATCH(E$1,'CA Standards and Followers'!$1:$1,0)),0))</f>
        <v>0</v>
      </c>
      <c r="F22">
        <f>IF(AND(INDEX('CA Standards and Followers'!$E$7:$E$66,MATCH($A22,'CA Standards and Followers'!$A$7:$A$66,0))=1,INDEX('CA Standards and Followers'!$H$7:$H$66,MATCH($A22,'CA Standards and Followers'!$A$7:$A$66,0))&lt;=F$1),INDEX('CA Standards and Followers'!#REF!,MATCH(F$1,'CA Standards and Followers'!$1:$1,0)),IF(AND(INDEX('CA Standards and Followers'!$D$7:$D$66,MATCH($A22,'CA Standards and Followers'!$A$7:$A$66,0))=1,INDEX('CA Standards and Followers'!$G$7:$G$66,MATCH($A22,'CA Standards and Followers'!$A$7:$A$66,0))&lt;=F$1),INDEX('CA Standards and Followers'!$2:$2,MATCH(F$1,'CA Standards and Followers'!$1:$1,0)),0))</f>
        <v>0.08</v>
      </c>
      <c r="G22">
        <f>IF(AND(INDEX('CA Standards and Followers'!$E$7:$E$66,MATCH($A22,'CA Standards and Followers'!$A$7:$A$66,0))=1,INDEX('CA Standards and Followers'!$H$7:$H$66,MATCH($A22,'CA Standards and Followers'!$A$7:$A$66,0))&lt;=G$1),INDEX('CA Standards and Followers'!#REF!,MATCH(G$1,'CA Standards and Followers'!$1:$1,0)),IF(AND(INDEX('CA Standards and Followers'!$D$7:$D$66,MATCH($A22,'CA Standards and Followers'!$A$7:$A$66,0))=1,INDEX('CA Standards and Followers'!$G$7:$G$66,MATCH($A22,'CA Standards and Followers'!$A$7:$A$66,0))&lt;=G$1),INDEX('CA Standards and Followers'!$2:$2,MATCH(G$1,'CA Standards and Followers'!$1:$1,0)),0))</f>
        <v>0.08</v>
      </c>
      <c r="H22">
        <f>IF(AND(INDEX('CA Standards and Followers'!$E$7:$E$66,MATCH($A22,'CA Standards and Followers'!$A$7:$A$66,0))=1,INDEX('CA Standards and Followers'!$H$7:$H$66,MATCH($A22,'CA Standards and Followers'!$A$7:$A$66,0))&lt;=H$1),INDEX('CA Standards and Followers'!#REF!,MATCH(H$1,'CA Standards and Followers'!$1:$1,0)),IF(AND(INDEX('CA Standards and Followers'!$D$7:$D$66,MATCH($A22,'CA Standards and Followers'!$A$7:$A$66,0))=1,INDEX('CA Standards and Followers'!$G$7:$G$66,MATCH($A22,'CA Standards and Followers'!$A$7:$A$66,0))&lt;=H$1),INDEX('CA Standards and Followers'!$2:$2,MATCH(H$1,'CA Standards and Followers'!$1:$1,0)),0))</f>
        <v>0</v>
      </c>
      <c r="I22">
        <f>IF(AND(INDEX('CA Standards and Followers'!$E$7:$E$66,MATCH($A22,'CA Standards and Followers'!$A$7:$A$66,0))=1,INDEX('CA Standards and Followers'!$H$7:$H$66,MATCH($A22,'CA Standards and Followers'!$A$7:$A$66,0))&lt;=I$1),INDEX('CA Standards and Followers'!#REF!,MATCH(I$1,'CA Standards and Followers'!$1:$1,0)),IF(AND(INDEX('CA Standards and Followers'!$D$7:$D$66,MATCH($A22,'CA Standards and Followers'!$A$7:$A$66,0))=1,INDEX('CA Standards and Followers'!$G$7:$G$66,MATCH($A22,'CA Standards and Followers'!$A$7:$A$66,0))&lt;=I$1),INDEX('CA Standards and Followers'!$2:$2,MATCH(I$1,'CA Standards and Followers'!$1:$1,0)),0))</f>
        <v>0</v>
      </c>
      <c r="J22">
        <f>IF(AND(INDEX('CA Standards and Followers'!$E$7:$E$66,MATCH($A22,'CA Standards and Followers'!$A$7:$A$66,0))=1,INDEX('CA Standards and Followers'!$H$7:$H$66,MATCH($A22,'CA Standards and Followers'!$A$7:$A$66,0))&lt;=J$1),INDEX('CA Standards and Followers'!#REF!,MATCH(J$1,'CA Standards and Followers'!$1:$1,0)),IF(AND(INDEX('CA Standards and Followers'!$D$7:$D$66,MATCH($A22,'CA Standards and Followers'!$A$7:$A$66,0))=1,INDEX('CA Standards and Followers'!$G$7:$G$66,MATCH($A22,'CA Standards and Followers'!$A$7:$A$66,0))&lt;=J$1),INDEX('CA Standards and Followers'!$2:$2,MATCH(J$1,'CA Standards and Followers'!$1:$1,0)),0))</f>
        <v>0</v>
      </c>
      <c r="K22" s="39">
        <f>MAX(IFERROR(IF(INDEX('State Map'!$C:$C,MATCH(TRIM('RZSPbS-psgr-ldv'!$A22),'State Map'!$A:$A,0))="Max Ambition",Schedules!G$4,J22),J22),J22)</f>
        <v>0.2</v>
      </c>
      <c r="L22" s="39">
        <f>MAX(IFERROR(IF(INDEX('State Map'!$C:$C,MATCH(TRIM('RZSPbS-psgr-ldv'!$A22),'State Map'!$A:$A,0))="Max Ambition",Schedules!H$4,K22),K22),K22)</f>
        <v>0.25</v>
      </c>
      <c r="M22" s="39">
        <f>MAX(IFERROR(IF(INDEX('State Map'!$C:$C,MATCH(TRIM('RZSPbS-psgr-ldv'!$A22),'State Map'!$A:$A,0))="Max Ambition",Schedules!I$4,L22),L22),L22)</f>
        <v>0.3</v>
      </c>
      <c r="N22" s="39">
        <f>MAX(IFERROR(IF(INDEX('State Map'!$C:$C,MATCH(TRIM('RZSPbS-psgr-ldv'!$A22),'State Map'!$A:$A,0))="Max Ambition",Schedules!J$4,M22),M22),M22)</f>
        <v>0.38</v>
      </c>
      <c r="O22" s="39">
        <f>MAX(IFERROR(IF(INDEX('State Map'!$C:$C,MATCH(TRIM('RZSPbS-psgr-ldv'!$A22),'State Map'!$A:$A,0))="Max Ambition",Schedules!K$4,N22),N22),N22)</f>
        <v>0.46</v>
      </c>
      <c r="P22" s="39">
        <f>MAX(IFERROR(IF(INDEX('State Map'!$C:$C,MATCH(TRIM('RZSPbS-psgr-ldv'!$A22),'State Map'!$A:$A,0))="Max Ambition",Schedules!L$4,O22),O22),O22)</f>
        <v>0.51400000000000001</v>
      </c>
      <c r="Q22" s="39">
        <f>MAX(IFERROR(IF(INDEX('State Map'!$C:$C,MATCH(TRIM('RZSPbS-psgr-ldv'!$A22),'State Map'!$A:$A,0))="Max Ambition",Schedules!M$4,P22),P22),P22)</f>
        <v>0.56799999999999995</v>
      </c>
      <c r="R22" s="39">
        <f>MAX(IFERROR(IF(INDEX('State Map'!$C:$C,MATCH(TRIM('RZSPbS-psgr-ldv'!$A22),'State Map'!$A:$A,0))="Max Ambition",Schedules!N$4,Q22),Q22),Q22)</f>
        <v>0.622</v>
      </c>
      <c r="S22" s="39">
        <f>MAX(IFERROR(IF(INDEX('State Map'!$C:$C,MATCH(TRIM('RZSPbS-psgr-ldv'!$A22),'State Map'!$A:$A,0))="Max Ambition",Schedules!O$4,R22),R22),R22)</f>
        <v>0.67600000000000005</v>
      </c>
      <c r="T22" s="39">
        <f>MAX(IFERROR(IF(INDEX('State Map'!$C:$C,MATCH(TRIM('RZSPbS-psgr-ldv'!$A22),'State Map'!$A:$A,0))="Max Ambition",Schedules!P$4,S22),S22),S22)</f>
        <v>0.73</v>
      </c>
      <c r="U22" s="39">
        <f>MAX(IFERROR(IF(INDEX('State Map'!$C:$C,MATCH(TRIM('RZSPbS-psgr-ldv'!$A22),'State Map'!$A:$A,0))="Max Ambition",Schedules!Q$4,T22),T22),T22)</f>
        <v>0.78400000000000003</v>
      </c>
      <c r="V22" s="39">
        <f>MAX(IFERROR(IF(INDEX('State Map'!$C:$C,MATCH(TRIM('RZSPbS-psgr-ldv'!$A22),'State Map'!$A:$A,0))="Max Ambition",Schedules!R$4,U22),U22),U22)</f>
        <v>0.83799999999999997</v>
      </c>
      <c r="W22" s="39">
        <f>MAX(IFERROR(IF(INDEX('State Map'!$C:$C,MATCH(TRIM('RZSPbS-psgr-ldv'!$A22),'State Map'!$A:$A,0))="Max Ambition",Schedules!S$4,V22),V22),V22)</f>
        <v>0.89200000000000002</v>
      </c>
      <c r="X22" s="39">
        <f>MAX(IFERROR(IF(INDEX('State Map'!$C:$C,MATCH(TRIM('RZSPbS-psgr-ldv'!$A22),'State Map'!$A:$A,0))="Max Ambition",Schedules!T$4,W22),W22),W22)</f>
        <v>0.94599999999999995</v>
      </c>
      <c r="Y22" s="39">
        <f>MAX(IFERROR(IF(INDEX('State Map'!$C:$C,MATCH(TRIM('RZSPbS-psgr-ldv'!$A22),'State Map'!$A:$A,0))="Max Ambition",Schedules!U$4,X22),X22),X22)</f>
        <v>1</v>
      </c>
      <c r="Z22" s="39">
        <f>MAX(IFERROR(IF(INDEX('State Map'!$C:$C,MATCH(TRIM('RZSPbS-psgr-ldv'!$A22),'State Map'!$A:$A,0))="Max Ambition",Schedules!V$4,Y22),Y22),Y22)</f>
        <v>1</v>
      </c>
      <c r="AA22" s="39">
        <f>MAX(IFERROR(IF(INDEX('State Map'!$C:$C,MATCH(TRIM('RZSPbS-psgr-ldv'!$A22),'State Map'!$A:$A,0))="Max Ambition",Schedules!W$4,Z22),Z22),Z22)</f>
        <v>1</v>
      </c>
      <c r="AB22" s="39">
        <f>MAX(IFERROR(IF(INDEX('State Map'!$C:$C,MATCH(TRIM('RZSPbS-psgr-ldv'!$A22),'State Map'!$A:$A,0))="Max Ambition",Schedules!X$4,AA22),AA22),AA22)</f>
        <v>1</v>
      </c>
      <c r="AC22" s="39">
        <f>MAX(IFERROR(IF(INDEX('State Map'!$C:$C,MATCH(TRIM('RZSPbS-psgr-ldv'!$A22),'State Map'!$A:$A,0))="Max Ambition",Schedules!Y$4,AB22),AB22),AB22)</f>
        <v>1</v>
      </c>
      <c r="AD22" s="39">
        <f>MAX(IFERROR(IF(INDEX('State Map'!$C:$C,MATCH(TRIM('RZSPbS-psgr-ldv'!$A22),'State Map'!$A:$A,0))="Max Ambition",Schedules!Z$4,AC22),AC22),AC22)</f>
        <v>1</v>
      </c>
      <c r="AE22" s="39">
        <f>MAX(IFERROR(IF(INDEX('State Map'!$C:$C,MATCH(TRIM('RZSPbS-psgr-ldv'!$A22),'State Map'!$A:$A,0))="Max Ambition",Schedules!AA$4,AD22),AD22),AD22)</f>
        <v>1</v>
      </c>
      <c r="AF22" s="39">
        <f>MAX(IFERROR(IF(INDEX('State Map'!$C:$C,MATCH(TRIM('RZSPbS-psgr-ldv'!$A22),'State Map'!$A:$A,0))="Max Ambition",Schedules!AB$4,AE22),AE22),AE22)</f>
        <v>1</v>
      </c>
    </row>
    <row r="23" spans="1:32" x14ac:dyDescent="0.25">
      <c r="A23" t="s">
        <v>22</v>
      </c>
      <c r="B23">
        <f>IF(AND(INDEX('CA Standards and Followers'!$E$7:$E$66,MATCH($A23,'CA Standards and Followers'!$A$7:$A$66,0))=1,INDEX('CA Standards and Followers'!$H$7:$H$66,MATCH($A23,'CA Standards and Followers'!$A$7:$A$66,0))&lt;=B$1),INDEX('CA Standards and Followers'!#REF!,MATCH(B$1,'CA Standards and Followers'!$1:$1,0)),IF(AND(INDEX('CA Standards and Followers'!$D$7:$D$66,MATCH($A23,'CA Standards and Followers'!$A$7:$A$66,0))=1,INDEX('CA Standards and Followers'!$G$7:$G$66,MATCH($A23,'CA Standards and Followers'!$A$7:$A$66,0))&lt;=B$1),INDEX('CA Standards and Followers'!$2:$2,MATCH(B$1,'CA Standards and Followers'!$1:$1,0)),0))</f>
        <v>0</v>
      </c>
      <c r="C23">
        <f>IF(AND(INDEX('CA Standards and Followers'!$E$7:$E$66,MATCH($A23,'CA Standards and Followers'!$A$7:$A$66,0))=1,INDEX('CA Standards and Followers'!$H$7:$H$66,MATCH($A23,'CA Standards and Followers'!$A$7:$A$66,0))&lt;=C$1),INDEX('CA Standards and Followers'!#REF!,MATCH(C$1,'CA Standards and Followers'!$1:$1,0)),IF(AND(INDEX('CA Standards and Followers'!$D$7:$D$66,MATCH($A23,'CA Standards and Followers'!$A$7:$A$66,0))=1,INDEX('CA Standards and Followers'!$G$7:$G$66,MATCH($A23,'CA Standards and Followers'!$A$7:$A$66,0))&lt;=C$1),INDEX('CA Standards and Followers'!$2:$2,MATCH(C$1,'CA Standards and Followers'!$1:$1,0)),0))</f>
        <v>0</v>
      </c>
      <c r="D23">
        <f>IF(AND(INDEX('CA Standards and Followers'!$E$7:$E$66,MATCH($A23,'CA Standards and Followers'!$A$7:$A$66,0))=1,INDEX('CA Standards and Followers'!$H$7:$H$66,MATCH($A23,'CA Standards and Followers'!$A$7:$A$66,0))&lt;=D$1),INDEX('CA Standards and Followers'!#REF!,MATCH(D$1,'CA Standards and Followers'!$1:$1,0)),IF(AND(INDEX('CA Standards and Followers'!$D$7:$D$66,MATCH($A23,'CA Standards and Followers'!$A$7:$A$66,0))=1,INDEX('CA Standards and Followers'!$G$7:$G$66,MATCH($A23,'CA Standards and Followers'!$A$7:$A$66,0))&lt;=D$1),INDEX('CA Standards and Followers'!$2:$2,MATCH(D$1,'CA Standards and Followers'!$1:$1,0)),0))</f>
        <v>0</v>
      </c>
      <c r="E23">
        <f>IF(AND(INDEX('CA Standards and Followers'!$E$7:$E$66,MATCH($A23,'CA Standards and Followers'!$A$7:$A$66,0))=1,INDEX('CA Standards and Followers'!$H$7:$H$66,MATCH($A23,'CA Standards and Followers'!$A$7:$A$66,0))&lt;=E$1),INDEX('CA Standards and Followers'!#REF!,MATCH(E$1,'CA Standards and Followers'!$1:$1,0)),IF(AND(INDEX('CA Standards and Followers'!$D$7:$D$66,MATCH($A23,'CA Standards and Followers'!$A$7:$A$66,0))=1,INDEX('CA Standards and Followers'!$G$7:$G$66,MATCH($A23,'CA Standards and Followers'!$A$7:$A$66,0))&lt;=E$1),INDEX('CA Standards and Followers'!$2:$2,MATCH(E$1,'CA Standards and Followers'!$1:$1,0)),0))</f>
        <v>0</v>
      </c>
      <c r="F23">
        <f>IF(AND(INDEX('CA Standards and Followers'!$E$7:$E$66,MATCH($A23,'CA Standards and Followers'!$A$7:$A$66,0))=1,INDEX('CA Standards and Followers'!$H$7:$H$66,MATCH($A23,'CA Standards and Followers'!$A$7:$A$66,0))&lt;=F$1),INDEX('CA Standards and Followers'!#REF!,MATCH(F$1,'CA Standards and Followers'!$1:$1,0)),IF(AND(INDEX('CA Standards and Followers'!$D$7:$D$66,MATCH($A23,'CA Standards and Followers'!$A$7:$A$66,0))=1,INDEX('CA Standards and Followers'!$G$7:$G$66,MATCH($A23,'CA Standards and Followers'!$A$7:$A$66,0))&lt;=F$1),INDEX('CA Standards and Followers'!$2:$2,MATCH(F$1,'CA Standards and Followers'!$1:$1,0)),0))</f>
        <v>0.08</v>
      </c>
      <c r="G23">
        <f>IF(AND(INDEX('CA Standards and Followers'!$E$7:$E$66,MATCH($A23,'CA Standards and Followers'!$A$7:$A$66,0))=1,INDEX('CA Standards and Followers'!$H$7:$H$66,MATCH($A23,'CA Standards and Followers'!$A$7:$A$66,0))&lt;=G$1),INDEX('CA Standards and Followers'!#REF!,MATCH(G$1,'CA Standards and Followers'!$1:$1,0)),IF(AND(INDEX('CA Standards and Followers'!$D$7:$D$66,MATCH($A23,'CA Standards and Followers'!$A$7:$A$66,0))=1,INDEX('CA Standards and Followers'!$G$7:$G$66,MATCH($A23,'CA Standards and Followers'!$A$7:$A$66,0))&lt;=G$1),INDEX('CA Standards and Followers'!$2:$2,MATCH(G$1,'CA Standards and Followers'!$1:$1,0)),0))</f>
        <v>0.08</v>
      </c>
      <c r="H23">
        <f>IF(AND(INDEX('CA Standards and Followers'!$E$7:$E$66,MATCH($A23,'CA Standards and Followers'!$A$7:$A$66,0))=1,INDEX('CA Standards and Followers'!$H$7:$H$66,MATCH($A23,'CA Standards and Followers'!$A$7:$A$66,0))&lt;=H$1),INDEX('CA Standards and Followers'!#REF!,MATCH(H$1,'CA Standards and Followers'!$1:$1,0)),IF(AND(INDEX('CA Standards and Followers'!$D$7:$D$66,MATCH($A23,'CA Standards and Followers'!$A$7:$A$66,0))=1,INDEX('CA Standards and Followers'!$G$7:$G$66,MATCH($A23,'CA Standards and Followers'!$A$7:$A$66,0))&lt;=H$1),INDEX('CA Standards and Followers'!$2:$2,MATCH(H$1,'CA Standards and Followers'!$1:$1,0)),0))</f>
        <v>0</v>
      </c>
      <c r="I23">
        <f>IF(AND(INDEX('CA Standards and Followers'!$E$7:$E$66,MATCH($A23,'CA Standards and Followers'!$A$7:$A$66,0))=1,INDEX('CA Standards and Followers'!$H$7:$H$66,MATCH($A23,'CA Standards and Followers'!$A$7:$A$66,0))&lt;=I$1),INDEX('CA Standards and Followers'!#REF!,MATCH(I$1,'CA Standards and Followers'!$1:$1,0)),IF(AND(INDEX('CA Standards and Followers'!$D$7:$D$66,MATCH($A23,'CA Standards and Followers'!$A$7:$A$66,0))=1,INDEX('CA Standards and Followers'!$G$7:$G$66,MATCH($A23,'CA Standards and Followers'!$A$7:$A$66,0))&lt;=I$1),INDEX('CA Standards and Followers'!$2:$2,MATCH(I$1,'CA Standards and Followers'!$1:$1,0)),0))</f>
        <v>0</v>
      </c>
      <c r="J23">
        <f>IF(AND(INDEX('CA Standards and Followers'!$E$7:$E$66,MATCH($A23,'CA Standards and Followers'!$A$7:$A$66,0))=1,INDEX('CA Standards and Followers'!$H$7:$H$66,MATCH($A23,'CA Standards and Followers'!$A$7:$A$66,0))&lt;=J$1),INDEX('CA Standards and Followers'!#REF!,MATCH(J$1,'CA Standards and Followers'!$1:$1,0)),IF(AND(INDEX('CA Standards and Followers'!$D$7:$D$66,MATCH($A23,'CA Standards and Followers'!$A$7:$A$66,0))=1,INDEX('CA Standards and Followers'!$G$7:$G$66,MATCH($A23,'CA Standards and Followers'!$A$7:$A$66,0))&lt;=J$1),INDEX('CA Standards and Followers'!$2:$2,MATCH(J$1,'CA Standards and Followers'!$1:$1,0)),0))</f>
        <v>0</v>
      </c>
      <c r="K23" s="39">
        <f>MAX(IFERROR(IF(INDEX('State Map'!$C:$C,MATCH(TRIM('RZSPbS-psgr-ldv'!$A23),'State Map'!$A:$A,0))="Max Ambition",Schedules!G$4,J23),J23),J23)</f>
        <v>0.2</v>
      </c>
      <c r="L23" s="39">
        <f>MAX(IFERROR(IF(INDEX('State Map'!$C:$C,MATCH(TRIM('RZSPbS-psgr-ldv'!$A23),'State Map'!$A:$A,0))="Max Ambition",Schedules!H$4,K23),K23),K23)</f>
        <v>0.25</v>
      </c>
      <c r="M23" s="39">
        <f>MAX(IFERROR(IF(INDEX('State Map'!$C:$C,MATCH(TRIM('RZSPbS-psgr-ldv'!$A23),'State Map'!$A:$A,0))="Max Ambition",Schedules!I$4,L23),L23),L23)</f>
        <v>0.3</v>
      </c>
      <c r="N23" s="39">
        <f>MAX(IFERROR(IF(INDEX('State Map'!$C:$C,MATCH(TRIM('RZSPbS-psgr-ldv'!$A23),'State Map'!$A:$A,0))="Max Ambition",Schedules!J$4,M23),M23),M23)</f>
        <v>0.38</v>
      </c>
      <c r="O23" s="39">
        <f>MAX(IFERROR(IF(INDEX('State Map'!$C:$C,MATCH(TRIM('RZSPbS-psgr-ldv'!$A23),'State Map'!$A:$A,0))="Max Ambition",Schedules!K$4,N23),N23),N23)</f>
        <v>0.46</v>
      </c>
      <c r="P23" s="39">
        <f>MAX(IFERROR(IF(INDEX('State Map'!$C:$C,MATCH(TRIM('RZSPbS-psgr-ldv'!$A23),'State Map'!$A:$A,0))="Max Ambition",Schedules!L$4,O23),O23),O23)</f>
        <v>0.51400000000000001</v>
      </c>
      <c r="Q23" s="39">
        <f>MAX(IFERROR(IF(INDEX('State Map'!$C:$C,MATCH(TRIM('RZSPbS-psgr-ldv'!$A23),'State Map'!$A:$A,0))="Max Ambition",Schedules!M$4,P23),P23),P23)</f>
        <v>0.56799999999999995</v>
      </c>
      <c r="R23" s="39">
        <f>MAX(IFERROR(IF(INDEX('State Map'!$C:$C,MATCH(TRIM('RZSPbS-psgr-ldv'!$A23),'State Map'!$A:$A,0))="Max Ambition",Schedules!N$4,Q23),Q23),Q23)</f>
        <v>0.622</v>
      </c>
      <c r="S23" s="39">
        <f>MAX(IFERROR(IF(INDEX('State Map'!$C:$C,MATCH(TRIM('RZSPbS-psgr-ldv'!$A23),'State Map'!$A:$A,0))="Max Ambition",Schedules!O$4,R23),R23),R23)</f>
        <v>0.67600000000000005</v>
      </c>
      <c r="T23" s="39">
        <f>MAX(IFERROR(IF(INDEX('State Map'!$C:$C,MATCH(TRIM('RZSPbS-psgr-ldv'!$A23),'State Map'!$A:$A,0))="Max Ambition",Schedules!P$4,S23),S23),S23)</f>
        <v>0.73</v>
      </c>
      <c r="U23" s="39">
        <f>MAX(IFERROR(IF(INDEX('State Map'!$C:$C,MATCH(TRIM('RZSPbS-psgr-ldv'!$A23),'State Map'!$A:$A,0))="Max Ambition",Schedules!Q$4,T23),T23),T23)</f>
        <v>0.78400000000000003</v>
      </c>
      <c r="V23" s="39">
        <f>MAX(IFERROR(IF(INDEX('State Map'!$C:$C,MATCH(TRIM('RZSPbS-psgr-ldv'!$A23),'State Map'!$A:$A,0))="Max Ambition",Schedules!R$4,U23),U23),U23)</f>
        <v>0.83799999999999997</v>
      </c>
      <c r="W23" s="39">
        <f>MAX(IFERROR(IF(INDEX('State Map'!$C:$C,MATCH(TRIM('RZSPbS-psgr-ldv'!$A23),'State Map'!$A:$A,0))="Max Ambition",Schedules!S$4,V23),V23),V23)</f>
        <v>0.89200000000000002</v>
      </c>
      <c r="X23" s="39">
        <f>MAX(IFERROR(IF(INDEX('State Map'!$C:$C,MATCH(TRIM('RZSPbS-psgr-ldv'!$A23),'State Map'!$A:$A,0))="Max Ambition",Schedules!T$4,W23),W23),W23)</f>
        <v>0.94599999999999995</v>
      </c>
      <c r="Y23" s="39">
        <f>MAX(IFERROR(IF(INDEX('State Map'!$C:$C,MATCH(TRIM('RZSPbS-psgr-ldv'!$A23),'State Map'!$A:$A,0))="Max Ambition",Schedules!U$4,X23),X23),X23)</f>
        <v>1</v>
      </c>
      <c r="Z23" s="39">
        <f>MAX(IFERROR(IF(INDEX('State Map'!$C:$C,MATCH(TRIM('RZSPbS-psgr-ldv'!$A23),'State Map'!$A:$A,0))="Max Ambition",Schedules!V$4,Y23),Y23),Y23)</f>
        <v>1</v>
      </c>
      <c r="AA23" s="39">
        <f>MAX(IFERROR(IF(INDEX('State Map'!$C:$C,MATCH(TRIM('RZSPbS-psgr-ldv'!$A23),'State Map'!$A:$A,0))="Max Ambition",Schedules!W$4,Z23),Z23),Z23)</f>
        <v>1</v>
      </c>
      <c r="AB23" s="39">
        <f>MAX(IFERROR(IF(INDEX('State Map'!$C:$C,MATCH(TRIM('RZSPbS-psgr-ldv'!$A23),'State Map'!$A:$A,0))="Max Ambition",Schedules!X$4,AA23),AA23),AA23)</f>
        <v>1</v>
      </c>
      <c r="AC23" s="39">
        <f>MAX(IFERROR(IF(INDEX('State Map'!$C:$C,MATCH(TRIM('RZSPbS-psgr-ldv'!$A23),'State Map'!$A:$A,0))="Max Ambition",Schedules!Y$4,AB23),AB23),AB23)</f>
        <v>1</v>
      </c>
      <c r="AD23" s="39">
        <f>MAX(IFERROR(IF(INDEX('State Map'!$C:$C,MATCH(TRIM('RZSPbS-psgr-ldv'!$A23),'State Map'!$A:$A,0))="Max Ambition",Schedules!Z$4,AC23),AC23),AC23)</f>
        <v>1</v>
      </c>
      <c r="AE23" s="39">
        <f>MAX(IFERROR(IF(INDEX('State Map'!$C:$C,MATCH(TRIM('RZSPbS-psgr-ldv'!$A23),'State Map'!$A:$A,0))="Max Ambition",Schedules!AA$4,AD23),AD23),AD23)</f>
        <v>1</v>
      </c>
      <c r="AF23" s="39">
        <f>MAX(IFERROR(IF(INDEX('State Map'!$C:$C,MATCH(TRIM('RZSPbS-psgr-ldv'!$A23),'State Map'!$A:$A,0))="Max Ambition",Schedules!AB$4,AE23),AE23),AE23)</f>
        <v>1</v>
      </c>
    </row>
    <row r="24" spans="1:32" x14ac:dyDescent="0.25">
      <c r="A24" t="s">
        <v>23</v>
      </c>
      <c r="B24">
        <f>IF(AND(INDEX('CA Standards and Followers'!$E$7:$E$66,MATCH($A24,'CA Standards and Followers'!$A$7:$A$66,0))=1,INDEX('CA Standards and Followers'!$H$7:$H$66,MATCH($A24,'CA Standards and Followers'!$A$7:$A$66,0))&lt;=B$1),INDEX('CA Standards and Followers'!#REF!,MATCH(B$1,'CA Standards and Followers'!$1:$1,0)),IF(AND(INDEX('CA Standards and Followers'!$D$7:$D$66,MATCH($A24,'CA Standards and Followers'!$A$7:$A$66,0))=1,INDEX('CA Standards and Followers'!$G$7:$G$66,MATCH($A24,'CA Standards and Followers'!$A$7:$A$66,0))&lt;=B$1),INDEX('CA Standards and Followers'!$2:$2,MATCH(B$1,'CA Standards and Followers'!$1:$1,0)),0))</f>
        <v>0</v>
      </c>
      <c r="C24">
        <f>IF(AND(INDEX('CA Standards and Followers'!$E$7:$E$66,MATCH($A24,'CA Standards and Followers'!$A$7:$A$66,0))=1,INDEX('CA Standards and Followers'!$H$7:$H$66,MATCH($A24,'CA Standards and Followers'!$A$7:$A$66,0))&lt;=C$1),INDEX('CA Standards and Followers'!#REF!,MATCH(C$1,'CA Standards and Followers'!$1:$1,0)),IF(AND(INDEX('CA Standards and Followers'!$D$7:$D$66,MATCH($A24,'CA Standards and Followers'!$A$7:$A$66,0))=1,INDEX('CA Standards and Followers'!$G$7:$G$66,MATCH($A24,'CA Standards and Followers'!$A$7:$A$66,0))&lt;=C$1),INDEX('CA Standards and Followers'!$2:$2,MATCH(C$1,'CA Standards and Followers'!$1:$1,0)),0))</f>
        <v>0</v>
      </c>
      <c r="D24">
        <f>IF(AND(INDEX('CA Standards and Followers'!$E$7:$E$66,MATCH($A24,'CA Standards and Followers'!$A$7:$A$66,0))=1,INDEX('CA Standards and Followers'!$H$7:$H$66,MATCH($A24,'CA Standards and Followers'!$A$7:$A$66,0))&lt;=D$1),INDEX('CA Standards and Followers'!#REF!,MATCH(D$1,'CA Standards and Followers'!$1:$1,0)),IF(AND(INDEX('CA Standards and Followers'!$D$7:$D$66,MATCH($A24,'CA Standards and Followers'!$A$7:$A$66,0))=1,INDEX('CA Standards and Followers'!$G$7:$G$66,MATCH($A24,'CA Standards and Followers'!$A$7:$A$66,0))&lt;=D$1),INDEX('CA Standards and Followers'!$2:$2,MATCH(D$1,'CA Standards and Followers'!$1:$1,0)),0))</f>
        <v>0</v>
      </c>
      <c r="E24">
        <f>IF(AND(INDEX('CA Standards and Followers'!$E$7:$E$66,MATCH($A24,'CA Standards and Followers'!$A$7:$A$66,0))=1,INDEX('CA Standards and Followers'!$H$7:$H$66,MATCH($A24,'CA Standards and Followers'!$A$7:$A$66,0))&lt;=E$1),INDEX('CA Standards and Followers'!#REF!,MATCH(E$1,'CA Standards and Followers'!$1:$1,0)),IF(AND(INDEX('CA Standards and Followers'!$D$7:$D$66,MATCH($A24,'CA Standards and Followers'!$A$7:$A$66,0))=1,INDEX('CA Standards and Followers'!$G$7:$G$66,MATCH($A24,'CA Standards and Followers'!$A$7:$A$66,0))&lt;=E$1),INDEX('CA Standards and Followers'!$2:$2,MATCH(E$1,'CA Standards and Followers'!$1:$1,0)),0))</f>
        <v>0</v>
      </c>
      <c r="F24">
        <f>IF(AND(INDEX('CA Standards and Followers'!$E$7:$E$66,MATCH($A24,'CA Standards and Followers'!$A$7:$A$66,0))=1,INDEX('CA Standards and Followers'!$H$7:$H$66,MATCH($A24,'CA Standards and Followers'!$A$7:$A$66,0))&lt;=F$1),INDEX('CA Standards and Followers'!#REF!,MATCH(F$1,'CA Standards and Followers'!$1:$1,0)),IF(AND(INDEX('CA Standards and Followers'!$D$7:$D$66,MATCH($A24,'CA Standards and Followers'!$A$7:$A$66,0))=1,INDEX('CA Standards and Followers'!$G$7:$G$66,MATCH($A24,'CA Standards and Followers'!$A$7:$A$66,0))&lt;=F$1),INDEX('CA Standards and Followers'!$2:$2,MATCH(F$1,'CA Standards and Followers'!$1:$1,0)),0))</f>
        <v>0</v>
      </c>
      <c r="G24">
        <f>IF(AND(INDEX('CA Standards and Followers'!$E$7:$E$66,MATCH($A24,'CA Standards and Followers'!$A$7:$A$66,0))=1,INDEX('CA Standards and Followers'!$H$7:$H$66,MATCH($A24,'CA Standards and Followers'!$A$7:$A$66,0))&lt;=G$1),INDEX('CA Standards and Followers'!#REF!,MATCH(G$1,'CA Standards and Followers'!$1:$1,0)),IF(AND(INDEX('CA Standards and Followers'!$D$7:$D$66,MATCH($A24,'CA Standards and Followers'!$A$7:$A$66,0))=1,INDEX('CA Standards and Followers'!$G$7:$G$66,MATCH($A24,'CA Standards and Followers'!$A$7:$A$66,0))&lt;=G$1),INDEX('CA Standards and Followers'!$2:$2,MATCH(G$1,'CA Standards and Followers'!$1:$1,0)),0))</f>
        <v>0</v>
      </c>
      <c r="H24">
        <f>IF(AND(INDEX('CA Standards and Followers'!$E$7:$E$66,MATCH($A24,'CA Standards and Followers'!$A$7:$A$66,0))=1,INDEX('CA Standards and Followers'!$H$7:$H$66,MATCH($A24,'CA Standards and Followers'!$A$7:$A$66,0))&lt;=H$1),INDEX('CA Standards and Followers'!#REF!,MATCH(H$1,'CA Standards and Followers'!$1:$1,0)),IF(AND(INDEX('CA Standards and Followers'!$D$7:$D$66,MATCH($A24,'CA Standards and Followers'!$A$7:$A$66,0))=1,INDEX('CA Standards and Followers'!$G$7:$G$66,MATCH($A24,'CA Standards and Followers'!$A$7:$A$66,0))&lt;=H$1),INDEX('CA Standards and Followers'!$2:$2,MATCH(H$1,'CA Standards and Followers'!$1:$1,0)),0))</f>
        <v>0</v>
      </c>
      <c r="I24">
        <f>IF(AND(INDEX('CA Standards and Followers'!$E$7:$E$66,MATCH($A24,'CA Standards and Followers'!$A$7:$A$66,0))=1,INDEX('CA Standards and Followers'!$H$7:$H$66,MATCH($A24,'CA Standards and Followers'!$A$7:$A$66,0))&lt;=I$1),INDEX('CA Standards and Followers'!#REF!,MATCH(I$1,'CA Standards and Followers'!$1:$1,0)),IF(AND(INDEX('CA Standards and Followers'!$D$7:$D$66,MATCH($A24,'CA Standards and Followers'!$A$7:$A$66,0))=1,INDEX('CA Standards and Followers'!$G$7:$G$66,MATCH($A24,'CA Standards and Followers'!$A$7:$A$66,0))&lt;=I$1),INDEX('CA Standards and Followers'!$2:$2,MATCH(I$1,'CA Standards and Followers'!$1:$1,0)),0))</f>
        <v>0</v>
      </c>
      <c r="J24">
        <f>IF(AND(INDEX('CA Standards and Followers'!$E$7:$E$66,MATCH($A24,'CA Standards and Followers'!$A$7:$A$66,0))=1,INDEX('CA Standards and Followers'!$H$7:$H$66,MATCH($A24,'CA Standards and Followers'!$A$7:$A$66,0))&lt;=J$1),INDEX('CA Standards and Followers'!#REF!,MATCH(J$1,'CA Standards and Followers'!$1:$1,0)),IF(AND(INDEX('CA Standards and Followers'!$D$7:$D$66,MATCH($A24,'CA Standards and Followers'!$A$7:$A$66,0))=1,INDEX('CA Standards and Followers'!$G$7:$G$66,MATCH($A24,'CA Standards and Followers'!$A$7:$A$66,0))&lt;=J$1),INDEX('CA Standards and Followers'!$2:$2,MATCH(J$1,'CA Standards and Followers'!$1:$1,0)),0))</f>
        <v>0</v>
      </c>
      <c r="K24" s="39">
        <f>MAX(IFERROR(IF(INDEX('State Map'!$C:$C,MATCH(TRIM('RZSPbS-psgr-ldv'!$A24),'State Map'!$A:$A,0))="Max Ambition",Schedules!G$4,J24),J24),J24)</f>
        <v>0.2</v>
      </c>
      <c r="L24" s="39">
        <f>MAX(IFERROR(IF(INDEX('State Map'!$C:$C,MATCH(TRIM('RZSPbS-psgr-ldv'!$A24),'State Map'!$A:$A,0))="Max Ambition",Schedules!H$4,K24),K24),K24)</f>
        <v>0.25</v>
      </c>
      <c r="M24" s="39">
        <f>MAX(IFERROR(IF(INDEX('State Map'!$C:$C,MATCH(TRIM('RZSPbS-psgr-ldv'!$A24),'State Map'!$A:$A,0))="Max Ambition",Schedules!I$4,L24),L24),L24)</f>
        <v>0.3</v>
      </c>
      <c r="N24" s="39">
        <f>MAX(IFERROR(IF(INDEX('State Map'!$C:$C,MATCH(TRIM('RZSPbS-psgr-ldv'!$A24),'State Map'!$A:$A,0))="Max Ambition",Schedules!J$4,M24),M24),M24)</f>
        <v>0.38</v>
      </c>
      <c r="O24" s="39">
        <f>MAX(IFERROR(IF(INDEX('State Map'!$C:$C,MATCH(TRIM('RZSPbS-psgr-ldv'!$A24),'State Map'!$A:$A,0))="Max Ambition",Schedules!K$4,N24),N24),N24)</f>
        <v>0.46</v>
      </c>
      <c r="P24" s="39">
        <f>MAX(IFERROR(IF(INDEX('State Map'!$C:$C,MATCH(TRIM('RZSPbS-psgr-ldv'!$A24),'State Map'!$A:$A,0))="Max Ambition",Schedules!L$4,O24),O24),O24)</f>
        <v>0.51400000000000001</v>
      </c>
      <c r="Q24" s="39">
        <f>MAX(IFERROR(IF(INDEX('State Map'!$C:$C,MATCH(TRIM('RZSPbS-psgr-ldv'!$A24),'State Map'!$A:$A,0))="Max Ambition",Schedules!M$4,P24),P24),P24)</f>
        <v>0.56799999999999995</v>
      </c>
      <c r="R24" s="39">
        <f>MAX(IFERROR(IF(INDEX('State Map'!$C:$C,MATCH(TRIM('RZSPbS-psgr-ldv'!$A24),'State Map'!$A:$A,0))="Max Ambition",Schedules!N$4,Q24),Q24),Q24)</f>
        <v>0.622</v>
      </c>
      <c r="S24" s="39">
        <f>MAX(IFERROR(IF(INDEX('State Map'!$C:$C,MATCH(TRIM('RZSPbS-psgr-ldv'!$A24),'State Map'!$A:$A,0))="Max Ambition",Schedules!O$4,R24),R24),R24)</f>
        <v>0.67600000000000005</v>
      </c>
      <c r="T24" s="39">
        <f>MAX(IFERROR(IF(INDEX('State Map'!$C:$C,MATCH(TRIM('RZSPbS-psgr-ldv'!$A24),'State Map'!$A:$A,0))="Max Ambition",Schedules!P$4,S24),S24),S24)</f>
        <v>0.73</v>
      </c>
      <c r="U24" s="39">
        <f>MAX(IFERROR(IF(INDEX('State Map'!$C:$C,MATCH(TRIM('RZSPbS-psgr-ldv'!$A24),'State Map'!$A:$A,0))="Max Ambition",Schedules!Q$4,T24),T24),T24)</f>
        <v>0.78400000000000003</v>
      </c>
      <c r="V24" s="39">
        <f>MAX(IFERROR(IF(INDEX('State Map'!$C:$C,MATCH(TRIM('RZSPbS-psgr-ldv'!$A24),'State Map'!$A:$A,0))="Max Ambition",Schedules!R$4,U24),U24),U24)</f>
        <v>0.83799999999999997</v>
      </c>
      <c r="W24" s="39">
        <f>MAX(IFERROR(IF(INDEX('State Map'!$C:$C,MATCH(TRIM('RZSPbS-psgr-ldv'!$A24),'State Map'!$A:$A,0))="Max Ambition",Schedules!S$4,V24),V24),V24)</f>
        <v>0.89200000000000002</v>
      </c>
      <c r="X24" s="39">
        <f>MAX(IFERROR(IF(INDEX('State Map'!$C:$C,MATCH(TRIM('RZSPbS-psgr-ldv'!$A24),'State Map'!$A:$A,0))="Max Ambition",Schedules!T$4,W24),W24),W24)</f>
        <v>0.94599999999999995</v>
      </c>
      <c r="Y24" s="39">
        <f>MAX(IFERROR(IF(INDEX('State Map'!$C:$C,MATCH(TRIM('RZSPbS-psgr-ldv'!$A24),'State Map'!$A:$A,0))="Max Ambition",Schedules!U$4,X24),X24),X24)</f>
        <v>1</v>
      </c>
      <c r="Z24" s="39">
        <f>MAX(IFERROR(IF(INDEX('State Map'!$C:$C,MATCH(TRIM('RZSPbS-psgr-ldv'!$A24),'State Map'!$A:$A,0))="Max Ambition",Schedules!V$4,Y24),Y24),Y24)</f>
        <v>1</v>
      </c>
      <c r="AA24" s="39">
        <f>MAX(IFERROR(IF(INDEX('State Map'!$C:$C,MATCH(TRIM('RZSPbS-psgr-ldv'!$A24),'State Map'!$A:$A,0))="Max Ambition",Schedules!W$4,Z24),Z24),Z24)</f>
        <v>1</v>
      </c>
      <c r="AB24" s="39">
        <f>MAX(IFERROR(IF(INDEX('State Map'!$C:$C,MATCH(TRIM('RZSPbS-psgr-ldv'!$A24),'State Map'!$A:$A,0))="Max Ambition",Schedules!X$4,AA24),AA24),AA24)</f>
        <v>1</v>
      </c>
      <c r="AC24" s="39">
        <f>MAX(IFERROR(IF(INDEX('State Map'!$C:$C,MATCH(TRIM('RZSPbS-psgr-ldv'!$A24),'State Map'!$A:$A,0))="Max Ambition",Schedules!Y$4,AB24),AB24),AB24)</f>
        <v>1</v>
      </c>
      <c r="AD24" s="39">
        <f>MAX(IFERROR(IF(INDEX('State Map'!$C:$C,MATCH(TRIM('RZSPbS-psgr-ldv'!$A24),'State Map'!$A:$A,0))="Max Ambition",Schedules!Z$4,AC24),AC24),AC24)</f>
        <v>1</v>
      </c>
      <c r="AE24" s="39">
        <f>MAX(IFERROR(IF(INDEX('State Map'!$C:$C,MATCH(TRIM('RZSPbS-psgr-ldv'!$A24),'State Map'!$A:$A,0))="Max Ambition",Schedules!AA$4,AD24),AD24),AD24)</f>
        <v>1</v>
      </c>
      <c r="AF24" s="39">
        <f>MAX(IFERROR(IF(INDEX('State Map'!$C:$C,MATCH(TRIM('RZSPbS-psgr-ldv'!$A24),'State Map'!$A:$A,0))="Max Ambition",Schedules!AB$4,AE24),AE24),AE24)</f>
        <v>1</v>
      </c>
    </row>
    <row r="25" spans="1:32" x14ac:dyDescent="0.25">
      <c r="A25" t="s">
        <v>24</v>
      </c>
      <c r="B25">
        <f>IF(AND(INDEX('CA Standards and Followers'!$E$7:$E$66,MATCH($A25,'CA Standards and Followers'!$A$7:$A$66,0))=1,INDEX('CA Standards and Followers'!$H$7:$H$66,MATCH($A25,'CA Standards and Followers'!$A$7:$A$66,0))&lt;=B$1),INDEX('CA Standards and Followers'!#REF!,MATCH(B$1,'CA Standards and Followers'!$1:$1,0)),IF(AND(INDEX('CA Standards and Followers'!$D$7:$D$66,MATCH($A25,'CA Standards and Followers'!$A$7:$A$66,0))=1,INDEX('CA Standards and Followers'!$G$7:$G$66,MATCH($A25,'CA Standards and Followers'!$A$7:$A$66,0))&lt;=B$1),INDEX('CA Standards and Followers'!$2:$2,MATCH(B$1,'CA Standards and Followers'!$1:$1,0)),0))</f>
        <v>0</v>
      </c>
      <c r="C25">
        <f>IF(AND(INDEX('CA Standards and Followers'!$E$7:$E$66,MATCH($A25,'CA Standards and Followers'!$A$7:$A$66,0))=1,INDEX('CA Standards and Followers'!$H$7:$H$66,MATCH($A25,'CA Standards and Followers'!$A$7:$A$66,0))&lt;=C$1),INDEX('CA Standards and Followers'!#REF!,MATCH(C$1,'CA Standards and Followers'!$1:$1,0)),IF(AND(INDEX('CA Standards and Followers'!$D$7:$D$66,MATCH($A25,'CA Standards and Followers'!$A$7:$A$66,0))=1,INDEX('CA Standards and Followers'!$G$7:$G$66,MATCH($A25,'CA Standards and Followers'!$A$7:$A$66,0))&lt;=C$1),INDEX('CA Standards and Followers'!$2:$2,MATCH(C$1,'CA Standards and Followers'!$1:$1,0)),0))</f>
        <v>0</v>
      </c>
      <c r="D25">
        <f>IF(AND(INDEX('CA Standards and Followers'!$E$7:$E$66,MATCH($A25,'CA Standards and Followers'!$A$7:$A$66,0))=1,INDEX('CA Standards and Followers'!$H$7:$H$66,MATCH($A25,'CA Standards and Followers'!$A$7:$A$66,0))&lt;=D$1),INDEX('CA Standards and Followers'!#REF!,MATCH(D$1,'CA Standards and Followers'!$1:$1,0)),IF(AND(INDEX('CA Standards and Followers'!$D$7:$D$66,MATCH($A25,'CA Standards and Followers'!$A$7:$A$66,0))=1,INDEX('CA Standards and Followers'!$G$7:$G$66,MATCH($A25,'CA Standards and Followers'!$A$7:$A$66,0))&lt;=D$1),INDEX('CA Standards and Followers'!$2:$2,MATCH(D$1,'CA Standards and Followers'!$1:$1,0)),0))</f>
        <v>0</v>
      </c>
      <c r="E25">
        <f>IF(AND(INDEX('CA Standards and Followers'!$E$7:$E$66,MATCH($A25,'CA Standards and Followers'!$A$7:$A$66,0))=1,INDEX('CA Standards and Followers'!$H$7:$H$66,MATCH($A25,'CA Standards and Followers'!$A$7:$A$66,0))&lt;=E$1),INDEX('CA Standards and Followers'!#REF!,MATCH(E$1,'CA Standards and Followers'!$1:$1,0)),IF(AND(INDEX('CA Standards and Followers'!$D$7:$D$66,MATCH($A25,'CA Standards and Followers'!$A$7:$A$66,0))=1,INDEX('CA Standards and Followers'!$G$7:$G$66,MATCH($A25,'CA Standards and Followers'!$A$7:$A$66,0))&lt;=E$1),INDEX('CA Standards and Followers'!$2:$2,MATCH(E$1,'CA Standards and Followers'!$1:$1,0)),0))</f>
        <v>0</v>
      </c>
      <c r="F25">
        <f>IF(AND(INDEX('CA Standards and Followers'!$E$7:$E$66,MATCH($A25,'CA Standards and Followers'!$A$7:$A$66,0))=1,INDEX('CA Standards and Followers'!$H$7:$H$66,MATCH($A25,'CA Standards and Followers'!$A$7:$A$66,0))&lt;=F$1),INDEX('CA Standards and Followers'!#REF!,MATCH(F$1,'CA Standards and Followers'!$1:$1,0)),IF(AND(INDEX('CA Standards and Followers'!$D$7:$D$66,MATCH($A25,'CA Standards and Followers'!$A$7:$A$66,0))=1,INDEX('CA Standards and Followers'!$G$7:$G$66,MATCH($A25,'CA Standards and Followers'!$A$7:$A$66,0))&lt;=F$1),INDEX('CA Standards and Followers'!$2:$2,MATCH(F$1,'CA Standards and Followers'!$1:$1,0)),0))</f>
        <v>0</v>
      </c>
      <c r="G25">
        <f>IF(AND(INDEX('CA Standards and Followers'!$E$7:$E$66,MATCH($A25,'CA Standards and Followers'!$A$7:$A$66,0))=1,INDEX('CA Standards and Followers'!$H$7:$H$66,MATCH($A25,'CA Standards and Followers'!$A$7:$A$66,0))&lt;=G$1),INDEX('CA Standards and Followers'!#REF!,MATCH(G$1,'CA Standards and Followers'!$1:$1,0)),IF(AND(INDEX('CA Standards and Followers'!$D$7:$D$66,MATCH($A25,'CA Standards and Followers'!$A$7:$A$66,0))=1,INDEX('CA Standards and Followers'!$G$7:$G$66,MATCH($A25,'CA Standards and Followers'!$A$7:$A$66,0))&lt;=G$1),INDEX('CA Standards and Followers'!$2:$2,MATCH(G$1,'CA Standards and Followers'!$1:$1,0)),0))</f>
        <v>0.08</v>
      </c>
      <c r="H25">
        <f>IF(AND(INDEX('CA Standards and Followers'!$E$7:$E$66,MATCH($A25,'CA Standards and Followers'!$A$7:$A$66,0))=1,INDEX('CA Standards and Followers'!$H$7:$H$66,MATCH($A25,'CA Standards and Followers'!$A$7:$A$66,0))&lt;=H$1),INDEX('CA Standards and Followers'!#REF!,MATCH(H$1,'CA Standards and Followers'!$1:$1,0)),IF(AND(INDEX('CA Standards and Followers'!$D$7:$D$66,MATCH($A25,'CA Standards and Followers'!$A$7:$A$66,0))=1,INDEX('CA Standards and Followers'!$G$7:$G$66,MATCH($A25,'CA Standards and Followers'!$A$7:$A$66,0))&lt;=H$1),INDEX('CA Standards and Followers'!$2:$2,MATCH(H$1,'CA Standards and Followers'!$1:$1,0)),0))</f>
        <v>0</v>
      </c>
      <c r="I25">
        <f>IF(AND(INDEX('CA Standards and Followers'!$E$7:$E$66,MATCH($A25,'CA Standards and Followers'!$A$7:$A$66,0))=1,INDEX('CA Standards and Followers'!$H$7:$H$66,MATCH($A25,'CA Standards and Followers'!$A$7:$A$66,0))&lt;=I$1),INDEX('CA Standards and Followers'!#REF!,MATCH(I$1,'CA Standards and Followers'!$1:$1,0)),IF(AND(INDEX('CA Standards and Followers'!$D$7:$D$66,MATCH($A25,'CA Standards and Followers'!$A$7:$A$66,0))=1,INDEX('CA Standards and Followers'!$G$7:$G$66,MATCH($A25,'CA Standards and Followers'!$A$7:$A$66,0))&lt;=I$1),INDEX('CA Standards and Followers'!$2:$2,MATCH(I$1,'CA Standards and Followers'!$1:$1,0)),0))</f>
        <v>0</v>
      </c>
      <c r="J25">
        <f>IF(AND(INDEX('CA Standards and Followers'!$E$7:$E$66,MATCH($A25,'CA Standards and Followers'!$A$7:$A$66,0))=1,INDEX('CA Standards and Followers'!$H$7:$H$66,MATCH($A25,'CA Standards and Followers'!$A$7:$A$66,0))&lt;=J$1),INDEX('CA Standards and Followers'!#REF!,MATCH(J$1,'CA Standards and Followers'!$1:$1,0)),IF(AND(INDEX('CA Standards and Followers'!$D$7:$D$66,MATCH($A25,'CA Standards and Followers'!$A$7:$A$66,0))=1,INDEX('CA Standards and Followers'!$G$7:$G$66,MATCH($A25,'CA Standards and Followers'!$A$7:$A$66,0))&lt;=J$1),INDEX('CA Standards and Followers'!$2:$2,MATCH(J$1,'CA Standards and Followers'!$1:$1,0)),0))</f>
        <v>0</v>
      </c>
      <c r="K25" s="39">
        <f>MAX(IFERROR(IF(INDEX('State Map'!$C:$C,MATCH(TRIM('RZSPbS-psgr-ldv'!$A25),'State Map'!$A:$A,0))="Max Ambition",Schedules!G$4,J25),J25),J25)</f>
        <v>0.2</v>
      </c>
      <c r="L25" s="39">
        <f>MAX(IFERROR(IF(INDEX('State Map'!$C:$C,MATCH(TRIM('RZSPbS-psgr-ldv'!$A25),'State Map'!$A:$A,0))="Max Ambition",Schedules!H$4,K25),K25),K25)</f>
        <v>0.25</v>
      </c>
      <c r="M25" s="39">
        <f>MAX(IFERROR(IF(INDEX('State Map'!$C:$C,MATCH(TRIM('RZSPbS-psgr-ldv'!$A25),'State Map'!$A:$A,0))="Max Ambition",Schedules!I$4,L25),L25),L25)</f>
        <v>0.3</v>
      </c>
      <c r="N25" s="39">
        <f>MAX(IFERROR(IF(INDEX('State Map'!$C:$C,MATCH(TRIM('RZSPbS-psgr-ldv'!$A25),'State Map'!$A:$A,0))="Max Ambition",Schedules!J$4,M25),M25),M25)</f>
        <v>0.38</v>
      </c>
      <c r="O25" s="39">
        <f>MAX(IFERROR(IF(INDEX('State Map'!$C:$C,MATCH(TRIM('RZSPbS-psgr-ldv'!$A25),'State Map'!$A:$A,0))="Max Ambition",Schedules!K$4,N25),N25),N25)</f>
        <v>0.46</v>
      </c>
      <c r="P25" s="39">
        <f>MAX(IFERROR(IF(INDEX('State Map'!$C:$C,MATCH(TRIM('RZSPbS-psgr-ldv'!$A25),'State Map'!$A:$A,0))="Max Ambition",Schedules!L$4,O25),O25),O25)</f>
        <v>0.51400000000000001</v>
      </c>
      <c r="Q25" s="39">
        <f>MAX(IFERROR(IF(INDEX('State Map'!$C:$C,MATCH(TRIM('RZSPbS-psgr-ldv'!$A25),'State Map'!$A:$A,0))="Max Ambition",Schedules!M$4,P25),P25),P25)</f>
        <v>0.56799999999999995</v>
      </c>
      <c r="R25" s="39">
        <f>MAX(IFERROR(IF(INDEX('State Map'!$C:$C,MATCH(TRIM('RZSPbS-psgr-ldv'!$A25),'State Map'!$A:$A,0))="Max Ambition",Schedules!N$4,Q25),Q25),Q25)</f>
        <v>0.622</v>
      </c>
      <c r="S25" s="39">
        <f>MAX(IFERROR(IF(INDEX('State Map'!$C:$C,MATCH(TRIM('RZSPbS-psgr-ldv'!$A25),'State Map'!$A:$A,0))="Max Ambition",Schedules!O$4,R25),R25),R25)</f>
        <v>0.67600000000000005</v>
      </c>
      <c r="T25" s="39">
        <f>MAX(IFERROR(IF(INDEX('State Map'!$C:$C,MATCH(TRIM('RZSPbS-psgr-ldv'!$A25),'State Map'!$A:$A,0))="Max Ambition",Schedules!P$4,S25),S25),S25)</f>
        <v>0.73</v>
      </c>
      <c r="U25" s="39">
        <f>MAX(IFERROR(IF(INDEX('State Map'!$C:$C,MATCH(TRIM('RZSPbS-psgr-ldv'!$A25),'State Map'!$A:$A,0))="Max Ambition",Schedules!Q$4,T25),T25),T25)</f>
        <v>0.78400000000000003</v>
      </c>
      <c r="V25" s="39">
        <f>MAX(IFERROR(IF(INDEX('State Map'!$C:$C,MATCH(TRIM('RZSPbS-psgr-ldv'!$A25),'State Map'!$A:$A,0))="Max Ambition",Schedules!R$4,U25),U25),U25)</f>
        <v>0.83799999999999997</v>
      </c>
      <c r="W25" s="39">
        <f>MAX(IFERROR(IF(INDEX('State Map'!$C:$C,MATCH(TRIM('RZSPbS-psgr-ldv'!$A25),'State Map'!$A:$A,0))="Max Ambition",Schedules!S$4,V25),V25),V25)</f>
        <v>0.89200000000000002</v>
      </c>
      <c r="X25" s="39">
        <f>MAX(IFERROR(IF(INDEX('State Map'!$C:$C,MATCH(TRIM('RZSPbS-psgr-ldv'!$A25),'State Map'!$A:$A,0))="Max Ambition",Schedules!T$4,W25),W25),W25)</f>
        <v>0.94599999999999995</v>
      </c>
      <c r="Y25" s="39">
        <f>MAX(IFERROR(IF(INDEX('State Map'!$C:$C,MATCH(TRIM('RZSPbS-psgr-ldv'!$A25),'State Map'!$A:$A,0))="Max Ambition",Schedules!U$4,X25),X25),X25)</f>
        <v>1</v>
      </c>
      <c r="Z25" s="39">
        <f>MAX(IFERROR(IF(INDEX('State Map'!$C:$C,MATCH(TRIM('RZSPbS-psgr-ldv'!$A25),'State Map'!$A:$A,0))="Max Ambition",Schedules!V$4,Y25),Y25),Y25)</f>
        <v>1</v>
      </c>
      <c r="AA25" s="39">
        <f>MAX(IFERROR(IF(INDEX('State Map'!$C:$C,MATCH(TRIM('RZSPbS-psgr-ldv'!$A25),'State Map'!$A:$A,0))="Max Ambition",Schedules!W$4,Z25),Z25),Z25)</f>
        <v>1</v>
      </c>
      <c r="AB25" s="39">
        <f>MAX(IFERROR(IF(INDEX('State Map'!$C:$C,MATCH(TRIM('RZSPbS-psgr-ldv'!$A25),'State Map'!$A:$A,0))="Max Ambition",Schedules!X$4,AA25),AA25),AA25)</f>
        <v>1</v>
      </c>
      <c r="AC25" s="39">
        <f>MAX(IFERROR(IF(INDEX('State Map'!$C:$C,MATCH(TRIM('RZSPbS-psgr-ldv'!$A25),'State Map'!$A:$A,0))="Max Ambition",Schedules!Y$4,AB25),AB25),AB25)</f>
        <v>1</v>
      </c>
      <c r="AD25" s="39">
        <f>MAX(IFERROR(IF(INDEX('State Map'!$C:$C,MATCH(TRIM('RZSPbS-psgr-ldv'!$A25),'State Map'!$A:$A,0))="Max Ambition",Schedules!Z$4,AC25),AC25),AC25)</f>
        <v>1</v>
      </c>
      <c r="AE25" s="39">
        <f>MAX(IFERROR(IF(INDEX('State Map'!$C:$C,MATCH(TRIM('RZSPbS-psgr-ldv'!$A25),'State Map'!$A:$A,0))="Max Ambition",Schedules!AA$4,AD25),AD25),AD25)</f>
        <v>1</v>
      </c>
      <c r="AF25" s="39">
        <f>MAX(IFERROR(IF(INDEX('State Map'!$C:$C,MATCH(TRIM('RZSPbS-psgr-ldv'!$A25),'State Map'!$A:$A,0))="Max Ambition",Schedules!AB$4,AE25),AE25),AE25)</f>
        <v>1</v>
      </c>
    </row>
    <row r="26" spans="1:32" x14ac:dyDescent="0.25">
      <c r="A26" t="s">
        <v>25</v>
      </c>
      <c r="B26">
        <f>IF(AND(INDEX('CA Standards and Followers'!$E$7:$E$66,MATCH($A26,'CA Standards and Followers'!$A$7:$A$66,0))=1,INDEX('CA Standards and Followers'!$H$7:$H$66,MATCH($A26,'CA Standards and Followers'!$A$7:$A$66,0))&lt;=B$1),INDEX('CA Standards and Followers'!#REF!,MATCH(B$1,'CA Standards and Followers'!$1:$1,0)),IF(AND(INDEX('CA Standards and Followers'!$D$7:$D$66,MATCH($A26,'CA Standards and Followers'!$A$7:$A$66,0))=1,INDEX('CA Standards and Followers'!$G$7:$G$66,MATCH($A26,'CA Standards and Followers'!$A$7:$A$66,0))&lt;=B$1),INDEX('CA Standards and Followers'!$2:$2,MATCH(B$1,'CA Standards and Followers'!$1:$1,0)),0))</f>
        <v>0</v>
      </c>
      <c r="C26">
        <f>IF(AND(INDEX('CA Standards and Followers'!$E$7:$E$66,MATCH($A26,'CA Standards and Followers'!$A$7:$A$66,0))=1,INDEX('CA Standards and Followers'!$H$7:$H$66,MATCH($A26,'CA Standards and Followers'!$A$7:$A$66,0))&lt;=C$1),INDEX('CA Standards and Followers'!#REF!,MATCH(C$1,'CA Standards and Followers'!$1:$1,0)),IF(AND(INDEX('CA Standards and Followers'!$D$7:$D$66,MATCH($A26,'CA Standards and Followers'!$A$7:$A$66,0))=1,INDEX('CA Standards and Followers'!$G$7:$G$66,MATCH($A26,'CA Standards and Followers'!$A$7:$A$66,0))&lt;=C$1),INDEX('CA Standards and Followers'!$2:$2,MATCH(C$1,'CA Standards and Followers'!$1:$1,0)),0))</f>
        <v>0</v>
      </c>
      <c r="D26">
        <f>IF(AND(INDEX('CA Standards and Followers'!$E$7:$E$66,MATCH($A26,'CA Standards and Followers'!$A$7:$A$66,0))=1,INDEX('CA Standards and Followers'!$H$7:$H$66,MATCH($A26,'CA Standards and Followers'!$A$7:$A$66,0))&lt;=D$1),INDEX('CA Standards and Followers'!#REF!,MATCH(D$1,'CA Standards and Followers'!$1:$1,0)),IF(AND(INDEX('CA Standards and Followers'!$D$7:$D$66,MATCH($A26,'CA Standards and Followers'!$A$7:$A$66,0))=1,INDEX('CA Standards and Followers'!$G$7:$G$66,MATCH($A26,'CA Standards and Followers'!$A$7:$A$66,0))&lt;=D$1),INDEX('CA Standards and Followers'!$2:$2,MATCH(D$1,'CA Standards and Followers'!$1:$1,0)),0))</f>
        <v>0</v>
      </c>
      <c r="E26">
        <f>IF(AND(INDEX('CA Standards and Followers'!$E$7:$E$66,MATCH($A26,'CA Standards and Followers'!$A$7:$A$66,0))=1,INDEX('CA Standards and Followers'!$H$7:$H$66,MATCH($A26,'CA Standards and Followers'!$A$7:$A$66,0))&lt;=E$1),INDEX('CA Standards and Followers'!#REF!,MATCH(E$1,'CA Standards and Followers'!$1:$1,0)),IF(AND(INDEX('CA Standards and Followers'!$D$7:$D$66,MATCH($A26,'CA Standards and Followers'!$A$7:$A$66,0))=1,INDEX('CA Standards and Followers'!$G$7:$G$66,MATCH($A26,'CA Standards and Followers'!$A$7:$A$66,0))&lt;=E$1),INDEX('CA Standards and Followers'!$2:$2,MATCH(E$1,'CA Standards and Followers'!$1:$1,0)),0))</f>
        <v>0</v>
      </c>
      <c r="F26">
        <f>IF(AND(INDEX('CA Standards and Followers'!$E$7:$E$66,MATCH($A26,'CA Standards and Followers'!$A$7:$A$66,0))=1,INDEX('CA Standards and Followers'!$H$7:$H$66,MATCH($A26,'CA Standards and Followers'!$A$7:$A$66,0))&lt;=F$1),INDEX('CA Standards and Followers'!#REF!,MATCH(F$1,'CA Standards and Followers'!$1:$1,0)),IF(AND(INDEX('CA Standards and Followers'!$D$7:$D$66,MATCH($A26,'CA Standards and Followers'!$A$7:$A$66,0))=1,INDEX('CA Standards and Followers'!$G$7:$G$66,MATCH($A26,'CA Standards and Followers'!$A$7:$A$66,0))&lt;=F$1),INDEX('CA Standards and Followers'!$2:$2,MATCH(F$1,'CA Standards and Followers'!$1:$1,0)),0))</f>
        <v>0</v>
      </c>
      <c r="G26">
        <f>IF(AND(INDEX('CA Standards and Followers'!$E$7:$E$66,MATCH($A26,'CA Standards and Followers'!$A$7:$A$66,0))=1,INDEX('CA Standards and Followers'!$H$7:$H$66,MATCH($A26,'CA Standards and Followers'!$A$7:$A$66,0))&lt;=G$1),INDEX('CA Standards and Followers'!#REF!,MATCH(G$1,'CA Standards and Followers'!$1:$1,0)),IF(AND(INDEX('CA Standards and Followers'!$D$7:$D$66,MATCH($A26,'CA Standards and Followers'!$A$7:$A$66,0))=1,INDEX('CA Standards and Followers'!$G$7:$G$66,MATCH($A26,'CA Standards and Followers'!$A$7:$A$66,0))&lt;=G$1),INDEX('CA Standards and Followers'!$2:$2,MATCH(G$1,'CA Standards and Followers'!$1:$1,0)),0))</f>
        <v>0</v>
      </c>
      <c r="H26">
        <f>IF(AND(INDEX('CA Standards and Followers'!$E$7:$E$66,MATCH($A26,'CA Standards and Followers'!$A$7:$A$66,0))=1,INDEX('CA Standards and Followers'!$H$7:$H$66,MATCH($A26,'CA Standards and Followers'!$A$7:$A$66,0))&lt;=H$1),INDEX('CA Standards and Followers'!#REF!,MATCH(H$1,'CA Standards and Followers'!$1:$1,0)),IF(AND(INDEX('CA Standards and Followers'!$D$7:$D$66,MATCH($A26,'CA Standards and Followers'!$A$7:$A$66,0))=1,INDEX('CA Standards and Followers'!$G$7:$G$66,MATCH($A26,'CA Standards and Followers'!$A$7:$A$66,0))&lt;=H$1),INDEX('CA Standards and Followers'!$2:$2,MATCH(H$1,'CA Standards and Followers'!$1:$1,0)),0))</f>
        <v>0</v>
      </c>
      <c r="I26">
        <f>IF(AND(INDEX('CA Standards and Followers'!$E$7:$E$66,MATCH($A26,'CA Standards and Followers'!$A$7:$A$66,0))=1,INDEX('CA Standards and Followers'!$H$7:$H$66,MATCH($A26,'CA Standards and Followers'!$A$7:$A$66,0))&lt;=I$1),INDEX('CA Standards and Followers'!#REF!,MATCH(I$1,'CA Standards and Followers'!$1:$1,0)),IF(AND(INDEX('CA Standards and Followers'!$D$7:$D$66,MATCH($A26,'CA Standards and Followers'!$A$7:$A$66,0))=1,INDEX('CA Standards and Followers'!$G$7:$G$66,MATCH($A26,'CA Standards and Followers'!$A$7:$A$66,0))&lt;=I$1),INDEX('CA Standards and Followers'!$2:$2,MATCH(I$1,'CA Standards and Followers'!$1:$1,0)),0))</f>
        <v>0</v>
      </c>
      <c r="J26">
        <f>IF(AND(INDEX('CA Standards and Followers'!$E$7:$E$66,MATCH($A26,'CA Standards and Followers'!$A$7:$A$66,0))=1,INDEX('CA Standards and Followers'!$H$7:$H$66,MATCH($A26,'CA Standards and Followers'!$A$7:$A$66,0))&lt;=J$1),INDEX('CA Standards and Followers'!#REF!,MATCH(J$1,'CA Standards and Followers'!$1:$1,0)),IF(AND(INDEX('CA Standards and Followers'!$D$7:$D$66,MATCH($A26,'CA Standards and Followers'!$A$7:$A$66,0))=1,INDEX('CA Standards and Followers'!$G$7:$G$66,MATCH($A26,'CA Standards and Followers'!$A$7:$A$66,0))&lt;=J$1),INDEX('CA Standards and Followers'!$2:$2,MATCH(J$1,'CA Standards and Followers'!$1:$1,0)),0))</f>
        <v>0</v>
      </c>
      <c r="K26" s="39">
        <f>MAX(IFERROR(IF(INDEX('State Map'!$C:$C,MATCH(TRIM('RZSPbS-psgr-ldv'!$A26),'State Map'!$A:$A,0))="Max Ambition",Schedules!G$4,J26),J26),J26)</f>
        <v>0</v>
      </c>
      <c r="L26" s="39">
        <f>MAX(IFERROR(IF(INDEX('State Map'!$C:$C,MATCH(TRIM('RZSPbS-psgr-ldv'!$A26),'State Map'!$A:$A,0))="Max Ambition",Schedules!H$4,K26),K26),K26)</f>
        <v>0</v>
      </c>
      <c r="M26" s="39">
        <f>MAX(IFERROR(IF(INDEX('State Map'!$C:$C,MATCH(TRIM('RZSPbS-psgr-ldv'!$A26),'State Map'!$A:$A,0))="Max Ambition",Schedules!I$4,L26),L26),L26)</f>
        <v>0</v>
      </c>
      <c r="N26" s="39">
        <f>MAX(IFERROR(IF(INDEX('State Map'!$C:$C,MATCH(TRIM('RZSPbS-psgr-ldv'!$A26),'State Map'!$A:$A,0))="Max Ambition",Schedules!J$4,M26),M26),M26)</f>
        <v>0</v>
      </c>
      <c r="O26" s="39">
        <f>MAX(IFERROR(IF(INDEX('State Map'!$C:$C,MATCH(TRIM('RZSPbS-psgr-ldv'!$A26),'State Map'!$A:$A,0))="Max Ambition",Schedules!K$4,N26),N26),N26)</f>
        <v>0</v>
      </c>
      <c r="P26" s="39">
        <f>MAX(IFERROR(IF(INDEX('State Map'!$C:$C,MATCH(TRIM('RZSPbS-psgr-ldv'!$A26),'State Map'!$A:$A,0))="Max Ambition",Schedules!L$4,O26),O26),O26)</f>
        <v>0</v>
      </c>
      <c r="Q26" s="39">
        <f>MAX(IFERROR(IF(INDEX('State Map'!$C:$C,MATCH(TRIM('RZSPbS-psgr-ldv'!$A26),'State Map'!$A:$A,0))="Max Ambition",Schedules!M$4,P26),P26),P26)</f>
        <v>0</v>
      </c>
      <c r="R26" s="39">
        <f>MAX(IFERROR(IF(INDEX('State Map'!$C:$C,MATCH(TRIM('RZSPbS-psgr-ldv'!$A26),'State Map'!$A:$A,0))="Max Ambition",Schedules!N$4,Q26),Q26),Q26)</f>
        <v>0</v>
      </c>
      <c r="S26" s="39">
        <f>MAX(IFERROR(IF(INDEX('State Map'!$C:$C,MATCH(TRIM('RZSPbS-psgr-ldv'!$A26),'State Map'!$A:$A,0))="Max Ambition",Schedules!O$4,R26),R26),R26)</f>
        <v>0</v>
      </c>
      <c r="T26" s="39">
        <f>MAX(IFERROR(IF(INDEX('State Map'!$C:$C,MATCH(TRIM('RZSPbS-psgr-ldv'!$A26),'State Map'!$A:$A,0))="Max Ambition",Schedules!P$4,S26),S26),S26)</f>
        <v>0</v>
      </c>
      <c r="U26" s="39">
        <f>MAX(IFERROR(IF(INDEX('State Map'!$C:$C,MATCH(TRIM('RZSPbS-psgr-ldv'!$A26),'State Map'!$A:$A,0))="Max Ambition",Schedules!Q$4,T26),T26),T26)</f>
        <v>0</v>
      </c>
      <c r="V26" s="39">
        <f>MAX(IFERROR(IF(INDEX('State Map'!$C:$C,MATCH(TRIM('RZSPbS-psgr-ldv'!$A26),'State Map'!$A:$A,0))="Max Ambition",Schedules!R$4,U26),U26),U26)</f>
        <v>0</v>
      </c>
      <c r="W26" s="39">
        <f>MAX(IFERROR(IF(INDEX('State Map'!$C:$C,MATCH(TRIM('RZSPbS-psgr-ldv'!$A26),'State Map'!$A:$A,0))="Max Ambition",Schedules!S$4,V26),V26),V26)</f>
        <v>0</v>
      </c>
      <c r="X26" s="39">
        <f>MAX(IFERROR(IF(INDEX('State Map'!$C:$C,MATCH(TRIM('RZSPbS-psgr-ldv'!$A26),'State Map'!$A:$A,0))="Max Ambition",Schedules!T$4,W26),W26),W26)</f>
        <v>0</v>
      </c>
      <c r="Y26" s="39">
        <f>MAX(IFERROR(IF(INDEX('State Map'!$C:$C,MATCH(TRIM('RZSPbS-psgr-ldv'!$A26),'State Map'!$A:$A,0))="Max Ambition",Schedules!U$4,X26),X26),X26)</f>
        <v>0</v>
      </c>
      <c r="Z26" s="39">
        <f>MAX(IFERROR(IF(INDEX('State Map'!$C:$C,MATCH(TRIM('RZSPbS-psgr-ldv'!$A26),'State Map'!$A:$A,0))="Max Ambition",Schedules!V$4,Y26),Y26),Y26)</f>
        <v>0</v>
      </c>
      <c r="AA26" s="39">
        <f>MAX(IFERROR(IF(INDEX('State Map'!$C:$C,MATCH(TRIM('RZSPbS-psgr-ldv'!$A26),'State Map'!$A:$A,0))="Max Ambition",Schedules!W$4,Z26),Z26),Z26)</f>
        <v>0</v>
      </c>
      <c r="AB26" s="39">
        <f>MAX(IFERROR(IF(INDEX('State Map'!$C:$C,MATCH(TRIM('RZSPbS-psgr-ldv'!$A26),'State Map'!$A:$A,0))="Max Ambition",Schedules!X$4,AA26),AA26),AA26)</f>
        <v>0</v>
      </c>
      <c r="AC26" s="39">
        <f>MAX(IFERROR(IF(INDEX('State Map'!$C:$C,MATCH(TRIM('RZSPbS-psgr-ldv'!$A26),'State Map'!$A:$A,0))="Max Ambition",Schedules!Y$4,AB26),AB26),AB26)</f>
        <v>0</v>
      </c>
      <c r="AD26" s="39">
        <f>MAX(IFERROR(IF(INDEX('State Map'!$C:$C,MATCH(TRIM('RZSPbS-psgr-ldv'!$A26),'State Map'!$A:$A,0))="Max Ambition",Schedules!Z$4,AC26),AC26),AC26)</f>
        <v>0</v>
      </c>
      <c r="AE26" s="39">
        <f>MAX(IFERROR(IF(INDEX('State Map'!$C:$C,MATCH(TRIM('RZSPbS-psgr-ldv'!$A26),'State Map'!$A:$A,0))="Max Ambition",Schedules!AA$4,AD26),AD26),AD26)</f>
        <v>0</v>
      </c>
      <c r="AF26" s="39">
        <f>MAX(IFERROR(IF(INDEX('State Map'!$C:$C,MATCH(TRIM('RZSPbS-psgr-ldv'!$A26),'State Map'!$A:$A,0))="Max Ambition",Schedules!AB$4,AE26),AE26),AE26)</f>
        <v>0</v>
      </c>
    </row>
    <row r="27" spans="1:32" x14ac:dyDescent="0.25">
      <c r="A27" t="s">
        <v>26</v>
      </c>
      <c r="B27">
        <f>IF(AND(INDEX('CA Standards and Followers'!$E$7:$E$66,MATCH($A27,'CA Standards and Followers'!$A$7:$A$66,0))=1,INDEX('CA Standards and Followers'!$H$7:$H$66,MATCH($A27,'CA Standards and Followers'!$A$7:$A$66,0))&lt;=B$1),INDEX('CA Standards and Followers'!#REF!,MATCH(B$1,'CA Standards and Followers'!$1:$1,0)),IF(AND(INDEX('CA Standards and Followers'!$D$7:$D$66,MATCH($A27,'CA Standards and Followers'!$A$7:$A$66,0))=1,INDEX('CA Standards and Followers'!$G$7:$G$66,MATCH($A27,'CA Standards and Followers'!$A$7:$A$66,0))&lt;=B$1),INDEX('CA Standards and Followers'!$2:$2,MATCH(B$1,'CA Standards and Followers'!$1:$1,0)),0))</f>
        <v>0</v>
      </c>
      <c r="C27">
        <f>IF(AND(INDEX('CA Standards and Followers'!$E$7:$E$66,MATCH($A27,'CA Standards and Followers'!$A$7:$A$66,0))=1,INDEX('CA Standards and Followers'!$H$7:$H$66,MATCH($A27,'CA Standards and Followers'!$A$7:$A$66,0))&lt;=C$1),INDEX('CA Standards and Followers'!#REF!,MATCH(C$1,'CA Standards and Followers'!$1:$1,0)),IF(AND(INDEX('CA Standards and Followers'!$D$7:$D$66,MATCH($A27,'CA Standards and Followers'!$A$7:$A$66,0))=1,INDEX('CA Standards and Followers'!$G$7:$G$66,MATCH($A27,'CA Standards and Followers'!$A$7:$A$66,0))&lt;=C$1),INDEX('CA Standards and Followers'!$2:$2,MATCH(C$1,'CA Standards and Followers'!$1:$1,0)),0))</f>
        <v>0</v>
      </c>
      <c r="D27">
        <f>IF(AND(INDEX('CA Standards and Followers'!$E$7:$E$66,MATCH($A27,'CA Standards and Followers'!$A$7:$A$66,0))=1,INDEX('CA Standards and Followers'!$H$7:$H$66,MATCH($A27,'CA Standards and Followers'!$A$7:$A$66,0))&lt;=D$1),INDEX('CA Standards and Followers'!#REF!,MATCH(D$1,'CA Standards and Followers'!$1:$1,0)),IF(AND(INDEX('CA Standards and Followers'!$D$7:$D$66,MATCH($A27,'CA Standards and Followers'!$A$7:$A$66,0))=1,INDEX('CA Standards and Followers'!$G$7:$G$66,MATCH($A27,'CA Standards and Followers'!$A$7:$A$66,0))&lt;=D$1),INDEX('CA Standards and Followers'!$2:$2,MATCH(D$1,'CA Standards and Followers'!$1:$1,0)),0))</f>
        <v>0</v>
      </c>
      <c r="E27">
        <f>IF(AND(INDEX('CA Standards and Followers'!$E$7:$E$66,MATCH($A27,'CA Standards and Followers'!$A$7:$A$66,0))=1,INDEX('CA Standards and Followers'!$H$7:$H$66,MATCH($A27,'CA Standards and Followers'!$A$7:$A$66,0))&lt;=E$1),INDEX('CA Standards and Followers'!#REF!,MATCH(E$1,'CA Standards and Followers'!$1:$1,0)),IF(AND(INDEX('CA Standards and Followers'!$D$7:$D$66,MATCH($A27,'CA Standards and Followers'!$A$7:$A$66,0))=1,INDEX('CA Standards and Followers'!$G$7:$G$66,MATCH($A27,'CA Standards and Followers'!$A$7:$A$66,0))&lt;=E$1),INDEX('CA Standards and Followers'!$2:$2,MATCH(E$1,'CA Standards and Followers'!$1:$1,0)),0))</f>
        <v>0</v>
      </c>
      <c r="F27">
        <f>IF(AND(INDEX('CA Standards and Followers'!$E$7:$E$66,MATCH($A27,'CA Standards and Followers'!$A$7:$A$66,0))=1,INDEX('CA Standards and Followers'!$H$7:$H$66,MATCH($A27,'CA Standards and Followers'!$A$7:$A$66,0))&lt;=F$1),INDEX('CA Standards and Followers'!#REF!,MATCH(F$1,'CA Standards and Followers'!$1:$1,0)),IF(AND(INDEX('CA Standards and Followers'!$D$7:$D$66,MATCH($A27,'CA Standards and Followers'!$A$7:$A$66,0))=1,INDEX('CA Standards and Followers'!$G$7:$G$66,MATCH($A27,'CA Standards and Followers'!$A$7:$A$66,0))&lt;=F$1),INDEX('CA Standards and Followers'!$2:$2,MATCH(F$1,'CA Standards and Followers'!$1:$1,0)),0))</f>
        <v>0</v>
      </c>
      <c r="G27">
        <f>IF(AND(INDEX('CA Standards and Followers'!$E$7:$E$66,MATCH($A27,'CA Standards and Followers'!$A$7:$A$66,0))=1,INDEX('CA Standards and Followers'!$H$7:$H$66,MATCH($A27,'CA Standards and Followers'!$A$7:$A$66,0))&lt;=G$1),INDEX('CA Standards and Followers'!#REF!,MATCH(G$1,'CA Standards and Followers'!$1:$1,0)),IF(AND(INDEX('CA Standards and Followers'!$D$7:$D$66,MATCH($A27,'CA Standards and Followers'!$A$7:$A$66,0))=1,INDEX('CA Standards and Followers'!$G$7:$G$66,MATCH($A27,'CA Standards and Followers'!$A$7:$A$66,0))&lt;=G$1),INDEX('CA Standards and Followers'!$2:$2,MATCH(G$1,'CA Standards and Followers'!$1:$1,0)),0))</f>
        <v>0</v>
      </c>
      <c r="H27">
        <f>IF(AND(INDEX('CA Standards and Followers'!$E$7:$E$66,MATCH($A27,'CA Standards and Followers'!$A$7:$A$66,0))=1,INDEX('CA Standards and Followers'!$H$7:$H$66,MATCH($A27,'CA Standards and Followers'!$A$7:$A$66,0))&lt;=H$1),INDEX('CA Standards and Followers'!#REF!,MATCH(H$1,'CA Standards and Followers'!$1:$1,0)),IF(AND(INDEX('CA Standards and Followers'!$D$7:$D$66,MATCH($A27,'CA Standards and Followers'!$A$7:$A$66,0))=1,INDEX('CA Standards and Followers'!$G$7:$G$66,MATCH($A27,'CA Standards and Followers'!$A$7:$A$66,0))&lt;=H$1),INDEX('CA Standards and Followers'!$2:$2,MATCH(H$1,'CA Standards and Followers'!$1:$1,0)),0))</f>
        <v>0</v>
      </c>
      <c r="I27">
        <f>IF(AND(INDEX('CA Standards and Followers'!$E$7:$E$66,MATCH($A27,'CA Standards and Followers'!$A$7:$A$66,0))=1,INDEX('CA Standards and Followers'!$H$7:$H$66,MATCH($A27,'CA Standards and Followers'!$A$7:$A$66,0))&lt;=I$1),INDEX('CA Standards and Followers'!#REF!,MATCH(I$1,'CA Standards and Followers'!$1:$1,0)),IF(AND(INDEX('CA Standards and Followers'!$D$7:$D$66,MATCH($A27,'CA Standards and Followers'!$A$7:$A$66,0))=1,INDEX('CA Standards and Followers'!$G$7:$G$66,MATCH($A27,'CA Standards and Followers'!$A$7:$A$66,0))&lt;=I$1),INDEX('CA Standards and Followers'!$2:$2,MATCH(I$1,'CA Standards and Followers'!$1:$1,0)),0))</f>
        <v>0</v>
      </c>
      <c r="J27">
        <f>IF(AND(INDEX('CA Standards and Followers'!$E$7:$E$66,MATCH($A27,'CA Standards and Followers'!$A$7:$A$66,0))=1,INDEX('CA Standards and Followers'!$H$7:$H$66,MATCH($A27,'CA Standards and Followers'!$A$7:$A$66,0))&lt;=J$1),INDEX('CA Standards and Followers'!#REF!,MATCH(J$1,'CA Standards and Followers'!$1:$1,0)),IF(AND(INDEX('CA Standards and Followers'!$D$7:$D$66,MATCH($A27,'CA Standards and Followers'!$A$7:$A$66,0))=1,INDEX('CA Standards and Followers'!$G$7:$G$66,MATCH($A27,'CA Standards and Followers'!$A$7:$A$66,0))&lt;=J$1),INDEX('CA Standards and Followers'!$2:$2,MATCH(J$1,'CA Standards and Followers'!$1:$1,0)),0))</f>
        <v>0</v>
      </c>
      <c r="K27" s="39">
        <f>MAX(IFERROR(IF(INDEX('State Map'!$C:$C,MATCH(TRIM('RZSPbS-psgr-ldv'!$A27),'State Map'!$A:$A,0))="Max Ambition",Schedules!G$4,J27),J27),J27)</f>
        <v>0</v>
      </c>
      <c r="L27" s="39">
        <f>MAX(IFERROR(IF(INDEX('State Map'!$C:$C,MATCH(TRIM('RZSPbS-psgr-ldv'!$A27),'State Map'!$A:$A,0))="Max Ambition",Schedules!H$4,K27),K27),K27)</f>
        <v>0</v>
      </c>
      <c r="M27" s="39">
        <f>MAX(IFERROR(IF(INDEX('State Map'!$C:$C,MATCH(TRIM('RZSPbS-psgr-ldv'!$A27),'State Map'!$A:$A,0))="Max Ambition",Schedules!I$4,L27),L27),L27)</f>
        <v>0</v>
      </c>
      <c r="N27" s="39">
        <f>MAX(IFERROR(IF(INDEX('State Map'!$C:$C,MATCH(TRIM('RZSPbS-psgr-ldv'!$A27),'State Map'!$A:$A,0))="Max Ambition",Schedules!J$4,M27),M27),M27)</f>
        <v>0</v>
      </c>
      <c r="O27" s="39">
        <f>MAX(IFERROR(IF(INDEX('State Map'!$C:$C,MATCH(TRIM('RZSPbS-psgr-ldv'!$A27),'State Map'!$A:$A,0))="Max Ambition",Schedules!K$4,N27),N27),N27)</f>
        <v>0</v>
      </c>
      <c r="P27" s="39">
        <f>MAX(IFERROR(IF(INDEX('State Map'!$C:$C,MATCH(TRIM('RZSPbS-psgr-ldv'!$A27),'State Map'!$A:$A,0))="Max Ambition",Schedules!L$4,O27),O27),O27)</f>
        <v>0</v>
      </c>
      <c r="Q27" s="39">
        <f>MAX(IFERROR(IF(INDEX('State Map'!$C:$C,MATCH(TRIM('RZSPbS-psgr-ldv'!$A27),'State Map'!$A:$A,0))="Max Ambition",Schedules!M$4,P27),P27),P27)</f>
        <v>0</v>
      </c>
      <c r="R27" s="39">
        <f>MAX(IFERROR(IF(INDEX('State Map'!$C:$C,MATCH(TRIM('RZSPbS-psgr-ldv'!$A27),'State Map'!$A:$A,0))="Max Ambition",Schedules!N$4,Q27),Q27),Q27)</f>
        <v>0</v>
      </c>
      <c r="S27" s="39">
        <f>MAX(IFERROR(IF(INDEX('State Map'!$C:$C,MATCH(TRIM('RZSPbS-psgr-ldv'!$A27),'State Map'!$A:$A,0))="Max Ambition",Schedules!O$4,R27),R27),R27)</f>
        <v>0</v>
      </c>
      <c r="T27" s="39">
        <f>MAX(IFERROR(IF(INDEX('State Map'!$C:$C,MATCH(TRIM('RZSPbS-psgr-ldv'!$A27),'State Map'!$A:$A,0))="Max Ambition",Schedules!P$4,S27),S27),S27)</f>
        <v>0</v>
      </c>
      <c r="U27" s="39">
        <f>MAX(IFERROR(IF(INDEX('State Map'!$C:$C,MATCH(TRIM('RZSPbS-psgr-ldv'!$A27),'State Map'!$A:$A,0))="Max Ambition",Schedules!Q$4,T27),T27),T27)</f>
        <v>0</v>
      </c>
      <c r="V27" s="39">
        <f>MAX(IFERROR(IF(INDEX('State Map'!$C:$C,MATCH(TRIM('RZSPbS-psgr-ldv'!$A27),'State Map'!$A:$A,0))="Max Ambition",Schedules!R$4,U27),U27),U27)</f>
        <v>0</v>
      </c>
      <c r="W27" s="39">
        <f>MAX(IFERROR(IF(INDEX('State Map'!$C:$C,MATCH(TRIM('RZSPbS-psgr-ldv'!$A27),'State Map'!$A:$A,0))="Max Ambition",Schedules!S$4,V27),V27),V27)</f>
        <v>0</v>
      </c>
      <c r="X27" s="39">
        <f>MAX(IFERROR(IF(INDEX('State Map'!$C:$C,MATCH(TRIM('RZSPbS-psgr-ldv'!$A27),'State Map'!$A:$A,0))="Max Ambition",Schedules!T$4,W27),W27),W27)</f>
        <v>0</v>
      </c>
      <c r="Y27" s="39">
        <f>MAX(IFERROR(IF(INDEX('State Map'!$C:$C,MATCH(TRIM('RZSPbS-psgr-ldv'!$A27),'State Map'!$A:$A,0))="Max Ambition",Schedules!U$4,X27),X27),X27)</f>
        <v>0</v>
      </c>
      <c r="Z27" s="39">
        <f>MAX(IFERROR(IF(INDEX('State Map'!$C:$C,MATCH(TRIM('RZSPbS-psgr-ldv'!$A27),'State Map'!$A:$A,0))="Max Ambition",Schedules!V$4,Y27),Y27),Y27)</f>
        <v>0</v>
      </c>
      <c r="AA27" s="39">
        <f>MAX(IFERROR(IF(INDEX('State Map'!$C:$C,MATCH(TRIM('RZSPbS-psgr-ldv'!$A27),'State Map'!$A:$A,0))="Max Ambition",Schedules!W$4,Z27),Z27),Z27)</f>
        <v>0</v>
      </c>
      <c r="AB27" s="39">
        <f>MAX(IFERROR(IF(INDEX('State Map'!$C:$C,MATCH(TRIM('RZSPbS-psgr-ldv'!$A27),'State Map'!$A:$A,0))="Max Ambition",Schedules!X$4,AA27),AA27),AA27)</f>
        <v>0</v>
      </c>
      <c r="AC27" s="39">
        <f>MAX(IFERROR(IF(INDEX('State Map'!$C:$C,MATCH(TRIM('RZSPbS-psgr-ldv'!$A27),'State Map'!$A:$A,0))="Max Ambition",Schedules!Y$4,AB27),AB27),AB27)</f>
        <v>0</v>
      </c>
      <c r="AD27" s="39">
        <f>MAX(IFERROR(IF(INDEX('State Map'!$C:$C,MATCH(TRIM('RZSPbS-psgr-ldv'!$A27),'State Map'!$A:$A,0))="Max Ambition",Schedules!Z$4,AC27),AC27),AC27)</f>
        <v>0</v>
      </c>
      <c r="AE27" s="39">
        <f>MAX(IFERROR(IF(INDEX('State Map'!$C:$C,MATCH(TRIM('RZSPbS-psgr-ldv'!$A27),'State Map'!$A:$A,0))="Max Ambition",Schedules!AA$4,AD27),AD27),AD27)</f>
        <v>0</v>
      </c>
      <c r="AF27" s="39">
        <f>MAX(IFERROR(IF(INDEX('State Map'!$C:$C,MATCH(TRIM('RZSPbS-psgr-ldv'!$A27),'State Map'!$A:$A,0))="Max Ambition",Schedules!AB$4,AE27),AE27),AE27)</f>
        <v>0</v>
      </c>
    </row>
    <row r="28" spans="1:32" x14ac:dyDescent="0.25">
      <c r="A28" t="s">
        <v>27</v>
      </c>
      <c r="B28">
        <f>IF(AND(INDEX('CA Standards and Followers'!$E$7:$E$66,MATCH($A28,'CA Standards and Followers'!$A$7:$A$66,0))=1,INDEX('CA Standards and Followers'!$H$7:$H$66,MATCH($A28,'CA Standards and Followers'!$A$7:$A$66,0))&lt;=B$1),INDEX('CA Standards and Followers'!#REF!,MATCH(B$1,'CA Standards and Followers'!$1:$1,0)),IF(AND(INDEX('CA Standards and Followers'!$D$7:$D$66,MATCH($A28,'CA Standards and Followers'!$A$7:$A$66,0))=1,INDEX('CA Standards and Followers'!$G$7:$G$66,MATCH($A28,'CA Standards and Followers'!$A$7:$A$66,0))&lt;=B$1),INDEX('CA Standards and Followers'!$2:$2,MATCH(B$1,'CA Standards and Followers'!$1:$1,0)),0))</f>
        <v>0</v>
      </c>
      <c r="C28">
        <f>IF(AND(INDEX('CA Standards and Followers'!$E$7:$E$66,MATCH($A28,'CA Standards and Followers'!$A$7:$A$66,0))=1,INDEX('CA Standards and Followers'!$H$7:$H$66,MATCH($A28,'CA Standards and Followers'!$A$7:$A$66,0))&lt;=C$1),INDEX('CA Standards and Followers'!#REF!,MATCH(C$1,'CA Standards and Followers'!$1:$1,0)),IF(AND(INDEX('CA Standards and Followers'!$D$7:$D$66,MATCH($A28,'CA Standards and Followers'!$A$7:$A$66,0))=1,INDEX('CA Standards and Followers'!$G$7:$G$66,MATCH($A28,'CA Standards and Followers'!$A$7:$A$66,0))&lt;=C$1),INDEX('CA Standards and Followers'!$2:$2,MATCH(C$1,'CA Standards and Followers'!$1:$1,0)),0))</f>
        <v>0</v>
      </c>
      <c r="D28">
        <f>IF(AND(INDEX('CA Standards and Followers'!$E$7:$E$66,MATCH($A28,'CA Standards and Followers'!$A$7:$A$66,0))=1,INDEX('CA Standards and Followers'!$H$7:$H$66,MATCH($A28,'CA Standards and Followers'!$A$7:$A$66,0))&lt;=D$1),INDEX('CA Standards and Followers'!#REF!,MATCH(D$1,'CA Standards and Followers'!$1:$1,0)),IF(AND(INDEX('CA Standards and Followers'!$D$7:$D$66,MATCH($A28,'CA Standards and Followers'!$A$7:$A$66,0))=1,INDEX('CA Standards and Followers'!$G$7:$G$66,MATCH($A28,'CA Standards and Followers'!$A$7:$A$66,0))&lt;=D$1),INDEX('CA Standards and Followers'!$2:$2,MATCH(D$1,'CA Standards and Followers'!$1:$1,0)),0))</f>
        <v>0</v>
      </c>
      <c r="E28">
        <f>IF(AND(INDEX('CA Standards and Followers'!$E$7:$E$66,MATCH($A28,'CA Standards and Followers'!$A$7:$A$66,0))=1,INDEX('CA Standards and Followers'!$H$7:$H$66,MATCH($A28,'CA Standards and Followers'!$A$7:$A$66,0))&lt;=E$1),INDEX('CA Standards and Followers'!#REF!,MATCH(E$1,'CA Standards and Followers'!$1:$1,0)),IF(AND(INDEX('CA Standards and Followers'!$D$7:$D$66,MATCH($A28,'CA Standards and Followers'!$A$7:$A$66,0))=1,INDEX('CA Standards and Followers'!$G$7:$G$66,MATCH($A28,'CA Standards and Followers'!$A$7:$A$66,0))&lt;=E$1),INDEX('CA Standards and Followers'!$2:$2,MATCH(E$1,'CA Standards and Followers'!$1:$1,0)),0))</f>
        <v>0</v>
      </c>
      <c r="F28">
        <f>IF(AND(INDEX('CA Standards and Followers'!$E$7:$E$66,MATCH($A28,'CA Standards and Followers'!$A$7:$A$66,0))=1,INDEX('CA Standards and Followers'!$H$7:$H$66,MATCH($A28,'CA Standards and Followers'!$A$7:$A$66,0))&lt;=F$1),INDEX('CA Standards and Followers'!#REF!,MATCH(F$1,'CA Standards and Followers'!$1:$1,0)),IF(AND(INDEX('CA Standards and Followers'!$D$7:$D$66,MATCH($A28,'CA Standards and Followers'!$A$7:$A$66,0))=1,INDEX('CA Standards and Followers'!$G$7:$G$66,MATCH($A28,'CA Standards and Followers'!$A$7:$A$66,0))&lt;=F$1),INDEX('CA Standards and Followers'!$2:$2,MATCH(F$1,'CA Standards and Followers'!$1:$1,0)),0))</f>
        <v>0</v>
      </c>
      <c r="G28">
        <f>IF(AND(INDEX('CA Standards and Followers'!$E$7:$E$66,MATCH($A28,'CA Standards and Followers'!$A$7:$A$66,0))=1,INDEX('CA Standards and Followers'!$H$7:$H$66,MATCH($A28,'CA Standards and Followers'!$A$7:$A$66,0))&lt;=G$1),INDEX('CA Standards and Followers'!#REF!,MATCH(G$1,'CA Standards and Followers'!$1:$1,0)),IF(AND(INDEX('CA Standards and Followers'!$D$7:$D$66,MATCH($A28,'CA Standards and Followers'!$A$7:$A$66,0))=1,INDEX('CA Standards and Followers'!$G$7:$G$66,MATCH($A28,'CA Standards and Followers'!$A$7:$A$66,0))&lt;=G$1),INDEX('CA Standards and Followers'!$2:$2,MATCH(G$1,'CA Standards and Followers'!$1:$1,0)),0))</f>
        <v>0</v>
      </c>
      <c r="H28">
        <f>IF(AND(INDEX('CA Standards and Followers'!$E$7:$E$66,MATCH($A28,'CA Standards and Followers'!$A$7:$A$66,0))=1,INDEX('CA Standards and Followers'!$H$7:$H$66,MATCH($A28,'CA Standards and Followers'!$A$7:$A$66,0))&lt;=H$1),INDEX('CA Standards and Followers'!#REF!,MATCH(H$1,'CA Standards and Followers'!$1:$1,0)),IF(AND(INDEX('CA Standards and Followers'!$D$7:$D$66,MATCH($A28,'CA Standards and Followers'!$A$7:$A$66,0))=1,INDEX('CA Standards and Followers'!$G$7:$G$66,MATCH($A28,'CA Standards and Followers'!$A$7:$A$66,0))&lt;=H$1),INDEX('CA Standards and Followers'!$2:$2,MATCH(H$1,'CA Standards and Followers'!$1:$1,0)),0))</f>
        <v>0</v>
      </c>
      <c r="I28">
        <f>IF(AND(INDEX('CA Standards and Followers'!$E$7:$E$66,MATCH($A28,'CA Standards and Followers'!$A$7:$A$66,0))=1,INDEX('CA Standards and Followers'!$H$7:$H$66,MATCH($A28,'CA Standards and Followers'!$A$7:$A$66,0))&lt;=I$1),INDEX('CA Standards and Followers'!#REF!,MATCH(I$1,'CA Standards and Followers'!$1:$1,0)),IF(AND(INDEX('CA Standards and Followers'!$D$7:$D$66,MATCH($A28,'CA Standards and Followers'!$A$7:$A$66,0))=1,INDEX('CA Standards and Followers'!$G$7:$G$66,MATCH($A28,'CA Standards and Followers'!$A$7:$A$66,0))&lt;=I$1),INDEX('CA Standards and Followers'!$2:$2,MATCH(I$1,'CA Standards and Followers'!$1:$1,0)),0))</f>
        <v>0</v>
      </c>
      <c r="J28">
        <f>IF(AND(INDEX('CA Standards and Followers'!$E$7:$E$66,MATCH($A28,'CA Standards and Followers'!$A$7:$A$66,0))=1,INDEX('CA Standards and Followers'!$H$7:$H$66,MATCH($A28,'CA Standards and Followers'!$A$7:$A$66,0))&lt;=J$1),INDEX('CA Standards and Followers'!#REF!,MATCH(J$1,'CA Standards and Followers'!$1:$1,0)),IF(AND(INDEX('CA Standards and Followers'!$D$7:$D$66,MATCH($A28,'CA Standards and Followers'!$A$7:$A$66,0))=1,INDEX('CA Standards and Followers'!$G$7:$G$66,MATCH($A28,'CA Standards and Followers'!$A$7:$A$66,0))&lt;=J$1),INDEX('CA Standards and Followers'!$2:$2,MATCH(J$1,'CA Standards and Followers'!$1:$1,0)),0))</f>
        <v>0</v>
      </c>
      <c r="K28" s="39">
        <f>MAX(IFERROR(IF(INDEX('State Map'!$C:$C,MATCH(TRIM('RZSPbS-psgr-ldv'!$A28),'State Map'!$A:$A,0))="Max Ambition",Schedules!G$4,J28),J28),J28)</f>
        <v>0</v>
      </c>
      <c r="L28" s="39">
        <f>MAX(IFERROR(IF(INDEX('State Map'!$C:$C,MATCH(TRIM('RZSPbS-psgr-ldv'!$A28),'State Map'!$A:$A,0))="Max Ambition",Schedules!H$4,K28),K28),K28)</f>
        <v>0</v>
      </c>
      <c r="M28" s="39">
        <f>MAX(IFERROR(IF(INDEX('State Map'!$C:$C,MATCH(TRIM('RZSPbS-psgr-ldv'!$A28),'State Map'!$A:$A,0))="Max Ambition",Schedules!I$4,L28),L28),L28)</f>
        <v>0</v>
      </c>
      <c r="N28" s="39">
        <f>MAX(IFERROR(IF(INDEX('State Map'!$C:$C,MATCH(TRIM('RZSPbS-psgr-ldv'!$A28),'State Map'!$A:$A,0))="Max Ambition",Schedules!J$4,M28),M28),M28)</f>
        <v>0</v>
      </c>
      <c r="O28" s="39">
        <f>MAX(IFERROR(IF(INDEX('State Map'!$C:$C,MATCH(TRIM('RZSPbS-psgr-ldv'!$A28),'State Map'!$A:$A,0))="Max Ambition",Schedules!K$4,N28),N28),N28)</f>
        <v>0</v>
      </c>
      <c r="P28" s="39">
        <f>MAX(IFERROR(IF(INDEX('State Map'!$C:$C,MATCH(TRIM('RZSPbS-psgr-ldv'!$A28),'State Map'!$A:$A,0))="Max Ambition",Schedules!L$4,O28),O28),O28)</f>
        <v>0</v>
      </c>
      <c r="Q28" s="39">
        <f>MAX(IFERROR(IF(INDEX('State Map'!$C:$C,MATCH(TRIM('RZSPbS-psgr-ldv'!$A28),'State Map'!$A:$A,0))="Max Ambition",Schedules!M$4,P28),P28),P28)</f>
        <v>0</v>
      </c>
      <c r="R28" s="39">
        <f>MAX(IFERROR(IF(INDEX('State Map'!$C:$C,MATCH(TRIM('RZSPbS-psgr-ldv'!$A28),'State Map'!$A:$A,0))="Max Ambition",Schedules!N$4,Q28),Q28),Q28)</f>
        <v>0</v>
      </c>
      <c r="S28" s="39">
        <f>MAX(IFERROR(IF(INDEX('State Map'!$C:$C,MATCH(TRIM('RZSPbS-psgr-ldv'!$A28),'State Map'!$A:$A,0))="Max Ambition",Schedules!O$4,R28),R28),R28)</f>
        <v>0</v>
      </c>
      <c r="T28" s="39">
        <f>MAX(IFERROR(IF(INDEX('State Map'!$C:$C,MATCH(TRIM('RZSPbS-psgr-ldv'!$A28),'State Map'!$A:$A,0))="Max Ambition",Schedules!P$4,S28),S28),S28)</f>
        <v>0</v>
      </c>
      <c r="U28" s="39">
        <f>MAX(IFERROR(IF(INDEX('State Map'!$C:$C,MATCH(TRIM('RZSPbS-psgr-ldv'!$A28),'State Map'!$A:$A,0))="Max Ambition",Schedules!Q$4,T28),T28),T28)</f>
        <v>0</v>
      </c>
      <c r="V28" s="39">
        <f>MAX(IFERROR(IF(INDEX('State Map'!$C:$C,MATCH(TRIM('RZSPbS-psgr-ldv'!$A28),'State Map'!$A:$A,0))="Max Ambition",Schedules!R$4,U28),U28),U28)</f>
        <v>0</v>
      </c>
      <c r="W28" s="39">
        <f>MAX(IFERROR(IF(INDEX('State Map'!$C:$C,MATCH(TRIM('RZSPbS-psgr-ldv'!$A28),'State Map'!$A:$A,0))="Max Ambition",Schedules!S$4,V28),V28),V28)</f>
        <v>0</v>
      </c>
      <c r="X28" s="39">
        <f>MAX(IFERROR(IF(INDEX('State Map'!$C:$C,MATCH(TRIM('RZSPbS-psgr-ldv'!$A28),'State Map'!$A:$A,0))="Max Ambition",Schedules!T$4,W28),W28),W28)</f>
        <v>0</v>
      </c>
      <c r="Y28" s="39">
        <f>MAX(IFERROR(IF(INDEX('State Map'!$C:$C,MATCH(TRIM('RZSPbS-psgr-ldv'!$A28),'State Map'!$A:$A,0))="Max Ambition",Schedules!U$4,X28),X28),X28)</f>
        <v>0</v>
      </c>
      <c r="Z28" s="39">
        <f>MAX(IFERROR(IF(INDEX('State Map'!$C:$C,MATCH(TRIM('RZSPbS-psgr-ldv'!$A28),'State Map'!$A:$A,0))="Max Ambition",Schedules!V$4,Y28),Y28),Y28)</f>
        <v>0</v>
      </c>
      <c r="AA28" s="39">
        <f>MAX(IFERROR(IF(INDEX('State Map'!$C:$C,MATCH(TRIM('RZSPbS-psgr-ldv'!$A28),'State Map'!$A:$A,0))="Max Ambition",Schedules!W$4,Z28),Z28),Z28)</f>
        <v>0</v>
      </c>
      <c r="AB28" s="39">
        <f>MAX(IFERROR(IF(INDEX('State Map'!$C:$C,MATCH(TRIM('RZSPbS-psgr-ldv'!$A28),'State Map'!$A:$A,0))="Max Ambition",Schedules!X$4,AA28),AA28),AA28)</f>
        <v>0</v>
      </c>
      <c r="AC28" s="39">
        <f>MAX(IFERROR(IF(INDEX('State Map'!$C:$C,MATCH(TRIM('RZSPbS-psgr-ldv'!$A28),'State Map'!$A:$A,0))="Max Ambition",Schedules!Y$4,AB28),AB28),AB28)</f>
        <v>0</v>
      </c>
      <c r="AD28" s="39">
        <f>MAX(IFERROR(IF(INDEX('State Map'!$C:$C,MATCH(TRIM('RZSPbS-psgr-ldv'!$A28),'State Map'!$A:$A,0))="Max Ambition",Schedules!Z$4,AC28),AC28),AC28)</f>
        <v>0</v>
      </c>
      <c r="AE28" s="39">
        <f>MAX(IFERROR(IF(INDEX('State Map'!$C:$C,MATCH(TRIM('RZSPbS-psgr-ldv'!$A28),'State Map'!$A:$A,0))="Max Ambition",Schedules!AA$4,AD28),AD28),AD28)</f>
        <v>0</v>
      </c>
      <c r="AF28" s="39">
        <f>MAX(IFERROR(IF(INDEX('State Map'!$C:$C,MATCH(TRIM('RZSPbS-psgr-ldv'!$A28),'State Map'!$A:$A,0))="Max Ambition",Schedules!AB$4,AE28),AE28),AE28)</f>
        <v>0</v>
      </c>
    </row>
    <row r="29" spans="1:32" x14ac:dyDescent="0.25">
      <c r="A29" t="s">
        <v>28</v>
      </c>
      <c r="B29">
        <f>IF(AND(INDEX('CA Standards and Followers'!$E$7:$E$66,MATCH($A29,'CA Standards and Followers'!$A$7:$A$66,0))=1,INDEX('CA Standards and Followers'!$H$7:$H$66,MATCH($A29,'CA Standards and Followers'!$A$7:$A$66,0))&lt;=B$1),INDEX('CA Standards and Followers'!#REF!,MATCH(B$1,'CA Standards and Followers'!$1:$1,0)),IF(AND(INDEX('CA Standards and Followers'!$D$7:$D$66,MATCH($A29,'CA Standards and Followers'!$A$7:$A$66,0))=1,INDEX('CA Standards and Followers'!$G$7:$G$66,MATCH($A29,'CA Standards and Followers'!$A$7:$A$66,0))&lt;=B$1),INDEX('CA Standards and Followers'!$2:$2,MATCH(B$1,'CA Standards and Followers'!$1:$1,0)),0))</f>
        <v>0</v>
      </c>
      <c r="C29">
        <f>IF(AND(INDEX('CA Standards and Followers'!$E$7:$E$66,MATCH($A29,'CA Standards and Followers'!$A$7:$A$66,0))=1,INDEX('CA Standards and Followers'!$H$7:$H$66,MATCH($A29,'CA Standards and Followers'!$A$7:$A$66,0))&lt;=C$1),INDEX('CA Standards and Followers'!#REF!,MATCH(C$1,'CA Standards and Followers'!$1:$1,0)),IF(AND(INDEX('CA Standards and Followers'!$D$7:$D$66,MATCH($A29,'CA Standards and Followers'!$A$7:$A$66,0))=1,INDEX('CA Standards and Followers'!$G$7:$G$66,MATCH($A29,'CA Standards and Followers'!$A$7:$A$66,0))&lt;=C$1),INDEX('CA Standards and Followers'!$2:$2,MATCH(C$1,'CA Standards and Followers'!$1:$1,0)),0))</f>
        <v>0</v>
      </c>
      <c r="D29">
        <f>IF(AND(INDEX('CA Standards and Followers'!$E$7:$E$66,MATCH($A29,'CA Standards and Followers'!$A$7:$A$66,0))=1,INDEX('CA Standards and Followers'!$H$7:$H$66,MATCH($A29,'CA Standards and Followers'!$A$7:$A$66,0))&lt;=D$1),INDEX('CA Standards and Followers'!#REF!,MATCH(D$1,'CA Standards and Followers'!$1:$1,0)),IF(AND(INDEX('CA Standards and Followers'!$D$7:$D$66,MATCH($A29,'CA Standards and Followers'!$A$7:$A$66,0))=1,INDEX('CA Standards and Followers'!$G$7:$G$66,MATCH($A29,'CA Standards and Followers'!$A$7:$A$66,0))&lt;=D$1),INDEX('CA Standards and Followers'!$2:$2,MATCH(D$1,'CA Standards and Followers'!$1:$1,0)),0))</f>
        <v>0</v>
      </c>
      <c r="E29">
        <f>IF(AND(INDEX('CA Standards and Followers'!$E$7:$E$66,MATCH($A29,'CA Standards and Followers'!$A$7:$A$66,0))=1,INDEX('CA Standards and Followers'!$H$7:$H$66,MATCH($A29,'CA Standards and Followers'!$A$7:$A$66,0))&lt;=E$1),INDEX('CA Standards and Followers'!#REF!,MATCH(E$1,'CA Standards and Followers'!$1:$1,0)),IF(AND(INDEX('CA Standards and Followers'!$D$7:$D$66,MATCH($A29,'CA Standards and Followers'!$A$7:$A$66,0))=1,INDEX('CA Standards and Followers'!$G$7:$G$66,MATCH($A29,'CA Standards and Followers'!$A$7:$A$66,0))&lt;=E$1),INDEX('CA Standards and Followers'!$2:$2,MATCH(E$1,'CA Standards and Followers'!$1:$1,0)),0))</f>
        <v>0</v>
      </c>
      <c r="F29">
        <f>IF(AND(INDEX('CA Standards and Followers'!$E$7:$E$66,MATCH($A29,'CA Standards and Followers'!$A$7:$A$66,0))=1,INDEX('CA Standards and Followers'!$H$7:$H$66,MATCH($A29,'CA Standards and Followers'!$A$7:$A$66,0))&lt;=F$1),INDEX('CA Standards and Followers'!#REF!,MATCH(F$1,'CA Standards and Followers'!$1:$1,0)),IF(AND(INDEX('CA Standards and Followers'!$D$7:$D$66,MATCH($A29,'CA Standards and Followers'!$A$7:$A$66,0))=1,INDEX('CA Standards and Followers'!$G$7:$G$66,MATCH($A29,'CA Standards and Followers'!$A$7:$A$66,0))&lt;=F$1),INDEX('CA Standards and Followers'!$2:$2,MATCH(F$1,'CA Standards and Followers'!$1:$1,0)),0))</f>
        <v>0</v>
      </c>
      <c r="G29">
        <f>IF(AND(INDEX('CA Standards and Followers'!$E$7:$E$66,MATCH($A29,'CA Standards and Followers'!$A$7:$A$66,0))=1,INDEX('CA Standards and Followers'!$H$7:$H$66,MATCH($A29,'CA Standards and Followers'!$A$7:$A$66,0))&lt;=G$1),INDEX('CA Standards and Followers'!#REF!,MATCH(G$1,'CA Standards and Followers'!$1:$1,0)),IF(AND(INDEX('CA Standards and Followers'!$D$7:$D$66,MATCH($A29,'CA Standards and Followers'!$A$7:$A$66,0))=1,INDEX('CA Standards and Followers'!$G$7:$G$66,MATCH($A29,'CA Standards and Followers'!$A$7:$A$66,0))&lt;=G$1),INDEX('CA Standards and Followers'!$2:$2,MATCH(G$1,'CA Standards and Followers'!$1:$1,0)),0))</f>
        <v>0</v>
      </c>
      <c r="H29">
        <f>IF(AND(INDEX('CA Standards and Followers'!$E$7:$E$66,MATCH($A29,'CA Standards and Followers'!$A$7:$A$66,0))=1,INDEX('CA Standards and Followers'!$H$7:$H$66,MATCH($A29,'CA Standards and Followers'!$A$7:$A$66,0))&lt;=H$1),INDEX('CA Standards and Followers'!#REF!,MATCH(H$1,'CA Standards and Followers'!$1:$1,0)),IF(AND(INDEX('CA Standards and Followers'!$D$7:$D$66,MATCH($A29,'CA Standards and Followers'!$A$7:$A$66,0))=1,INDEX('CA Standards and Followers'!$G$7:$G$66,MATCH($A29,'CA Standards and Followers'!$A$7:$A$66,0))&lt;=H$1),INDEX('CA Standards and Followers'!$2:$2,MATCH(H$1,'CA Standards and Followers'!$1:$1,0)),0))</f>
        <v>0</v>
      </c>
      <c r="I29">
        <f>IF(AND(INDEX('CA Standards and Followers'!$E$7:$E$66,MATCH($A29,'CA Standards and Followers'!$A$7:$A$66,0))=1,INDEX('CA Standards and Followers'!$H$7:$H$66,MATCH($A29,'CA Standards and Followers'!$A$7:$A$66,0))&lt;=I$1),INDEX('CA Standards and Followers'!#REF!,MATCH(I$1,'CA Standards and Followers'!$1:$1,0)),IF(AND(INDEX('CA Standards and Followers'!$D$7:$D$66,MATCH($A29,'CA Standards and Followers'!$A$7:$A$66,0))=1,INDEX('CA Standards and Followers'!$G$7:$G$66,MATCH($A29,'CA Standards and Followers'!$A$7:$A$66,0))&lt;=I$1),INDEX('CA Standards and Followers'!$2:$2,MATCH(I$1,'CA Standards and Followers'!$1:$1,0)),0))</f>
        <v>0</v>
      </c>
      <c r="J29">
        <f>IF(AND(INDEX('CA Standards and Followers'!$E$7:$E$66,MATCH($A29,'CA Standards and Followers'!$A$7:$A$66,0))=1,INDEX('CA Standards and Followers'!$H$7:$H$66,MATCH($A29,'CA Standards and Followers'!$A$7:$A$66,0))&lt;=J$1),INDEX('CA Standards and Followers'!#REF!,MATCH(J$1,'CA Standards and Followers'!$1:$1,0)),IF(AND(INDEX('CA Standards and Followers'!$D$7:$D$66,MATCH($A29,'CA Standards and Followers'!$A$7:$A$66,0))=1,INDEX('CA Standards and Followers'!$G$7:$G$66,MATCH($A29,'CA Standards and Followers'!$A$7:$A$66,0))&lt;=J$1),INDEX('CA Standards and Followers'!$2:$2,MATCH(J$1,'CA Standards and Followers'!$1:$1,0)),0))</f>
        <v>0</v>
      </c>
      <c r="K29" s="39">
        <f>MAX(IFERROR(IF(INDEX('State Map'!$C:$C,MATCH(TRIM('RZSPbS-psgr-ldv'!$A29),'State Map'!$A:$A,0))="Max Ambition",Schedules!G$4,J29),J29),J29)</f>
        <v>0</v>
      </c>
      <c r="L29" s="39">
        <f>MAX(IFERROR(IF(INDEX('State Map'!$C:$C,MATCH(TRIM('RZSPbS-psgr-ldv'!$A29),'State Map'!$A:$A,0))="Max Ambition",Schedules!H$4,K29),K29),K29)</f>
        <v>0</v>
      </c>
      <c r="M29" s="39">
        <f>MAX(IFERROR(IF(INDEX('State Map'!$C:$C,MATCH(TRIM('RZSPbS-psgr-ldv'!$A29),'State Map'!$A:$A,0))="Max Ambition",Schedules!I$4,L29),L29),L29)</f>
        <v>0</v>
      </c>
      <c r="N29" s="39">
        <f>MAX(IFERROR(IF(INDEX('State Map'!$C:$C,MATCH(TRIM('RZSPbS-psgr-ldv'!$A29),'State Map'!$A:$A,0))="Max Ambition",Schedules!J$4,M29),M29),M29)</f>
        <v>0</v>
      </c>
      <c r="O29" s="39">
        <f>MAX(IFERROR(IF(INDEX('State Map'!$C:$C,MATCH(TRIM('RZSPbS-psgr-ldv'!$A29),'State Map'!$A:$A,0))="Max Ambition",Schedules!K$4,N29),N29),N29)</f>
        <v>0</v>
      </c>
      <c r="P29" s="39">
        <f>MAX(IFERROR(IF(INDEX('State Map'!$C:$C,MATCH(TRIM('RZSPbS-psgr-ldv'!$A29),'State Map'!$A:$A,0))="Max Ambition",Schedules!L$4,O29),O29),O29)</f>
        <v>0</v>
      </c>
      <c r="Q29" s="39">
        <f>MAX(IFERROR(IF(INDEX('State Map'!$C:$C,MATCH(TRIM('RZSPbS-psgr-ldv'!$A29),'State Map'!$A:$A,0))="Max Ambition",Schedules!M$4,P29),P29),P29)</f>
        <v>0</v>
      </c>
      <c r="R29" s="39">
        <f>MAX(IFERROR(IF(INDEX('State Map'!$C:$C,MATCH(TRIM('RZSPbS-psgr-ldv'!$A29),'State Map'!$A:$A,0))="Max Ambition",Schedules!N$4,Q29),Q29),Q29)</f>
        <v>0</v>
      </c>
      <c r="S29" s="39">
        <f>MAX(IFERROR(IF(INDEX('State Map'!$C:$C,MATCH(TRIM('RZSPbS-psgr-ldv'!$A29),'State Map'!$A:$A,0))="Max Ambition",Schedules!O$4,R29),R29),R29)</f>
        <v>0</v>
      </c>
      <c r="T29" s="39">
        <f>MAX(IFERROR(IF(INDEX('State Map'!$C:$C,MATCH(TRIM('RZSPbS-psgr-ldv'!$A29),'State Map'!$A:$A,0))="Max Ambition",Schedules!P$4,S29),S29),S29)</f>
        <v>0</v>
      </c>
      <c r="U29" s="39">
        <f>MAX(IFERROR(IF(INDEX('State Map'!$C:$C,MATCH(TRIM('RZSPbS-psgr-ldv'!$A29),'State Map'!$A:$A,0))="Max Ambition",Schedules!Q$4,T29),T29),T29)</f>
        <v>0</v>
      </c>
      <c r="V29" s="39">
        <f>MAX(IFERROR(IF(INDEX('State Map'!$C:$C,MATCH(TRIM('RZSPbS-psgr-ldv'!$A29),'State Map'!$A:$A,0))="Max Ambition",Schedules!R$4,U29),U29),U29)</f>
        <v>0</v>
      </c>
      <c r="W29" s="39">
        <f>MAX(IFERROR(IF(INDEX('State Map'!$C:$C,MATCH(TRIM('RZSPbS-psgr-ldv'!$A29),'State Map'!$A:$A,0))="Max Ambition",Schedules!S$4,V29),V29),V29)</f>
        <v>0</v>
      </c>
      <c r="X29" s="39">
        <f>MAX(IFERROR(IF(INDEX('State Map'!$C:$C,MATCH(TRIM('RZSPbS-psgr-ldv'!$A29),'State Map'!$A:$A,0))="Max Ambition",Schedules!T$4,W29),W29),W29)</f>
        <v>0</v>
      </c>
      <c r="Y29" s="39">
        <f>MAX(IFERROR(IF(INDEX('State Map'!$C:$C,MATCH(TRIM('RZSPbS-psgr-ldv'!$A29),'State Map'!$A:$A,0))="Max Ambition",Schedules!U$4,X29),X29),X29)</f>
        <v>0</v>
      </c>
      <c r="Z29" s="39">
        <f>MAX(IFERROR(IF(INDEX('State Map'!$C:$C,MATCH(TRIM('RZSPbS-psgr-ldv'!$A29),'State Map'!$A:$A,0))="Max Ambition",Schedules!V$4,Y29),Y29),Y29)</f>
        <v>0</v>
      </c>
      <c r="AA29" s="39">
        <f>MAX(IFERROR(IF(INDEX('State Map'!$C:$C,MATCH(TRIM('RZSPbS-psgr-ldv'!$A29),'State Map'!$A:$A,0))="Max Ambition",Schedules!W$4,Z29),Z29),Z29)</f>
        <v>0</v>
      </c>
      <c r="AB29" s="39">
        <f>MAX(IFERROR(IF(INDEX('State Map'!$C:$C,MATCH(TRIM('RZSPbS-psgr-ldv'!$A29),'State Map'!$A:$A,0))="Max Ambition",Schedules!X$4,AA29),AA29),AA29)</f>
        <v>0</v>
      </c>
      <c r="AC29" s="39">
        <f>MAX(IFERROR(IF(INDEX('State Map'!$C:$C,MATCH(TRIM('RZSPbS-psgr-ldv'!$A29),'State Map'!$A:$A,0))="Max Ambition",Schedules!Y$4,AB29),AB29),AB29)</f>
        <v>0</v>
      </c>
      <c r="AD29" s="39">
        <f>MAX(IFERROR(IF(INDEX('State Map'!$C:$C,MATCH(TRIM('RZSPbS-psgr-ldv'!$A29),'State Map'!$A:$A,0))="Max Ambition",Schedules!Z$4,AC29),AC29),AC29)</f>
        <v>0</v>
      </c>
      <c r="AE29" s="39">
        <f>MAX(IFERROR(IF(INDEX('State Map'!$C:$C,MATCH(TRIM('RZSPbS-psgr-ldv'!$A29),'State Map'!$A:$A,0))="Max Ambition",Schedules!AA$4,AD29),AD29),AD29)</f>
        <v>0</v>
      </c>
      <c r="AF29" s="39">
        <f>MAX(IFERROR(IF(INDEX('State Map'!$C:$C,MATCH(TRIM('RZSPbS-psgr-ldv'!$A29),'State Map'!$A:$A,0))="Max Ambition",Schedules!AB$4,AE29),AE29),AE29)</f>
        <v>0</v>
      </c>
    </row>
    <row r="30" spans="1:32" x14ac:dyDescent="0.25">
      <c r="A30" t="s">
        <v>29</v>
      </c>
      <c r="B30">
        <f>IF(AND(INDEX('CA Standards and Followers'!$E$7:$E$66,MATCH($A30,'CA Standards and Followers'!$A$7:$A$66,0))=1,INDEX('CA Standards and Followers'!$H$7:$H$66,MATCH($A30,'CA Standards and Followers'!$A$7:$A$66,0))&lt;=B$1),INDEX('CA Standards and Followers'!#REF!,MATCH(B$1,'CA Standards and Followers'!$1:$1,0)),IF(AND(INDEX('CA Standards and Followers'!$D$7:$D$66,MATCH($A30,'CA Standards and Followers'!$A$7:$A$66,0))=1,INDEX('CA Standards and Followers'!$G$7:$G$66,MATCH($A30,'CA Standards and Followers'!$A$7:$A$66,0))&lt;=B$1),INDEX('CA Standards and Followers'!$2:$2,MATCH(B$1,'CA Standards and Followers'!$1:$1,0)),0))</f>
        <v>0</v>
      </c>
      <c r="C30">
        <f>IF(AND(INDEX('CA Standards and Followers'!$E$7:$E$66,MATCH($A30,'CA Standards and Followers'!$A$7:$A$66,0))=1,INDEX('CA Standards and Followers'!$H$7:$H$66,MATCH($A30,'CA Standards and Followers'!$A$7:$A$66,0))&lt;=C$1),INDEX('CA Standards and Followers'!#REF!,MATCH(C$1,'CA Standards and Followers'!$1:$1,0)),IF(AND(INDEX('CA Standards and Followers'!$D$7:$D$66,MATCH($A30,'CA Standards and Followers'!$A$7:$A$66,0))=1,INDEX('CA Standards and Followers'!$G$7:$G$66,MATCH($A30,'CA Standards and Followers'!$A$7:$A$66,0))&lt;=C$1),INDEX('CA Standards and Followers'!$2:$2,MATCH(C$1,'CA Standards and Followers'!$1:$1,0)),0))</f>
        <v>0</v>
      </c>
      <c r="D30">
        <f>IF(AND(INDEX('CA Standards and Followers'!$E$7:$E$66,MATCH($A30,'CA Standards and Followers'!$A$7:$A$66,0))=1,INDEX('CA Standards and Followers'!$H$7:$H$66,MATCH($A30,'CA Standards and Followers'!$A$7:$A$66,0))&lt;=D$1),INDEX('CA Standards and Followers'!#REF!,MATCH(D$1,'CA Standards and Followers'!$1:$1,0)),IF(AND(INDEX('CA Standards and Followers'!$D$7:$D$66,MATCH($A30,'CA Standards and Followers'!$A$7:$A$66,0))=1,INDEX('CA Standards and Followers'!$G$7:$G$66,MATCH($A30,'CA Standards and Followers'!$A$7:$A$66,0))&lt;=D$1),INDEX('CA Standards and Followers'!$2:$2,MATCH(D$1,'CA Standards and Followers'!$1:$1,0)),0))</f>
        <v>0</v>
      </c>
      <c r="E30">
        <f>IF(AND(INDEX('CA Standards and Followers'!$E$7:$E$66,MATCH($A30,'CA Standards and Followers'!$A$7:$A$66,0))=1,INDEX('CA Standards and Followers'!$H$7:$H$66,MATCH($A30,'CA Standards and Followers'!$A$7:$A$66,0))&lt;=E$1),INDEX('CA Standards and Followers'!#REF!,MATCH(E$1,'CA Standards and Followers'!$1:$1,0)),IF(AND(INDEX('CA Standards and Followers'!$D$7:$D$66,MATCH($A30,'CA Standards and Followers'!$A$7:$A$66,0))=1,INDEX('CA Standards and Followers'!$G$7:$G$66,MATCH($A30,'CA Standards and Followers'!$A$7:$A$66,0))&lt;=E$1),INDEX('CA Standards and Followers'!$2:$2,MATCH(E$1,'CA Standards and Followers'!$1:$1,0)),0))</f>
        <v>0</v>
      </c>
      <c r="F30">
        <f>IF(AND(INDEX('CA Standards and Followers'!$E$7:$E$66,MATCH($A30,'CA Standards and Followers'!$A$7:$A$66,0))=1,INDEX('CA Standards and Followers'!$H$7:$H$66,MATCH($A30,'CA Standards and Followers'!$A$7:$A$66,0))&lt;=F$1),INDEX('CA Standards and Followers'!#REF!,MATCH(F$1,'CA Standards and Followers'!$1:$1,0)),IF(AND(INDEX('CA Standards and Followers'!$D$7:$D$66,MATCH($A30,'CA Standards and Followers'!$A$7:$A$66,0))=1,INDEX('CA Standards and Followers'!$G$7:$G$66,MATCH($A30,'CA Standards and Followers'!$A$7:$A$66,0))&lt;=F$1),INDEX('CA Standards and Followers'!$2:$2,MATCH(F$1,'CA Standards and Followers'!$1:$1,0)),0))</f>
        <v>0</v>
      </c>
      <c r="G30">
        <f>IF(AND(INDEX('CA Standards and Followers'!$E$7:$E$66,MATCH($A30,'CA Standards and Followers'!$A$7:$A$66,0))=1,INDEX('CA Standards and Followers'!$H$7:$H$66,MATCH($A30,'CA Standards and Followers'!$A$7:$A$66,0))&lt;=G$1),INDEX('CA Standards and Followers'!#REF!,MATCH(G$1,'CA Standards and Followers'!$1:$1,0)),IF(AND(INDEX('CA Standards and Followers'!$D$7:$D$66,MATCH($A30,'CA Standards and Followers'!$A$7:$A$66,0))=1,INDEX('CA Standards and Followers'!$G$7:$G$66,MATCH($A30,'CA Standards and Followers'!$A$7:$A$66,0))&lt;=G$1),INDEX('CA Standards and Followers'!$2:$2,MATCH(G$1,'CA Standards and Followers'!$1:$1,0)),0))</f>
        <v>0.08</v>
      </c>
      <c r="H30">
        <f>IF(AND(INDEX('CA Standards and Followers'!$E$7:$E$66,MATCH($A30,'CA Standards and Followers'!$A$7:$A$66,0))=1,INDEX('CA Standards and Followers'!$H$7:$H$66,MATCH($A30,'CA Standards and Followers'!$A$7:$A$66,0))&lt;=H$1),INDEX('CA Standards and Followers'!#REF!,MATCH(H$1,'CA Standards and Followers'!$1:$1,0)),IF(AND(INDEX('CA Standards and Followers'!$D$7:$D$66,MATCH($A30,'CA Standards and Followers'!$A$7:$A$66,0))=1,INDEX('CA Standards and Followers'!$G$7:$G$66,MATCH($A30,'CA Standards and Followers'!$A$7:$A$66,0))&lt;=H$1),INDEX('CA Standards and Followers'!$2:$2,MATCH(H$1,'CA Standards and Followers'!$1:$1,0)),0))</f>
        <v>0</v>
      </c>
      <c r="I30">
        <f>IF(AND(INDEX('CA Standards and Followers'!$E$7:$E$66,MATCH($A30,'CA Standards and Followers'!$A$7:$A$66,0))=1,INDEX('CA Standards and Followers'!$H$7:$H$66,MATCH($A30,'CA Standards and Followers'!$A$7:$A$66,0))&lt;=I$1),INDEX('CA Standards and Followers'!#REF!,MATCH(I$1,'CA Standards and Followers'!$1:$1,0)),IF(AND(INDEX('CA Standards and Followers'!$D$7:$D$66,MATCH($A30,'CA Standards and Followers'!$A$7:$A$66,0))=1,INDEX('CA Standards and Followers'!$G$7:$G$66,MATCH($A30,'CA Standards and Followers'!$A$7:$A$66,0))&lt;=I$1),INDEX('CA Standards and Followers'!$2:$2,MATCH(I$1,'CA Standards and Followers'!$1:$1,0)),0))</f>
        <v>0</v>
      </c>
      <c r="J30">
        <f>IF(AND(INDEX('CA Standards and Followers'!$E$7:$E$66,MATCH($A30,'CA Standards and Followers'!$A$7:$A$66,0))=1,INDEX('CA Standards and Followers'!$H$7:$H$66,MATCH($A30,'CA Standards and Followers'!$A$7:$A$66,0))&lt;=J$1),INDEX('CA Standards and Followers'!#REF!,MATCH(J$1,'CA Standards and Followers'!$1:$1,0)),IF(AND(INDEX('CA Standards and Followers'!$D$7:$D$66,MATCH($A30,'CA Standards and Followers'!$A$7:$A$66,0))=1,INDEX('CA Standards and Followers'!$G$7:$G$66,MATCH($A30,'CA Standards and Followers'!$A$7:$A$66,0))&lt;=J$1),INDEX('CA Standards and Followers'!$2:$2,MATCH(J$1,'CA Standards and Followers'!$1:$1,0)),0))</f>
        <v>0</v>
      </c>
      <c r="K30" s="39">
        <f>MAX(IFERROR(IF(INDEX('State Map'!$C:$C,MATCH(TRIM('RZSPbS-psgr-ldv'!$A30),'State Map'!$A:$A,0))="Max Ambition",Schedules!G$4,J30),J30),J30)</f>
        <v>0</v>
      </c>
      <c r="L30" s="39">
        <f>MAX(IFERROR(IF(INDEX('State Map'!$C:$C,MATCH(TRIM('RZSPbS-psgr-ldv'!$A30),'State Map'!$A:$A,0))="Max Ambition",Schedules!H$4,K30),K30),K30)</f>
        <v>0</v>
      </c>
      <c r="M30" s="39">
        <f>MAX(IFERROR(IF(INDEX('State Map'!$C:$C,MATCH(TRIM('RZSPbS-psgr-ldv'!$A30),'State Map'!$A:$A,0))="Max Ambition",Schedules!I$4,L30),L30),L30)</f>
        <v>0</v>
      </c>
      <c r="N30" s="39">
        <f>MAX(IFERROR(IF(INDEX('State Map'!$C:$C,MATCH(TRIM('RZSPbS-psgr-ldv'!$A30),'State Map'!$A:$A,0))="Max Ambition",Schedules!J$4,M30),M30),M30)</f>
        <v>0</v>
      </c>
      <c r="O30" s="39">
        <f>MAX(IFERROR(IF(INDEX('State Map'!$C:$C,MATCH(TRIM('RZSPbS-psgr-ldv'!$A30),'State Map'!$A:$A,0))="Max Ambition",Schedules!K$4,N30),N30),N30)</f>
        <v>0</v>
      </c>
      <c r="P30" s="39">
        <f>MAX(IFERROR(IF(INDEX('State Map'!$C:$C,MATCH(TRIM('RZSPbS-psgr-ldv'!$A30),'State Map'!$A:$A,0))="Max Ambition",Schedules!L$4,O30),O30),O30)</f>
        <v>0</v>
      </c>
      <c r="Q30" s="39">
        <f>MAX(IFERROR(IF(INDEX('State Map'!$C:$C,MATCH(TRIM('RZSPbS-psgr-ldv'!$A30),'State Map'!$A:$A,0))="Max Ambition",Schedules!M$4,P30),P30),P30)</f>
        <v>0</v>
      </c>
      <c r="R30" s="39">
        <f>MAX(IFERROR(IF(INDEX('State Map'!$C:$C,MATCH(TRIM('RZSPbS-psgr-ldv'!$A30),'State Map'!$A:$A,0))="Max Ambition",Schedules!N$4,Q30),Q30),Q30)</f>
        <v>0</v>
      </c>
      <c r="S30" s="39">
        <f>MAX(IFERROR(IF(INDEX('State Map'!$C:$C,MATCH(TRIM('RZSPbS-psgr-ldv'!$A30),'State Map'!$A:$A,0))="Max Ambition",Schedules!O$4,R30),R30),R30)</f>
        <v>0</v>
      </c>
      <c r="T30" s="39">
        <f>MAX(IFERROR(IF(INDEX('State Map'!$C:$C,MATCH(TRIM('RZSPbS-psgr-ldv'!$A30),'State Map'!$A:$A,0))="Max Ambition",Schedules!P$4,S30),S30),S30)</f>
        <v>0</v>
      </c>
      <c r="U30" s="39">
        <f>MAX(IFERROR(IF(INDEX('State Map'!$C:$C,MATCH(TRIM('RZSPbS-psgr-ldv'!$A30),'State Map'!$A:$A,0))="Max Ambition",Schedules!Q$4,T30),T30),T30)</f>
        <v>0</v>
      </c>
      <c r="V30" s="39">
        <f>MAX(IFERROR(IF(INDEX('State Map'!$C:$C,MATCH(TRIM('RZSPbS-psgr-ldv'!$A30),'State Map'!$A:$A,0))="Max Ambition",Schedules!R$4,U30),U30),U30)</f>
        <v>0</v>
      </c>
      <c r="W30" s="39">
        <f>MAX(IFERROR(IF(INDEX('State Map'!$C:$C,MATCH(TRIM('RZSPbS-psgr-ldv'!$A30),'State Map'!$A:$A,0))="Max Ambition",Schedules!S$4,V30),V30),V30)</f>
        <v>0</v>
      </c>
      <c r="X30" s="39">
        <f>MAX(IFERROR(IF(INDEX('State Map'!$C:$C,MATCH(TRIM('RZSPbS-psgr-ldv'!$A30),'State Map'!$A:$A,0))="Max Ambition",Schedules!T$4,W30),W30),W30)</f>
        <v>0</v>
      </c>
      <c r="Y30" s="39">
        <f>MAX(IFERROR(IF(INDEX('State Map'!$C:$C,MATCH(TRIM('RZSPbS-psgr-ldv'!$A30),'State Map'!$A:$A,0))="Max Ambition",Schedules!U$4,X30),X30),X30)</f>
        <v>0</v>
      </c>
      <c r="Z30" s="39">
        <f>MAX(IFERROR(IF(INDEX('State Map'!$C:$C,MATCH(TRIM('RZSPbS-psgr-ldv'!$A30),'State Map'!$A:$A,0))="Max Ambition",Schedules!V$4,Y30),Y30),Y30)</f>
        <v>0</v>
      </c>
      <c r="AA30" s="39">
        <f>MAX(IFERROR(IF(INDEX('State Map'!$C:$C,MATCH(TRIM('RZSPbS-psgr-ldv'!$A30),'State Map'!$A:$A,0))="Max Ambition",Schedules!W$4,Z30),Z30),Z30)</f>
        <v>0</v>
      </c>
      <c r="AB30" s="39">
        <f>MAX(IFERROR(IF(INDEX('State Map'!$C:$C,MATCH(TRIM('RZSPbS-psgr-ldv'!$A30),'State Map'!$A:$A,0))="Max Ambition",Schedules!X$4,AA30),AA30),AA30)</f>
        <v>0</v>
      </c>
      <c r="AC30" s="39">
        <f>MAX(IFERROR(IF(INDEX('State Map'!$C:$C,MATCH(TRIM('RZSPbS-psgr-ldv'!$A30),'State Map'!$A:$A,0))="Max Ambition",Schedules!Y$4,AB30),AB30),AB30)</f>
        <v>0</v>
      </c>
      <c r="AD30" s="39">
        <f>MAX(IFERROR(IF(INDEX('State Map'!$C:$C,MATCH(TRIM('RZSPbS-psgr-ldv'!$A30),'State Map'!$A:$A,0))="Max Ambition",Schedules!Z$4,AC30),AC30),AC30)</f>
        <v>0</v>
      </c>
      <c r="AE30" s="39">
        <f>MAX(IFERROR(IF(INDEX('State Map'!$C:$C,MATCH(TRIM('RZSPbS-psgr-ldv'!$A30),'State Map'!$A:$A,0))="Max Ambition",Schedules!AA$4,AD30),AD30),AD30)</f>
        <v>0</v>
      </c>
      <c r="AF30" s="39">
        <f>MAX(IFERROR(IF(INDEX('State Map'!$C:$C,MATCH(TRIM('RZSPbS-psgr-ldv'!$A30),'State Map'!$A:$A,0))="Max Ambition",Schedules!AB$4,AE30),AE30),AE30)</f>
        <v>0</v>
      </c>
    </row>
    <row r="31" spans="1:32" x14ac:dyDescent="0.25">
      <c r="A31" t="s">
        <v>30</v>
      </c>
      <c r="B31">
        <f>IF(AND(INDEX('CA Standards and Followers'!$E$7:$E$66,MATCH($A31,'CA Standards and Followers'!$A$7:$A$66,0))=1,INDEX('CA Standards and Followers'!$H$7:$H$66,MATCH($A31,'CA Standards and Followers'!$A$7:$A$66,0))&lt;=B$1),INDEX('CA Standards and Followers'!#REF!,MATCH(B$1,'CA Standards and Followers'!$1:$1,0)),IF(AND(INDEX('CA Standards and Followers'!$D$7:$D$66,MATCH($A31,'CA Standards and Followers'!$A$7:$A$66,0))=1,INDEX('CA Standards and Followers'!$G$7:$G$66,MATCH($A31,'CA Standards and Followers'!$A$7:$A$66,0))&lt;=B$1),INDEX('CA Standards and Followers'!$2:$2,MATCH(B$1,'CA Standards and Followers'!$1:$1,0)),0))</f>
        <v>0</v>
      </c>
      <c r="C31">
        <f>IF(AND(INDEX('CA Standards and Followers'!$E$7:$E$66,MATCH($A31,'CA Standards and Followers'!$A$7:$A$66,0))=1,INDEX('CA Standards and Followers'!$H$7:$H$66,MATCH($A31,'CA Standards and Followers'!$A$7:$A$66,0))&lt;=C$1),INDEX('CA Standards and Followers'!#REF!,MATCH(C$1,'CA Standards and Followers'!$1:$1,0)),IF(AND(INDEX('CA Standards and Followers'!$D$7:$D$66,MATCH($A31,'CA Standards and Followers'!$A$7:$A$66,0))=1,INDEX('CA Standards and Followers'!$G$7:$G$66,MATCH($A31,'CA Standards and Followers'!$A$7:$A$66,0))&lt;=C$1),INDEX('CA Standards and Followers'!$2:$2,MATCH(C$1,'CA Standards and Followers'!$1:$1,0)),0))</f>
        <v>0</v>
      </c>
      <c r="D31">
        <f>IF(AND(INDEX('CA Standards and Followers'!$E$7:$E$66,MATCH($A31,'CA Standards and Followers'!$A$7:$A$66,0))=1,INDEX('CA Standards and Followers'!$H$7:$H$66,MATCH($A31,'CA Standards and Followers'!$A$7:$A$66,0))&lt;=D$1),INDEX('CA Standards and Followers'!#REF!,MATCH(D$1,'CA Standards and Followers'!$1:$1,0)),IF(AND(INDEX('CA Standards and Followers'!$D$7:$D$66,MATCH($A31,'CA Standards and Followers'!$A$7:$A$66,0))=1,INDEX('CA Standards and Followers'!$G$7:$G$66,MATCH($A31,'CA Standards and Followers'!$A$7:$A$66,0))&lt;=D$1),INDEX('CA Standards and Followers'!$2:$2,MATCH(D$1,'CA Standards and Followers'!$1:$1,0)),0))</f>
        <v>0</v>
      </c>
      <c r="E31">
        <f>IF(AND(INDEX('CA Standards and Followers'!$E$7:$E$66,MATCH($A31,'CA Standards and Followers'!$A$7:$A$66,0))=1,INDEX('CA Standards and Followers'!$H$7:$H$66,MATCH($A31,'CA Standards and Followers'!$A$7:$A$66,0))&lt;=E$1),INDEX('CA Standards and Followers'!#REF!,MATCH(E$1,'CA Standards and Followers'!$1:$1,0)),IF(AND(INDEX('CA Standards and Followers'!$D$7:$D$66,MATCH($A31,'CA Standards and Followers'!$A$7:$A$66,0))=1,INDEX('CA Standards and Followers'!$G$7:$G$66,MATCH($A31,'CA Standards and Followers'!$A$7:$A$66,0))&lt;=E$1),INDEX('CA Standards and Followers'!$2:$2,MATCH(E$1,'CA Standards and Followers'!$1:$1,0)),0))</f>
        <v>0</v>
      </c>
      <c r="F31">
        <f>IF(AND(INDEX('CA Standards and Followers'!$E$7:$E$66,MATCH($A31,'CA Standards and Followers'!$A$7:$A$66,0))=1,INDEX('CA Standards and Followers'!$H$7:$H$66,MATCH($A31,'CA Standards and Followers'!$A$7:$A$66,0))&lt;=F$1),INDEX('CA Standards and Followers'!#REF!,MATCH(F$1,'CA Standards and Followers'!$1:$1,0)),IF(AND(INDEX('CA Standards and Followers'!$D$7:$D$66,MATCH($A31,'CA Standards and Followers'!$A$7:$A$66,0))=1,INDEX('CA Standards and Followers'!$G$7:$G$66,MATCH($A31,'CA Standards and Followers'!$A$7:$A$66,0))&lt;=F$1),INDEX('CA Standards and Followers'!$2:$2,MATCH(F$1,'CA Standards and Followers'!$1:$1,0)),0))</f>
        <v>0</v>
      </c>
      <c r="G31">
        <f>IF(AND(INDEX('CA Standards and Followers'!$E$7:$E$66,MATCH($A31,'CA Standards and Followers'!$A$7:$A$66,0))=1,INDEX('CA Standards and Followers'!$H$7:$H$66,MATCH($A31,'CA Standards and Followers'!$A$7:$A$66,0))&lt;=G$1),INDEX('CA Standards and Followers'!#REF!,MATCH(G$1,'CA Standards and Followers'!$1:$1,0)),IF(AND(INDEX('CA Standards and Followers'!$D$7:$D$66,MATCH($A31,'CA Standards and Followers'!$A$7:$A$66,0))=1,INDEX('CA Standards and Followers'!$G$7:$G$66,MATCH($A31,'CA Standards and Followers'!$A$7:$A$66,0))&lt;=G$1),INDEX('CA Standards and Followers'!$2:$2,MATCH(G$1,'CA Standards and Followers'!$1:$1,0)),0))</f>
        <v>0</v>
      </c>
      <c r="H31">
        <f>IF(AND(INDEX('CA Standards and Followers'!$E$7:$E$66,MATCH($A31,'CA Standards and Followers'!$A$7:$A$66,0))=1,INDEX('CA Standards and Followers'!$H$7:$H$66,MATCH($A31,'CA Standards and Followers'!$A$7:$A$66,0))&lt;=H$1),INDEX('CA Standards and Followers'!#REF!,MATCH(H$1,'CA Standards and Followers'!$1:$1,0)),IF(AND(INDEX('CA Standards and Followers'!$D$7:$D$66,MATCH($A31,'CA Standards and Followers'!$A$7:$A$66,0))=1,INDEX('CA Standards and Followers'!$G$7:$G$66,MATCH($A31,'CA Standards and Followers'!$A$7:$A$66,0))&lt;=H$1),INDEX('CA Standards and Followers'!$2:$2,MATCH(H$1,'CA Standards and Followers'!$1:$1,0)),0))</f>
        <v>0</v>
      </c>
      <c r="I31">
        <f>IF(AND(INDEX('CA Standards and Followers'!$E$7:$E$66,MATCH($A31,'CA Standards and Followers'!$A$7:$A$66,0))=1,INDEX('CA Standards and Followers'!$H$7:$H$66,MATCH($A31,'CA Standards and Followers'!$A$7:$A$66,0))&lt;=I$1),INDEX('CA Standards and Followers'!#REF!,MATCH(I$1,'CA Standards and Followers'!$1:$1,0)),IF(AND(INDEX('CA Standards and Followers'!$D$7:$D$66,MATCH($A31,'CA Standards and Followers'!$A$7:$A$66,0))=1,INDEX('CA Standards and Followers'!$G$7:$G$66,MATCH($A31,'CA Standards and Followers'!$A$7:$A$66,0))&lt;=I$1),INDEX('CA Standards and Followers'!$2:$2,MATCH(I$1,'CA Standards and Followers'!$1:$1,0)),0))</f>
        <v>0</v>
      </c>
      <c r="J31">
        <f>IF(AND(INDEX('CA Standards and Followers'!$E$7:$E$66,MATCH($A31,'CA Standards and Followers'!$A$7:$A$66,0))=1,INDEX('CA Standards and Followers'!$H$7:$H$66,MATCH($A31,'CA Standards and Followers'!$A$7:$A$66,0))&lt;=J$1),INDEX('CA Standards and Followers'!#REF!,MATCH(J$1,'CA Standards and Followers'!$1:$1,0)),IF(AND(INDEX('CA Standards and Followers'!$D$7:$D$66,MATCH($A31,'CA Standards and Followers'!$A$7:$A$66,0))=1,INDEX('CA Standards and Followers'!$G$7:$G$66,MATCH($A31,'CA Standards and Followers'!$A$7:$A$66,0))&lt;=J$1),INDEX('CA Standards and Followers'!$2:$2,MATCH(J$1,'CA Standards and Followers'!$1:$1,0)),0))</f>
        <v>0</v>
      </c>
      <c r="K31" s="39">
        <f>MAX(IFERROR(IF(INDEX('State Map'!$C:$C,MATCH(TRIM('RZSPbS-psgr-ldv'!$A31),'State Map'!$A:$A,0))="Max Ambition",Schedules!G$4,J31),J31),J31)</f>
        <v>0</v>
      </c>
      <c r="L31" s="39">
        <f>MAX(IFERROR(IF(INDEX('State Map'!$C:$C,MATCH(TRIM('RZSPbS-psgr-ldv'!$A31),'State Map'!$A:$A,0))="Max Ambition",Schedules!H$4,K31),K31),K31)</f>
        <v>0</v>
      </c>
      <c r="M31" s="39">
        <f>MAX(IFERROR(IF(INDEX('State Map'!$C:$C,MATCH(TRIM('RZSPbS-psgr-ldv'!$A31),'State Map'!$A:$A,0))="Max Ambition",Schedules!I$4,L31),L31),L31)</f>
        <v>0</v>
      </c>
      <c r="N31" s="39">
        <f>MAX(IFERROR(IF(INDEX('State Map'!$C:$C,MATCH(TRIM('RZSPbS-psgr-ldv'!$A31),'State Map'!$A:$A,0))="Max Ambition",Schedules!J$4,M31),M31),M31)</f>
        <v>0</v>
      </c>
      <c r="O31" s="39">
        <f>MAX(IFERROR(IF(INDEX('State Map'!$C:$C,MATCH(TRIM('RZSPbS-psgr-ldv'!$A31),'State Map'!$A:$A,0))="Max Ambition",Schedules!K$4,N31),N31),N31)</f>
        <v>0</v>
      </c>
      <c r="P31" s="39">
        <f>MAX(IFERROR(IF(INDEX('State Map'!$C:$C,MATCH(TRIM('RZSPbS-psgr-ldv'!$A31),'State Map'!$A:$A,0))="Max Ambition",Schedules!L$4,O31),O31),O31)</f>
        <v>0</v>
      </c>
      <c r="Q31" s="39">
        <f>MAX(IFERROR(IF(INDEX('State Map'!$C:$C,MATCH(TRIM('RZSPbS-psgr-ldv'!$A31),'State Map'!$A:$A,0))="Max Ambition",Schedules!M$4,P31),P31),P31)</f>
        <v>0</v>
      </c>
      <c r="R31" s="39">
        <f>MAX(IFERROR(IF(INDEX('State Map'!$C:$C,MATCH(TRIM('RZSPbS-psgr-ldv'!$A31),'State Map'!$A:$A,0))="Max Ambition",Schedules!N$4,Q31),Q31),Q31)</f>
        <v>0</v>
      </c>
      <c r="S31" s="39">
        <f>MAX(IFERROR(IF(INDEX('State Map'!$C:$C,MATCH(TRIM('RZSPbS-psgr-ldv'!$A31),'State Map'!$A:$A,0))="Max Ambition",Schedules!O$4,R31),R31),R31)</f>
        <v>0</v>
      </c>
      <c r="T31" s="39">
        <f>MAX(IFERROR(IF(INDEX('State Map'!$C:$C,MATCH(TRIM('RZSPbS-psgr-ldv'!$A31),'State Map'!$A:$A,0))="Max Ambition",Schedules!P$4,S31),S31),S31)</f>
        <v>0</v>
      </c>
      <c r="U31" s="39">
        <f>MAX(IFERROR(IF(INDEX('State Map'!$C:$C,MATCH(TRIM('RZSPbS-psgr-ldv'!$A31),'State Map'!$A:$A,0))="Max Ambition",Schedules!Q$4,T31),T31),T31)</f>
        <v>0</v>
      </c>
      <c r="V31" s="39">
        <f>MAX(IFERROR(IF(INDEX('State Map'!$C:$C,MATCH(TRIM('RZSPbS-psgr-ldv'!$A31),'State Map'!$A:$A,0))="Max Ambition",Schedules!R$4,U31),U31),U31)</f>
        <v>0</v>
      </c>
      <c r="W31" s="39">
        <f>MAX(IFERROR(IF(INDEX('State Map'!$C:$C,MATCH(TRIM('RZSPbS-psgr-ldv'!$A31),'State Map'!$A:$A,0))="Max Ambition",Schedules!S$4,V31),V31),V31)</f>
        <v>0</v>
      </c>
      <c r="X31" s="39">
        <f>MAX(IFERROR(IF(INDEX('State Map'!$C:$C,MATCH(TRIM('RZSPbS-psgr-ldv'!$A31),'State Map'!$A:$A,0))="Max Ambition",Schedules!T$4,W31),W31),W31)</f>
        <v>0</v>
      </c>
      <c r="Y31" s="39">
        <f>MAX(IFERROR(IF(INDEX('State Map'!$C:$C,MATCH(TRIM('RZSPbS-psgr-ldv'!$A31),'State Map'!$A:$A,0))="Max Ambition",Schedules!U$4,X31),X31),X31)</f>
        <v>0</v>
      </c>
      <c r="Z31" s="39">
        <f>MAX(IFERROR(IF(INDEX('State Map'!$C:$C,MATCH(TRIM('RZSPbS-psgr-ldv'!$A31),'State Map'!$A:$A,0))="Max Ambition",Schedules!V$4,Y31),Y31),Y31)</f>
        <v>0</v>
      </c>
      <c r="AA31" s="39">
        <f>MAX(IFERROR(IF(INDEX('State Map'!$C:$C,MATCH(TRIM('RZSPbS-psgr-ldv'!$A31),'State Map'!$A:$A,0))="Max Ambition",Schedules!W$4,Z31),Z31),Z31)</f>
        <v>0</v>
      </c>
      <c r="AB31" s="39">
        <f>MAX(IFERROR(IF(INDEX('State Map'!$C:$C,MATCH(TRIM('RZSPbS-psgr-ldv'!$A31),'State Map'!$A:$A,0))="Max Ambition",Schedules!X$4,AA31),AA31),AA31)</f>
        <v>0</v>
      </c>
      <c r="AC31" s="39">
        <f>MAX(IFERROR(IF(INDEX('State Map'!$C:$C,MATCH(TRIM('RZSPbS-psgr-ldv'!$A31),'State Map'!$A:$A,0))="Max Ambition",Schedules!Y$4,AB31),AB31),AB31)</f>
        <v>0</v>
      </c>
      <c r="AD31" s="39">
        <f>MAX(IFERROR(IF(INDEX('State Map'!$C:$C,MATCH(TRIM('RZSPbS-psgr-ldv'!$A31),'State Map'!$A:$A,0))="Max Ambition",Schedules!Z$4,AC31),AC31),AC31)</f>
        <v>0</v>
      </c>
      <c r="AE31" s="39">
        <f>MAX(IFERROR(IF(INDEX('State Map'!$C:$C,MATCH(TRIM('RZSPbS-psgr-ldv'!$A31),'State Map'!$A:$A,0))="Max Ambition",Schedules!AA$4,AD31),AD31),AD31)</f>
        <v>0</v>
      </c>
      <c r="AF31" s="39">
        <f>MAX(IFERROR(IF(INDEX('State Map'!$C:$C,MATCH(TRIM('RZSPbS-psgr-ldv'!$A31),'State Map'!$A:$A,0))="Max Ambition",Schedules!AB$4,AE31),AE31),AE31)</f>
        <v>0</v>
      </c>
    </row>
    <row r="32" spans="1:32" x14ac:dyDescent="0.25">
      <c r="A32" t="s">
        <v>31</v>
      </c>
      <c r="B32">
        <f>IF(AND(INDEX('CA Standards and Followers'!$E$7:$E$66,MATCH($A32,'CA Standards and Followers'!$A$7:$A$66,0))=1,INDEX('CA Standards and Followers'!$H$7:$H$66,MATCH($A32,'CA Standards and Followers'!$A$7:$A$66,0))&lt;=B$1),INDEX('CA Standards and Followers'!#REF!,MATCH(B$1,'CA Standards and Followers'!$1:$1,0)),IF(AND(INDEX('CA Standards and Followers'!$D$7:$D$66,MATCH($A32,'CA Standards and Followers'!$A$7:$A$66,0))=1,INDEX('CA Standards and Followers'!$G$7:$G$66,MATCH($A32,'CA Standards and Followers'!$A$7:$A$66,0))&lt;=B$1),INDEX('CA Standards and Followers'!$2:$2,MATCH(B$1,'CA Standards and Followers'!$1:$1,0)),0))</f>
        <v>0</v>
      </c>
      <c r="C32">
        <f>IF(AND(INDEX('CA Standards and Followers'!$E$7:$E$66,MATCH($A32,'CA Standards and Followers'!$A$7:$A$66,0))=1,INDEX('CA Standards and Followers'!$H$7:$H$66,MATCH($A32,'CA Standards and Followers'!$A$7:$A$66,0))&lt;=C$1),INDEX('CA Standards and Followers'!#REF!,MATCH(C$1,'CA Standards and Followers'!$1:$1,0)),IF(AND(INDEX('CA Standards and Followers'!$D$7:$D$66,MATCH($A32,'CA Standards and Followers'!$A$7:$A$66,0))=1,INDEX('CA Standards and Followers'!$G$7:$G$66,MATCH($A32,'CA Standards and Followers'!$A$7:$A$66,0))&lt;=C$1),INDEX('CA Standards and Followers'!$2:$2,MATCH(C$1,'CA Standards and Followers'!$1:$1,0)),0))</f>
        <v>0</v>
      </c>
      <c r="D32">
        <f>IF(AND(INDEX('CA Standards and Followers'!$E$7:$E$66,MATCH($A32,'CA Standards and Followers'!$A$7:$A$66,0))=1,INDEX('CA Standards and Followers'!$H$7:$H$66,MATCH($A32,'CA Standards and Followers'!$A$7:$A$66,0))&lt;=D$1),INDEX('CA Standards and Followers'!#REF!,MATCH(D$1,'CA Standards and Followers'!$1:$1,0)),IF(AND(INDEX('CA Standards and Followers'!$D$7:$D$66,MATCH($A32,'CA Standards and Followers'!$A$7:$A$66,0))=1,INDEX('CA Standards and Followers'!$G$7:$G$66,MATCH($A32,'CA Standards and Followers'!$A$7:$A$66,0))&lt;=D$1),INDEX('CA Standards and Followers'!$2:$2,MATCH(D$1,'CA Standards and Followers'!$1:$1,0)),0))</f>
        <v>0</v>
      </c>
      <c r="E32">
        <f>IF(AND(INDEX('CA Standards and Followers'!$E$7:$E$66,MATCH($A32,'CA Standards and Followers'!$A$7:$A$66,0))=1,INDEX('CA Standards and Followers'!$H$7:$H$66,MATCH($A32,'CA Standards and Followers'!$A$7:$A$66,0))&lt;=E$1),INDEX('CA Standards and Followers'!#REF!,MATCH(E$1,'CA Standards and Followers'!$1:$1,0)),IF(AND(INDEX('CA Standards and Followers'!$D$7:$D$66,MATCH($A32,'CA Standards and Followers'!$A$7:$A$66,0))=1,INDEX('CA Standards and Followers'!$G$7:$G$66,MATCH($A32,'CA Standards and Followers'!$A$7:$A$66,0))&lt;=E$1),INDEX('CA Standards and Followers'!$2:$2,MATCH(E$1,'CA Standards and Followers'!$1:$1,0)),0))</f>
        <v>0</v>
      </c>
      <c r="F32">
        <f>IF(AND(INDEX('CA Standards and Followers'!$E$7:$E$66,MATCH($A32,'CA Standards and Followers'!$A$7:$A$66,0))=1,INDEX('CA Standards and Followers'!$H$7:$H$66,MATCH($A32,'CA Standards and Followers'!$A$7:$A$66,0))&lt;=F$1),INDEX('CA Standards and Followers'!#REF!,MATCH(F$1,'CA Standards and Followers'!$1:$1,0)),IF(AND(INDEX('CA Standards and Followers'!$D$7:$D$66,MATCH($A32,'CA Standards and Followers'!$A$7:$A$66,0))=1,INDEX('CA Standards and Followers'!$G$7:$G$66,MATCH($A32,'CA Standards and Followers'!$A$7:$A$66,0))&lt;=F$1),INDEX('CA Standards and Followers'!$2:$2,MATCH(F$1,'CA Standards and Followers'!$1:$1,0)),0))</f>
        <v>0.08</v>
      </c>
      <c r="G32">
        <f>IF(AND(INDEX('CA Standards and Followers'!$E$7:$E$66,MATCH($A32,'CA Standards and Followers'!$A$7:$A$66,0))=1,INDEX('CA Standards and Followers'!$H$7:$H$66,MATCH($A32,'CA Standards and Followers'!$A$7:$A$66,0))&lt;=G$1),INDEX('CA Standards and Followers'!#REF!,MATCH(G$1,'CA Standards and Followers'!$1:$1,0)),IF(AND(INDEX('CA Standards and Followers'!$D$7:$D$66,MATCH($A32,'CA Standards and Followers'!$A$7:$A$66,0))=1,INDEX('CA Standards and Followers'!$G$7:$G$66,MATCH($A32,'CA Standards and Followers'!$A$7:$A$66,0))&lt;=G$1),INDEX('CA Standards and Followers'!$2:$2,MATCH(G$1,'CA Standards and Followers'!$1:$1,0)),0))</f>
        <v>0.08</v>
      </c>
      <c r="H32">
        <f>IF(AND(INDEX('CA Standards and Followers'!$E$7:$E$66,MATCH($A32,'CA Standards and Followers'!$A$7:$A$66,0))=1,INDEX('CA Standards and Followers'!$H$7:$H$66,MATCH($A32,'CA Standards and Followers'!$A$7:$A$66,0))&lt;=H$1),INDEX('CA Standards and Followers'!#REF!,MATCH(H$1,'CA Standards and Followers'!$1:$1,0)),IF(AND(INDEX('CA Standards and Followers'!$D$7:$D$66,MATCH($A32,'CA Standards and Followers'!$A$7:$A$66,0))=1,INDEX('CA Standards and Followers'!$G$7:$G$66,MATCH($A32,'CA Standards and Followers'!$A$7:$A$66,0))&lt;=H$1),INDEX('CA Standards and Followers'!$2:$2,MATCH(H$1,'CA Standards and Followers'!$1:$1,0)),0))</f>
        <v>0</v>
      </c>
      <c r="I32">
        <f>IF(AND(INDEX('CA Standards and Followers'!$E$7:$E$66,MATCH($A32,'CA Standards and Followers'!$A$7:$A$66,0))=1,INDEX('CA Standards and Followers'!$H$7:$H$66,MATCH($A32,'CA Standards and Followers'!$A$7:$A$66,0))&lt;=I$1),INDEX('CA Standards and Followers'!#REF!,MATCH(I$1,'CA Standards and Followers'!$1:$1,0)),IF(AND(INDEX('CA Standards and Followers'!$D$7:$D$66,MATCH($A32,'CA Standards and Followers'!$A$7:$A$66,0))=1,INDEX('CA Standards and Followers'!$G$7:$G$66,MATCH($A32,'CA Standards and Followers'!$A$7:$A$66,0))&lt;=I$1),INDEX('CA Standards and Followers'!$2:$2,MATCH(I$1,'CA Standards and Followers'!$1:$1,0)),0))</f>
        <v>0</v>
      </c>
      <c r="J32">
        <f>IF(AND(INDEX('CA Standards and Followers'!$E$7:$E$66,MATCH($A32,'CA Standards and Followers'!$A$7:$A$66,0))=1,INDEX('CA Standards and Followers'!$H$7:$H$66,MATCH($A32,'CA Standards and Followers'!$A$7:$A$66,0))&lt;=J$1),INDEX('CA Standards and Followers'!#REF!,MATCH(J$1,'CA Standards and Followers'!$1:$1,0)),IF(AND(INDEX('CA Standards and Followers'!$D$7:$D$66,MATCH($A32,'CA Standards and Followers'!$A$7:$A$66,0))=1,INDEX('CA Standards and Followers'!$G$7:$G$66,MATCH($A32,'CA Standards and Followers'!$A$7:$A$66,0))&lt;=J$1),INDEX('CA Standards and Followers'!$2:$2,MATCH(J$1,'CA Standards and Followers'!$1:$1,0)),0))</f>
        <v>0</v>
      </c>
      <c r="K32" s="39">
        <f>MAX(IFERROR(IF(INDEX('State Map'!$C:$C,MATCH(TRIM('RZSPbS-psgr-ldv'!$A32),'State Map'!$A:$A,0))="Max Ambition",Schedules!G$4,J32),J32),J32)</f>
        <v>0.2</v>
      </c>
      <c r="L32" s="39">
        <f>MAX(IFERROR(IF(INDEX('State Map'!$C:$C,MATCH(TRIM('RZSPbS-psgr-ldv'!$A32),'State Map'!$A:$A,0))="Max Ambition",Schedules!H$4,K32),K32),K32)</f>
        <v>0.25</v>
      </c>
      <c r="M32" s="39">
        <f>MAX(IFERROR(IF(INDEX('State Map'!$C:$C,MATCH(TRIM('RZSPbS-psgr-ldv'!$A32),'State Map'!$A:$A,0))="Max Ambition",Schedules!I$4,L32),L32),L32)</f>
        <v>0.3</v>
      </c>
      <c r="N32" s="39">
        <f>MAX(IFERROR(IF(INDEX('State Map'!$C:$C,MATCH(TRIM('RZSPbS-psgr-ldv'!$A32),'State Map'!$A:$A,0))="Max Ambition",Schedules!J$4,M32),M32),M32)</f>
        <v>0.38</v>
      </c>
      <c r="O32" s="39">
        <f>MAX(IFERROR(IF(INDEX('State Map'!$C:$C,MATCH(TRIM('RZSPbS-psgr-ldv'!$A32),'State Map'!$A:$A,0))="Max Ambition",Schedules!K$4,N32),N32),N32)</f>
        <v>0.46</v>
      </c>
      <c r="P32" s="39">
        <f>MAX(IFERROR(IF(INDEX('State Map'!$C:$C,MATCH(TRIM('RZSPbS-psgr-ldv'!$A32),'State Map'!$A:$A,0))="Max Ambition",Schedules!L$4,O32),O32),O32)</f>
        <v>0.51400000000000001</v>
      </c>
      <c r="Q32" s="39">
        <f>MAX(IFERROR(IF(INDEX('State Map'!$C:$C,MATCH(TRIM('RZSPbS-psgr-ldv'!$A32),'State Map'!$A:$A,0))="Max Ambition",Schedules!M$4,P32),P32),P32)</f>
        <v>0.56799999999999995</v>
      </c>
      <c r="R32" s="39">
        <f>MAX(IFERROR(IF(INDEX('State Map'!$C:$C,MATCH(TRIM('RZSPbS-psgr-ldv'!$A32),'State Map'!$A:$A,0))="Max Ambition",Schedules!N$4,Q32),Q32),Q32)</f>
        <v>0.622</v>
      </c>
      <c r="S32" s="39">
        <f>MAX(IFERROR(IF(INDEX('State Map'!$C:$C,MATCH(TRIM('RZSPbS-psgr-ldv'!$A32),'State Map'!$A:$A,0))="Max Ambition",Schedules!O$4,R32),R32),R32)</f>
        <v>0.67600000000000005</v>
      </c>
      <c r="T32" s="39">
        <f>MAX(IFERROR(IF(INDEX('State Map'!$C:$C,MATCH(TRIM('RZSPbS-psgr-ldv'!$A32),'State Map'!$A:$A,0))="Max Ambition",Schedules!P$4,S32),S32),S32)</f>
        <v>0.73</v>
      </c>
      <c r="U32" s="39">
        <f>MAX(IFERROR(IF(INDEX('State Map'!$C:$C,MATCH(TRIM('RZSPbS-psgr-ldv'!$A32),'State Map'!$A:$A,0))="Max Ambition",Schedules!Q$4,T32),T32),T32)</f>
        <v>0.78400000000000003</v>
      </c>
      <c r="V32" s="39">
        <f>MAX(IFERROR(IF(INDEX('State Map'!$C:$C,MATCH(TRIM('RZSPbS-psgr-ldv'!$A32),'State Map'!$A:$A,0))="Max Ambition",Schedules!R$4,U32),U32),U32)</f>
        <v>0.83799999999999997</v>
      </c>
      <c r="W32" s="39">
        <f>MAX(IFERROR(IF(INDEX('State Map'!$C:$C,MATCH(TRIM('RZSPbS-psgr-ldv'!$A32),'State Map'!$A:$A,0))="Max Ambition",Schedules!S$4,V32),V32),V32)</f>
        <v>0.89200000000000002</v>
      </c>
      <c r="X32" s="39">
        <f>MAX(IFERROR(IF(INDEX('State Map'!$C:$C,MATCH(TRIM('RZSPbS-psgr-ldv'!$A32),'State Map'!$A:$A,0))="Max Ambition",Schedules!T$4,W32),W32),W32)</f>
        <v>0.94599999999999995</v>
      </c>
      <c r="Y32" s="39">
        <f>MAX(IFERROR(IF(INDEX('State Map'!$C:$C,MATCH(TRIM('RZSPbS-psgr-ldv'!$A32),'State Map'!$A:$A,0))="Max Ambition",Schedules!U$4,X32),X32),X32)</f>
        <v>1</v>
      </c>
      <c r="Z32" s="39">
        <f>MAX(IFERROR(IF(INDEX('State Map'!$C:$C,MATCH(TRIM('RZSPbS-psgr-ldv'!$A32),'State Map'!$A:$A,0))="Max Ambition",Schedules!V$4,Y32),Y32),Y32)</f>
        <v>1</v>
      </c>
      <c r="AA32" s="39">
        <f>MAX(IFERROR(IF(INDEX('State Map'!$C:$C,MATCH(TRIM('RZSPbS-psgr-ldv'!$A32),'State Map'!$A:$A,0))="Max Ambition",Schedules!W$4,Z32),Z32),Z32)</f>
        <v>1</v>
      </c>
      <c r="AB32" s="39">
        <f>MAX(IFERROR(IF(INDEX('State Map'!$C:$C,MATCH(TRIM('RZSPbS-psgr-ldv'!$A32),'State Map'!$A:$A,0))="Max Ambition",Schedules!X$4,AA32),AA32),AA32)</f>
        <v>1</v>
      </c>
      <c r="AC32" s="39">
        <f>MAX(IFERROR(IF(INDEX('State Map'!$C:$C,MATCH(TRIM('RZSPbS-psgr-ldv'!$A32),'State Map'!$A:$A,0))="Max Ambition",Schedules!Y$4,AB32),AB32),AB32)</f>
        <v>1</v>
      </c>
      <c r="AD32" s="39">
        <f>MAX(IFERROR(IF(INDEX('State Map'!$C:$C,MATCH(TRIM('RZSPbS-psgr-ldv'!$A32),'State Map'!$A:$A,0))="Max Ambition",Schedules!Z$4,AC32),AC32),AC32)</f>
        <v>1</v>
      </c>
      <c r="AE32" s="39">
        <f>MAX(IFERROR(IF(INDEX('State Map'!$C:$C,MATCH(TRIM('RZSPbS-psgr-ldv'!$A32),'State Map'!$A:$A,0))="Max Ambition",Schedules!AA$4,AD32),AD32),AD32)</f>
        <v>1</v>
      </c>
      <c r="AF32" s="39">
        <f>MAX(IFERROR(IF(INDEX('State Map'!$C:$C,MATCH(TRIM('RZSPbS-psgr-ldv'!$A32),'State Map'!$A:$A,0))="Max Ambition",Schedules!AB$4,AE32),AE32),AE32)</f>
        <v>1</v>
      </c>
    </row>
    <row r="33" spans="1:32" x14ac:dyDescent="0.25">
      <c r="A33" t="s">
        <v>32</v>
      </c>
      <c r="B33">
        <f>IF(AND(INDEX('CA Standards and Followers'!$E$7:$E$66,MATCH($A33,'CA Standards and Followers'!$A$7:$A$66,0))=1,INDEX('CA Standards and Followers'!$H$7:$H$66,MATCH($A33,'CA Standards and Followers'!$A$7:$A$66,0))&lt;=B$1),INDEX('CA Standards and Followers'!#REF!,MATCH(B$1,'CA Standards and Followers'!$1:$1,0)),IF(AND(INDEX('CA Standards and Followers'!$D$7:$D$66,MATCH($A33,'CA Standards and Followers'!$A$7:$A$66,0))=1,INDEX('CA Standards and Followers'!$G$7:$G$66,MATCH($A33,'CA Standards and Followers'!$A$7:$A$66,0))&lt;=B$1),INDEX('CA Standards and Followers'!$2:$2,MATCH(B$1,'CA Standards and Followers'!$1:$1,0)),0))</f>
        <v>0</v>
      </c>
      <c r="C33">
        <f>IF(AND(INDEX('CA Standards and Followers'!$E$7:$E$66,MATCH($A33,'CA Standards and Followers'!$A$7:$A$66,0))=1,INDEX('CA Standards and Followers'!$H$7:$H$66,MATCH($A33,'CA Standards and Followers'!$A$7:$A$66,0))&lt;=C$1),INDEX('CA Standards and Followers'!#REF!,MATCH(C$1,'CA Standards and Followers'!$1:$1,0)),IF(AND(INDEX('CA Standards and Followers'!$D$7:$D$66,MATCH($A33,'CA Standards and Followers'!$A$7:$A$66,0))=1,INDEX('CA Standards and Followers'!$G$7:$G$66,MATCH($A33,'CA Standards and Followers'!$A$7:$A$66,0))&lt;=C$1),INDEX('CA Standards and Followers'!$2:$2,MATCH(C$1,'CA Standards and Followers'!$1:$1,0)),0))</f>
        <v>0</v>
      </c>
      <c r="D33">
        <f>IF(AND(INDEX('CA Standards and Followers'!$E$7:$E$66,MATCH($A33,'CA Standards and Followers'!$A$7:$A$66,0))=1,INDEX('CA Standards and Followers'!$H$7:$H$66,MATCH($A33,'CA Standards and Followers'!$A$7:$A$66,0))&lt;=D$1),INDEX('CA Standards and Followers'!#REF!,MATCH(D$1,'CA Standards and Followers'!$1:$1,0)),IF(AND(INDEX('CA Standards and Followers'!$D$7:$D$66,MATCH($A33,'CA Standards and Followers'!$A$7:$A$66,0))=1,INDEX('CA Standards and Followers'!$G$7:$G$66,MATCH($A33,'CA Standards and Followers'!$A$7:$A$66,0))&lt;=D$1),INDEX('CA Standards and Followers'!$2:$2,MATCH(D$1,'CA Standards and Followers'!$1:$1,0)),0))</f>
        <v>0</v>
      </c>
      <c r="E33">
        <f>IF(AND(INDEX('CA Standards and Followers'!$E$7:$E$66,MATCH($A33,'CA Standards and Followers'!$A$7:$A$66,0))=1,INDEX('CA Standards and Followers'!$H$7:$H$66,MATCH($A33,'CA Standards and Followers'!$A$7:$A$66,0))&lt;=E$1),INDEX('CA Standards and Followers'!#REF!,MATCH(E$1,'CA Standards and Followers'!$1:$1,0)),IF(AND(INDEX('CA Standards and Followers'!$D$7:$D$66,MATCH($A33,'CA Standards and Followers'!$A$7:$A$66,0))=1,INDEX('CA Standards and Followers'!$G$7:$G$66,MATCH($A33,'CA Standards and Followers'!$A$7:$A$66,0))&lt;=E$1),INDEX('CA Standards and Followers'!$2:$2,MATCH(E$1,'CA Standards and Followers'!$1:$1,0)),0))</f>
        <v>0</v>
      </c>
      <c r="F33">
        <f>IF(AND(INDEX('CA Standards and Followers'!$E$7:$E$66,MATCH($A33,'CA Standards and Followers'!$A$7:$A$66,0))=1,INDEX('CA Standards and Followers'!$H$7:$H$66,MATCH($A33,'CA Standards and Followers'!$A$7:$A$66,0))&lt;=F$1),INDEX('CA Standards and Followers'!#REF!,MATCH(F$1,'CA Standards and Followers'!$1:$1,0)),IF(AND(INDEX('CA Standards and Followers'!$D$7:$D$66,MATCH($A33,'CA Standards and Followers'!$A$7:$A$66,0))=1,INDEX('CA Standards and Followers'!$G$7:$G$66,MATCH($A33,'CA Standards and Followers'!$A$7:$A$66,0))&lt;=F$1),INDEX('CA Standards and Followers'!$2:$2,MATCH(F$1,'CA Standards and Followers'!$1:$1,0)),0))</f>
        <v>0</v>
      </c>
      <c r="G33">
        <f>IF(AND(INDEX('CA Standards and Followers'!$E$7:$E$66,MATCH($A33,'CA Standards and Followers'!$A$7:$A$66,0))=1,INDEX('CA Standards and Followers'!$H$7:$H$66,MATCH($A33,'CA Standards and Followers'!$A$7:$A$66,0))&lt;=G$1),INDEX('CA Standards and Followers'!#REF!,MATCH(G$1,'CA Standards and Followers'!$1:$1,0)),IF(AND(INDEX('CA Standards and Followers'!$D$7:$D$66,MATCH($A33,'CA Standards and Followers'!$A$7:$A$66,0))=1,INDEX('CA Standards and Followers'!$G$7:$G$66,MATCH($A33,'CA Standards and Followers'!$A$7:$A$66,0))&lt;=G$1),INDEX('CA Standards and Followers'!$2:$2,MATCH(G$1,'CA Standards and Followers'!$1:$1,0)),0))</f>
        <v>0</v>
      </c>
      <c r="H33">
        <f>IF(AND(INDEX('CA Standards and Followers'!$E$7:$E$66,MATCH($A33,'CA Standards and Followers'!$A$7:$A$66,0))=1,INDEX('CA Standards and Followers'!$H$7:$H$66,MATCH($A33,'CA Standards and Followers'!$A$7:$A$66,0))&lt;=H$1),INDEX('CA Standards and Followers'!#REF!,MATCH(H$1,'CA Standards and Followers'!$1:$1,0)),IF(AND(INDEX('CA Standards and Followers'!$D$7:$D$66,MATCH($A33,'CA Standards and Followers'!$A$7:$A$66,0))=1,INDEX('CA Standards and Followers'!$G$7:$G$66,MATCH($A33,'CA Standards and Followers'!$A$7:$A$66,0))&lt;=H$1),INDEX('CA Standards and Followers'!$2:$2,MATCH(H$1,'CA Standards and Followers'!$1:$1,0)),0))</f>
        <v>0</v>
      </c>
      <c r="I33">
        <f>IF(AND(INDEX('CA Standards and Followers'!$E$7:$E$66,MATCH($A33,'CA Standards and Followers'!$A$7:$A$66,0))=1,INDEX('CA Standards and Followers'!$H$7:$H$66,MATCH($A33,'CA Standards and Followers'!$A$7:$A$66,0))&lt;=I$1),INDEX('CA Standards and Followers'!#REF!,MATCH(I$1,'CA Standards and Followers'!$1:$1,0)),IF(AND(INDEX('CA Standards and Followers'!$D$7:$D$66,MATCH($A33,'CA Standards and Followers'!$A$7:$A$66,0))=1,INDEX('CA Standards and Followers'!$G$7:$G$66,MATCH($A33,'CA Standards and Followers'!$A$7:$A$66,0))&lt;=I$1),INDEX('CA Standards and Followers'!$2:$2,MATCH(I$1,'CA Standards and Followers'!$1:$1,0)),0))</f>
        <v>0</v>
      </c>
      <c r="J33">
        <f>IF(AND(INDEX('CA Standards and Followers'!$E$7:$E$66,MATCH($A33,'CA Standards and Followers'!$A$7:$A$66,0))=1,INDEX('CA Standards and Followers'!$H$7:$H$66,MATCH($A33,'CA Standards and Followers'!$A$7:$A$66,0))&lt;=J$1),INDEX('CA Standards and Followers'!#REF!,MATCH(J$1,'CA Standards and Followers'!$1:$1,0)),IF(AND(INDEX('CA Standards and Followers'!$D$7:$D$66,MATCH($A33,'CA Standards and Followers'!$A$7:$A$66,0))=1,INDEX('CA Standards and Followers'!$G$7:$G$66,MATCH($A33,'CA Standards and Followers'!$A$7:$A$66,0))&lt;=J$1),INDEX('CA Standards and Followers'!$2:$2,MATCH(J$1,'CA Standards and Followers'!$1:$1,0)),0))</f>
        <v>0</v>
      </c>
      <c r="K33" s="39">
        <f>MAX(IFERROR(IF(INDEX('State Map'!$C:$C,MATCH(TRIM('RZSPbS-psgr-ldv'!$A33),'State Map'!$A:$A,0))="Max Ambition",Schedules!G$4,J33),J33),J33)</f>
        <v>0.2</v>
      </c>
      <c r="L33" s="39">
        <f>MAX(IFERROR(IF(INDEX('State Map'!$C:$C,MATCH(TRIM('RZSPbS-psgr-ldv'!$A33),'State Map'!$A:$A,0))="Max Ambition",Schedules!H$4,K33),K33),K33)</f>
        <v>0.25</v>
      </c>
      <c r="M33" s="39">
        <f>MAX(IFERROR(IF(INDEX('State Map'!$C:$C,MATCH(TRIM('RZSPbS-psgr-ldv'!$A33),'State Map'!$A:$A,0))="Max Ambition",Schedules!I$4,L33),L33),L33)</f>
        <v>0.3</v>
      </c>
      <c r="N33" s="39">
        <f>MAX(IFERROR(IF(INDEX('State Map'!$C:$C,MATCH(TRIM('RZSPbS-psgr-ldv'!$A33),'State Map'!$A:$A,0))="Max Ambition",Schedules!J$4,M33),M33),M33)</f>
        <v>0.38</v>
      </c>
      <c r="O33" s="39">
        <f>MAX(IFERROR(IF(INDEX('State Map'!$C:$C,MATCH(TRIM('RZSPbS-psgr-ldv'!$A33),'State Map'!$A:$A,0))="Max Ambition",Schedules!K$4,N33),N33),N33)</f>
        <v>0.46</v>
      </c>
      <c r="P33" s="39">
        <f>MAX(IFERROR(IF(INDEX('State Map'!$C:$C,MATCH(TRIM('RZSPbS-psgr-ldv'!$A33),'State Map'!$A:$A,0))="Max Ambition",Schedules!L$4,O33),O33),O33)</f>
        <v>0.51400000000000001</v>
      </c>
      <c r="Q33" s="39">
        <f>MAX(IFERROR(IF(INDEX('State Map'!$C:$C,MATCH(TRIM('RZSPbS-psgr-ldv'!$A33),'State Map'!$A:$A,0))="Max Ambition",Schedules!M$4,P33),P33),P33)</f>
        <v>0.56799999999999995</v>
      </c>
      <c r="R33" s="39">
        <f>MAX(IFERROR(IF(INDEX('State Map'!$C:$C,MATCH(TRIM('RZSPbS-psgr-ldv'!$A33),'State Map'!$A:$A,0))="Max Ambition",Schedules!N$4,Q33),Q33),Q33)</f>
        <v>0.622</v>
      </c>
      <c r="S33" s="39">
        <f>MAX(IFERROR(IF(INDEX('State Map'!$C:$C,MATCH(TRIM('RZSPbS-psgr-ldv'!$A33),'State Map'!$A:$A,0))="Max Ambition",Schedules!O$4,R33),R33),R33)</f>
        <v>0.67600000000000005</v>
      </c>
      <c r="T33" s="39">
        <f>MAX(IFERROR(IF(INDEX('State Map'!$C:$C,MATCH(TRIM('RZSPbS-psgr-ldv'!$A33),'State Map'!$A:$A,0))="Max Ambition",Schedules!P$4,S33),S33),S33)</f>
        <v>0.73</v>
      </c>
      <c r="U33" s="39">
        <f>MAX(IFERROR(IF(INDEX('State Map'!$C:$C,MATCH(TRIM('RZSPbS-psgr-ldv'!$A33),'State Map'!$A:$A,0))="Max Ambition",Schedules!Q$4,T33),T33),T33)</f>
        <v>0.78400000000000003</v>
      </c>
      <c r="V33" s="39">
        <f>MAX(IFERROR(IF(INDEX('State Map'!$C:$C,MATCH(TRIM('RZSPbS-psgr-ldv'!$A33),'State Map'!$A:$A,0))="Max Ambition",Schedules!R$4,U33),U33),U33)</f>
        <v>0.83799999999999997</v>
      </c>
      <c r="W33" s="39">
        <f>MAX(IFERROR(IF(INDEX('State Map'!$C:$C,MATCH(TRIM('RZSPbS-psgr-ldv'!$A33),'State Map'!$A:$A,0))="Max Ambition",Schedules!S$4,V33),V33),V33)</f>
        <v>0.89200000000000002</v>
      </c>
      <c r="X33" s="39">
        <f>MAX(IFERROR(IF(INDEX('State Map'!$C:$C,MATCH(TRIM('RZSPbS-psgr-ldv'!$A33),'State Map'!$A:$A,0))="Max Ambition",Schedules!T$4,W33),W33),W33)</f>
        <v>0.94599999999999995</v>
      </c>
      <c r="Y33" s="39">
        <f>MAX(IFERROR(IF(INDEX('State Map'!$C:$C,MATCH(TRIM('RZSPbS-psgr-ldv'!$A33),'State Map'!$A:$A,0))="Max Ambition",Schedules!U$4,X33),X33),X33)</f>
        <v>1</v>
      </c>
      <c r="Z33" s="39">
        <f>MAX(IFERROR(IF(INDEX('State Map'!$C:$C,MATCH(TRIM('RZSPbS-psgr-ldv'!$A33),'State Map'!$A:$A,0))="Max Ambition",Schedules!V$4,Y33),Y33),Y33)</f>
        <v>1</v>
      </c>
      <c r="AA33" s="39">
        <f>MAX(IFERROR(IF(INDEX('State Map'!$C:$C,MATCH(TRIM('RZSPbS-psgr-ldv'!$A33),'State Map'!$A:$A,0))="Max Ambition",Schedules!W$4,Z33),Z33),Z33)</f>
        <v>1</v>
      </c>
      <c r="AB33" s="39">
        <f>MAX(IFERROR(IF(INDEX('State Map'!$C:$C,MATCH(TRIM('RZSPbS-psgr-ldv'!$A33),'State Map'!$A:$A,0))="Max Ambition",Schedules!X$4,AA33),AA33),AA33)</f>
        <v>1</v>
      </c>
      <c r="AC33" s="39">
        <f>MAX(IFERROR(IF(INDEX('State Map'!$C:$C,MATCH(TRIM('RZSPbS-psgr-ldv'!$A33),'State Map'!$A:$A,0))="Max Ambition",Schedules!Y$4,AB33),AB33),AB33)</f>
        <v>1</v>
      </c>
      <c r="AD33" s="39">
        <f>MAX(IFERROR(IF(INDEX('State Map'!$C:$C,MATCH(TRIM('RZSPbS-psgr-ldv'!$A33),'State Map'!$A:$A,0))="Max Ambition",Schedules!Z$4,AC33),AC33),AC33)</f>
        <v>1</v>
      </c>
      <c r="AE33" s="39">
        <f>MAX(IFERROR(IF(INDEX('State Map'!$C:$C,MATCH(TRIM('RZSPbS-psgr-ldv'!$A33),'State Map'!$A:$A,0))="Max Ambition",Schedules!AA$4,AD33),AD33),AD33)</f>
        <v>1</v>
      </c>
      <c r="AF33" s="39">
        <f>MAX(IFERROR(IF(INDEX('State Map'!$C:$C,MATCH(TRIM('RZSPbS-psgr-ldv'!$A33),'State Map'!$A:$A,0))="Max Ambition",Schedules!AB$4,AE33),AE33),AE33)</f>
        <v>1</v>
      </c>
    </row>
    <row r="34" spans="1:32" x14ac:dyDescent="0.25">
      <c r="A34" t="s">
        <v>33</v>
      </c>
      <c r="B34">
        <f>IF(AND(INDEX('CA Standards and Followers'!$E$7:$E$66,MATCH($A34,'CA Standards and Followers'!$A$7:$A$66,0))=1,INDEX('CA Standards and Followers'!$H$7:$H$66,MATCH($A34,'CA Standards and Followers'!$A$7:$A$66,0))&lt;=B$1),INDEX('CA Standards and Followers'!#REF!,MATCH(B$1,'CA Standards and Followers'!$1:$1,0)),IF(AND(INDEX('CA Standards and Followers'!$D$7:$D$66,MATCH($A34,'CA Standards and Followers'!$A$7:$A$66,0))=1,INDEX('CA Standards and Followers'!$G$7:$G$66,MATCH($A34,'CA Standards and Followers'!$A$7:$A$66,0))&lt;=B$1),INDEX('CA Standards and Followers'!$2:$2,MATCH(B$1,'CA Standards and Followers'!$1:$1,0)),0))</f>
        <v>0</v>
      </c>
      <c r="C34">
        <f>IF(AND(INDEX('CA Standards and Followers'!$E$7:$E$66,MATCH($A34,'CA Standards and Followers'!$A$7:$A$66,0))=1,INDEX('CA Standards and Followers'!$H$7:$H$66,MATCH($A34,'CA Standards and Followers'!$A$7:$A$66,0))&lt;=C$1),INDEX('CA Standards and Followers'!#REF!,MATCH(C$1,'CA Standards and Followers'!$1:$1,0)),IF(AND(INDEX('CA Standards and Followers'!$D$7:$D$66,MATCH($A34,'CA Standards and Followers'!$A$7:$A$66,0))=1,INDEX('CA Standards and Followers'!$G$7:$G$66,MATCH($A34,'CA Standards and Followers'!$A$7:$A$66,0))&lt;=C$1),INDEX('CA Standards and Followers'!$2:$2,MATCH(C$1,'CA Standards and Followers'!$1:$1,0)),0))</f>
        <v>0</v>
      </c>
      <c r="D34">
        <f>IF(AND(INDEX('CA Standards and Followers'!$E$7:$E$66,MATCH($A34,'CA Standards and Followers'!$A$7:$A$66,0))=1,INDEX('CA Standards and Followers'!$H$7:$H$66,MATCH($A34,'CA Standards and Followers'!$A$7:$A$66,0))&lt;=D$1),INDEX('CA Standards and Followers'!#REF!,MATCH(D$1,'CA Standards and Followers'!$1:$1,0)),IF(AND(INDEX('CA Standards and Followers'!$D$7:$D$66,MATCH($A34,'CA Standards and Followers'!$A$7:$A$66,0))=1,INDEX('CA Standards and Followers'!$G$7:$G$66,MATCH($A34,'CA Standards and Followers'!$A$7:$A$66,0))&lt;=D$1),INDEX('CA Standards and Followers'!$2:$2,MATCH(D$1,'CA Standards and Followers'!$1:$1,0)),0))</f>
        <v>0</v>
      </c>
      <c r="E34">
        <f>IF(AND(INDEX('CA Standards and Followers'!$E$7:$E$66,MATCH($A34,'CA Standards and Followers'!$A$7:$A$66,0))=1,INDEX('CA Standards and Followers'!$H$7:$H$66,MATCH($A34,'CA Standards and Followers'!$A$7:$A$66,0))&lt;=E$1),INDEX('CA Standards and Followers'!#REF!,MATCH(E$1,'CA Standards and Followers'!$1:$1,0)),IF(AND(INDEX('CA Standards and Followers'!$D$7:$D$66,MATCH($A34,'CA Standards and Followers'!$A$7:$A$66,0))=1,INDEX('CA Standards and Followers'!$G$7:$G$66,MATCH($A34,'CA Standards and Followers'!$A$7:$A$66,0))&lt;=E$1),INDEX('CA Standards and Followers'!$2:$2,MATCH(E$1,'CA Standards and Followers'!$1:$1,0)),0))</f>
        <v>0</v>
      </c>
      <c r="F34">
        <f>IF(AND(INDEX('CA Standards and Followers'!$E$7:$E$66,MATCH($A34,'CA Standards and Followers'!$A$7:$A$66,0))=1,INDEX('CA Standards and Followers'!$H$7:$H$66,MATCH($A34,'CA Standards and Followers'!$A$7:$A$66,0))&lt;=F$1),INDEX('CA Standards and Followers'!#REF!,MATCH(F$1,'CA Standards and Followers'!$1:$1,0)),IF(AND(INDEX('CA Standards and Followers'!$D$7:$D$66,MATCH($A34,'CA Standards and Followers'!$A$7:$A$66,0))=1,INDEX('CA Standards and Followers'!$G$7:$G$66,MATCH($A34,'CA Standards and Followers'!$A$7:$A$66,0))&lt;=F$1),INDEX('CA Standards and Followers'!$2:$2,MATCH(F$1,'CA Standards and Followers'!$1:$1,0)),0))</f>
        <v>0.08</v>
      </c>
      <c r="G34">
        <f>IF(AND(INDEX('CA Standards and Followers'!$E$7:$E$66,MATCH($A34,'CA Standards and Followers'!$A$7:$A$66,0))=1,INDEX('CA Standards and Followers'!$H$7:$H$66,MATCH($A34,'CA Standards and Followers'!$A$7:$A$66,0))&lt;=G$1),INDEX('CA Standards and Followers'!#REF!,MATCH(G$1,'CA Standards and Followers'!$1:$1,0)),IF(AND(INDEX('CA Standards and Followers'!$D$7:$D$66,MATCH($A34,'CA Standards and Followers'!$A$7:$A$66,0))=1,INDEX('CA Standards and Followers'!$G$7:$G$66,MATCH($A34,'CA Standards and Followers'!$A$7:$A$66,0))&lt;=G$1),INDEX('CA Standards and Followers'!$2:$2,MATCH(G$1,'CA Standards and Followers'!$1:$1,0)),0))</f>
        <v>0.08</v>
      </c>
      <c r="H34">
        <f>IF(AND(INDEX('CA Standards and Followers'!$E$7:$E$66,MATCH($A34,'CA Standards and Followers'!$A$7:$A$66,0))=1,INDEX('CA Standards and Followers'!$H$7:$H$66,MATCH($A34,'CA Standards and Followers'!$A$7:$A$66,0))&lt;=H$1),INDEX('CA Standards and Followers'!#REF!,MATCH(H$1,'CA Standards and Followers'!$1:$1,0)),IF(AND(INDEX('CA Standards and Followers'!$D$7:$D$66,MATCH($A34,'CA Standards and Followers'!$A$7:$A$66,0))=1,INDEX('CA Standards and Followers'!$G$7:$G$66,MATCH($A34,'CA Standards and Followers'!$A$7:$A$66,0))&lt;=H$1),INDEX('CA Standards and Followers'!$2:$2,MATCH(H$1,'CA Standards and Followers'!$1:$1,0)),0))</f>
        <v>0</v>
      </c>
      <c r="I34">
        <f>IF(AND(INDEX('CA Standards and Followers'!$E$7:$E$66,MATCH($A34,'CA Standards and Followers'!$A$7:$A$66,0))=1,INDEX('CA Standards and Followers'!$H$7:$H$66,MATCH($A34,'CA Standards and Followers'!$A$7:$A$66,0))&lt;=I$1),INDEX('CA Standards and Followers'!#REF!,MATCH(I$1,'CA Standards and Followers'!$1:$1,0)),IF(AND(INDEX('CA Standards and Followers'!$D$7:$D$66,MATCH($A34,'CA Standards and Followers'!$A$7:$A$66,0))=1,INDEX('CA Standards and Followers'!$G$7:$G$66,MATCH($A34,'CA Standards and Followers'!$A$7:$A$66,0))&lt;=I$1),INDEX('CA Standards and Followers'!$2:$2,MATCH(I$1,'CA Standards and Followers'!$1:$1,0)),0))</f>
        <v>0</v>
      </c>
      <c r="J34">
        <f>IF(AND(INDEX('CA Standards and Followers'!$E$7:$E$66,MATCH($A34,'CA Standards and Followers'!$A$7:$A$66,0))=1,INDEX('CA Standards and Followers'!$H$7:$H$66,MATCH($A34,'CA Standards and Followers'!$A$7:$A$66,0))&lt;=J$1),INDEX('CA Standards and Followers'!#REF!,MATCH(J$1,'CA Standards and Followers'!$1:$1,0)),IF(AND(INDEX('CA Standards and Followers'!$D$7:$D$66,MATCH($A34,'CA Standards and Followers'!$A$7:$A$66,0))=1,INDEX('CA Standards and Followers'!$G$7:$G$66,MATCH($A34,'CA Standards and Followers'!$A$7:$A$66,0))&lt;=J$1),INDEX('CA Standards and Followers'!$2:$2,MATCH(J$1,'CA Standards and Followers'!$1:$1,0)),0))</f>
        <v>0</v>
      </c>
      <c r="K34" s="39">
        <f>MAX(IFERROR(IF(INDEX('State Map'!$C:$C,MATCH(TRIM('RZSPbS-psgr-ldv'!$A34),'State Map'!$A:$A,0))="Max Ambition",Schedules!G$4,J34),J34),J34)</f>
        <v>0.2</v>
      </c>
      <c r="L34" s="39">
        <f>MAX(IFERROR(IF(INDEX('State Map'!$C:$C,MATCH(TRIM('RZSPbS-psgr-ldv'!$A34),'State Map'!$A:$A,0))="Max Ambition",Schedules!H$4,K34),K34),K34)</f>
        <v>0.25</v>
      </c>
      <c r="M34" s="39">
        <f>MAX(IFERROR(IF(INDEX('State Map'!$C:$C,MATCH(TRIM('RZSPbS-psgr-ldv'!$A34),'State Map'!$A:$A,0))="Max Ambition",Schedules!I$4,L34),L34),L34)</f>
        <v>0.3</v>
      </c>
      <c r="N34" s="39">
        <f>MAX(IFERROR(IF(INDEX('State Map'!$C:$C,MATCH(TRIM('RZSPbS-psgr-ldv'!$A34),'State Map'!$A:$A,0))="Max Ambition",Schedules!J$4,M34),M34),M34)</f>
        <v>0.38</v>
      </c>
      <c r="O34" s="39">
        <f>MAX(IFERROR(IF(INDEX('State Map'!$C:$C,MATCH(TRIM('RZSPbS-psgr-ldv'!$A34),'State Map'!$A:$A,0))="Max Ambition",Schedules!K$4,N34),N34),N34)</f>
        <v>0.46</v>
      </c>
      <c r="P34" s="39">
        <f>MAX(IFERROR(IF(INDEX('State Map'!$C:$C,MATCH(TRIM('RZSPbS-psgr-ldv'!$A34),'State Map'!$A:$A,0))="Max Ambition",Schedules!L$4,O34),O34),O34)</f>
        <v>0.51400000000000001</v>
      </c>
      <c r="Q34" s="39">
        <f>MAX(IFERROR(IF(INDEX('State Map'!$C:$C,MATCH(TRIM('RZSPbS-psgr-ldv'!$A34),'State Map'!$A:$A,0))="Max Ambition",Schedules!M$4,P34),P34),P34)</f>
        <v>0.56799999999999995</v>
      </c>
      <c r="R34" s="39">
        <f>MAX(IFERROR(IF(INDEX('State Map'!$C:$C,MATCH(TRIM('RZSPbS-psgr-ldv'!$A34),'State Map'!$A:$A,0))="Max Ambition",Schedules!N$4,Q34),Q34),Q34)</f>
        <v>0.622</v>
      </c>
      <c r="S34" s="39">
        <f>MAX(IFERROR(IF(INDEX('State Map'!$C:$C,MATCH(TRIM('RZSPbS-psgr-ldv'!$A34),'State Map'!$A:$A,0))="Max Ambition",Schedules!O$4,R34),R34),R34)</f>
        <v>0.67600000000000005</v>
      </c>
      <c r="T34" s="39">
        <f>MAX(IFERROR(IF(INDEX('State Map'!$C:$C,MATCH(TRIM('RZSPbS-psgr-ldv'!$A34),'State Map'!$A:$A,0))="Max Ambition",Schedules!P$4,S34),S34),S34)</f>
        <v>0.73</v>
      </c>
      <c r="U34" s="39">
        <f>MAX(IFERROR(IF(INDEX('State Map'!$C:$C,MATCH(TRIM('RZSPbS-psgr-ldv'!$A34),'State Map'!$A:$A,0))="Max Ambition",Schedules!Q$4,T34),T34),T34)</f>
        <v>0.78400000000000003</v>
      </c>
      <c r="V34" s="39">
        <f>MAX(IFERROR(IF(INDEX('State Map'!$C:$C,MATCH(TRIM('RZSPbS-psgr-ldv'!$A34),'State Map'!$A:$A,0))="Max Ambition",Schedules!R$4,U34),U34),U34)</f>
        <v>0.83799999999999997</v>
      </c>
      <c r="W34" s="39">
        <f>MAX(IFERROR(IF(INDEX('State Map'!$C:$C,MATCH(TRIM('RZSPbS-psgr-ldv'!$A34),'State Map'!$A:$A,0))="Max Ambition",Schedules!S$4,V34),V34),V34)</f>
        <v>0.89200000000000002</v>
      </c>
      <c r="X34" s="39">
        <f>MAX(IFERROR(IF(INDEX('State Map'!$C:$C,MATCH(TRIM('RZSPbS-psgr-ldv'!$A34),'State Map'!$A:$A,0))="Max Ambition",Schedules!T$4,W34),W34),W34)</f>
        <v>0.94599999999999995</v>
      </c>
      <c r="Y34" s="39">
        <f>MAX(IFERROR(IF(INDEX('State Map'!$C:$C,MATCH(TRIM('RZSPbS-psgr-ldv'!$A34),'State Map'!$A:$A,0))="Max Ambition",Schedules!U$4,X34),X34),X34)</f>
        <v>1</v>
      </c>
      <c r="Z34" s="39">
        <f>MAX(IFERROR(IF(INDEX('State Map'!$C:$C,MATCH(TRIM('RZSPbS-psgr-ldv'!$A34),'State Map'!$A:$A,0))="Max Ambition",Schedules!V$4,Y34),Y34),Y34)</f>
        <v>1</v>
      </c>
      <c r="AA34" s="39">
        <f>MAX(IFERROR(IF(INDEX('State Map'!$C:$C,MATCH(TRIM('RZSPbS-psgr-ldv'!$A34),'State Map'!$A:$A,0))="Max Ambition",Schedules!W$4,Z34),Z34),Z34)</f>
        <v>1</v>
      </c>
      <c r="AB34" s="39">
        <f>MAX(IFERROR(IF(INDEX('State Map'!$C:$C,MATCH(TRIM('RZSPbS-psgr-ldv'!$A34),'State Map'!$A:$A,0))="Max Ambition",Schedules!X$4,AA34),AA34),AA34)</f>
        <v>1</v>
      </c>
      <c r="AC34" s="39">
        <f>MAX(IFERROR(IF(INDEX('State Map'!$C:$C,MATCH(TRIM('RZSPbS-psgr-ldv'!$A34),'State Map'!$A:$A,0))="Max Ambition",Schedules!Y$4,AB34),AB34),AB34)</f>
        <v>1</v>
      </c>
      <c r="AD34" s="39">
        <f>MAX(IFERROR(IF(INDEX('State Map'!$C:$C,MATCH(TRIM('RZSPbS-psgr-ldv'!$A34),'State Map'!$A:$A,0))="Max Ambition",Schedules!Z$4,AC34),AC34),AC34)</f>
        <v>1</v>
      </c>
      <c r="AE34" s="39">
        <f>MAX(IFERROR(IF(INDEX('State Map'!$C:$C,MATCH(TRIM('RZSPbS-psgr-ldv'!$A34),'State Map'!$A:$A,0))="Max Ambition",Schedules!AA$4,AD34),AD34),AD34)</f>
        <v>1</v>
      </c>
      <c r="AF34" s="39">
        <f>MAX(IFERROR(IF(INDEX('State Map'!$C:$C,MATCH(TRIM('RZSPbS-psgr-ldv'!$A34),'State Map'!$A:$A,0))="Max Ambition",Schedules!AB$4,AE34),AE34),AE34)</f>
        <v>1</v>
      </c>
    </row>
    <row r="35" spans="1:32" x14ac:dyDescent="0.25">
      <c r="A35" t="s">
        <v>34</v>
      </c>
      <c r="B35">
        <f>IF(AND(INDEX('CA Standards and Followers'!$E$7:$E$66,MATCH($A35,'CA Standards and Followers'!$A$7:$A$66,0))=1,INDEX('CA Standards and Followers'!$H$7:$H$66,MATCH($A35,'CA Standards and Followers'!$A$7:$A$66,0))&lt;=B$1),INDEX('CA Standards and Followers'!#REF!,MATCH(B$1,'CA Standards and Followers'!$1:$1,0)),IF(AND(INDEX('CA Standards and Followers'!$D$7:$D$66,MATCH($A35,'CA Standards and Followers'!$A$7:$A$66,0))=1,INDEX('CA Standards and Followers'!$G$7:$G$66,MATCH($A35,'CA Standards and Followers'!$A$7:$A$66,0))&lt;=B$1),INDEX('CA Standards and Followers'!$2:$2,MATCH(B$1,'CA Standards and Followers'!$1:$1,0)),0))</f>
        <v>0</v>
      </c>
      <c r="C35">
        <f>IF(AND(INDEX('CA Standards and Followers'!$E$7:$E$66,MATCH($A35,'CA Standards and Followers'!$A$7:$A$66,0))=1,INDEX('CA Standards and Followers'!$H$7:$H$66,MATCH($A35,'CA Standards and Followers'!$A$7:$A$66,0))&lt;=C$1),INDEX('CA Standards and Followers'!#REF!,MATCH(C$1,'CA Standards and Followers'!$1:$1,0)),IF(AND(INDEX('CA Standards and Followers'!$D$7:$D$66,MATCH($A35,'CA Standards and Followers'!$A$7:$A$66,0))=1,INDEX('CA Standards and Followers'!$G$7:$G$66,MATCH($A35,'CA Standards and Followers'!$A$7:$A$66,0))&lt;=C$1),INDEX('CA Standards and Followers'!$2:$2,MATCH(C$1,'CA Standards and Followers'!$1:$1,0)),0))</f>
        <v>0</v>
      </c>
      <c r="D35">
        <f>IF(AND(INDEX('CA Standards and Followers'!$E$7:$E$66,MATCH($A35,'CA Standards and Followers'!$A$7:$A$66,0))=1,INDEX('CA Standards and Followers'!$H$7:$H$66,MATCH($A35,'CA Standards and Followers'!$A$7:$A$66,0))&lt;=D$1),INDEX('CA Standards and Followers'!#REF!,MATCH(D$1,'CA Standards and Followers'!$1:$1,0)),IF(AND(INDEX('CA Standards and Followers'!$D$7:$D$66,MATCH($A35,'CA Standards and Followers'!$A$7:$A$66,0))=1,INDEX('CA Standards and Followers'!$G$7:$G$66,MATCH($A35,'CA Standards and Followers'!$A$7:$A$66,0))&lt;=D$1),INDEX('CA Standards and Followers'!$2:$2,MATCH(D$1,'CA Standards and Followers'!$1:$1,0)),0))</f>
        <v>0</v>
      </c>
      <c r="E35">
        <f>IF(AND(INDEX('CA Standards and Followers'!$E$7:$E$66,MATCH($A35,'CA Standards and Followers'!$A$7:$A$66,0))=1,INDEX('CA Standards and Followers'!$H$7:$H$66,MATCH($A35,'CA Standards and Followers'!$A$7:$A$66,0))&lt;=E$1),INDEX('CA Standards and Followers'!#REF!,MATCH(E$1,'CA Standards and Followers'!$1:$1,0)),IF(AND(INDEX('CA Standards and Followers'!$D$7:$D$66,MATCH($A35,'CA Standards and Followers'!$A$7:$A$66,0))=1,INDEX('CA Standards and Followers'!$G$7:$G$66,MATCH($A35,'CA Standards and Followers'!$A$7:$A$66,0))&lt;=E$1),INDEX('CA Standards and Followers'!$2:$2,MATCH(E$1,'CA Standards and Followers'!$1:$1,0)),0))</f>
        <v>0</v>
      </c>
      <c r="F35">
        <f>IF(AND(INDEX('CA Standards and Followers'!$E$7:$E$66,MATCH($A35,'CA Standards and Followers'!$A$7:$A$66,0))=1,INDEX('CA Standards and Followers'!$H$7:$H$66,MATCH($A35,'CA Standards and Followers'!$A$7:$A$66,0))&lt;=F$1),INDEX('CA Standards and Followers'!#REF!,MATCH(F$1,'CA Standards and Followers'!$1:$1,0)),IF(AND(INDEX('CA Standards and Followers'!$D$7:$D$66,MATCH($A35,'CA Standards and Followers'!$A$7:$A$66,0))=1,INDEX('CA Standards and Followers'!$G$7:$G$66,MATCH($A35,'CA Standards and Followers'!$A$7:$A$66,0))&lt;=F$1),INDEX('CA Standards and Followers'!$2:$2,MATCH(F$1,'CA Standards and Followers'!$1:$1,0)),0))</f>
        <v>0</v>
      </c>
      <c r="G35">
        <f>IF(AND(INDEX('CA Standards and Followers'!$E$7:$E$66,MATCH($A35,'CA Standards and Followers'!$A$7:$A$66,0))=1,INDEX('CA Standards and Followers'!$H$7:$H$66,MATCH($A35,'CA Standards and Followers'!$A$7:$A$66,0))&lt;=G$1),INDEX('CA Standards and Followers'!#REF!,MATCH(G$1,'CA Standards and Followers'!$1:$1,0)),IF(AND(INDEX('CA Standards and Followers'!$D$7:$D$66,MATCH($A35,'CA Standards and Followers'!$A$7:$A$66,0))=1,INDEX('CA Standards and Followers'!$G$7:$G$66,MATCH($A35,'CA Standards and Followers'!$A$7:$A$66,0))&lt;=G$1),INDEX('CA Standards and Followers'!$2:$2,MATCH(G$1,'CA Standards and Followers'!$1:$1,0)),0))</f>
        <v>0</v>
      </c>
      <c r="H35">
        <f>IF(AND(INDEX('CA Standards and Followers'!$E$7:$E$66,MATCH($A35,'CA Standards and Followers'!$A$7:$A$66,0))=1,INDEX('CA Standards and Followers'!$H$7:$H$66,MATCH($A35,'CA Standards and Followers'!$A$7:$A$66,0))&lt;=H$1),INDEX('CA Standards and Followers'!#REF!,MATCH(H$1,'CA Standards and Followers'!$1:$1,0)),IF(AND(INDEX('CA Standards and Followers'!$D$7:$D$66,MATCH($A35,'CA Standards and Followers'!$A$7:$A$66,0))=1,INDEX('CA Standards and Followers'!$G$7:$G$66,MATCH($A35,'CA Standards and Followers'!$A$7:$A$66,0))&lt;=H$1),INDEX('CA Standards and Followers'!$2:$2,MATCH(H$1,'CA Standards and Followers'!$1:$1,0)),0))</f>
        <v>0</v>
      </c>
      <c r="I35">
        <f>IF(AND(INDEX('CA Standards and Followers'!$E$7:$E$66,MATCH($A35,'CA Standards and Followers'!$A$7:$A$66,0))=1,INDEX('CA Standards and Followers'!$H$7:$H$66,MATCH($A35,'CA Standards and Followers'!$A$7:$A$66,0))&lt;=I$1),INDEX('CA Standards and Followers'!#REF!,MATCH(I$1,'CA Standards and Followers'!$1:$1,0)),IF(AND(INDEX('CA Standards and Followers'!$D$7:$D$66,MATCH($A35,'CA Standards and Followers'!$A$7:$A$66,0))=1,INDEX('CA Standards and Followers'!$G$7:$G$66,MATCH($A35,'CA Standards and Followers'!$A$7:$A$66,0))&lt;=I$1),INDEX('CA Standards and Followers'!$2:$2,MATCH(I$1,'CA Standards and Followers'!$1:$1,0)),0))</f>
        <v>0</v>
      </c>
      <c r="J35">
        <f>IF(AND(INDEX('CA Standards and Followers'!$E$7:$E$66,MATCH($A35,'CA Standards and Followers'!$A$7:$A$66,0))=1,INDEX('CA Standards and Followers'!$H$7:$H$66,MATCH($A35,'CA Standards and Followers'!$A$7:$A$66,0))&lt;=J$1),INDEX('CA Standards and Followers'!#REF!,MATCH(J$1,'CA Standards and Followers'!$1:$1,0)),IF(AND(INDEX('CA Standards and Followers'!$D$7:$D$66,MATCH($A35,'CA Standards and Followers'!$A$7:$A$66,0))=1,INDEX('CA Standards and Followers'!$G$7:$G$66,MATCH($A35,'CA Standards and Followers'!$A$7:$A$66,0))&lt;=J$1),INDEX('CA Standards and Followers'!$2:$2,MATCH(J$1,'CA Standards and Followers'!$1:$1,0)),0))</f>
        <v>0</v>
      </c>
      <c r="K35" s="39">
        <f>MAX(IFERROR(IF(INDEX('State Map'!$C:$C,MATCH(TRIM('RZSPbS-psgr-ldv'!$A35),'State Map'!$A:$A,0))="Max Ambition",Schedules!G$4,J35),J35),J35)</f>
        <v>0</v>
      </c>
      <c r="L35" s="39">
        <f>MAX(IFERROR(IF(INDEX('State Map'!$C:$C,MATCH(TRIM('RZSPbS-psgr-ldv'!$A35),'State Map'!$A:$A,0))="Max Ambition",Schedules!H$4,K35),K35),K35)</f>
        <v>0</v>
      </c>
      <c r="M35" s="39">
        <f>MAX(IFERROR(IF(INDEX('State Map'!$C:$C,MATCH(TRIM('RZSPbS-psgr-ldv'!$A35),'State Map'!$A:$A,0))="Max Ambition",Schedules!I$4,L35),L35),L35)</f>
        <v>0</v>
      </c>
      <c r="N35" s="39">
        <f>MAX(IFERROR(IF(INDEX('State Map'!$C:$C,MATCH(TRIM('RZSPbS-psgr-ldv'!$A35),'State Map'!$A:$A,0))="Max Ambition",Schedules!J$4,M35),M35),M35)</f>
        <v>0</v>
      </c>
      <c r="O35" s="39">
        <f>MAX(IFERROR(IF(INDEX('State Map'!$C:$C,MATCH(TRIM('RZSPbS-psgr-ldv'!$A35),'State Map'!$A:$A,0))="Max Ambition",Schedules!K$4,N35),N35),N35)</f>
        <v>0</v>
      </c>
      <c r="P35" s="39">
        <f>MAX(IFERROR(IF(INDEX('State Map'!$C:$C,MATCH(TRIM('RZSPbS-psgr-ldv'!$A35),'State Map'!$A:$A,0))="Max Ambition",Schedules!L$4,O35),O35),O35)</f>
        <v>0</v>
      </c>
      <c r="Q35" s="39">
        <f>MAX(IFERROR(IF(INDEX('State Map'!$C:$C,MATCH(TRIM('RZSPbS-psgr-ldv'!$A35),'State Map'!$A:$A,0))="Max Ambition",Schedules!M$4,P35),P35),P35)</f>
        <v>0</v>
      </c>
      <c r="R35" s="39">
        <f>MAX(IFERROR(IF(INDEX('State Map'!$C:$C,MATCH(TRIM('RZSPbS-psgr-ldv'!$A35),'State Map'!$A:$A,0))="Max Ambition",Schedules!N$4,Q35),Q35),Q35)</f>
        <v>0</v>
      </c>
      <c r="S35" s="39">
        <f>MAX(IFERROR(IF(INDEX('State Map'!$C:$C,MATCH(TRIM('RZSPbS-psgr-ldv'!$A35),'State Map'!$A:$A,0))="Max Ambition",Schedules!O$4,R35),R35),R35)</f>
        <v>0</v>
      </c>
      <c r="T35" s="39">
        <f>MAX(IFERROR(IF(INDEX('State Map'!$C:$C,MATCH(TRIM('RZSPbS-psgr-ldv'!$A35),'State Map'!$A:$A,0))="Max Ambition",Schedules!P$4,S35),S35),S35)</f>
        <v>0</v>
      </c>
      <c r="U35" s="39">
        <f>MAX(IFERROR(IF(INDEX('State Map'!$C:$C,MATCH(TRIM('RZSPbS-psgr-ldv'!$A35),'State Map'!$A:$A,0))="Max Ambition",Schedules!Q$4,T35),T35),T35)</f>
        <v>0</v>
      </c>
      <c r="V35" s="39">
        <f>MAX(IFERROR(IF(INDEX('State Map'!$C:$C,MATCH(TRIM('RZSPbS-psgr-ldv'!$A35),'State Map'!$A:$A,0))="Max Ambition",Schedules!R$4,U35),U35),U35)</f>
        <v>0</v>
      </c>
      <c r="W35" s="39">
        <f>MAX(IFERROR(IF(INDEX('State Map'!$C:$C,MATCH(TRIM('RZSPbS-psgr-ldv'!$A35),'State Map'!$A:$A,0))="Max Ambition",Schedules!S$4,V35),V35),V35)</f>
        <v>0</v>
      </c>
      <c r="X35" s="39">
        <f>MAX(IFERROR(IF(INDEX('State Map'!$C:$C,MATCH(TRIM('RZSPbS-psgr-ldv'!$A35),'State Map'!$A:$A,0))="Max Ambition",Schedules!T$4,W35),W35),W35)</f>
        <v>0</v>
      </c>
      <c r="Y35" s="39">
        <f>MAX(IFERROR(IF(INDEX('State Map'!$C:$C,MATCH(TRIM('RZSPbS-psgr-ldv'!$A35),'State Map'!$A:$A,0))="Max Ambition",Schedules!U$4,X35),X35),X35)</f>
        <v>0</v>
      </c>
      <c r="Z35" s="39">
        <f>MAX(IFERROR(IF(INDEX('State Map'!$C:$C,MATCH(TRIM('RZSPbS-psgr-ldv'!$A35),'State Map'!$A:$A,0))="Max Ambition",Schedules!V$4,Y35),Y35),Y35)</f>
        <v>0</v>
      </c>
      <c r="AA35" s="39">
        <f>MAX(IFERROR(IF(INDEX('State Map'!$C:$C,MATCH(TRIM('RZSPbS-psgr-ldv'!$A35),'State Map'!$A:$A,0))="Max Ambition",Schedules!W$4,Z35),Z35),Z35)</f>
        <v>0</v>
      </c>
      <c r="AB35" s="39">
        <f>MAX(IFERROR(IF(INDEX('State Map'!$C:$C,MATCH(TRIM('RZSPbS-psgr-ldv'!$A35),'State Map'!$A:$A,0))="Max Ambition",Schedules!X$4,AA35),AA35),AA35)</f>
        <v>0</v>
      </c>
      <c r="AC35" s="39">
        <f>MAX(IFERROR(IF(INDEX('State Map'!$C:$C,MATCH(TRIM('RZSPbS-psgr-ldv'!$A35),'State Map'!$A:$A,0))="Max Ambition",Schedules!Y$4,AB35),AB35),AB35)</f>
        <v>0</v>
      </c>
      <c r="AD35" s="39">
        <f>MAX(IFERROR(IF(INDEX('State Map'!$C:$C,MATCH(TRIM('RZSPbS-psgr-ldv'!$A35),'State Map'!$A:$A,0))="Max Ambition",Schedules!Z$4,AC35),AC35),AC35)</f>
        <v>0</v>
      </c>
      <c r="AE35" s="39">
        <f>MAX(IFERROR(IF(INDEX('State Map'!$C:$C,MATCH(TRIM('RZSPbS-psgr-ldv'!$A35),'State Map'!$A:$A,0))="Max Ambition",Schedules!AA$4,AD35),AD35),AD35)</f>
        <v>0</v>
      </c>
      <c r="AF35" s="39">
        <f>MAX(IFERROR(IF(INDEX('State Map'!$C:$C,MATCH(TRIM('RZSPbS-psgr-ldv'!$A35),'State Map'!$A:$A,0))="Max Ambition",Schedules!AB$4,AE35),AE35),AE35)</f>
        <v>0</v>
      </c>
    </row>
    <row r="36" spans="1:32" x14ac:dyDescent="0.25">
      <c r="A36" t="s">
        <v>35</v>
      </c>
      <c r="B36">
        <f>IF(AND(INDEX('CA Standards and Followers'!$E$7:$E$66,MATCH($A36,'CA Standards and Followers'!$A$7:$A$66,0))=1,INDEX('CA Standards and Followers'!$H$7:$H$66,MATCH($A36,'CA Standards and Followers'!$A$7:$A$66,0))&lt;=B$1),INDEX('CA Standards and Followers'!#REF!,MATCH(B$1,'CA Standards and Followers'!$1:$1,0)),IF(AND(INDEX('CA Standards and Followers'!$D$7:$D$66,MATCH($A36,'CA Standards and Followers'!$A$7:$A$66,0))=1,INDEX('CA Standards and Followers'!$G$7:$G$66,MATCH($A36,'CA Standards and Followers'!$A$7:$A$66,0))&lt;=B$1),INDEX('CA Standards and Followers'!$2:$2,MATCH(B$1,'CA Standards and Followers'!$1:$1,0)),0))</f>
        <v>0</v>
      </c>
      <c r="C36">
        <f>IF(AND(INDEX('CA Standards and Followers'!$E$7:$E$66,MATCH($A36,'CA Standards and Followers'!$A$7:$A$66,0))=1,INDEX('CA Standards and Followers'!$H$7:$H$66,MATCH($A36,'CA Standards and Followers'!$A$7:$A$66,0))&lt;=C$1),INDEX('CA Standards and Followers'!#REF!,MATCH(C$1,'CA Standards and Followers'!$1:$1,0)),IF(AND(INDEX('CA Standards and Followers'!$D$7:$D$66,MATCH($A36,'CA Standards and Followers'!$A$7:$A$66,0))=1,INDEX('CA Standards and Followers'!$G$7:$G$66,MATCH($A36,'CA Standards and Followers'!$A$7:$A$66,0))&lt;=C$1),INDEX('CA Standards and Followers'!$2:$2,MATCH(C$1,'CA Standards and Followers'!$1:$1,0)),0))</f>
        <v>0</v>
      </c>
      <c r="D36">
        <f>IF(AND(INDEX('CA Standards and Followers'!$E$7:$E$66,MATCH($A36,'CA Standards and Followers'!$A$7:$A$66,0))=1,INDEX('CA Standards and Followers'!$H$7:$H$66,MATCH($A36,'CA Standards and Followers'!$A$7:$A$66,0))&lt;=D$1),INDEX('CA Standards and Followers'!#REF!,MATCH(D$1,'CA Standards and Followers'!$1:$1,0)),IF(AND(INDEX('CA Standards and Followers'!$D$7:$D$66,MATCH($A36,'CA Standards and Followers'!$A$7:$A$66,0))=1,INDEX('CA Standards and Followers'!$G$7:$G$66,MATCH($A36,'CA Standards and Followers'!$A$7:$A$66,0))&lt;=D$1),INDEX('CA Standards and Followers'!$2:$2,MATCH(D$1,'CA Standards and Followers'!$1:$1,0)),0))</f>
        <v>0</v>
      </c>
      <c r="E36">
        <f>IF(AND(INDEX('CA Standards and Followers'!$E$7:$E$66,MATCH($A36,'CA Standards and Followers'!$A$7:$A$66,0))=1,INDEX('CA Standards and Followers'!$H$7:$H$66,MATCH($A36,'CA Standards and Followers'!$A$7:$A$66,0))&lt;=E$1),INDEX('CA Standards and Followers'!#REF!,MATCH(E$1,'CA Standards and Followers'!$1:$1,0)),IF(AND(INDEX('CA Standards and Followers'!$D$7:$D$66,MATCH($A36,'CA Standards and Followers'!$A$7:$A$66,0))=1,INDEX('CA Standards and Followers'!$G$7:$G$66,MATCH($A36,'CA Standards and Followers'!$A$7:$A$66,0))&lt;=E$1),INDEX('CA Standards and Followers'!$2:$2,MATCH(E$1,'CA Standards and Followers'!$1:$1,0)),0))</f>
        <v>0</v>
      </c>
      <c r="F36">
        <f>IF(AND(INDEX('CA Standards and Followers'!$E$7:$E$66,MATCH($A36,'CA Standards and Followers'!$A$7:$A$66,0))=1,INDEX('CA Standards and Followers'!$H$7:$H$66,MATCH($A36,'CA Standards and Followers'!$A$7:$A$66,0))&lt;=F$1),INDEX('CA Standards and Followers'!#REF!,MATCH(F$1,'CA Standards and Followers'!$1:$1,0)),IF(AND(INDEX('CA Standards and Followers'!$D$7:$D$66,MATCH($A36,'CA Standards and Followers'!$A$7:$A$66,0))=1,INDEX('CA Standards and Followers'!$G$7:$G$66,MATCH($A36,'CA Standards and Followers'!$A$7:$A$66,0))&lt;=F$1),INDEX('CA Standards and Followers'!$2:$2,MATCH(F$1,'CA Standards and Followers'!$1:$1,0)),0))</f>
        <v>0</v>
      </c>
      <c r="G36">
        <f>IF(AND(INDEX('CA Standards and Followers'!$E$7:$E$66,MATCH($A36,'CA Standards and Followers'!$A$7:$A$66,0))=1,INDEX('CA Standards and Followers'!$H$7:$H$66,MATCH($A36,'CA Standards and Followers'!$A$7:$A$66,0))&lt;=G$1),INDEX('CA Standards and Followers'!#REF!,MATCH(G$1,'CA Standards and Followers'!$1:$1,0)),IF(AND(INDEX('CA Standards and Followers'!$D$7:$D$66,MATCH($A36,'CA Standards and Followers'!$A$7:$A$66,0))=1,INDEX('CA Standards and Followers'!$G$7:$G$66,MATCH($A36,'CA Standards and Followers'!$A$7:$A$66,0))&lt;=G$1),INDEX('CA Standards and Followers'!$2:$2,MATCH(G$1,'CA Standards and Followers'!$1:$1,0)),0))</f>
        <v>0</v>
      </c>
      <c r="H36">
        <f>IF(AND(INDEX('CA Standards and Followers'!$E$7:$E$66,MATCH($A36,'CA Standards and Followers'!$A$7:$A$66,0))=1,INDEX('CA Standards and Followers'!$H$7:$H$66,MATCH($A36,'CA Standards and Followers'!$A$7:$A$66,0))&lt;=H$1),INDEX('CA Standards and Followers'!#REF!,MATCH(H$1,'CA Standards and Followers'!$1:$1,0)),IF(AND(INDEX('CA Standards and Followers'!$D$7:$D$66,MATCH($A36,'CA Standards and Followers'!$A$7:$A$66,0))=1,INDEX('CA Standards and Followers'!$G$7:$G$66,MATCH($A36,'CA Standards and Followers'!$A$7:$A$66,0))&lt;=H$1),INDEX('CA Standards and Followers'!$2:$2,MATCH(H$1,'CA Standards and Followers'!$1:$1,0)),0))</f>
        <v>0</v>
      </c>
      <c r="I36">
        <f>IF(AND(INDEX('CA Standards and Followers'!$E$7:$E$66,MATCH($A36,'CA Standards and Followers'!$A$7:$A$66,0))=1,INDEX('CA Standards and Followers'!$H$7:$H$66,MATCH($A36,'CA Standards and Followers'!$A$7:$A$66,0))&lt;=I$1),INDEX('CA Standards and Followers'!#REF!,MATCH(I$1,'CA Standards and Followers'!$1:$1,0)),IF(AND(INDEX('CA Standards and Followers'!$D$7:$D$66,MATCH($A36,'CA Standards and Followers'!$A$7:$A$66,0))=1,INDEX('CA Standards and Followers'!$G$7:$G$66,MATCH($A36,'CA Standards and Followers'!$A$7:$A$66,0))&lt;=I$1),INDEX('CA Standards and Followers'!$2:$2,MATCH(I$1,'CA Standards and Followers'!$1:$1,0)),0))</f>
        <v>0</v>
      </c>
      <c r="J36">
        <f>IF(AND(INDEX('CA Standards and Followers'!$E$7:$E$66,MATCH($A36,'CA Standards and Followers'!$A$7:$A$66,0))=1,INDEX('CA Standards and Followers'!$H$7:$H$66,MATCH($A36,'CA Standards and Followers'!$A$7:$A$66,0))&lt;=J$1),INDEX('CA Standards and Followers'!#REF!,MATCH(J$1,'CA Standards and Followers'!$1:$1,0)),IF(AND(INDEX('CA Standards and Followers'!$D$7:$D$66,MATCH($A36,'CA Standards and Followers'!$A$7:$A$66,0))=1,INDEX('CA Standards and Followers'!$G$7:$G$66,MATCH($A36,'CA Standards and Followers'!$A$7:$A$66,0))&lt;=J$1),INDEX('CA Standards and Followers'!$2:$2,MATCH(J$1,'CA Standards and Followers'!$1:$1,0)),0))</f>
        <v>0</v>
      </c>
      <c r="K36" s="39">
        <f>MAX(IFERROR(IF(INDEX('State Map'!$C:$C,MATCH(TRIM('RZSPbS-psgr-ldv'!$A36),'State Map'!$A:$A,0))="Max Ambition",Schedules!G$4,J36),J36),J36)</f>
        <v>0</v>
      </c>
      <c r="L36" s="39">
        <f>MAX(IFERROR(IF(INDEX('State Map'!$C:$C,MATCH(TRIM('RZSPbS-psgr-ldv'!$A36),'State Map'!$A:$A,0))="Max Ambition",Schedules!H$4,K36),K36),K36)</f>
        <v>0</v>
      </c>
      <c r="M36" s="39">
        <f>MAX(IFERROR(IF(INDEX('State Map'!$C:$C,MATCH(TRIM('RZSPbS-psgr-ldv'!$A36),'State Map'!$A:$A,0))="Max Ambition",Schedules!I$4,L36),L36),L36)</f>
        <v>0</v>
      </c>
      <c r="N36" s="39">
        <f>MAX(IFERROR(IF(INDEX('State Map'!$C:$C,MATCH(TRIM('RZSPbS-psgr-ldv'!$A36),'State Map'!$A:$A,0))="Max Ambition",Schedules!J$4,M36),M36),M36)</f>
        <v>0</v>
      </c>
      <c r="O36" s="39">
        <f>MAX(IFERROR(IF(INDEX('State Map'!$C:$C,MATCH(TRIM('RZSPbS-psgr-ldv'!$A36),'State Map'!$A:$A,0))="Max Ambition",Schedules!K$4,N36),N36),N36)</f>
        <v>0</v>
      </c>
      <c r="P36" s="39">
        <f>MAX(IFERROR(IF(INDEX('State Map'!$C:$C,MATCH(TRIM('RZSPbS-psgr-ldv'!$A36),'State Map'!$A:$A,0))="Max Ambition",Schedules!L$4,O36),O36),O36)</f>
        <v>0</v>
      </c>
      <c r="Q36" s="39">
        <f>MAX(IFERROR(IF(INDEX('State Map'!$C:$C,MATCH(TRIM('RZSPbS-psgr-ldv'!$A36),'State Map'!$A:$A,0))="Max Ambition",Schedules!M$4,P36),P36),P36)</f>
        <v>0</v>
      </c>
      <c r="R36" s="39">
        <f>MAX(IFERROR(IF(INDEX('State Map'!$C:$C,MATCH(TRIM('RZSPbS-psgr-ldv'!$A36),'State Map'!$A:$A,0))="Max Ambition",Schedules!N$4,Q36),Q36),Q36)</f>
        <v>0</v>
      </c>
      <c r="S36" s="39">
        <f>MAX(IFERROR(IF(INDEX('State Map'!$C:$C,MATCH(TRIM('RZSPbS-psgr-ldv'!$A36),'State Map'!$A:$A,0))="Max Ambition",Schedules!O$4,R36),R36),R36)</f>
        <v>0</v>
      </c>
      <c r="T36" s="39">
        <f>MAX(IFERROR(IF(INDEX('State Map'!$C:$C,MATCH(TRIM('RZSPbS-psgr-ldv'!$A36),'State Map'!$A:$A,0))="Max Ambition",Schedules!P$4,S36),S36),S36)</f>
        <v>0</v>
      </c>
      <c r="U36" s="39">
        <f>MAX(IFERROR(IF(INDEX('State Map'!$C:$C,MATCH(TRIM('RZSPbS-psgr-ldv'!$A36),'State Map'!$A:$A,0))="Max Ambition",Schedules!Q$4,T36),T36),T36)</f>
        <v>0</v>
      </c>
      <c r="V36" s="39">
        <f>MAX(IFERROR(IF(INDEX('State Map'!$C:$C,MATCH(TRIM('RZSPbS-psgr-ldv'!$A36),'State Map'!$A:$A,0))="Max Ambition",Schedules!R$4,U36),U36),U36)</f>
        <v>0</v>
      </c>
      <c r="W36" s="39">
        <f>MAX(IFERROR(IF(INDEX('State Map'!$C:$C,MATCH(TRIM('RZSPbS-psgr-ldv'!$A36),'State Map'!$A:$A,0))="Max Ambition",Schedules!S$4,V36),V36),V36)</f>
        <v>0</v>
      </c>
      <c r="X36" s="39">
        <f>MAX(IFERROR(IF(INDEX('State Map'!$C:$C,MATCH(TRIM('RZSPbS-psgr-ldv'!$A36),'State Map'!$A:$A,0))="Max Ambition",Schedules!T$4,W36),W36),W36)</f>
        <v>0</v>
      </c>
      <c r="Y36" s="39">
        <f>MAX(IFERROR(IF(INDEX('State Map'!$C:$C,MATCH(TRIM('RZSPbS-psgr-ldv'!$A36),'State Map'!$A:$A,0))="Max Ambition",Schedules!U$4,X36),X36),X36)</f>
        <v>0</v>
      </c>
      <c r="Z36" s="39">
        <f>MAX(IFERROR(IF(INDEX('State Map'!$C:$C,MATCH(TRIM('RZSPbS-psgr-ldv'!$A36),'State Map'!$A:$A,0))="Max Ambition",Schedules!V$4,Y36),Y36),Y36)</f>
        <v>0</v>
      </c>
      <c r="AA36" s="39">
        <f>MAX(IFERROR(IF(INDEX('State Map'!$C:$C,MATCH(TRIM('RZSPbS-psgr-ldv'!$A36),'State Map'!$A:$A,0))="Max Ambition",Schedules!W$4,Z36),Z36),Z36)</f>
        <v>0</v>
      </c>
      <c r="AB36" s="39">
        <f>MAX(IFERROR(IF(INDEX('State Map'!$C:$C,MATCH(TRIM('RZSPbS-psgr-ldv'!$A36),'State Map'!$A:$A,0))="Max Ambition",Schedules!X$4,AA36),AA36),AA36)</f>
        <v>0</v>
      </c>
      <c r="AC36" s="39">
        <f>MAX(IFERROR(IF(INDEX('State Map'!$C:$C,MATCH(TRIM('RZSPbS-psgr-ldv'!$A36),'State Map'!$A:$A,0))="Max Ambition",Schedules!Y$4,AB36),AB36),AB36)</f>
        <v>0</v>
      </c>
      <c r="AD36" s="39">
        <f>MAX(IFERROR(IF(INDEX('State Map'!$C:$C,MATCH(TRIM('RZSPbS-psgr-ldv'!$A36),'State Map'!$A:$A,0))="Max Ambition",Schedules!Z$4,AC36),AC36),AC36)</f>
        <v>0</v>
      </c>
      <c r="AE36" s="39">
        <f>MAX(IFERROR(IF(INDEX('State Map'!$C:$C,MATCH(TRIM('RZSPbS-psgr-ldv'!$A36),'State Map'!$A:$A,0))="Max Ambition",Schedules!AA$4,AD36),AD36),AD36)</f>
        <v>0</v>
      </c>
      <c r="AF36" s="39">
        <f>MAX(IFERROR(IF(INDEX('State Map'!$C:$C,MATCH(TRIM('RZSPbS-psgr-ldv'!$A36),'State Map'!$A:$A,0))="Max Ambition",Schedules!AB$4,AE36),AE36),AE36)</f>
        <v>0</v>
      </c>
    </row>
    <row r="37" spans="1:32" x14ac:dyDescent="0.25">
      <c r="A37" t="s">
        <v>36</v>
      </c>
      <c r="B37">
        <f>IF(AND(INDEX('CA Standards and Followers'!$E$7:$E$66,MATCH($A37,'CA Standards and Followers'!$A$7:$A$66,0))=1,INDEX('CA Standards and Followers'!$H$7:$H$66,MATCH($A37,'CA Standards and Followers'!$A$7:$A$66,0))&lt;=B$1),INDEX('CA Standards and Followers'!#REF!,MATCH(B$1,'CA Standards and Followers'!$1:$1,0)),IF(AND(INDEX('CA Standards and Followers'!$D$7:$D$66,MATCH($A37,'CA Standards and Followers'!$A$7:$A$66,0))=1,INDEX('CA Standards and Followers'!$G$7:$G$66,MATCH($A37,'CA Standards and Followers'!$A$7:$A$66,0))&lt;=B$1),INDEX('CA Standards and Followers'!$2:$2,MATCH(B$1,'CA Standards and Followers'!$1:$1,0)),0))</f>
        <v>0</v>
      </c>
      <c r="C37">
        <f>IF(AND(INDEX('CA Standards and Followers'!$E$7:$E$66,MATCH($A37,'CA Standards and Followers'!$A$7:$A$66,0))=1,INDEX('CA Standards and Followers'!$H$7:$H$66,MATCH($A37,'CA Standards and Followers'!$A$7:$A$66,0))&lt;=C$1),INDEX('CA Standards and Followers'!#REF!,MATCH(C$1,'CA Standards and Followers'!$1:$1,0)),IF(AND(INDEX('CA Standards and Followers'!$D$7:$D$66,MATCH($A37,'CA Standards and Followers'!$A$7:$A$66,0))=1,INDEX('CA Standards and Followers'!$G$7:$G$66,MATCH($A37,'CA Standards and Followers'!$A$7:$A$66,0))&lt;=C$1),INDEX('CA Standards and Followers'!$2:$2,MATCH(C$1,'CA Standards and Followers'!$1:$1,0)),0))</f>
        <v>0</v>
      </c>
      <c r="D37">
        <f>IF(AND(INDEX('CA Standards and Followers'!$E$7:$E$66,MATCH($A37,'CA Standards and Followers'!$A$7:$A$66,0))=1,INDEX('CA Standards and Followers'!$H$7:$H$66,MATCH($A37,'CA Standards and Followers'!$A$7:$A$66,0))&lt;=D$1),INDEX('CA Standards and Followers'!#REF!,MATCH(D$1,'CA Standards and Followers'!$1:$1,0)),IF(AND(INDEX('CA Standards and Followers'!$D$7:$D$66,MATCH($A37,'CA Standards and Followers'!$A$7:$A$66,0))=1,INDEX('CA Standards and Followers'!$G$7:$G$66,MATCH($A37,'CA Standards and Followers'!$A$7:$A$66,0))&lt;=D$1),INDEX('CA Standards and Followers'!$2:$2,MATCH(D$1,'CA Standards and Followers'!$1:$1,0)),0))</f>
        <v>0</v>
      </c>
      <c r="E37">
        <f>IF(AND(INDEX('CA Standards and Followers'!$E$7:$E$66,MATCH($A37,'CA Standards and Followers'!$A$7:$A$66,0))=1,INDEX('CA Standards and Followers'!$H$7:$H$66,MATCH($A37,'CA Standards and Followers'!$A$7:$A$66,0))&lt;=E$1),INDEX('CA Standards and Followers'!#REF!,MATCH(E$1,'CA Standards and Followers'!$1:$1,0)),IF(AND(INDEX('CA Standards and Followers'!$D$7:$D$66,MATCH($A37,'CA Standards and Followers'!$A$7:$A$66,0))=1,INDEX('CA Standards and Followers'!$G$7:$G$66,MATCH($A37,'CA Standards and Followers'!$A$7:$A$66,0))&lt;=E$1),INDEX('CA Standards and Followers'!$2:$2,MATCH(E$1,'CA Standards and Followers'!$1:$1,0)),0))</f>
        <v>0</v>
      </c>
      <c r="F37">
        <f>IF(AND(INDEX('CA Standards and Followers'!$E$7:$E$66,MATCH($A37,'CA Standards and Followers'!$A$7:$A$66,0))=1,INDEX('CA Standards and Followers'!$H$7:$H$66,MATCH($A37,'CA Standards and Followers'!$A$7:$A$66,0))&lt;=F$1),INDEX('CA Standards and Followers'!#REF!,MATCH(F$1,'CA Standards and Followers'!$1:$1,0)),IF(AND(INDEX('CA Standards and Followers'!$D$7:$D$66,MATCH($A37,'CA Standards and Followers'!$A$7:$A$66,0))=1,INDEX('CA Standards and Followers'!$G$7:$G$66,MATCH($A37,'CA Standards and Followers'!$A$7:$A$66,0))&lt;=F$1),INDEX('CA Standards and Followers'!$2:$2,MATCH(F$1,'CA Standards and Followers'!$1:$1,0)),0))</f>
        <v>0</v>
      </c>
      <c r="G37">
        <f>IF(AND(INDEX('CA Standards and Followers'!$E$7:$E$66,MATCH($A37,'CA Standards and Followers'!$A$7:$A$66,0))=1,INDEX('CA Standards and Followers'!$H$7:$H$66,MATCH($A37,'CA Standards and Followers'!$A$7:$A$66,0))&lt;=G$1),INDEX('CA Standards and Followers'!#REF!,MATCH(G$1,'CA Standards and Followers'!$1:$1,0)),IF(AND(INDEX('CA Standards and Followers'!$D$7:$D$66,MATCH($A37,'CA Standards and Followers'!$A$7:$A$66,0))=1,INDEX('CA Standards and Followers'!$G$7:$G$66,MATCH($A37,'CA Standards and Followers'!$A$7:$A$66,0))&lt;=G$1),INDEX('CA Standards and Followers'!$2:$2,MATCH(G$1,'CA Standards and Followers'!$1:$1,0)),0))</f>
        <v>0</v>
      </c>
      <c r="H37">
        <f>IF(AND(INDEX('CA Standards and Followers'!$E$7:$E$66,MATCH($A37,'CA Standards and Followers'!$A$7:$A$66,0))=1,INDEX('CA Standards and Followers'!$H$7:$H$66,MATCH($A37,'CA Standards and Followers'!$A$7:$A$66,0))&lt;=H$1),INDEX('CA Standards and Followers'!#REF!,MATCH(H$1,'CA Standards and Followers'!$1:$1,0)),IF(AND(INDEX('CA Standards and Followers'!$D$7:$D$66,MATCH($A37,'CA Standards and Followers'!$A$7:$A$66,0))=1,INDEX('CA Standards and Followers'!$G$7:$G$66,MATCH($A37,'CA Standards and Followers'!$A$7:$A$66,0))&lt;=H$1),INDEX('CA Standards and Followers'!$2:$2,MATCH(H$1,'CA Standards and Followers'!$1:$1,0)),0))</f>
        <v>0</v>
      </c>
      <c r="I37">
        <f>IF(AND(INDEX('CA Standards and Followers'!$E$7:$E$66,MATCH($A37,'CA Standards and Followers'!$A$7:$A$66,0))=1,INDEX('CA Standards and Followers'!$H$7:$H$66,MATCH($A37,'CA Standards and Followers'!$A$7:$A$66,0))&lt;=I$1),INDEX('CA Standards and Followers'!#REF!,MATCH(I$1,'CA Standards and Followers'!$1:$1,0)),IF(AND(INDEX('CA Standards and Followers'!$D$7:$D$66,MATCH($A37,'CA Standards and Followers'!$A$7:$A$66,0))=1,INDEX('CA Standards and Followers'!$G$7:$G$66,MATCH($A37,'CA Standards and Followers'!$A$7:$A$66,0))&lt;=I$1),INDEX('CA Standards and Followers'!$2:$2,MATCH(I$1,'CA Standards and Followers'!$1:$1,0)),0))</f>
        <v>0</v>
      </c>
      <c r="J37">
        <f>IF(AND(INDEX('CA Standards and Followers'!$E$7:$E$66,MATCH($A37,'CA Standards and Followers'!$A$7:$A$66,0))=1,INDEX('CA Standards and Followers'!$H$7:$H$66,MATCH($A37,'CA Standards and Followers'!$A$7:$A$66,0))&lt;=J$1),INDEX('CA Standards and Followers'!#REF!,MATCH(J$1,'CA Standards and Followers'!$1:$1,0)),IF(AND(INDEX('CA Standards and Followers'!$D$7:$D$66,MATCH($A37,'CA Standards and Followers'!$A$7:$A$66,0))=1,INDEX('CA Standards and Followers'!$G$7:$G$66,MATCH($A37,'CA Standards and Followers'!$A$7:$A$66,0))&lt;=J$1),INDEX('CA Standards and Followers'!$2:$2,MATCH(J$1,'CA Standards and Followers'!$1:$1,0)),0))</f>
        <v>0</v>
      </c>
      <c r="K37" s="39">
        <f>MAX(IFERROR(IF(INDEX('State Map'!$C:$C,MATCH(TRIM('RZSPbS-psgr-ldv'!$A37),'State Map'!$A:$A,0))="Max Ambition",Schedules!G$4,J37),J37),J37)</f>
        <v>0</v>
      </c>
      <c r="L37" s="39">
        <f>MAX(IFERROR(IF(INDEX('State Map'!$C:$C,MATCH(TRIM('RZSPbS-psgr-ldv'!$A37),'State Map'!$A:$A,0))="Max Ambition",Schedules!H$4,K37),K37),K37)</f>
        <v>0</v>
      </c>
      <c r="M37" s="39">
        <f>MAX(IFERROR(IF(INDEX('State Map'!$C:$C,MATCH(TRIM('RZSPbS-psgr-ldv'!$A37),'State Map'!$A:$A,0))="Max Ambition",Schedules!I$4,L37),L37),L37)</f>
        <v>0</v>
      </c>
      <c r="N37" s="39">
        <f>MAX(IFERROR(IF(INDEX('State Map'!$C:$C,MATCH(TRIM('RZSPbS-psgr-ldv'!$A37),'State Map'!$A:$A,0))="Max Ambition",Schedules!J$4,M37),M37),M37)</f>
        <v>0</v>
      </c>
      <c r="O37" s="39">
        <f>MAX(IFERROR(IF(INDEX('State Map'!$C:$C,MATCH(TRIM('RZSPbS-psgr-ldv'!$A37),'State Map'!$A:$A,0))="Max Ambition",Schedules!K$4,N37),N37),N37)</f>
        <v>0</v>
      </c>
      <c r="P37" s="39">
        <f>MAX(IFERROR(IF(INDEX('State Map'!$C:$C,MATCH(TRIM('RZSPbS-psgr-ldv'!$A37),'State Map'!$A:$A,0))="Max Ambition",Schedules!L$4,O37),O37),O37)</f>
        <v>0</v>
      </c>
      <c r="Q37" s="39">
        <f>MAX(IFERROR(IF(INDEX('State Map'!$C:$C,MATCH(TRIM('RZSPbS-psgr-ldv'!$A37),'State Map'!$A:$A,0))="Max Ambition",Schedules!M$4,P37),P37),P37)</f>
        <v>0</v>
      </c>
      <c r="R37" s="39">
        <f>MAX(IFERROR(IF(INDEX('State Map'!$C:$C,MATCH(TRIM('RZSPbS-psgr-ldv'!$A37),'State Map'!$A:$A,0))="Max Ambition",Schedules!N$4,Q37),Q37),Q37)</f>
        <v>0</v>
      </c>
      <c r="S37" s="39">
        <f>MAX(IFERROR(IF(INDEX('State Map'!$C:$C,MATCH(TRIM('RZSPbS-psgr-ldv'!$A37),'State Map'!$A:$A,0))="Max Ambition",Schedules!O$4,R37),R37),R37)</f>
        <v>0</v>
      </c>
      <c r="T37" s="39">
        <f>MAX(IFERROR(IF(INDEX('State Map'!$C:$C,MATCH(TRIM('RZSPbS-psgr-ldv'!$A37),'State Map'!$A:$A,0))="Max Ambition",Schedules!P$4,S37),S37),S37)</f>
        <v>0</v>
      </c>
      <c r="U37" s="39">
        <f>MAX(IFERROR(IF(INDEX('State Map'!$C:$C,MATCH(TRIM('RZSPbS-psgr-ldv'!$A37),'State Map'!$A:$A,0))="Max Ambition",Schedules!Q$4,T37),T37),T37)</f>
        <v>0</v>
      </c>
      <c r="V37" s="39">
        <f>MAX(IFERROR(IF(INDEX('State Map'!$C:$C,MATCH(TRIM('RZSPbS-psgr-ldv'!$A37),'State Map'!$A:$A,0))="Max Ambition",Schedules!R$4,U37),U37),U37)</f>
        <v>0</v>
      </c>
      <c r="W37" s="39">
        <f>MAX(IFERROR(IF(INDEX('State Map'!$C:$C,MATCH(TRIM('RZSPbS-psgr-ldv'!$A37),'State Map'!$A:$A,0))="Max Ambition",Schedules!S$4,V37),V37),V37)</f>
        <v>0</v>
      </c>
      <c r="X37" s="39">
        <f>MAX(IFERROR(IF(INDEX('State Map'!$C:$C,MATCH(TRIM('RZSPbS-psgr-ldv'!$A37),'State Map'!$A:$A,0))="Max Ambition",Schedules!T$4,W37),W37),W37)</f>
        <v>0</v>
      </c>
      <c r="Y37" s="39">
        <f>MAX(IFERROR(IF(INDEX('State Map'!$C:$C,MATCH(TRIM('RZSPbS-psgr-ldv'!$A37),'State Map'!$A:$A,0))="Max Ambition",Schedules!U$4,X37),X37),X37)</f>
        <v>0</v>
      </c>
      <c r="Z37" s="39">
        <f>MAX(IFERROR(IF(INDEX('State Map'!$C:$C,MATCH(TRIM('RZSPbS-psgr-ldv'!$A37),'State Map'!$A:$A,0))="Max Ambition",Schedules!V$4,Y37),Y37),Y37)</f>
        <v>0</v>
      </c>
      <c r="AA37" s="39">
        <f>MAX(IFERROR(IF(INDEX('State Map'!$C:$C,MATCH(TRIM('RZSPbS-psgr-ldv'!$A37),'State Map'!$A:$A,0))="Max Ambition",Schedules!W$4,Z37),Z37),Z37)</f>
        <v>0</v>
      </c>
      <c r="AB37" s="39">
        <f>MAX(IFERROR(IF(INDEX('State Map'!$C:$C,MATCH(TRIM('RZSPbS-psgr-ldv'!$A37),'State Map'!$A:$A,0))="Max Ambition",Schedules!X$4,AA37),AA37),AA37)</f>
        <v>0</v>
      </c>
      <c r="AC37" s="39">
        <f>MAX(IFERROR(IF(INDEX('State Map'!$C:$C,MATCH(TRIM('RZSPbS-psgr-ldv'!$A37),'State Map'!$A:$A,0))="Max Ambition",Schedules!Y$4,AB37),AB37),AB37)</f>
        <v>0</v>
      </c>
      <c r="AD37" s="39">
        <f>MAX(IFERROR(IF(INDEX('State Map'!$C:$C,MATCH(TRIM('RZSPbS-psgr-ldv'!$A37),'State Map'!$A:$A,0))="Max Ambition",Schedules!Z$4,AC37),AC37),AC37)</f>
        <v>0</v>
      </c>
      <c r="AE37" s="39">
        <f>MAX(IFERROR(IF(INDEX('State Map'!$C:$C,MATCH(TRIM('RZSPbS-psgr-ldv'!$A37),'State Map'!$A:$A,0))="Max Ambition",Schedules!AA$4,AD37),AD37),AD37)</f>
        <v>0</v>
      </c>
      <c r="AF37" s="39">
        <f>MAX(IFERROR(IF(INDEX('State Map'!$C:$C,MATCH(TRIM('RZSPbS-psgr-ldv'!$A37),'State Map'!$A:$A,0))="Max Ambition",Schedules!AB$4,AE37),AE37),AE37)</f>
        <v>0</v>
      </c>
    </row>
    <row r="38" spans="1:32" x14ac:dyDescent="0.25">
      <c r="A38" t="s">
        <v>37</v>
      </c>
      <c r="B38">
        <f>IF(AND(INDEX('CA Standards and Followers'!$E$7:$E$66,MATCH($A38,'CA Standards and Followers'!$A$7:$A$66,0))=1,INDEX('CA Standards and Followers'!$H$7:$H$66,MATCH($A38,'CA Standards and Followers'!$A$7:$A$66,0))&lt;=B$1),INDEX('CA Standards and Followers'!#REF!,MATCH(B$1,'CA Standards and Followers'!$1:$1,0)),IF(AND(INDEX('CA Standards and Followers'!$D$7:$D$66,MATCH($A38,'CA Standards and Followers'!$A$7:$A$66,0))=1,INDEX('CA Standards and Followers'!$G$7:$G$66,MATCH($A38,'CA Standards and Followers'!$A$7:$A$66,0))&lt;=B$1),INDEX('CA Standards and Followers'!$2:$2,MATCH(B$1,'CA Standards and Followers'!$1:$1,0)),0))</f>
        <v>0</v>
      </c>
      <c r="C38">
        <f>IF(AND(INDEX('CA Standards and Followers'!$E$7:$E$66,MATCH($A38,'CA Standards and Followers'!$A$7:$A$66,0))=1,INDEX('CA Standards and Followers'!$H$7:$H$66,MATCH($A38,'CA Standards and Followers'!$A$7:$A$66,0))&lt;=C$1),INDEX('CA Standards and Followers'!#REF!,MATCH(C$1,'CA Standards and Followers'!$1:$1,0)),IF(AND(INDEX('CA Standards and Followers'!$D$7:$D$66,MATCH($A38,'CA Standards and Followers'!$A$7:$A$66,0))=1,INDEX('CA Standards and Followers'!$G$7:$G$66,MATCH($A38,'CA Standards and Followers'!$A$7:$A$66,0))&lt;=C$1),INDEX('CA Standards and Followers'!$2:$2,MATCH(C$1,'CA Standards and Followers'!$1:$1,0)),0))</f>
        <v>0</v>
      </c>
      <c r="D38">
        <f>IF(AND(INDEX('CA Standards and Followers'!$E$7:$E$66,MATCH($A38,'CA Standards and Followers'!$A$7:$A$66,0))=1,INDEX('CA Standards and Followers'!$H$7:$H$66,MATCH($A38,'CA Standards and Followers'!$A$7:$A$66,0))&lt;=D$1),INDEX('CA Standards and Followers'!#REF!,MATCH(D$1,'CA Standards and Followers'!$1:$1,0)),IF(AND(INDEX('CA Standards and Followers'!$D$7:$D$66,MATCH($A38,'CA Standards and Followers'!$A$7:$A$66,0))=1,INDEX('CA Standards and Followers'!$G$7:$G$66,MATCH($A38,'CA Standards and Followers'!$A$7:$A$66,0))&lt;=D$1),INDEX('CA Standards and Followers'!$2:$2,MATCH(D$1,'CA Standards and Followers'!$1:$1,0)),0))</f>
        <v>0</v>
      </c>
      <c r="E38">
        <f>IF(AND(INDEX('CA Standards and Followers'!$E$7:$E$66,MATCH($A38,'CA Standards and Followers'!$A$7:$A$66,0))=1,INDEX('CA Standards and Followers'!$H$7:$H$66,MATCH($A38,'CA Standards and Followers'!$A$7:$A$66,0))&lt;=E$1),INDEX('CA Standards and Followers'!#REF!,MATCH(E$1,'CA Standards and Followers'!$1:$1,0)),IF(AND(INDEX('CA Standards and Followers'!$D$7:$D$66,MATCH($A38,'CA Standards and Followers'!$A$7:$A$66,0))=1,INDEX('CA Standards and Followers'!$G$7:$G$66,MATCH($A38,'CA Standards and Followers'!$A$7:$A$66,0))&lt;=E$1),INDEX('CA Standards and Followers'!$2:$2,MATCH(E$1,'CA Standards and Followers'!$1:$1,0)),0))</f>
        <v>0</v>
      </c>
      <c r="F38">
        <f>IF(AND(INDEX('CA Standards and Followers'!$E$7:$E$66,MATCH($A38,'CA Standards and Followers'!$A$7:$A$66,0))=1,INDEX('CA Standards and Followers'!$H$7:$H$66,MATCH($A38,'CA Standards and Followers'!$A$7:$A$66,0))&lt;=F$1),INDEX('CA Standards and Followers'!#REF!,MATCH(F$1,'CA Standards and Followers'!$1:$1,0)),IF(AND(INDEX('CA Standards and Followers'!$D$7:$D$66,MATCH($A38,'CA Standards and Followers'!$A$7:$A$66,0))=1,INDEX('CA Standards and Followers'!$G$7:$G$66,MATCH($A38,'CA Standards and Followers'!$A$7:$A$66,0))&lt;=F$1),INDEX('CA Standards and Followers'!$2:$2,MATCH(F$1,'CA Standards and Followers'!$1:$1,0)),0))</f>
        <v>0</v>
      </c>
      <c r="G38">
        <f>IF(AND(INDEX('CA Standards and Followers'!$E$7:$E$66,MATCH($A38,'CA Standards and Followers'!$A$7:$A$66,0))=1,INDEX('CA Standards and Followers'!$H$7:$H$66,MATCH($A38,'CA Standards and Followers'!$A$7:$A$66,0))&lt;=G$1),INDEX('CA Standards and Followers'!#REF!,MATCH(G$1,'CA Standards and Followers'!$1:$1,0)),IF(AND(INDEX('CA Standards and Followers'!$D$7:$D$66,MATCH($A38,'CA Standards and Followers'!$A$7:$A$66,0))=1,INDEX('CA Standards and Followers'!$G$7:$G$66,MATCH($A38,'CA Standards and Followers'!$A$7:$A$66,0))&lt;=G$1),INDEX('CA Standards and Followers'!$2:$2,MATCH(G$1,'CA Standards and Followers'!$1:$1,0)),0))</f>
        <v>0</v>
      </c>
      <c r="H38">
        <f>IF(AND(INDEX('CA Standards and Followers'!$E$7:$E$66,MATCH($A38,'CA Standards and Followers'!$A$7:$A$66,0))=1,INDEX('CA Standards and Followers'!$H$7:$H$66,MATCH($A38,'CA Standards and Followers'!$A$7:$A$66,0))&lt;=H$1),INDEX('CA Standards and Followers'!#REF!,MATCH(H$1,'CA Standards and Followers'!$1:$1,0)),IF(AND(INDEX('CA Standards and Followers'!$D$7:$D$66,MATCH($A38,'CA Standards and Followers'!$A$7:$A$66,0))=1,INDEX('CA Standards and Followers'!$G$7:$G$66,MATCH($A38,'CA Standards and Followers'!$A$7:$A$66,0))&lt;=H$1),INDEX('CA Standards and Followers'!$2:$2,MATCH(H$1,'CA Standards and Followers'!$1:$1,0)),0))</f>
        <v>0</v>
      </c>
      <c r="I38">
        <f>IF(AND(INDEX('CA Standards and Followers'!$E$7:$E$66,MATCH($A38,'CA Standards and Followers'!$A$7:$A$66,0))=1,INDEX('CA Standards and Followers'!$H$7:$H$66,MATCH($A38,'CA Standards and Followers'!$A$7:$A$66,0))&lt;=I$1),INDEX('CA Standards and Followers'!#REF!,MATCH(I$1,'CA Standards and Followers'!$1:$1,0)),IF(AND(INDEX('CA Standards and Followers'!$D$7:$D$66,MATCH($A38,'CA Standards and Followers'!$A$7:$A$66,0))=1,INDEX('CA Standards and Followers'!$G$7:$G$66,MATCH($A38,'CA Standards and Followers'!$A$7:$A$66,0))&lt;=I$1),INDEX('CA Standards and Followers'!$2:$2,MATCH(I$1,'CA Standards and Followers'!$1:$1,0)),0))</f>
        <v>0</v>
      </c>
      <c r="J38">
        <f>IF(AND(INDEX('CA Standards and Followers'!$E$7:$E$66,MATCH($A38,'CA Standards and Followers'!$A$7:$A$66,0))=1,INDEX('CA Standards and Followers'!$H$7:$H$66,MATCH($A38,'CA Standards and Followers'!$A$7:$A$66,0))&lt;=J$1),INDEX('CA Standards and Followers'!#REF!,MATCH(J$1,'CA Standards and Followers'!$1:$1,0)),IF(AND(INDEX('CA Standards and Followers'!$D$7:$D$66,MATCH($A38,'CA Standards and Followers'!$A$7:$A$66,0))=1,INDEX('CA Standards and Followers'!$G$7:$G$66,MATCH($A38,'CA Standards and Followers'!$A$7:$A$66,0))&lt;=J$1),INDEX('CA Standards and Followers'!$2:$2,MATCH(J$1,'CA Standards and Followers'!$1:$1,0)),0))</f>
        <v>0</v>
      </c>
      <c r="K38" s="39">
        <f>MAX(IFERROR(IF(INDEX('State Map'!$C:$C,MATCH(TRIM('RZSPbS-psgr-ldv'!$A38),'State Map'!$A:$A,0))="Max Ambition",Schedules!G$4,J38),J38),J38)</f>
        <v>0</v>
      </c>
      <c r="L38" s="39">
        <f>MAX(IFERROR(IF(INDEX('State Map'!$C:$C,MATCH(TRIM('RZSPbS-psgr-ldv'!$A38),'State Map'!$A:$A,0))="Max Ambition",Schedules!H$4,K38),K38),K38)</f>
        <v>0</v>
      </c>
      <c r="M38" s="39">
        <f>MAX(IFERROR(IF(INDEX('State Map'!$C:$C,MATCH(TRIM('RZSPbS-psgr-ldv'!$A38),'State Map'!$A:$A,0))="Max Ambition",Schedules!I$4,L38),L38),L38)</f>
        <v>0</v>
      </c>
      <c r="N38" s="39">
        <f>MAX(IFERROR(IF(INDEX('State Map'!$C:$C,MATCH(TRIM('RZSPbS-psgr-ldv'!$A38),'State Map'!$A:$A,0))="Max Ambition",Schedules!J$4,M38),M38),M38)</f>
        <v>0</v>
      </c>
      <c r="O38" s="39">
        <f>MAX(IFERROR(IF(INDEX('State Map'!$C:$C,MATCH(TRIM('RZSPbS-psgr-ldv'!$A38),'State Map'!$A:$A,0))="Max Ambition",Schedules!K$4,N38),N38),N38)</f>
        <v>0</v>
      </c>
      <c r="P38" s="39">
        <f>MAX(IFERROR(IF(INDEX('State Map'!$C:$C,MATCH(TRIM('RZSPbS-psgr-ldv'!$A38),'State Map'!$A:$A,0))="Max Ambition",Schedules!L$4,O38),O38),O38)</f>
        <v>0</v>
      </c>
      <c r="Q38" s="39">
        <f>MAX(IFERROR(IF(INDEX('State Map'!$C:$C,MATCH(TRIM('RZSPbS-psgr-ldv'!$A38),'State Map'!$A:$A,0))="Max Ambition",Schedules!M$4,P38),P38),P38)</f>
        <v>0</v>
      </c>
      <c r="R38" s="39">
        <f>MAX(IFERROR(IF(INDEX('State Map'!$C:$C,MATCH(TRIM('RZSPbS-psgr-ldv'!$A38),'State Map'!$A:$A,0))="Max Ambition",Schedules!N$4,Q38),Q38),Q38)</f>
        <v>0</v>
      </c>
      <c r="S38" s="39">
        <f>MAX(IFERROR(IF(INDEX('State Map'!$C:$C,MATCH(TRIM('RZSPbS-psgr-ldv'!$A38),'State Map'!$A:$A,0))="Max Ambition",Schedules!O$4,R38),R38),R38)</f>
        <v>0</v>
      </c>
      <c r="T38" s="39">
        <f>MAX(IFERROR(IF(INDEX('State Map'!$C:$C,MATCH(TRIM('RZSPbS-psgr-ldv'!$A38),'State Map'!$A:$A,0))="Max Ambition",Schedules!P$4,S38),S38),S38)</f>
        <v>0</v>
      </c>
      <c r="U38" s="39">
        <f>MAX(IFERROR(IF(INDEX('State Map'!$C:$C,MATCH(TRIM('RZSPbS-psgr-ldv'!$A38),'State Map'!$A:$A,0))="Max Ambition",Schedules!Q$4,T38),T38),T38)</f>
        <v>0</v>
      </c>
      <c r="V38" s="39">
        <f>MAX(IFERROR(IF(INDEX('State Map'!$C:$C,MATCH(TRIM('RZSPbS-psgr-ldv'!$A38),'State Map'!$A:$A,0))="Max Ambition",Schedules!R$4,U38),U38),U38)</f>
        <v>0</v>
      </c>
      <c r="W38" s="39">
        <f>MAX(IFERROR(IF(INDEX('State Map'!$C:$C,MATCH(TRIM('RZSPbS-psgr-ldv'!$A38),'State Map'!$A:$A,0))="Max Ambition",Schedules!S$4,V38),V38),V38)</f>
        <v>0</v>
      </c>
      <c r="X38" s="39">
        <f>MAX(IFERROR(IF(INDEX('State Map'!$C:$C,MATCH(TRIM('RZSPbS-psgr-ldv'!$A38),'State Map'!$A:$A,0))="Max Ambition",Schedules!T$4,W38),W38),W38)</f>
        <v>0</v>
      </c>
      <c r="Y38" s="39">
        <f>MAX(IFERROR(IF(INDEX('State Map'!$C:$C,MATCH(TRIM('RZSPbS-psgr-ldv'!$A38),'State Map'!$A:$A,0))="Max Ambition",Schedules!U$4,X38),X38),X38)</f>
        <v>0</v>
      </c>
      <c r="Z38" s="39">
        <f>MAX(IFERROR(IF(INDEX('State Map'!$C:$C,MATCH(TRIM('RZSPbS-psgr-ldv'!$A38),'State Map'!$A:$A,0))="Max Ambition",Schedules!V$4,Y38),Y38),Y38)</f>
        <v>0</v>
      </c>
      <c r="AA38" s="39">
        <f>MAX(IFERROR(IF(INDEX('State Map'!$C:$C,MATCH(TRIM('RZSPbS-psgr-ldv'!$A38),'State Map'!$A:$A,0))="Max Ambition",Schedules!W$4,Z38),Z38),Z38)</f>
        <v>0</v>
      </c>
      <c r="AB38" s="39">
        <f>MAX(IFERROR(IF(INDEX('State Map'!$C:$C,MATCH(TRIM('RZSPbS-psgr-ldv'!$A38),'State Map'!$A:$A,0))="Max Ambition",Schedules!X$4,AA38),AA38),AA38)</f>
        <v>0</v>
      </c>
      <c r="AC38" s="39">
        <f>MAX(IFERROR(IF(INDEX('State Map'!$C:$C,MATCH(TRIM('RZSPbS-psgr-ldv'!$A38),'State Map'!$A:$A,0))="Max Ambition",Schedules!Y$4,AB38),AB38),AB38)</f>
        <v>0</v>
      </c>
      <c r="AD38" s="39">
        <f>MAX(IFERROR(IF(INDEX('State Map'!$C:$C,MATCH(TRIM('RZSPbS-psgr-ldv'!$A38),'State Map'!$A:$A,0))="Max Ambition",Schedules!Z$4,AC38),AC38),AC38)</f>
        <v>0</v>
      </c>
      <c r="AE38" s="39">
        <f>MAX(IFERROR(IF(INDEX('State Map'!$C:$C,MATCH(TRIM('RZSPbS-psgr-ldv'!$A38),'State Map'!$A:$A,0))="Max Ambition",Schedules!AA$4,AD38),AD38),AD38)</f>
        <v>0</v>
      </c>
      <c r="AF38" s="39">
        <f>MAX(IFERROR(IF(INDEX('State Map'!$C:$C,MATCH(TRIM('RZSPbS-psgr-ldv'!$A38),'State Map'!$A:$A,0))="Max Ambition",Schedules!AB$4,AE38),AE38),AE38)</f>
        <v>0</v>
      </c>
    </row>
    <row r="39" spans="1:32" x14ac:dyDescent="0.25">
      <c r="A39" t="s">
        <v>38</v>
      </c>
      <c r="B39">
        <f>IF(AND(INDEX('CA Standards and Followers'!$E$7:$E$66,MATCH($A39,'CA Standards and Followers'!$A$7:$A$66,0))=1,INDEX('CA Standards and Followers'!$H$7:$H$66,MATCH($A39,'CA Standards and Followers'!$A$7:$A$66,0))&lt;=B$1),INDEX('CA Standards and Followers'!#REF!,MATCH(B$1,'CA Standards and Followers'!$1:$1,0)),IF(AND(INDEX('CA Standards and Followers'!$D$7:$D$66,MATCH($A39,'CA Standards and Followers'!$A$7:$A$66,0))=1,INDEX('CA Standards and Followers'!$G$7:$G$66,MATCH($A39,'CA Standards and Followers'!$A$7:$A$66,0))&lt;=B$1),INDEX('CA Standards and Followers'!$2:$2,MATCH(B$1,'CA Standards and Followers'!$1:$1,0)),0))</f>
        <v>0</v>
      </c>
      <c r="C39">
        <f>IF(AND(INDEX('CA Standards and Followers'!$E$7:$E$66,MATCH($A39,'CA Standards and Followers'!$A$7:$A$66,0))=1,INDEX('CA Standards and Followers'!$H$7:$H$66,MATCH($A39,'CA Standards and Followers'!$A$7:$A$66,0))&lt;=C$1),INDEX('CA Standards and Followers'!#REF!,MATCH(C$1,'CA Standards and Followers'!$1:$1,0)),IF(AND(INDEX('CA Standards and Followers'!$D$7:$D$66,MATCH($A39,'CA Standards and Followers'!$A$7:$A$66,0))=1,INDEX('CA Standards and Followers'!$G$7:$G$66,MATCH($A39,'CA Standards and Followers'!$A$7:$A$66,0))&lt;=C$1),INDEX('CA Standards and Followers'!$2:$2,MATCH(C$1,'CA Standards and Followers'!$1:$1,0)),0))</f>
        <v>0</v>
      </c>
      <c r="D39">
        <f>IF(AND(INDEX('CA Standards and Followers'!$E$7:$E$66,MATCH($A39,'CA Standards and Followers'!$A$7:$A$66,0))=1,INDEX('CA Standards and Followers'!$H$7:$H$66,MATCH($A39,'CA Standards and Followers'!$A$7:$A$66,0))&lt;=D$1),INDEX('CA Standards and Followers'!#REF!,MATCH(D$1,'CA Standards and Followers'!$1:$1,0)),IF(AND(INDEX('CA Standards and Followers'!$D$7:$D$66,MATCH($A39,'CA Standards and Followers'!$A$7:$A$66,0))=1,INDEX('CA Standards and Followers'!$G$7:$G$66,MATCH($A39,'CA Standards and Followers'!$A$7:$A$66,0))&lt;=D$1),INDEX('CA Standards and Followers'!$2:$2,MATCH(D$1,'CA Standards and Followers'!$1:$1,0)),0))</f>
        <v>0</v>
      </c>
      <c r="E39">
        <f>IF(AND(INDEX('CA Standards and Followers'!$E$7:$E$66,MATCH($A39,'CA Standards and Followers'!$A$7:$A$66,0))=1,INDEX('CA Standards and Followers'!$H$7:$H$66,MATCH($A39,'CA Standards and Followers'!$A$7:$A$66,0))&lt;=E$1),INDEX('CA Standards and Followers'!#REF!,MATCH(E$1,'CA Standards and Followers'!$1:$1,0)),IF(AND(INDEX('CA Standards and Followers'!$D$7:$D$66,MATCH($A39,'CA Standards and Followers'!$A$7:$A$66,0))=1,INDEX('CA Standards and Followers'!$G$7:$G$66,MATCH($A39,'CA Standards and Followers'!$A$7:$A$66,0))&lt;=E$1),INDEX('CA Standards and Followers'!$2:$2,MATCH(E$1,'CA Standards and Followers'!$1:$1,0)),0))</f>
        <v>0</v>
      </c>
      <c r="F39">
        <f>IF(AND(INDEX('CA Standards and Followers'!$E$7:$E$66,MATCH($A39,'CA Standards and Followers'!$A$7:$A$66,0))=1,INDEX('CA Standards and Followers'!$H$7:$H$66,MATCH($A39,'CA Standards and Followers'!$A$7:$A$66,0))&lt;=F$1),INDEX('CA Standards and Followers'!#REF!,MATCH(F$1,'CA Standards and Followers'!$1:$1,0)),IF(AND(INDEX('CA Standards and Followers'!$D$7:$D$66,MATCH($A39,'CA Standards and Followers'!$A$7:$A$66,0))=1,INDEX('CA Standards and Followers'!$G$7:$G$66,MATCH($A39,'CA Standards and Followers'!$A$7:$A$66,0))&lt;=F$1),INDEX('CA Standards and Followers'!$2:$2,MATCH(F$1,'CA Standards and Followers'!$1:$1,0)),0))</f>
        <v>0.08</v>
      </c>
      <c r="G39">
        <f>IF(AND(INDEX('CA Standards and Followers'!$E$7:$E$66,MATCH($A39,'CA Standards and Followers'!$A$7:$A$66,0))=1,INDEX('CA Standards and Followers'!$H$7:$H$66,MATCH($A39,'CA Standards and Followers'!$A$7:$A$66,0))&lt;=G$1),INDEX('CA Standards and Followers'!#REF!,MATCH(G$1,'CA Standards and Followers'!$1:$1,0)),IF(AND(INDEX('CA Standards and Followers'!$D$7:$D$66,MATCH($A39,'CA Standards and Followers'!$A$7:$A$66,0))=1,INDEX('CA Standards and Followers'!$G$7:$G$66,MATCH($A39,'CA Standards and Followers'!$A$7:$A$66,0))&lt;=G$1),INDEX('CA Standards and Followers'!$2:$2,MATCH(G$1,'CA Standards and Followers'!$1:$1,0)),0))</f>
        <v>0.08</v>
      </c>
      <c r="H39">
        <f>IF(AND(INDEX('CA Standards and Followers'!$E$7:$E$66,MATCH($A39,'CA Standards and Followers'!$A$7:$A$66,0))=1,INDEX('CA Standards and Followers'!$H$7:$H$66,MATCH($A39,'CA Standards and Followers'!$A$7:$A$66,0))&lt;=H$1),INDEX('CA Standards and Followers'!#REF!,MATCH(H$1,'CA Standards and Followers'!$1:$1,0)),IF(AND(INDEX('CA Standards and Followers'!$D$7:$D$66,MATCH($A39,'CA Standards and Followers'!$A$7:$A$66,0))=1,INDEX('CA Standards and Followers'!$G$7:$G$66,MATCH($A39,'CA Standards and Followers'!$A$7:$A$66,0))&lt;=H$1),INDEX('CA Standards and Followers'!$2:$2,MATCH(H$1,'CA Standards and Followers'!$1:$1,0)),0))</f>
        <v>0</v>
      </c>
      <c r="I39">
        <f>IF(AND(INDEX('CA Standards and Followers'!$E$7:$E$66,MATCH($A39,'CA Standards and Followers'!$A$7:$A$66,0))=1,INDEX('CA Standards and Followers'!$H$7:$H$66,MATCH($A39,'CA Standards and Followers'!$A$7:$A$66,0))&lt;=I$1),INDEX('CA Standards and Followers'!#REF!,MATCH(I$1,'CA Standards and Followers'!$1:$1,0)),IF(AND(INDEX('CA Standards and Followers'!$D$7:$D$66,MATCH($A39,'CA Standards and Followers'!$A$7:$A$66,0))=1,INDEX('CA Standards and Followers'!$G$7:$G$66,MATCH($A39,'CA Standards and Followers'!$A$7:$A$66,0))&lt;=I$1),INDEX('CA Standards and Followers'!$2:$2,MATCH(I$1,'CA Standards and Followers'!$1:$1,0)),0))</f>
        <v>0</v>
      </c>
      <c r="J39">
        <f>IF(AND(INDEX('CA Standards and Followers'!$E$7:$E$66,MATCH($A39,'CA Standards and Followers'!$A$7:$A$66,0))=1,INDEX('CA Standards and Followers'!$H$7:$H$66,MATCH($A39,'CA Standards and Followers'!$A$7:$A$66,0))&lt;=J$1),INDEX('CA Standards and Followers'!#REF!,MATCH(J$1,'CA Standards and Followers'!$1:$1,0)),IF(AND(INDEX('CA Standards and Followers'!$D$7:$D$66,MATCH($A39,'CA Standards and Followers'!$A$7:$A$66,0))=1,INDEX('CA Standards and Followers'!$G$7:$G$66,MATCH($A39,'CA Standards and Followers'!$A$7:$A$66,0))&lt;=J$1),INDEX('CA Standards and Followers'!$2:$2,MATCH(J$1,'CA Standards and Followers'!$1:$1,0)),0))</f>
        <v>0</v>
      </c>
      <c r="K39" s="39">
        <f>MAX(IFERROR(IF(INDEX('State Map'!$C:$C,MATCH(TRIM('RZSPbS-psgr-ldv'!$A39),'State Map'!$A:$A,0))="Max Ambition",Schedules!G$4,J39),J39),J39)</f>
        <v>0.2</v>
      </c>
      <c r="L39" s="39">
        <f>MAX(IFERROR(IF(INDEX('State Map'!$C:$C,MATCH(TRIM('RZSPbS-psgr-ldv'!$A39),'State Map'!$A:$A,0))="Max Ambition",Schedules!H$4,K39),K39),K39)</f>
        <v>0.25</v>
      </c>
      <c r="M39" s="39">
        <f>MAX(IFERROR(IF(INDEX('State Map'!$C:$C,MATCH(TRIM('RZSPbS-psgr-ldv'!$A39),'State Map'!$A:$A,0))="Max Ambition",Schedules!I$4,L39),L39),L39)</f>
        <v>0.3</v>
      </c>
      <c r="N39" s="39">
        <f>MAX(IFERROR(IF(INDEX('State Map'!$C:$C,MATCH(TRIM('RZSPbS-psgr-ldv'!$A39),'State Map'!$A:$A,0))="Max Ambition",Schedules!J$4,M39),M39),M39)</f>
        <v>0.38</v>
      </c>
      <c r="O39" s="39">
        <f>MAX(IFERROR(IF(INDEX('State Map'!$C:$C,MATCH(TRIM('RZSPbS-psgr-ldv'!$A39),'State Map'!$A:$A,0))="Max Ambition",Schedules!K$4,N39),N39),N39)</f>
        <v>0.46</v>
      </c>
      <c r="P39" s="39">
        <f>MAX(IFERROR(IF(INDEX('State Map'!$C:$C,MATCH(TRIM('RZSPbS-psgr-ldv'!$A39),'State Map'!$A:$A,0))="Max Ambition",Schedules!L$4,O39),O39),O39)</f>
        <v>0.51400000000000001</v>
      </c>
      <c r="Q39" s="39">
        <f>MAX(IFERROR(IF(INDEX('State Map'!$C:$C,MATCH(TRIM('RZSPbS-psgr-ldv'!$A39),'State Map'!$A:$A,0))="Max Ambition",Schedules!M$4,P39),P39),P39)</f>
        <v>0.56799999999999995</v>
      </c>
      <c r="R39" s="39">
        <f>MAX(IFERROR(IF(INDEX('State Map'!$C:$C,MATCH(TRIM('RZSPbS-psgr-ldv'!$A39),'State Map'!$A:$A,0))="Max Ambition",Schedules!N$4,Q39),Q39),Q39)</f>
        <v>0.622</v>
      </c>
      <c r="S39" s="39">
        <f>MAX(IFERROR(IF(INDEX('State Map'!$C:$C,MATCH(TRIM('RZSPbS-psgr-ldv'!$A39),'State Map'!$A:$A,0))="Max Ambition",Schedules!O$4,R39),R39),R39)</f>
        <v>0.67600000000000005</v>
      </c>
      <c r="T39" s="39">
        <f>MAX(IFERROR(IF(INDEX('State Map'!$C:$C,MATCH(TRIM('RZSPbS-psgr-ldv'!$A39),'State Map'!$A:$A,0))="Max Ambition",Schedules!P$4,S39),S39),S39)</f>
        <v>0.73</v>
      </c>
      <c r="U39" s="39">
        <f>MAX(IFERROR(IF(INDEX('State Map'!$C:$C,MATCH(TRIM('RZSPbS-psgr-ldv'!$A39),'State Map'!$A:$A,0))="Max Ambition",Schedules!Q$4,T39),T39),T39)</f>
        <v>0.78400000000000003</v>
      </c>
      <c r="V39" s="39">
        <f>MAX(IFERROR(IF(INDEX('State Map'!$C:$C,MATCH(TRIM('RZSPbS-psgr-ldv'!$A39),'State Map'!$A:$A,0))="Max Ambition",Schedules!R$4,U39),U39),U39)</f>
        <v>0.83799999999999997</v>
      </c>
      <c r="W39" s="39">
        <f>MAX(IFERROR(IF(INDEX('State Map'!$C:$C,MATCH(TRIM('RZSPbS-psgr-ldv'!$A39),'State Map'!$A:$A,0))="Max Ambition",Schedules!S$4,V39),V39),V39)</f>
        <v>0.89200000000000002</v>
      </c>
      <c r="X39" s="39">
        <f>MAX(IFERROR(IF(INDEX('State Map'!$C:$C,MATCH(TRIM('RZSPbS-psgr-ldv'!$A39),'State Map'!$A:$A,0))="Max Ambition",Schedules!T$4,W39),W39),W39)</f>
        <v>0.94599999999999995</v>
      </c>
      <c r="Y39" s="39">
        <f>MAX(IFERROR(IF(INDEX('State Map'!$C:$C,MATCH(TRIM('RZSPbS-psgr-ldv'!$A39),'State Map'!$A:$A,0))="Max Ambition",Schedules!U$4,X39),X39),X39)</f>
        <v>1</v>
      </c>
      <c r="Z39" s="39">
        <f>MAX(IFERROR(IF(INDEX('State Map'!$C:$C,MATCH(TRIM('RZSPbS-psgr-ldv'!$A39),'State Map'!$A:$A,0))="Max Ambition",Schedules!V$4,Y39),Y39),Y39)</f>
        <v>1</v>
      </c>
      <c r="AA39" s="39">
        <f>MAX(IFERROR(IF(INDEX('State Map'!$C:$C,MATCH(TRIM('RZSPbS-psgr-ldv'!$A39),'State Map'!$A:$A,0))="Max Ambition",Schedules!W$4,Z39),Z39),Z39)</f>
        <v>1</v>
      </c>
      <c r="AB39" s="39">
        <f>MAX(IFERROR(IF(INDEX('State Map'!$C:$C,MATCH(TRIM('RZSPbS-psgr-ldv'!$A39),'State Map'!$A:$A,0))="Max Ambition",Schedules!X$4,AA39),AA39),AA39)</f>
        <v>1</v>
      </c>
      <c r="AC39" s="39">
        <f>MAX(IFERROR(IF(INDEX('State Map'!$C:$C,MATCH(TRIM('RZSPbS-psgr-ldv'!$A39),'State Map'!$A:$A,0))="Max Ambition",Schedules!Y$4,AB39),AB39),AB39)</f>
        <v>1</v>
      </c>
      <c r="AD39" s="39">
        <f>MAX(IFERROR(IF(INDEX('State Map'!$C:$C,MATCH(TRIM('RZSPbS-psgr-ldv'!$A39),'State Map'!$A:$A,0))="Max Ambition",Schedules!Z$4,AC39),AC39),AC39)</f>
        <v>1</v>
      </c>
      <c r="AE39" s="39">
        <f>MAX(IFERROR(IF(INDEX('State Map'!$C:$C,MATCH(TRIM('RZSPbS-psgr-ldv'!$A39),'State Map'!$A:$A,0))="Max Ambition",Schedules!AA$4,AD39),AD39),AD39)</f>
        <v>1</v>
      </c>
      <c r="AF39" s="39">
        <f>MAX(IFERROR(IF(INDEX('State Map'!$C:$C,MATCH(TRIM('RZSPbS-psgr-ldv'!$A39),'State Map'!$A:$A,0))="Max Ambition",Schedules!AB$4,AE39),AE39),AE39)</f>
        <v>1</v>
      </c>
    </row>
    <row r="40" spans="1:32" x14ac:dyDescent="0.25">
      <c r="A40" t="s">
        <v>39</v>
      </c>
      <c r="B40">
        <f>IF(AND(INDEX('CA Standards and Followers'!$E$7:$E$66,MATCH($A40,'CA Standards and Followers'!$A$7:$A$66,0))=1,INDEX('CA Standards and Followers'!$H$7:$H$66,MATCH($A40,'CA Standards and Followers'!$A$7:$A$66,0))&lt;=B$1),INDEX('CA Standards and Followers'!#REF!,MATCH(B$1,'CA Standards and Followers'!$1:$1,0)),IF(AND(INDEX('CA Standards and Followers'!$D$7:$D$66,MATCH($A40,'CA Standards and Followers'!$A$7:$A$66,0))=1,INDEX('CA Standards and Followers'!$G$7:$G$66,MATCH($A40,'CA Standards and Followers'!$A$7:$A$66,0))&lt;=B$1),INDEX('CA Standards and Followers'!$2:$2,MATCH(B$1,'CA Standards and Followers'!$1:$1,0)),0))</f>
        <v>0</v>
      </c>
      <c r="C40">
        <f>IF(AND(INDEX('CA Standards and Followers'!$E$7:$E$66,MATCH($A40,'CA Standards and Followers'!$A$7:$A$66,0))=1,INDEX('CA Standards and Followers'!$H$7:$H$66,MATCH($A40,'CA Standards and Followers'!$A$7:$A$66,0))&lt;=C$1),INDEX('CA Standards and Followers'!#REF!,MATCH(C$1,'CA Standards and Followers'!$1:$1,0)),IF(AND(INDEX('CA Standards and Followers'!$D$7:$D$66,MATCH($A40,'CA Standards and Followers'!$A$7:$A$66,0))=1,INDEX('CA Standards and Followers'!$G$7:$G$66,MATCH($A40,'CA Standards and Followers'!$A$7:$A$66,0))&lt;=C$1),INDEX('CA Standards and Followers'!$2:$2,MATCH(C$1,'CA Standards and Followers'!$1:$1,0)),0))</f>
        <v>0</v>
      </c>
      <c r="D40">
        <f>IF(AND(INDEX('CA Standards and Followers'!$E$7:$E$66,MATCH($A40,'CA Standards and Followers'!$A$7:$A$66,0))=1,INDEX('CA Standards and Followers'!$H$7:$H$66,MATCH($A40,'CA Standards and Followers'!$A$7:$A$66,0))&lt;=D$1),INDEX('CA Standards and Followers'!#REF!,MATCH(D$1,'CA Standards and Followers'!$1:$1,0)),IF(AND(INDEX('CA Standards and Followers'!$D$7:$D$66,MATCH($A40,'CA Standards and Followers'!$A$7:$A$66,0))=1,INDEX('CA Standards and Followers'!$G$7:$G$66,MATCH($A40,'CA Standards and Followers'!$A$7:$A$66,0))&lt;=D$1),INDEX('CA Standards and Followers'!$2:$2,MATCH(D$1,'CA Standards and Followers'!$1:$1,0)),0))</f>
        <v>0</v>
      </c>
      <c r="E40">
        <f>IF(AND(INDEX('CA Standards and Followers'!$E$7:$E$66,MATCH($A40,'CA Standards and Followers'!$A$7:$A$66,0))=1,INDEX('CA Standards and Followers'!$H$7:$H$66,MATCH($A40,'CA Standards and Followers'!$A$7:$A$66,0))&lt;=E$1),INDEX('CA Standards and Followers'!#REF!,MATCH(E$1,'CA Standards and Followers'!$1:$1,0)),IF(AND(INDEX('CA Standards and Followers'!$D$7:$D$66,MATCH($A40,'CA Standards and Followers'!$A$7:$A$66,0))=1,INDEX('CA Standards and Followers'!$G$7:$G$66,MATCH($A40,'CA Standards and Followers'!$A$7:$A$66,0))&lt;=E$1),INDEX('CA Standards and Followers'!$2:$2,MATCH(E$1,'CA Standards and Followers'!$1:$1,0)),0))</f>
        <v>0</v>
      </c>
      <c r="F40">
        <f>IF(AND(INDEX('CA Standards and Followers'!$E$7:$E$66,MATCH($A40,'CA Standards and Followers'!$A$7:$A$66,0))=1,INDEX('CA Standards and Followers'!$H$7:$H$66,MATCH($A40,'CA Standards and Followers'!$A$7:$A$66,0))&lt;=F$1),INDEX('CA Standards and Followers'!#REF!,MATCH(F$1,'CA Standards and Followers'!$1:$1,0)),IF(AND(INDEX('CA Standards and Followers'!$D$7:$D$66,MATCH($A40,'CA Standards and Followers'!$A$7:$A$66,0))=1,INDEX('CA Standards and Followers'!$G$7:$G$66,MATCH($A40,'CA Standards and Followers'!$A$7:$A$66,0))&lt;=F$1),INDEX('CA Standards and Followers'!$2:$2,MATCH(F$1,'CA Standards and Followers'!$1:$1,0)),0))</f>
        <v>0</v>
      </c>
      <c r="G40">
        <f>IF(AND(INDEX('CA Standards and Followers'!$E$7:$E$66,MATCH($A40,'CA Standards and Followers'!$A$7:$A$66,0))=1,INDEX('CA Standards and Followers'!$H$7:$H$66,MATCH($A40,'CA Standards and Followers'!$A$7:$A$66,0))&lt;=G$1),INDEX('CA Standards and Followers'!#REF!,MATCH(G$1,'CA Standards and Followers'!$1:$1,0)),IF(AND(INDEX('CA Standards and Followers'!$D$7:$D$66,MATCH($A40,'CA Standards and Followers'!$A$7:$A$66,0))=1,INDEX('CA Standards and Followers'!$G$7:$G$66,MATCH($A40,'CA Standards and Followers'!$A$7:$A$66,0))&lt;=G$1),INDEX('CA Standards and Followers'!$2:$2,MATCH(G$1,'CA Standards and Followers'!$1:$1,0)),0))</f>
        <v>0</v>
      </c>
      <c r="H40">
        <f>IF(AND(INDEX('CA Standards and Followers'!$E$7:$E$66,MATCH($A40,'CA Standards and Followers'!$A$7:$A$66,0))=1,INDEX('CA Standards and Followers'!$H$7:$H$66,MATCH($A40,'CA Standards and Followers'!$A$7:$A$66,0))&lt;=H$1),INDEX('CA Standards and Followers'!#REF!,MATCH(H$1,'CA Standards and Followers'!$1:$1,0)),IF(AND(INDEX('CA Standards and Followers'!$D$7:$D$66,MATCH($A40,'CA Standards and Followers'!$A$7:$A$66,0))=1,INDEX('CA Standards and Followers'!$G$7:$G$66,MATCH($A40,'CA Standards and Followers'!$A$7:$A$66,0))&lt;=H$1),INDEX('CA Standards and Followers'!$2:$2,MATCH(H$1,'CA Standards and Followers'!$1:$1,0)),0))</f>
        <v>0</v>
      </c>
      <c r="I40">
        <f>IF(AND(INDEX('CA Standards and Followers'!$E$7:$E$66,MATCH($A40,'CA Standards and Followers'!$A$7:$A$66,0))=1,INDEX('CA Standards and Followers'!$H$7:$H$66,MATCH($A40,'CA Standards and Followers'!$A$7:$A$66,0))&lt;=I$1),INDEX('CA Standards and Followers'!#REF!,MATCH(I$1,'CA Standards and Followers'!$1:$1,0)),IF(AND(INDEX('CA Standards and Followers'!$D$7:$D$66,MATCH($A40,'CA Standards and Followers'!$A$7:$A$66,0))=1,INDEX('CA Standards and Followers'!$G$7:$G$66,MATCH($A40,'CA Standards and Followers'!$A$7:$A$66,0))&lt;=I$1),INDEX('CA Standards and Followers'!$2:$2,MATCH(I$1,'CA Standards and Followers'!$1:$1,0)),0))</f>
        <v>0</v>
      </c>
      <c r="J40">
        <f>IF(AND(INDEX('CA Standards and Followers'!$E$7:$E$66,MATCH($A40,'CA Standards and Followers'!$A$7:$A$66,0))=1,INDEX('CA Standards and Followers'!$H$7:$H$66,MATCH($A40,'CA Standards and Followers'!$A$7:$A$66,0))&lt;=J$1),INDEX('CA Standards and Followers'!#REF!,MATCH(J$1,'CA Standards and Followers'!$1:$1,0)),IF(AND(INDEX('CA Standards and Followers'!$D$7:$D$66,MATCH($A40,'CA Standards and Followers'!$A$7:$A$66,0))=1,INDEX('CA Standards and Followers'!$G$7:$G$66,MATCH($A40,'CA Standards and Followers'!$A$7:$A$66,0))&lt;=J$1),INDEX('CA Standards and Followers'!$2:$2,MATCH(J$1,'CA Standards and Followers'!$1:$1,0)),0))</f>
        <v>0</v>
      </c>
      <c r="K40" s="39">
        <f>MAX(IFERROR(IF(INDEX('State Map'!$C:$C,MATCH(TRIM('RZSPbS-psgr-ldv'!$A40),'State Map'!$A:$A,0))="Max Ambition",Schedules!G$4,J40),J40),J40)</f>
        <v>0</v>
      </c>
      <c r="L40" s="39">
        <f>MAX(IFERROR(IF(INDEX('State Map'!$C:$C,MATCH(TRIM('RZSPbS-psgr-ldv'!$A40),'State Map'!$A:$A,0))="Max Ambition",Schedules!H$4,K40),K40),K40)</f>
        <v>0</v>
      </c>
      <c r="M40" s="39">
        <f>MAX(IFERROR(IF(INDEX('State Map'!$C:$C,MATCH(TRIM('RZSPbS-psgr-ldv'!$A40),'State Map'!$A:$A,0))="Max Ambition",Schedules!I$4,L40),L40),L40)</f>
        <v>0</v>
      </c>
      <c r="N40" s="39">
        <f>MAX(IFERROR(IF(INDEX('State Map'!$C:$C,MATCH(TRIM('RZSPbS-psgr-ldv'!$A40),'State Map'!$A:$A,0))="Max Ambition",Schedules!J$4,M40),M40),M40)</f>
        <v>0</v>
      </c>
      <c r="O40" s="39">
        <f>MAX(IFERROR(IF(INDEX('State Map'!$C:$C,MATCH(TRIM('RZSPbS-psgr-ldv'!$A40),'State Map'!$A:$A,0))="Max Ambition",Schedules!K$4,N40),N40),N40)</f>
        <v>0</v>
      </c>
      <c r="P40" s="39">
        <f>MAX(IFERROR(IF(INDEX('State Map'!$C:$C,MATCH(TRIM('RZSPbS-psgr-ldv'!$A40),'State Map'!$A:$A,0))="Max Ambition",Schedules!L$4,O40),O40),O40)</f>
        <v>0</v>
      </c>
      <c r="Q40" s="39">
        <f>MAX(IFERROR(IF(INDEX('State Map'!$C:$C,MATCH(TRIM('RZSPbS-psgr-ldv'!$A40),'State Map'!$A:$A,0))="Max Ambition",Schedules!M$4,P40),P40),P40)</f>
        <v>0</v>
      </c>
      <c r="R40" s="39">
        <f>MAX(IFERROR(IF(INDEX('State Map'!$C:$C,MATCH(TRIM('RZSPbS-psgr-ldv'!$A40),'State Map'!$A:$A,0))="Max Ambition",Schedules!N$4,Q40),Q40),Q40)</f>
        <v>0</v>
      </c>
      <c r="S40" s="39">
        <f>MAX(IFERROR(IF(INDEX('State Map'!$C:$C,MATCH(TRIM('RZSPbS-psgr-ldv'!$A40),'State Map'!$A:$A,0))="Max Ambition",Schedules!O$4,R40),R40),R40)</f>
        <v>0</v>
      </c>
      <c r="T40" s="39">
        <f>MAX(IFERROR(IF(INDEX('State Map'!$C:$C,MATCH(TRIM('RZSPbS-psgr-ldv'!$A40),'State Map'!$A:$A,0))="Max Ambition",Schedules!P$4,S40),S40),S40)</f>
        <v>0</v>
      </c>
      <c r="U40" s="39">
        <f>MAX(IFERROR(IF(INDEX('State Map'!$C:$C,MATCH(TRIM('RZSPbS-psgr-ldv'!$A40),'State Map'!$A:$A,0))="Max Ambition",Schedules!Q$4,T40),T40),T40)</f>
        <v>0</v>
      </c>
      <c r="V40" s="39">
        <f>MAX(IFERROR(IF(INDEX('State Map'!$C:$C,MATCH(TRIM('RZSPbS-psgr-ldv'!$A40),'State Map'!$A:$A,0))="Max Ambition",Schedules!R$4,U40),U40),U40)</f>
        <v>0</v>
      </c>
      <c r="W40" s="39">
        <f>MAX(IFERROR(IF(INDEX('State Map'!$C:$C,MATCH(TRIM('RZSPbS-psgr-ldv'!$A40),'State Map'!$A:$A,0))="Max Ambition",Schedules!S$4,V40),V40),V40)</f>
        <v>0</v>
      </c>
      <c r="X40" s="39">
        <f>MAX(IFERROR(IF(INDEX('State Map'!$C:$C,MATCH(TRIM('RZSPbS-psgr-ldv'!$A40),'State Map'!$A:$A,0))="Max Ambition",Schedules!T$4,W40),W40),W40)</f>
        <v>0</v>
      </c>
      <c r="Y40" s="39">
        <f>MAX(IFERROR(IF(INDEX('State Map'!$C:$C,MATCH(TRIM('RZSPbS-psgr-ldv'!$A40),'State Map'!$A:$A,0))="Max Ambition",Schedules!U$4,X40),X40),X40)</f>
        <v>0</v>
      </c>
      <c r="Z40" s="39">
        <f>MAX(IFERROR(IF(INDEX('State Map'!$C:$C,MATCH(TRIM('RZSPbS-psgr-ldv'!$A40),'State Map'!$A:$A,0))="Max Ambition",Schedules!V$4,Y40),Y40),Y40)</f>
        <v>0</v>
      </c>
      <c r="AA40" s="39">
        <f>MAX(IFERROR(IF(INDEX('State Map'!$C:$C,MATCH(TRIM('RZSPbS-psgr-ldv'!$A40),'State Map'!$A:$A,0))="Max Ambition",Schedules!W$4,Z40),Z40),Z40)</f>
        <v>0</v>
      </c>
      <c r="AB40" s="39">
        <f>MAX(IFERROR(IF(INDEX('State Map'!$C:$C,MATCH(TRIM('RZSPbS-psgr-ldv'!$A40),'State Map'!$A:$A,0))="Max Ambition",Schedules!X$4,AA40),AA40),AA40)</f>
        <v>0</v>
      </c>
      <c r="AC40" s="39">
        <f>MAX(IFERROR(IF(INDEX('State Map'!$C:$C,MATCH(TRIM('RZSPbS-psgr-ldv'!$A40),'State Map'!$A:$A,0))="Max Ambition",Schedules!Y$4,AB40),AB40),AB40)</f>
        <v>0</v>
      </c>
      <c r="AD40" s="39">
        <f>MAX(IFERROR(IF(INDEX('State Map'!$C:$C,MATCH(TRIM('RZSPbS-psgr-ldv'!$A40),'State Map'!$A:$A,0))="Max Ambition",Schedules!Z$4,AC40),AC40),AC40)</f>
        <v>0</v>
      </c>
      <c r="AE40" s="39">
        <f>MAX(IFERROR(IF(INDEX('State Map'!$C:$C,MATCH(TRIM('RZSPbS-psgr-ldv'!$A40),'State Map'!$A:$A,0))="Max Ambition",Schedules!AA$4,AD40),AD40),AD40)</f>
        <v>0</v>
      </c>
      <c r="AF40" s="39">
        <f>MAX(IFERROR(IF(INDEX('State Map'!$C:$C,MATCH(TRIM('RZSPbS-psgr-ldv'!$A40),'State Map'!$A:$A,0))="Max Ambition",Schedules!AB$4,AE40),AE40),AE40)</f>
        <v>0</v>
      </c>
    </row>
    <row r="41" spans="1:32" x14ac:dyDescent="0.25">
      <c r="A41" t="s">
        <v>40</v>
      </c>
      <c r="B41">
        <f>IF(AND(INDEX('CA Standards and Followers'!$E$7:$E$66,MATCH($A41,'CA Standards and Followers'!$A$7:$A$66,0))=1,INDEX('CA Standards and Followers'!$H$7:$H$66,MATCH($A41,'CA Standards and Followers'!$A$7:$A$66,0))&lt;=B$1),INDEX('CA Standards and Followers'!#REF!,MATCH(B$1,'CA Standards and Followers'!$1:$1,0)),IF(AND(INDEX('CA Standards and Followers'!$D$7:$D$66,MATCH($A41,'CA Standards and Followers'!$A$7:$A$66,0))=1,INDEX('CA Standards and Followers'!$G$7:$G$66,MATCH($A41,'CA Standards and Followers'!$A$7:$A$66,0))&lt;=B$1),INDEX('CA Standards and Followers'!$2:$2,MATCH(B$1,'CA Standards and Followers'!$1:$1,0)),0))</f>
        <v>0</v>
      </c>
      <c r="C41">
        <f>IF(AND(INDEX('CA Standards and Followers'!$E$7:$E$66,MATCH($A41,'CA Standards and Followers'!$A$7:$A$66,0))=1,INDEX('CA Standards and Followers'!$H$7:$H$66,MATCH($A41,'CA Standards and Followers'!$A$7:$A$66,0))&lt;=C$1),INDEX('CA Standards and Followers'!#REF!,MATCH(C$1,'CA Standards and Followers'!$1:$1,0)),IF(AND(INDEX('CA Standards and Followers'!$D$7:$D$66,MATCH($A41,'CA Standards and Followers'!$A$7:$A$66,0))=1,INDEX('CA Standards and Followers'!$G$7:$G$66,MATCH($A41,'CA Standards and Followers'!$A$7:$A$66,0))&lt;=C$1),INDEX('CA Standards and Followers'!$2:$2,MATCH(C$1,'CA Standards and Followers'!$1:$1,0)),0))</f>
        <v>0</v>
      </c>
      <c r="D41">
        <f>IF(AND(INDEX('CA Standards and Followers'!$E$7:$E$66,MATCH($A41,'CA Standards and Followers'!$A$7:$A$66,0))=1,INDEX('CA Standards and Followers'!$H$7:$H$66,MATCH($A41,'CA Standards and Followers'!$A$7:$A$66,0))&lt;=D$1),INDEX('CA Standards and Followers'!#REF!,MATCH(D$1,'CA Standards and Followers'!$1:$1,0)),IF(AND(INDEX('CA Standards and Followers'!$D$7:$D$66,MATCH($A41,'CA Standards and Followers'!$A$7:$A$66,0))=1,INDEX('CA Standards and Followers'!$G$7:$G$66,MATCH($A41,'CA Standards and Followers'!$A$7:$A$66,0))&lt;=D$1),INDEX('CA Standards and Followers'!$2:$2,MATCH(D$1,'CA Standards and Followers'!$1:$1,0)),0))</f>
        <v>0</v>
      </c>
      <c r="E41">
        <f>IF(AND(INDEX('CA Standards and Followers'!$E$7:$E$66,MATCH($A41,'CA Standards and Followers'!$A$7:$A$66,0))=1,INDEX('CA Standards and Followers'!$H$7:$H$66,MATCH($A41,'CA Standards and Followers'!$A$7:$A$66,0))&lt;=E$1),INDEX('CA Standards and Followers'!#REF!,MATCH(E$1,'CA Standards and Followers'!$1:$1,0)),IF(AND(INDEX('CA Standards and Followers'!$D$7:$D$66,MATCH($A41,'CA Standards and Followers'!$A$7:$A$66,0))=1,INDEX('CA Standards and Followers'!$G$7:$G$66,MATCH($A41,'CA Standards and Followers'!$A$7:$A$66,0))&lt;=E$1),INDEX('CA Standards and Followers'!$2:$2,MATCH(E$1,'CA Standards and Followers'!$1:$1,0)),0))</f>
        <v>0</v>
      </c>
      <c r="F41">
        <f>IF(AND(INDEX('CA Standards and Followers'!$E$7:$E$66,MATCH($A41,'CA Standards and Followers'!$A$7:$A$66,0))=1,INDEX('CA Standards and Followers'!$H$7:$H$66,MATCH($A41,'CA Standards and Followers'!$A$7:$A$66,0))&lt;=F$1),INDEX('CA Standards and Followers'!#REF!,MATCH(F$1,'CA Standards and Followers'!$1:$1,0)),IF(AND(INDEX('CA Standards and Followers'!$D$7:$D$66,MATCH($A41,'CA Standards and Followers'!$A$7:$A$66,0))=1,INDEX('CA Standards and Followers'!$G$7:$G$66,MATCH($A41,'CA Standards and Followers'!$A$7:$A$66,0))&lt;=F$1),INDEX('CA Standards and Followers'!$2:$2,MATCH(F$1,'CA Standards and Followers'!$1:$1,0)),0))</f>
        <v>0.08</v>
      </c>
      <c r="G41">
        <f>IF(AND(INDEX('CA Standards and Followers'!$E$7:$E$66,MATCH($A41,'CA Standards and Followers'!$A$7:$A$66,0))=1,INDEX('CA Standards and Followers'!$H$7:$H$66,MATCH($A41,'CA Standards and Followers'!$A$7:$A$66,0))&lt;=G$1),INDEX('CA Standards and Followers'!#REF!,MATCH(G$1,'CA Standards and Followers'!$1:$1,0)),IF(AND(INDEX('CA Standards and Followers'!$D$7:$D$66,MATCH($A41,'CA Standards and Followers'!$A$7:$A$66,0))=1,INDEX('CA Standards and Followers'!$G$7:$G$66,MATCH($A41,'CA Standards and Followers'!$A$7:$A$66,0))&lt;=G$1),INDEX('CA Standards and Followers'!$2:$2,MATCH(G$1,'CA Standards and Followers'!$1:$1,0)),0))</f>
        <v>0.08</v>
      </c>
      <c r="H41">
        <f>IF(AND(INDEX('CA Standards and Followers'!$E$7:$E$66,MATCH($A41,'CA Standards and Followers'!$A$7:$A$66,0))=1,INDEX('CA Standards and Followers'!$H$7:$H$66,MATCH($A41,'CA Standards and Followers'!$A$7:$A$66,0))&lt;=H$1),INDEX('CA Standards and Followers'!#REF!,MATCH(H$1,'CA Standards and Followers'!$1:$1,0)),IF(AND(INDEX('CA Standards and Followers'!$D$7:$D$66,MATCH($A41,'CA Standards and Followers'!$A$7:$A$66,0))=1,INDEX('CA Standards and Followers'!$G$7:$G$66,MATCH($A41,'CA Standards and Followers'!$A$7:$A$66,0))&lt;=H$1),INDEX('CA Standards and Followers'!$2:$2,MATCH(H$1,'CA Standards and Followers'!$1:$1,0)),0))</f>
        <v>0</v>
      </c>
      <c r="I41">
        <f>IF(AND(INDEX('CA Standards and Followers'!$E$7:$E$66,MATCH($A41,'CA Standards and Followers'!$A$7:$A$66,0))=1,INDEX('CA Standards and Followers'!$H$7:$H$66,MATCH($A41,'CA Standards and Followers'!$A$7:$A$66,0))&lt;=I$1),INDEX('CA Standards and Followers'!#REF!,MATCH(I$1,'CA Standards and Followers'!$1:$1,0)),IF(AND(INDEX('CA Standards and Followers'!$D$7:$D$66,MATCH($A41,'CA Standards and Followers'!$A$7:$A$66,0))=1,INDEX('CA Standards and Followers'!$G$7:$G$66,MATCH($A41,'CA Standards and Followers'!$A$7:$A$66,0))&lt;=I$1),INDEX('CA Standards and Followers'!$2:$2,MATCH(I$1,'CA Standards and Followers'!$1:$1,0)),0))</f>
        <v>0</v>
      </c>
      <c r="J41">
        <f>IF(AND(INDEX('CA Standards and Followers'!$E$7:$E$66,MATCH($A41,'CA Standards and Followers'!$A$7:$A$66,0))=1,INDEX('CA Standards and Followers'!$H$7:$H$66,MATCH($A41,'CA Standards and Followers'!$A$7:$A$66,0))&lt;=J$1),INDEX('CA Standards and Followers'!#REF!,MATCH(J$1,'CA Standards and Followers'!$1:$1,0)),IF(AND(INDEX('CA Standards and Followers'!$D$7:$D$66,MATCH($A41,'CA Standards and Followers'!$A$7:$A$66,0))=1,INDEX('CA Standards and Followers'!$G$7:$G$66,MATCH($A41,'CA Standards and Followers'!$A$7:$A$66,0))&lt;=J$1),INDEX('CA Standards and Followers'!$2:$2,MATCH(J$1,'CA Standards and Followers'!$1:$1,0)),0))</f>
        <v>0</v>
      </c>
      <c r="K41" s="39">
        <f>MAX(IFERROR(IF(INDEX('State Map'!$C:$C,MATCH(TRIM('RZSPbS-psgr-ldv'!$A41),'State Map'!$A:$A,0))="Max Ambition",Schedules!G$4,J41),J41),J41)</f>
        <v>0.2</v>
      </c>
      <c r="L41" s="39">
        <f>MAX(IFERROR(IF(INDEX('State Map'!$C:$C,MATCH(TRIM('RZSPbS-psgr-ldv'!$A41),'State Map'!$A:$A,0))="Max Ambition",Schedules!H$4,K41),K41),K41)</f>
        <v>0.25</v>
      </c>
      <c r="M41" s="39">
        <f>MAX(IFERROR(IF(INDEX('State Map'!$C:$C,MATCH(TRIM('RZSPbS-psgr-ldv'!$A41),'State Map'!$A:$A,0))="Max Ambition",Schedules!I$4,L41),L41),L41)</f>
        <v>0.3</v>
      </c>
      <c r="N41" s="39">
        <f>MAX(IFERROR(IF(INDEX('State Map'!$C:$C,MATCH(TRIM('RZSPbS-psgr-ldv'!$A41),'State Map'!$A:$A,0))="Max Ambition",Schedules!J$4,M41),M41),M41)</f>
        <v>0.38</v>
      </c>
      <c r="O41" s="39">
        <f>MAX(IFERROR(IF(INDEX('State Map'!$C:$C,MATCH(TRIM('RZSPbS-psgr-ldv'!$A41),'State Map'!$A:$A,0))="Max Ambition",Schedules!K$4,N41),N41),N41)</f>
        <v>0.46</v>
      </c>
      <c r="P41" s="39">
        <f>MAX(IFERROR(IF(INDEX('State Map'!$C:$C,MATCH(TRIM('RZSPbS-psgr-ldv'!$A41),'State Map'!$A:$A,0))="Max Ambition",Schedules!L$4,O41),O41),O41)</f>
        <v>0.51400000000000001</v>
      </c>
      <c r="Q41" s="39">
        <f>MAX(IFERROR(IF(INDEX('State Map'!$C:$C,MATCH(TRIM('RZSPbS-psgr-ldv'!$A41),'State Map'!$A:$A,0))="Max Ambition",Schedules!M$4,P41),P41),P41)</f>
        <v>0.56799999999999995</v>
      </c>
      <c r="R41" s="39">
        <f>MAX(IFERROR(IF(INDEX('State Map'!$C:$C,MATCH(TRIM('RZSPbS-psgr-ldv'!$A41),'State Map'!$A:$A,0))="Max Ambition",Schedules!N$4,Q41),Q41),Q41)</f>
        <v>0.622</v>
      </c>
      <c r="S41" s="39">
        <f>MAX(IFERROR(IF(INDEX('State Map'!$C:$C,MATCH(TRIM('RZSPbS-psgr-ldv'!$A41),'State Map'!$A:$A,0))="Max Ambition",Schedules!O$4,R41),R41),R41)</f>
        <v>0.67600000000000005</v>
      </c>
      <c r="T41" s="39">
        <f>MAX(IFERROR(IF(INDEX('State Map'!$C:$C,MATCH(TRIM('RZSPbS-psgr-ldv'!$A41),'State Map'!$A:$A,0))="Max Ambition",Schedules!P$4,S41),S41),S41)</f>
        <v>0.73</v>
      </c>
      <c r="U41" s="39">
        <f>MAX(IFERROR(IF(INDEX('State Map'!$C:$C,MATCH(TRIM('RZSPbS-psgr-ldv'!$A41),'State Map'!$A:$A,0))="Max Ambition",Schedules!Q$4,T41),T41),T41)</f>
        <v>0.78400000000000003</v>
      </c>
      <c r="V41" s="39">
        <f>MAX(IFERROR(IF(INDEX('State Map'!$C:$C,MATCH(TRIM('RZSPbS-psgr-ldv'!$A41),'State Map'!$A:$A,0))="Max Ambition",Schedules!R$4,U41),U41),U41)</f>
        <v>0.83799999999999997</v>
      </c>
      <c r="W41" s="39">
        <f>MAX(IFERROR(IF(INDEX('State Map'!$C:$C,MATCH(TRIM('RZSPbS-psgr-ldv'!$A41),'State Map'!$A:$A,0))="Max Ambition",Schedules!S$4,V41),V41),V41)</f>
        <v>0.89200000000000002</v>
      </c>
      <c r="X41" s="39">
        <f>MAX(IFERROR(IF(INDEX('State Map'!$C:$C,MATCH(TRIM('RZSPbS-psgr-ldv'!$A41),'State Map'!$A:$A,0))="Max Ambition",Schedules!T$4,W41),W41),W41)</f>
        <v>0.94599999999999995</v>
      </c>
      <c r="Y41" s="39">
        <f>MAX(IFERROR(IF(INDEX('State Map'!$C:$C,MATCH(TRIM('RZSPbS-psgr-ldv'!$A41),'State Map'!$A:$A,0))="Max Ambition",Schedules!U$4,X41),X41),X41)</f>
        <v>1</v>
      </c>
      <c r="Z41" s="39">
        <f>MAX(IFERROR(IF(INDEX('State Map'!$C:$C,MATCH(TRIM('RZSPbS-psgr-ldv'!$A41),'State Map'!$A:$A,0))="Max Ambition",Schedules!V$4,Y41),Y41),Y41)</f>
        <v>1</v>
      </c>
      <c r="AA41" s="39">
        <f>MAX(IFERROR(IF(INDEX('State Map'!$C:$C,MATCH(TRIM('RZSPbS-psgr-ldv'!$A41),'State Map'!$A:$A,0))="Max Ambition",Schedules!W$4,Z41),Z41),Z41)</f>
        <v>1</v>
      </c>
      <c r="AB41" s="39">
        <f>MAX(IFERROR(IF(INDEX('State Map'!$C:$C,MATCH(TRIM('RZSPbS-psgr-ldv'!$A41),'State Map'!$A:$A,0))="Max Ambition",Schedules!X$4,AA41),AA41),AA41)</f>
        <v>1</v>
      </c>
      <c r="AC41" s="39">
        <f>MAX(IFERROR(IF(INDEX('State Map'!$C:$C,MATCH(TRIM('RZSPbS-psgr-ldv'!$A41),'State Map'!$A:$A,0))="Max Ambition",Schedules!Y$4,AB41),AB41),AB41)</f>
        <v>1</v>
      </c>
      <c r="AD41" s="39">
        <f>MAX(IFERROR(IF(INDEX('State Map'!$C:$C,MATCH(TRIM('RZSPbS-psgr-ldv'!$A41),'State Map'!$A:$A,0))="Max Ambition",Schedules!Z$4,AC41),AC41),AC41)</f>
        <v>1</v>
      </c>
      <c r="AE41" s="39">
        <f>MAX(IFERROR(IF(INDEX('State Map'!$C:$C,MATCH(TRIM('RZSPbS-psgr-ldv'!$A41),'State Map'!$A:$A,0))="Max Ambition",Schedules!AA$4,AD41),AD41),AD41)</f>
        <v>1</v>
      </c>
      <c r="AF41" s="39">
        <f>MAX(IFERROR(IF(INDEX('State Map'!$C:$C,MATCH(TRIM('RZSPbS-psgr-ldv'!$A41),'State Map'!$A:$A,0))="Max Ambition",Schedules!AB$4,AE41),AE41),AE41)</f>
        <v>1</v>
      </c>
    </row>
    <row r="42" spans="1:32" x14ac:dyDescent="0.25">
      <c r="A42" t="s">
        <v>41</v>
      </c>
      <c r="B42">
        <f>IF(AND(INDEX('CA Standards and Followers'!$E$7:$E$66,MATCH($A42,'CA Standards and Followers'!$A$7:$A$66,0))=1,INDEX('CA Standards and Followers'!$H$7:$H$66,MATCH($A42,'CA Standards and Followers'!$A$7:$A$66,0))&lt;=B$1),INDEX('CA Standards and Followers'!#REF!,MATCH(B$1,'CA Standards and Followers'!$1:$1,0)),IF(AND(INDEX('CA Standards and Followers'!$D$7:$D$66,MATCH($A42,'CA Standards and Followers'!$A$7:$A$66,0))=1,INDEX('CA Standards and Followers'!$G$7:$G$66,MATCH($A42,'CA Standards and Followers'!$A$7:$A$66,0))&lt;=B$1),INDEX('CA Standards and Followers'!$2:$2,MATCH(B$1,'CA Standards and Followers'!$1:$1,0)),0))</f>
        <v>0</v>
      </c>
      <c r="C42">
        <f>IF(AND(INDEX('CA Standards and Followers'!$E$7:$E$66,MATCH($A42,'CA Standards and Followers'!$A$7:$A$66,0))=1,INDEX('CA Standards and Followers'!$H$7:$H$66,MATCH($A42,'CA Standards and Followers'!$A$7:$A$66,0))&lt;=C$1),INDEX('CA Standards and Followers'!#REF!,MATCH(C$1,'CA Standards and Followers'!$1:$1,0)),IF(AND(INDEX('CA Standards and Followers'!$D$7:$D$66,MATCH($A42,'CA Standards and Followers'!$A$7:$A$66,0))=1,INDEX('CA Standards and Followers'!$G$7:$G$66,MATCH($A42,'CA Standards and Followers'!$A$7:$A$66,0))&lt;=C$1),INDEX('CA Standards and Followers'!$2:$2,MATCH(C$1,'CA Standards and Followers'!$1:$1,0)),0))</f>
        <v>0</v>
      </c>
      <c r="D42">
        <f>IF(AND(INDEX('CA Standards and Followers'!$E$7:$E$66,MATCH($A42,'CA Standards and Followers'!$A$7:$A$66,0))=1,INDEX('CA Standards and Followers'!$H$7:$H$66,MATCH($A42,'CA Standards and Followers'!$A$7:$A$66,0))&lt;=D$1),INDEX('CA Standards and Followers'!#REF!,MATCH(D$1,'CA Standards and Followers'!$1:$1,0)),IF(AND(INDEX('CA Standards and Followers'!$D$7:$D$66,MATCH($A42,'CA Standards and Followers'!$A$7:$A$66,0))=1,INDEX('CA Standards and Followers'!$G$7:$G$66,MATCH($A42,'CA Standards and Followers'!$A$7:$A$66,0))&lt;=D$1),INDEX('CA Standards and Followers'!$2:$2,MATCH(D$1,'CA Standards and Followers'!$1:$1,0)),0))</f>
        <v>0</v>
      </c>
      <c r="E42">
        <f>IF(AND(INDEX('CA Standards and Followers'!$E$7:$E$66,MATCH($A42,'CA Standards and Followers'!$A$7:$A$66,0))=1,INDEX('CA Standards and Followers'!$H$7:$H$66,MATCH($A42,'CA Standards and Followers'!$A$7:$A$66,0))&lt;=E$1),INDEX('CA Standards and Followers'!#REF!,MATCH(E$1,'CA Standards and Followers'!$1:$1,0)),IF(AND(INDEX('CA Standards and Followers'!$D$7:$D$66,MATCH($A42,'CA Standards and Followers'!$A$7:$A$66,0))=1,INDEX('CA Standards and Followers'!$G$7:$G$66,MATCH($A42,'CA Standards and Followers'!$A$7:$A$66,0))&lt;=E$1),INDEX('CA Standards and Followers'!$2:$2,MATCH(E$1,'CA Standards and Followers'!$1:$1,0)),0))</f>
        <v>0</v>
      </c>
      <c r="F42">
        <f>IF(AND(INDEX('CA Standards and Followers'!$E$7:$E$66,MATCH($A42,'CA Standards and Followers'!$A$7:$A$66,0))=1,INDEX('CA Standards and Followers'!$H$7:$H$66,MATCH($A42,'CA Standards and Followers'!$A$7:$A$66,0))&lt;=F$1),INDEX('CA Standards and Followers'!#REF!,MATCH(F$1,'CA Standards and Followers'!$1:$1,0)),IF(AND(INDEX('CA Standards and Followers'!$D$7:$D$66,MATCH($A42,'CA Standards and Followers'!$A$7:$A$66,0))=1,INDEX('CA Standards and Followers'!$G$7:$G$66,MATCH($A42,'CA Standards and Followers'!$A$7:$A$66,0))&lt;=F$1),INDEX('CA Standards and Followers'!$2:$2,MATCH(F$1,'CA Standards and Followers'!$1:$1,0)),0))</f>
        <v>0</v>
      </c>
      <c r="G42">
        <f>IF(AND(INDEX('CA Standards and Followers'!$E$7:$E$66,MATCH($A42,'CA Standards and Followers'!$A$7:$A$66,0))=1,INDEX('CA Standards and Followers'!$H$7:$H$66,MATCH($A42,'CA Standards and Followers'!$A$7:$A$66,0))&lt;=G$1),INDEX('CA Standards and Followers'!#REF!,MATCH(G$1,'CA Standards and Followers'!$1:$1,0)),IF(AND(INDEX('CA Standards and Followers'!$D$7:$D$66,MATCH($A42,'CA Standards and Followers'!$A$7:$A$66,0))=1,INDEX('CA Standards and Followers'!$G$7:$G$66,MATCH($A42,'CA Standards and Followers'!$A$7:$A$66,0))&lt;=G$1),INDEX('CA Standards and Followers'!$2:$2,MATCH(G$1,'CA Standards and Followers'!$1:$1,0)),0))</f>
        <v>0</v>
      </c>
      <c r="H42">
        <f>IF(AND(INDEX('CA Standards and Followers'!$E$7:$E$66,MATCH($A42,'CA Standards and Followers'!$A$7:$A$66,0))=1,INDEX('CA Standards and Followers'!$H$7:$H$66,MATCH($A42,'CA Standards and Followers'!$A$7:$A$66,0))&lt;=H$1),INDEX('CA Standards and Followers'!#REF!,MATCH(H$1,'CA Standards and Followers'!$1:$1,0)),IF(AND(INDEX('CA Standards and Followers'!$D$7:$D$66,MATCH($A42,'CA Standards and Followers'!$A$7:$A$66,0))=1,INDEX('CA Standards and Followers'!$G$7:$G$66,MATCH($A42,'CA Standards and Followers'!$A$7:$A$66,0))&lt;=H$1),INDEX('CA Standards and Followers'!$2:$2,MATCH(H$1,'CA Standards and Followers'!$1:$1,0)),0))</f>
        <v>0</v>
      </c>
      <c r="I42">
        <f>IF(AND(INDEX('CA Standards and Followers'!$E$7:$E$66,MATCH($A42,'CA Standards and Followers'!$A$7:$A$66,0))=1,INDEX('CA Standards and Followers'!$H$7:$H$66,MATCH($A42,'CA Standards and Followers'!$A$7:$A$66,0))&lt;=I$1),INDEX('CA Standards and Followers'!#REF!,MATCH(I$1,'CA Standards and Followers'!$1:$1,0)),IF(AND(INDEX('CA Standards and Followers'!$D$7:$D$66,MATCH($A42,'CA Standards and Followers'!$A$7:$A$66,0))=1,INDEX('CA Standards and Followers'!$G$7:$G$66,MATCH($A42,'CA Standards and Followers'!$A$7:$A$66,0))&lt;=I$1),INDEX('CA Standards and Followers'!$2:$2,MATCH(I$1,'CA Standards and Followers'!$1:$1,0)),0))</f>
        <v>0</v>
      </c>
      <c r="J42">
        <f>IF(AND(INDEX('CA Standards and Followers'!$E$7:$E$66,MATCH($A42,'CA Standards and Followers'!$A$7:$A$66,0))=1,INDEX('CA Standards and Followers'!$H$7:$H$66,MATCH($A42,'CA Standards and Followers'!$A$7:$A$66,0))&lt;=J$1),INDEX('CA Standards and Followers'!#REF!,MATCH(J$1,'CA Standards and Followers'!$1:$1,0)),IF(AND(INDEX('CA Standards and Followers'!$D$7:$D$66,MATCH($A42,'CA Standards and Followers'!$A$7:$A$66,0))=1,INDEX('CA Standards and Followers'!$G$7:$G$66,MATCH($A42,'CA Standards and Followers'!$A$7:$A$66,0))&lt;=J$1),INDEX('CA Standards and Followers'!$2:$2,MATCH(J$1,'CA Standards and Followers'!$1:$1,0)),0))</f>
        <v>0</v>
      </c>
      <c r="K42" s="39">
        <f>MAX(IFERROR(IF(INDEX('State Map'!$C:$C,MATCH(TRIM('RZSPbS-psgr-ldv'!$A42),'State Map'!$A:$A,0))="Max Ambition",Schedules!G$4,J42),J42),J42)</f>
        <v>0</v>
      </c>
      <c r="L42" s="39">
        <f>MAX(IFERROR(IF(INDEX('State Map'!$C:$C,MATCH(TRIM('RZSPbS-psgr-ldv'!$A42),'State Map'!$A:$A,0))="Max Ambition",Schedules!H$4,K42),K42),K42)</f>
        <v>0</v>
      </c>
      <c r="M42" s="39">
        <f>MAX(IFERROR(IF(INDEX('State Map'!$C:$C,MATCH(TRIM('RZSPbS-psgr-ldv'!$A42),'State Map'!$A:$A,0))="Max Ambition",Schedules!I$4,L42),L42),L42)</f>
        <v>0</v>
      </c>
      <c r="N42" s="39">
        <f>MAX(IFERROR(IF(INDEX('State Map'!$C:$C,MATCH(TRIM('RZSPbS-psgr-ldv'!$A42),'State Map'!$A:$A,0))="Max Ambition",Schedules!J$4,M42),M42),M42)</f>
        <v>0</v>
      </c>
      <c r="O42" s="39">
        <f>MAX(IFERROR(IF(INDEX('State Map'!$C:$C,MATCH(TRIM('RZSPbS-psgr-ldv'!$A42),'State Map'!$A:$A,0))="Max Ambition",Schedules!K$4,N42),N42),N42)</f>
        <v>0</v>
      </c>
      <c r="P42" s="39">
        <f>MAX(IFERROR(IF(INDEX('State Map'!$C:$C,MATCH(TRIM('RZSPbS-psgr-ldv'!$A42),'State Map'!$A:$A,0))="Max Ambition",Schedules!L$4,O42),O42),O42)</f>
        <v>0</v>
      </c>
      <c r="Q42" s="39">
        <f>MAX(IFERROR(IF(INDEX('State Map'!$C:$C,MATCH(TRIM('RZSPbS-psgr-ldv'!$A42),'State Map'!$A:$A,0))="Max Ambition",Schedules!M$4,P42),P42),P42)</f>
        <v>0</v>
      </c>
      <c r="R42" s="39">
        <f>MAX(IFERROR(IF(INDEX('State Map'!$C:$C,MATCH(TRIM('RZSPbS-psgr-ldv'!$A42),'State Map'!$A:$A,0))="Max Ambition",Schedules!N$4,Q42),Q42),Q42)</f>
        <v>0</v>
      </c>
      <c r="S42" s="39">
        <f>MAX(IFERROR(IF(INDEX('State Map'!$C:$C,MATCH(TRIM('RZSPbS-psgr-ldv'!$A42),'State Map'!$A:$A,0))="Max Ambition",Schedules!O$4,R42),R42),R42)</f>
        <v>0</v>
      </c>
      <c r="T42" s="39">
        <f>MAX(IFERROR(IF(INDEX('State Map'!$C:$C,MATCH(TRIM('RZSPbS-psgr-ldv'!$A42),'State Map'!$A:$A,0))="Max Ambition",Schedules!P$4,S42),S42),S42)</f>
        <v>0</v>
      </c>
      <c r="U42" s="39">
        <f>MAX(IFERROR(IF(INDEX('State Map'!$C:$C,MATCH(TRIM('RZSPbS-psgr-ldv'!$A42),'State Map'!$A:$A,0))="Max Ambition",Schedules!Q$4,T42),T42),T42)</f>
        <v>0</v>
      </c>
      <c r="V42" s="39">
        <f>MAX(IFERROR(IF(INDEX('State Map'!$C:$C,MATCH(TRIM('RZSPbS-psgr-ldv'!$A42),'State Map'!$A:$A,0))="Max Ambition",Schedules!R$4,U42),U42),U42)</f>
        <v>0</v>
      </c>
      <c r="W42" s="39">
        <f>MAX(IFERROR(IF(INDEX('State Map'!$C:$C,MATCH(TRIM('RZSPbS-psgr-ldv'!$A42),'State Map'!$A:$A,0))="Max Ambition",Schedules!S$4,V42),V42),V42)</f>
        <v>0</v>
      </c>
      <c r="X42" s="39">
        <f>MAX(IFERROR(IF(INDEX('State Map'!$C:$C,MATCH(TRIM('RZSPbS-psgr-ldv'!$A42),'State Map'!$A:$A,0))="Max Ambition",Schedules!T$4,W42),W42),W42)</f>
        <v>0</v>
      </c>
      <c r="Y42" s="39">
        <f>MAX(IFERROR(IF(INDEX('State Map'!$C:$C,MATCH(TRIM('RZSPbS-psgr-ldv'!$A42),'State Map'!$A:$A,0))="Max Ambition",Schedules!U$4,X42),X42),X42)</f>
        <v>0</v>
      </c>
      <c r="Z42" s="39">
        <f>MAX(IFERROR(IF(INDEX('State Map'!$C:$C,MATCH(TRIM('RZSPbS-psgr-ldv'!$A42),'State Map'!$A:$A,0))="Max Ambition",Schedules!V$4,Y42),Y42),Y42)</f>
        <v>0</v>
      </c>
      <c r="AA42" s="39">
        <f>MAX(IFERROR(IF(INDEX('State Map'!$C:$C,MATCH(TRIM('RZSPbS-psgr-ldv'!$A42),'State Map'!$A:$A,0))="Max Ambition",Schedules!W$4,Z42),Z42),Z42)</f>
        <v>0</v>
      </c>
      <c r="AB42" s="39">
        <f>MAX(IFERROR(IF(INDEX('State Map'!$C:$C,MATCH(TRIM('RZSPbS-psgr-ldv'!$A42),'State Map'!$A:$A,0))="Max Ambition",Schedules!X$4,AA42),AA42),AA42)</f>
        <v>0</v>
      </c>
      <c r="AC42" s="39">
        <f>MAX(IFERROR(IF(INDEX('State Map'!$C:$C,MATCH(TRIM('RZSPbS-psgr-ldv'!$A42),'State Map'!$A:$A,0))="Max Ambition",Schedules!Y$4,AB42),AB42),AB42)</f>
        <v>0</v>
      </c>
      <c r="AD42" s="39">
        <f>MAX(IFERROR(IF(INDEX('State Map'!$C:$C,MATCH(TRIM('RZSPbS-psgr-ldv'!$A42),'State Map'!$A:$A,0))="Max Ambition",Schedules!Z$4,AC42),AC42),AC42)</f>
        <v>0</v>
      </c>
      <c r="AE42" s="39">
        <f>MAX(IFERROR(IF(INDEX('State Map'!$C:$C,MATCH(TRIM('RZSPbS-psgr-ldv'!$A42),'State Map'!$A:$A,0))="Max Ambition",Schedules!AA$4,AD42),AD42),AD42)</f>
        <v>0</v>
      </c>
      <c r="AF42" s="39">
        <f>MAX(IFERROR(IF(INDEX('State Map'!$C:$C,MATCH(TRIM('RZSPbS-psgr-ldv'!$A42),'State Map'!$A:$A,0))="Max Ambition",Schedules!AB$4,AE42),AE42),AE42)</f>
        <v>0</v>
      </c>
    </row>
    <row r="43" spans="1:32" x14ac:dyDescent="0.25">
      <c r="A43" t="s">
        <v>42</v>
      </c>
      <c r="B43">
        <f>IF(AND(INDEX('CA Standards and Followers'!$E$7:$E$66,MATCH($A43,'CA Standards and Followers'!$A$7:$A$66,0))=1,INDEX('CA Standards and Followers'!$H$7:$H$66,MATCH($A43,'CA Standards and Followers'!$A$7:$A$66,0))&lt;=B$1),INDEX('CA Standards and Followers'!#REF!,MATCH(B$1,'CA Standards and Followers'!$1:$1,0)),IF(AND(INDEX('CA Standards and Followers'!$D$7:$D$66,MATCH($A43,'CA Standards and Followers'!$A$7:$A$66,0))=1,INDEX('CA Standards and Followers'!$G$7:$G$66,MATCH($A43,'CA Standards and Followers'!$A$7:$A$66,0))&lt;=B$1),INDEX('CA Standards and Followers'!$2:$2,MATCH(B$1,'CA Standards and Followers'!$1:$1,0)),0))</f>
        <v>0</v>
      </c>
      <c r="C43">
        <f>IF(AND(INDEX('CA Standards and Followers'!$E$7:$E$66,MATCH($A43,'CA Standards and Followers'!$A$7:$A$66,0))=1,INDEX('CA Standards and Followers'!$H$7:$H$66,MATCH($A43,'CA Standards and Followers'!$A$7:$A$66,0))&lt;=C$1),INDEX('CA Standards and Followers'!#REF!,MATCH(C$1,'CA Standards and Followers'!$1:$1,0)),IF(AND(INDEX('CA Standards and Followers'!$D$7:$D$66,MATCH($A43,'CA Standards and Followers'!$A$7:$A$66,0))=1,INDEX('CA Standards and Followers'!$G$7:$G$66,MATCH($A43,'CA Standards and Followers'!$A$7:$A$66,0))&lt;=C$1),INDEX('CA Standards and Followers'!$2:$2,MATCH(C$1,'CA Standards and Followers'!$1:$1,0)),0))</f>
        <v>0</v>
      </c>
      <c r="D43">
        <f>IF(AND(INDEX('CA Standards and Followers'!$E$7:$E$66,MATCH($A43,'CA Standards and Followers'!$A$7:$A$66,0))=1,INDEX('CA Standards and Followers'!$H$7:$H$66,MATCH($A43,'CA Standards and Followers'!$A$7:$A$66,0))&lt;=D$1),INDEX('CA Standards and Followers'!#REF!,MATCH(D$1,'CA Standards and Followers'!$1:$1,0)),IF(AND(INDEX('CA Standards and Followers'!$D$7:$D$66,MATCH($A43,'CA Standards and Followers'!$A$7:$A$66,0))=1,INDEX('CA Standards and Followers'!$G$7:$G$66,MATCH($A43,'CA Standards and Followers'!$A$7:$A$66,0))&lt;=D$1),INDEX('CA Standards and Followers'!$2:$2,MATCH(D$1,'CA Standards and Followers'!$1:$1,0)),0))</f>
        <v>0</v>
      </c>
      <c r="E43">
        <f>IF(AND(INDEX('CA Standards and Followers'!$E$7:$E$66,MATCH($A43,'CA Standards and Followers'!$A$7:$A$66,0))=1,INDEX('CA Standards and Followers'!$H$7:$H$66,MATCH($A43,'CA Standards and Followers'!$A$7:$A$66,0))&lt;=E$1),INDEX('CA Standards and Followers'!#REF!,MATCH(E$1,'CA Standards and Followers'!$1:$1,0)),IF(AND(INDEX('CA Standards and Followers'!$D$7:$D$66,MATCH($A43,'CA Standards and Followers'!$A$7:$A$66,0))=1,INDEX('CA Standards and Followers'!$G$7:$G$66,MATCH($A43,'CA Standards and Followers'!$A$7:$A$66,0))&lt;=E$1),INDEX('CA Standards and Followers'!$2:$2,MATCH(E$1,'CA Standards and Followers'!$1:$1,0)),0))</f>
        <v>0</v>
      </c>
      <c r="F43">
        <f>IF(AND(INDEX('CA Standards and Followers'!$E$7:$E$66,MATCH($A43,'CA Standards and Followers'!$A$7:$A$66,0))=1,INDEX('CA Standards and Followers'!$H$7:$H$66,MATCH($A43,'CA Standards and Followers'!$A$7:$A$66,0))&lt;=F$1),INDEX('CA Standards and Followers'!#REF!,MATCH(F$1,'CA Standards and Followers'!$1:$1,0)),IF(AND(INDEX('CA Standards and Followers'!$D$7:$D$66,MATCH($A43,'CA Standards and Followers'!$A$7:$A$66,0))=1,INDEX('CA Standards and Followers'!$G$7:$G$66,MATCH($A43,'CA Standards and Followers'!$A$7:$A$66,0))&lt;=F$1),INDEX('CA Standards and Followers'!$2:$2,MATCH(F$1,'CA Standards and Followers'!$1:$1,0)),0))</f>
        <v>0</v>
      </c>
      <c r="G43">
        <f>IF(AND(INDEX('CA Standards and Followers'!$E$7:$E$66,MATCH($A43,'CA Standards and Followers'!$A$7:$A$66,0))=1,INDEX('CA Standards and Followers'!$H$7:$H$66,MATCH($A43,'CA Standards and Followers'!$A$7:$A$66,0))&lt;=G$1),INDEX('CA Standards and Followers'!#REF!,MATCH(G$1,'CA Standards and Followers'!$1:$1,0)),IF(AND(INDEX('CA Standards and Followers'!$D$7:$D$66,MATCH($A43,'CA Standards and Followers'!$A$7:$A$66,0))=1,INDEX('CA Standards and Followers'!$G$7:$G$66,MATCH($A43,'CA Standards and Followers'!$A$7:$A$66,0))&lt;=G$1),INDEX('CA Standards and Followers'!$2:$2,MATCH(G$1,'CA Standards and Followers'!$1:$1,0)),0))</f>
        <v>0</v>
      </c>
      <c r="H43">
        <f>IF(AND(INDEX('CA Standards and Followers'!$E$7:$E$66,MATCH($A43,'CA Standards and Followers'!$A$7:$A$66,0))=1,INDEX('CA Standards and Followers'!$H$7:$H$66,MATCH($A43,'CA Standards and Followers'!$A$7:$A$66,0))&lt;=H$1),INDEX('CA Standards and Followers'!#REF!,MATCH(H$1,'CA Standards and Followers'!$1:$1,0)),IF(AND(INDEX('CA Standards and Followers'!$D$7:$D$66,MATCH($A43,'CA Standards and Followers'!$A$7:$A$66,0))=1,INDEX('CA Standards and Followers'!$G$7:$G$66,MATCH($A43,'CA Standards and Followers'!$A$7:$A$66,0))&lt;=H$1),INDEX('CA Standards and Followers'!$2:$2,MATCH(H$1,'CA Standards and Followers'!$1:$1,0)),0))</f>
        <v>0</v>
      </c>
      <c r="I43">
        <f>IF(AND(INDEX('CA Standards and Followers'!$E$7:$E$66,MATCH($A43,'CA Standards and Followers'!$A$7:$A$66,0))=1,INDEX('CA Standards and Followers'!$H$7:$H$66,MATCH($A43,'CA Standards and Followers'!$A$7:$A$66,0))&lt;=I$1),INDEX('CA Standards and Followers'!#REF!,MATCH(I$1,'CA Standards and Followers'!$1:$1,0)),IF(AND(INDEX('CA Standards and Followers'!$D$7:$D$66,MATCH($A43,'CA Standards and Followers'!$A$7:$A$66,0))=1,INDEX('CA Standards and Followers'!$G$7:$G$66,MATCH($A43,'CA Standards and Followers'!$A$7:$A$66,0))&lt;=I$1),INDEX('CA Standards and Followers'!$2:$2,MATCH(I$1,'CA Standards and Followers'!$1:$1,0)),0))</f>
        <v>0</v>
      </c>
      <c r="J43">
        <f>IF(AND(INDEX('CA Standards and Followers'!$E$7:$E$66,MATCH($A43,'CA Standards and Followers'!$A$7:$A$66,0))=1,INDEX('CA Standards and Followers'!$H$7:$H$66,MATCH($A43,'CA Standards and Followers'!$A$7:$A$66,0))&lt;=J$1),INDEX('CA Standards and Followers'!#REF!,MATCH(J$1,'CA Standards and Followers'!$1:$1,0)),IF(AND(INDEX('CA Standards and Followers'!$D$7:$D$66,MATCH($A43,'CA Standards and Followers'!$A$7:$A$66,0))=1,INDEX('CA Standards and Followers'!$G$7:$G$66,MATCH($A43,'CA Standards and Followers'!$A$7:$A$66,0))&lt;=J$1),INDEX('CA Standards and Followers'!$2:$2,MATCH(J$1,'CA Standards and Followers'!$1:$1,0)),0))</f>
        <v>0</v>
      </c>
      <c r="K43" s="39">
        <f>MAX(IFERROR(IF(INDEX('State Map'!$C:$C,MATCH(TRIM('RZSPbS-psgr-ldv'!$A43),'State Map'!$A:$A,0))="Max Ambition",Schedules!G$4,J43),J43),J43)</f>
        <v>0</v>
      </c>
      <c r="L43" s="39">
        <f>MAX(IFERROR(IF(INDEX('State Map'!$C:$C,MATCH(TRIM('RZSPbS-psgr-ldv'!$A43),'State Map'!$A:$A,0))="Max Ambition",Schedules!H$4,K43),K43),K43)</f>
        <v>0</v>
      </c>
      <c r="M43" s="39">
        <f>MAX(IFERROR(IF(INDEX('State Map'!$C:$C,MATCH(TRIM('RZSPbS-psgr-ldv'!$A43),'State Map'!$A:$A,0))="Max Ambition",Schedules!I$4,L43),L43),L43)</f>
        <v>0</v>
      </c>
      <c r="N43" s="39">
        <f>MAX(IFERROR(IF(INDEX('State Map'!$C:$C,MATCH(TRIM('RZSPbS-psgr-ldv'!$A43),'State Map'!$A:$A,0))="Max Ambition",Schedules!J$4,M43),M43),M43)</f>
        <v>0</v>
      </c>
      <c r="O43" s="39">
        <f>MAX(IFERROR(IF(INDEX('State Map'!$C:$C,MATCH(TRIM('RZSPbS-psgr-ldv'!$A43),'State Map'!$A:$A,0))="Max Ambition",Schedules!K$4,N43),N43),N43)</f>
        <v>0</v>
      </c>
      <c r="P43" s="39">
        <f>MAX(IFERROR(IF(INDEX('State Map'!$C:$C,MATCH(TRIM('RZSPbS-psgr-ldv'!$A43),'State Map'!$A:$A,0))="Max Ambition",Schedules!L$4,O43),O43),O43)</f>
        <v>0</v>
      </c>
      <c r="Q43" s="39">
        <f>MAX(IFERROR(IF(INDEX('State Map'!$C:$C,MATCH(TRIM('RZSPbS-psgr-ldv'!$A43),'State Map'!$A:$A,0))="Max Ambition",Schedules!M$4,P43),P43),P43)</f>
        <v>0</v>
      </c>
      <c r="R43" s="39">
        <f>MAX(IFERROR(IF(INDEX('State Map'!$C:$C,MATCH(TRIM('RZSPbS-psgr-ldv'!$A43),'State Map'!$A:$A,0))="Max Ambition",Schedules!N$4,Q43),Q43),Q43)</f>
        <v>0</v>
      </c>
      <c r="S43" s="39">
        <f>MAX(IFERROR(IF(INDEX('State Map'!$C:$C,MATCH(TRIM('RZSPbS-psgr-ldv'!$A43),'State Map'!$A:$A,0))="Max Ambition",Schedules!O$4,R43),R43),R43)</f>
        <v>0</v>
      </c>
      <c r="T43" s="39">
        <f>MAX(IFERROR(IF(INDEX('State Map'!$C:$C,MATCH(TRIM('RZSPbS-psgr-ldv'!$A43),'State Map'!$A:$A,0))="Max Ambition",Schedules!P$4,S43),S43),S43)</f>
        <v>0</v>
      </c>
      <c r="U43" s="39">
        <f>MAX(IFERROR(IF(INDEX('State Map'!$C:$C,MATCH(TRIM('RZSPbS-psgr-ldv'!$A43),'State Map'!$A:$A,0))="Max Ambition",Schedules!Q$4,T43),T43),T43)</f>
        <v>0</v>
      </c>
      <c r="V43" s="39">
        <f>MAX(IFERROR(IF(INDEX('State Map'!$C:$C,MATCH(TRIM('RZSPbS-psgr-ldv'!$A43),'State Map'!$A:$A,0))="Max Ambition",Schedules!R$4,U43),U43),U43)</f>
        <v>0</v>
      </c>
      <c r="W43" s="39">
        <f>MAX(IFERROR(IF(INDEX('State Map'!$C:$C,MATCH(TRIM('RZSPbS-psgr-ldv'!$A43),'State Map'!$A:$A,0))="Max Ambition",Schedules!S$4,V43),V43),V43)</f>
        <v>0</v>
      </c>
      <c r="X43" s="39">
        <f>MAX(IFERROR(IF(INDEX('State Map'!$C:$C,MATCH(TRIM('RZSPbS-psgr-ldv'!$A43),'State Map'!$A:$A,0))="Max Ambition",Schedules!T$4,W43),W43),W43)</f>
        <v>0</v>
      </c>
      <c r="Y43" s="39">
        <f>MAX(IFERROR(IF(INDEX('State Map'!$C:$C,MATCH(TRIM('RZSPbS-psgr-ldv'!$A43),'State Map'!$A:$A,0))="Max Ambition",Schedules!U$4,X43),X43),X43)</f>
        <v>0</v>
      </c>
      <c r="Z43" s="39">
        <f>MAX(IFERROR(IF(INDEX('State Map'!$C:$C,MATCH(TRIM('RZSPbS-psgr-ldv'!$A43),'State Map'!$A:$A,0))="Max Ambition",Schedules!V$4,Y43),Y43),Y43)</f>
        <v>0</v>
      </c>
      <c r="AA43" s="39">
        <f>MAX(IFERROR(IF(INDEX('State Map'!$C:$C,MATCH(TRIM('RZSPbS-psgr-ldv'!$A43),'State Map'!$A:$A,0))="Max Ambition",Schedules!W$4,Z43),Z43),Z43)</f>
        <v>0</v>
      </c>
      <c r="AB43" s="39">
        <f>MAX(IFERROR(IF(INDEX('State Map'!$C:$C,MATCH(TRIM('RZSPbS-psgr-ldv'!$A43),'State Map'!$A:$A,0))="Max Ambition",Schedules!X$4,AA43),AA43),AA43)</f>
        <v>0</v>
      </c>
      <c r="AC43" s="39">
        <f>MAX(IFERROR(IF(INDEX('State Map'!$C:$C,MATCH(TRIM('RZSPbS-psgr-ldv'!$A43),'State Map'!$A:$A,0))="Max Ambition",Schedules!Y$4,AB43),AB43),AB43)</f>
        <v>0</v>
      </c>
      <c r="AD43" s="39">
        <f>MAX(IFERROR(IF(INDEX('State Map'!$C:$C,MATCH(TRIM('RZSPbS-psgr-ldv'!$A43),'State Map'!$A:$A,0))="Max Ambition",Schedules!Z$4,AC43),AC43),AC43)</f>
        <v>0</v>
      </c>
      <c r="AE43" s="39">
        <f>MAX(IFERROR(IF(INDEX('State Map'!$C:$C,MATCH(TRIM('RZSPbS-psgr-ldv'!$A43),'State Map'!$A:$A,0))="Max Ambition",Schedules!AA$4,AD43),AD43),AD43)</f>
        <v>0</v>
      </c>
      <c r="AF43" s="39">
        <f>MAX(IFERROR(IF(INDEX('State Map'!$C:$C,MATCH(TRIM('RZSPbS-psgr-ldv'!$A43),'State Map'!$A:$A,0))="Max Ambition",Schedules!AB$4,AE43),AE43),AE43)</f>
        <v>0</v>
      </c>
    </row>
    <row r="44" spans="1:32" x14ac:dyDescent="0.25">
      <c r="A44" t="s">
        <v>43</v>
      </c>
      <c r="B44">
        <f>IF(AND(INDEX('CA Standards and Followers'!$E$7:$E$66,MATCH($A44,'CA Standards and Followers'!$A$7:$A$66,0))=1,INDEX('CA Standards and Followers'!$H$7:$H$66,MATCH($A44,'CA Standards and Followers'!$A$7:$A$66,0))&lt;=B$1),INDEX('CA Standards and Followers'!#REF!,MATCH(B$1,'CA Standards and Followers'!$1:$1,0)),IF(AND(INDEX('CA Standards and Followers'!$D$7:$D$66,MATCH($A44,'CA Standards and Followers'!$A$7:$A$66,0))=1,INDEX('CA Standards and Followers'!$G$7:$G$66,MATCH($A44,'CA Standards and Followers'!$A$7:$A$66,0))&lt;=B$1),INDEX('CA Standards and Followers'!$2:$2,MATCH(B$1,'CA Standards and Followers'!$1:$1,0)),0))</f>
        <v>0</v>
      </c>
      <c r="C44">
        <f>IF(AND(INDEX('CA Standards and Followers'!$E$7:$E$66,MATCH($A44,'CA Standards and Followers'!$A$7:$A$66,0))=1,INDEX('CA Standards and Followers'!$H$7:$H$66,MATCH($A44,'CA Standards and Followers'!$A$7:$A$66,0))&lt;=C$1),INDEX('CA Standards and Followers'!#REF!,MATCH(C$1,'CA Standards and Followers'!$1:$1,0)),IF(AND(INDEX('CA Standards and Followers'!$D$7:$D$66,MATCH($A44,'CA Standards and Followers'!$A$7:$A$66,0))=1,INDEX('CA Standards and Followers'!$G$7:$G$66,MATCH($A44,'CA Standards and Followers'!$A$7:$A$66,0))&lt;=C$1),INDEX('CA Standards and Followers'!$2:$2,MATCH(C$1,'CA Standards and Followers'!$1:$1,0)),0))</f>
        <v>0</v>
      </c>
      <c r="D44">
        <f>IF(AND(INDEX('CA Standards and Followers'!$E$7:$E$66,MATCH($A44,'CA Standards and Followers'!$A$7:$A$66,0))=1,INDEX('CA Standards and Followers'!$H$7:$H$66,MATCH($A44,'CA Standards and Followers'!$A$7:$A$66,0))&lt;=D$1),INDEX('CA Standards and Followers'!#REF!,MATCH(D$1,'CA Standards and Followers'!$1:$1,0)),IF(AND(INDEX('CA Standards and Followers'!$D$7:$D$66,MATCH($A44,'CA Standards and Followers'!$A$7:$A$66,0))=1,INDEX('CA Standards and Followers'!$G$7:$G$66,MATCH($A44,'CA Standards and Followers'!$A$7:$A$66,0))&lt;=D$1),INDEX('CA Standards and Followers'!$2:$2,MATCH(D$1,'CA Standards and Followers'!$1:$1,0)),0))</f>
        <v>0</v>
      </c>
      <c r="E44">
        <f>IF(AND(INDEX('CA Standards and Followers'!$E$7:$E$66,MATCH($A44,'CA Standards and Followers'!$A$7:$A$66,0))=1,INDEX('CA Standards and Followers'!$H$7:$H$66,MATCH($A44,'CA Standards and Followers'!$A$7:$A$66,0))&lt;=E$1),INDEX('CA Standards and Followers'!#REF!,MATCH(E$1,'CA Standards and Followers'!$1:$1,0)),IF(AND(INDEX('CA Standards and Followers'!$D$7:$D$66,MATCH($A44,'CA Standards and Followers'!$A$7:$A$66,0))=1,INDEX('CA Standards and Followers'!$G$7:$G$66,MATCH($A44,'CA Standards and Followers'!$A$7:$A$66,0))&lt;=E$1),INDEX('CA Standards and Followers'!$2:$2,MATCH(E$1,'CA Standards and Followers'!$1:$1,0)),0))</f>
        <v>0</v>
      </c>
      <c r="F44">
        <f>IF(AND(INDEX('CA Standards and Followers'!$E$7:$E$66,MATCH($A44,'CA Standards and Followers'!$A$7:$A$66,0))=1,INDEX('CA Standards and Followers'!$H$7:$H$66,MATCH($A44,'CA Standards and Followers'!$A$7:$A$66,0))&lt;=F$1),INDEX('CA Standards and Followers'!#REF!,MATCH(F$1,'CA Standards and Followers'!$1:$1,0)),IF(AND(INDEX('CA Standards and Followers'!$D$7:$D$66,MATCH($A44,'CA Standards and Followers'!$A$7:$A$66,0))=1,INDEX('CA Standards and Followers'!$G$7:$G$66,MATCH($A44,'CA Standards and Followers'!$A$7:$A$66,0))&lt;=F$1),INDEX('CA Standards and Followers'!$2:$2,MATCH(F$1,'CA Standards and Followers'!$1:$1,0)),0))</f>
        <v>0</v>
      </c>
      <c r="G44">
        <f>IF(AND(INDEX('CA Standards and Followers'!$E$7:$E$66,MATCH($A44,'CA Standards and Followers'!$A$7:$A$66,0))=1,INDEX('CA Standards and Followers'!$H$7:$H$66,MATCH($A44,'CA Standards and Followers'!$A$7:$A$66,0))&lt;=G$1),INDEX('CA Standards and Followers'!#REF!,MATCH(G$1,'CA Standards and Followers'!$1:$1,0)),IF(AND(INDEX('CA Standards and Followers'!$D$7:$D$66,MATCH($A44,'CA Standards and Followers'!$A$7:$A$66,0))=1,INDEX('CA Standards and Followers'!$G$7:$G$66,MATCH($A44,'CA Standards and Followers'!$A$7:$A$66,0))&lt;=G$1),INDEX('CA Standards and Followers'!$2:$2,MATCH(G$1,'CA Standards and Followers'!$1:$1,0)),0))</f>
        <v>0</v>
      </c>
      <c r="H44">
        <f>IF(AND(INDEX('CA Standards and Followers'!$E$7:$E$66,MATCH($A44,'CA Standards and Followers'!$A$7:$A$66,0))=1,INDEX('CA Standards and Followers'!$H$7:$H$66,MATCH($A44,'CA Standards and Followers'!$A$7:$A$66,0))&lt;=H$1),INDEX('CA Standards and Followers'!#REF!,MATCH(H$1,'CA Standards and Followers'!$1:$1,0)),IF(AND(INDEX('CA Standards and Followers'!$D$7:$D$66,MATCH($A44,'CA Standards and Followers'!$A$7:$A$66,0))=1,INDEX('CA Standards and Followers'!$G$7:$G$66,MATCH($A44,'CA Standards and Followers'!$A$7:$A$66,0))&lt;=H$1),INDEX('CA Standards and Followers'!$2:$2,MATCH(H$1,'CA Standards and Followers'!$1:$1,0)),0))</f>
        <v>0</v>
      </c>
      <c r="I44">
        <f>IF(AND(INDEX('CA Standards and Followers'!$E$7:$E$66,MATCH($A44,'CA Standards and Followers'!$A$7:$A$66,0))=1,INDEX('CA Standards and Followers'!$H$7:$H$66,MATCH($A44,'CA Standards and Followers'!$A$7:$A$66,0))&lt;=I$1),INDEX('CA Standards and Followers'!#REF!,MATCH(I$1,'CA Standards and Followers'!$1:$1,0)),IF(AND(INDEX('CA Standards and Followers'!$D$7:$D$66,MATCH($A44,'CA Standards and Followers'!$A$7:$A$66,0))=1,INDEX('CA Standards and Followers'!$G$7:$G$66,MATCH($A44,'CA Standards and Followers'!$A$7:$A$66,0))&lt;=I$1),INDEX('CA Standards and Followers'!$2:$2,MATCH(I$1,'CA Standards and Followers'!$1:$1,0)),0))</f>
        <v>0</v>
      </c>
      <c r="J44">
        <f>IF(AND(INDEX('CA Standards and Followers'!$E$7:$E$66,MATCH($A44,'CA Standards and Followers'!$A$7:$A$66,0))=1,INDEX('CA Standards and Followers'!$H$7:$H$66,MATCH($A44,'CA Standards and Followers'!$A$7:$A$66,0))&lt;=J$1),INDEX('CA Standards and Followers'!#REF!,MATCH(J$1,'CA Standards and Followers'!$1:$1,0)),IF(AND(INDEX('CA Standards and Followers'!$D$7:$D$66,MATCH($A44,'CA Standards and Followers'!$A$7:$A$66,0))=1,INDEX('CA Standards and Followers'!$G$7:$G$66,MATCH($A44,'CA Standards and Followers'!$A$7:$A$66,0))&lt;=J$1),INDEX('CA Standards and Followers'!$2:$2,MATCH(J$1,'CA Standards and Followers'!$1:$1,0)),0))</f>
        <v>0</v>
      </c>
      <c r="K44" s="39">
        <f>MAX(IFERROR(IF(INDEX('State Map'!$C:$C,MATCH(TRIM('RZSPbS-psgr-ldv'!$A44),'State Map'!$A:$A,0))="Max Ambition",Schedules!G$4,J44),J44),J44)</f>
        <v>0</v>
      </c>
      <c r="L44" s="39">
        <f>MAX(IFERROR(IF(INDEX('State Map'!$C:$C,MATCH(TRIM('RZSPbS-psgr-ldv'!$A44),'State Map'!$A:$A,0))="Max Ambition",Schedules!H$4,K44),K44),K44)</f>
        <v>0</v>
      </c>
      <c r="M44" s="39">
        <f>MAX(IFERROR(IF(INDEX('State Map'!$C:$C,MATCH(TRIM('RZSPbS-psgr-ldv'!$A44),'State Map'!$A:$A,0))="Max Ambition",Schedules!I$4,L44),L44),L44)</f>
        <v>0</v>
      </c>
      <c r="N44" s="39">
        <f>MAX(IFERROR(IF(INDEX('State Map'!$C:$C,MATCH(TRIM('RZSPbS-psgr-ldv'!$A44),'State Map'!$A:$A,0))="Max Ambition",Schedules!J$4,M44),M44),M44)</f>
        <v>0</v>
      </c>
      <c r="O44" s="39">
        <f>MAX(IFERROR(IF(INDEX('State Map'!$C:$C,MATCH(TRIM('RZSPbS-psgr-ldv'!$A44),'State Map'!$A:$A,0))="Max Ambition",Schedules!K$4,N44),N44),N44)</f>
        <v>0</v>
      </c>
      <c r="P44" s="39">
        <f>MAX(IFERROR(IF(INDEX('State Map'!$C:$C,MATCH(TRIM('RZSPbS-psgr-ldv'!$A44),'State Map'!$A:$A,0))="Max Ambition",Schedules!L$4,O44),O44),O44)</f>
        <v>0</v>
      </c>
      <c r="Q44" s="39">
        <f>MAX(IFERROR(IF(INDEX('State Map'!$C:$C,MATCH(TRIM('RZSPbS-psgr-ldv'!$A44),'State Map'!$A:$A,0))="Max Ambition",Schedules!M$4,P44),P44),P44)</f>
        <v>0</v>
      </c>
      <c r="R44" s="39">
        <f>MAX(IFERROR(IF(INDEX('State Map'!$C:$C,MATCH(TRIM('RZSPbS-psgr-ldv'!$A44),'State Map'!$A:$A,0))="Max Ambition",Schedules!N$4,Q44),Q44),Q44)</f>
        <v>0</v>
      </c>
      <c r="S44" s="39">
        <f>MAX(IFERROR(IF(INDEX('State Map'!$C:$C,MATCH(TRIM('RZSPbS-psgr-ldv'!$A44),'State Map'!$A:$A,0))="Max Ambition",Schedules!O$4,R44),R44),R44)</f>
        <v>0</v>
      </c>
      <c r="T44" s="39">
        <f>MAX(IFERROR(IF(INDEX('State Map'!$C:$C,MATCH(TRIM('RZSPbS-psgr-ldv'!$A44),'State Map'!$A:$A,0))="Max Ambition",Schedules!P$4,S44),S44),S44)</f>
        <v>0</v>
      </c>
      <c r="U44" s="39">
        <f>MAX(IFERROR(IF(INDEX('State Map'!$C:$C,MATCH(TRIM('RZSPbS-psgr-ldv'!$A44),'State Map'!$A:$A,0))="Max Ambition",Schedules!Q$4,T44),T44),T44)</f>
        <v>0</v>
      </c>
      <c r="V44" s="39">
        <f>MAX(IFERROR(IF(INDEX('State Map'!$C:$C,MATCH(TRIM('RZSPbS-psgr-ldv'!$A44),'State Map'!$A:$A,0))="Max Ambition",Schedules!R$4,U44),U44),U44)</f>
        <v>0</v>
      </c>
      <c r="W44" s="39">
        <f>MAX(IFERROR(IF(INDEX('State Map'!$C:$C,MATCH(TRIM('RZSPbS-psgr-ldv'!$A44),'State Map'!$A:$A,0))="Max Ambition",Schedules!S$4,V44),V44),V44)</f>
        <v>0</v>
      </c>
      <c r="X44" s="39">
        <f>MAX(IFERROR(IF(INDEX('State Map'!$C:$C,MATCH(TRIM('RZSPbS-psgr-ldv'!$A44),'State Map'!$A:$A,0))="Max Ambition",Schedules!T$4,W44),W44),W44)</f>
        <v>0</v>
      </c>
      <c r="Y44" s="39">
        <f>MAX(IFERROR(IF(INDEX('State Map'!$C:$C,MATCH(TRIM('RZSPbS-psgr-ldv'!$A44),'State Map'!$A:$A,0))="Max Ambition",Schedules!U$4,X44),X44),X44)</f>
        <v>0</v>
      </c>
      <c r="Z44" s="39">
        <f>MAX(IFERROR(IF(INDEX('State Map'!$C:$C,MATCH(TRIM('RZSPbS-psgr-ldv'!$A44),'State Map'!$A:$A,0))="Max Ambition",Schedules!V$4,Y44),Y44),Y44)</f>
        <v>0</v>
      </c>
      <c r="AA44" s="39">
        <f>MAX(IFERROR(IF(INDEX('State Map'!$C:$C,MATCH(TRIM('RZSPbS-psgr-ldv'!$A44),'State Map'!$A:$A,0))="Max Ambition",Schedules!W$4,Z44),Z44),Z44)</f>
        <v>0</v>
      </c>
      <c r="AB44" s="39">
        <f>MAX(IFERROR(IF(INDEX('State Map'!$C:$C,MATCH(TRIM('RZSPbS-psgr-ldv'!$A44),'State Map'!$A:$A,0))="Max Ambition",Schedules!X$4,AA44),AA44),AA44)</f>
        <v>0</v>
      </c>
      <c r="AC44" s="39">
        <f>MAX(IFERROR(IF(INDEX('State Map'!$C:$C,MATCH(TRIM('RZSPbS-psgr-ldv'!$A44),'State Map'!$A:$A,0))="Max Ambition",Schedules!Y$4,AB44),AB44),AB44)</f>
        <v>0</v>
      </c>
      <c r="AD44" s="39">
        <f>MAX(IFERROR(IF(INDEX('State Map'!$C:$C,MATCH(TRIM('RZSPbS-psgr-ldv'!$A44),'State Map'!$A:$A,0))="Max Ambition",Schedules!Z$4,AC44),AC44),AC44)</f>
        <v>0</v>
      </c>
      <c r="AE44" s="39">
        <f>MAX(IFERROR(IF(INDEX('State Map'!$C:$C,MATCH(TRIM('RZSPbS-psgr-ldv'!$A44),'State Map'!$A:$A,0))="Max Ambition",Schedules!AA$4,AD44),AD44),AD44)</f>
        <v>0</v>
      </c>
      <c r="AF44" s="39">
        <f>MAX(IFERROR(IF(INDEX('State Map'!$C:$C,MATCH(TRIM('RZSPbS-psgr-ldv'!$A44),'State Map'!$A:$A,0))="Max Ambition",Schedules!AB$4,AE44),AE44),AE44)</f>
        <v>0</v>
      </c>
    </row>
    <row r="45" spans="1:32" x14ac:dyDescent="0.25">
      <c r="A45" t="s">
        <v>44</v>
      </c>
      <c r="B45">
        <f>IF(AND(INDEX('CA Standards and Followers'!$E$7:$E$66,MATCH($A45,'CA Standards and Followers'!$A$7:$A$66,0))=1,INDEX('CA Standards and Followers'!$H$7:$H$66,MATCH($A45,'CA Standards and Followers'!$A$7:$A$66,0))&lt;=B$1),INDEX('CA Standards and Followers'!#REF!,MATCH(B$1,'CA Standards and Followers'!$1:$1,0)),IF(AND(INDEX('CA Standards and Followers'!$D$7:$D$66,MATCH($A45,'CA Standards and Followers'!$A$7:$A$66,0))=1,INDEX('CA Standards and Followers'!$G$7:$G$66,MATCH($A45,'CA Standards and Followers'!$A$7:$A$66,0))&lt;=B$1),INDEX('CA Standards and Followers'!$2:$2,MATCH(B$1,'CA Standards and Followers'!$1:$1,0)),0))</f>
        <v>0</v>
      </c>
      <c r="C45">
        <f>IF(AND(INDEX('CA Standards and Followers'!$E$7:$E$66,MATCH($A45,'CA Standards and Followers'!$A$7:$A$66,0))=1,INDEX('CA Standards and Followers'!$H$7:$H$66,MATCH($A45,'CA Standards and Followers'!$A$7:$A$66,0))&lt;=C$1),INDEX('CA Standards and Followers'!#REF!,MATCH(C$1,'CA Standards and Followers'!$1:$1,0)),IF(AND(INDEX('CA Standards and Followers'!$D$7:$D$66,MATCH($A45,'CA Standards and Followers'!$A$7:$A$66,0))=1,INDEX('CA Standards and Followers'!$G$7:$G$66,MATCH($A45,'CA Standards and Followers'!$A$7:$A$66,0))&lt;=C$1),INDEX('CA Standards and Followers'!$2:$2,MATCH(C$1,'CA Standards and Followers'!$1:$1,0)),0))</f>
        <v>0</v>
      </c>
      <c r="D45">
        <f>IF(AND(INDEX('CA Standards and Followers'!$E$7:$E$66,MATCH($A45,'CA Standards and Followers'!$A$7:$A$66,0))=1,INDEX('CA Standards and Followers'!$H$7:$H$66,MATCH($A45,'CA Standards and Followers'!$A$7:$A$66,0))&lt;=D$1),INDEX('CA Standards and Followers'!#REF!,MATCH(D$1,'CA Standards and Followers'!$1:$1,0)),IF(AND(INDEX('CA Standards and Followers'!$D$7:$D$66,MATCH($A45,'CA Standards and Followers'!$A$7:$A$66,0))=1,INDEX('CA Standards and Followers'!$G$7:$G$66,MATCH($A45,'CA Standards and Followers'!$A$7:$A$66,0))&lt;=D$1),INDEX('CA Standards and Followers'!$2:$2,MATCH(D$1,'CA Standards and Followers'!$1:$1,0)),0))</f>
        <v>0</v>
      </c>
      <c r="E45">
        <f>IF(AND(INDEX('CA Standards and Followers'!$E$7:$E$66,MATCH($A45,'CA Standards and Followers'!$A$7:$A$66,0))=1,INDEX('CA Standards and Followers'!$H$7:$H$66,MATCH($A45,'CA Standards and Followers'!$A$7:$A$66,0))&lt;=E$1),INDEX('CA Standards and Followers'!#REF!,MATCH(E$1,'CA Standards and Followers'!$1:$1,0)),IF(AND(INDEX('CA Standards and Followers'!$D$7:$D$66,MATCH($A45,'CA Standards and Followers'!$A$7:$A$66,0))=1,INDEX('CA Standards and Followers'!$G$7:$G$66,MATCH($A45,'CA Standards and Followers'!$A$7:$A$66,0))&lt;=E$1),INDEX('CA Standards and Followers'!$2:$2,MATCH(E$1,'CA Standards and Followers'!$1:$1,0)),0))</f>
        <v>0</v>
      </c>
      <c r="F45">
        <f>IF(AND(INDEX('CA Standards and Followers'!$E$7:$E$66,MATCH($A45,'CA Standards and Followers'!$A$7:$A$66,0))=1,INDEX('CA Standards and Followers'!$H$7:$H$66,MATCH($A45,'CA Standards and Followers'!$A$7:$A$66,0))&lt;=F$1),INDEX('CA Standards and Followers'!#REF!,MATCH(F$1,'CA Standards and Followers'!$1:$1,0)),IF(AND(INDEX('CA Standards and Followers'!$D$7:$D$66,MATCH($A45,'CA Standards and Followers'!$A$7:$A$66,0))=1,INDEX('CA Standards and Followers'!$G$7:$G$66,MATCH($A45,'CA Standards and Followers'!$A$7:$A$66,0))&lt;=F$1),INDEX('CA Standards and Followers'!$2:$2,MATCH(F$1,'CA Standards and Followers'!$1:$1,0)),0))</f>
        <v>0</v>
      </c>
      <c r="G45">
        <f>IF(AND(INDEX('CA Standards and Followers'!$E$7:$E$66,MATCH($A45,'CA Standards and Followers'!$A$7:$A$66,0))=1,INDEX('CA Standards and Followers'!$H$7:$H$66,MATCH($A45,'CA Standards and Followers'!$A$7:$A$66,0))&lt;=G$1),INDEX('CA Standards and Followers'!#REF!,MATCH(G$1,'CA Standards and Followers'!$1:$1,0)),IF(AND(INDEX('CA Standards and Followers'!$D$7:$D$66,MATCH($A45,'CA Standards and Followers'!$A$7:$A$66,0))=1,INDEX('CA Standards and Followers'!$G$7:$G$66,MATCH($A45,'CA Standards and Followers'!$A$7:$A$66,0))&lt;=G$1),INDEX('CA Standards and Followers'!$2:$2,MATCH(G$1,'CA Standards and Followers'!$1:$1,0)),0))</f>
        <v>0</v>
      </c>
      <c r="H45">
        <f>IF(AND(INDEX('CA Standards and Followers'!$E$7:$E$66,MATCH($A45,'CA Standards and Followers'!$A$7:$A$66,0))=1,INDEX('CA Standards and Followers'!$H$7:$H$66,MATCH($A45,'CA Standards and Followers'!$A$7:$A$66,0))&lt;=H$1),INDEX('CA Standards and Followers'!#REF!,MATCH(H$1,'CA Standards and Followers'!$1:$1,0)),IF(AND(INDEX('CA Standards and Followers'!$D$7:$D$66,MATCH($A45,'CA Standards and Followers'!$A$7:$A$66,0))=1,INDEX('CA Standards and Followers'!$G$7:$G$66,MATCH($A45,'CA Standards and Followers'!$A$7:$A$66,0))&lt;=H$1),INDEX('CA Standards and Followers'!$2:$2,MATCH(H$1,'CA Standards and Followers'!$1:$1,0)),0))</f>
        <v>0</v>
      </c>
      <c r="I45">
        <f>IF(AND(INDEX('CA Standards and Followers'!$E$7:$E$66,MATCH($A45,'CA Standards and Followers'!$A$7:$A$66,0))=1,INDEX('CA Standards and Followers'!$H$7:$H$66,MATCH($A45,'CA Standards and Followers'!$A$7:$A$66,0))&lt;=I$1),INDEX('CA Standards and Followers'!#REF!,MATCH(I$1,'CA Standards and Followers'!$1:$1,0)),IF(AND(INDEX('CA Standards and Followers'!$D$7:$D$66,MATCH($A45,'CA Standards and Followers'!$A$7:$A$66,0))=1,INDEX('CA Standards and Followers'!$G$7:$G$66,MATCH($A45,'CA Standards and Followers'!$A$7:$A$66,0))&lt;=I$1),INDEX('CA Standards and Followers'!$2:$2,MATCH(I$1,'CA Standards and Followers'!$1:$1,0)),0))</f>
        <v>0</v>
      </c>
      <c r="J45">
        <f>IF(AND(INDEX('CA Standards and Followers'!$E$7:$E$66,MATCH($A45,'CA Standards and Followers'!$A$7:$A$66,0))=1,INDEX('CA Standards and Followers'!$H$7:$H$66,MATCH($A45,'CA Standards and Followers'!$A$7:$A$66,0))&lt;=J$1),INDEX('CA Standards and Followers'!#REF!,MATCH(J$1,'CA Standards and Followers'!$1:$1,0)),IF(AND(INDEX('CA Standards and Followers'!$D$7:$D$66,MATCH($A45,'CA Standards and Followers'!$A$7:$A$66,0))=1,INDEX('CA Standards and Followers'!$G$7:$G$66,MATCH($A45,'CA Standards and Followers'!$A$7:$A$66,0))&lt;=J$1),INDEX('CA Standards and Followers'!$2:$2,MATCH(J$1,'CA Standards and Followers'!$1:$1,0)),0))</f>
        <v>0</v>
      </c>
      <c r="K45" s="39">
        <f>MAX(IFERROR(IF(INDEX('State Map'!$C:$C,MATCH(TRIM('RZSPbS-psgr-ldv'!$A45),'State Map'!$A:$A,0))="Max Ambition",Schedules!G$4,J45),J45),J45)</f>
        <v>0</v>
      </c>
      <c r="L45" s="39">
        <f>MAX(IFERROR(IF(INDEX('State Map'!$C:$C,MATCH(TRIM('RZSPbS-psgr-ldv'!$A45),'State Map'!$A:$A,0))="Max Ambition",Schedules!H$4,K45),K45),K45)</f>
        <v>0</v>
      </c>
      <c r="M45" s="39">
        <f>MAX(IFERROR(IF(INDEX('State Map'!$C:$C,MATCH(TRIM('RZSPbS-psgr-ldv'!$A45),'State Map'!$A:$A,0))="Max Ambition",Schedules!I$4,L45),L45),L45)</f>
        <v>0</v>
      </c>
      <c r="N45" s="39">
        <f>MAX(IFERROR(IF(INDEX('State Map'!$C:$C,MATCH(TRIM('RZSPbS-psgr-ldv'!$A45),'State Map'!$A:$A,0))="Max Ambition",Schedules!J$4,M45),M45),M45)</f>
        <v>0</v>
      </c>
      <c r="O45" s="39">
        <f>MAX(IFERROR(IF(INDEX('State Map'!$C:$C,MATCH(TRIM('RZSPbS-psgr-ldv'!$A45),'State Map'!$A:$A,0))="Max Ambition",Schedules!K$4,N45),N45),N45)</f>
        <v>0</v>
      </c>
      <c r="P45" s="39">
        <f>MAX(IFERROR(IF(INDEX('State Map'!$C:$C,MATCH(TRIM('RZSPbS-psgr-ldv'!$A45),'State Map'!$A:$A,0))="Max Ambition",Schedules!L$4,O45),O45),O45)</f>
        <v>0</v>
      </c>
      <c r="Q45" s="39">
        <f>MAX(IFERROR(IF(INDEX('State Map'!$C:$C,MATCH(TRIM('RZSPbS-psgr-ldv'!$A45),'State Map'!$A:$A,0))="Max Ambition",Schedules!M$4,P45),P45),P45)</f>
        <v>0</v>
      </c>
      <c r="R45" s="39">
        <f>MAX(IFERROR(IF(INDEX('State Map'!$C:$C,MATCH(TRIM('RZSPbS-psgr-ldv'!$A45),'State Map'!$A:$A,0))="Max Ambition",Schedules!N$4,Q45),Q45),Q45)</f>
        <v>0</v>
      </c>
      <c r="S45" s="39">
        <f>MAX(IFERROR(IF(INDEX('State Map'!$C:$C,MATCH(TRIM('RZSPbS-psgr-ldv'!$A45),'State Map'!$A:$A,0))="Max Ambition",Schedules!O$4,R45),R45),R45)</f>
        <v>0</v>
      </c>
      <c r="T45" s="39">
        <f>MAX(IFERROR(IF(INDEX('State Map'!$C:$C,MATCH(TRIM('RZSPbS-psgr-ldv'!$A45),'State Map'!$A:$A,0))="Max Ambition",Schedules!P$4,S45),S45),S45)</f>
        <v>0</v>
      </c>
      <c r="U45" s="39">
        <f>MAX(IFERROR(IF(INDEX('State Map'!$C:$C,MATCH(TRIM('RZSPbS-psgr-ldv'!$A45),'State Map'!$A:$A,0))="Max Ambition",Schedules!Q$4,T45),T45),T45)</f>
        <v>0</v>
      </c>
      <c r="V45" s="39">
        <f>MAX(IFERROR(IF(INDEX('State Map'!$C:$C,MATCH(TRIM('RZSPbS-psgr-ldv'!$A45),'State Map'!$A:$A,0))="Max Ambition",Schedules!R$4,U45),U45),U45)</f>
        <v>0</v>
      </c>
      <c r="W45" s="39">
        <f>MAX(IFERROR(IF(INDEX('State Map'!$C:$C,MATCH(TRIM('RZSPbS-psgr-ldv'!$A45),'State Map'!$A:$A,0))="Max Ambition",Schedules!S$4,V45),V45),V45)</f>
        <v>0</v>
      </c>
      <c r="X45" s="39">
        <f>MAX(IFERROR(IF(INDEX('State Map'!$C:$C,MATCH(TRIM('RZSPbS-psgr-ldv'!$A45),'State Map'!$A:$A,0))="Max Ambition",Schedules!T$4,W45),W45),W45)</f>
        <v>0</v>
      </c>
      <c r="Y45" s="39">
        <f>MAX(IFERROR(IF(INDEX('State Map'!$C:$C,MATCH(TRIM('RZSPbS-psgr-ldv'!$A45),'State Map'!$A:$A,0))="Max Ambition",Schedules!U$4,X45),X45),X45)</f>
        <v>0</v>
      </c>
      <c r="Z45" s="39">
        <f>MAX(IFERROR(IF(INDEX('State Map'!$C:$C,MATCH(TRIM('RZSPbS-psgr-ldv'!$A45),'State Map'!$A:$A,0))="Max Ambition",Schedules!V$4,Y45),Y45),Y45)</f>
        <v>0</v>
      </c>
      <c r="AA45" s="39">
        <f>MAX(IFERROR(IF(INDEX('State Map'!$C:$C,MATCH(TRIM('RZSPbS-psgr-ldv'!$A45),'State Map'!$A:$A,0))="Max Ambition",Schedules!W$4,Z45),Z45),Z45)</f>
        <v>0</v>
      </c>
      <c r="AB45" s="39">
        <f>MAX(IFERROR(IF(INDEX('State Map'!$C:$C,MATCH(TRIM('RZSPbS-psgr-ldv'!$A45),'State Map'!$A:$A,0))="Max Ambition",Schedules!X$4,AA45),AA45),AA45)</f>
        <v>0</v>
      </c>
      <c r="AC45" s="39">
        <f>MAX(IFERROR(IF(INDEX('State Map'!$C:$C,MATCH(TRIM('RZSPbS-psgr-ldv'!$A45),'State Map'!$A:$A,0))="Max Ambition",Schedules!Y$4,AB45),AB45),AB45)</f>
        <v>0</v>
      </c>
      <c r="AD45" s="39">
        <f>MAX(IFERROR(IF(INDEX('State Map'!$C:$C,MATCH(TRIM('RZSPbS-psgr-ldv'!$A45),'State Map'!$A:$A,0))="Max Ambition",Schedules!Z$4,AC45),AC45),AC45)</f>
        <v>0</v>
      </c>
      <c r="AE45" s="39">
        <f>MAX(IFERROR(IF(INDEX('State Map'!$C:$C,MATCH(TRIM('RZSPbS-psgr-ldv'!$A45),'State Map'!$A:$A,0))="Max Ambition",Schedules!AA$4,AD45),AD45),AD45)</f>
        <v>0</v>
      </c>
      <c r="AF45" s="39">
        <f>MAX(IFERROR(IF(INDEX('State Map'!$C:$C,MATCH(TRIM('RZSPbS-psgr-ldv'!$A45),'State Map'!$A:$A,0))="Max Ambition",Schedules!AB$4,AE45),AE45),AE45)</f>
        <v>0</v>
      </c>
    </row>
    <row r="46" spans="1:32" x14ac:dyDescent="0.25">
      <c r="A46" t="s">
        <v>45</v>
      </c>
      <c r="B46">
        <f>IF(AND(INDEX('CA Standards and Followers'!$E$7:$E$66,MATCH($A46,'CA Standards and Followers'!$A$7:$A$66,0))=1,INDEX('CA Standards and Followers'!$H$7:$H$66,MATCH($A46,'CA Standards and Followers'!$A$7:$A$66,0))&lt;=B$1),INDEX('CA Standards and Followers'!#REF!,MATCH(B$1,'CA Standards and Followers'!$1:$1,0)),IF(AND(INDEX('CA Standards and Followers'!$D$7:$D$66,MATCH($A46,'CA Standards and Followers'!$A$7:$A$66,0))=1,INDEX('CA Standards and Followers'!$G$7:$G$66,MATCH($A46,'CA Standards and Followers'!$A$7:$A$66,0))&lt;=B$1),INDEX('CA Standards and Followers'!$2:$2,MATCH(B$1,'CA Standards and Followers'!$1:$1,0)),0))</f>
        <v>0</v>
      </c>
      <c r="C46">
        <f>IF(AND(INDEX('CA Standards and Followers'!$E$7:$E$66,MATCH($A46,'CA Standards and Followers'!$A$7:$A$66,0))=1,INDEX('CA Standards and Followers'!$H$7:$H$66,MATCH($A46,'CA Standards and Followers'!$A$7:$A$66,0))&lt;=C$1),INDEX('CA Standards and Followers'!#REF!,MATCH(C$1,'CA Standards and Followers'!$1:$1,0)),IF(AND(INDEX('CA Standards and Followers'!$D$7:$D$66,MATCH($A46,'CA Standards and Followers'!$A$7:$A$66,0))=1,INDEX('CA Standards and Followers'!$G$7:$G$66,MATCH($A46,'CA Standards and Followers'!$A$7:$A$66,0))&lt;=C$1),INDEX('CA Standards and Followers'!$2:$2,MATCH(C$1,'CA Standards and Followers'!$1:$1,0)),0))</f>
        <v>0</v>
      </c>
      <c r="D46">
        <f>IF(AND(INDEX('CA Standards and Followers'!$E$7:$E$66,MATCH($A46,'CA Standards and Followers'!$A$7:$A$66,0))=1,INDEX('CA Standards and Followers'!$H$7:$H$66,MATCH($A46,'CA Standards and Followers'!$A$7:$A$66,0))&lt;=D$1),INDEX('CA Standards and Followers'!#REF!,MATCH(D$1,'CA Standards and Followers'!$1:$1,0)),IF(AND(INDEX('CA Standards and Followers'!$D$7:$D$66,MATCH($A46,'CA Standards and Followers'!$A$7:$A$66,0))=1,INDEX('CA Standards and Followers'!$G$7:$G$66,MATCH($A46,'CA Standards and Followers'!$A$7:$A$66,0))&lt;=D$1),INDEX('CA Standards and Followers'!$2:$2,MATCH(D$1,'CA Standards and Followers'!$1:$1,0)),0))</f>
        <v>0</v>
      </c>
      <c r="E46">
        <f>IF(AND(INDEX('CA Standards and Followers'!$E$7:$E$66,MATCH($A46,'CA Standards and Followers'!$A$7:$A$66,0))=1,INDEX('CA Standards and Followers'!$H$7:$H$66,MATCH($A46,'CA Standards and Followers'!$A$7:$A$66,0))&lt;=E$1),INDEX('CA Standards and Followers'!#REF!,MATCH(E$1,'CA Standards and Followers'!$1:$1,0)),IF(AND(INDEX('CA Standards and Followers'!$D$7:$D$66,MATCH($A46,'CA Standards and Followers'!$A$7:$A$66,0))=1,INDEX('CA Standards and Followers'!$G$7:$G$66,MATCH($A46,'CA Standards and Followers'!$A$7:$A$66,0))&lt;=E$1),INDEX('CA Standards and Followers'!$2:$2,MATCH(E$1,'CA Standards and Followers'!$1:$1,0)),0))</f>
        <v>0</v>
      </c>
      <c r="F46">
        <f>IF(AND(INDEX('CA Standards and Followers'!$E$7:$E$66,MATCH($A46,'CA Standards and Followers'!$A$7:$A$66,0))=1,INDEX('CA Standards and Followers'!$H$7:$H$66,MATCH($A46,'CA Standards and Followers'!$A$7:$A$66,0))&lt;=F$1),INDEX('CA Standards and Followers'!#REF!,MATCH(F$1,'CA Standards and Followers'!$1:$1,0)),IF(AND(INDEX('CA Standards and Followers'!$D$7:$D$66,MATCH($A46,'CA Standards and Followers'!$A$7:$A$66,0))=1,INDEX('CA Standards and Followers'!$G$7:$G$66,MATCH($A46,'CA Standards and Followers'!$A$7:$A$66,0))&lt;=F$1),INDEX('CA Standards and Followers'!$2:$2,MATCH(F$1,'CA Standards and Followers'!$1:$1,0)),0))</f>
        <v>0</v>
      </c>
      <c r="G46">
        <f>IF(AND(INDEX('CA Standards and Followers'!$E$7:$E$66,MATCH($A46,'CA Standards and Followers'!$A$7:$A$66,0))=1,INDEX('CA Standards and Followers'!$H$7:$H$66,MATCH($A46,'CA Standards and Followers'!$A$7:$A$66,0))&lt;=G$1),INDEX('CA Standards and Followers'!#REF!,MATCH(G$1,'CA Standards and Followers'!$1:$1,0)),IF(AND(INDEX('CA Standards and Followers'!$D$7:$D$66,MATCH($A46,'CA Standards and Followers'!$A$7:$A$66,0))=1,INDEX('CA Standards and Followers'!$G$7:$G$66,MATCH($A46,'CA Standards and Followers'!$A$7:$A$66,0))&lt;=G$1),INDEX('CA Standards and Followers'!$2:$2,MATCH(G$1,'CA Standards and Followers'!$1:$1,0)),0))</f>
        <v>0</v>
      </c>
      <c r="H46">
        <f>IF(AND(INDEX('CA Standards and Followers'!$E$7:$E$66,MATCH($A46,'CA Standards and Followers'!$A$7:$A$66,0))=1,INDEX('CA Standards and Followers'!$H$7:$H$66,MATCH($A46,'CA Standards and Followers'!$A$7:$A$66,0))&lt;=H$1),INDEX('CA Standards and Followers'!#REF!,MATCH(H$1,'CA Standards and Followers'!$1:$1,0)),IF(AND(INDEX('CA Standards and Followers'!$D$7:$D$66,MATCH($A46,'CA Standards and Followers'!$A$7:$A$66,0))=1,INDEX('CA Standards and Followers'!$G$7:$G$66,MATCH($A46,'CA Standards and Followers'!$A$7:$A$66,0))&lt;=H$1),INDEX('CA Standards and Followers'!$2:$2,MATCH(H$1,'CA Standards and Followers'!$1:$1,0)),0))</f>
        <v>0</v>
      </c>
      <c r="I46">
        <f>IF(AND(INDEX('CA Standards and Followers'!$E$7:$E$66,MATCH($A46,'CA Standards and Followers'!$A$7:$A$66,0))=1,INDEX('CA Standards and Followers'!$H$7:$H$66,MATCH($A46,'CA Standards and Followers'!$A$7:$A$66,0))&lt;=I$1),INDEX('CA Standards and Followers'!#REF!,MATCH(I$1,'CA Standards and Followers'!$1:$1,0)),IF(AND(INDEX('CA Standards and Followers'!$D$7:$D$66,MATCH($A46,'CA Standards and Followers'!$A$7:$A$66,0))=1,INDEX('CA Standards and Followers'!$G$7:$G$66,MATCH($A46,'CA Standards and Followers'!$A$7:$A$66,0))&lt;=I$1),INDEX('CA Standards and Followers'!$2:$2,MATCH(I$1,'CA Standards and Followers'!$1:$1,0)),0))</f>
        <v>0</v>
      </c>
      <c r="J46">
        <f>IF(AND(INDEX('CA Standards and Followers'!$E$7:$E$66,MATCH($A46,'CA Standards and Followers'!$A$7:$A$66,0))=1,INDEX('CA Standards and Followers'!$H$7:$H$66,MATCH($A46,'CA Standards and Followers'!$A$7:$A$66,0))&lt;=J$1),INDEX('CA Standards and Followers'!#REF!,MATCH(J$1,'CA Standards and Followers'!$1:$1,0)),IF(AND(INDEX('CA Standards and Followers'!$D$7:$D$66,MATCH($A46,'CA Standards and Followers'!$A$7:$A$66,0))=1,INDEX('CA Standards and Followers'!$G$7:$G$66,MATCH($A46,'CA Standards and Followers'!$A$7:$A$66,0))&lt;=J$1),INDEX('CA Standards and Followers'!$2:$2,MATCH(J$1,'CA Standards and Followers'!$1:$1,0)),0))</f>
        <v>0</v>
      </c>
      <c r="K46" s="39">
        <f>MAX(IFERROR(IF(INDEX('State Map'!$C:$C,MATCH(TRIM('RZSPbS-psgr-ldv'!$A46),'State Map'!$A:$A,0))="Max Ambition",Schedules!G$4,J46),J46),J46)</f>
        <v>0</v>
      </c>
      <c r="L46" s="39">
        <f>MAX(IFERROR(IF(INDEX('State Map'!$C:$C,MATCH(TRIM('RZSPbS-psgr-ldv'!$A46),'State Map'!$A:$A,0))="Max Ambition",Schedules!H$4,K46),K46),K46)</f>
        <v>0</v>
      </c>
      <c r="M46" s="39">
        <f>MAX(IFERROR(IF(INDEX('State Map'!$C:$C,MATCH(TRIM('RZSPbS-psgr-ldv'!$A46),'State Map'!$A:$A,0))="Max Ambition",Schedules!I$4,L46),L46),L46)</f>
        <v>0</v>
      </c>
      <c r="N46" s="39">
        <f>MAX(IFERROR(IF(INDEX('State Map'!$C:$C,MATCH(TRIM('RZSPbS-psgr-ldv'!$A46),'State Map'!$A:$A,0))="Max Ambition",Schedules!J$4,M46),M46),M46)</f>
        <v>0</v>
      </c>
      <c r="O46" s="39">
        <f>MAX(IFERROR(IF(INDEX('State Map'!$C:$C,MATCH(TRIM('RZSPbS-psgr-ldv'!$A46),'State Map'!$A:$A,0))="Max Ambition",Schedules!K$4,N46),N46),N46)</f>
        <v>0</v>
      </c>
      <c r="P46" s="39">
        <f>MAX(IFERROR(IF(INDEX('State Map'!$C:$C,MATCH(TRIM('RZSPbS-psgr-ldv'!$A46),'State Map'!$A:$A,0))="Max Ambition",Schedules!L$4,O46),O46),O46)</f>
        <v>0</v>
      </c>
      <c r="Q46" s="39">
        <f>MAX(IFERROR(IF(INDEX('State Map'!$C:$C,MATCH(TRIM('RZSPbS-psgr-ldv'!$A46),'State Map'!$A:$A,0))="Max Ambition",Schedules!M$4,P46),P46),P46)</f>
        <v>0</v>
      </c>
      <c r="R46" s="39">
        <f>MAX(IFERROR(IF(INDEX('State Map'!$C:$C,MATCH(TRIM('RZSPbS-psgr-ldv'!$A46),'State Map'!$A:$A,0))="Max Ambition",Schedules!N$4,Q46),Q46),Q46)</f>
        <v>0</v>
      </c>
      <c r="S46" s="39">
        <f>MAX(IFERROR(IF(INDEX('State Map'!$C:$C,MATCH(TRIM('RZSPbS-psgr-ldv'!$A46),'State Map'!$A:$A,0))="Max Ambition",Schedules!O$4,R46),R46),R46)</f>
        <v>0</v>
      </c>
      <c r="T46" s="39">
        <f>MAX(IFERROR(IF(INDEX('State Map'!$C:$C,MATCH(TRIM('RZSPbS-psgr-ldv'!$A46),'State Map'!$A:$A,0))="Max Ambition",Schedules!P$4,S46),S46),S46)</f>
        <v>0</v>
      </c>
      <c r="U46" s="39">
        <f>MAX(IFERROR(IF(INDEX('State Map'!$C:$C,MATCH(TRIM('RZSPbS-psgr-ldv'!$A46),'State Map'!$A:$A,0))="Max Ambition",Schedules!Q$4,T46),T46),T46)</f>
        <v>0</v>
      </c>
      <c r="V46" s="39">
        <f>MAX(IFERROR(IF(INDEX('State Map'!$C:$C,MATCH(TRIM('RZSPbS-psgr-ldv'!$A46),'State Map'!$A:$A,0))="Max Ambition",Schedules!R$4,U46),U46),U46)</f>
        <v>0</v>
      </c>
      <c r="W46" s="39">
        <f>MAX(IFERROR(IF(INDEX('State Map'!$C:$C,MATCH(TRIM('RZSPbS-psgr-ldv'!$A46),'State Map'!$A:$A,0))="Max Ambition",Schedules!S$4,V46),V46),V46)</f>
        <v>0</v>
      </c>
      <c r="X46" s="39">
        <f>MAX(IFERROR(IF(INDEX('State Map'!$C:$C,MATCH(TRIM('RZSPbS-psgr-ldv'!$A46),'State Map'!$A:$A,0))="Max Ambition",Schedules!T$4,W46),W46),W46)</f>
        <v>0</v>
      </c>
      <c r="Y46" s="39">
        <f>MAX(IFERROR(IF(INDEX('State Map'!$C:$C,MATCH(TRIM('RZSPbS-psgr-ldv'!$A46),'State Map'!$A:$A,0))="Max Ambition",Schedules!U$4,X46),X46),X46)</f>
        <v>0</v>
      </c>
      <c r="Z46" s="39">
        <f>MAX(IFERROR(IF(INDEX('State Map'!$C:$C,MATCH(TRIM('RZSPbS-psgr-ldv'!$A46),'State Map'!$A:$A,0))="Max Ambition",Schedules!V$4,Y46),Y46),Y46)</f>
        <v>0</v>
      </c>
      <c r="AA46" s="39">
        <f>MAX(IFERROR(IF(INDEX('State Map'!$C:$C,MATCH(TRIM('RZSPbS-psgr-ldv'!$A46),'State Map'!$A:$A,0))="Max Ambition",Schedules!W$4,Z46),Z46),Z46)</f>
        <v>0</v>
      </c>
      <c r="AB46" s="39">
        <f>MAX(IFERROR(IF(INDEX('State Map'!$C:$C,MATCH(TRIM('RZSPbS-psgr-ldv'!$A46),'State Map'!$A:$A,0))="Max Ambition",Schedules!X$4,AA46),AA46),AA46)</f>
        <v>0</v>
      </c>
      <c r="AC46" s="39">
        <f>MAX(IFERROR(IF(INDEX('State Map'!$C:$C,MATCH(TRIM('RZSPbS-psgr-ldv'!$A46),'State Map'!$A:$A,0))="Max Ambition",Schedules!Y$4,AB46),AB46),AB46)</f>
        <v>0</v>
      </c>
      <c r="AD46" s="39">
        <f>MAX(IFERROR(IF(INDEX('State Map'!$C:$C,MATCH(TRIM('RZSPbS-psgr-ldv'!$A46),'State Map'!$A:$A,0))="Max Ambition",Schedules!Z$4,AC46),AC46),AC46)</f>
        <v>0</v>
      </c>
      <c r="AE46" s="39">
        <f>MAX(IFERROR(IF(INDEX('State Map'!$C:$C,MATCH(TRIM('RZSPbS-psgr-ldv'!$A46),'State Map'!$A:$A,0))="Max Ambition",Schedules!AA$4,AD46),AD46),AD46)</f>
        <v>0</v>
      </c>
      <c r="AF46" s="39">
        <f>MAX(IFERROR(IF(INDEX('State Map'!$C:$C,MATCH(TRIM('RZSPbS-psgr-ldv'!$A46),'State Map'!$A:$A,0))="Max Ambition",Schedules!AB$4,AE46),AE46),AE46)</f>
        <v>0</v>
      </c>
    </row>
    <row r="47" spans="1:32" x14ac:dyDescent="0.25">
      <c r="A47" t="s">
        <v>46</v>
      </c>
      <c r="B47">
        <f>IF(AND(INDEX('CA Standards and Followers'!$E$7:$E$66,MATCH($A47,'CA Standards and Followers'!$A$7:$A$66,0))=1,INDEX('CA Standards and Followers'!$H$7:$H$66,MATCH($A47,'CA Standards and Followers'!$A$7:$A$66,0))&lt;=B$1),INDEX('CA Standards and Followers'!#REF!,MATCH(B$1,'CA Standards and Followers'!$1:$1,0)),IF(AND(INDEX('CA Standards and Followers'!$D$7:$D$66,MATCH($A47,'CA Standards and Followers'!$A$7:$A$66,0))=1,INDEX('CA Standards and Followers'!$G$7:$G$66,MATCH($A47,'CA Standards and Followers'!$A$7:$A$66,0))&lt;=B$1),INDEX('CA Standards and Followers'!$2:$2,MATCH(B$1,'CA Standards and Followers'!$1:$1,0)),0))</f>
        <v>0</v>
      </c>
      <c r="C47">
        <f>IF(AND(INDEX('CA Standards and Followers'!$E$7:$E$66,MATCH($A47,'CA Standards and Followers'!$A$7:$A$66,0))=1,INDEX('CA Standards and Followers'!$H$7:$H$66,MATCH($A47,'CA Standards and Followers'!$A$7:$A$66,0))&lt;=C$1),INDEX('CA Standards and Followers'!#REF!,MATCH(C$1,'CA Standards and Followers'!$1:$1,0)),IF(AND(INDEX('CA Standards and Followers'!$D$7:$D$66,MATCH($A47,'CA Standards and Followers'!$A$7:$A$66,0))=1,INDEX('CA Standards and Followers'!$G$7:$G$66,MATCH($A47,'CA Standards and Followers'!$A$7:$A$66,0))&lt;=C$1),INDEX('CA Standards and Followers'!$2:$2,MATCH(C$1,'CA Standards and Followers'!$1:$1,0)),0))</f>
        <v>0</v>
      </c>
      <c r="D47">
        <f>IF(AND(INDEX('CA Standards and Followers'!$E$7:$E$66,MATCH($A47,'CA Standards and Followers'!$A$7:$A$66,0))=1,INDEX('CA Standards and Followers'!$H$7:$H$66,MATCH($A47,'CA Standards and Followers'!$A$7:$A$66,0))&lt;=D$1),INDEX('CA Standards and Followers'!#REF!,MATCH(D$1,'CA Standards and Followers'!$1:$1,0)),IF(AND(INDEX('CA Standards and Followers'!$D$7:$D$66,MATCH($A47,'CA Standards and Followers'!$A$7:$A$66,0))=1,INDEX('CA Standards and Followers'!$G$7:$G$66,MATCH($A47,'CA Standards and Followers'!$A$7:$A$66,0))&lt;=D$1),INDEX('CA Standards and Followers'!$2:$2,MATCH(D$1,'CA Standards and Followers'!$1:$1,0)),0))</f>
        <v>0</v>
      </c>
      <c r="E47">
        <f>IF(AND(INDEX('CA Standards and Followers'!$E$7:$E$66,MATCH($A47,'CA Standards and Followers'!$A$7:$A$66,0))=1,INDEX('CA Standards and Followers'!$H$7:$H$66,MATCH($A47,'CA Standards and Followers'!$A$7:$A$66,0))&lt;=E$1),INDEX('CA Standards and Followers'!#REF!,MATCH(E$1,'CA Standards and Followers'!$1:$1,0)),IF(AND(INDEX('CA Standards and Followers'!$D$7:$D$66,MATCH($A47,'CA Standards and Followers'!$A$7:$A$66,0))=1,INDEX('CA Standards and Followers'!$G$7:$G$66,MATCH($A47,'CA Standards and Followers'!$A$7:$A$66,0))&lt;=E$1),INDEX('CA Standards and Followers'!$2:$2,MATCH(E$1,'CA Standards and Followers'!$1:$1,0)),0))</f>
        <v>0</v>
      </c>
      <c r="F47">
        <f>IF(AND(INDEX('CA Standards and Followers'!$E$7:$E$66,MATCH($A47,'CA Standards and Followers'!$A$7:$A$66,0))=1,INDEX('CA Standards and Followers'!$H$7:$H$66,MATCH($A47,'CA Standards and Followers'!$A$7:$A$66,0))&lt;=F$1),INDEX('CA Standards and Followers'!#REF!,MATCH(F$1,'CA Standards and Followers'!$1:$1,0)),IF(AND(INDEX('CA Standards and Followers'!$D$7:$D$66,MATCH($A47,'CA Standards and Followers'!$A$7:$A$66,0))=1,INDEX('CA Standards and Followers'!$G$7:$G$66,MATCH($A47,'CA Standards and Followers'!$A$7:$A$66,0))&lt;=F$1),INDEX('CA Standards and Followers'!$2:$2,MATCH(F$1,'CA Standards and Followers'!$1:$1,0)),0))</f>
        <v>0.08</v>
      </c>
      <c r="G47">
        <f>IF(AND(INDEX('CA Standards and Followers'!$E$7:$E$66,MATCH($A47,'CA Standards and Followers'!$A$7:$A$66,0))=1,INDEX('CA Standards and Followers'!$H$7:$H$66,MATCH($A47,'CA Standards and Followers'!$A$7:$A$66,0))&lt;=G$1),INDEX('CA Standards and Followers'!#REF!,MATCH(G$1,'CA Standards and Followers'!$1:$1,0)),IF(AND(INDEX('CA Standards and Followers'!$D$7:$D$66,MATCH($A47,'CA Standards and Followers'!$A$7:$A$66,0))=1,INDEX('CA Standards and Followers'!$G$7:$G$66,MATCH($A47,'CA Standards and Followers'!$A$7:$A$66,0))&lt;=G$1),INDEX('CA Standards and Followers'!$2:$2,MATCH(G$1,'CA Standards and Followers'!$1:$1,0)),0))</f>
        <v>0.08</v>
      </c>
      <c r="H47">
        <f>IF(AND(INDEX('CA Standards and Followers'!$E$7:$E$66,MATCH($A47,'CA Standards and Followers'!$A$7:$A$66,0))=1,INDEX('CA Standards and Followers'!$H$7:$H$66,MATCH($A47,'CA Standards and Followers'!$A$7:$A$66,0))&lt;=H$1),INDEX('CA Standards and Followers'!#REF!,MATCH(H$1,'CA Standards and Followers'!$1:$1,0)),IF(AND(INDEX('CA Standards and Followers'!$D$7:$D$66,MATCH($A47,'CA Standards and Followers'!$A$7:$A$66,0))=1,INDEX('CA Standards and Followers'!$G$7:$G$66,MATCH($A47,'CA Standards and Followers'!$A$7:$A$66,0))&lt;=H$1),INDEX('CA Standards and Followers'!$2:$2,MATCH(H$1,'CA Standards and Followers'!$1:$1,0)),0))</f>
        <v>0</v>
      </c>
      <c r="I47">
        <f>IF(AND(INDEX('CA Standards and Followers'!$E$7:$E$66,MATCH($A47,'CA Standards and Followers'!$A$7:$A$66,0))=1,INDEX('CA Standards and Followers'!$H$7:$H$66,MATCH($A47,'CA Standards and Followers'!$A$7:$A$66,0))&lt;=I$1),INDEX('CA Standards and Followers'!#REF!,MATCH(I$1,'CA Standards and Followers'!$1:$1,0)),IF(AND(INDEX('CA Standards and Followers'!$D$7:$D$66,MATCH($A47,'CA Standards and Followers'!$A$7:$A$66,0))=1,INDEX('CA Standards and Followers'!$G$7:$G$66,MATCH($A47,'CA Standards and Followers'!$A$7:$A$66,0))&lt;=I$1),INDEX('CA Standards and Followers'!$2:$2,MATCH(I$1,'CA Standards and Followers'!$1:$1,0)),0))</f>
        <v>0</v>
      </c>
      <c r="J47">
        <f>IF(AND(INDEX('CA Standards and Followers'!$E$7:$E$66,MATCH($A47,'CA Standards and Followers'!$A$7:$A$66,0))=1,INDEX('CA Standards and Followers'!$H$7:$H$66,MATCH($A47,'CA Standards and Followers'!$A$7:$A$66,0))&lt;=J$1),INDEX('CA Standards and Followers'!#REF!,MATCH(J$1,'CA Standards and Followers'!$1:$1,0)),IF(AND(INDEX('CA Standards and Followers'!$D$7:$D$66,MATCH($A47,'CA Standards and Followers'!$A$7:$A$66,0))=1,INDEX('CA Standards and Followers'!$G$7:$G$66,MATCH($A47,'CA Standards and Followers'!$A$7:$A$66,0))&lt;=J$1),INDEX('CA Standards and Followers'!$2:$2,MATCH(J$1,'CA Standards and Followers'!$1:$1,0)),0))</f>
        <v>0</v>
      </c>
      <c r="K47" s="39">
        <f>MAX(IFERROR(IF(INDEX('State Map'!$C:$C,MATCH(TRIM('RZSPbS-psgr-ldv'!$A47),'State Map'!$A:$A,0))="Max Ambition",Schedules!G$4,J47),J47),J47)</f>
        <v>0.2</v>
      </c>
      <c r="L47" s="39">
        <f>MAX(IFERROR(IF(INDEX('State Map'!$C:$C,MATCH(TRIM('RZSPbS-psgr-ldv'!$A47),'State Map'!$A:$A,0))="Max Ambition",Schedules!H$4,K47),K47),K47)</f>
        <v>0.25</v>
      </c>
      <c r="M47" s="39">
        <f>MAX(IFERROR(IF(INDEX('State Map'!$C:$C,MATCH(TRIM('RZSPbS-psgr-ldv'!$A47),'State Map'!$A:$A,0))="Max Ambition",Schedules!I$4,L47),L47),L47)</f>
        <v>0.3</v>
      </c>
      <c r="N47" s="39">
        <f>MAX(IFERROR(IF(INDEX('State Map'!$C:$C,MATCH(TRIM('RZSPbS-psgr-ldv'!$A47),'State Map'!$A:$A,0))="Max Ambition",Schedules!J$4,M47),M47),M47)</f>
        <v>0.38</v>
      </c>
      <c r="O47" s="39">
        <f>MAX(IFERROR(IF(INDEX('State Map'!$C:$C,MATCH(TRIM('RZSPbS-psgr-ldv'!$A47),'State Map'!$A:$A,0))="Max Ambition",Schedules!K$4,N47),N47),N47)</f>
        <v>0.46</v>
      </c>
      <c r="P47" s="39">
        <f>MAX(IFERROR(IF(INDEX('State Map'!$C:$C,MATCH(TRIM('RZSPbS-psgr-ldv'!$A47),'State Map'!$A:$A,0))="Max Ambition",Schedules!L$4,O47),O47),O47)</f>
        <v>0.51400000000000001</v>
      </c>
      <c r="Q47" s="39">
        <f>MAX(IFERROR(IF(INDEX('State Map'!$C:$C,MATCH(TRIM('RZSPbS-psgr-ldv'!$A47),'State Map'!$A:$A,0))="Max Ambition",Schedules!M$4,P47),P47),P47)</f>
        <v>0.56799999999999995</v>
      </c>
      <c r="R47" s="39">
        <f>MAX(IFERROR(IF(INDEX('State Map'!$C:$C,MATCH(TRIM('RZSPbS-psgr-ldv'!$A47),'State Map'!$A:$A,0))="Max Ambition",Schedules!N$4,Q47),Q47),Q47)</f>
        <v>0.622</v>
      </c>
      <c r="S47" s="39">
        <f>MAX(IFERROR(IF(INDEX('State Map'!$C:$C,MATCH(TRIM('RZSPbS-psgr-ldv'!$A47),'State Map'!$A:$A,0))="Max Ambition",Schedules!O$4,R47),R47),R47)</f>
        <v>0.67600000000000005</v>
      </c>
      <c r="T47" s="39">
        <f>MAX(IFERROR(IF(INDEX('State Map'!$C:$C,MATCH(TRIM('RZSPbS-psgr-ldv'!$A47),'State Map'!$A:$A,0))="Max Ambition",Schedules!P$4,S47),S47),S47)</f>
        <v>0.73</v>
      </c>
      <c r="U47" s="39">
        <f>MAX(IFERROR(IF(INDEX('State Map'!$C:$C,MATCH(TRIM('RZSPbS-psgr-ldv'!$A47),'State Map'!$A:$A,0))="Max Ambition",Schedules!Q$4,T47),T47),T47)</f>
        <v>0.78400000000000003</v>
      </c>
      <c r="V47" s="39">
        <f>MAX(IFERROR(IF(INDEX('State Map'!$C:$C,MATCH(TRIM('RZSPbS-psgr-ldv'!$A47),'State Map'!$A:$A,0))="Max Ambition",Schedules!R$4,U47),U47),U47)</f>
        <v>0.83799999999999997</v>
      </c>
      <c r="W47" s="39">
        <f>MAX(IFERROR(IF(INDEX('State Map'!$C:$C,MATCH(TRIM('RZSPbS-psgr-ldv'!$A47),'State Map'!$A:$A,0))="Max Ambition",Schedules!S$4,V47),V47),V47)</f>
        <v>0.89200000000000002</v>
      </c>
      <c r="X47" s="39">
        <f>MAX(IFERROR(IF(INDEX('State Map'!$C:$C,MATCH(TRIM('RZSPbS-psgr-ldv'!$A47),'State Map'!$A:$A,0))="Max Ambition",Schedules!T$4,W47),W47),W47)</f>
        <v>0.94599999999999995</v>
      </c>
      <c r="Y47" s="39">
        <f>MAX(IFERROR(IF(INDEX('State Map'!$C:$C,MATCH(TRIM('RZSPbS-psgr-ldv'!$A47),'State Map'!$A:$A,0))="Max Ambition",Schedules!U$4,X47),X47),X47)</f>
        <v>1</v>
      </c>
      <c r="Z47" s="39">
        <f>MAX(IFERROR(IF(INDEX('State Map'!$C:$C,MATCH(TRIM('RZSPbS-psgr-ldv'!$A47),'State Map'!$A:$A,0))="Max Ambition",Schedules!V$4,Y47),Y47),Y47)</f>
        <v>1</v>
      </c>
      <c r="AA47" s="39">
        <f>MAX(IFERROR(IF(INDEX('State Map'!$C:$C,MATCH(TRIM('RZSPbS-psgr-ldv'!$A47),'State Map'!$A:$A,0))="Max Ambition",Schedules!W$4,Z47),Z47),Z47)</f>
        <v>1</v>
      </c>
      <c r="AB47" s="39">
        <f>MAX(IFERROR(IF(INDEX('State Map'!$C:$C,MATCH(TRIM('RZSPbS-psgr-ldv'!$A47),'State Map'!$A:$A,0))="Max Ambition",Schedules!X$4,AA47),AA47),AA47)</f>
        <v>1</v>
      </c>
      <c r="AC47" s="39">
        <f>MAX(IFERROR(IF(INDEX('State Map'!$C:$C,MATCH(TRIM('RZSPbS-psgr-ldv'!$A47),'State Map'!$A:$A,0))="Max Ambition",Schedules!Y$4,AB47),AB47),AB47)</f>
        <v>1</v>
      </c>
      <c r="AD47" s="39">
        <f>MAX(IFERROR(IF(INDEX('State Map'!$C:$C,MATCH(TRIM('RZSPbS-psgr-ldv'!$A47),'State Map'!$A:$A,0))="Max Ambition",Schedules!Z$4,AC47),AC47),AC47)</f>
        <v>1</v>
      </c>
      <c r="AE47" s="39">
        <f>MAX(IFERROR(IF(INDEX('State Map'!$C:$C,MATCH(TRIM('RZSPbS-psgr-ldv'!$A47),'State Map'!$A:$A,0))="Max Ambition",Schedules!AA$4,AD47),AD47),AD47)</f>
        <v>1</v>
      </c>
      <c r="AF47" s="39">
        <f>MAX(IFERROR(IF(INDEX('State Map'!$C:$C,MATCH(TRIM('RZSPbS-psgr-ldv'!$A47),'State Map'!$A:$A,0))="Max Ambition",Schedules!AB$4,AE47),AE47),AE47)</f>
        <v>1</v>
      </c>
    </row>
    <row r="48" spans="1:32" x14ac:dyDescent="0.25">
      <c r="A48" t="s">
        <v>47</v>
      </c>
      <c r="B48">
        <f>IF(AND(INDEX('CA Standards and Followers'!$E$7:$E$66,MATCH($A48,'CA Standards and Followers'!$A$7:$A$66,0))=1,INDEX('CA Standards and Followers'!$H$7:$H$66,MATCH($A48,'CA Standards and Followers'!$A$7:$A$66,0))&lt;=B$1),INDEX('CA Standards and Followers'!#REF!,MATCH(B$1,'CA Standards and Followers'!$1:$1,0)),IF(AND(INDEX('CA Standards and Followers'!$D$7:$D$66,MATCH($A48,'CA Standards and Followers'!$A$7:$A$66,0))=1,INDEX('CA Standards and Followers'!$G$7:$G$66,MATCH($A48,'CA Standards and Followers'!$A$7:$A$66,0))&lt;=B$1),INDEX('CA Standards and Followers'!$2:$2,MATCH(B$1,'CA Standards and Followers'!$1:$1,0)),0))</f>
        <v>0</v>
      </c>
      <c r="C48">
        <f>IF(AND(INDEX('CA Standards and Followers'!$E$7:$E$66,MATCH($A48,'CA Standards and Followers'!$A$7:$A$66,0))=1,INDEX('CA Standards and Followers'!$H$7:$H$66,MATCH($A48,'CA Standards and Followers'!$A$7:$A$66,0))&lt;=C$1),INDEX('CA Standards and Followers'!#REF!,MATCH(C$1,'CA Standards and Followers'!$1:$1,0)),IF(AND(INDEX('CA Standards and Followers'!$D$7:$D$66,MATCH($A48,'CA Standards and Followers'!$A$7:$A$66,0))=1,INDEX('CA Standards and Followers'!$G$7:$G$66,MATCH($A48,'CA Standards and Followers'!$A$7:$A$66,0))&lt;=C$1),INDEX('CA Standards and Followers'!$2:$2,MATCH(C$1,'CA Standards and Followers'!$1:$1,0)),0))</f>
        <v>0</v>
      </c>
      <c r="D48">
        <f>IF(AND(INDEX('CA Standards and Followers'!$E$7:$E$66,MATCH($A48,'CA Standards and Followers'!$A$7:$A$66,0))=1,INDEX('CA Standards and Followers'!$H$7:$H$66,MATCH($A48,'CA Standards and Followers'!$A$7:$A$66,0))&lt;=D$1),INDEX('CA Standards and Followers'!#REF!,MATCH(D$1,'CA Standards and Followers'!$1:$1,0)),IF(AND(INDEX('CA Standards and Followers'!$D$7:$D$66,MATCH($A48,'CA Standards and Followers'!$A$7:$A$66,0))=1,INDEX('CA Standards and Followers'!$G$7:$G$66,MATCH($A48,'CA Standards and Followers'!$A$7:$A$66,0))&lt;=D$1),INDEX('CA Standards and Followers'!$2:$2,MATCH(D$1,'CA Standards and Followers'!$1:$1,0)),0))</f>
        <v>0</v>
      </c>
      <c r="E48">
        <f>IF(AND(INDEX('CA Standards and Followers'!$E$7:$E$66,MATCH($A48,'CA Standards and Followers'!$A$7:$A$66,0))=1,INDEX('CA Standards and Followers'!$H$7:$H$66,MATCH($A48,'CA Standards and Followers'!$A$7:$A$66,0))&lt;=E$1),INDEX('CA Standards and Followers'!#REF!,MATCH(E$1,'CA Standards and Followers'!$1:$1,0)),IF(AND(INDEX('CA Standards and Followers'!$D$7:$D$66,MATCH($A48,'CA Standards and Followers'!$A$7:$A$66,0))=1,INDEX('CA Standards and Followers'!$G$7:$G$66,MATCH($A48,'CA Standards and Followers'!$A$7:$A$66,0))&lt;=E$1),INDEX('CA Standards and Followers'!$2:$2,MATCH(E$1,'CA Standards and Followers'!$1:$1,0)),0))</f>
        <v>0</v>
      </c>
      <c r="F48">
        <f>IF(AND(INDEX('CA Standards and Followers'!$E$7:$E$66,MATCH($A48,'CA Standards and Followers'!$A$7:$A$66,0))=1,INDEX('CA Standards and Followers'!$H$7:$H$66,MATCH($A48,'CA Standards and Followers'!$A$7:$A$66,0))&lt;=F$1),INDEX('CA Standards and Followers'!#REF!,MATCH(F$1,'CA Standards and Followers'!$1:$1,0)),IF(AND(INDEX('CA Standards and Followers'!$D$7:$D$66,MATCH($A48,'CA Standards and Followers'!$A$7:$A$66,0))=1,INDEX('CA Standards and Followers'!$G$7:$G$66,MATCH($A48,'CA Standards and Followers'!$A$7:$A$66,0))&lt;=F$1),INDEX('CA Standards and Followers'!$2:$2,MATCH(F$1,'CA Standards and Followers'!$1:$1,0)),0))</f>
        <v>0</v>
      </c>
      <c r="G48">
        <f>IF(AND(INDEX('CA Standards and Followers'!$E$7:$E$66,MATCH($A48,'CA Standards and Followers'!$A$7:$A$66,0))=1,INDEX('CA Standards and Followers'!$H$7:$H$66,MATCH($A48,'CA Standards and Followers'!$A$7:$A$66,0))&lt;=G$1),INDEX('CA Standards and Followers'!#REF!,MATCH(G$1,'CA Standards and Followers'!$1:$1,0)),IF(AND(INDEX('CA Standards and Followers'!$D$7:$D$66,MATCH($A48,'CA Standards and Followers'!$A$7:$A$66,0))=1,INDEX('CA Standards and Followers'!$G$7:$G$66,MATCH($A48,'CA Standards and Followers'!$A$7:$A$66,0))&lt;=G$1),INDEX('CA Standards and Followers'!$2:$2,MATCH(G$1,'CA Standards and Followers'!$1:$1,0)),0))</f>
        <v>0.08</v>
      </c>
      <c r="H48">
        <f>IF(AND(INDEX('CA Standards and Followers'!$E$7:$E$66,MATCH($A48,'CA Standards and Followers'!$A$7:$A$66,0))=1,INDEX('CA Standards and Followers'!$H$7:$H$66,MATCH($A48,'CA Standards and Followers'!$A$7:$A$66,0))&lt;=H$1),INDEX('CA Standards and Followers'!#REF!,MATCH(H$1,'CA Standards and Followers'!$1:$1,0)),IF(AND(INDEX('CA Standards and Followers'!$D$7:$D$66,MATCH($A48,'CA Standards and Followers'!$A$7:$A$66,0))=1,INDEX('CA Standards and Followers'!$G$7:$G$66,MATCH($A48,'CA Standards and Followers'!$A$7:$A$66,0))&lt;=H$1),INDEX('CA Standards and Followers'!$2:$2,MATCH(H$1,'CA Standards and Followers'!$1:$1,0)),0))</f>
        <v>0</v>
      </c>
      <c r="I48">
        <f>IF(AND(INDEX('CA Standards and Followers'!$E$7:$E$66,MATCH($A48,'CA Standards and Followers'!$A$7:$A$66,0))=1,INDEX('CA Standards and Followers'!$H$7:$H$66,MATCH($A48,'CA Standards and Followers'!$A$7:$A$66,0))&lt;=I$1),INDEX('CA Standards and Followers'!#REF!,MATCH(I$1,'CA Standards and Followers'!$1:$1,0)),IF(AND(INDEX('CA Standards and Followers'!$D$7:$D$66,MATCH($A48,'CA Standards and Followers'!$A$7:$A$66,0))=1,INDEX('CA Standards and Followers'!$G$7:$G$66,MATCH($A48,'CA Standards and Followers'!$A$7:$A$66,0))&lt;=I$1),INDEX('CA Standards and Followers'!$2:$2,MATCH(I$1,'CA Standards and Followers'!$1:$1,0)),0))</f>
        <v>0</v>
      </c>
      <c r="J48">
        <f>IF(AND(INDEX('CA Standards and Followers'!$E$7:$E$66,MATCH($A48,'CA Standards and Followers'!$A$7:$A$66,0))=1,INDEX('CA Standards and Followers'!$H$7:$H$66,MATCH($A48,'CA Standards and Followers'!$A$7:$A$66,0))&lt;=J$1),INDEX('CA Standards and Followers'!#REF!,MATCH(J$1,'CA Standards and Followers'!$1:$1,0)),IF(AND(INDEX('CA Standards and Followers'!$D$7:$D$66,MATCH($A48,'CA Standards and Followers'!$A$7:$A$66,0))=1,INDEX('CA Standards and Followers'!$G$7:$G$66,MATCH($A48,'CA Standards and Followers'!$A$7:$A$66,0))&lt;=J$1),INDEX('CA Standards and Followers'!$2:$2,MATCH(J$1,'CA Standards and Followers'!$1:$1,0)),0))</f>
        <v>0</v>
      </c>
      <c r="K48" s="39">
        <f>MAX(IFERROR(IF(INDEX('State Map'!$C:$C,MATCH(TRIM('RZSPbS-psgr-ldv'!$A48),'State Map'!$A:$A,0))="Max Ambition",Schedules!G$4,J48),J48),J48)</f>
        <v>0</v>
      </c>
      <c r="L48" s="39">
        <f>MAX(IFERROR(IF(INDEX('State Map'!$C:$C,MATCH(TRIM('RZSPbS-psgr-ldv'!$A48),'State Map'!$A:$A,0))="Max Ambition",Schedules!H$4,K48),K48),K48)</f>
        <v>0</v>
      </c>
      <c r="M48" s="39">
        <f>MAX(IFERROR(IF(INDEX('State Map'!$C:$C,MATCH(TRIM('RZSPbS-psgr-ldv'!$A48),'State Map'!$A:$A,0))="Max Ambition",Schedules!I$4,L48),L48),L48)</f>
        <v>0</v>
      </c>
      <c r="N48" s="39">
        <f>MAX(IFERROR(IF(INDEX('State Map'!$C:$C,MATCH(TRIM('RZSPbS-psgr-ldv'!$A48),'State Map'!$A:$A,0))="Max Ambition",Schedules!J$4,M48),M48),M48)</f>
        <v>0</v>
      </c>
      <c r="O48" s="39">
        <f>MAX(IFERROR(IF(INDEX('State Map'!$C:$C,MATCH(TRIM('RZSPbS-psgr-ldv'!$A48),'State Map'!$A:$A,0))="Max Ambition",Schedules!K$4,N48),N48),N48)</f>
        <v>0</v>
      </c>
      <c r="P48" s="39">
        <f>MAX(IFERROR(IF(INDEX('State Map'!$C:$C,MATCH(TRIM('RZSPbS-psgr-ldv'!$A48),'State Map'!$A:$A,0))="Max Ambition",Schedules!L$4,O48),O48),O48)</f>
        <v>0</v>
      </c>
      <c r="Q48" s="39">
        <f>MAX(IFERROR(IF(INDEX('State Map'!$C:$C,MATCH(TRIM('RZSPbS-psgr-ldv'!$A48),'State Map'!$A:$A,0))="Max Ambition",Schedules!M$4,P48),P48),P48)</f>
        <v>0</v>
      </c>
      <c r="R48" s="39">
        <f>MAX(IFERROR(IF(INDEX('State Map'!$C:$C,MATCH(TRIM('RZSPbS-psgr-ldv'!$A48),'State Map'!$A:$A,0))="Max Ambition",Schedules!N$4,Q48),Q48),Q48)</f>
        <v>0</v>
      </c>
      <c r="S48" s="39">
        <f>MAX(IFERROR(IF(INDEX('State Map'!$C:$C,MATCH(TRIM('RZSPbS-psgr-ldv'!$A48),'State Map'!$A:$A,0))="Max Ambition",Schedules!O$4,R48),R48),R48)</f>
        <v>0</v>
      </c>
      <c r="T48" s="39">
        <f>MAX(IFERROR(IF(INDEX('State Map'!$C:$C,MATCH(TRIM('RZSPbS-psgr-ldv'!$A48),'State Map'!$A:$A,0))="Max Ambition",Schedules!P$4,S48),S48),S48)</f>
        <v>0</v>
      </c>
      <c r="U48" s="39">
        <f>MAX(IFERROR(IF(INDEX('State Map'!$C:$C,MATCH(TRIM('RZSPbS-psgr-ldv'!$A48),'State Map'!$A:$A,0))="Max Ambition",Schedules!Q$4,T48),T48),T48)</f>
        <v>0</v>
      </c>
      <c r="V48" s="39">
        <f>MAX(IFERROR(IF(INDEX('State Map'!$C:$C,MATCH(TRIM('RZSPbS-psgr-ldv'!$A48),'State Map'!$A:$A,0))="Max Ambition",Schedules!R$4,U48),U48),U48)</f>
        <v>0</v>
      </c>
      <c r="W48" s="39">
        <f>MAX(IFERROR(IF(INDEX('State Map'!$C:$C,MATCH(TRIM('RZSPbS-psgr-ldv'!$A48),'State Map'!$A:$A,0))="Max Ambition",Schedules!S$4,V48),V48),V48)</f>
        <v>0</v>
      </c>
      <c r="X48" s="39">
        <f>MAX(IFERROR(IF(INDEX('State Map'!$C:$C,MATCH(TRIM('RZSPbS-psgr-ldv'!$A48),'State Map'!$A:$A,0))="Max Ambition",Schedules!T$4,W48),W48),W48)</f>
        <v>0</v>
      </c>
      <c r="Y48" s="39">
        <f>MAX(IFERROR(IF(INDEX('State Map'!$C:$C,MATCH(TRIM('RZSPbS-psgr-ldv'!$A48),'State Map'!$A:$A,0))="Max Ambition",Schedules!U$4,X48),X48),X48)</f>
        <v>0</v>
      </c>
      <c r="Z48" s="39">
        <f>MAX(IFERROR(IF(INDEX('State Map'!$C:$C,MATCH(TRIM('RZSPbS-psgr-ldv'!$A48),'State Map'!$A:$A,0))="Max Ambition",Schedules!V$4,Y48),Y48),Y48)</f>
        <v>0</v>
      </c>
      <c r="AA48" s="39">
        <f>MAX(IFERROR(IF(INDEX('State Map'!$C:$C,MATCH(TRIM('RZSPbS-psgr-ldv'!$A48),'State Map'!$A:$A,0))="Max Ambition",Schedules!W$4,Z48),Z48),Z48)</f>
        <v>0</v>
      </c>
      <c r="AB48" s="39">
        <f>MAX(IFERROR(IF(INDEX('State Map'!$C:$C,MATCH(TRIM('RZSPbS-psgr-ldv'!$A48),'State Map'!$A:$A,0))="Max Ambition",Schedules!X$4,AA48),AA48),AA48)</f>
        <v>0</v>
      </c>
      <c r="AC48" s="39">
        <f>MAX(IFERROR(IF(INDEX('State Map'!$C:$C,MATCH(TRIM('RZSPbS-psgr-ldv'!$A48),'State Map'!$A:$A,0))="Max Ambition",Schedules!Y$4,AB48),AB48),AB48)</f>
        <v>0</v>
      </c>
      <c r="AD48" s="39">
        <f>MAX(IFERROR(IF(INDEX('State Map'!$C:$C,MATCH(TRIM('RZSPbS-psgr-ldv'!$A48),'State Map'!$A:$A,0))="Max Ambition",Schedules!Z$4,AC48),AC48),AC48)</f>
        <v>0</v>
      </c>
      <c r="AE48" s="39">
        <f>MAX(IFERROR(IF(INDEX('State Map'!$C:$C,MATCH(TRIM('RZSPbS-psgr-ldv'!$A48),'State Map'!$A:$A,0))="Max Ambition",Schedules!AA$4,AD48),AD48),AD48)</f>
        <v>0</v>
      </c>
      <c r="AF48" s="39">
        <f>MAX(IFERROR(IF(INDEX('State Map'!$C:$C,MATCH(TRIM('RZSPbS-psgr-ldv'!$A48),'State Map'!$A:$A,0))="Max Ambition",Schedules!AB$4,AE48),AE48),AE48)</f>
        <v>0</v>
      </c>
    </row>
    <row r="49" spans="1:32" x14ac:dyDescent="0.25">
      <c r="A49" t="s">
        <v>48</v>
      </c>
      <c r="B49">
        <f>IF(AND(INDEX('CA Standards and Followers'!$E$7:$E$66,MATCH($A49,'CA Standards and Followers'!$A$7:$A$66,0))=1,INDEX('CA Standards and Followers'!$H$7:$H$66,MATCH($A49,'CA Standards and Followers'!$A$7:$A$66,0))&lt;=B$1),INDEX('CA Standards and Followers'!#REF!,MATCH(B$1,'CA Standards and Followers'!$1:$1,0)),IF(AND(INDEX('CA Standards and Followers'!$D$7:$D$66,MATCH($A49,'CA Standards and Followers'!$A$7:$A$66,0))=1,INDEX('CA Standards and Followers'!$G$7:$G$66,MATCH($A49,'CA Standards and Followers'!$A$7:$A$66,0))&lt;=B$1),INDEX('CA Standards and Followers'!$2:$2,MATCH(B$1,'CA Standards and Followers'!$1:$1,0)),0))</f>
        <v>0</v>
      </c>
      <c r="C49">
        <f>IF(AND(INDEX('CA Standards and Followers'!$E$7:$E$66,MATCH($A49,'CA Standards and Followers'!$A$7:$A$66,0))=1,INDEX('CA Standards and Followers'!$H$7:$H$66,MATCH($A49,'CA Standards and Followers'!$A$7:$A$66,0))&lt;=C$1),INDEX('CA Standards and Followers'!#REF!,MATCH(C$1,'CA Standards and Followers'!$1:$1,0)),IF(AND(INDEX('CA Standards and Followers'!$D$7:$D$66,MATCH($A49,'CA Standards and Followers'!$A$7:$A$66,0))=1,INDEX('CA Standards and Followers'!$G$7:$G$66,MATCH($A49,'CA Standards and Followers'!$A$7:$A$66,0))&lt;=C$1),INDEX('CA Standards and Followers'!$2:$2,MATCH(C$1,'CA Standards and Followers'!$1:$1,0)),0))</f>
        <v>0</v>
      </c>
      <c r="D49">
        <f>IF(AND(INDEX('CA Standards and Followers'!$E$7:$E$66,MATCH($A49,'CA Standards and Followers'!$A$7:$A$66,0))=1,INDEX('CA Standards and Followers'!$H$7:$H$66,MATCH($A49,'CA Standards and Followers'!$A$7:$A$66,0))&lt;=D$1),INDEX('CA Standards and Followers'!#REF!,MATCH(D$1,'CA Standards and Followers'!$1:$1,0)),IF(AND(INDEX('CA Standards and Followers'!$D$7:$D$66,MATCH($A49,'CA Standards and Followers'!$A$7:$A$66,0))=1,INDEX('CA Standards and Followers'!$G$7:$G$66,MATCH($A49,'CA Standards and Followers'!$A$7:$A$66,0))&lt;=D$1),INDEX('CA Standards and Followers'!$2:$2,MATCH(D$1,'CA Standards and Followers'!$1:$1,0)),0))</f>
        <v>0</v>
      </c>
      <c r="E49">
        <f>IF(AND(INDEX('CA Standards and Followers'!$E$7:$E$66,MATCH($A49,'CA Standards and Followers'!$A$7:$A$66,0))=1,INDEX('CA Standards and Followers'!$H$7:$H$66,MATCH($A49,'CA Standards and Followers'!$A$7:$A$66,0))&lt;=E$1),INDEX('CA Standards and Followers'!#REF!,MATCH(E$1,'CA Standards and Followers'!$1:$1,0)),IF(AND(INDEX('CA Standards and Followers'!$D$7:$D$66,MATCH($A49,'CA Standards and Followers'!$A$7:$A$66,0))=1,INDEX('CA Standards and Followers'!$G$7:$G$66,MATCH($A49,'CA Standards and Followers'!$A$7:$A$66,0))&lt;=E$1),INDEX('CA Standards and Followers'!$2:$2,MATCH(E$1,'CA Standards and Followers'!$1:$1,0)),0))</f>
        <v>0</v>
      </c>
      <c r="F49">
        <f>IF(AND(INDEX('CA Standards and Followers'!$E$7:$E$66,MATCH($A49,'CA Standards and Followers'!$A$7:$A$66,0))=1,INDEX('CA Standards and Followers'!$H$7:$H$66,MATCH($A49,'CA Standards and Followers'!$A$7:$A$66,0))&lt;=F$1),INDEX('CA Standards and Followers'!#REF!,MATCH(F$1,'CA Standards and Followers'!$1:$1,0)),IF(AND(INDEX('CA Standards and Followers'!$D$7:$D$66,MATCH($A49,'CA Standards and Followers'!$A$7:$A$66,0))=1,INDEX('CA Standards and Followers'!$G$7:$G$66,MATCH($A49,'CA Standards and Followers'!$A$7:$A$66,0))&lt;=F$1),INDEX('CA Standards and Followers'!$2:$2,MATCH(F$1,'CA Standards and Followers'!$1:$1,0)),0))</f>
        <v>0</v>
      </c>
      <c r="G49">
        <f>IF(AND(INDEX('CA Standards and Followers'!$E$7:$E$66,MATCH($A49,'CA Standards and Followers'!$A$7:$A$66,0))=1,INDEX('CA Standards and Followers'!$H$7:$H$66,MATCH($A49,'CA Standards and Followers'!$A$7:$A$66,0))&lt;=G$1),INDEX('CA Standards and Followers'!#REF!,MATCH(G$1,'CA Standards and Followers'!$1:$1,0)),IF(AND(INDEX('CA Standards and Followers'!$D$7:$D$66,MATCH($A49,'CA Standards and Followers'!$A$7:$A$66,0))=1,INDEX('CA Standards and Followers'!$G$7:$G$66,MATCH($A49,'CA Standards and Followers'!$A$7:$A$66,0))&lt;=G$1),INDEX('CA Standards and Followers'!$2:$2,MATCH(G$1,'CA Standards and Followers'!$1:$1,0)),0))</f>
        <v>0.08</v>
      </c>
      <c r="H49">
        <f>IF(AND(INDEX('CA Standards and Followers'!$E$7:$E$66,MATCH($A49,'CA Standards and Followers'!$A$7:$A$66,0))=1,INDEX('CA Standards and Followers'!$H$7:$H$66,MATCH($A49,'CA Standards and Followers'!$A$7:$A$66,0))&lt;=H$1),INDEX('CA Standards and Followers'!#REF!,MATCH(H$1,'CA Standards and Followers'!$1:$1,0)),IF(AND(INDEX('CA Standards and Followers'!$D$7:$D$66,MATCH($A49,'CA Standards and Followers'!$A$7:$A$66,0))=1,INDEX('CA Standards and Followers'!$G$7:$G$66,MATCH($A49,'CA Standards and Followers'!$A$7:$A$66,0))&lt;=H$1),INDEX('CA Standards and Followers'!$2:$2,MATCH(H$1,'CA Standards and Followers'!$1:$1,0)),0))</f>
        <v>0</v>
      </c>
      <c r="I49">
        <f>IF(AND(INDEX('CA Standards and Followers'!$E$7:$E$66,MATCH($A49,'CA Standards and Followers'!$A$7:$A$66,0))=1,INDEX('CA Standards and Followers'!$H$7:$H$66,MATCH($A49,'CA Standards and Followers'!$A$7:$A$66,0))&lt;=I$1),INDEX('CA Standards and Followers'!#REF!,MATCH(I$1,'CA Standards and Followers'!$1:$1,0)),IF(AND(INDEX('CA Standards and Followers'!$D$7:$D$66,MATCH($A49,'CA Standards and Followers'!$A$7:$A$66,0))=1,INDEX('CA Standards and Followers'!$G$7:$G$66,MATCH($A49,'CA Standards and Followers'!$A$7:$A$66,0))&lt;=I$1),INDEX('CA Standards and Followers'!$2:$2,MATCH(I$1,'CA Standards and Followers'!$1:$1,0)),0))</f>
        <v>0</v>
      </c>
      <c r="J49">
        <f>IF(AND(INDEX('CA Standards and Followers'!$E$7:$E$66,MATCH($A49,'CA Standards and Followers'!$A$7:$A$66,0))=1,INDEX('CA Standards and Followers'!$H$7:$H$66,MATCH($A49,'CA Standards and Followers'!$A$7:$A$66,0))&lt;=J$1),INDEX('CA Standards and Followers'!#REF!,MATCH(J$1,'CA Standards and Followers'!$1:$1,0)),IF(AND(INDEX('CA Standards and Followers'!$D$7:$D$66,MATCH($A49,'CA Standards and Followers'!$A$7:$A$66,0))=1,INDEX('CA Standards and Followers'!$G$7:$G$66,MATCH($A49,'CA Standards and Followers'!$A$7:$A$66,0))&lt;=J$1),INDEX('CA Standards and Followers'!$2:$2,MATCH(J$1,'CA Standards and Followers'!$1:$1,0)),0))</f>
        <v>0</v>
      </c>
      <c r="K49" s="39">
        <f>MAX(IFERROR(IF(INDEX('State Map'!$C:$C,MATCH(TRIM('RZSPbS-psgr-ldv'!$A49),'State Map'!$A:$A,0))="Max Ambition",Schedules!G$4,J49),J49),J49)</f>
        <v>0.2</v>
      </c>
      <c r="L49" s="39">
        <f>MAX(IFERROR(IF(INDEX('State Map'!$C:$C,MATCH(TRIM('RZSPbS-psgr-ldv'!$A49),'State Map'!$A:$A,0))="Max Ambition",Schedules!H$4,K49),K49),K49)</f>
        <v>0.25</v>
      </c>
      <c r="M49" s="39">
        <f>MAX(IFERROR(IF(INDEX('State Map'!$C:$C,MATCH(TRIM('RZSPbS-psgr-ldv'!$A49),'State Map'!$A:$A,0))="Max Ambition",Schedules!I$4,L49),L49),L49)</f>
        <v>0.3</v>
      </c>
      <c r="N49" s="39">
        <f>MAX(IFERROR(IF(INDEX('State Map'!$C:$C,MATCH(TRIM('RZSPbS-psgr-ldv'!$A49),'State Map'!$A:$A,0))="Max Ambition",Schedules!J$4,M49),M49),M49)</f>
        <v>0.38</v>
      </c>
      <c r="O49" s="39">
        <f>MAX(IFERROR(IF(INDEX('State Map'!$C:$C,MATCH(TRIM('RZSPbS-psgr-ldv'!$A49),'State Map'!$A:$A,0))="Max Ambition",Schedules!K$4,N49),N49),N49)</f>
        <v>0.46</v>
      </c>
      <c r="P49" s="39">
        <f>MAX(IFERROR(IF(INDEX('State Map'!$C:$C,MATCH(TRIM('RZSPbS-psgr-ldv'!$A49),'State Map'!$A:$A,0))="Max Ambition",Schedules!L$4,O49),O49),O49)</f>
        <v>0.51400000000000001</v>
      </c>
      <c r="Q49" s="39">
        <f>MAX(IFERROR(IF(INDEX('State Map'!$C:$C,MATCH(TRIM('RZSPbS-psgr-ldv'!$A49),'State Map'!$A:$A,0))="Max Ambition",Schedules!M$4,P49),P49),P49)</f>
        <v>0.56799999999999995</v>
      </c>
      <c r="R49" s="39">
        <f>MAX(IFERROR(IF(INDEX('State Map'!$C:$C,MATCH(TRIM('RZSPbS-psgr-ldv'!$A49),'State Map'!$A:$A,0))="Max Ambition",Schedules!N$4,Q49),Q49),Q49)</f>
        <v>0.622</v>
      </c>
      <c r="S49" s="39">
        <f>MAX(IFERROR(IF(INDEX('State Map'!$C:$C,MATCH(TRIM('RZSPbS-psgr-ldv'!$A49),'State Map'!$A:$A,0))="Max Ambition",Schedules!O$4,R49),R49),R49)</f>
        <v>0.67600000000000005</v>
      </c>
      <c r="T49" s="39">
        <f>MAX(IFERROR(IF(INDEX('State Map'!$C:$C,MATCH(TRIM('RZSPbS-psgr-ldv'!$A49),'State Map'!$A:$A,0))="Max Ambition",Schedules!P$4,S49),S49),S49)</f>
        <v>0.73</v>
      </c>
      <c r="U49" s="39">
        <f>MAX(IFERROR(IF(INDEX('State Map'!$C:$C,MATCH(TRIM('RZSPbS-psgr-ldv'!$A49),'State Map'!$A:$A,0))="Max Ambition",Schedules!Q$4,T49),T49),T49)</f>
        <v>0.78400000000000003</v>
      </c>
      <c r="V49" s="39">
        <f>MAX(IFERROR(IF(INDEX('State Map'!$C:$C,MATCH(TRIM('RZSPbS-psgr-ldv'!$A49),'State Map'!$A:$A,0))="Max Ambition",Schedules!R$4,U49),U49),U49)</f>
        <v>0.83799999999999997</v>
      </c>
      <c r="W49" s="39">
        <f>MAX(IFERROR(IF(INDEX('State Map'!$C:$C,MATCH(TRIM('RZSPbS-psgr-ldv'!$A49),'State Map'!$A:$A,0))="Max Ambition",Schedules!S$4,V49),V49),V49)</f>
        <v>0.89200000000000002</v>
      </c>
      <c r="X49" s="39">
        <f>MAX(IFERROR(IF(INDEX('State Map'!$C:$C,MATCH(TRIM('RZSPbS-psgr-ldv'!$A49),'State Map'!$A:$A,0))="Max Ambition",Schedules!T$4,W49),W49),W49)</f>
        <v>0.94599999999999995</v>
      </c>
      <c r="Y49" s="39">
        <f>MAX(IFERROR(IF(INDEX('State Map'!$C:$C,MATCH(TRIM('RZSPbS-psgr-ldv'!$A49),'State Map'!$A:$A,0))="Max Ambition",Schedules!U$4,X49),X49),X49)</f>
        <v>1</v>
      </c>
      <c r="Z49" s="39">
        <f>MAX(IFERROR(IF(INDEX('State Map'!$C:$C,MATCH(TRIM('RZSPbS-psgr-ldv'!$A49),'State Map'!$A:$A,0))="Max Ambition",Schedules!V$4,Y49),Y49),Y49)</f>
        <v>1</v>
      </c>
      <c r="AA49" s="39">
        <f>MAX(IFERROR(IF(INDEX('State Map'!$C:$C,MATCH(TRIM('RZSPbS-psgr-ldv'!$A49),'State Map'!$A:$A,0))="Max Ambition",Schedules!W$4,Z49),Z49),Z49)</f>
        <v>1</v>
      </c>
      <c r="AB49" s="39">
        <f>MAX(IFERROR(IF(INDEX('State Map'!$C:$C,MATCH(TRIM('RZSPbS-psgr-ldv'!$A49),'State Map'!$A:$A,0))="Max Ambition",Schedules!X$4,AA49),AA49),AA49)</f>
        <v>1</v>
      </c>
      <c r="AC49" s="39">
        <f>MAX(IFERROR(IF(INDEX('State Map'!$C:$C,MATCH(TRIM('RZSPbS-psgr-ldv'!$A49),'State Map'!$A:$A,0))="Max Ambition",Schedules!Y$4,AB49),AB49),AB49)</f>
        <v>1</v>
      </c>
      <c r="AD49" s="39">
        <f>MAX(IFERROR(IF(INDEX('State Map'!$C:$C,MATCH(TRIM('RZSPbS-psgr-ldv'!$A49),'State Map'!$A:$A,0))="Max Ambition",Schedules!Z$4,AC49),AC49),AC49)</f>
        <v>1</v>
      </c>
      <c r="AE49" s="39">
        <f>MAX(IFERROR(IF(INDEX('State Map'!$C:$C,MATCH(TRIM('RZSPbS-psgr-ldv'!$A49),'State Map'!$A:$A,0))="Max Ambition",Schedules!AA$4,AD49),AD49),AD49)</f>
        <v>1</v>
      </c>
      <c r="AF49" s="39">
        <f>MAX(IFERROR(IF(INDEX('State Map'!$C:$C,MATCH(TRIM('RZSPbS-psgr-ldv'!$A49),'State Map'!$A:$A,0))="Max Ambition",Schedules!AB$4,AE49),AE49),AE49)</f>
        <v>1</v>
      </c>
    </row>
    <row r="50" spans="1:32" x14ac:dyDescent="0.25">
      <c r="A50" t="s">
        <v>49</v>
      </c>
      <c r="B50">
        <f>IF(AND(INDEX('CA Standards and Followers'!$E$7:$E$66,MATCH($A50,'CA Standards and Followers'!$A$7:$A$66,0))=1,INDEX('CA Standards and Followers'!$H$7:$H$66,MATCH($A50,'CA Standards and Followers'!$A$7:$A$66,0))&lt;=B$1),INDEX('CA Standards and Followers'!#REF!,MATCH(B$1,'CA Standards and Followers'!$1:$1,0)),IF(AND(INDEX('CA Standards and Followers'!$D$7:$D$66,MATCH($A50,'CA Standards and Followers'!$A$7:$A$66,0))=1,INDEX('CA Standards and Followers'!$G$7:$G$66,MATCH($A50,'CA Standards and Followers'!$A$7:$A$66,0))&lt;=B$1),INDEX('CA Standards and Followers'!$2:$2,MATCH(B$1,'CA Standards and Followers'!$1:$1,0)),0))</f>
        <v>0</v>
      </c>
      <c r="C50">
        <f>IF(AND(INDEX('CA Standards and Followers'!$E$7:$E$66,MATCH($A50,'CA Standards and Followers'!$A$7:$A$66,0))=1,INDEX('CA Standards and Followers'!$H$7:$H$66,MATCH($A50,'CA Standards and Followers'!$A$7:$A$66,0))&lt;=C$1),INDEX('CA Standards and Followers'!#REF!,MATCH(C$1,'CA Standards and Followers'!$1:$1,0)),IF(AND(INDEX('CA Standards and Followers'!$D$7:$D$66,MATCH($A50,'CA Standards and Followers'!$A$7:$A$66,0))=1,INDEX('CA Standards and Followers'!$G$7:$G$66,MATCH($A50,'CA Standards and Followers'!$A$7:$A$66,0))&lt;=C$1),INDEX('CA Standards and Followers'!$2:$2,MATCH(C$1,'CA Standards and Followers'!$1:$1,0)),0))</f>
        <v>0</v>
      </c>
      <c r="D50">
        <f>IF(AND(INDEX('CA Standards and Followers'!$E$7:$E$66,MATCH($A50,'CA Standards and Followers'!$A$7:$A$66,0))=1,INDEX('CA Standards and Followers'!$H$7:$H$66,MATCH($A50,'CA Standards and Followers'!$A$7:$A$66,0))&lt;=D$1),INDEX('CA Standards and Followers'!#REF!,MATCH(D$1,'CA Standards and Followers'!$1:$1,0)),IF(AND(INDEX('CA Standards and Followers'!$D$7:$D$66,MATCH($A50,'CA Standards and Followers'!$A$7:$A$66,0))=1,INDEX('CA Standards and Followers'!$G$7:$G$66,MATCH($A50,'CA Standards and Followers'!$A$7:$A$66,0))&lt;=D$1),INDEX('CA Standards and Followers'!$2:$2,MATCH(D$1,'CA Standards and Followers'!$1:$1,0)),0))</f>
        <v>0</v>
      </c>
      <c r="E50">
        <f>IF(AND(INDEX('CA Standards and Followers'!$E$7:$E$66,MATCH($A50,'CA Standards and Followers'!$A$7:$A$66,0))=1,INDEX('CA Standards and Followers'!$H$7:$H$66,MATCH($A50,'CA Standards and Followers'!$A$7:$A$66,0))&lt;=E$1),INDEX('CA Standards and Followers'!#REF!,MATCH(E$1,'CA Standards and Followers'!$1:$1,0)),IF(AND(INDEX('CA Standards and Followers'!$D$7:$D$66,MATCH($A50,'CA Standards and Followers'!$A$7:$A$66,0))=1,INDEX('CA Standards and Followers'!$G$7:$G$66,MATCH($A50,'CA Standards and Followers'!$A$7:$A$66,0))&lt;=E$1),INDEX('CA Standards and Followers'!$2:$2,MATCH(E$1,'CA Standards and Followers'!$1:$1,0)),0))</f>
        <v>0</v>
      </c>
      <c r="F50">
        <f>IF(AND(INDEX('CA Standards and Followers'!$E$7:$E$66,MATCH($A50,'CA Standards and Followers'!$A$7:$A$66,0))=1,INDEX('CA Standards and Followers'!$H$7:$H$66,MATCH($A50,'CA Standards and Followers'!$A$7:$A$66,0))&lt;=F$1),INDEX('CA Standards and Followers'!#REF!,MATCH(F$1,'CA Standards and Followers'!$1:$1,0)),IF(AND(INDEX('CA Standards and Followers'!$D$7:$D$66,MATCH($A50,'CA Standards and Followers'!$A$7:$A$66,0))=1,INDEX('CA Standards and Followers'!$G$7:$G$66,MATCH($A50,'CA Standards and Followers'!$A$7:$A$66,0))&lt;=F$1),INDEX('CA Standards and Followers'!$2:$2,MATCH(F$1,'CA Standards and Followers'!$1:$1,0)),0))</f>
        <v>0</v>
      </c>
      <c r="G50">
        <f>IF(AND(INDEX('CA Standards and Followers'!$E$7:$E$66,MATCH($A50,'CA Standards and Followers'!$A$7:$A$66,0))=1,INDEX('CA Standards and Followers'!$H$7:$H$66,MATCH($A50,'CA Standards and Followers'!$A$7:$A$66,0))&lt;=G$1),INDEX('CA Standards and Followers'!#REF!,MATCH(G$1,'CA Standards and Followers'!$1:$1,0)),IF(AND(INDEX('CA Standards and Followers'!$D$7:$D$66,MATCH($A50,'CA Standards and Followers'!$A$7:$A$66,0))=1,INDEX('CA Standards and Followers'!$G$7:$G$66,MATCH($A50,'CA Standards and Followers'!$A$7:$A$66,0))&lt;=G$1),INDEX('CA Standards and Followers'!$2:$2,MATCH(G$1,'CA Standards and Followers'!$1:$1,0)),0))</f>
        <v>0</v>
      </c>
      <c r="H50">
        <f>IF(AND(INDEX('CA Standards and Followers'!$E$7:$E$66,MATCH($A50,'CA Standards and Followers'!$A$7:$A$66,0))=1,INDEX('CA Standards and Followers'!$H$7:$H$66,MATCH($A50,'CA Standards and Followers'!$A$7:$A$66,0))&lt;=H$1),INDEX('CA Standards and Followers'!#REF!,MATCH(H$1,'CA Standards and Followers'!$1:$1,0)),IF(AND(INDEX('CA Standards and Followers'!$D$7:$D$66,MATCH($A50,'CA Standards and Followers'!$A$7:$A$66,0))=1,INDEX('CA Standards and Followers'!$G$7:$G$66,MATCH($A50,'CA Standards and Followers'!$A$7:$A$66,0))&lt;=H$1),INDEX('CA Standards and Followers'!$2:$2,MATCH(H$1,'CA Standards and Followers'!$1:$1,0)),0))</f>
        <v>0</v>
      </c>
      <c r="I50">
        <f>IF(AND(INDEX('CA Standards and Followers'!$E$7:$E$66,MATCH($A50,'CA Standards and Followers'!$A$7:$A$66,0))=1,INDEX('CA Standards and Followers'!$H$7:$H$66,MATCH($A50,'CA Standards and Followers'!$A$7:$A$66,0))&lt;=I$1),INDEX('CA Standards and Followers'!#REF!,MATCH(I$1,'CA Standards and Followers'!$1:$1,0)),IF(AND(INDEX('CA Standards and Followers'!$D$7:$D$66,MATCH($A50,'CA Standards and Followers'!$A$7:$A$66,0))=1,INDEX('CA Standards and Followers'!$G$7:$G$66,MATCH($A50,'CA Standards and Followers'!$A$7:$A$66,0))&lt;=I$1),INDEX('CA Standards and Followers'!$2:$2,MATCH(I$1,'CA Standards and Followers'!$1:$1,0)),0))</f>
        <v>0</v>
      </c>
      <c r="J50">
        <f>IF(AND(INDEX('CA Standards and Followers'!$E$7:$E$66,MATCH($A50,'CA Standards and Followers'!$A$7:$A$66,0))=1,INDEX('CA Standards and Followers'!$H$7:$H$66,MATCH($A50,'CA Standards and Followers'!$A$7:$A$66,0))&lt;=J$1),INDEX('CA Standards and Followers'!#REF!,MATCH(J$1,'CA Standards and Followers'!$1:$1,0)),IF(AND(INDEX('CA Standards and Followers'!$D$7:$D$66,MATCH($A50,'CA Standards and Followers'!$A$7:$A$66,0))=1,INDEX('CA Standards and Followers'!$G$7:$G$66,MATCH($A50,'CA Standards and Followers'!$A$7:$A$66,0))&lt;=J$1),INDEX('CA Standards and Followers'!$2:$2,MATCH(J$1,'CA Standards and Followers'!$1:$1,0)),0))</f>
        <v>0</v>
      </c>
      <c r="K50" s="39">
        <f>MAX(IFERROR(IF(INDEX('State Map'!$C:$C,MATCH(TRIM('RZSPbS-psgr-ldv'!$A50),'State Map'!$A:$A,0))="Max Ambition",Schedules!G$4,J50),J50),J50)</f>
        <v>0</v>
      </c>
      <c r="L50" s="39">
        <f>MAX(IFERROR(IF(INDEX('State Map'!$C:$C,MATCH(TRIM('RZSPbS-psgr-ldv'!$A50),'State Map'!$A:$A,0))="Max Ambition",Schedules!H$4,K50),K50),K50)</f>
        <v>0</v>
      </c>
      <c r="M50" s="39">
        <f>MAX(IFERROR(IF(INDEX('State Map'!$C:$C,MATCH(TRIM('RZSPbS-psgr-ldv'!$A50),'State Map'!$A:$A,0))="Max Ambition",Schedules!I$4,L50),L50),L50)</f>
        <v>0</v>
      </c>
      <c r="N50" s="39">
        <f>MAX(IFERROR(IF(INDEX('State Map'!$C:$C,MATCH(TRIM('RZSPbS-psgr-ldv'!$A50),'State Map'!$A:$A,0))="Max Ambition",Schedules!J$4,M50),M50),M50)</f>
        <v>0</v>
      </c>
      <c r="O50" s="39">
        <f>MAX(IFERROR(IF(INDEX('State Map'!$C:$C,MATCH(TRIM('RZSPbS-psgr-ldv'!$A50),'State Map'!$A:$A,0))="Max Ambition",Schedules!K$4,N50),N50),N50)</f>
        <v>0</v>
      </c>
      <c r="P50" s="39">
        <f>MAX(IFERROR(IF(INDEX('State Map'!$C:$C,MATCH(TRIM('RZSPbS-psgr-ldv'!$A50),'State Map'!$A:$A,0))="Max Ambition",Schedules!L$4,O50),O50),O50)</f>
        <v>0</v>
      </c>
      <c r="Q50" s="39">
        <f>MAX(IFERROR(IF(INDEX('State Map'!$C:$C,MATCH(TRIM('RZSPbS-psgr-ldv'!$A50),'State Map'!$A:$A,0))="Max Ambition",Schedules!M$4,P50),P50),P50)</f>
        <v>0</v>
      </c>
      <c r="R50" s="39">
        <f>MAX(IFERROR(IF(INDEX('State Map'!$C:$C,MATCH(TRIM('RZSPbS-psgr-ldv'!$A50),'State Map'!$A:$A,0))="Max Ambition",Schedules!N$4,Q50),Q50),Q50)</f>
        <v>0</v>
      </c>
      <c r="S50" s="39">
        <f>MAX(IFERROR(IF(INDEX('State Map'!$C:$C,MATCH(TRIM('RZSPbS-psgr-ldv'!$A50),'State Map'!$A:$A,0))="Max Ambition",Schedules!O$4,R50),R50),R50)</f>
        <v>0</v>
      </c>
      <c r="T50" s="39">
        <f>MAX(IFERROR(IF(INDEX('State Map'!$C:$C,MATCH(TRIM('RZSPbS-psgr-ldv'!$A50),'State Map'!$A:$A,0))="Max Ambition",Schedules!P$4,S50),S50),S50)</f>
        <v>0</v>
      </c>
      <c r="U50" s="39">
        <f>MAX(IFERROR(IF(INDEX('State Map'!$C:$C,MATCH(TRIM('RZSPbS-psgr-ldv'!$A50),'State Map'!$A:$A,0))="Max Ambition",Schedules!Q$4,T50),T50),T50)</f>
        <v>0</v>
      </c>
      <c r="V50" s="39">
        <f>MAX(IFERROR(IF(INDEX('State Map'!$C:$C,MATCH(TRIM('RZSPbS-psgr-ldv'!$A50),'State Map'!$A:$A,0))="Max Ambition",Schedules!R$4,U50),U50),U50)</f>
        <v>0</v>
      </c>
      <c r="W50" s="39">
        <f>MAX(IFERROR(IF(INDEX('State Map'!$C:$C,MATCH(TRIM('RZSPbS-psgr-ldv'!$A50),'State Map'!$A:$A,0))="Max Ambition",Schedules!S$4,V50),V50),V50)</f>
        <v>0</v>
      </c>
      <c r="X50" s="39">
        <f>MAX(IFERROR(IF(INDEX('State Map'!$C:$C,MATCH(TRIM('RZSPbS-psgr-ldv'!$A50),'State Map'!$A:$A,0))="Max Ambition",Schedules!T$4,W50),W50),W50)</f>
        <v>0</v>
      </c>
      <c r="Y50" s="39">
        <f>MAX(IFERROR(IF(INDEX('State Map'!$C:$C,MATCH(TRIM('RZSPbS-psgr-ldv'!$A50),'State Map'!$A:$A,0))="Max Ambition",Schedules!U$4,X50),X50),X50)</f>
        <v>0</v>
      </c>
      <c r="Z50" s="39">
        <f>MAX(IFERROR(IF(INDEX('State Map'!$C:$C,MATCH(TRIM('RZSPbS-psgr-ldv'!$A50),'State Map'!$A:$A,0))="Max Ambition",Schedules!V$4,Y50),Y50),Y50)</f>
        <v>0</v>
      </c>
      <c r="AA50" s="39">
        <f>MAX(IFERROR(IF(INDEX('State Map'!$C:$C,MATCH(TRIM('RZSPbS-psgr-ldv'!$A50),'State Map'!$A:$A,0))="Max Ambition",Schedules!W$4,Z50),Z50),Z50)</f>
        <v>0</v>
      </c>
      <c r="AB50" s="39">
        <f>MAX(IFERROR(IF(INDEX('State Map'!$C:$C,MATCH(TRIM('RZSPbS-psgr-ldv'!$A50),'State Map'!$A:$A,0))="Max Ambition",Schedules!X$4,AA50),AA50),AA50)</f>
        <v>0</v>
      </c>
      <c r="AC50" s="39">
        <f>MAX(IFERROR(IF(INDEX('State Map'!$C:$C,MATCH(TRIM('RZSPbS-psgr-ldv'!$A50),'State Map'!$A:$A,0))="Max Ambition",Schedules!Y$4,AB50),AB50),AB50)</f>
        <v>0</v>
      </c>
      <c r="AD50" s="39">
        <f>MAX(IFERROR(IF(INDEX('State Map'!$C:$C,MATCH(TRIM('RZSPbS-psgr-ldv'!$A50),'State Map'!$A:$A,0))="Max Ambition",Schedules!Z$4,AC50),AC50),AC50)</f>
        <v>0</v>
      </c>
      <c r="AE50" s="39">
        <f>MAX(IFERROR(IF(INDEX('State Map'!$C:$C,MATCH(TRIM('RZSPbS-psgr-ldv'!$A50),'State Map'!$A:$A,0))="Max Ambition",Schedules!AA$4,AD50),AD50),AD50)</f>
        <v>0</v>
      </c>
      <c r="AF50" s="39">
        <f>MAX(IFERROR(IF(INDEX('State Map'!$C:$C,MATCH(TRIM('RZSPbS-psgr-ldv'!$A50),'State Map'!$A:$A,0))="Max Ambition",Schedules!AB$4,AE50),AE50),AE50)</f>
        <v>0</v>
      </c>
    </row>
    <row r="51" spans="1:32" x14ac:dyDescent="0.25">
      <c r="A51" t="s">
        <v>50</v>
      </c>
      <c r="B51">
        <f>IF(AND(INDEX('CA Standards and Followers'!$E$7:$E$66,MATCH($A51,'CA Standards and Followers'!$A$7:$A$66,0))=1,INDEX('CA Standards and Followers'!$H$7:$H$66,MATCH($A51,'CA Standards and Followers'!$A$7:$A$66,0))&lt;=B$1),INDEX('CA Standards and Followers'!#REF!,MATCH(B$1,'CA Standards and Followers'!$1:$1,0)),IF(AND(INDEX('CA Standards and Followers'!$D$7:$D$66,MATCH($A51,'CA Standards and Followers'!$A$7:$A$66,0))=1,INDEX('CA Standards and Followers'!$G$7:$G$66,MATCH($A51,'CA Standards and Followers'!$A$7:$A$66,0))&lt;=B$1),INDEX('CA Standards and Followers'!$2:$2,MATCH(B$1,'CA Standards and Followers'!$1:$1,0)),0))</f>
        <v>0</v>
      </c>
      <c r="C51">
        <f>IF(AND(INDEX('CA Standards and Followers'!$E$7:$E$66,MATCH($A51,'CA Standards and Followers'!$A$7:$A$66,0))=1,INDEX('CA Standards and Followers'!$H$7:$H$66,MATCH($A51,'CA Standards and Followers'!$A$7:$A$66,0))&lt;=C$1),INDEX('CA Standards and Followers'!#REF!,MATCH(C$1,'CA Standards and Followers'!$1:$1,0)),IF(AND(INDEX('CA Standards and Followers'!$D$7:$D$66,MATCH($A51,'CA Standards and Followers'!$A$7:$A$66,0))=1,INDEX('CA Standards and Followers'!$G$7:$G$66,MATCH($A51,'CA Standards and Followers'!$A$7:$A$66,0))&lt;=C$1),INDEX('CA Standards and Followers'!$2:$2,MATCH(C$1,'CA Standards and Followers'!$1:$1,0)),0))</f>
        <v>0</v>
      </c>
      <c r="D51">
        <f>IF(AND(INDEX('CA Standards and Followers'!$E$7:$E$66,MATCH($A51,'CA Standards and Followers'!$A$7:$A$66,0))=1,INDEX('CA Standards and Followers'!$H$7:$H$66,MATCH($A51,'CA Standards and Followers'!$A$7:$A$66,0))&lt;=D$1),INDEX('CA Standards and Followers'!#REF!,MATCH(D$1,'CA Standards and Followers'!$1:$1,0)),IF(AND(INDEX('CA Standards and Followers'!$D$7:$D$66,MATCH($A51,'CA Standards and Followers'!$A$7:$A$66,0))=1,INDEX('CA Standards and Followers'!$G$7:$G$66,MATCH($A51,'CA Standards and Followers'!$A$7:$A$66,0))&lt;=D$1),INDEX('CA Standards and Followers'!$2:$2,MATCH(D$1,'CA Standards and Followers'!$1:$1,0)),0))</f>
        <v>0</v>
      </c>
      <c r="E51">
        <f>IF(AND(INDEX('CA Standards and Followers'!$E$7:$E$66,MATCH($A51,'CA Standards and Followers'!$A$7:$A$66,0))=1,INDEX('CA Standards and Followers'!$H$7:$H$66,MATCH($A51,'CA Standards and Followers'!$A$7:$A$66,0))&lt;=E$1),INDEX('CA Standards and Followers'!#REF!,MATCH(E$1,'CA Standards and Followers'!$1:$1,0)),IF(AND(INDEX('CA Standards and Followers'!$D$7:$D$66,MATCH($A51,'CA Standards and Followers'!$A$7:$A$66,0))=1,INDEX('CA Standards and Followers'!$G$7:$G$66,MATCH($A51,'CA Standards and Followers'!$A$7:$A$66,0))&lt;=E$1),INDEX('CA Standards and Followers'!$2:$2,MATCH(E$1,'CA Standards and Followers'!$1:$1,0)),0))</f>
        <v>0</v>
      </c>
      <c r="F51">
        <f>IF(AND(INDEX('CA Standards and Followers'!$E$7:$E$66,MATCH($A51,'CA Standards and Followers'!$A$7:$A$66,0))=1,INDEX('CA Standards and Followers'!$H$7:$H$66,MATCH($A51,'CA Standards and Followers'!$A$7:$A$66,0))&lt;=F$1),INDEX('CA Standards and Followers'!#REF!,MATCH(F$1,'CA Standards and Followers'!$1:$1,0)),IF(AND(INDEX('CA Standards and Followers'!$D$7:$D$66,MATCH($A51,'CA Standards and Followers'!$A$7:$A$66,0))=1,INDEX('CA Standards and Followers'!$G$7:$G$66,MATCH($A51,'CA Standards and Followers'!$A$7:$A$66,0))&lt;=F$1),INDEX('CA Standards and Followers'!$2:$2,MATCH(F$1,'CA Standards and Followers'!$1:$1,0)),0))</f>
        <v>0</v>
      </c>
      <c r="G51">
        <f>IF(AND(INDEX('CA Standards and Followers'!$E$7:$E$66,MATCH($A51,'CA Standards and Followers'!$A$7:$A$66,0))=1,INDEX('CA Standards and Followers'!$H$7:$H$66,MATCH($A51,'CA Standards and Followers'!$A$7:$A$66,0))&lt;=G$1),INDEX('CA Standards and Followers'!#REF!,MATCH(G$1,'CA Standards and Followers'!$1:$1,0)),IF(AND(INDEX('CA Standards and Followers'!$D$7:$D$66,MATCH($A51,'CA Standards and Followers'!$A$7:$A$66,0))=1,INDEX('CA Standards and Followers'!$G$7:$G$66,MATCH($A51,'CA Standards and Followers'!$A$7:$A$66,0))&lt;=G$1),INDEX('CA Standards and Followers'!$2:$2,MATCH(G$1,'CA Standards and Followers'!$1:$1,0)),0))</f>
        <v>0</v>
      </c>
      <c r="H51">
        <f>IF(AND(INDEX('CA Standards and Followers'!$E$7:$E$66,MATCH($A51,'CA Standards and Followers'!$A$7:$A$66,0))=1,INDEX('CA Standards and Followers'!$H$7:$H$66,MATCH($A51,'CA Standards and Followers'!$A$7:$A$66,0))&lt;=H$1),INDEX('CA Standards and Followers'!#REF!,MATCH(H$1,'CA Standards and Followers'!$1:$1,0)),IF(AND(INDEX('CA Standards and Followers'!$D$7:$D$66,MATCH($A51,'CA Standards and Followers'!$A$7:$A$66,0))=1,INDEX('CA Standards and Followers'!$G$7:$G$66,MATCH($A51,'CA Standards and Followers'!$A$7:$A$66,0))&lt;=H$1),INDEX('CA Standards and Followers'!$2:$2,MATCH(H$1,'CA Standards and Followers'!$1:$1,0)),0))</f>
        <v>0</v>
      </c>
      <c r="I51">
        <f>IF(AND(INDEX('CA Standards and Followers'!$E$7:$E$66,MATCH($A51,'CA Standards and Followers'!$A$7:$A$66,0))=1,INDEX('CA Standards and Followers'!$H$7:$H$66,MATCH($A51,'CA Standards and Followers'!$A$7:$A$66,0))&lt;=I$1),INDEX('CA Standards and Followers'!#REF!,MATCH(I$1,'CA Standards and Followers'!$1:$1,0)),IF(AND(INDEX('CA Standards and Followers'!$D$7:$D$66,MATCH($A51,'CA Standards and Followers'!$A$7:$A$66,0))=1,INDEX('CA Standards and Followers'!$G$7:$G$66,MATCH($A51,'CA Standards and Followers'!$A$7:$A$66,0))&lt;=I$1),INDEX('CA Standards and Followers'!$2:$2,MATCH(I$1,'CA Standards and Followers'!$1:$1,0)),0))</f>
        <v>0</v>
      </c>
      <c r="J51">
        <f>IF(AND(INDEX('CA Standards and Followers'!$E$7:$E$66,MATCH($A51,'CA Standards and Followers'!$A$7:$A$66,0))=1,INDEX('CA Standards and Followers'!$H$7:$H$66,MATCH($A51,'CA Standards and Followers'!$A$7:$A$66,0))&lt;=J$1),INDEX('CA Standards and Followers'!#REF!,MATCH(J$1,'CA Standards and Followers'!$1:$1,0)),IF(AND(INDEX('CA Standards and Followers'!$D$7:$D$66,MATCH($A51,'CA Standards and Followers'!$A$7:$A$66,0))=1,INDEX('CA Standards and Followers'!$G$7:$G$66,MATCH($A51,'CA Standards and Followers'!$A$7:$A$66,0))&lt;=J$1),INDEX('CA Standards and Followers'!$2:$2,MATCH(J$1,'CA Standards and Followers'!$1:$1,0)),0))</f>
        <v>0</v>
      </c>
      <c r="K51" s="39">
        <f>MAX(IFERROR(IF(INDEX('State Map'!$C:$C,MATCH(TRIM('RZSPbS-psgr-ldv'!$A51),'State Map'!$A:$A,0))="Max Ambition",Schedules!G$4,J51),J51),J51)</f>
        <v>0</v>
      </c>
      <c r="L51" s="39">
        <f>MAX(IFERROR(IF(INDEX('State Map'!$C:$C,MATCH(TRIM('RZSPbS-psgr-ldv'!$A51),'State Map'!$A:$A,0))="Max Ambition",Schedules!H$4,K51),K51),K51)</f>
        <v>0</v>
      </c>
      <c r="M51" s="39">
        <f>MAX(IFERROR(IF(INDEX('State Map'!$C:$C,MATCH(TRIM('RZSPbS-psgr-ldv'!$A51),'State Map'!$A:$A,0))="Max Ambition",Schedules!I$4,L51),L51),L51)</f>
        <v>0</v>
      </c>
      <c r="N51" s="39">
        <f>MAX(IFERROR(IF(INDEX('State Map'!$C:$C,MATCH(TRIM('RZSPbS-psgr-ldv'!$A51),'State Map'!$A:$A,0))="Max Ambition",Schedules!J$4,M51),M51),M51)</f>
        <v>0</v>
      </c>
      <c r="O51" s="39">
        <f>MAX(IFERROR(IF(INDEX('State Map'!$C:$C,MATCH(TRIM('RZSPbS-psgr-ldv'!$A51),'State Map'!$A:$A,0))="Max Ambition",Schedules!K$4,N51),N51),N51)</f>
        <v>0</v>
      </c>
      <c r="P51" s="39">
        <f>MAX(IFERROR(IF(INDEX('State Map'!$C:$C,MATCH(TRIM('RZSPbS-psgr-ldv'!$A51),'State Map'!$A:$A,0))="Max Ambition",Schedules!L$4,O51),O51),O51)</f>
        <v>0</v>
      </c>
      <c r="Q51" s="39">
        <f>MAX(IFERROR(IF(INDEX('State Map'!$C:$C,MATCH(TRIM('RZSPbS-psgr-ldv'!$A51),'State Map'!$A:$A,0))="Max Ambition",Schedules!M$4,P51),P51),P51)</f>
        <v>0</v>
      </c>
      <c r="R51" s="39">
        <f>MAX(IFERROR(IF(INDEX('State Map'!$C:$C,MATCH(TRIM('RZSPbS-psgr-ldv'!$A51),'State Map'!$A:$A,0))="Max Ambition",Schedules!N$4,Q51),Q51),Q51)</f>
        <v>0</v>
      </c>
      <c r="S51" s="39">
        <f>MAX(IFERROR(IF(INDEX('State Map'!$C:$C,MATCH(TRIM('RZSPbS-psgr-ldv'!$A51),'State Map'!$A:$A,0))="Max Ambition",Schedules!O$4,R51),R51),R51)</f>
        <v>0</v>
      </c>
      <c r="T51" s="39">
        <f>MAX(IFERROR(IF(INDEX('State Map'!$C:$C,MATCH(TRIM('RZSPbS-psgr-ldv'!$A51),'State Map'!$A:$A,0))="Max Ambition",Schedules!P$4,S51),S51),S51)</f>
        <v>0</v>
      </c>
      <c r="U51" s="39">
        <f>MAX(IFERROR(IF(INDEX('State Map'!$C:$C,MATCH(TRIM('RZSPbS-psgr-ldv'!$A51),'State Map'!$A:$A,0))="Max Ambition",Schedules!Q$4,T51),T51),T51)</f>
        <v>0</v>
      </c>
      <c r="V51" s="39">
        <f>MAX(IFERROR(IF(INDEX('State Map'!$C:$C,MATCH(TRIM('RZSPbS-psgr-ldv'!$A51),'State Map'!$A:$A,0))="Max Ambition",Schedules!R$4,U51),U51),U51)</f>
        <v>0</v>
      </c>
      <c r="W51" s="39">
        <f>MAX(IFERROR(IF(INDEX('State Map'!$C:$C,MATCH(TRIM('RZSPbS-psgr-ldv'!$A51),'State Map'!$A:$A,0))="Max Ambition",Schedules!S$4,V51),V51),V51)</f>
        <v>0</v>
      </c>
      <c r="X51" s="39">
        <f>MAX(IFERROR(IF(INDEX('State Map'!$C:$C,MATCH(TRIM('RZSPbS-psgr-ldv'!$A51),'State Map'!$A:$A,0))="Max Ambition",Schedules!T$4,W51),W51),W51)</f>
        <v>0</v>
      </c>
      <c r="Y51" s="39">
        <f>MAX(IFERROR(IF(INDEX('State Map'!$C:$C,MATCH(TRIM('RZSPbS-psgr-ldv'!$A51),'State Map'!$A:$A,0))="Max Ambition",Schedules!U$4,X51),X51),X51)</f>
        <v>0</v>
      </c>
      <c r="Z51" s="39">
        <f>MAX(IFERROR(IF(INDEX('State Map'!$C:$C,MATCH(TRIM('RZSPbS-psgr-ldv'!$A51),'State Map'!$A:$A,0))="Max Ambition",Schedules!V$4,Y51),Y51),Y51)</f>
        <v>0</v>
      </c>
      <c r="AA51" s="39">
        <f>MAX(IFERROR(IF(INDEX('State Map'!$C:$C,MATCH(TRIM('RZSPbS-psgr-ldv'!$A51),'State Map'!$A:$A,0))="Max Ambition",Schedules!W$4,Z51),Z51),Z51)</f>
        <v>0</v>
      </c>
      <c r="AB51" s="39">
        <f>MAX(IFERROR(IF(INDEX('State Map'!$C:$C,MATCH(TRIM('RZSPbS-psgr-ldv'!$A51),'State Map'!$A:$A,0))="Max Ambition",Schedules!X$4,AA51),AA51),AA51)</f>
        <v>0</v>
      </c>
      <c r="AC51" s="39">
        <f>MAX(IFERROR(IF(INDEX('State Map'!$C:$C,MATCH(TRIM('RZSPbS-psgr-ldv'!$A51),'State Map'!$A:$A,0))="Max Ambition",Schedules!Y$4,AB51),AB51),AB51)</f>
        <v>0</v>
      </c>
      <c r="AD51" s="39">
        <f>MAX(IFERROR(IF(INDEX('State Map'!$C:$C,MATCH(TRIM('RZSPbS-psgr-ldv'!$A51),'State Map'!$A:$A,0))="Max Ambition",Schedules!Z$4,AC51),AC51),AC51)</f>
        <v>0</v>
      </c>
      <c r="AE51" s="39">
        <f>MAX(IFERROR(IF(INDEX('State Map'!$C:$C,MATCH(TRIM('RZSPbS-psgr-ldv'!$A51),'State Map'!$A:$A,0))="Max Ambition",Schedules!AA$4,AD51),AD51),AD51)</f>
        <v>0</v>
      </c>
      <c r="AF51" s="39">
        <f>MAX(IFERROR(IF(INDEX('State Map'!$C:$C,MATCH(TRIM('RZSPbS-psgr-ldv'!$A51),'State Map'!$A:$A,0))="Max Ambition",Schedules!AB$4,AE51),AE51),AE51)</f>
        <v>0</v>
      </c>
    </row>
    <row r="52" spans="1:32" x14ac:dyDescent="0.25">
      <c r="A52" t="s">
        <v>51</v>
      </c>
      <c r="B52">
        <f>IF(AND(INDEX('CA Standards and Followers'!$E$7:$E$66,MATCH($A52,'CA Standards and Followers'!$A$7:$A$66,0))=1,INDEX('CA Standards and Followers'!$H$7:$H$66,MATCH($A52,'CA Standards and Followers'!$A$7:$A$66,0))&lt;=B$1),INDEX('CA Standards and Followers'!#REF!,MATCH(B$1,'CA Standards and Followers'!$1:$1,0)),IF(AND(INDEX('CA Standards and Followers'!$D$7:$D$66,MATCH($A52,'CA Standards and Followers'!$A$7:$A$66,0))=1,INDEX('CA Standards and Followers'!$G$7:$G$66,MATCH($A52,'CA Standards and Followers'!$A$7:$A$66,0))&lt;=B$1),INDEX('CA Standards and Followers'!$2:$2,MATCH(B$1,'CA Standards and Followers'!$1:$1,0)),0))</f>
        <v>0</v>
      </c>
      <c r="C52">
        <f>IF(AND(INDEX('CA Standards and Followers'!$E$7:$E$66,MATCH($A52,'CA Standards and Followers'!$A$7:$A$66,0))=1,INDEX('CA Standards and Followers'!$H$7:$H$66,MATCH($A52,'CA Standards and Followers'!$A$7:$A$66,0))&lt;=C$1),INDEX('CA Standards and Followers'!#REF!,MATCH(C$1,'CA Standards and Followers'!$1:$1,0)),IF(AND(INDEX('CA Standards and Followers'!$D$7:$D$66,MATCH($A52,'CA Standards and Followers'!$A$7:$A$66,0))=1,INDEX('CA Standards and Followers'!$G$7:$G$66,MATCH($A52,'CA Standards and Followers'!$A$7:$A$66,0))&lt;=C$1),INDEX('CA Standards and Followers'!$2:$2,MATCH(C$1,'CA Standards and Followers'!$1:$1,0)),0))</f>
        <v>0</v>
      </c>
      <c r="D52">
        <f>IF(AND(INDEX('CA Standards and Followers'!$E$7:$E$66,MATCH($A52,'CA Standards and Followers'!$A$7:$A$66,0))=1,INDEX('CA Standards and Followers'!$H$7:$H$66,MATCH($A52,'CA Standards and Followers'!$A$7:$A$66,0))&lt;=D$1),INDEX('CA Standards and Followers'!#REF!,MATCH(D$1,'CA Standards and Followers'!$1:$1,0)),IF(AND(INDEX('CA Standards and Followers'!$D$7:$D$66,MATCH($A52,'CA Standards and Followers'!$A$7:$A$66,0))=1,INDEX('CA Standards and Followers'!$G$7:$G$66,MATCH($A52,'CA Standards and Followers'!$A$7:$A$66,0))&lt;=D$1),INDEX('CA Standards and Followers'!$2:$2,MATCH(D$1,'CA Standards and Followers'!$1:$1,0)),0))</f>
        <v>0</v>
      </c>
      <c r="E52">
        <f>IF(AND(INDEX('CA Standards and Followers'!$E$7:$E$66,MATCH($A52,'CA Standards and Followers'!$A$7:$A$66,0))=1,INDEX('CA Standards and Followers'!$H$7:$H$66,MATCH($A52,'CA Standards and Followers'!$A$7:$A$66,0))&lt;=E$1),INDEX('CA Standards and Followers'!#REF!,MATCH(E$1,'CA Standards and Followers'!$1:$1,0)),IF(AND(INDEX('CA Standards and Followers'!$D$7:$D$66,MATCH($A52,'CA Standards and Followers'!$A$7:$A$66,0))=1,INDEX('CA Standards and Followers'!$G$7:$G$66,MATCH($A52,'CA Standards and Followers'!$A$7:$A$66,0))&lt;=E$1),INDEX('CA Standards and Followers'!$2:$2,MATCH(E$1,'CA Standards and Followers'!$1:$1,0)),0))</f>
        <v>0</v>
      </c>
      <c r="F52">
        <f>IF(AND(INDEX('CA Standards and Followers'!$E$7:$E$66,MATCH($A52,'CA Standards and Followers'!$A$7:$A$66,0))=1,INDEX('CA Standards and Followers'!$H$7:$H$66,MATCH($A52,'CA Standards and Followers'!$A$7:$A$66,0))&lt;=F$1),INDEX('CA Standards and Followers'!#REF!,MATCH(F$1,'CA Standards and Followers'!$1:$1,0)),IF(AND(INDEX('CA Standards and Followers'!$D$7:$D$66,MATCH($A52,'CA Standards and Followers'!$A$7:$A$66,0))=1,INDEX('CA Standards and Followers'!$G$7:$G$66,MATCH($A52,'CA Standards and Followers'!$A$7:$A$66,0))&lt;=F$1),INDEX('CA Standards and Followers'!$2:$2,MATCH(F$1,'CA Standards and Followers'!$1:$1,0)),0))</f>
        <v>0</v>
      </c>
      <c r="G52">
        <f>IF(AND(INDEX('CA Standards and Followers'!$E$7:$E$66,MATCH($A52,'CA Standards and Followers'!$A$7:$A$66,0))=1,INDEX('CA Standards and Followers'!$H$7:$H$66,MATCH($A52,'CA Standards and Followers'!$A$7:$A$66,0))&lt;=G$1),INDEX('CA Standards and Followers'!#REF!,MATCH(G$1,'CA Standards and Followers'!$1:$1,0)),IF(AND(INDEX('CA Standards and Followers'!$D$7:$D$66,MATCH($A52,'CA Standards and Followers'!$A$7:$A$66,0))=1,INDEX('CA Standards and Followers'!$G$7:$G$66,MATCH($A52,'CA Standards and Followers'!$A$7:$A$66,0))&lt;=G$1),INDEX('CA Standards and Followers'!$2:$2,MATCH(G$1,'CA Standards and Followers'!$1:$1,0)),0))</f>
        <v>0</v>
      </c>
      <c r="H52">
        <f>IF(AND(INDEX('CA Standards and Followers'!$E$7:$E$66,MATCH($A52,'CA Standards and Followers'!$A$7:$A$66,0))=1,INDEX('CA Standards and Followers'!$H$7:$H$66,MATCH($A52,'CA Standards and Followers'!$A$7:$A$66,0))&lt;=H$1),INDEX('CA Standards and Followers'!#REF!,MATCH(H$1,'CA Standards and Followers'!$1:$1,0)),IF(AND(INDEX('CA Standards and Followers'!$D$7:$D$66,MATCH($A52,'CA Standards and Followers'!$A$7:$A$66,0))=1,INDEX('CA Standards and Followers'!$G$7:$G$66,MATCH($A52,'CA Standards and Followers'!$A$7:$A$66,0))&lt;=H$1),INDEX('CA Standards and Followers'!$2:$2,MATCH(H$1,'CA Standards and Followers'!$1:$1,0)),0))</f>
        <v>0</v>
      </c>
      <c r="I52">
        <f>IF(AND(INDEX('CA Standards and Followers'!$E$7:$E$66,MATCH($A52,'CA Standards and Followers'!$A$7:$A$66,0))=1,INDEX('CA Standards and Followers'!$H$7:$H$66,MATCH($A52,'CA Standards and Followers'!$A$7:$A$66,0))&lt;=I$1),INDEX('CA Standards and Followers'!#REF!,MATCH(I$1,'CA Standards and Followers'!$1:$1,0)),IF(AND(INDEX('CA Standards and Followers'!$D$7:$D$66,MATCH($A52,'CA Standards and Followers'!$A$7:$A$66,0))=1,INDEX('CA Standards and Followers'!$G$7:$G$66,MATCH($A52,'CA Standards and Followers'!$A$7:$A$66,0))&lt;=I$1),INDEX('CA Standards and Followers'!$2:$2,MATCH(I$1,'CA Standards and Followers'!$1:$1,0)),0))</f>
        <v>0</v>
      </c>
      <c r="J52">
        <f>IF(AND(INDEX('CA Standards and Followers'!$E$7:$E$66,MATCH($A52,'CA Standards and Followers'!$A$7:$A$66,0))=1,INDEX('CA Standards and Followers'!$H$7:$H$66,MATCH($A52,'CA Standards and Followers'!$A$7:$A$66,0))&lt;=J$1),INDEX('CA Standards and Followers'!#REF!,MATCH(J$1,'CA Standards and Followers'!$1:$1,0)),IF(AND(INDEX('CA Standards and Followers'!$D$7:$D$66,MATCH($A52,'CA Standards and Followers'!$A$7:$A$66,0))=1,INDEX('CA Standards and Followers'!$G$7:$G$66,MATCH($A52,'CA Standards and Followers'!$A$7:$A$66,0))&lt;=J$1),INDEX('CA Standards and Followers'!$2:$2,MATCH(J$1,'CA Standards and Followers'!$1:$1,0)),0))</f>
        <v>0</v>
      </c>
      <c r="K52" s="39">
        <f>MAX(IFERROR(IF(INDEX('State Map'!$C:$C,MATCH(TRIM('RZSPbS-psgr-ldv'!$A52),'State Map'!$A:$A,0))="Max Ambition",Schedules!G$4,J52),J52),J52)</f>
        <v>0</v>
      </c>
      <c r="L52" s="39">
        <f>MAX(IFERROR(IF(INDEX('State Map'!$C:$C,MATCH(TRIM('RZSPbS-psgr-ldv'!$A52),'State Map'!$A:$A,0))="Max Ambition",Schedules!H$4,K52),K52),K52)</f>
        <v>0</v>
      </c>
      <c r="M52" s="39">
        <f>MAX(IFERROR(IF(INDEX('State Map'!$C:$C,MATCH(TRIM('RZSPbS-psgr-ldv'!$A52),'State Map'!$A:$A,0))="Max Ambition",Schedules!I$4,L52),L52),L52)</f>
        <v>0</v>
      </c>
      <c r="N52" s="39">
        <f>MAX(IFERROR(IF(INDEX('State Map'!$C:$C,MATCH(TRIM('RZSPbS-psgr-ldv'!$A52),'State Map'!$A:$A,0))="Max Ambition",Schedules!J$4,M52),M52),M52)</f>
        <v>0</v>
      </c>
      <c r="O52" s="39">
        <f>MAX(IFERROR(IF(INDEX('State Map'!$C:$C,MATCH(TRIM('RZSPbS-psgr-ldv'!$A52),'State Map'!$A:$A,0))="Max Ambition",Schedules!K$4,N52),N52),N52)</f>
        <v>0</v>
      </c>
      <c r="P52" s="39">
        <f>MAX(IFERROR(IF(INDEX('State Map'!$C:$C,MATCH(TRIM('RZSPbS-psgr-ldv'!$A52),'State Map'!$A:$A,0))="Max Ambition",Schedules!L$4,O52),O52),O52)</f>
        <v>0</v>
      </c>
      <c r="Q52" s="39">
        <f>MAX(IFERROR(IF(INDEX('State Map'!$C:$C,MATCH(TRIM('RZSPbS-psgr-ldv'!$A52),'State Map'!$A:$A,0))="Max Ambition",Schedules!M$4,P52),P52),P52)</f>
        <v>0</v>
      </c>
      <c r="R52" s="39">
        <f>MAX(IFERROR(IF(INDEX('State Map'!$C:$C,MATCH(TRIM('RZSPbS-psgr-ldv'!$A52),'State Map'!$A:$A,0))="Max Ambition",Schedules!N$4,Q52),Q52),Q52)</f>
        <v>0</v>
      </c>
      <c r="S52" s="39">
        <f>MAX(IFERROR(IF(INDEX('State Map'!$C:$C,MATCH(TRIM('RZSPbS-psgr-ldv'!$A52),'State Map'!$A:$A,0))="Max Ambition",Schedules!O$4,R52),R52),R52)</f>
        <v>0</v>
      </c>
      <c r="T52" s="39">
        <f>MAX(IFERROR(IF(INDEX('State Map'!$C:$C,MATCH(TRIM('RZSPbS-psgr-ldv'!$A52),'State Map'!$A:$A,0))="Max Ambition",Schedules!P$4,S52),S52),S52)</f>
        <v>0</v>
      </c>
      <c r="U52" s="39">
        <f>MAX(IFERROR(IF(INDEX('State Map'!$C:$C,MATCH(TRIM('RZSPbS-psgr-ldv'!$A52),'State Map'!$A:$A,0))="Max Ambition",Schedules!Q$4,T52),T52),T52)</f>
        <v>0</v>
      </c>
      <c r="V52" s="39">
        <f>MAX(IFERROR(IF(INDEX('State Map'!$C:$C,MATCH(TRIM('RZSPbS-psgr-ldv'!$A52),'State Map'!$A:$A,0))="Max Ambition",Schedules!R$4,U52),U52),U52)</f>
        <v>0</v>
      </c>
      <c r="W52" s="39">
        <f>MAX(IFERROR(IF(INDEX('State Map'!$C:$C,MATCH(TRIM('RZSPbS-psgr-ldv'!$A52),'State Map'!$A:$A,0))="Max Ambition",Schedules!S$4,V52),V52),V52)</f>
        <v>0</v>
      </c>
      <c r="X52" s="39">
        <f>MAX(IFERROR(IF(INDEX('State Map'!$C:$C,MATCH(TRIM('RZSPbS-psgr-ldv'!$A52),'State Map'!$A:$A,0))="Max Ambition",Schedules!T$4,W52),W52),W52)</f>
        <v>0</v>
      </c>
      <c r="Y52" s="39">
        <f>MAX(IFERROR(IF(INDEX('State Map'!$C:$C,MATCH(TRIM('RZSPbS-psgr-ldv'!$A52),'State Map'!$A:$A,0))="Max Ambition",Schedules!U$4,X52),X52),X52)</f>
        <v>0</v>
      </c>
      <c r="Z52" s="39">
        <f>MAX(IFERROR(IF(INDEX('State Map'!$C:$C,MATCH(TRIM('RZSPbS-psgr-ldv'!$A52),'State Map'!$A:$A,0))="Max Ambition",Schedules!V$4,Y52),Y52),Y52)</f>
        <v>0</v>
      </c>
      <c r="AA52" s="39">
        <f>MAX(IFERROR(IF(INDEX('State Map'!$C:$C,MATCH(TRIM('RZSPbS-psgr-ldv'!$A52),'State Map'!$A:$A,0))="Max Ambition",Schedules!W$4,Z52),Z52),Z52)</f>
        <v>0</v>
      </c>
      <c r="AB52" s="39">
        <f>MAX(IFERROR(IF(INDEX('State Map'!$C:$C,MATCH(TRIM('RZSPbS-psgr-ldv'!$A52),'State Map'!$A:$A,0))="Max Ambition",Schedules!X$4,AA52),AA52),AA52)</f>
        <v>0</v>
      </c>
      <c r="AC52" s="39">
        <f>MAX(IFERROR(IF(INDEX('State Map'!$C:$C,MATCH(TRIM('RZSPbS-psgr-ldv'!$A52),'State Map'!$A:$A,0))="Max Ambition",Schedules!Y$4,AB52),AB52),AB52)</f>
        <v>0</v>
      </c>
      <c r="AD52" s="39">
        <f>MAX(IFERROR(IF(INDEX('State Map'!$C:$C,MATCH(TRIM('RZSPbS-psgr-ldv'!$A52),'State Map'!$A:$A,0))="Max Ambition",Schedules!Z$4,AC52),AC52),AC52)</f>
        <v>0</v>
      </c>
      <c r="AE52" s="39">
        <f>MAX(IFERROR(IF(INDEX('State Map'!$C:$C,MATCH(TRIM('RZSPbS-psgr-ldv'!$A52),'State Map'!$A:$A,0))="Max Ambition",Schedules!AA$4,AD52),AD52),AD52)</f>
        <v>0</v>
      </c>
      <c r="AF52" s="39">
        <f>MAX(IFERROR(IF(INDEX('State Map'!$C:$C,MATCH(TRIM('RZSPbS-psgr-ldv'!$A52),'State Map'!$A:$A,0))="Max Ambition",Schedules!AB$4,AE52),AE52),AE52)</f>
        <v>0</v>
      </c>
    </row>
    <row r="53" spans="1:32" x14ac:dyDescent="0.25">
      <c r="A53" t="s">
        <v>52</v>
      </c>
      <c r="B53">
        <f>IF(AND(INDEX('CA Standards and Followers'!$E$7:$E$66,MATCH($A53,'CA Standards and Followers'!$A$7:$A$66,0))=1,INDEX('CA Standards and Followers'!$H$7:$H$66,MATCH($A53,'CA Standards and Followers'!$A$7:$A$66,0))&lt;=B$1),INDEX('CA Standards and Followers'!#REF!,MATCH(B$1,'CA Standards and Followers'!$1:$1,0)),IF(AND(INDEX('CA Standards and Followers'!$D$7:$D$66,MATCH($A53,'CA Standards and Followers'!$A$7:$A$66,0))=1,INDEX('CA Standards and Followers'!$G$7:$G$66,MATCH($A53,'CA Standards and Followers'!$A$7:$A$66,0))&lt;=B$1),INDEX('CA Standards and Followers'!$2:$2,MATCH(B$1,'CA Standards and Followers'!$1:$1,0)),0))</f>
        <v>0</v>
      </c>
      <c r="C53">
        <f>IF(AND(INDEX('CA Standards and Followers'!$E$7:$E$66,MATCH($A53,'CA Standards and Followers'!$A$7:$A$66,0))=1,INDEX('CA Standards and Followers'!$H$7:$H$66,MATCH($A53,'CA Standards and Followers'!$A$7:$A$66,0))&lt;=C$1),INDEX('CA Standards and Followers'!#REF!,MATCH(C$1,'CA Standards and Followers'!$1:$1,0)),IF(AND(INDEX('CA Standards and Followers'!$D$7:$D$66,MATCH($A53,'CA Standards and Followers'!$A$7:$A$66,0))=1,INDEX('CA Standards and Followers'!$G$7:$G$66,MATCH($A53,'CA Standards and Followers'!$A$7:$A$66,0))&lt;=C$1),INDEX('CA Standards and Followers'!$2:$2,MATCH(C$1,'CA Standards and Followers'!$1:$1,0)),0))</f>
        <v>0</v>
      </c>
      <c r="D53">
        <f>IF(AND(INDEX('CA Standards and Followers'!$E$7:$E$66,MATCH($A53,'CA Standards and Followers'!$A$7:$A$66,0))=1,INDEX('CA Standards and Followers'!$H$7:$H$66,MATCH($A53,'CA Standards and Followers'!$A$7:$A$66,0))&lt;=D$1),INDEX('CA Standards and Followers'!#REF!,MATCH(D$1,'CA Standards and Followers'!$1:$1,0)),IF(AND(INDEX('CA Standards and Followers'!$D$7:$D$66,MATCH($A53,'CA Standards and Followers'!$A$7:$A$66,0))=1,INDEX('CA Standards and Followers'!$G$7:$G$66,MATCH($A53,'CA Standards and Followers'!$A$7:$A$66,0))&lt;=D$1),INDEX('CA Standards and Followers'!$2:$2,MATCH(D$1,'CA Standards and Followers'!$1:$1,0)),0))</f>
        <v>0</v>
      </c>
      <c r="E53">
        <f>IF(AND(INDEX('CA Standards and Followers'!$E$7:$E$66,MATCH($A53,'CA Standards and Followers'!$A$7:$A$66,0))=1,INDEX('CA Standards and Followers'!$H$7:$H$66,MATCH($A53,'CA Standards and Followers'!$A$7:$A$66,0))&lt;=E$1),INDEX('CA Standards and Followers'!#REF!,MATCH(E$1,'CA Standards and Followers'!$1:$1,0)),IF(AND(INDEX('CA Standards and Followers'!$D$7:$D$66,MATCH($A53,'CA Standards and Followers'!$A$7:$A$66,0))=1,INDEX('CA Standards and Followers'!$G$7:$G$66,MATCH($A53,'CA Standards and Followers'!$A$7:$A$66,0))&lt;=E$1),INDEX('CA Standards and Followers'!$2:$2,MATCH(E$1,'CA Standards and Followers'!$1:$1,0)),0))</f>
        <v>0</v>
      </c>
      <c r="F53">
        <f>IF(AND(INDEX('CA Standards and Followers'!$E$7:$E$66,MATCH($A53,'CA Standards and Followers'!$A$7:$A$66,0))=1,INDEX('CA Standards and Followers'!$H$7:$H$66,MATCH($A53,'CA Standards and Followers'!$A$7:$A$66,0))&lt;=F$1),INDEX('CA Standards and Followers'!#REF!,MATCH(F$1,'CA Standards and Followers'!$1:$1,0)),IF(AND(INDEX('CA Standards and Followers'!$D$7:$D$66,MATCH($A53,'CA Standards and Followers'!$A$7:$A$66,0))=1,INDEX('CA Standards and Followers'!$G$7:$G$66,MATCH($A53,'CA Standards and Followers'!$A$7:$A$66,0))&lt;=F$1),INDEX('CA Standards and Followers'!$2:$2,MATCH(F$1,'CA Standards and Followers'!$1:$1,0)),0))</f>
        <v>0</v>
      </c>
      <c r="G53">
        <f>IF(AND(INDEX('CA Standards and Followers'!$E$7:$E$66,MATCH($A53,'CA Standards and Followers'!$A$7:$A$66,0))=1,INDEX('CA Standards and Followers'!$H$7:$H$66,MATCH($A53,'CA Standards and Followers'!$A$7:$A$66,0))&lt;=G$1),INDEX('CA Standards and Followers'!#REF!,MATCH(G$1,'CA Standards and Followers'!$1:$1,0)),IF(AND(INDEX('CA Standards and Followers'!$D$7:$D$66,MATCH($A53,'CA Standards and Followers'!$A$7:$A$66,0))=1,INDEX('CA Standards and Followers'!$G$7:$G$66,MATCH($A53,'CA Standards and Followers'!$A$7:$A$66,0))&lt;=G$1),INDEX('CA Standards and Followers'!$2:$2,MATCH(G$1,'CA Standards and Followers'!$1:$1,0)),0))</f>
        <v>0</v>
      </c>
      <c r="H53">
        <f>IF(AND(INDEX('CA Standards and Followers'!$E$7:$E$66,MATCH($A53,'CA Standards and Followers'!$A$7:$A$66,0))=1,INDEX('CA Standards and Followers'!$H$7:$H$66,MATCH($A53,'CA Standards and Followers'!$A$7:$A$66,0))&lt;=H$1),INDEX('CA Standards and Followers'!#REF!,MATCH(H$1,'CA Standards and Followers'!$1:$1,0)),IF(AND(INDEX('CA Standards and Followers'!$D$7:$D$66,MATCH($A53,'CA Standards and Followers'!$A$7:$A$66,0))=1,INDEX('CA Standards and Followers'!$G$7:$G$66,MATCH($A53,'CA Standards and Followers'!$A$7:$A$66,0))&lt;=H$1),INDEX('CA Standards and Followers'!$2:$2,MATCH(H$1,'CA Standards and Followers'!$1:$1,0)),0))</f>
        <v>0</v>
      </c>
      <c r="I53">
        <f>IF(AND(INDEX('CA Standards and Followers'!$E$7:$E$66,MATCH($A53,'CA Standards and Followers'!$A$7:$A$66,0))=1,INDEX('CA Standards and Followers'!$H$7:$H$66,MATCH($A53,'CA Standards and Followers'!$A$7:$A$66,0))&lt;=I$1),INDEX('CA Standards and Followers'!#REF!,MATCH(I$1,'CA Standards and Followers'!$1:$1,0)),IF(AND(INDEX('CA Standards and Followers'!$D$7:$D$66,MATCH($A53,'CA Standards and Followers'!$A$7:$A$66,0))=1,INDEX('CA Standards and Followers'!$G$7:$G$66,MATCH($A53,'CA Standards and Followers'!$A$7:$A$66,0))&lt;=I$1),INDEX('CA Standards and Followers'!$2:$2,MATCH(I$1,'CA Standards and Followers'!$1:$1,0)),0))</f>
        <v>0</v>
      </c>
      <c r="J53">
        <f>IF(AND(INDEX('CA Standards and Followers'!$E$7:$E$66,MATCH($A53,'CA Standards and Followers'!$A$7:$A$66,0))=1,INDEX('CA Standards and Followers'!$H$7:$H$66,MATCH($A53,'CA Standards and Followers'!$A$7:$A$66,0))&lt;=J$1),INDEX('CA Standards and Followers'!#REF!,MATCH(J$1,'CA Standards and Followers'!$1:$1,0)),IF(AND(INDEX('CA Standards and Followers'!$D$7:$D$66,MATCH($A53,'CA Standards and Followers'!$A$7:$A$66,0))=1,INDEX('CA Standards and Followers'!$G$7:$G$66,MATCH($A53,'CA Standards and Followers'!$A$7:$A$66,0))&lt;=J$1),INDEX('CA Standards and Followers'!$2:$2,MATCH(J$1,'CA Standards and Followers'!$1:$1,0)),0))</f>
        <v>0</v>
      </c>
      <c r="K53" s="39">
        <f>MAX(IFERROR(IF(INDEX('State Map'!$C:$C,MATCH(TRIM('RZSPbS-psgr-ldv'!$A53),'State Map'!$A:$A,0))="Max Ambition",Schedules!G$4,J53),J53),J53)</f>
        <v>0</v>
      </c>
      <c r="L53" s="39">
        <f>MAX(IFERROR(IF(INDEX('State Map'!$C:$C,MATCH(TRIM('RZSPbS-psgr-ldv'!$A53),'State Map'!$A:$A,0))="Max Ambition",Schedules!H$4,K53),K53),K53)</f>
        <v>0</v>
      </c>
      <c r="M53" s="39">
        <f>MAX(IFERROR(IF(INDEX('State Map'!$C:$C,MATCH(TRIM('RZSPbS-psgr-ldv'!$A53),'State Map'!$A:$A,0))="Max Ambition",Schedules!I$4,L53),L53),L53)</f>
        <v>0</v>
      </c>
      <c r="N53" s="39">
        <f>MAX(IFERROR(IF(INDEX('State Map'!$C:$C,MATCH(TRIM('RZSPbS-psgr-ldv'!$A53),'State Map'!$A:$A,0))="Max Ambition",Schedules!J$4,M53),M53),M53)</f>
        <v>0</v>
      </c>
      <c r="O53" s="39">
        <f>MAX(IFERROR(IF(INDEX('State Map'!$C:$C,MATCH(TRIM('RZSPbS-psgr-ldv'!$A53),'State Map'!$A:$A,0))="Max Ambition",Schedules!K$4,N53),N53),N53)</f>
        <v>0</v>
      </c>
      <c r="P53" s="39">
        <f>MAX(IFERROR(IF(INDEX('State Map'!$C:$C,MATCH(TRIM('RZSPbS-psgr-ldv'!$A53),'State Map'!$A:$A,0))="Max Ambition",Schedules!L$4,O53),O53),O53)</f>
        <v>0</v>
      </c>
      <c r="Q53" s="39">
        <f>MAX(IFERROR(IF(INDEX('State Map'!$C:$C,MATCH(TRIM('RZSPbS-psgr-ldv'!$A53),'State Map'!$A:$A,0))="Max Ambition",Schedules!M$4,P53),P53),P53)</f>
        <v>0</v>
      </c>
      <c r="R53" s="39">
        <f>MAX(IFERROR(IF(INDEX('State Map'!$C:$C,MATCH(TRIM('RZSPbS-psgr-ldv'!$A53),'State Map'!$A:$A,0))="Max Ambition",Schedules!N$4,Q53),Q53),Q53)</f>
        <v>0</v>
      </c>
      <c r="S53" s="39">
        <f>MAX(IFERROR(IF(INDEX('State Map'!$C:$C,MATCH(TRIM('RZSPbS-psgr-ldv'!$A53),'State Map'!$A:$A,0))="Max Ambition",Schedules!O$4,R53),R53),R53)</f>
        <v>0</v>
      </c>
      <c r="T53" s="39">
        <f>MAX(IFERROR(IF(INDEX('State Map'!$C:$C,MATCH(TRIM('RZSPbS-psgr-ldv'!$A53),'State Map'!$A:$A,0))="Max Ambition",Schedules!P$4,S53),S53),S53)</f>
        <v>0</v>
      </c>
      <c r="U53" s="39">
        <f>MAX(IFERROR(IF(INDEX('State Map'!$C:$C,MATCH(TRIM('RZSPbS-psgr-ldv'!$A53),'State Map'!$A:$A,0))="Max Ambition",Schedules!Q$4,T53),T53),T53)</f>
        <v>0</v>
      </c>
      <c r="V53" s="39">
        <f>MAX(IFERROR(IF(INDEX('State Map'!$C:$C,MATCH(TRIM('RZSPbS-psgr-ldv'!$A53),'State Map'!$A:$A,0))="Max Ambition",Schedules!R$4,U53),U53),U53)</f>
        <v>0</v>
      </c>
      <c r="W53" s="39">
        <f>MAX(IFERROR(IF(INDEX('State Map'!$C:$C,MATCH(TRIM('RZSPbS-psgr-ldv'!$A53),'State Map'!$A:$A,0))="Max Ambition",Schedules!S$4,V53),V53),V53)</f>
        <v>0</v>
      </c>
      <c r="X53" s="39">
        <f>MAX(IFERROR(IF(INDEX('State Map'!$C:$C,MATCH(TRIM('RZSPbS-psgr-ldv'!$A53),'State Map'!$A:$A,0))="Max Ambition",Schedules!T$4,W53),W53),W53)</f>
        <v>0</v>
      </c>
      <c r="Y53" s="39">
        <f>MAX(IFERROR(IF(INDEX('State Map'!$C:$C,MATCH(TRIM('RZSPbS-psgr-ldv'!$A53),'State Map'!$A:$A,0))="Max Ambition",Schedules!U$4,X53),X53),X53)</f>
        <v>0</v>
      </c>
      <c r="Z53" s="39">
        <f>MAX(IFERROR(IF(INDEX('State Map'!$C:$C,MATCH(TRIM('RZSPbS-psgr-ldv'!$A53),'State Map'!$A:$A,0))="Max Ambition",Schedules!V$4,Y53),Y53),Y53)</f>
        <v>0</v>
      </c>
      <c r="AA53" s="39">
        <f>MAX(IFERROR(IF(INDEX('State Map'!$C:$C,MATCH(TRIM('RZSPbS-psgr-ldv'!$A53),'State Map'!$A:$A,0))="Max Ambition",Schedules!W$4,Z53),Z53),Z53)</f>
        <v>0</v>
      </c>
      <c r="AB53" s="39">
        <f>MAX(IFERROR(IF(INDEX('State Map'!$C:$C,MATCH(TRIM('RZSPbS-psgr-ldv'!$A53),'State Map'!$A:$A,0))="Max Ambition",Schedules!X$4,AA53),AA53),AA53)</f>
        <v>0</v>
      </c>
      <c r="AC53" s="39">
        <f>MAX(IFERROR(IF(INDEX('State Map'!$C:$C,MATCH(TRIM('RZSPbS-psgr-ldv'!$A53),'State Map'!$A:$A,0))="Max Ambition",Schedules!Y$4,AB53),AB53),AB53)</f>
        <v>0</v>
      </c>
      <c r="AD53" s="39">
        <f>MAX(IFERROR(IF(INDEX('State Map'!$C:$C,MATCH(TRIM('RZSPbS-psgr-ldv'!$A53),'State Map'!$A:$A,0))="Max Ambition",Schedules!Z$4,AC53),AC53),AC53)</f>
        <v>0</v>
      </c>
      <c r="AE53" s="39">
        <f>MAX(IFERROR(IF(INDEX('State Map'!$C:$C,MATCH(TRIM('RZSPbS-psgr-ldv'!$A53),'State Map'!$A:$A,0))="Max Ambition",Schedules!AA$4,AD53),AD53),AD53)</f>
        <v>0</v>
      </c>
      <c r="AF53" s="39">
        <f>MAX(IFERROR(IF(INDEX('State Map'!$C:$C,MATCH(TRIM('RZSPbS-psgr-ldv'!$A53),'State Map'!$A:$A,0))="Max Ambition",Schedules!AB$4,AE53),AE53),AE53)</f>
        <v>0</v>
      </c>
    </row>
    <row r="54" spans="1:32" x14ac:dyDescent="0.25">
      <c r="A54" t="s">
        <v>53</v>
      </c>
      <c r="B54">
        <f>IF(AND(INDEX('CA Standards and Followers'!$E$7:$E$66,MATCH($A54,'CA Standards and Followers'!$A$7:$A$66,0))=1,INDEX('CA Standards and Followers'!$H$7:$H$66,MATCH($A54,'CA Standards and Followers'!$A$7:$A$66,0))&lt;=B$1),INDEX('CA Standards and Followers'!#REF!,MATCH(B$1,'CA Standards and Followers'!$1:$1,0)),IF(AND(INDEX('CA Standards and Followers'!$D$7:$D$66,MATCH($A54,'CA Standards and Followers'!$A$7:$A$66,0))=1,INDEX('CA Standards and Followers'!$G$7:$G$66,MATCH($A54,'CA Standards and Followers'!$A$7:$A$66,0))&lt;=B$1),INDEX('CA Standards and Followers'!$2:$2,MATCH(B$1,'CA Standards and Followers'!$1:$1,0)),0))</f>
        <v>0</v>
      </c>
      <c r="C54">
        <f>IF(AND(INDEX('CA Standards and Followers'!$E$7:$E$66,MATCH($A54,'CA Standards and Followers'!$A$7:$A$66,0))=1,INDEX('CA Standards and Followers'!$H$7:$H$66,MATCH($A54,'CA Standards and Followers'!$A$7:$A$66,0))&lt;=C$1),INDEX('CA Standards and Followers'!#REF!,MATCH(C$1,'CA Standards and Followers'!$1:$1,0)),IF(AND(INDEX('CA Standards and Followers'!$D$7:$D$66,MATCH($A54,'CA Standards and Followers'!$A$7:$A$66,0))=1,INDEX('CA Standards and Followers'!$G$7:$G$66,MATCH($A54,'CA Standards and Followers'!$A$7:$A$66,0))&lt;=C$1),INDEX('CA Standards and Followers'!$2:$2,MATCH(C$1,'CA Standards and Followers'!$1:$1,0)),0))</f>
        <v>0</v>
      </c>
      <c r="D54">
        <f>IF(AND(INDEX('CA Standards and Followers'!$E$7:$E$66,MATCH($A54,'CA Standards and Followers'!$A$7:$A$66,0))=1,INDEX('CA Standards and Followers'!$H$7:$H$66,MATCH($A54,'CA Standards and Followers'!$A$7:$A$66,0))&lt;=D$1),INDEX('CA Standards and Followers'!#REF!,MATCH(D$1,'CA Standards and Followers'!$1:$1,0)),IF(AND(INDEX('CA Standards and Followers'!$D$7:$D$66,MATCH($A54,'CA Standards and Followers'!$A$7:$A$66,0))=1,INDEX('CA Standards and Followers'!$G$7:$G$66,MATCH($A54,'CA Standards and Followers'!$A$7:$A$66,0))&lt;=D$1),INDEX('CA Standards and Followers'!$2:$2,MATCH(D$1,'CA Standards and Followers'!$1:$1,0)),0))</f>
        <v>0</v>
      </c>
      <c r="E54">
        <f>IF(AND(INDEX('CA Standards and Followers'!$E$7:$E$66,MATCH($A54,'CA Standards and Followers'!$A$7:$A$66,0))=1,INDEX('CA Standards and Followers'!$H$7:$H$66,MATCH($A54,'CA Standards and Followers'!$A$7:$A$66,0))&lt;=E$1),INDEX('CA Standards and Followers'!#REF!,MATCH(E$1,'CA Standards and Followers'!$1:$1,0)),IF(AND(INDEX('CA Standards and Followers'!$D$7:$D$66,MATCH($A54,'CA Standards and Followers'!$A$7:$A$66,0))=1,INDEX('CA Standards and Followers'!$G$7:$G$66,MATCH($A54,'CA Standards and Followers'!$A$7:$A$66,0))&lt;=E$1),INDEX('CA Standards and Followers'!$2:$2,MATCH(E$1,'CA Standards and Followers'!$1:$1,0)),0))</f>
        <v>0</v>
      </c>
      <c r="F54">
        <f>IF(AND(INDEX('CA Standards and Followers'!$E$7:$E$66,MATCH($A54,'CA Standards and Followers'!$A$7:$A$66,0))=1,INDEX('CA Standards and Followers'!$H$7:$H$66,MATCH($A54,'CA Standards and Followers'!$A$7:$A$66,0))&lt;=F$1),INDEX('CA Standards and Followers'!#REF!,MATCH(F$1,'CA Standards and Followers'!$1:$1,0)),IF(AND(INDEX('CA Standards and Followers'!$D$7:$D$66,MATCH($A54,'CA Standards and Followers'!$A$7:$A$66,0))=1,INDEX('CA Standards and Followers'!$G$7:$G$66,MATCH($A54,'CA Standards and Followers'!$A$7:$A$66,0))&lt;=F$1),INDEX('CA Standards and Followers'!$2:$2,MATCH(F$1,'CA Standards and Followers'!$1:$1,0)),0))</f>
        <v>0</v>
      </c>
      <c r="G54">
        <f>IF(AND(INDEX('CA Standards and Followers'!$E$7:$E$66,MATCH($A54,'CA Standards and Followers'!$A$7:$A$66,0))=1,INDEX('CA Standards and Followers'!$H$7:$H$66,MATCH($A54,'CA Standards and Followers'!$A$7:$A$66,0))&lt;=G$1),INDEX('CA Standards and Followers'!#REF!,MATCH(G$1,'CA Standards and Followers'!$1:$1,0)),IF(AND(INDEX('CA Standards and Followers'!$D$7:$D$66,MATCH($A54,'CA Standards and Followers'!$A$7:$A$66,0))=1,INDEX('CA Standards and Followers'!$G$7:$G$66,MATCH($A54,'CA Standards and Followers'!$A$7:$A$66,0))&lt;=G$1),INDEX('CA Standards and Followers'!$2:$2,MATCH(G$1,'CA Standards and Followers'!$1:$1,0)),0))</f>
        <v>0</v>
      </c>
      <c r="H54">
        <f>IF(AND(INDEX('CA Standards and Followers'!$E$7:$E$66,MATCH($A54,'CA Standards and Followers'!$A$7:$A$66,0))=1,INDEX('CA Standards and Followers'!$H$7:$H$66,MATCH($A54,'CA Standards and Followers'!$A$7:$A$66,0))&lt;=H$1),INDEX('CA Standards and Followers'!#REF!,MATCH(H$1,'CA Standards and Followers'!$1:$1,0)),IF(AND(INDEX('CA Standards and Followers'!$D$7:$D$66,MATCH($A54,'CA Standards and Followers'!$A$7:$A$66,0))=1,INDEX('CA Standards and Followers'!$G$7:$G$66,MATCH($A54,'CA Standards and Followers'!$A$7:$A$66,0))&lt;=H$1),INDEX('CA Standards and Followers'!$2:$2,MATCH(H$1,'CA Standards and Followers'!$1:$1,0)),0))</f>
        <v>0</v>
      </c>
      <c r="I54">
        <f>IF(AND(INDEX('CA Standards and Followers'!$E$7:$E$66,MATCH($A54,'CA Standards and Followers'!$A$7:$A$66,0))=1,INDEX('CA Standards and Followers'!$H$7:$H$66,MATCH($A54,'CA Standards and Followers'!$A$7:$A$66,0))&lt;=I$1),INDEX('CA Standards and Followers'!#REF!,MATCH(I$1,'CA Standards and Followers'!$1:$1,0)),IF(AND(INDEX('CA Standards and Followers'!$D$7:$D$66,MATCH($A54,'CA Standards and Followers'!$A$7:$A$66,0))=1,INDEX('CA Standards and Followers'!$G$7:$G$66,MATCH($A54,'CA Standards and Followers'!$A$7:$A$66,0))&lt;=I$1),INDEX('CA Standards and Followers'!$2:$2,MATCH(I$1,'CA Standards and Followers'!$1:$1,0)),0))</f>
        <v>0</v>
      </c>
      <c r="J54">
        <f>IF(AND(INDEX('CA Standards and Followers'!$E$7:$E$66,MATCH($A54,'CA Standards and Followers'!$A$7:$A$66,0))=1,INDEX('CA Standards and Followers'!$H$7:$H$66,MATCH($A54,'CA Standards and Followers'!$A$7:$A$66,0))&lt;=J$1),INDEX('CA Standards and Followers'!#REF!,MATCH(J$1,'CA Standards and Followers'!$1:$1,0)),IF(AND(INDEX('CA Standards and Followers'!$D$7:$D$66,MATCH($A54,'CA Standards and Followers'!$A$7:$A$66,0))=1,INDEX('CA Standards and Followers'!$G$7:$G$66,MATCH($A54,'CA Standards and Followers'!$A$7:$A$66,0))&lt;=J$1),INDEX('CA Standards and Followers'!$2:$2,MATCH(J$1,'CA Standards and Followers'!$1:$1,0)),0))</f>
        <v>0</v>
      </c>
      <c r="K54" s="39">
        <f>MAX(IFERROR(IF(INDEX('State Map'!$C:$C,MATCH(TRIM('RZSPbS-psgr-ldv'!$A54),'State Map'!$A:$A,0))="Max Ambition",Schedules!G$4,J54),J54),J54)</f>
        <v>0</v>
      </c>
      <c r="L54" s="39">
        <f>MAX(IFERROR(IF(INDEX('State Map'!$C:$C,MATCH(TRIM('RZSPbS-psgr-ldv'!$A54),'State Map'!$A:$A,0))="Max Ambition",Schedules!H$4,K54),K54),K54)</f>
        <v>0</v>
      </c>
      <c r="M54" s="39">
        <f>MAX(IFERROR(IF(INDEX('State Map'!$C:$C,MATCH(TRIM('RZSPbS-psgr-ldv'!$A54),'State Map'!$A:$A,0))="Max Ambition",Schedules!I$4,L54),L54),L54)</f>
        <v>0</v>
      </c>
      <c r="N54" s="39">
        <f>MAX(IFERROR(IF(INDEX('State Map'!$C:$C,MATCH(TRIM('RZSPbS-psgr-ldv'!$A54),'State Map'!$A:$A,0))="Max Ambition",Schedules!J$4,M54),M54),M54)</f>
        <v>0</v>
      </c>
      <c r="O54" s="39">
        <f>MAX(IFERROR(IF(INDEX('State Map'!$C:$C,MATCH(TRIM('RZSPbS-psgr-ldv'!$A54),'State Map'!$A:$A,0))="Max Ambition",Schedules!K$4,N54),N54),N54)</f>
        <v>0</v>
      </c>
      <c r="P54" s="39">
        <f>MAX(IFERROR(IF(INDEX('State Map'!$C:$C,MATCH(TRIM('RZSPbS-psgr-ldv'!$A54),'State Map'!$A:$A,0))="Max Ambition",Schedules!L$4,O54),O54),O54)</f>
        <v>0</v>
      </c>
      <c r="Q54" s="39">
        <f>MAX(IFERROR(IF(INDEX('State Map'!$C:$C,MATCH(TRIM('RZSPbS-psgr-ldv'!$A54),'State Map'!$A:$A,0))="Max Ambition",Schedules!M$4,P54),P54),P54)</f>
        <v>0</v>
      </c>
      <c r="R54" s="39">
        <f>MAX(IFERROR(IF(INDEX('State Map'!$C:$C,MATCH(TRIM('RZSPbS-psgr-ldv'!$A54),'State Map'!$A:$A,0))="Max Ambition",Schedules!N$4,Q54),Q54),Q54)</f>
        <v>0</v>
      </c>
      <c r="S54" s="39">
        <f>MAX(IFERROR(IF(INDEX('State Map'!$C:$C,MATCH(TRIM('RZSPbS-psgr-ldv'!$A54),'State Map'!$A:$A,0))="Max Ambition",Schedules!O$4,R54),R54),R54)</f>
        <v>0</v>
      </c>
      <c r="T54" s="39">
        <f>MAX(IFERROR(IF(INDEX('State Map'!$C:$C,MATCH(TRIM('RZSPbS-psgr-ldv'!$A54),'State Map'!$A:$A,0))="Max Ambition",Schedules!P$4,S54),S54),S54)</f>
        <v>0</v>
      </c>
      <c r="U54" s="39">
        <f>MAX(IFERROR(IF(INDEX('State Map'!$C:$C,MATCH(TRIM('RZSPbS-psgr-ldv'!$A54),'State Map'!$A:$A,0))="Max Ambition",Schedules!Q$4,T54),T54),T54)</f>
        <v>0</v>
      </c>
      <c r="V54" s="39">
        <f>MAX(IFERROR(IF(INDEX('State Map'!$C:$C,MATCH(TRIM('RZSPbS-psgr-ldv'!$A54),'State Map'!$A:$A,0))="Max Ambition",Schedules!R$4,U54),U54),U54)</f>
        <v>0</v>
      </c>
      <c r="W54" s="39">
        <f>MAX(IFERROR(IF(INDEX('State Map'!$C:$C,MATCH(TRIM('RZSPbS-psgr-ldv'!$A54),'State Map'!$A:$A,0))="Max Ambition",Schedules!S$4,V54),V54),V54)</f>
        <v>0</v>
      </c>
      <c r="X54" s="39">
        <f>MAX(IFERROR(IF(INDEX('State Map'!$C:$C,MATCH(TRIM('RZSPbS-psgr-ldv'!$A54),'State Map'!$A:$A,0))="Max Ambition",Schedules!T$4,W54),W54),W54)</f>
        <v>0</v>
      </c>
      <c r="Y54" s="39">
        <f>MAX(IFERROR(IF(INDEX('State Map'!$C:$C,MATCH(TRIM('RZSPbS-psgr-ldv'!$A54),'State Map'!$A:$A,0))="Max Ambition",Schedules!U$4,X54),X54),X54)</f>
        <v>0</v>
      </c>
      <c r="Z54" s="39">
        <f>MAX(IFERROR(IF(INDEX('State Map'!$C:$C,MATCH(TRIM('RZSPbS-psgr-ldv'!$A54),'State Map'!$A:$A,0))="Max Ambition",Schedules!V$4,Y54),Y54),Y54)</f>
        <v>0</v>
      </c>
      <c r="AA54" s="39">
        <f>MAX(IFERROR(IF(INDEX('State Map'!$C:$C,MATCH(TRIM('RZSPbS-psgr-ldv'!$A54),'State Map'!$A:$A,0))="Max Ambition",Schedules!W$4,Z54),Z54),Z54)</f>
        <v>0</v>
      </c>
      <c r="AB54" s="39">
        <f>MAX(IFERROR(IF(INDEX('State Map'!$C:$C,MATCH(TRIM('RZSPbS-psgr-ldv'!$A54),'State Map'!$A:$A,0))="Max Ambition",Schedules!X$4,AA54),AA54),AA54)</f>
        <v>0</v>
      </c>
      <c r="AC54" s="39">
        <f>MAX(IFERROR(IF(INDEX('State Map'!$C:$C,MATCH(TRIM('RZSPbS-psgr-ldv'!$A54),'State Map'!$A:$A,0))="Max Ambition",Schedules!Y$4,AB54),AB54),AB54)</f>
        <v>0</v>
      </c>
      <c r="AD54" s="39">
        <f>MAX(IFERROR(IF(INDEX('State Map'!$C:$C,MATCH(TRIM('RZSPbS-psgr-ldv'!$A54),'State Map'!$A:$A,0))="Max Ambition",Schedules!Z$4,AC54),AC54),AC54)</f>
        <v>0</v>
      </c>
      <c r="AE54" s="39">
        <f>MAX(IFERROR(IF(INDEX('State Map'!$C:$C,MATCH(TRIM('RZSPbS-psgr-ldv'!$A54),'State Map'!$A:$A,0))="Max Ambition",Schedules!AA$4,AD54),AD54),AD54)</f>
        <v>0</v>
      </c>
      <c r="AF54" s="39">
        <f>MAX(IFERROR(IF(INDEX('State Map'!$C:$C,MATCH(TRIM('RZSPbS-psgr-ldv'!$A54),'State Map'!$A:$A,0))="Max Ambition",Schedules!AB$4,AE54),AE54),AE54)</f>
        <v>0</v>
      </c>
    </row>
    <row r="55" spans="1:32" x14ac:dyDescent="0.25">
      <c r="A55" t="s">
        <v>54</v>
      </c>
      <c r="B55">
        <f>IF(AND(INDEX('CA Standards and Followers'!$E$7:$E$66,MATCH($A55,'CA Standards and Followers'!$A$7:$A$66,0))=1,INDEX('CA Standards and Followers'!$H$7:$H$66,MATCH($A55,'CA Standards and Followers'!$A$7:$A$66,0))&lt;=B$1),INDEX('CA Standards and Followers'!#REF!,MATCH(B$1,'CA Standards and Followers'!$1:$1,0)),IF(AND(INDEX('CA Standards and Followers'!$D$7:$D$66,MATCH($A55,'CA Standards and Followers'!$A$7:$A$66,0))=1,INDEX('CA Standards and Followers'!$G$7:$G$66,MATCH($A55,'CA Standards and Followers'!$A$7:$A$66,0))&lt;=B$1),INDEX('CA Standards and Followers'!$2:$2,MATCH(B$1,'CA Standards and Followers'!$1:$1,0)),0))</f>
        <v>0</v>
      </c>
      <c r="C55">
        <f>IF(AND(INDEX('CA Standards and Followers'!$E$7:$E$66,MATCH($A55,'CA Standards and Followers'!$A$7:$A$66,0))=1,INDEX('CA Standards and Followers'!$H$7:$H$66,MATCH($A55,'CA Standards and Followers'!$A$7:$A$66,0))&lt;=C$1),INDEX('CA Standards and Followers'!#REF!,MATCH(C$1,'CA Standards and Followers'!$1:$1,0)),IF(AND(INDEX('CA Standards and Followers'!$D$7:$D$66,MATCH($A55,'CA Standards and Followers'!$A$7:$A$66,0))=1,INDEX('CA Standards and Followers'!$G$7:$G$66,MATCH($A55,'CA Standards and Followers'!$A$7:$A$66,0))&lt;=C$1),INDEX('CA Standards and Followers'!$2:$2,MATCH(C$1,'CA Standards and Followers'!$1:$1,0)),0))</f>
        <v>0</v>
      </c>
      <c r="D55">
        <f>IF(AND(INDEX('CA Standards and Followers'!$E$7:$E$66,MATCH($A55,'CA Standards and Followers'!$A$7:$A$66,0))=1,INDEX('CA Standards and Followers'!$H$7:$H$66,MATCH($A55,'CA Standards and Followers'!$A$7:$A$66,0))&lt;=D$1),INDEX('CA Standards and Followers'!#REF!,MATCH(D$1,'CA Standards and Followers'!$1:$1,0)),IF(AND(INDEX('CA Standards and Followers'!$D$7:$D$66,MATCH($A55,'CA Standards and Followers'!$A$7:$A$66,0))=1,INDEX('CA Standards and Followers'!$G$7:$G$66,MATCH($A55,'CA Standards and Followers'!$A$7:$A$66,0))&lt;=D$1),INDEX('CA Standards and Followers'!$2:$2,MATCH(D$1,'CA Standards and Followers'!$1:$1,0)),0))</f>
        <v>0</v>
      </c>
      <c r="E55">
        <f>IF(AND(INDEX('CA Standards and Followers'!$E$7:$E$66,MATCH($A55,'CA Standards and Followers'!$A$7:$A$66,0))=1,INDEX('CA Standards and Followers'!$H$7:$H$66,MATCH($A55,'CA Standards and Followers'!$A$7:$A$66,0))&lt;=E$1),INDEX('CA Standards and Followers'!#REF!,MATCH(E$1,'CA Standards and Followers'!$1:$1,0)),IF(AND(INDEX('CA Standards and Followers'!$D$7:$D$66,MATCH($A55,'CA Standards and Followers'!$A$7:$A$66,0))=1,INDEX('CA Standards and Followers'!$G$7:$G$66,MATCH($A55,'CA Standards and Followers'!$A$7:$A$66,0))&lt;=E$1),INDEX('CA Standards and Followers'!$2:$2,MATCH(E$1,'CA Standards and Followers'!$1:$1,0)),0))</f>
        <v>0</v>
      </c>
      <c r="F55">
        <f>IF(AND(INDEX('CA Standards and Followers'!$E$7:$E$66,MATCH($A55,'CA Standards and Followers'!$A$7:$A$66,0))=1,INDEX('CA Standards and Followers'!$H$7:$H$66,MATCH($A55,'CA Standards and Followers'!$A$7:$A$66,0))&lt;=F$1),INDEX('CA Standards and Followers'!#REF!,MATCH(F$1,'CA Standards and Followers'!$1:$1,0)),IF(AND(INDEX('CA Standards and Followers'!$D$7:$D$66,MATCH($A55,'CA Standards and Followers'!$A$7:$A$66,0))=1,INDEX('CA Standards and Followers'!$G$7:$G$66,MATCH($A55,'CA Standards and Followers'!$A$7:$A$66,0))&lt;=F$1),INDEX('CA Standards and Followers'!$2:$2,MATCH(F$1,'CA Standards and Followers'!$1:$1,0)),0))</f>
        <v>0</v>
      </c>
      <c r="G55">
        <f>IF(AND(INDEX('CA Standards and Followers'!$E$7:$E$66,MATCH($A55,'CA Standards and Followers'!$A$7:$A$66,0))=1,INDEX('CA Standards and Followers'!$H$7:$H$66,MATCH($A55,'CA Standards and Followers'!$A$7:$A$66,0))&lt;=G$1),INDEX('CA Standards and Followers'!#REF!,MATCH(G$1,'CA Standards and Followers'!$1:$1,0)),IF(AND(INDEX('CA Standards and Followers'!$D$7:$D$66,MATCH($A55,'CA Standards and Followers'!$A$7:$A$66,0))=1,INDEX('CA Standards and Followers'!$G$7:$G$66,MATCH($A55,'CA Standards and Followers'!$A$7:$A$66,0))&lt;=G$1),INDEX('CA Standards and Followers'!$2:$2,MATCH(G$1,'CA Standards and Followers'!$1:$1,0)),0))</f>
        <v>0</v>
      </c>
      <c r="H55">
        <f>IF(AND(INDEX('CA Standards and Followers'!$E$7:$E$66,MATCH($A55,'CA Standards and Followers'!$A$7:$A$66,0))=1,INDEX('CA Standards and Followers'!$H$7:$H$66,MATCH($A55,'CA Standards and Followers'!$A$7:$A$66,0))&lt;=H$1),INDEX('CA Standards and Followers'!#REF!,MATCH(H$1,'CA Standards and Followers'!$1:$1,0)),IF(AND(INDEX('CA Standards and Followers'!$D$7:$D$66,MATCH($A55,'CA Standards and Followers'!$A$7:$A$66,0))=1,INDEX('CA Standards and Followers'!$G$7:$G$66,MATCH($A55,'CA Standards and Followers'!$A$7:$A$66,0))&lt;=H$1),INDEX('CA Standards and Followers'!$2:$2,MATCH(H$1,'CA Standards and Followers'!$1:$1,0)),0))</f>
        <v>0</v>
      </c>
      <c r="I55">
        <f>IF(AND(INDEX('CA Standards and Followers'!$E$7:$E$66,MATCH($A55,'CA Standards and Followers'!$A$7:$A$66,0))=1,INDEX('CA Standards and Followers'!$H$7:$H$66,MATCH($A55,'CA Standards and Followers'!$A$7:$A$66,0))&lt;=I$1),INDEX('CA Standards and Followers'!#REF!,MATCH(I$1,'CA Standards and Followers'!$1:$1,0)),IF(AND(INDEX('CA Standards and Followers'!$D$7:$D$66,MATCH($A55,'CA Standards and Followers'!$A$7:$A$66,0))=1,INDEX('CA Standards and Followers'!$G$7:$G$66,MATCH($A55,'CA Standards and Followers'!$A$7:$A$66,0))&lt;=I$1),INDEX('CA Standards and Followers'!$2:$2,MATCH(I$1,'CA Standards and Followers'!$1:$1,0)),0))</f>
        <v>0</v>
      </c>
      <c r="J55">
        <f>IF(AND(INDEX('CA Standards and Followers'!$E$7:$E$66,MATCH($A55,'CA Standards and Followers'!$A$7:$A$66,0))=1,INDEX('CA Standards and Followers'!$H$7:$H$66,MATCH($A55,'CA Standards and Followers'!$A$7:$A$66,0))&lt;=J$1),INDEX('CA Standards and Followers'!#REF!,MATCH(J$1,'CA Standards and Followers'!$1:$1,0)),IF(AND(INDEX('CA Standards and Followers'!$D$7:$D$66,MATCH($A55,'CA Standards and Followers'!$A$7:$A$66,0))=1,INDEX('CA Standards and Followers'!$G$7:$G$66,MATCH($A55,'CA Standards and Followers'!$A$7:$A$66,0))&lt;=J$1),INDEX('CA Standards and Followers'!$2:$2,MATCH(J$1,'CA Standards and Followers'!$1:$1,0)),0))</f>
        <v>0</v>
      </c>
      <c r="K55" s="39">
        <f>MAX(IFERROR(IF(INDEX('State Map'!$C:$C,MATCH(TRIM('RZSPbS-psgr-ldv'!$A55),'State Map'!$A:$A,0))="Max Ambition",Schedules!G$4,J55),J55),J55)</f>
        <v>0</v>
      </c>
      <c r="L55" s="39">
        <f>MAX(IFERROR(IF(INDEX('State Map'!$C:$C,MATCH(TRIM('RZSPbS-psgr-ldv'!$A55),'State Map'!$A:$A,0))="Max Ambition",Schedules!H$4,K55),K55),K55)</f>
        <v>0</v>
      </c>
      <c r="M55" s="39">
        <f>MAX(IFERROR(IF(INDEX('State Map'!$C:$C,MATCH(TRIM('RZSPbS-psgr-ldv'!$A55),'State Map'!$A:$A,0))="Max Ambition",Schedules!I$4,L55),L55),L55)</f>
        <v>0</v>
      </c>
      <c r="N55" s="39">
        <f>MAX(IFERROR(IF(INDEX('State Map'!$C:$C,MATCH(TRIM('RZSPbS-psgr-ldv'!$A55),'State Map'!$A:$A,0))="Max Ambition",Schedules!J$4,M55),M55),M55)</f>
        <v>0</v>
      </c>
      <c r="O55" s="39">
        <f>MAX(IFERROR(IF(INDEX('State Map'!$C:$C,MATCH(TRIM('RZSPbS-psgr-ldv'!$A55),'State Map'!$A:$A,0))="Max Ambition",Schedules!K$4,N55),N55),N55)</f>
        <v>0</v>
      </c>
      <c r="P55" s="39">
        <f>MAX(IFERROR(IF(INDEX('State Map'!$C:$C,MATCH(TRIM('RZSPbS-psgr-ldv'!$A55),'State Map'!$A:$A,0))="Max Ambition",Schedules!L$4,O55),O55),O55)</f>
        <v>0</v>
      </c>
      <c r="Q55" s="39">
        <f>MAX(IFERROR(IF(INDEX('State Map'!$C:$C,MATCH(TRIM('RZSPbS-psgr-ldv'!$A55),'State Map'!$A:$A,0))="Max Ambition",Schedules!M$4,P55),P55),P55)</f>
        <v>0</v>
      </c>
      <c r="R55" s="39">
        <f>MAX(IFERROR(IF(INDEX('State Map'!$C:$C,MATCH(TRIM('RZSPbS-psgr-ldv'!$A55),'State Map'!$A:$A,0))="Max Ambition",Schedules!N$4,Q55),Q55),Q55)</f>
        <v>0</v>
      </c>
      <c r="S55" s="39">
        <f>MAX(IFERROR(IF(INDEX('State Map'!$C:$C,MATCH(TRIM('RZSPbS-psgr-ldv'!$A55),'State Map'!$A:$A,0))="Max Ambition",Schedules!O$4,R55),R55),R55)</f>
        <v>0</v>
      </c>
      <c r="T55" s="39">
        <f>MAX(IFERROR(IF(INDEX('State Map'!$C:$C,MATCH(TRIM('RZSPbS-psgr-ldv'!$A55),'State Map'!$A:$A,0))="Max Ambition",Schedules!P$4,S55),S55),S55)</f>
        <v>0</v>
      </c>
      <c r="U55" s="39">
        <f>MAX(IFERROR(IF(INDEX('State Map'!$C:$C,MATCH(TRIM('RZSPbS-psgr-ldv'!$A55),'State Map'!$A:$A,0))="Max Ambition",Schedules!Q$4,T55),T55),T55)</f>
        <v>0</v>
      </c>
      <c r="V55" s="39">
        <f>MAX(IFERROR(IF(INDEX('State Map'!$C:$C,MATCH(TRIM('RZSPbS-psgr-ldv'!$A55),'State Map'!$A:$A,0))="Max Ambition",Schedules!R$4,U55),U55),U55)</f>
        <v>0</v>
      </c>
      <c r="W55" s="39">
        <f>MAX(IFERROR(IF(INDEX('State Map'!$C:$C,MATCH(TRIM('RZSPbS-psgr-ldv'!$A55),'State Map'!$A:$A,0))="Max Ambition",Schedules!S$4,V55),V55),V55)</f>
        <v>0</v>
      </c>
      <c r="X55" s="39">
        <f>MAX(IFERROR(IF(INDEX('State Map'!$C:$C,MATCH(TRIM('RZSPbS-psgr-ldv'!$A55),'State Map'!$A:$A,0))="Max Ambition",Schedules!T$4,W55),W55),W55)</f>
        <v>0</v>
      </c>
      <c r="Y55" s="39">
        <f>MAX(IFERROR(IF(INDEX('State Map'!$C:$C,MATCH(TRIM('RZSPbS-psgr-ldv'!$A55),'State Map'!$A:$A,0))="Max Ambition",Schedules!U$4,X55),X55),X55)</f>
        <v>0</v>
      </c>
      <c r="Z55" s="39">
        <f>MAX(IFERROR(IF(INDEX('State Map'!$C:$C,MATCH(TRIM('RZSPbS-psgr-ldv'!$A55),'State Map'!$A:$A,0))="Max Ambition",Schedules!V$4,Y55),Y55),Y55)</f>
        <v>0</v>
      </c>
      <c r="AA55" s="39">
        <f>MAX(IFERROR(IF(INDEX('State Map'!$C:$C,MATCH(TRIM('RZSPbS-psgr-ldv'!$A55),'State Map'!$A:$A,0))="Max Ambition",Schedules!W$4,Z55),Z55),Z55)</f>
        <v>0</v>
      </c>
      <c r="AB55" s="39">
        <f>MAX(IFERROR(IF(INDEX('State Map'!$C:$C,MATCH(TRIM('RZSPbS-psgr-ldv'!$A55),'State Map'!$A:$A,0))="Max Ambition",Schedules!X$4,AA55),AA55),AA55)</f>
        <v>0</v>
      </c>
      <c r="AC55" s="39">
        <f>MAX(IFERROR(IF(INDEX('State Map'!$C:$C,MATCH(TRIM('RZSPbS-psgr-ldv'!$A55),'State Map'!$A:$A,0))="Max Ambition",Schedules!Y$4,AB55),AB55),AB55)</f>
        <v>0</v>
      </c>
      <c r="AD55" s="39">
        <f>MAX(IFERROR(IF(INDEX('State Map'!$C:$C,MATCH(TRIM('RZSPbS-psgr-ldv'!$A55),'State Map'!$A:$A,0))="Max Ambition",Schedules!Z$4,AC55),AC55),AC55)</f>
        <v>0</v>
      </c>
      <c r="AE55" s="39">
        <f>MAX(IFERROR(IF(INDEX('State Map'!$C:$C,MATCH(TRIM('RZSPbS-psgr-ldv'!$A55),'State Map'!$A:$A,0))="Max Ambition",Schedules!AA$4,AD55),AD55),AD55)</f>
        <v>0</v>
      </c>
      <c r="AF55" s="39">
        <f>MAX(IFERROR(IF(INDEX('State Map'!$C:$C,MATCH(TRIM('RZSPbS-psgr-ldv'!$A55),'State Map'!$A:$A,0))="Max Ambition",Schedules!AB$4,AE55),AE55),AE55)</f>
        <v>0</v>
      </c>
    </row>
    <row r="56" spans="1:32" x14ac:dyDescent="0.25">
      <c r="A56" t="s">
        <v>55</v>
      </c>
      <c r="B56">
        <f>IF(AND(INDEX('CA Standards and Followers'!$E$7:$E$66,MATCH($A56,'CA Standards and Followers'!$A$7:$A$66,0))=1,INDEX('CA Standards and Followers'!$H$7:$H$66,MATCH($A56,'CA Standards and Followers'!$A$7:$A$66,0))&lt;=B$1),INDEX('CA Standards and Followers'!#REF!,MATCH(B$1,'CA Standards and Followers'!$1:$1,0)),IF(AND(INDEX('CA Standards and Followers'!$D$7:$D$66,MATCH($A56,'CA Standards and Followers'!$A$7:$A$66,0))=1,INDEX('CA Standards and Followers'!$G$7:$G$66,MATCH($A56,'CA Standards and Followers'!$A$7:$A$66,0))&lt;=B$1),INDEX('CA Standards and Followers'!$2:$2,MATCH(B$1,'CA Standards and Followers'!$1:$1,0)),0))</f>
        <v>0</v>
      </c>
      <c r="C56">
        <f>IF(AND(INDEX('CA Standards and Followers'!$E$7:$E$66,MATCH($A56,'CA Standards and Followers'!$A$7:$A$66,0))=1,INDEX('CA Standards and Followers'!$H$7:$H$66,MATCH($A56,'CA Standards and Followers'!$A$7:$A$66,0))&lt;=C$1),INDEX('CA Standards and Followers'!#REF!,MATCH(C$1,'CA Standards and Followers'!$1:$1,0)),IF(AND(INDEX('CA Standards and Followers'!$D$7:$D$66,MATCH($A56,'CA Standards and Followers'!$A$7:$A$66,0))=1,INDEX('CA Standards and Followers'!$G$7:$G$66,MATCH($A56,'CA Standards and Followers'!$A$7:$A$66,0))&lt;=C$1),INDEX('CA Standards and Followers'!$2:$2,MATCH(C$1,'CA Standards and Followers'!$1:$1,0)),0))</f>
        <v>0</v>
      </c>
      <c r="D56">
        <f>IF(AND(INDEX('CA Standards and Followers'!$E$7:$E$66,MATCH($A56,'CA Standards and Followers'!$A$7:$A$66,0))=1,INDEX('CA Standards and Followers'!$H$7:$H$66,MATCH($A56,'CA Standards and Followers'!$A$7:$A$66,0))&lt;=D$1),INDEX('CA Standards and Followers'!#REF!,MATCH(D$1,'CA Standards and Followers'!$1:$1,0)),IF(AND(INDEX('CA Standards and Followers'!$D$7:$D$66,MATCH($A56,'CA Standards and Followers'!$A$7:$A$66,0))=1,INDEX('CA Standards and Followers'!$G$7:$G$66,MATCH($A56,'CA Standards and Followers'!$A$7:$A$66,0))&lt;=D$1),INDEX('CA Standards and Followers'!$2:$2,MATCH(D$1,'CA Standards and Followers'!$1:$1,0)),0))</f>
        <v>0</v>
      </c>
      <c r="E56">
        <f>IF(AND(INDEX('CA Standards and Followers'!$E$7:$E$66,MATCH($A56,'CA Standards and Followers'!$A$7:$A$66,0))=1,INDEX('CA Standards and Followers'!$H$7:$H$66,MATCH($A56,'CA Standards and Followers'!$A$7:$A$66,0))&lt;=E$1),INDEX('CA Standards and Followers'!#REF!,MATCH(E$1,'CA Standards and Followers'!$1:$1,0)),IF(AND(INDEX('CA Standards and Followers'!$D$7:$D$66,MATCH($A56,'CA Standards and Followers'!$A$7:$A$66,0))=1,INDEX('CA Standards and Followers'!$G$7:$G$66,MATCH($A56,'CA Standards and Followers'!$A$7:$A$66,0))&lt;=E$1),INDEX('CA Standards and Followers'!$2:$2,MATCH(E$1,'CA Standards and Followers'!$1:$1,0)),0))</f>
        <v>0</v>
      </c>
      <c r="F56">
        <f>IF(AND(INDEX('CA Standards and Followers'!$E$7:$E$66,MATCH($A56,'CA Standards and Followers'!$A$7:$A$66,0))=1,INDEX('CA Standards and Followers'!$H$7:$H$66,MATCH($A56,'CA Standards and Followers'!$A$7:$A$66,0))&lt;=F$1),INDEX('CA Standards and Followers'!#REF!,MATCH(F$1,'CA Standards and Followers'!$1:$1,0)),IF(AND(INDEX('CA Standards and Followers'!$D$7:$D$66,MATCH($A56,'CA Standards and Followers'!$A$7:$A$66,0))=1,INDEX('CA Standards and Followers'!$G$7:$G$66,MATCH($A56,'CA Standards and Followers'!$A$7:$A$66,0))&lt;=F$1),INDEX('CA Standards and Followers'!$2:$2,MATCH(F$1,'CA Standards and Followers'!$1:$1,0)),0))</f>
        <v>0</v>
      </c>
      <c r="G56">
        <f>IF(AND(INDEX('CA Standards and Followers'!$E$7:$E$66,MATCH($A56,'CA Standards and Followers'!$A$7:$A$66,0))=1,INDEX('CA Standards and Followers'!$H$7:$H$66,MATCH($A56,'CA Standards and Followers'!$A$7:$A$66,0))&lt;=G$1),INDEX('CA Standards and Followers'!#REF!,MATCH(G$1,'CA Standards and Followers'!$1:$1,0)),IF(AND(INDEX('CA Standards and Followers'!$D$7:$D$66,MATCH($A56,'CA Standards and Followers'!$A$7:$A$66,0))=1,INDEX('CA Standards and Followers'!$G$7:$G$66,MATCH($A56,'CA Standards and Followers'!$A$7:$A$66,0))&lt;=G$1),INDEX('CA Standards and Followers'!$2:$2,MATCH(G$1,'CA Standards and Followers'!$1:$1,0)),0))</f>
        <v>0</v>
      </c>
      <c r="H56">
        <f>IF(AND(INDEX('CA Standards and Followers'!$E$7:$E$66,MATCH($A56,'CA Standards and Followers'!$A$7:$A$66,0))=1,INDEX('CA Standards and Followers'!$H$7:$H$66,MATCH($A56,'CA Standards and Followers'!$A$7:$A$66,0))&lt;=H$1),INDEX('CA Standards and Followers'!#REF!,MATCH(H$1,'CA Standards and Followers'!$1:$1,0)),IF(AND(INDEX('CA Standards and Followers'!$D$7:$D$66,MATCH($A56,'CA Standards and Followers'!$A$7:$A$66,0))=1,INDEX('CA Standards and Followers'!$G$7:$G$66,MATCH($A56,'CA Standards and Followers'!$A$7:$A$66,0))&lt;=H$1),INDEX('CA Standards and Followers'!$2:$2,MATCH(H$1,'CA Standards and Followers'!$1:$1,0)),0))</f>
        <v>0</v>
      </c>
      <c r="I56">
        <f>IF(AND(INDEX('CA Standards and Followers'!$E$7:$E$66,MATCH($A56,'CA Standards and Followers'!$A$7:$A$66,0))=1,INDEX('CA Standards and Followers'!$H$7:$H$66,MATCH($A56,'CA Standards and Followers'!$A$7:$A$66,0))&lt;=I$1),INDEX('CA Standards and Followers'!#REF!,MATCH(I$1,'CA Standards and Followers'!$1:$1,0)),IF(AND(INDEX('CA Standards and Followers'!$D$7:$D$66,MATCH($A56,'CA Standards and Followers'!$A$7:$A$66,0))=1,INDEX('CA Standards and Followers'!$G$7:$G$66,MATCH($A56,'CA Standards and Followers'!$A$7:$A$66,0))&lt;=I$1),INDEX('CA Standards and Followers'!$2:$2,MATCH(I$1,'CA Standards and Followers'!$1:$1,0)),0))</f>
        <v>0</v>
      </c>
      <c r="J56">
        <f>IF(AND(INDEX('CA Standards and Followers'!$E$7:$E$66,MATCH($A56,'CA Standards and Followers'!$A$7:$A$66,0))=1,INDEX('CA Standards and Followers'!$H$7:$H$66,MATCH($A56,'CA Standards and Followers'!$A$7:$A$66,0))&lt;=J$1),INDEX('CA Standards and Followers'!#REF!,MATCH(J$1,'CA Standards and Followers'!$1:$1,0)),IF(AND(INDEX('CA Standards and Followers'!$D$7:$D$66,MATCH($A56,'CA Standards and Followers'!$A$7:$A$66,0))=1,INDEX('CA Standards and Followers'!$G$7:$G$66,MATCH($A56,'CA Standards and Followers'!$A$7:$A$66,0))&lt;=J$1),INDEX('CA Standards and Followers'!$2:$2,MATCH(J$1,'CA Standards and Followers'!$1:$1,0)),0))</f>
        <v>0</v>
      </c>
      <c r="K56" s="39">
        <f>MAX(IFERROR(IF(INDEX('State Map'!$C:$C,MATCH(TRIM('RZSPbS-psgr-ldv'!$A56),'State Map'!$A:$A,0))="Max Ambition",Schedules!G$4,J56),J56),J56)</f>
        <v>0</v>
      </c>
      <c r="L56" s="39">
        <f>MAX(IFERROR(IF(INDEX('State Map'!$C:$C,MATCH(TRIM('RZSPbS-psgr-ldv'!$A56),'State Map'!$A:$A,0))="Max Ambition",Schedules!H$4,K56),K56),K56)</f>
        <v>0</v>
      </c>
      <c r="M56" s="39">
        <f>MAX(IFERROR(IF(INDEX('State Map'!$C:$C,MATCH(TRIM('RZSPbS-psgr-ldv'!$A56),'State Map'!$A:$A,0))="Max Ambition",Schedules!I$4,L56),L56),L56)</f>
        <v>0</v>
      </c>
      <c r="N56" s="39">
        <f>MAX(IFERROR(IF(INDEX('State Map'!$C:$C,MATCH(TRIM('RZSPbS-psgr-ldv'!$A56),'State Map'!$A:$A,0))="Max Ambition",Schedules!J$4,M56),M56),M56)</f>
        <v>0</v>
      </c>
      <c r="O56" s="39">
        <f>MAX(IFERROR(IF(INDEX('State Map'!$C:$C,MATCH(TRIM('RZSPbS-psgr-ldv'!$A56),'State Map'!$A:$A,0))="Max Ambition",Schedules!K$4,N56),N56),N56)</f>
        <v>0</v>
      </c>
      <c r="P56" s="39">
        <f>MAX(IFERROR(IF(INDEX('State Map'!$C:$C,MATCH(TRIM('RZSPbS-psgr-ldv'!$A56),'State Map'!$A:$A,0))="Max Ambition",Schedules!L$4,O56),O56),O56)</f>
        <v>0</v>
      </c>
      <c r="Q56" s="39">
        <f>MAX(IFERROR(IF(INDEX('State Map'!$C:$C,MATCH(TRIM('RZSPbS-psgr-ldv'!$A56),'State Map'!$A:$A,0))="Max Ambition",Schedules!M$4,P56),P56),P56)</f>
        <v>0</v>
      </c>
      <c r="R56" s="39">
        <f>MAX(IFERROR(IF(INDEX('State Map'!$C:$C,MATCH(TRIM('RZSPbS-psgr-ldv'!$A56),'State Map'!$A:$A,0))="Max Ambition",Schedules!N$4,Q56),Q56),Q56)</f>
        <v>0</v>
      </c>
      <c r="S56" s="39">
        <f>MAX(IFERROR(IF(INDEX('State Map'!$C:$C,MATCH(TRIM('RZSPbS-psgr-ldv'!$A56),'State Map'!$A:$A,0))="Max Ambition",Schedules!O$4,R56),R56),R56)</f>
        <v>0</v>
      </c>
      <c r="T56" s="39">
        <f>MAX(IFERROR(IF(INDEX('State Map'!$C:$C,MATCH(TRIM('RZSPbS-psgr-ldv'!$A56),'State Map'!$A:$A,0))="Max Ambition",Schedules!P$4,S56),S56),S56)</f>
        <v>0</v>
      </c>
      <c r="U56" s="39">
        <f>MAX(IFERROR(IF(INDEX('State Map'!$C:$C,MATCH(TRIM('RZSPbS-psgr-ldv'!$A56),'State Map'!$A:$A,0))="Max Ambition",Schedules!Q$4,T56),T56),T56)</f>
        <v>0</v>
      </c>
      <c r="V56" s="39">
        <f>MAX(IFERROR(IF(INDEX('State Map'!$C:$C,MATCH(TRIM('RZSPbS-psgr-ldv'!$A56),'State Map'!$A:$A,0))="Max Ambition",Schedules!R$4,U56),U56),U56)</f>
        <v>0</v>
      </c>
      <c r="W56" s="39">
        <f>MAX(IFERROR(IF(INDEX('State Map'!$C:$C,MATCH(TRIM('RZSPbS-psgr-ldv'!$A56),'State Map'!$A:$A,0))="Max Ambition",Schedules!S$4,V56),V56),V56)</f>
        <v>0</v>
      </c>
      <c r="X56" s="39">
        <f>MAX(IFERROR(IF(INDEX('State Map'!$C:$C,MATCH(TRIM('RZSPbS-psgr-ldv'!$A56),'State Map'!$A:$A,0))="Max Ambition",Schedules!T$4,W56),W56),W56)</f>
        <v>0</v>
      </c>
      <c r="Y56" s="39">
        <f>MAX(IFERROR(IF(INDEX('State Map'!$C:$C,MATCH(TRIM('RZSPbS-psgr-ldv'!$A56),'State Map'!$A:$A,0))="Max Ambition",Schedules!U$4,X56),X56),X56)</f>
        <v>0</v>
      </c>
      <c r="Z56" s="39">
        <f>MAX(IFERROR(IF(INDEX('State Map'!$C:$C,MATCH(TRIM('RZSPbS-psgr-ldv'!$A56),'State Map'!$A:$A,0))="Max Ambition",Schedules!V$4,Y56),Y56),Y56)</f>
        <v>0</v>
      </c>
      <c r="AA56" s="39">
        <f>MAX(IFERROR(IF(INDEX('State Map'!$C:$C,MATCH(TRIM('RZSPbS-psgr-ldv'!$A56),'State Map'!$A:$A,0))="Max Ambition",Schedules!W$4,Z56),Z56),Z56)</f>
        <v>0</v>
      </c>
      <c r="AB56" s="39">
        <f>MAX(IFERROR(IF(INDEX('State Map'!$C:$C,MATCH(TRIM('RZSPbS-psgr-ldv'!$A56),'State Map'!$A:$A,0))="Max Ambition",Schedules!X$4,AA56),AA56),AA56)</f>
        <v>0</v>
      </c>
      <c r="AC56" s="39">
        <f>MAX(IFERROR(IF(INDEX('State Map'!$C:$C,MATCH(TRIM('RZSPbS-psgr-ldv'!$A56),'State Map'!$A:$A,0))="Max Ambition",Schedules!Y$4,AB56),AB56),AB56)</f>
        <v>0</v>
      </c>
      <c r="AD56" s="39">
        <f>MAX(IFERROR(IF(INDEX('State Map'!$C:$C,MATCH(TRIM('RZSPbS-psgr-ldv'!$A56),'State Map'!$A:$A,0))="Max Ambition",Schedules!Z$4,AC56),AC56),AC56)</f>
        <v>0</v>
      </c>
      <c r="AE56" s="39">
        <f>MAX(IFERROR(IF(INDEX('State Map'!$C:$C,MATCH(TRIM('RZSPbS-psgr-ldv'!$A56),'State Map'!$A:$A,0))="Max Ambition",Schedules!AA$4,AD56),AD56),AD56)</f>
        <v>0</v>
      </c>
      <c r="AF56" s="39">
        <f>MAX(IFERROR(IF(INDEX('State Map'!$C:$C,MATCH(TRIM('RZSPbS-psgr-ldv'!$A56),'State Map'!$A:$A,0))="Max Ambition",Schedules!AB$4,AE56),AE56),AE56)</f>
        <v>0</v>
      </c>
    </row>
    <row r="57" spans="1:32" x14ac:dyDescent="0.25">
      <c r="A57" t="s">
        <v>56</v>
      </c>
      <c r="B57">
        <f>IF(AND(INDEX('CA Standards and Followers'!$E$7:$E$66,MATCH($A57,'CA Standards and Followers'!$A$7:$A$66,0))=1,INDEX('CA Standards and Followers'!$H$7:$H$66,MATCH($A57,'CA Standards and Followers'!$A$7:$A$66,0))&lt;=B$1),INDEX('CA Standards and Followers'!#REF!,MATCH(B$1,'CA Standards and Followers'!$1:$1,0)),IF(AND(INDEX('CA Standards and Followers'!$D$7:$D$66,MATCH($A57,'CA Standards and Followers'!$A$7:$A$66,0))=1,INDEX('CA Standards and Followers'!$G$7:$G$66,MATCH($A57,'CA Standards and Followers'!$A$7:$A$66,0))&lt;=B$1),INDEX('CA Standards and Followers'!$2:$2,MATCH(B$1,'CA Standards and Followers'!$1:$1,0)),0))</f>
        <v>0</v>
      </c>
      <c r="C57">
        <f>IF(AND(INDEX('CA Standards and Followers'!$E$7:$E$66,MATCH($A57,'CA Standards and Followers'!$A$7:$A$66,0))=1,INDEX('CA Standards and Followers'!$H$7:$H$66,MATCH($A57,'CA Standards and Followers'!$A$7:$A$66,0))&lt;=C$1),INDEX('CA Standards and Followers'!#REF!,MATCH(C$1,'CA Standards and Followers'!$1:$1,0)),IF(AND(INDEX('CA Standards and Followers'!$D$7:$D$66,MATCH($A57,'CA Standards and Followers'!$A$7:$A$66,0))=1,INDEX('CA Standards and Followers'!$G$7:$G$66,MATCH($A57,'CA Standards and Followers'!$A$7:$A$66,0))&lt;=C$1),INDEX('CA Standards and Followers'!$2:$2,MATCH(C$1,'CA Standards and Followers'!$1:$1,0)),0))</f>
        <v>0</v>
      </c>
      <c r="D57">
        <f>IF(AND(INDEX('CA Standards and Followers'!$E$7:$E$66,MATCH($A57,'CA Standards and Followers'!$A$7:$A$66,0))=1,INDEX('CA Standards and Followers'!$H$7:$H$66,MATCH($A57,'CA Standards and Followers'!$A$7:$A$66,0))&lt;=D$1),INDEX('CA Standards and Followers'!#REF!,MATCH(D$1,'CA Standards and Followers'!$1:$1,0)),IF(AND(INDEX('CA Standards and Followers'!$D$7:$D$66,MATCH($A57,'CA Standards and Followers'!$A$7:$A$66,0))=1,INDEX('CA Standards and Followers'!$G$7:$G$66,MATCH($A57,'CA Standards and Followers'!$A$7:$A$66,0))&lt;=D$1),INDEX('CA Standards and Followers'!$2:$2,MATCH(D$1,'CA Standards and Followers'!$1:$1,0)),0))</f>
        <v>0</v>
      </c>
      <c r="E57">
        <f>IF(AND(INDEX('CA Standards and Followers'!$E$7:$E$66,MATCH($A57,'CA Standards and Followers'!$A$7:$A$66,0))=1,INDEX('CA Standards and Followers'!$H$7:$H$66,MATCH($A57,'CA Standards and Followers'!$A$7:$A$66,0))&lt;=E$1),INDEX('CA Standards and Followers'!#REF!,MATCH(E$1,'CA Standards and Followers'!$1:$1,0)),IF(AND(INDEX('CA Standards and Followers'!$D$7:$D$66,MATCH($A57,'CA Standards and Followers'!$A$7:$A$66,0))=1,INDEX('CA Standards and Followers'!$G$7:$G$66,MATCH($A57,'CA Standards and Followers'!$A$7:$A$66,0))&lt;=E$1),INDEX('CA Standards and Followers'!$2:$2,MATCH(E$1,'CA Standards and Followers'!$1:$1,0)),0))</f>
        <v>0</v>
      </c>
      <c r="F57">
        <f>IF(AND(INDEX('CA Standards and Followers'!$E$7:$E$66,MATCH($A57,'CA Standards and Followers'!$A$7:$A$66,0))=1,INDEX('CA Standards and Followers'!$H$7:$H$66,MATCH($A57,'CA Standards and Followers'!$A$7:$A$66,0))&lt;=F$1),INDEX('CA Standards and Followers'!#REF!,MATCH(F$1,'CA Standards and Followers'!$1:$1,0)),IF(AND(INDEX('CA Standards and Followers'!$D$7:$D$66,MATCH($A57,'CA Standards and Followers'!$A$7:$A$66,0))=1,INDEX('CA Standards and Followers'!$G$7:$G$66,MATCH($A57,'CA Standards and Followers'!$A$7:$A$66,0))&lt;=F$1),INDEX('CA Standards and Followers'!$2:$2,MATCH(F$1,'CA Standards and Followers'!$1:$1,0)),0))</f>
        <v>0</v>
      </c>
      <c r="G57">
        <f>IF(AND(INDEX('CA Standards and Followers'!$E$7:$E$66,MATCH($A57,'CA Standards and Followers'!$A$7:$A$66,0))=1,INDEX('CA Standards and Followers'!$H$7:$H$66,MATCH($A57,'CA Standards and Followers'!$A$7:$A$66,0))&lt;=G$1),INDEX('CA Standards and Followers'!#REF!,MATCH(G$1,'CA Standards and Followers'!$1:$1,0)),IF(AND(INDEX('CA Standards and Followers'!$D$7:$D$66,MATCH($A57,'CA Standards and Followers'!$A$7:$A$66,0))=1,INDEX('CA Standards and Followers'!$G$7:$G$66,MATCH($A57,'CA Standards and Followers'!$A$7:$A$66,0))&lt;=G$1),INDEX('CA Standards and Followers'!$2:$2,MATCH(G$1,'CA Standards and Followers'!$1:$1,0)),0))</f>
        <v>0</v>
      </c>
      <c r="H57">
        <f>IF(AND(INDEX('CA Standards and Followers'!$E$7:$E$66,MATCH($A57,'CA Standards and Followers'!$A$7:$A$66,0))=1,INDEX('CA Standards and Followers'!$H$7:$H$66,MATCH($A57,'CA Standards and Followers'!$A$7:$A$66,0))&lt;=H$1),INDEX('CA Standards and Followers'!#REF!,MATCH(H$1,'CA Standards and Followers'!$1:$1,0)),IF(AND(INDEX('CA Standards and Followers'!$D$7:$D$66,MATCH($A57,'CA Standards and Followers'!$A$7:$A$66,0))=1,INDEX('CA Standards and Followers'!$G$7:$G$66,MATCH($A57,'CA Standards and Followers'!$A$7:$A$66,0))&lt;=H$1),INDEX('CA Standards and Followers'!$2:$2,MATCH(H$1,'CA Standards and Followers'!$1:$1,0)),0))</f>
        <v>0</v>
      </c>
      <c r="I57">
        <f>IF(AND(INDEX('CA Standards and Followers'!$E$7:$E$66,MATCH($A57,'CA Standards and Followers'!$A$7:$A$66,0))=1,INDEX('CA Standards and Followers'!$H$7:$H$66,MATCH($A57,'CA Standards and Followers'!$A$7:$A$66,0))&lt;=I$1),INDEX('CA Standards and Followers'!#REF!,MATCH(I$1,'CA Standards and Followers'!$1:$1,0)),IF(AND(INDEX('CA Standards and Followers'!$D$7:$D$66,MATCH($A57,'CA Standards and Followers'!$A$7:$A$66,0))=1,INDEX('CA Standards and Followers'!$G$7:$G$66,MATCH($A57,'CA Standards and Followers'!$A$7:$A$66,0))&lt;=I$1),INDEX('CA Standards and Followers'!$2:$2,MATCH(I$1,'CA Standards and Followers'!$1:$1,0)),0))</f>
        <v>0</v>
      </c>
      <c r="J57">
        <f>IF(AND(INDEX('CA Standards and Followers'!$E$7:$E$66,MATCH($A57,'CA Standards and Followers'!$A$7:$A$66,0))=1,INDEX('CA Standards and Followers'!$H$7:$H$66,MATCH($A57,'CA Standards and Followers'!$A$7:$A$66,0))&lt;=J$1),INDEX('CA Standards and Followers'!#REF!,MATCH(J$1,'CA Standards and Followers'!$1:$1,0)),IF(AND(INDEX('CA Standards and Followers'!$D$7:$D$66,MATCH($A57,'CA Standards and Followers'!$A$7:$A$66,0))=1,INDEX('CA Standards and Followers'!$G$7:$G$66,MATCH($A57,'CA Standards and Followers'!$A$7:$A$66,0))&lt;=J$1),INDEX('CA Standards and Followers'!$2:$2,MATCH(J$1,'CA Standards and Followers'!$1:$1,0)),0))</f>
        <v>0</v>
      </c>
      <c r="K57" s="39">
        <f>MAX(IFERROR(IF(INDEX('State Map'!$C:$C,MATCH(TRIM('RZSPbS-psgr-ldv'!$A57),'State Map'!$A:$A,0))="Max Ambition",Schedules!G$4,J57),J57),J57)</f>
        <v>0</v>
      </c>
      <c r="L57" s="39">
        <f>MAX(IFERROR(IF(INDEX('State Map'!$C:$C,MATCH(TRIM('RZSPbS-psgr-ldv'!$A57),'State Map'!$A:$A,0))="Max Ambition",Schedules!H$4,K57),K57),K57)</f>
        <v>0</v>
      </c>
      <c r="M57" s="39">
        <f>MAX(IFERROR(IF(INDEX('State Map'!$C:$C,MATCH(TRIM('RZSPbS-psgr-ldv'!$A57),'State Map'!$A:$A,0))="Max Ambition",Schedules!I$4,L57),L57),L57)</f>
        <v>0</v>
      </c>
      <c r="N57" s="39">
        <f>MAX(IFERROR(IF(INDEX('State Map'!$C:$C,MATCH(TRIM('RZSPbS-psgr-ldv'!$A57),'State Map'!$A:$A,0))="Max Ambition",Schedules!J$4,M57),M57),M57)</f>
        <v>0</v>
      </c>
      <c r="O57" s="39">
        <f>MAX(IFERROR(IF(INDEX('State Map'!$C:$C,MATCH(TRIM('RZSPbS-psgr-ldv'!$A57),'State Map'!$A:$A,0))="Max Ambition",Schedules!K$4,N57),N57),N57)</f>
        <v>0</v>
      </c>
      <c r="P57" s="39">
        <f>MAX(IFERROR(IF(INDEX('State Map'!$C:$C,MATCH(TRIM('RZSPbS-psgr-ldv'!$A57),'State Map'!$A:$A,0))="Max Ambition",Schedules!L$4,O57),O57),O57)</f>
        <v>0</v>
      </c>
      <c r="Q57" s="39">
        <f>MAX(IFERROR(IF(INDEX('State Map'!$C:$C,MATCH(TRIM('RZSPbS-psgr-ldv'!$A57),'State Map'!$A:$A,0))="Max Ambition",Schedules!M$4,P57),P57),P57)</f>
        <v>0</v>
      </c>
      <c r="R57" s="39">
        <f>MAX(IFERROR(IF(INDEX('State Map'!$C:$C,MATCH(TRIM('RZSPbS-psgr-ldv'!$A57),'State Map'!$A:$A,0))="Max Ambition",Schedules!N$4,Q57),Q57),Q57)</f>
        <v>0</v>
      </c>
      <c r="S57" s="39">
        <f>MAX(IFERROR(IF(INDEX('State Map'!$C:$C,MATCH(TRIM('RZSPbS-psgr-ldv'!$A57),'State Map'!$A:$A,0))="Max Ambition",Schedules!O$4,R57),R57),R57)</f>
        <v>0</v>
      </c>
      <c r="T57" s="39">
        <f>MAX(IFERROR(IF(INDEX('State Map'!$C:$C,MATCH(TRIM('RZSPbS-psgr-ldv'!$A57),'State Map'!$A:$A,0))="Max Ambition",Schedules!P$4,S57),S57),S57)</f>
        <v>0</v>
      </c>
      <c r="U57" s="39">
        <f>MAX(IFERROR(IF(INDEX('State Map'!$C:$C,MATCH(TRIM('RZSPbS-psgr-ldv'!$A57),'State Map'!$A:$A,0))="Max Ambition",Schedules!Q$4,T57),T57),T57)</f>
        <v>0</v>
      </c>
      <c r="V57" s="39">
        <f>MAX(IFERROR(IF(INDEX('State Map'!$C:$C,MATCH(TRIM('RZSPbS-psgr-ldv'!$A57),'State Map'!$A:$A,0))="Max Ambition",Schedules!R$4,U57),U57),U57)</f>
        <v>0</v>
      </c>
      <c r="W57" s="39">
        <f>MAX(IFERROR(IF(INDEX('State Map'!$C:$C,MATCH(TRIM('RZSPbS-psgr-ldv'!$A57),'State Map'!$A:$A,0))="Max Ambition",Schedules!S$4,V57),V57),V57)</f>
        <v>0</v>
      </c>
      <c r="X57" s="39">
        <f>MAX(IFERROR(IF(INDEX('State Map'!$C:$C,MATCH(TRIM('RZSPbS-psgr-ldv'!$A57),'State Map'!$A:$A,0))="Max Ambition",Schedules!T$4,W57),W57),W57)</f>
        <v>0</v>
      </c>
      <c r="Y57" s="39">
        <f>MAX(IFERROR(IF(INDEX('State Map'!$C:$C,MATCH(TRIM('RZSPbS-psgr-ldv'!$A57),'State Map'!$A:$A,0))="Max Ambition",Schedules!U$4,X57),X57),X57)</f>
        <v>0</v>
      </c>
      <c r="Z57" s="39">
        <f>MAX(IFERROR(IF(INDEX('State Map'!$C:$C,MATCH(TRIM('RZSPbS-psgr-ldv'!$A57),'State Map'!$A:$A,0))="Max Ambition",Schedules!V$4,Y57),Y57),Y57)</f>
        <v>0</v>
      </c>
      <c r="AA57" s="39">
        <f>MAX(IFERROR(IF(INDEX('State Map'!$C:$C,MATCH(TRIM('RZSPbS-psgr-ldv'!$A57),'State Map'!$A:$A,0))="Max Ambition",Schedules!W$4,Z57),Z57),Z57)</f>
        <v>0</v>
      </c>
      <c r="AB57" s="39">
        <f>MAX(IFERROR(IF(INDEX('State Map'!$C:$C,MATCH(TRIM('RZSPbS-psgr-ldv'!$A57),'State Map'!$A:$A,0))="Max Ambition",Schedules!X$4,AA57),AA57),AA57)</f>
        <v>0</v>
      </c>
      <c r="AC57" s="39">
        <f>MAX(IFERROR(IF(INDEX('State Map'!$C:$C,MATCH(TRIM('RZSPbS-psgr-ldv'!$A57),'State Map'!$A:$A,0))="Max Ambition",Schedules!Y$4,AB57),AB57),AB57)</f>
        <v>0</v>
      </c>
      <c r="AD57" s="39">
        <f>MAX(IFERROR(IF(INDEX('State Map'!$C:$C,MATCH(TRIM('RZSPbS-psgr-ldv'!$A57),'State Map'!$A:$A,0))="Max Ambition",Schedules!Z$4,AC57),AC57),AC57)</f>
        <v>0</v>
      </c>
      <c r="AE57" s="39">
        <f>MAX(IFERROR(IF(INDEX('State Map'!$C:$C,MATCH(TRIM('RZSPbS-psgr-ldv'!$A57),'State Map'!$A:$A,0))="Max Ambition",Schedules!AA$4,AD57),AD57),AD57)</f>
        <v>0</v>
      </c>
      <c r="AF57" s="39">
        <f>MAX(IFERROR(IF(INDEX('State Map'!$C:$C,MATCH(TRIM('RZSPbS-psgr-ldv'!$A57),'State Map'!$A:$A,0))="Max Ambition",Schedules!AB$4,AE57),AE57),AE57)</f>
        <v>0</v>
      </c>
    </row>
    <row r="58" spans="1:32" x14ac:dyDescent="0.25">
      <c r="A58" t="s">
        <v>57</v>
      </c>
      <c r="B58">
        <f>IF(AND(INDEX('CA Standards and Followers'!$E$7:$E$66,MATCH($A58,'CA Standards and Followers'!$A$7:$A$66,0))=1,INDEX('CA Standards and Followers'!$H$7:$H$66,MATCH($A58,'CA Standards and Followers'!$A$7:$A$66,0))&lt;=B$1),INDEX('CA Standards and Followers'!#REF!,MATCH(B$1,'CA Standards and Followers'!$1:$1,0)),IF(AND(INDEX('CA Standards and Followers'!$D$7:$D$66,MATCH($A58,'CA Standards and Followers'!$A$7:$A$66,0))=1,INDEX('CA Standards and Followers'!$G$7:$G$66,MATCH($A58,'CA Standards and Followers'!$A$7:$A$66,0))&lt;=B$1),INDEX('CA Standards and Followers'!$2:$2,MATCH(B$1,'CA Standards and Followers'!$1:$1,0)),0))</f>
        <v>0</v>
      </c>
      <c r="C58">
        <f>IF(AND(INDEX('CA Standards and Followers'!$E$7:$E$66,MATCH($A58,'CA Standards and Followers'!$A$7:$A$66,0))=1,INDEX('CA Standards and Followers'!$H$7:$H$66,MATCH($A58,'CA Standards and Followers'!$A$7:$A$66,0))&lt;=C$1),INDEX('CA Standards and Followers'!#REF!,MATCH(C$1,'CA Standards and Followers'!$1:$1,0)),IF(AND(INDEX('CA Standards and Followers'!$D$7:$D$66,MATCH($A58,'CA Standards and Followers'!$A$7:$A$66,0))=1,INDEX('CA Standards and Followers'!$G$7:$G$66,MATCH($A58,'CA Standards and Followers'!$A$7:$A$66,0))&lt;=C$1),INDEX('CA Standards and Followers'!$2:$2,MATCH(C$1,'CA Standards and Followers'!$1:$1,0)),0))</f>
        <v>0</v>
      </c>
      <c r="D58">
        <f>IF(AND(INDEX('CA Standards and Followers'!$E$7:$E$66,MATCH($A58,'CA Standards and Followers'!$A$7:$A$66,0))=1,INDEX('CA Standards and Followers'!$H$7:$H$66,MATCH($A58,'CA Standards and Followers'!$A$7:$A$66,0))&lt;=D$1),INDEX('CA Standards and Followers'!#REF!,MATCH(D$1,'CA Standards and Followers'!$1:$1,0)),IF(AND(INDEX('CA Standards and Followers'!$D$7:$D$66,MATCH($A58,'CA Standards and Followers'!$A$7:$A$66,0))=1,INDEX('CA Standards and Followers'!$G$7:$G$66,MATCH($A58,'CA Standards and Followers'!$A$7:$A$66,0))&lt;=D$1),INDEX('CA Standards and Followers'!$2:$2,MATCH(D$1,'CA Standards and Followers'!$1:$1,0)),0))</f>
        <v>0</v>
      </c>
      <c r="E58">
        <f>IF(AND(INDEX('CA Standards and Followers'!$E$7:$E$66,MATCH($A58,'CA Standards and Followers'!$A$7:$A$66,0))=1,INDEX('CA Standards and Followers'!$H$7:$H$66,MATCH($A58,'CA Standards and Followers'!$A$7:$A$66,0))&lt;=E$1),INDEX('CA Standards and Followers'!#REF!,MATCH(E$1,'CA Standards and Followers'!$1:$1,0)),IF(AND(INDEX('CA Standards and Followers'!$D$7:$D$66,MATCH($A58,'CA Standards and Followers'!$A$7:$A$66,0))=1,INDEX('CA Standards and Followers'!$G$7:$G$66,MATCH($A58,'CA Standards and Followers'!$A$7:$A$66,0))&lt;=E$1),INDEX('CA Standards and Followers'!$2:$2,MATCH(E$1,'CA Standards and Followers'!$1:$1,0)),0))</f>
        <v>0</v>
      </c>
      <c r="F58">
        <f>IF(AND(INDEX('CA Standards and Followers'!$E$7:$E$66,MATCH($A58,'CA Standards and Followers'!$A$7:$A$66,0))=1,INDEX('CA Standards and Followers'!$H$7:$H$66,MATCH($A58,'CA Standards and Followers'!$A$7:$A$66,0))&lt;=F$1),INDEX('CA Standards and Followers'!#REF!,MATCH(F$1,'CA Standards and Followers'!$1:$1,0)),IF(AND(INDEX('CA Standards and Followers'!$D$7:$D$66,MATCH($A58,'CA Standards and Followers'!$A$7:$A$66,0))=1,INDEX('CA Standards and Followers'!$G$7:$G$66,MATCH($A58,'CA Standards and Followers'!$A$7:$A$66,0))&lt;=F$1),INDEX('CA Standards and Followers'!$2:$2,MATCH(F$1,'CA Standards and Followers'!$1:$1,0)),0))</f>
        <v>0</v>
      </c>
      <c r="G58">
        <f>IF(AND(INDEX('CA Standards and Followers'!$E$7:$E$66,MATCH($A58,'CA Standards and Followers'!$A$7:$A$66,0))=1,INDEX('CA Standards and Followers'!$H$7:$H$66,MATCH($A58,'CA Standards and Followers'!$A$7:$A$66,0))&lt;=G$1),INDEX('CA Standards and Followers'!#REF!,MATCH(G$1,'CA Standards and Followers'!$1:$1,0)),IF(AND(INDEX('CA Standards and Followers'!$D$7:$D$66,MATCH($A58,'CA Standards and Followers'!$A$7:$A$66,0))=1,INDEX('CA Standards and Followers'!$G$7:$G$66,MATCH($A58,'CA Standards and Followers'!$A$7:$A$66,0))&lt;=G$1),INDEX('CA Standards and Followers'!$2:$2,MATCH(G$1,'CA Standards and Followers'!$1:$1,0)),0))</f>
        <v>0</v>
      </c>
      <c r="H58">
        <f>IF(AND(INDEX('CA Standards and Followers'!$E$7:$E$66,MATCH($A58,'CA Standards and Followers'!$A$7:$A$66,0))=1,INDEX('CA Standards and Followers'!$H$7:$H$66,MATCH($A58,'CA Standards and Followers'!$A$7:$A$66,0))&lt;=H$1),INDEX('CA Standards and Followers'!#REF!,MATCH(H$1,'CA Standards and Followers'!$1:$1,0)),IF(AND(INDEX('CA Standards and Followers'!$D$7:$D$66,MATCH($A58,'CA Standards and Followers'!$A$7:$A$66,0))=1,INDEX('CA Standards and Followers'!$G$7:$G$66,MATCH($A58,'CA Standards and Followers'!$A$7:$A$66,0))&lt;=H$1),INDEX('CA Standards and Followers'!$2:$2,MATCH(H$1,'CA Standards and Followers'!$1:$1,0)),0))</f>
        <v>0</v>
      </c>
      <c r="I58">
        <f>IF(AND(INDEX('CA Standards and Followers'!$E$7:$E$66,MATCH($A58,'CA Standards and Followers'!$A$7:$A$66,0))=1,INDEX('CA Standards and Followers'!$H$7:$H$66,MATCH($A58,'CA Standards and Followers'!$A$7:$A$66,0))&lt;=I$1),INDEX('CA Standards and Followers'!#REF!,MATCH(I$1,'CA Standards and Followers'!$1:$1,0)),IF(AND(INDEX('CA Standards and Followers'!$D$7:$D$66,MATCH($A58,'CA Standards and Followers'!$A$7:$A$66,0))=1,INDEX('CA Standards and Followers'!$G$7:$G$66,MATCH($A58,'CA Standards and Followers'!$A$7:$A$66,0))&lt;=I$1),INDEX('CA Standards and Followers'!$2:$2,MATCH(I$1,'CA Standards and Followers'!$1:$1,0)),0))</f>
        <v>0</v>
      </c>
      <c r="J58">
        <f>IF(AND(INDEX('CA Standards and Followers'!$E$7:$E$66,MATCH($A58,'CA Standards and Followers'!$A$7:$A$66,0))=1,INDEX('CA Standards and Followers'!$H$7:$H$66,MATCH($A58,'CA Standards and Followers'!$A$7:$A$66,0))&lt;=J$1),INDEX('CA Standards and Followers'!#REF!,MATCH(J$1,'CA Standards and Followers'!$1:$1,0)),IF(AND(INDEX('CA Standards and Followers'!$D$7:$D$66,MATCH($A58,'CA Standards and Followers'!$A$7:$A$66,0))=1,INDEX('CA Standards and Followers'!$G$7:$G$66,MATCH($A58,'CA Standards and Followers'!$A$7:$A$66,0))&lt;=J$1),INDEX('CA Standards and Followers'!$2:$2,MATCH(J$1,'CA Standards and Followers'!$1:$1,0)),0))</f>
        <v>0</v>
      </c>
      <c r="K58" s="39">
        <f>MAX(IFERROR(IF(INDEX('State Map'!$C:$C,MATCH(TRIM('RZSPbS-psgr-ldv'!$A58),'State Map'!$A:$A,0))="Max Ambition",Schedules!G$4,J58),J58),J58)</f>
        <v>0</v>
      </c>
      <c r="L58" s="39">
        <f>MAX(IFERROR(IF(INDEX('State Map'!$C:$C,MATCH(TRIM('RZSPbS-psgr-ldv'!$A58),'State Map'!$A:$A,0))="Max Ambition",Schedules!H$4,K58),K58),K58)</f>
        <v>0</v>
      </c>
      <c r="M58" s="39">
        <f>MAX(IFERROR(IF(INDEX('State Map'!$C:$C,MATCH(TRIM('RZSPbS-psgr-ldv'!$A58),'State Map'!$A:$A,0))="Max Ambition",Schedules!I$4,L58),L58),L58)</f>
        <v>0</v>
      </c>
      <c r="N58" s="39">
        <f>MAX(IFERROR(IF(INDEX('State Map'!$C:$C,MATCH(TRIM('RZSPbS-psgr-ldv'!$A58),'State Map'!$A:$A,0))="Max Ambition",Schedules!J$4,M58),M58),M58)</f>
        <v>0</v>
      </c>
      <c r="O58" s="39">
        <f>MAX(IFERROR(IF(INDEX('State Map'!$C:$C,MATCH(TRIM('RZSPbS-psgr-ldv'!$A58),'State Map'!$A:$A,0))="Max Ambition",Schedules!K$4,N58),N58),N58)</f>
        <v>0</v>
      </c>
      <c r="P58" s="39">
        <f>MAX(IFERROR(IF(INDEX('State Map'!$C:$C,MATCH(TRIM('RZSPbS-psgr-ldv'!$A58),'State Map'!$A:$A,0))="Max Ambition",Schedules!L$4,O58),O58),O58)</f>
        <v>0</v>
      </c>
      <c r="Q58" s="39">
        <f>MAX(IFERROR(IF(INDEX('State Map'!$C:$C,MATCH(TRIM('RZSPbS-psgr-ldv'!$A58),'State Map'!$A:$A,0))="Max Ambition",Schedules!M$4,P58),P58),P58)</f>
        <v>0</v>
      </c>
      <c r="R58" s="39">
        <f>MAX(IFERROR(IF(INDEX('State Map'!$C:$C,MATCH(TRIM('RZSPbS-psgr-ldv'!$A58),'State Map'!$A:$A,0))="Max Ambition",Schedules!N$4,Q58),Q58),Q58)</f>
        <v>0</v>
      </c>
      <c r="S58" s="39">
        <f>MAX(IFERROR(IF(INDEX('State Map'!$C:$C,MATCH(TRIM('RZSPbS-psgr-ldv'!$A58),'State Map'!$A:$A,0))="Max Ambition",Schedules!O$4,R58),R58),R58)</f>
        <v>0</v>
      </c>
      <c r="T58" s="39">
        <f>MAX(IFERROR(IF(INDEX('State Map'!$C:$C,MATCH(TRIM('RZSPbS-psgr-ldv'!$A58),'State Map'!$A:$A,0))="Max Ambition",Schedules!P$4,S58),S58),S58)</f>
        <v>0</v>
      </c>
      <c r="U58" s="39">
        <f>MAX(IFERROR(IF(INDEX('State Map'!$C:$C,MATCH(TRIM('RZSPbS-psgr-ldv'!$A58),'State Map'!$A:$A,0))="Max Ambition",Schedules!Q$4,T58),T58),T58)</f>
        <v>0</v>
      </c>
      <c r="V58" s="39">
        <f>MAX(IFERROR(IF(INDEX('State Map'!$C:$C,MATCH(TRIM('RZSPbS-psgr-ldv'!$A58),'State Map'!$A:$A,0))="Max Ambition",Schedules!R$4,U58),U58),U58)</f>
        <v>0</v>
      </c>
      <c r="W58" s="39">
        <f>MAX(IFERROR(IF(INDEX('State Map'!$C:$C,MATCH(TRIM('RZSPbS-psgr-ldv'!$A58),'State Map'!$A:$A,0))="Max Ambition",Schedules!S$4,V58),V58),V58)</f>
        <v>0</v>
      </c>
      <c r="X58" s="39">
        <f>MAX(IFERROR(IF(INDEX('State Map'!$C:$C,MATCH(TRIM('RZSPbS-psgr-ldv'!$A58),'State Map'!$A:$A,0))="Max Ambition",Schedules!T$4,W58),W58),W58)</f>
        <v>0</v>
      </c>
      <c r="Y58" s="39">
        <f>MAX(IFERROR(IF(INDEX('State Map'!$C:$C,MATCH(TRIM('RZSPbS-psgr-ldv'!$A58),'State Map'!$A:$A,0))="Max Ambition",Schedules!U$4,X58),X58),X58)</f>
        <v>0</v>
      </c>
      <c r="Z58" s="39">
        <f>MAX(IFERROR(IF(INDEX('State Map'!$C:$C,MATCH(TRIM('RZSPbS-psgr-ldv'!$A58),'State Map'!$A:$A,0))="Max Ambition",Schedules!V$4,Y58),Y58),Y58)</f>
        <v>0</v>
      </c>
      <c r="AA58" s="39">
        <f>MAX(IFERROR(IF(INDEX('State Map'!$C:$C,MATCH(TRIM('RZSPbS-psgr-ldv'!$A58),'State Map'!$A:$A,0))="Max Ambition",Schedules!W$4,Z58),Z58),Z58)</f>
        <v>0</v>
      </c>
      <c r="AB58" s="39">
        <f>MAX(IFERROR(IF(INDEX('State Map'!$C:$C,MATCH(TRIM('RZSPbS-psgr-ldv'!$A58),'State Map'!$A:$A,0))="Max Ambition",Schedules!X$4,AA58),AA58),AA58)</f>
        <v>0</v>
      </c>
      <c r="AC58" s="39">
        <f>MAX(IFERROR(IF(INDEX('State Map'!$C:$C,MATCH(TRIM('RZSPbS-psgr-ldv'!$A58),'State Map'!$A:$A,0))="Max Ambition",Schedules!Y$4,AB58),AB58),AB58)</f>
        <v>0</v>
      </c>
      <c r="AD58" s="39">
        <f>MAX(IFERROR(IF(INDEX('State Map'!$C:$C,MATCH(TRIM('RZSPbS-psgr-ldv'!$A58),'State Map'!$A:$A,0))="Max Ambition",Schedules!Z$4,AC58),AC58),AC58)</f>
        <v>0</v>
      </c>
      <c r="AE58" s="39">
        <f>MAX(IFERROR(IF(INDEX('State Map'!$C:$C,MATCH(TRIM('RZSPbS-psgr-ldv'!$A58),'State Map'!$A:$A,0))="Max Ambition",Schedules!AA$4,AD58),AD58),AD58)</f>
        <v>0</v>
      </c>
      <c r="AF58" s="39">
        <f>MAX(IFERROR(IF(INDEX('State Map'!$C:$C,MATCH(TRIM('RZSPbS-psgr-ldv'!$A58),'State Map'!$A:$A,0))="Max Ambition",Schedules!AB$4,AE58),AE58),AE58)</f>
        <v>0</v>
      </c>
    </row>
    <row r="59" spans="1:32" x14ac:dyDescent="0.25">
      <c r="A59" t="s">
        <v>58</v>
      </c>
      <c r="B59">
        <f>IF(AND(INDEX('CA Standards and Followers'!$E$7:$E$66,MATCH($A59,'CA Standards and Followers'!$A$7:$A$66,0))=1,INDEX('CA Standards and Followers'!$H$7:$H$66,MATCH($A59,'CA Standards and Followers'!$A$7:$A$66,0))&lt;=B$1),INDEX('CA Standards and Followers'!#REF!,MATCH(B$1,'CA Standards and Followers'!$1:$1,0)),IF(AND(INDEX('CA Standards and Followers'!$D$7:$D$66,MATCH($A59,'CA Standards and Followers'!$A$7:$A$66,0))=1,INDEX('CA Standards and Followers'!$G$7:$G$66,MATCH($A59,'CA Standards and Followers'!$A$7:$A$66,0))&lt;=B$1),INDEX('CA Standards and Followers'!$2:$2,MATCH(B$1,'CA Standards and Followers'!$1:$1,0)),0))</f>
        <v>0</v>
      </c>
      <c r="C59">
        <f>IF(AND(INDEX('CA Standards and Followers'!$E$7:$E$66,MATCH($A59,'CA Standards and Followers'!$A$7:$A$66,0))=1,INDEX('CA Standards and Followers'!$H$7:$H$66,MATCH($A59,'CA Standards and Followers'!$A$7:$A$66,0))&lt;=C$1),INDEX('CA Standards and Followers'!#REF!,MATCH(C$1,'CA Standards and Followers'!$1:$1,0)),IF(AND(INDEX('CA Standards and Followers'!$D$7:$D$66,MATCH($A59,'CA Standards and Followers'!$A$7:$A$66,0))=1,INDEX('CA Standards and Followers'!$G$7:$G$66,MATCH($A59,'CA Standards and Followers'!$A$7:$A$66,0))&lt;=C$1),INDEX('CA Standards and Followers'!$2:$2,MATCH(C$1,'CA Standards and Followers'!$1:$1,0)),0))</f>
        <v>0</v>
      </c>
      <c r="D59">
        <f>IF(AND(INDEX('CA Standards and Followers'!$E$7:$E$66,MATCH($A59,'CA Standards and Followers'!$A$7:$A$66,0))=1,INDEX('CA Standards and Followers'!$H$7:$H$66,MATCH($A59,'CA Standards and Followers'!$A$7:$A$66,0))&lt;=D$1),INDEX('CA Standards and Followers'!#REF!,MATCH(D$1,'CA Standards and Followers'!$1:$1,0)),IF(AND(INDEX('CA Standards and Followers'!$D$7:$D$66,MATCH($A59,'CA Standards and Followers'!$A$7:$A$66,0))=1,INDEX('CA Standards and Followers'!$G$7:$G$66,MATCH($A59,'CA Standards and Followers'!$A$7:$A$66,0))&lt;=D$1),INDEX('CA Standards and Followers'!$2:$2,MATCH(D$1,'CA Standards and Followers'!$1:$1,0)),0))</f>
        <v>0</v>
      </c>
      <c r="E59">
        <f>IF(AND(INDEX('CA Standards and Followers'!$E$7:$E$66,MATCH($A59,'CA Standards and Followers'!$A$7:$A$66,0))=1,INDEX('CA Standards and Followers'!$H$7:$H$66,MATCH($A59,'CA Standards and Followers'!$A$7:$A$66,0))&lt;=E$1),INDEX('CA Standards and Followers'!#REF!,MATCH(E$1,'CA Standards and Followers'!$1:$1,0)),IF(AND(INDEX('CA Standards and Followers'!$D$7:$D$66,MATCH($A59,'CA Standards and Followers'!$A$7:$A$66,0))=1,INDEX('CA Standards and Followers'!$G$7:$G$66,MATCH($A59,'CA Standards and Followers'!$A$7:$A$66,0))&lt;=E$1),INDEX('CA Standards and Followers'!$2:$2,MATCH(E$1,'CA Standards and Followers'!$1:$1,0)),0))</f>
        <v>0</v>
      </c>
      <c r="F59">
        <f>IF(AND(INDEX('CA Standards and Followers'!$E$7:$E$66,MATCH($A59,'CA Standards and Followers'!$A$7:$A$66,0))=1,INDEX('CA Standards and Followers'!$H$7:$H$66,MATCH($A59,'CA Standards and Followers'!$A$7:$A$66,0))&lt;=F$1),INDEX('CA Standards and Followers'!#REF!,MATCH(F$1,'CA Standards and Followers'!$1:$1,0)),IF(AND(INDEX('CA Standards and Followers'!$D$7:$D$66,MATCH($A59,'CA Standards and Followers'!$A$7:$A$66,0))=1,INDEX('CA Standards and Followers'!$G$7:$G$66,MATCH($A59,'CA Standards and Followers'!$A$7:$A$66,0))&lt;=F$1),INDEX('CA Standards and Followers'!$2:$2,MATCH(F$1,'CA Standards and Followers'!$1:$1,0)),0))</f>
        <v>0</v>
      </c>
      <c r="G59">
        <f>IF(AND(INDEX('CA Standards and Followers'!$E$7:$E$66,MATCH($A59,'CA Standards and Followers'!$A$7:$A$66,0))=1,INDEX('CA Standards and Followers'!$H$7:$H$66,MATCH($A59,'CA Standards and Followers'!$A$7:$A$66,0))&lt;=G$1),INDEX('CA Standards and Followers'!#REF!,MATCH(G$1,'CA Standards and Followers'!$1:$1,0)),IF(AND(INDEX('CA Standards and Followers'!$D$7:$D$66,MATCH($A59,'CA Standards and Followers'!$A$7:$A$66,0))=1,INDEX('CA Standards and Followers'!$G$7:$G$66,MATCH($A59,'CA Standards and Followers'!$A$7:$A$66,0))&lt;=G$1),INDEX('CA Standards and Followers'!$2:$2,MATCH(G$1,'CA Standards and Followers'!$1:$1,0)),0))</f>
        <v>0</v>
      </c>
      <c r="H59">
        <f>IF(AND(INDEX('CA Standards and Followers'!$E$7:$E$66,MATCH($A59,'CA Standards and Followers'!$A$7:$A$66,0))=1,INDEX('CA Standards and Followers'!$H$7:$H$66,MATCH($A59,'CA Standards and Followers'!$A$7:$A$66,0))&lt;=H$1),INDEX('CA Standards and Followers'!#REF!,MATCH(H$1,'CA Standards and Followers'!$1:$1,0)),IF(AND(INDEX('CA Standards and Followers'!$D$7:$D$66,MATCH($A59,'CA Standards and Followers'!$A$7:$A$66,0))=1,INDEX('CA Standards and Followers'!$G$7:$G$66,MATCH($A59,'CA Standards and Followers'!$A$7:$A$66,0))&lt;=H$1),INDEX('CA Standards and Followers'!$2:$2,MATCH(H$1,'CA Standards and Followers'!$1:$1,0)),0))</f>
        <v>0</v>
      </c>
      <c r="I59">
        <f>IF(AND(INDEX('CA Standards and Followers'!$E$7:$E$66,MATCH($A59,'CA Standards and Followers'!$A$7:$A$66,0))=1,INDEX('CA Standards and Followers'!$H$7:$H$66,MATCH($A59,'CA Standards and Followers'!$A$7:$A$66,0))&lt;=I$1),INDEX('CA Standards and Followers'!#REF!,MATCH(I$1,'CA Standards and Followers'!$1:$1,0)),IF(AND(INDEX('CA Standards and Followers'!$D$7:$D$66,MATCH($A59,'CA Standards and Followers'!$A$7:$A$66,0))=1,INDEX('CA Standards and Followers'!$G$7:$G$66,MATCH($A59,'CA Standards and Followers'!$A$7:$A$66,0))&lt;=I$1),INDEX('CA Standards and Followers'!$2:$2,MATCH(I$1,'CA Standards and Followers'!$1:$1,0)),0))</f>
        <v>0</v>
      </c>
      <c r="J59">
        <f>IF(AND(INDEX('CA Standards and Followers'!$E$7:$E$66,MATCH($A59,'CA Standards and Followers'!$A$7:$A$66,0))=1,INDEX('CA Standards and Followers'!$H$7:$H$66,MATCH($A59,'CA Standards and Followers'!$A$7:$A$66,0))&lt;=J$1),INDEX('CA Standards and Followers'!#REF!,MATCH(J$1,'CA Standards and Followers'!$1:$1,0)),IF(AND(INDEX('CA Standards and Followers'!$D$7:$D$66,MATCH($A59,'CA Standards and Followers'!$A$7:$A$66,0))=1,INDEX('CA Standards and Followers'!$G$7:$G$66,MATCH($A59,'CA Standards and Followers'!$A$7:$A$66,0))&lt;=J$1),INDEX('CA Standards and Followers'!$2:$2,MATCH(J$1,'CA Standards and Followers'!$1:$1,0)),0))</f>
        <v>0</v>
      </c>
      <c r="K59" s="39">
        <f>MAX(IFERROR(IF(INDEX('State Map'!$C:$C,MATCH(TRIM('RZSPbS-psgr-ldv'!$A59),'State Map'!$A:$A,0))="Max Ambition",Schedules!G$4,J59),J59),J59)</f>
        <v>0</v>
      </c>
      <c r="L59" s="39">
        <f>MAX(IFERROR(IF(INDEX('State Map'!$C:$C,MATCH(TRIM('RZSPbS-psgr-ldv'!$A59),'State Map'!$A:$A,0))="Max Ambition",Schedules!H$4,K59),K59),K59)</f>
        <v>0</v>
      </c>
      <c r="M59" s="39">
        <f>MAX(IFERROR(IF(INDEX('State Map'!$C:$C,MATCH(TRIM('RZSPbS-psgr-ldv'!$A59),'State Map'!$A:$A,0))="Max Ambition",Schedules!I$4,L59),L59),L59)</f>
        <v>0</v>
      </c>
      <c r="N59" s="39">
        <f>MAX(IFERROR(IF(INDEX('State Map'!$C:$C,MATCH(TRIM('RZSPbS-psgr-ldv'!$A59),'State Map'!$A:$A,0))="Max Ambition",Schedules!J$4,M59),M59),M59)</f>
        <v>0</v>
      </c>
      <c r="O59" s="39">
        <f>MAX(IFERROR(IF(INDEX('State Map'!$C:$C,MATCH(TRIM('RZSPbS-psgr-ldv'!$A59),'State Map'!$A:$A,0))="Max Ambition",Schedules!K$4,N59),N59),N59)</f>
        <v>0</v>
      </c>
      <c r="P59" s="39">
        <f>MAX(IFERROR(IF(INDEX('State Map'!$C:$C,MATCH(TRIM('RZSPbS-psgr-ldv'!$A59),'State Map'!$A:$A,0))="Max Ambition",Schedules!L$4,O59),O59),O59)</f>
        <v>0</v>
      </c>
      <c r="Q59" s="39">
        <f>MAX(IFERROR(IF(INDEX('State Map'!$C:$C,MATCH(TRIM('RZSPbS-psgr-ldv'!$A59),'State Map'!$A:$A,0))="Max Ambition",Schedules!M$4,P59),P59),P59)</f>
        <v>0</v>
      </c>
      <c r="R59" s="39">
        <f>MAX(IFERROR(IF(INDEX('State Map'!$C:$C,MATCH(TRIM('RZSPbS-psgr-ldv'!$A59),'State Map'!$A:$A,0))="Max Ambition",Schedules!N$4,Q59),Q59),Q59)</f>
        <v>0</v>
      </c>
      <c r="S59" s="39">
        <f>MAX(IFERROR(IF(INDEX('State Map'!$C:$C,MATCH(TRIM('RZSPbS-psgr-ldv'!$A59),'State Map'!$A:$A,0))="Max Ambition",Schedules!O$4,R59),R59),R59)</f>
        <v>0</v>
      </c>
      <c r="T59" s="39">
        <f>MAX(IFERROR(IF(INDEX('State Map'!$C:$C,MATCH(TRIM('RZSPbS-psgr-ldv'!$A59),'State Map'!$A:$A,0))="Max Ambition",Schedules!P$4,S59),S59),S59)</f>
        <v>0</v>
      </c>
      <c r="U59" s="39">
        <f>MAX(IFERROR(IF(INDEX('State Map'!$C:$C,MATCH(TRIM('RZSPbS-psgr-ldv'!$A59),'State Map'!$A:$A,0))="Max Ambition",Schedules!Q$4,T59),T59),T59)</f>
        <v>0</v>
      </c>
      <c r="V59" s="39">
        <f>MAX(IFERROR(IF(INDEX('State Map'!$C:$C,MATCH(TRIM('RZSPbS-psgr-ldv'!$A59),'State Map'!$A:$A,0))="Max Ambition",Schedules!R$4,U59),U59),U59)</f>
        <v>0</v>
      </c>
      <c r="W59" s="39">
        <f>MAX(IFERROR(IF(INDEX('State Map'!$C:$C,MATCH(TRIM('RZSPbS-psgr-ldv'!$A59),'State Map'!$A:$A,0))="Max Ambition",Schedules!S$4,V59),V59),V59)</f>
        <v>0</v>
      </c>
      <c r="X59" s="39">
        <f>MAX(IFERROR(IF(INDEX('State Map'!$C:$C,MATCH(TRIM('RZSPbS-psgr-ldv'!$A59),'State Map'!$A:$A,0))="Max Ambition",Schedules!T$4,W59),W59),W59)</f>
        <v>0</v>
      </c>
      <c r="Y59" s="39">
        <f>MAX(IFERROR(IF(INDEX('State Map'!$C:$C,MATCH(TRIM('RZSPbS-psgr-ldv'!$A59),'State Map'!$A:$A,0))="Max Ambition",Schedules!U$4,X59),X59),X59)</f>
        <v>0</v>
      </c>
      <c r="Z59" s="39">
        <f>MAX(IFERROR(IF(INDEX('State Map'!$C:$C,MATCH(TRIM('RZSPbS-psgr-ldv'!$A59),'State Map'!$A:$A,0))="Max Ambition",Schedules!V$4,Y59),Y59),Y59)</f>
        <v>0</v>
      </c>
      <c r="AA59" s="39">
        <f>MAX(IFERROR(IF(INDEX('State Map'!$C:$C,MATCH(TRIM('RZSPbS-psgr-ldv'!$A59),'State Map'!$A:$A,0))="Max Ambition",Schedules!W$4,Z59),Z59),Z59)</f>
        <v>0</v>
      </c>
      <c r="AB59" s="39">
        <f>MAX(IFERROR(IF(INDEX('State Map'!$C:$C,MATCH(TRIM('RZSPbS-psgr-ldv'!$A59),'State Map'!$A:$A,0))="Max Ambition",Schedules!X$4,AA59),AA59),AA59)</f>
        <v>0</v>
      </c>
      <c r="AC59" s="39">
        <f>MAX(IFERROR(IF(INDEX('State Map'!$C:$C,MATCH(TRIM('RZSPbS-psgr-ldv'!$A59),'State Map'!$A:$A,0))="Max Ambition",Schedules!Y$4,AB59),AB59),AB59)</f>
        <v>0</v>
      </c>
      <c r="AD59" s="39">
        <f>MAX(IFERROR(IF(INDEX('State Map'!$C:$C,MATCH(TRIM('RZSPbS-psgr-ldv'!$A59),'State Map'!$A:$A,0))="Max Ambition",Schedules!Z$4,AC59),AC59),AC59)</f>
        <v>0</v>
      </c>
      <c r="AE59" s="39">
        <f>MAX(IFERROR(IF(INDEX('State Map'!$C:$C,MATCH(TRIM('RZSPbS-psgr-ldv'!$A59),'State Map'!$A:$A,0))="Max Ambition",Schedules!AA$4,AD59),AD59),AD59)</f>
        <v>0</v>
      </c>
      <c r="AF59" s="39">
        <f>MAX(IFERROR(IF(INDEX('State Map'!$C:$C,MATCH(TRIM('RZSPbS-psgr-ldv'!$A59),'State Map'!$A:$A,0))="Max Ambition",Schedules!AB$4,AE59),AE59),AE59)</f>
        <v>0</v>
      </c>
    </row>
    <row r="60" spans="1:32" x14ac:dyDescent="0.25">
      <c r="A60" t="s">
        <v>59</v>
      </c>
      <c r="B60">
        <f>IF(AND(INDEX('CA Standards and Followers'!$E$7:$E$66,MATCH($A60,'CA Standards and Followers'!$A$7:$A$66,0))=1,INDEX('CA Standards and Followers'!$H$7:$H$66,MATCH($A60,'CA Standards and Followers'!$A$7:$A$66,0))&lt;=B$1),INDEX('CA Standards and Followers'!#REF!,MATCH(B$1,'CA Standards and Followers'!$1:$1,0)),IF(AND(INDEX('CA Standards and Followers'!$D$7:$D$66,MATCH($A60,'CA Standards and Followers'!$A$7:$A$66,0))=1,INDEX('CA Standards and Followers'!$G$7:$G$66,MATCH($A60,'CA Standards and Followers'!$A$7:$A$66,0))&lt;=B$1),INDEX('CA Standards and Followers'!$2:$2,MATCH(B$1,'CA Standards and Followers'!$1:$1,0)),0))</f>
        <v>0</v>
      </c>
      <c r="C60">
        <f>IF(AND(INDEX('CA Standards and Followers'!$E$7:$E$66,MATCH($A60,'CA Standards and Followers'!$A$7:$A$66,0))=1,INDEX('CA Standards and Followers'!$H$7:$H$66,MATCH($A60,'CA Standards and Followers'!$A$7:$A$66,0))&lt;=C$1),INDEX('CA Standards and Followers'!#REF!,MATCH(C$1,'CA Standards and Followers'!$1:$1,0)),IF(AND(INDEX('CA Standards and Followers'!$D$7:$D$66,MATCH($A60,'CA Standards and Followers'!$A$7:$A$66,0))=1,INDEX('CA Standards and Followers'!$G$7:$G$66,MATCH($A60,'CA Standards and Followers'!$A$7:$A$66,0))&lt;=C$1),INDEX('CA Standards and Followers'!$2:$2,MATCH(C$1,'CA Standards and Followers'!$1:$1,0)),0))</f>
        <v>0</v>
      </c>
      <c r="D60">
        <f>IF(AND(INDEX('CA Standards and Followers'!$E$7:$E$66,MATCH($A60,'CA Standards and Followers'!$A$7:$A$66,0))=1,INDEX('CA Standards and Followers'!$H$7:$H$66,MATCH($A60,'CA Standards and Followers'!$A$7:$A$66,0))&lt;=D$1),INDEX('CA Standards and Followers'!#REF!,MATCH(D$1,'CA Standards and Followers'!$1:$1,0)),IF(AND(INDEX('CA Standards and Followers'!$D$7:$D$66,MATCH($A60,'CA Standards and Followers'!$A$7:$A$66,0))=1,INDEX('CA Standards and Followers'!$G$7:$G$66,MATCH($A60,'CA Standards and Followers'!$A$7:$A$66,0))&lt;=D$1),INDEX('CA Standards and Followers'!$2:$2,MATCH(D$1,'CA Standards and Followers'!$1:$1,0)),0))</f>
        <v>0</v>
      </c>
      <c r="E60">
        <f>IF(AND(INDEX('CA Standards and Followers'!$E$7:$E$66,MATCH($A60,'CA Standards and Followers'!$A$7:$A$66,0))=1,INDEX('CA Standards and Followers'!$H$7:$H$66,MATCH($A60,'CA Standards and Followers'!$A$7:$A$66,0))&lt;=E$1),INDEX('CA Standards and Followers'!#REF!,MATCH(E$1,'CA Standards and Followers'!$1:$1,0)),IF(AND(INDEX('CA Standards and Followers'!$D$7:$D$66,MATCH($A60,'CA Standards and Followers'!$A$7:$A$66,0))=1,INDEX('CA Standards and Followers'!$G$7:$G$66,MATCH($A60,'CA Standards and Followers'!$A$7:$A$66,0))&lt;=E$1),INDEX('CA Standards and Followers'!$2:$2,MATCH(E$1,'CA Standards and Followers'!$1:$1,0)),0))</f>
        <v>0</v>
      </c>
      <c r="F60">
        <f>IF(AND(INDEX('CA Standards and Followers'!$E$7:$E$66,MATCH($A60,'CA Standards and Followers'!$A$7:$A$66,0))=1,INDEX('CA Standards and Followers'!$H$7:$H$66,MATCH($A60,'CA Standards and Followers'!$A$7:$A$66,0))&lt;=F$1),INDEX('CA Standards and Followers'!#REF!,MATCH(F$1,'CA Standards and Followers'!$1:$1,0)),IF(AND(INDEX('CA Standards and Followers'!$D$7:$D$66,MATCH($A60,'CA Standards and Followers'!$A$7:$A$66,0))=1,INDEX('CA Standards and Followers'!$G$7:$G$66,MATCH($A60,'CA Standards and Followers'!$A$7:$A$66,0))&lt;=F$1),INDEX('CA Standards and Followers'!$2:$2,MATCH(F$1,'CA Standards and Followers'!$1:$1,0)),0))</f>
        <v>0</v>
      </c>
      <c r="G60">
        <f>IF(AND(INDEX('CA Standards and Followers'!$E$7:$E$66,MATCH($A60,'CA Standards and Followers'!$A$7:$A$66,0))=1,INDEX('CA Standards and Followers'!$H$7:$H$66,MATCH($A60,'CA Standards and Followers'!$A$7:$A$66,0))&lt;=G$1),INDEX('CA Standards and Followers'!#REF!,MATCH(G$1,'CA Standards and Followers'!$1:$1,0)),IF(AND(INDEX('CA Standards and Followers'!$D$7:$D$66,MATCH($A60,'CA Standards and Followers'!$A$7:$A$66,0))=1,INDEX('CA Standards and Followers'!$G$7:$G$66,MATCH($A60,'CA Standards and Followers'!$A$7:$A$66,0))&lt;=G$1),INDEX('CA Standards and Followers'!$2:$2,MATCH(G$1,'CA Standards and Followers'!$1:$1,0)),0))</f>
        <v>0</v>
      </c>
      <c r="H60">
        <f>IF(AND(INDEX('CA Standards and Followers'!$E$7:$E$66,MATCH($A60,'CA Standards and Followers'!$A$7:$A$66,0))=1,INDEX('CA Standards and Followers'!$H$7:$H$66,MATCH($A60,'CA Standards and Followers'!$A$7:$A$66,0))&lt;=H$1),INDEX('CA Standards and Followers'!#REF!,MATCH(H$1,'CA Standards and Followers'!$1:$1,0)),IF(AND(INDEX('CA Standards and Followers'!$D$7:$D$66,MATCH($A60,'CA Standards and Followers'!$A$7:$A$66,0))=1,INDEX('CA Standards and Followers'!$G$7:$G$66,MATCH($A60,'CA Standards and Followers'!$A$7:$A$66,0))&lt;=H$1),INDEX('CA Standards and Followers'!$2:$2,MATCH(H$1,'CA Standards and Followers'!$1:$1,0)),0))</f>
        <v>0</v>
      </c>
      <c r="I60">
        <f>IF(AND(INDEX('CA Standards and Followers'!$E$7:$E$66,MATCH($A60,'CA Standards and Followers'!$A$7:$A$66,0))=1,INDEX('CA Standards and Followers'!$H$7:$H$66,MATCH($A60,'CA Standards and Followers'!$A$7:$A$66,0))&lt;=I$1),INDEX('CA Standards and Followers'!#REF!,MATCH(I$1,'CA Standards and Followers'!$1:$1,0)),IF(AND(INDEX('CA Standards and Followers'!$D$7:$D$66,MATCH($A60,'CA Standards and Followers'!$A$7:$A$66,0))=1,INDEX('CA Standards and Followers'!$G$7:$G$66,MATCH($A60,'CA Standards and Followers'!$A$7:$A$66,0))&lt;=I$1),INDEX('CA Standards and Followers'!$2:$2,MATCH(I$1,'CA Standards and Followers'!$1:$1,0)),0))</f>
        <v>0</v>
      </c>
      <c r="J60">
        <f>IF(AND(INDEX('CA Standards and Followers'!$E$7:$E$66,MATCH($A60,'CA Standards and Followers'!$A$7:$A$66,0))=1,INDEX('CA Standards and Followers'!$H$7:$H$66,MATCH($A60,'CA Standards and Followers'!$A$7:$A$66,0))&lt;=J$1),INDEX('CA Standards and Followers'!#REF!,MATCH(J$1,'CA Standards and Followers'!$1:$1,0)),IF(AND(INDEX('CA Standards and Followers'!$D$7:$D$66,MATCH($A60,'CA Standards and Followers'!$A$7:$A$66,0))=1,INDEX('CA Standards and Followers'!$G$7:$G$66,MATCH($A60,'CA Standards and Followers'!$A$7:$A$66,0))&lt;=J$1),INDEX('CA Standards and Followers'!$2:$2,MATCH(J$1,'CA Standards and Followers'!$1:$1,0)),0))</f>
        <v>0</v>
      </c>
      <c r="K60" s="39">
        <f>MAX(IFERROR(IF(INDEX('State Map'!$C:$C,MATCH(TRIM('RZSPbS-psgr-ldv'!$A60),'State Map'!$A:$A,0))="Max Ambition",Schedules!G$4,J60),J60),J60)</f>
        <v>0</v>
      </c>
      <c r="L60" s="39">
        <f>MAX(IFERROR(IF(INDEX('State Map'!$C:$C,MATCH(TRIM('RZSPbS-psgr-ldv'!$A60),'State Map'!$A:$A,0))="Max Ambition",Schedules!H$4,K60),K60),K60)</f>
        <v>0</v>
      </c>
      <c r="M60" s="39">
        <f>MAX(IFERROR(IF(INDEX('State Map'!$C:$C,MATCH(TRIM('RZSPbS-psgr-ldv'!$A60),'State Map'!$A:$A,0))="Max Ambition",Schedules!I$4,L60),L60),L60)</f>
        <v>0</v>
      </c>
      <c r="N60" s="39">
        <f>MAX(IFERROR(IF(INDEX('State Map'!$C:$C,MATCH(TRIM('RZSPbS-psgr-ldv'!$A60),'State Map'!$A:$A,0))="Max Ambition",Schedules!J$4,M60),M60),M60)</f>
        <v>0</v>
      </c>
      <c r="O60" s="39">
        <f>MAX(IFERROR(IF(INDEX('State Map'!$C:$C,MATCH(TRIM('RZSPbS-psgr-ldv'!$A60),'State Map'!$A:$A,0))="Max Ambition",Schedules!K$4,N60),N60),N60)</f>
        <v>0</v>
      </c>
      <c r="P60" s="39">
        <f>MAX(IFERROR(IF(INDEX('State Map'!$C:$C,MATCH(TRIM('RZSPbS-psgr-ldv'!$A60),'State Map'!$A:$A,0))="Max Ambition",Schedules!L$4,O60),O60),O60)</f>
        <v>0</v>
      </c>
      <c r="Q60" s="39">
        <f>MAX(IFERROR(IF(INDEX('State Map'!$C:$C,MATCH(TRIM('RZSPbS-psgr-ldv'!$A60),'State Map'!$A:$A,0))="Max Ambition",Schedules!M$4,P60),P60),P60)</f>
        <v>0</v>
      </c>
      <c r="R60" s="39">
        <f>MAX(IFERROR(IF(INDEX('State Map'!$C:$C,MATCH(TRIM('RZSPbS-psgr-ldv'!$A60),'State Map'!$A:$A,0))="Max Ambition",Schedules!N$4,Q60),Q60),Q60)</f>
        <v>0</v>
      </c>
      <c r="S60" s="39">
        <f>MAX(IFERROR(IF(INDEX('State Map'!$C:$C,MATCH(TRIM('RZSPbS-psgr-ldv'!$A60),'State Map'!$A:$A,0))="Max Ambition",Schedules!O$4,R60),R60),R60)</f>
        <v>0</v>
      </c>
      <c r="T60" s="39">
        <f>MAX(IFERROR(IF(INDEX('State Map'!$C:$C,MATCH(TRIM('RZSPbS-psgr-ldv'!$A60),'State Map'!$A:$A,0))="Max Ambition",Schedules!P$4,S60),S60),S60)</f>
        <v>0</v>
      </c>
      <c r="U60" s="39">
        <f>MAX(IFERROR(IF(INDEX('State Map'!$C:$C,MATCH(TRIM('RZSPbS-psgr-ldv'!$A60),'State Map'!$A:$A,0))="Max Ambition",Schedules!Q$4,T60),T60),T60)</f>
        <v>0</v>
      </c>
      <c r="V60" s="39">
        <f>MAX(IFERROR(IF(INDEX('State Map'!$C:$C,MATCH(TRIM('RZSPbS-psgr-ldv'!$A60),'State Map'!$A:$A,0))="Max Ambition",Schedules!R$4,U60),U60),U60)</f>
        <v>0</v>
      </c>
      <c r="W60" s="39">
        <f>MAX(IFERROR(IF(INDEX('State Map'!$C:$C,MATCH(TRIM('RZSPbS-psgr-ldv'!$A60),'State Map'!$A:$A,0))="Max Ambition",Schedules!S$4,V60),V60),V60)</f>
        <v>0</v>
      </c>
      <c r="X60" s="39">
        <f>MAX(IFERROR(IF(INDEX('State Map'!$C:$C,MATCH(TRIM('RZSPbS-psgr-ldv'!$A60),'State Map'!$A:$A,0))="Max Ambition",Schedules!T$4,W60),W60),W60)</f>
        <v>0</v>
      </c>
      <c r="Y60" s="39">
        <f>MAX(IFERROR(IF(INDEX('State Map'!$C:$C,MATCH(TRIM('RZSPbS-psgr-ldv'!$A60),'State Map'!$A:$A,0))="Max Ambition",Schedules!U$4,X60),X60),X60)</f>
        <v>0</v>
      </c>
      <c r="Z60" s="39">
        <f>MAX(IFERROR(IF(INDEX('State Map'!$C:$C,MATCH(TRIM('RZSPbS-psgr-ldv'!$A60),'State Map'!$A:$A,0))="Max Ambition",Schedules!V$4,Y60),Y60),Y60)</f>
        <v>0</v>
      </c>
      <c r="AA60" s="39">
        <f>MAX(IFERROR(IF(INDEX('State Map'!$C:$C,MATCH(TRIM('RZSPbS-psgr-ldv'!$A60),'State Map'!$A:$A,0))="Max Ambition",Schedules!W$4,Z60),Z60),Z60)</f>
        <v>0</v>
      </c>
      <c r="AB60" s="39">
        <f>MAX(IFERROR(IF(INDEX('State Map'!$C:$C,MATCH(TRIM('RZSPbS-psgr-ldv'!$A60),'State Map'!$A:$A,0))="Max Ambition",Schedules!X$4,AA60),AA60),AA60)</f>
        <v>0</v>
      </c>
      <c r="AC60" s="39">
        <f>MAX(IFERROR(IF(INDEX('State Map'!$C:$C,MATCH(TRIM('RZSPbS-psgr-ldv'!$A60),'State Map'!$A:$A,0))="Max Ambition",Schedules!Y$4,AB60),AB60),AB60)</f>
        <v>0</v>
      </c>
      <c r="AD60" s="39">
        <f>MAX(IFERROR(IF(INDEX('State Map'!$C:$C,MATCH(TRIM('RZSPbS-psgr-ldv'!$A60),'State Map'!$A:$A,0))="Max Ambition",Schedules!Z$4,AC60),AC60),AC60)</f>
        <v>0</v>
      </c>
      <c r="AE60" s="39">
        <f>MAX(IFERROR(IF(INDEX('State Map'!$C:$C,MATCH(TRIM('RZSPbS-psgr-ldv'!$A60),'State Map'!$A:$A,0))="Max Ambition",Schedules!AA$4,AD60),AD60),AD60)</f>
        <v>0</v>
      </c>
      <c r="AF60" s="39">
        <f>MAX(IFERROR(IF(INDEX('State Map'!$C:$C,MATCH(TRIM('RZSPbS-psgr-ldv'!$A60),'State Map'!$A:$A,0))="Max Ambition",Schedules!AB$4,AE60),AE60),AE60)</f>
        <v>0</v>
      </c>
    </row>
    <row r="61" spans="1:32" x14ac:dyDescent="0.25">
      <c r="A61" t="s">
        <v>60</v>
      </c>
      <c r="B61">
        <f>IF(AND(INDEX('CA Standards and Followers'!$E$7:$E$66,MATCH($A61,'CA Standards and Followers'!$A$7:$A$66,0))=1,INDEX('CA Standards and Followers'!$H$7:$H$66,MATCH($A61,'CA Standards and Followers'!$A$7:$A$66,0))&lt;=B$1),INDEX('CA Standards and Followers'!#REF!,MATCH(B$1,'CA Standards and Followers'!$1:$1,0)),IF(AND(INDEX('CA Standards and Followers'!$D$7:$D$66,MATCH($A61,'CA Standards and Followers'!$A$7:$A$66,0))=1,INDEX('CA Standards and Followers'!$G$7:$G$66,MATCH($A61,'CA Standards and Followers'!$A$7:$A$66,0))&lt;=B$1),INDEX('CA Standards and Followers'!$2:$2,MATCH(B$1,'CA Standards and Followers'!$1:$1,0)),0))</f>
        <v>0</v>
      </c>
      <c r="C61">
        <f>IF(AND(INDEX('CA Standards and Followers'!$E$7:$E$66,MATCH($A61,'CA Standards and Followers'!$A$7:$A$66,0))=1,INDEX('CA Standards and Followers'!$H$7:$H$66,MATCH($A61,'CA Standards and Followers'!$A$7:$A$66,0))&lt;=C$1),INDEX('CA Standards and Followers'!#REF!,MATCH(C$1,'CA Standards and Followers'!$1:$1,0)),IF(AND(INDEX('CA Standards and Followers'!$D$7:$D$66,MATCH($A61,'CA Standards and Followers'!$A$7:$A$66,0))=1,INDEX('CA Standards and Followers'!$G$7:$G$66,MATCH($A61,'CA Standards and Followers'!$A$7:$A$66,0))&lt;=C$1),INDEX('CA Standards and Followers'!$2:$2,MATCH(C$1,'CA Standards and Followers'!$1:$1,0)),0))</f>
        <v>0</v>
      </c>
      <c r="D61">
        <f>IF(AND(INDEX('CA Standards and Followers'!$E$7:$E$66,MATCH($A61,'CA Standards and Followers'!$A$7:$A$66,0))=1,INDEX('CA Standards and Followers'!$H$7:$H$66,MATCH($A61,'CA Standards and Followers'!$A$7:$A$66,0))&lt;=D$1),INDEX('CA Standards and Followers'!#REF!,MATCH(D$1,'CA Standards and Followers'!$1:$1,0)),IF(AND(INDEX('CA Standards and Followers'!$D$7:$D$66,MATCH($A61,'CA Standards and Followers'!$A$7:$A$66,0))=1,INDEX('CA Standards and Followers'!$G$7:$G$66,MATCH($A61,'CA Standards and Followers'!$A$7:$A$66,0))&lt;=D$1),INDEX('CA Standards and Followers'!$2:$2,MATCH(D$1,'CA Standards and Followers'!$1:$1,0)),0))</f>
        <v>0</v>
      </c>
      <c r="E61">
        <f>IF(AND(INDEX('CA Standards and Followers'!$E$7:$E$66,MATCH($A61,'CA Standards and Followers'!$A$7:$A$66,0))=1,INDEX('CA Standards and Followers'!$H$7:$H$66,MATCH($A61,'CA Standards and Followers'!$A$7:$A$66,0))&lt;=E$1),INDEX('CA Standards and Followers'!#REF!,MATCH(E$1,'CA Standards and Followers'!$1:$1,0)),IF(AND(INDEX('CA Standards and Followers'!$D$7:$D$66,MATCH($A61,'CA Standards and Followers'!$A$7:$A$66,0))=1,INDEX('CA Standards and Followers'!$G$7:$G$66,MATCH($A61,'CA Standards and Followers'!$A$7:$A$66,0))&lt;=E$1),INDEX('CA Standards and Followers'!$2:$2,MATCH(E$1,'CA Standards and Followers'!$1:$1,0)),0))</f>
        <v>0</v>
      </c>
      <c r="F61">
        <f>IF(AND(INDEX('CA Standards and Followers'!$E$7:$E$66,MATCH($A61,'CA Standards and Followers'!$A$7:$A$66,0))=1,INDEX('CA Standards and Followers'!$H$7:$H$66,MATCH($A61,'CA Standards and Followers'!$A$7:$A$66,0))&lt;=F$1),INDEX('CA Standards and Followers'!#REF!,MATCH(F$1,'CA Standards and Followers'!$1:$1,0)),IF(AND(INDEX('CA Standards and Followers'!$D$7:$D$66,MATCH($A61,'CA Standards and Followers'!$A$7:$A$66,0))=1,INDEX('CA Standards and Followers'!$G$7:$G$66,MATCH($A61,'CA Standards and Followers'!$A$7:$A$66,0))&lt;=F$1),INDEX('CA Standards and Followers'!$2:$2,MATCH(F$1,'CA Standards and Followers'!$1:$1,0)),0))</f>
        <v>0</v>
      </c>
      <c r="G61">
        <f>IF(AND(INDEX('CA Standards and Followers'!$E$7:$E$66,MATCH($A61,'CA Standards and Followers'!$A$7:$A$66,0))=1,INDEX('CA Standards and Followers'!$H$7:$H$66,MATCH($A61,'CA Standards and Followers'!$A$7:$A$66,0))&lt;=G$1),INDEX('CA Standards and Followers'!#REF!,MATCH(G$1,'CA Standards and Followers'!$1:$1,0)),IF(AND(INDEX('CA Standards and Followers'!$D$7:$D$66,MATCH($A61,'CA Standards and Followers'!$A$7:$A$66,0))=1,INDEX('CA Standards and Followers'!$G$7:$G$66,MATCH($A61,'CA Standards and Followers'!$A$7:$A$66,0))&lt;=G$1),INDEX('CA Standards and Followers'!$2:$2,MATCH(G$1,'CA Standards and Followers'!$1:$1,0)),0))</f>
        <v>0</v>
      </c>
      <c r="H61">
        <f>IF(AND(INDEX('CA Standards and Followers'!$E$7:$E$66,MATCH($A61,'CA Standards and Followers'!$A$7:$A$66,0))=1,INDEX('CA Standards and Followers'!$H$7:$H$66,MATCH($A61,'CA Standards and Followers'!$A$7:$A$66,0))&lt;=H$1),INDEX('CA Standards and Followers'!#REF!,MATCH(H$1,'CA Standards and Followers'!$1:$1,0)),IF(AND(INDEX('CA Standards and Followers'!$D$7:$D$66,MATCH($A61,'CA Standards and Followers'!$A$7:$A$66,0))=1,INDEX('CA Standards and Followers'!$G$7:$G$66,MATCH($A61,'CA Standards and Followers'!$A$7:$A$66,0))&lt;=H$1),INDEX('CA Standards and Followers'!$2:$2,MATCH(H$1,'CA Standards and Followers'!$1:$1,0)),0))</f>
        <v>0</v>
      </c>
      <c r="I61">
        <f>IF(AND(INDEX('CA Standards and Followers'!$E$7:$E$66,MATCH($A61,'CA Standards and Followers'!$A$7:$A$66,0))=1,INDEX('CA Standards and Followers'!$H$7:$H$66,MATCH($A61,'CA Standards and Followers'!$A$7:$A$66,0))&lt;=I$1),INDEX('CA Standards and Followers'!#REF!,MATCH(I$1,'CA Standards and Followers'!$1:$1,0)),IF(AND(INDEX('CA Standards and Followers'!$D$7:$D$66,MATCH($A61,'CA Standards and Followers'!$A$7:$A$66,0))=1,INDEX('CA Standards and Followers'!$G$7:$G$66,MATCH($A61,'CA Standards and Followers'!$A$7:$A$66,0))&lt;=I$1),INDEX('CA Standards and Followers'!$2:$2,MATCH(I$1,'CA Standards and Followers'!$1:$1,0)),0))</f>
        <v>0</v>
      </c>
      <c r="J61">
        <f>IF(AND(INDEX('CA Standards and Followers'!$E$7:$E$66,MATCH($A61,'CA Standards and Followers'!$A$7:$A$66,0))=1,INDEX('CA Standards and Followers'!$H$7:$H$66,MATCH($A61,'CA Standards and Followers'!$A$7:$A$66,0))&lt;=J$1),INDEX('CA Standards and Followers'!#REF!,MATCH(J$1,'CA Standards and Followers'!$1:$1,0)),IF(AND(INDEX('CA Standards and Followers'!$D$7:$D$66,MATCH($A61,'CA Standards and Followers'!$A$7:$A$66,0))=1,INDEX('CA Standards and Followers'!$G$7:$G$66,MATCH($A61,'CA Standards and Followers'!$A$7:$A$66,0))&lt;=J$1),INDEX('CA Standards and Followers'!$2:$2,MATCH(J$1,'CA Standards and Followers'!$1:$1,0)),0))</f>
        <v>0</v>
      </c>
      <c r="K61" s="39">
        <f>MAX(IFERROR(IF(INDEX('State Map'!$C:$C,MATCH(TRIM('RZSPbS-psgr-ldv'!$A61),'State Map'!$A:$A,0))="Max Ambition",Schedules!G$4,J61),J61),J61)</f>
        <v>0</v>
      </c>
      <c r="L61" s="39">
        <f>MAX(IFERROR(IF(INDEX('State Map'!$C:$C,MATCH(TRIM('RZSPbS-psgr-ldv'!$A61),'State Map'!$A:$A,0))="Max Ambition",Schedules!H$4,K61),K61),K61)</f>
        <v>0</v>
      </c>
      <c r="M61" s="39">
        <f>MAX(IFERROR(IF(INDEX('State Map'!$C:$C,MATCH(TRIM('RZSPbS-psgr-ldv'!$A61),'State Map'!$A:$A,0))="Max Ambition",Schedules!I$4,L61),L61),L61)</f>
        <v>0</v>
      </c>
      <c r="N61" s="39">
        <f>MAX(IFERROR(IF(INDEX('State Map'!$C:$C,MATCH(TRIM('RZSPbS-psgr-ldv'!$A61),'State Map'!$A:$A,0))="Max Ambition",Schedules!J$4,M61),M61),M61)</f>
        <v>0</v>
      </c>
      <c r="O61" s="39">
        <f>MAX(IFERROR(IF(INDEX('State Map'!$C:$C,MATCH(TRIM('RZSPbS-psgr-ldv'!$A61),'State Map'!$A:$A,0))="Max Ambition",Schedules!K$4,N61),N61),N61)</f>
        <v>0</v>
      </c>
      <c r="P61" s="39">
        <f>MAX(IFERROR(IF(INDEX('State Map'!$C:$C,MATCH(TRIM('RZSPbS-psgr-ldv'!$A61),'State Map'!$A:$A,0))="Max Ambition",Schedules!L$4,O61),O61),O61)</f>
        <v>0</v>
      </c>
      <c r="Q61" s="39">
        <f>MAX(IFERROR(IF(INDEX('State Map'!$C:$C,MATCH(TRIM('RZSPbS-psgr-ldv'!$A61),'State Map'!$A:$A,0))="Max Ambition",Schedules!M$4,P61),P61),P61)</f>
        <v>0</v>
      </c>
      <c r="R61" s="39">
        <f>MAX(IFERROR(IF(INDEX('State Map'!$C:$C,MATCH(TRIM('RZSPbS-psgr-ldv'!$A61),'State Map'!$A:$A,0))="Max Ambition",Schedules!N$4,Q61),Q61),Q61)</f>
        <v>0</v>
      </c>
      <c r="S61" s="39">
        <f>MAX(IFERROR(IF(INDEX('State Map'!$C:$C,MATCH(TRIM('RZSPbS-psgr-ldv'!$A61),'State Map'!$A:$A,0))="Max Ambition",Schedules!O$4,R61),R61),R61)</f>
        <v>0</v>
      </c>
      <c r="T61" s="39">
        <f>MAX(IFERROR(IF(INDEX('State Map'!$C:$C,MATCH(TRIM('RZSPbS-psgr-ldv'!$A61),'State Map'!$A:$A,0))="Max Ambition",Schedules!P$4,S61),S61),S61)</f>
        <v>0</v>
      </c>
      <c r="U61" s="39">
        <f>MAX(IFERROR(IF(INDEX('State Map'!$C:$C,MATCH(TRIM('RZSPbS-psgr-ldv'!$A61),'State Map'!$A:$A,0))="Max Ambition",Schedules!Q$4,T61),T61),T61)</f>
        <v>0</v>
      </c>
      <c r="V61" s="39">
        <f>MAX(IFERROR(IF(INDEX('State Map'!$C:$C,MATCH(TRIM('RZSPbS-psgr-ldv'!$A61),'State Map'!$A:$A,0))="Max Ambition",Schedules!R$4,U61),U61),U61)</f>
        <v>0</v>
      </c>
      <c r="W61" s="39">
        <f>MAX(IFERROR(IF(INDEX('State Map'!$C:$C,MATCH(TRIM('RZSPbS-psgr-ldv'!$A61),'State Map'!$A:$A,0))="Max Ambition",Schedules!S$4,V61),V61),V61)</f>
        <v>0</v>
      </c>
      <c r="X61" s="39">
        <f>MAX(IFERROR(IF(INDEX('State Map'!$C:$C,MATCH(TRIM('RZSPbS-psgr-ldv'!$A61),'State Map'!$A:$A,0))="Max Ambition",Schedules!T$4,W61),W61),W61)</f>
        <v>0</v>
      </c>
      <c r="Y61" s="39">
        <f>MAX(IFERROR(IF(INDEX('State Map'!$C:$C,MATCH(TRIM('RZSPbS-psgr-ldv'!$A61),'State Map'!$A:$A,0))="Max Ambition",Schedules!U$4,X61),X61),X61)</f>
        <v>0</v>
      </c>
      <c r="Z61" s="39">
        <f>MAX(IFERROR(IF(INDEX('State Map'!$C:$C,MATCH(TRIM('RZSPbS-psgr-ldv'!$A61),'State Map'!$A:$A,0))="Max Ambition",Schedules!V$4,Y61),Y61),Y61)</f>
        <v>0</v>
      </c>
      <c r="AA61" s="39">
        <f>MAX(IFERROR(IF(INDEX('State Map'!$C:$C,MATCH(TRIM('RZSPbS-psgr-ldv'!$A61),'State Map'!$A:$A,0))="Max Ambition",Schedules!W$4,Z61),Z61),Z61)</f>
        <v>0</v>
      </c>
      <c r="AB61" s="39">
        <f>MAX(IFERROR(IF(INDEX('State Map'!$C:$C,MATCH(TRIM('RZSPbS-psgr-ldv'!$A61),'State Map'!$A:$A,0))="Max Ambition",Schedules!X$4,AA61),AA61),AA61)</f>
        <v>0</v>
      </c>
      <c r="AC61" s="39">
        <f>MAX(IFERROR(IF(INDEX('State Map'!$C:$C,MATCH(TRIM('RZSPbS-psgr-ldv'!$A61),'State Map'!$A:$A,0))="Max Ambition",Schedules!Y$4,AB61),AB61),AB61)</f>
        <v>0</v>
      </c>
      <c r="AD61" s="39">
        <f>MAX(IFERROR(IF(INDEX('State Map'!$C:$C,MATCH(TRIM('RZSPbS-psgr-ldv'!$A61),'State Map'!$A:$A,0))="Max Ambition",Schedules!Z$4,AC61),AC61),AC61)</f>
        <v>0</v>
      </c>
      <c r="AE61" s="39">
        <f>MAX(IFERROR(IF(INDEX('State Map'!$C:$C,MATCH(TRIM('RZSPbS-psgr-ldv'!$A61),'State Map'!$A:$A,0))="Max Ambition",Schedules!AA$4,AD61),AD61),AD61)</f>
        <v>0</v>
      </c>
      <c r="AF61" s="39">
        <f>MAX(IFERROR(IF(INDEX('State Map'!$C:$C,MATCH(TRIM('RZSPbS-psgr-ldv'!$A61),'State Map'!$A:$A,0))="Max Ambition",Schedules!AB$4,AE61),AE61),AE61)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K2" sqref="K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39">
        <f>IFERROR(IF(INDEX('State Map'!$C:$C,MATCH(TRIM('RZSPbS-psgr-ldv'!$A2),'State Map'!$A:$A,0))="Max Ambition",Schedules!G$7,J2),J2)</f>
        <v>0</v>
      </c>
      <c r="L2" s="39">
        <f>IFERROR(IF(INDEX('State Map'!$C:$C,MATCH(TRIM('RZSPbS-psgr-ldv'!$A2),'State Map'!$A:$A,0))="Max Ambition",Schedules!H$7,K2),K2)</f>
        <v>0</v>
      </c>
      <c r="M2" s="39">
        <f>IFERROR(IF(INDEX('State Map'!$C:$C,MATCH(TRIM('RZSPbS-psgr-ldv'!$A2),'State Map'!$A:$A,0))="Max Ambition",Schedules!I$7,L2),L2)</f>
        <v>0</v>
      </c>
      <c r="N2" s="39">
        <f>IFERROR(IF(INDEX('State Map'!$C:$C,MATCH(TRIM('RZSPbS-psgr-ldv'!$A2),'State Map'!$A:$A,0))="Max Ambition",Schedules!J$7,M2),M2)</f>
        <v>0</v>
      </c>
      <c r="O2" s="39">
        <f>IFERROR(IF(INDEX('State Map'!$C:$C,MATCH(TRIM('RZSPbS-psgr-ldv'!$A2),'State Map'!$A:$A,0))="Max Ambition",Schedules!K$7,N2),N2)</f>
        <v>0</v>
      </c>
      <c r="P2" s="39">
        <f>IFERROR(IF(INDEX('State Map'!$C:$C,MATCH(TRIM('RZSPbS-psgr-ldv'!$A2),'State Map'!$A:$A,0))="Max Ambition",Schedules!L$7,O2),O2)</f>
        <v>0</v>
      </c>
      <c r="Q2" s="39">
        <f>IFERROR(IF(INDEX('State Map'!$C:$C,MATCH(TRIM('RZSPbS-psgr-ldv'!$A2),'State Map'!$A:$A,0))="Max Ambition",Schedules!M$7,P2),P2)</f>
        <v>0</v>
      </c>
      <c r="R2" s="39">
        <f>IFERROR(IF(INDEX('State Map'!$C:$C,MATCH(TRIM('RZSPbS-psgr-ldv'!$A2),'State Map'!$A:$A,0))="Max Ambition",Schedules!N$7,Q2),Q2)</f>
        <v>0</v>
      </c>
      <c r="S2" s="39">
        <f>IFERROR(IF(INDEX('State Map'!$C:$C,MATCH(TRIM('RZSPbS-psgr-ldv'!$A2),'State Map'!$A:$A,0))="Max Ambition",Schedules!O$7,R2),R2)</f>
        <v>0</v>
      </c>
      <c r="T2" s="39">
        <f>IFERROR(IF(INDEX('State Map'!$C:$C,MATCH(TRIM('RZSPbS-psgr-ldv'!$A2),'State Map'!$A:$A,0))="Max Ambition",Schedules!P$7,S2),S2)</f>
        <v>0</v>
      </c>
      <c r="U2" s="39">
        <f>IFERROR(IF(INDEX('State Map'!$C:$C,MATCH(TRIM('RZSPbS-psgr-ldv'!$A2),'State Map'!$A:$A,0))="Max Ambition",Schedules!Q$7,T2),T2)</f>
        <v>0</v>
      </c>
      <c r="V2" s="39">
        <f>IFERROR(IF(INDEX('State Map'!$C:$C,MATCH(TRIM('RZSPbS-psgr-ldv'!$A2),'State Map'!$A:$A,0))="Max Ambition",Schedules!R$7,U2),U2)</f>
        <v>0</v>
      </c>
      <c r="W2" s="39">
        <f>IFERROR(IF(INDEX('State Map'!$C:$C,MATCH(TRIM('RZSPbS-psgr-ldv'!$A2),'State Map'!$A:$A,0))="Max Ambition",Schedules!S$7,V2),V2)</f>
        <v>0</v>
      </c>
      <c r="X2" s="39">
        <f>IFERROR(IF(INDEX('State Map'!$C:$C,MATCH(TRIM('RZSPbS-psgr-ldv'!$A2),'State Map'!$A:$A,0))="Max Ambition",Schedules!T$7,W2),W2)</f>
        <v>0</v>
      </c>
      <c r="Y2" s="39">
        <f>IFERROR(IF(INDEX('State Map'!$C:$C,MATCH(TRIM('RZSPbS-psgr-ldv'!$A2),'State Map'!$A:$A,0))="Max Ambition",Schedules!U$7,X2),X2)</f>
        <v>0</v>
      </c>
      <c r="Z2" s="39">
        <f>IFERROR(IF(INDEX('State Map'!$C:$C,MATCH(TRIM('RZSPbS-psgr-ldv'!$A2),'State Map'!$A:$A,0))="Max Ambition",Schedules!V$7,Y2),Y2)</f>
        <v>0</v>
      </c>
      <c r="AA2" s="39">
        <f>IFERROR(IF(INDEX('State Map'!$C:$C,MATCH(TRIM('RZSPbS-psgr-ldv'!$A2),'State Map'!$A:$A,0))="Max Ambition",Schedules!W$7,Z2),Z2)</f>
        <v>0</v>
      </c>
      <c r="AB2" s="39">
        <f>IFERROR(IF(INDEX('State Map'!$C:$C,MATCH(TRIM('RZSPbS-psgr-ldv'!$A2),'State Map'!$A:$A,0))="Max Ambition",Schedules!X$7,AA2),AA2)</f>
        <v>0</v>
      </c>
      <c r="AC2" s="39">
        <f>IFERROR(IF(INDEX('State Map'!$C:$C,MATCH(TRIM('RZSPbS-psgr-ldv'!$A2),'State Map'!$A:$A,0))="Max Ambition",Schedules!Y$7,AB2),AB2)</f>
        <v>0</v>
      </c>
      <c r="AD2" s="39">
        <f>IFERROR(IF(INDEX('State Map'!$C:$C,MATCH(TRIM('RZSPbS-psgr-ldv'!$A2),'State Map'!$A:$A,0))="Max Ambition",Schedules!Z$7,AC2),AC2)</f>
        <v>0</v>
      </c>
      <c r="AE2" s="39">
        <f>IFERROR(IF(INDEX('State Map'!$C:$C,MATCH(TRIM('RZSPbS-psgr-ldv'!$A2),'State Map'!$A:$A,0))="Max Ambition",Schedules!AA$7,AD2),AD2)</f>
        <v>0</v>
      </c>
      <c r="AF2" s="39">
        <f>IFERROR(IF(INDEX('State Map'!$C:$C,MATCH(TRIM('RZSPbS-psgr-ldv'!$A2),'State Map'!$A:$A,0))="Max Ambition",Schedules!AB$7,AE2),AE2)</f>
        <v>0</v>
      </c>
    </row>
    <row r="3" spans="1:3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39">
        <f>IFERROR(IF(INDEX('State Map'!$C:$C,MATCH(TRIM('RZSPbS-psgr-ldv'!$A3),'State Map'!$A:$A,0))="Max Ambition",Schedules!G$7,J3),J3)</f>
        <v>0</v>
      </c>
      <c r="L3" s="39">
        <f>IFERROR(IF(INDEX('State Map'!$C:$C,MATCH(TRIM('RZSPbS-psgr-ldv'!$A3),'State Map'!$A:$A,0))="Max Ambition",Schedules!H$7,K3),K3)</f>
        <v>0</v>
      </c>
      <c r="M3" s="39">
        <f>IFERROR(IF(INDEX('State Map'!$C:$C,MATCH(TRIM('RZSPbS-psgr-ldv'!$A3),'State Map'!$A:$A,0))="Max Ambition",Schedules!I$7,L3),L3)</f>
        <v>0</v>
      </c>
      <c r="N3" s="39">
        <f>IFERROR(IF(INDEX('State Map'!$C:$C,MATCH(TRIM('RZSPbS-psgr-ldv'!$A3),'State Map'!$A:$A,0))="Max Ambition",Schedules!J$7,M3),M3)</f>
        <v>0</v>
      </c>
      <c r="O3" s="39">
        <f>IFERROR(IF(INDEX('State Map'!$C:$C,MATCH(TRIM('RZSPbS-psgr-ldv'!$A3),'State Map'!$A:$A,0))="Max Ambition",Schedules!K$7,N3),N3)</f>
        <v>0</v>
      </c>
      <c r="P3" s="39">
        <f>IFERROR(IF(INDEX('State Map'!$C:$C,MATCH(TRIM('RZSPbS-psgr-ldv'!$A3),'State Map'!$A:$A,0))="Max Ambition",Schedules!L$7,O3),O3)</f>
        <v>0</v>
      </c>
      <c r="Q3" s="39">
        <f>IFERROR(IF(INDEX('State Map'!$C:$C,MATCH(TRIM('RZSPbS-psgr-ldv'!$A3),'State Map'!$A:$A,0))="Max Ambition",Schedules!M$7,P3),P3)</f>
        <v>0</v>
      </c>
      <c r="R3" s="39">
        <f>IFERROR(IF(INDEX('State Map'!$C:$C,MATCH(TRIM('RZSPbS-psgr-ldv'!$A3),'State Map'!$A:$A,0))="Max Ambition",Schedules!N$7,Q3),Q3)</f>
        <v>0</v>
      </c>
      <c r="S3" s="39">
        <f>IFERROR(IF(INDEX('State Map'!$C:$C,MATCH(TRIM('RZSPbS-psgr-ldv'!$A3),'State Map'!$A:$A,0))="Max Ambition",Schedules!O$7,R3),R3)</f>
        <v>0</v>
      </c>
      <c r="T3" s="39">
        <f>IFERROR(IF(INDEX('State Map'!$C:$C,MATCH(TRIM('RZSPbS-psgr-ldv'!$A3),'State Map'!$A:$A,0))="Max Ambition",Schedules!P$7,S3),S3)</f>
        <v>0</v>
      </c>
      <c r="U3" s="39">
        <f>IFERROR(IF(INDEX('State Map'!$C:$C,MATCH(TRIM('RZSPbS-psgr-ldv'!$A3),'State Map'!$A:$A,0))="Max Ambition",Schedules!Q$7,T3),T3)</f>
        <v>0</v>
      </c>
      <c r="V3" s="39">
        <f>IFERROR(IF(INDEX('State Map'!$C:$C,MATCH(TRIM('RZSPbS-psgr-ldv'!$A3),'State Map'!$A:$A,0))="Max Ambition",Schedules!R$7,U3),U3)</f>
        <v>0</v>
      </c>
      <c r="W3" s="39">
        <f>IFERROR(IF(INDEX('State Map'!$C:$C,MATCH(TRIM('RZSPbS-psgr-ldv'!$A3),'State Map'!$A:$A,0))="Max Ambition",Schedules!S$7,V3),V3)</f>
        <v>0</v>
      </c>
      <c r="X3" s="39">
        <f>IFERROR(IF(INDEX('State Map'!$C:$C,MATCH(TRIM('RZSPbS-psgr-ldv'!$A3),'State Map'!$A:$A,0))="Max Ambition",Schedules!T$7,W3),W3)</f>
        <v>0</v>
      </c>
      <c r="Y3" s="39">
        <f>IFERROR(IF(INDEX('State Map'!$C:$C,MATCH(TRIM('RZSPbS-psgr-ldv'!$A3),'State Map'!$A:$A,0))="Max Ambition",Schedules!U$7,X3),X3)</f>
        <v>0</v>
      </c>
      <c r="Z3" s="39">
        <f>IFERROR(IF(INDEX('State Map'!$C:$C,MATCH(TRIM('RZSPbS-psgr-ldv'!$A3),'State Map'!$A:$A,0))="Max Ambition",Schedules!V$7,Y3),Y3)</f>
        <v>0</v>
      </c>
      <c r="AA3" s="39">
        <f>IFERROR(IF(INDEX('State Map'!$C:$C,MATCH(TRIM('RZSPbS-psgr-ldv'!$A3),'State Map'!$A:$A,0))="Max Ambition",Schedules!W$7,Z3),Z3)</f>
        <v>0</v>
      </c>
      <c r="AB3" s="39">
        <f>IFERROR(IF(INDEX('State Map'!$C:$C,MATCH(TRIM('RZSPbS-psgr-ldv'!$A3),'State Map'!$A:$A,0))="Max Ambition",Schedules!X$7,AA3),AA3)</f>
        <v>0</v>
      </c>
      <c r="AC3" s="39">
        <f>IFERROR(IF(INDEX('State Map'!$C:$C,MATCH(TRIM('RZSPbS-psgr-ldv'!$A3),'State Map'!$A:$A,0))="Max Ambition",Schedules!Y$7,AB3),AB3)</f>
        <v>0</v>
      </c>
      <c r="AD3" s="39">
        <f>IFERROR(IF(INDEX('State Map'!$C:$C,MATCH(TRIM('RZSPbS-psgr-ldv'!$A3),'State Map'!$A:$A,0))="Max Ambition",Schedules!Z$7,AC3),AC3)</f>
        <v>0</v>
      </c>
      <c r="AE3" s="39">
        <f>IFERROR(IF(INDEX('State Map'!$C:$C,MATCH(TRIM('RZSPbS-psgr-ldv'!$A3),'State Map'!$A:$A,0))="Max Ambition",Schedules!AA$7,AD3),AD3)</f>
        <v>0</v>
      </c>
      <c r="AF3" s="39">
        <f>IFERROR(IF(INDEX('State Map'!$C:$C,MATCH(TRIM('RZSPbS-psgr-ldv'!$A3),'State Map'!$A:$A,0))="Max Ambition",Schedules!AB$7,AE3),AE3)</f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39">
        <f>IFERROR(IF(INDEX('State Map'!$C:$C,MATCH(TRIM('RZSPbS-psgr-ldv'!$A4),'State Map'!$A:$A,0))="Max Ambition",Schedules!G$7,J4),J4)</f>
        <v>0</v>
      </c>
      <c r="L4" s="39">
        <f>IFERROR(IF(INDEX('State Map'!$C:$C,MATCH(TRIM('RZSPbS-psgr-ldv'!$A4),'State Map'!$A:$A,0))="Max Ambition",Schedules!H$7,K4),K4)</f>
        <v>0</v>
      </c>
      <c r="M4" s="39">
        <f>IFERROR(IF(INDEX('State Map'!$C:$C,MATCH(TRIM('RZSPbS-psgr-ldv'!$A4),'State Map'!$A:$A,0))="Max Ambition",Schedules!I$7,L4),L4)</f>
        <v>0</v>
      </c>
      <c r="N4" s="39">
        <f>IFERROR(IF(INDEX('State Map'!$C:$C,MATCH(TRIM('RZSPbS-psgr-ldv'!$A4),'State Map'!$A:$A,0))="Max Ambition",Schedules!J$7,M4),M4)</f>
        <v>0</v>
      </c>
      <c r="O4" s="39">
        <f>IFERROR(IF(INDEX('State Map'!$C:$C,MATCH(TRIM('RZSPbS-psgr-ldv'!$A4),'State Map'!$A:$A,0))="Max Ambition",Schedules!K$7,N4),N4)</f>
        <v>0</v>
      </c>
      <c r="P4" s="39">
        <f>IFERROR(IF(INDEX('State Map'!$C:$C,MATCH(TRIM('RZSPbS-psgr-ldv'!$A4),'State Map'!$A:$A,0))="Max Ambition",Schedules!L$7,O4),O4)</f>
        <v>0</v>
      </c>
      <c r="Q4" s="39">
        <f>IFERROR(IF(INDEX('State Map'!$C:$C,MATCH(TRIM('RZSPbS-psgr-ldv'!$A4),'State Map'!$A:$A,0))="Max Ambition",Schedules!M$7,P4),P4)</f>
        <v>0</v>
      </c>
      <c r="R4" s="39">
        <f>IFERROR(IF(INDEX('State Map'!$C:$C,MATCH(TRIM('RZSPbS-psgr-ldv'!$A4),'State Map'!$A:$A,0))="Max Ambition",Schedules!N$7,Q4),Q4)</f>
        <v>0</v>
      </c>
      <c r="S4" s="39">
        <f>IFERROR(IF(INDEX('State Map'!$C:$C,MATCH(TRIM('RZSPbS-psgr-ldv'!$A4),'State Map'!$A:$A,0))="Max Ambition",Schedules!O$7,R4),R4)</f>
        <v>0</v>
      </c>
      <c r="T4" s="39">
        <f>IFERROR(IF(INDEX('State Map'!$C:$C,MATCH(TRIM('RZSPbS-psgr-ldv'!$A4),'State Map'!$A:$A,0))="Max Ambition",Schedules!P$7,S4),S4)</f>
        <v>0</v>
      </c>
      <c r="U4" s="39">
        <f>IFERROR(IF(INDEX('State Map'!$C:$C,MATCH(TRIM('RZSPbS-psgr-ldv'!$A4),'State Map'!$A:$A,0))="Max Ambition",Schedules!Q$7,T4),T4)</f>
        <v>0</v>
      </c>
      <c r="V4" s="39">
        <f>IFERROR(IF(INDEX('State Map'!$C:$C,MATCH(TRIM('RZSPbS-psgr-ldv'!$A4),'State Map'!$A:$A,0))="Max Ambition",Schedules!R$7,U4),U4)</f>
        <v>0</v>
      </c>
      <c r="W4" s="39">
        <f>IFERROR(IF(INDEX('State Map'!$C:$C,MATCH(TRIM('RZSPbS-psgr-ldv'!$A4),'State Map'!$A:$A,0))="Max Ambition",Schedules!S$7,V4),V4)</f>
        <v>0</v>
      </c>
      <c r="X4" s="39">
        <f>IFERROR(IF(INDEX('State Map'!$C:$C,MATCH(TRIM('RZSPbS-psgr-ldv'!$A4),'State Map'!$A:$A,0))="Max Ambition",Schedules!T$7,W4),W4)</f>
        <v>0</v>
      </c>
      <c r="Y4" s="39">
        <f>IFERROR(IF(INDEX('State Map'!$C:$C,MATCH(TRIM('RZSPbS-psgr-ldv'!$A4),'State Map'!$A:$A,0))="Max Ambition",Schedules!U$7,X4),X4)</f>
        <v>0</v>
      </c>
      <c r="Z4" s="39">
        <f>IFERROR(IF(INDEX('State Map'!$C:$C,MATCH(TRIM('RZSPbS-psgr-ldv'!$A4),'State Map'!$A:$A,0))="Max Ambition",Schedules!V$7,Y4),Y4)</f>
        <v>0</v>
      </c>
      <c r="AA4" s="39">
        <f>IFERROR(IF(INDEX('State Map'!$C:$C,MATCH(TRIM('RZSPbS-psgr-ldv'!$A4),'State Map'!$A:$A,0))="Max Ambition",Schedules!W$7,Z4),Z4)</f>
        <v>0</v>
      </c>
      <c r="AB4" s="39">
        <f>IFERROR(IF(INDEX('State Map'!$C:$C,MATCH(TRIM('RZSPbS-psgr-ldv'!$A4),'State Map'!$A:$A,0))="Max Ambition",Schedules!X$7,AA4),AA4)</f>
        <v>0</v>
      </c>
      <c r="AC4" s="39">
        <f>IFERROR(IF(INDEX('State Map'!$C:$C,MATCH(TRIM('RZSPbS-psgr-ldv'!$A4),'State Map'!$A:$A,0))="Max Ambition",Schedules!Y$7,AB4),AB4)</f>
        <v>0</v>
      </c>
      <c r="AD4" s="39">
        <f>IFERROR(IF(INDEX('State Map'!$C:$C,MATCH(TRIM('RZSPbS-psgr-ldv'!$A4),'State Map'!$A:$A,0))="Max Ambition",Schedules!Z$7,AC4),AC4)</f>
        <v>0</v>
      </c>
      <c r="AE4" s="39">
        <f>IFERROR(IF(INDEX('State Map'!$C:$C,MATCH(TRIM('RZSPbS-psgr-ldv'!$A4),'State Map'!$A:$A,0))="Max Ambition",Schedules!AA$7,AD4),AD4)</f>
        <v>0</v>
      </c>
      <c r="AF4" s="39">
        <f>IFERROR(IF(INDEX('State Map'!$C:$C,MATCH(TRIM('RZSPbS-psgr-ldv'!$A4),'State Map'!$A:$A,0))="Max Ambition",Schedules!AB$7,AE4),AE4)</f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39">
        <f>IFERROR(IF(INDEX('State Map'!$C:$C,MATCH(TRIM('RZSPbS-psgr-ldv'!$A5),'State Map'!$A:$A,0))="Max Ambition",Schedules!G$7,J5),J5)</f>
        <v>0</v>
      </c>
      <c r="L5" s="39">
        <f>IFERROR(IF(INDEX('State Map'!$C:$C,MATCH(TRIM('RZSPbS-psgr-ldv'!$A5),'State Map'!$A:$A,0))="Max Ambition",Schedules!H$7,K5),K5)</f>
        <v>0</v>
      </c>
      <c r="M5" s="39">
        <f>IFERROR(IF(INDEX('State Map'!$C:$C,MATCH(TRIM('RZSPbS-psgr-ldv'!$A5),'State Map'!$A:$A,0))="Max Ambition",Schedules!I$7,L5),L5)</f>
        <v>0</v>
      </c>
      <c r="N5" s="39">
        <f>IFERROR(IF(INDEX('State Map'!$C:$C,MATCH(TRIM('RZSPbS-psgr-ldv'!$A5),'State Map'!$A:$A,0))="Max Ambition",Schedules!J$7,M5),M5)</f>
        <v>0</v>
      </c>
      <c r="O5" s="39">
        <f>IFERROR(IF(INDEX('State Map'!$C:$C,MATCH(TRIM('RZSPbS-psgr-ldv'!$A5),'State Map'!$A:$A,0))="Max Ambition",Schedules!K$7,N5),N5)</f>
        <v>0</v>
      </c>
      <c r="P5" s="39">
        <f>IFERROR(IF(INDEX('State Map'!$C:$C,MATCH(TRIM('RZSPbS-psgr-ldv'!$A5),'State Map'!$A:$A,0))="Max Ambition",Schedules!L$7,O5),O5)</f>
        <v>0</v>
      </c>
      <c r="Q5" s="39">
        <f>IFERROR(IF(INDEX('State Map'!$C:$C,MATCH(TRIM('RZSPbS-psgr-ldv'!$A5),'State Map'!$A:$A,0))="Max Ambition",Schedules!M$7,P5),P5)</f>
        <v>0</v>
      </c>
      <c r="R5" s="39">
        <f>IFERROR(IF(INDEX('State Map'!$C:$C,MATCH(TRIM('RZSPbS-psgr-ldv'!$A5),'State Map'!$A:$A,0))="Max Ambition",Schedules!N$7,Q5),Q5)</f>
        <v>0</v>
      </c>
      <c r="S5" s="39">
        <f>IFERROR(IF(INDEX('State Map'!$C:$C,MATCH(TRIM('RZSPbS-psgr-ldv'!$A5),'State Map'!$A:$A,0))="Max Ambition",Schedules!O$7,R5),R5)</f>
        <v>0</v>
      </c>
      <c r="T5" s="39">
        <f>IFERROR(IF(INDEX('State Map'!$C:$C,MATCH(TRIM('RZSPbS-psgr-ldv'!$A5),'State Map'!$A:$A,0))="Max Ambition",Schedules!P$7,S5),S5)</f>
        <v>0</v>
      </c>
      <c r="U5" s="39">
        <f>IFERROR(IF(INDEX('State Map'!$C:$C,MATCH(TRIM('RZSPbS-psgr-ldv'!$A5),'State Map'!$A:$A,0))="Max Ambition",Schedules!Q$7,T5),T5)</f>
        <v>0</v>
      </c>
      <c r="V5" s="39">
        <f>IFERROR(IF(INDEX('State Map'!$C:$C,MATCH(TRIM('RZSPbS-psgr-ldv'!$A5),'State Map'!$A:$A,0))="Max Ambition",Schedules!R$7,U5),U5)</f>
        <v>0</v>
      </c>
      <c r="W5" s="39">
        <f>IFERROR(IF(INDEX('State Map'!$C:$C,MATCH(TRIM('RZSPbS-psgr-ldv'!$A5),'State Map'!$A:$A,0))="Max Ambition",Schedules!S$7,V5),V5)</f>
        <v>0</v>
      </c>
      <c r="X5" s="39">
        <f>IFERROR(IF(INDEX('State Map'!$C:$C,MATCH(TRIM('RZSPbS-psgr-ldv'!$A5),'State Map'!$A:$A,0))="Max Ambition",Schedules!T$7,W5),W5)</f>
        <v>0</v>
      </c>
      <c r="Y5" s="39">
        <f>IFERROR(IF(INDEX('State Map'!$C:$C,MATCH(TRIM('RZSPbS-psgr-ldv'!$A5),'State Map'!$A:$A,0))="Max Ambition",Schedules!U$7,X5),X5)</f>
        <v>0</v>
      </c>
      <c r="Z5" s="39">
        <f>IFERROR(IF(INDEX('State Map'!$C:$C,MATCH(TRIM('RZSPbS-psgr-ldv'!$A5),'State Map'!$A:$A,0))="Max Ambition",Schedules!V$7,Y5),Y5)</f>
        <v>0</v>
      </c>
      <c r="AA5" s="39">
        <f>IFERROR(IF(INDEX('State Map'!$C:$C,MATCH(TRIM('RZSPbS-psgr-ldv'!$A5),'State Map'!$A:$A,0))="Max Ambition",Schedules!W$7,Z5),Z5)</f>
        <v>0</v>
      </c>
      <c r="AB5" s="39">
        <f>IFERROR(IF(INDEX('State Map'!$C:$C,MATCH(TRIM('RZSPbS-psgr-ldv'!$A5),'State Map'!$A:$A,0))="Max Ambition",Schedules!X$7,AA5),AA5)</f>
        <v>0</v>
      </c>
      <c r="AC5" s="39">
        <f>IFERROR(IF(INDEX('State Map'!$C:$C,MATCH(TRIM('RZSPbS-psgr-ldv'!$A5),'State Map'!$A:$A,0))="Max Ambition",Schedules!Y$7,AB5),AB5)</f>
        <v>0</v>
      </c>
      <c r="AD5" s="39">
        <f>IFERROR(IF(INDEX('State Map'!$C:$C,MATCH(TRIM('RZSPbS-psgr-ldv'!$A5),'State Map'!$A:$A,0))="Max Ambition",Schedules!Z$7,AC5),AC5)</f>
        <v>0</v>
      </c>
      <c r="AE5" s="39">
        <f>IFERROR(IF(INDEX('State Map'!$C:$C,MATCH(TRIM('RZSPbS-psgr-ldv'!$A5),'State Map'!$A:$A,0))="Max Ambition",Schedules!AA$7,AD5),AD5)</f>
        <v>0</v>
      </c>
      <c r="AF5" s="39">
        <f>IFERROR(IF(INDEX('State Map'!$C:$C,MATCH(TRIM('RZSPbS-psgr-ldv'!$A5),'State Map'!$A:$A,0))="Max Ambition",Schedules!AB$7,AE5),AE5)</f>
        <v>0</v>
      </c>
    </row>
    <row r="6" spans="1:32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39">
        <f>IFERROR(IF(INDEX('State Map'!$C:$C,MATCH(TRIM('RZSPbS-psgr-ldv'!$A6),'State Map'!$A:$A,0))="Max Ambition",Schedules!G$7,J6),J6)</f>
        <v>0.2</v>
      </c>
      <c r="L6" s="39">
        <f>IFERROR(IF(INDEX('State Map'!$C:$C,MATCH(TRIM('RZSPbS-psgr-ldv'!$A6),'State Map'!$A:$A,0))="Max Ambition",Schedules!H$7,K6),K6)</f>
        <v>0.25</v>
      </c>
      <c r="M6" s="39">
        <f>IFERROR(IF(INDEX('State Map'!$C:$C,MATCH(TRIM('RZSPbS-psgr-ldv'!$A6),'State Map'!$A:$A,0))="Max Ambition",Schedules!I$7,L6),L6)</f>
        <v>0.3</v>
      </c>
      <c r="N6" s="39">
        <f>IFERROR(IF(INDEX('State Map'!$C:$C,MATCH(TRIM('RZSPbS-psgr-ldv'!$A6),'State Map'!$A:$A,0))="Max Ambition",Schedules!J$7,M6),M6)</f>
        <v>0.38</v>
      </c>
      <c r="O6" s="39">
        <f>IFERROR(IF(INDEX('State Map'!$C:$C,MATCH(TRIM('RZSPbS-psgr-ldv'!$A6),'State Map'!$A:$A,0))="Max Ambition",Schedules!K$7,N6),N6)</f>
        <v>0.46</v>
      </c>
      <c r="P6" s="39">
        <f>IFERROR(IF(INDEX('State Map'!$C:$C,MATCH(TRIM('RZSPbS-psgr-ldv'!$A6),'State Map'!$A:$A,0))="Max Ambition",Schedules!L$7,O6),O6)</f>
        <v>0.51400000000000001</v>
      </c>
      <c r="Q6" s="39">
        <f>IFERROR(IF(INDEX('State Map'!$C:$C,MATCH(TRIM('RZSPbS-psgr-ldv'!$A6),'State Map'!$A:$A,0))="Max Ambition",Schedules!M$7,P6),P6)</f>
        <v>0.56799999999999995</v>
      </c>
      <c r="R6" s="39">
        <f>IFERROR(IF(INDEX('State Map'!$C:$C,MATCH(TRIM('RZSPbS-psgr-ldv'!$A6),'State Map'!$A:$A,0))="Max Ambition",Schedules!N$7,Q6),Q6)</f>
        <v>0.622</v>
      </c>
      <c r="S6" s="39">
        <f>IFERROR(IF(INDEX('State Map'!$C:$C,MATCH(TRIM('RZSPbS-psgr-ldv'!$A6),'State Map'!$A:$A,0))="Max Ambition",Schedules!O$7,R6),R6)</f>
        <v>0.67600000000000005</v>
      </c>
      <c r="T6" s="39">
        <f>IFERROR(IF(INDEX('State Map'!$C:$C,MATCH(TRIM('RZSPbS-psgr-ldv'!$A6),'State Map'!$A:$A,0))="Max Ambition",Schedules!P$7,S6),S6)</f>
        <v>0.73</v>
      </c>
      <c r="U6" s="39">
        <f>IFERROR(IF(INDEX('State Map'!$C:$C,MATCH(TRIM('RZSPbS-psgr-ldv'!$A6),'State Map'!$A:$A,0))="Max Ambition",Schedules!Q$7,T6),T6)</f>
        <v>0.78400000000000003</v>
      </c>
      <c r="V6" s="39">
        <f>IFERROR(IF(INDEX('State Map'!$C:$C,MATCH(TRIM('RZSPbS-psgr-ldv'!$A6),'State Map'!$A:$A,0))="Max Ambition",Schedules!R$7,U6),U6)</f>
        <v>0.83799999999999997</v>
      </c>
      <c r="W6" s="39">
        <f>IFERROR(IF(INDEX('State Map'!$C:$C,MATCH(TRIM('RZSPbS-psgr-ldv'!$A6),'State Map'!$A:$A,0))="Max Ambition",Schedules!S$7,V6),V6)</f>
        <v>0.89200000000000002</v>
      </c>
      <c r="X6" s="39">
        <f>IFERROR(IF(INDEX('State Map'!$C:$C,MATCH(TRIM('RZSPbS-psgr-ldv'!$A6),'State Map'!$A:$A,0))="Max Ambition",Schedules!T$7,W6),W6)</f>
        <v>0.94599999999999995</v>
      </c>
      <c r="Y6" s="39">
        <f>IFERROR(IF(INDEX('State Map'!$C:$C,MATCH(TRIM('RZSPbS-psgr-ldv'!$A6),'State Map'!$A:$A,0))="Max Ambition",Schedules!U$7,X6),X6)</f>
        <v>1</v>
      </c>
      <c r="Z6" s="39">
        <f>IFERROR(IF(INDEX('State Map'!$C:$C,MATCH(TRIM('RZSPbS-psgr-ldv'!$A6),'State Map'!$A:$A,0))="Max Ambition",Schedules!V$7,Y6),Y6)</f>
        <v>1</v>
      </c>
      <c r="AA6" s="39">
        <f>IFERROR(IF(INDEX('State Map'!$C:$C,MATCH(TRIM('RZSPbS-psgr-ldv'!$A6),'State Map'!$A:$A,0))="Max Ambition",Schedules!W$7,Z6),Z6)</f>
        <v>1</v>
      </c>
      <c r="AB6" s="39">
        <f>IFERROR(IF(INDEX('State Map'!$C:$C,MATCH(TRIM('RZSPbS-psgr-ldv'!$A6),'State Map'!$A:$A,0))="Max Ambition",Schedules!X$7,AA6),AA6)</f>
        <v>1</v>
      </c>
      <c r="AC6" s="39">
        <f>IFERROR(IF(INDEX('State Map'!$C:$C,MATCH(TRIM('RZSPbS-psgr-ldv'!$A6),'State Map'!$A:$A,0))="Max Ambition",Schedules!Y$7,AB6),AB6)</f>
        <v>1</v>
      </c>
      <c r="AD6" s="39">
        <f>IFERROR(IF(INDEX('State Map'!$C:$C,MATCH(TRIM('RZSPbS-psgr-ldv'!$A6),'State Map'!$A:$A,0))="Max Ambition",Schedules!Z$7,AC6),AC6)</f>
        <v>1</v>
      </c>
      <c r="AE6" s="39">
        <f>IFERROR(IF(INDEX('State Map'!$C:$C,MATCH(TRIM('RZSPbS-psgr-ldv'!$A6),'State Map'!$A:$A,0))="Max Ambition",Schedules!AA$7,AD6),AD6)</f>
        <v>1</v>
      </c>
      <c r="AF6" s="39">
        <f>IFERROR(IF(INDEX('State Map'!$C:$C,MATCH(TRIM('RZSPbS-psgr-ldv'!$A6),'State Map'!$A:$A,0))="Max Ambition",Schedules!AB$7,AE6),AE6)</f>
        <v>1</v>
      </c>
    </row>
    <row r="7" spans="1:32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39">
        <f>IFERROR(IF(INDEX('State Map'!$C:$C,MATCH(TRIM('RZSPbS-psgr-ldv'!$A7),'State Map'!$A:$A,0))="Max Ambition",Schedules!G$7,J7),J7)</f>
        <v>0.2</v>
      </c>
      <c r="L7" s="39">
        <f>IFERROR(IF(INDEX('State Map'!$C:$C,MATCH(TRIM('RZSPbS-psgr-ldv'!$A7),'State Map'!$A:$A,0))="Max Ambition",Schedules!H$7,K7),K7)</f>
        <v>0.25</v>
      </c>
      <c r="M7" s="39">
        <f>IFERROR(IF(INDEX('State Map'!$C:$C,MATCH(TRIM('RZSPbS-psgr-ldv'!$A7),'State Map'!$A:$A,0))="Max Ambition",Schedules!I$7,L7),L7)</f>
        <v>0.3</v>
      </c>
      <c r="N7" s="39">
        <f>IFERROR(IF(INDEX('State Map'!$C:$C,MATCH(TRIM('RZSPbS-psgr-ldv'!$A7),'State Map'!$A:$A,0))="Max Ambition",Schedules!J$7,M7),M7)</f>
        <v>0.38</v>
      </c>
      <c r="O7" s="39">
        <f>IFERROR(IF(INDEX('State Map'!$C:$C,MATCH(TRIM('RZSPbS-psgr-ldv'!$A7),'State Map'!$A:$A,0))="Max Ambition",Schedules!K$7,N7),N7)</f>
        <v>0.46</v>
      </c>
      <c r="P7" s="39">
        <f>IFERROR(IF(INDEX('State Map'!$C:$C,MATCH(TRIM('RZSPbS-psgr-ldv'!$A7),'State Map'!$A:$A,0))="Max Ambition",Schedules!L$7,O7),O7)</f>
        <v>0.51400000000000001</v>
      </c>
      <c r="Q7" s="39">
        <f>IFERROR(IF(INDEX('State Map'!$C:$C,MATCH(TRIM('RZSPbS-psgr-ldv'!$A7),'State Map'!$A:$A,0))="Max Ambition",Schedules!M$7,P7),P7)</f>
        <v>0.56799999999999995</v>
      </c>
      <c r="R7" s="39">
        <f>IFERROR(IF(INDEX('State Map'!$C:$C,MATCH(TRIM('RZSPbS-psgr-ldv'!$A7),'State Map'!$A:$A,0))="Max Ambition",Schedules!N$7,Q7),Q7)</f>
        <v>0.622</v>
      </c>
      <c r="S7" s="39">
        <f>IFERROR(IF(INDEX('State Map'!$C:$C,MATCH(TRIM('RZSPbS-psgr-ldv'!$A7),'State Map'!$A:$A,0))="Max Ambition",Schedules!O$7,R7),R7)</f>
        <v>0.67600000000000005</v>
      </c>
      <c r="T7" s="39">
        <f>IFERROR(IF(INDEX('State Map'!$C:$C,MATCH(TRIM('RZSPbS-psgr-ldv'!$A7),'State Map'!$A:$A,0))="Max Ambition",Schedules!P$7,S7),S7)</f>
        <v>0.73</v>
      </c>
      <c r="U7" s="39">
        <f>IFERROR(IF(INDEX('State Map'!$C:$C,MATCH(TRIM('RZSPbS-psgr-ldv'!$A7),'State Map'!$A:$A,0))="Max Ambition",Schedules!Q$7,T7),T7)</f>
        <v>0.78400000000000003</v>
      </c>
      <c r="V7" s="39">
        <f>IFERROR(IF(INDEX('State Map'!$C:$C,MATCH(TRIM('RZSPbS-psgr-ldv'!$A7),'State Map'!$A:$A,0))="Max Ambition",Schedules!R$7,U7),U7)</f>
        <v>0.83799999999999997</v>
      </c>
      <c r="W7" s="39">
        <f>IFERROR(IF(INDEX('State Map'!$C:$C,MATCH(TRIM('RZSPbS-psgr-ldv'!$A7),'State Map'!$A:$A,0))="Max Ambition",Schedules!S$7,V7),V7)</f>
        <v>0.89200000000000002</v>
      </c>
      <c r="X7" s="39">
        <f>IFERROR(IF(INDEX('State Map'!$C:$C,MATCH(TRIM('RZSPbS-psgr-ldv'!$A7),'State Map'!$A:$A,0))="Max Ambition",Schedules!T$7,W7),W7)</f>
        <v>0.94599999999999995</v>
      </c>
      <c r="Y7" s="39">
        <f>IFERROR(IF(INDEX('State Map'!$C:$C,MATCH(TRIM('RZSPbS-psgr-ldv'!$A7),'State Map'!$A:$A,0))="Max Ambition",Schedules!U$7,X7),X7)</f>
        <v>1</v>
      </c>
      <c r="Z7" s="39">
        <f>IFERROR(IF(INDEX('State Map'!$C:$C,MATCH(TRIM('RZSPbS-psgr-ldv'!$A7),'State Map'!$A:$A,0))="Max Ambition",Schedules!V$7,Y7),Y7)</f>
        <v>1</v>
      </c>
      <c r="AA7" s="39">
        <f>IFERROR(IF(INDEX('State Map'!$C:$C,MATCH(TRIM('RZSPbS-psgr-ldv'!$A7),'State Map'!$A:$A,0))="Max Ambition",Schedules!W$7,Z7),Z7)</f>
        <v>1</v>
      </c>
      <c r="AB7" s="39">
        <f>IFERROR(IF(INDEX('State Map'!$C:$C,MATCH(TRIM('RZSPbS-psgr-ldv'!$A7),'State Map'!$A:$A,0))="Max Ambition",Schedules!X$7,AA7),AA7)</f>
        <v>1</v>
      </c>
      <c r="AC7" s="39">
        <f>IFERROR(IF(INDEX('State Map'!$C:$C,MATCH(TRIM('RZSPbS-psgr-ldv'!$A7),'State Map'!$A:$A,0))="Max Ambition",Schedules!Y$7,AB7),AB7)</f>
        <v>1</v>
      </c>
      <c r="AD7" s="39">
        <f>IFERROR(IF(INDEX('State Map'!$C:$C,MATCH(TRIM('RZSPbS-psgr-ldv'!$A7),'State Map'!$A:$A,0))="Max Ambition",Schedules!Z$7,AC7),AC7)</f>
        <v>1</v>
      </c>
      <c r="AE7" s="39">
        <f>IFERROR(IF(INDEX('State Map'!$C:$C,MATCH(TRIM('RZSPbS-psgr-ldv'!$A7),'State Map'!$A:$A,0))="Max Ambition",Schedules!AA$7,AD7),AD7)</f>
        <v>1</v>
      </c>
      <c r="AF7" s="39">
        <f>IFERROR(IF(INDEX('State Map'!$C:$C,MATCH(TRIM('RZSPbS-psgr-ldv'!$A7),'State Map'!$A:$A,0))="Max Ambition",Schedules!AB$7,AE7),AE7)</f>
        <v>1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39">
        <f>IFERROR(IF(INDEX('State Map'!$C:$C,MATCH(TRIM('RZSPbS-psgr-ldv'!$A8),'State Map'!$A:$A,0))="Max Ambition",Schedules!G$7,J8),J8)</f>
        <v>0</v>
      </c>
      <c r="L8" s="39">
        <f>IFERROR(IF(INDEX('State Map'!$C:$C,MATCH(TRIM('RZSPbS-psgr-ldv'!$A8),'State Map'!$A:$A,0))="Max Ambition",Schedules!H$7,K8),K8)</f>
        <v>0</v>
      </c>
      <c r="M8" s="39">
        <f>IFERROR(IF(INDEX('State Map'!$C:$C,MATCH(TRIM('RZSPbS-psgr-ldv'!$A8),'State Map'!$A:$A,0))="Max Ambition",Schedules!I$7,L8),L8)</f>
        <v>0</v>
      </c>
      <c r="N8" s="39">
        <f>IFERROR(IF(INDEX('State Map'!$C:$C,MATCH(TRIM('RZSPbS-psgr-ldv'!$A8),'State Map'!$A:$A,0))="Max Ambition",Schedules!J$7,M8),M8)</f>
        <v>0</v>
      </c>
      <c r="O8" s="39">
        <f>IFERROR(IF(INDEX('State Map'!$C:$C,MATCH(TRIM('RZSPbS-psgr-ldv'!$A8),'State Map'!$A:$A,0))="Max Ambition",Schedules!K$7,N8),N8)</f>
        <v>0</v>
      </c>
      <c r="P8" s="39">
        <f>IFERROR(IF(INDEX('State Map'!$C:$C,MATCH(TRIM('RZSPbS-psgr-ldv'!$A8),'State Map'!$A:$A,0))="Max Ambition",Schedules!L$7,O8),O8)</f>
        <v>0</v>
      </c>
      <c r="Q8" s="39">
        <f>IFERROR(IF(INDEX('State Map'!$C:$C,MATCH(TRIM('RZSPbS-psgr-ldv'!$A8),'State Map'!$A:$A,0))="Max Ambition",Schedules!M$7,P8),P8)</f>
        <v>0</v>
      </c>
      <c r="R8" s="39">
        <f>IFERROR(IF(INDEX('State Map'!$C:$C,MATCH(TRIM('RZSPbS-psgr-ldv'!$A8),'State Map'!$A:$A,0))="Max Ambition",Schedules!N$7,Q8),Q8)</f>
        <v>0</v>
      </c>
      <c r="S8" s="39">
        <f>IFERROR(IF(INDEX('State Map'!$C:$C,MATCH(TRIM('RZSPbS-psgr-ldv'!$A8),'State Map'!$A:$A,0))="Max Ambition",Schedules!O$7,R8),R8)</f>
        <v>0</v>
      </c>
      <c r="T8" s="39">
        <f>IFERROR(IF(INDEX('State Map'!$C:$C,MATCH(TRIM('RZSPbS-psgr-ldv'!$A8),'State Map'!$A:$A,0))="Max Ambition",Schedules!P$7,S8),S8)</f>
        <v>0</v>
      </c>
      <c r="U8" s="39">
        <f>IFERROR(IF(INDEX('State Map'!$C:$C,MATCH(TRIM('RZSPbS-psgr-ldv'!$A8),'State Map'!$A:$A,0))="Max Ambition",Schedules!Q$7,T8),T8)</f>
        <v>0</v>
      </c>
      <c r="V8" s="39">
        <f>IFERROR(IF(INDEX('State Map'!$C:$C,MATCH(TRIM('RZSPbS-psgr-ldv'!$A8),'State Map'!$A:$A,0))="Max Ambition",Schedules!R$7,U8),U8)</f>
        <v>0</v>
      </c>
      <c r="W8" s="39">
        <f>IFERROR(IF(INDEX('State Map'!$C:$C,MATCH(TRIM('RZSPbS-psgr-ldv'!$A8),'State Map'!$A:$A,0))="Max Ambition",Schedules!S$7,V8),V8)</f>
        <v>0</v>
      </c>
      <c r="X8" s="39">
        <f>IFERROR(IF(INDEX('State Map'!$C:$C,MATCH(TRIM('RZSPbS-psgr-ldv'!$A8),'State Map'!$A:$A,0))="Max Ambition",Schedules!T$7,W8),W8)</f>
        <v>0</v>
      </c>
      <c r="Y8" s="39">
        <f>IFERROR(IF(INDEX('State Map'!$C:$C,MATCH(TRIM('RZSPbS-psgr-ldv'!$A8),'State Map'!$A:$A,0))="Max Ambition",Schedules!U$7,X8),X8)</f>
        <v>0</v>
      </c>
      <c r="Z8" s="39">
        <f>IFERROR(IF(INDEX('State Map'!$C:$C,MATCH(TRIM('RZSPbS-psgr-ldv'!$A8),'State Map'!$A:$A,0))="Max Ambition",Schedules!V$7,Y8),Y8)</f>
        <v>0</v>
      </c>
      <c r="AA8" s="39">
        <f>IFERROR(IF(INDEX('State Map'!$C:$C,MATCH(TRIM('RZSPbS-psgr-ldv'!$A8),'State Map'!$A:$A,0))="Max Ambition",Schedules!W$7,Z8),Z8)</f>
        <v>0</v>
      </c>
      <c r="AB8" s="39">
        <f>IFERROR(IF(INDEX('State Map'!$C:$C,MATCH(TRIM('RZSPbS-psgr-ldv'!$A8),'State Map'!$A:$A,0))="Max Ambition",Schedules!X$7,AA8),AA8)</f>
        <v>0</v>
      </c>
      <c r="AC8" s="39">
        <f>IFERROR(IF(INDEX('State Map'!$C:$C,MATCH(TRIM('RZSPbS-psgr-ldv'!$A8),'State Map'!$A:$A,0))="Max Ambition",Schedules!Y$7,AB8),AB8)</f>
        <v>0</v>
      </c>
      <c r="AD8" s="39">
        <f>IFERROR(IF(INDEX('State Map'!$C:$C,MATCH(TRIM('RZSPbS-psgr-ldv'!$A8),'State Map'!$A:$A,0))="Max Ambition",Schedules!Z$7,AC8),AC8)</f>
        <v>0</v>
      </c>
      <c r="AE8" s="39">
        <f>IFERROR(IF(INDEX('State Map'!$C:$C,MATCH(TRIM('RZSPbS-psgr-ldv'!$A8),'State Map'!$A:$A,0))="Max Ambition",Schedules!AA$7,AD8),AD8)</f>
        <v>0</v>
      </c>
      <c r="AF8" s="39">
        <f>IFERROR(IF(INDEX('State Map'!$C:$C,MATCH(TRIM('RZSPbS-psgr-ldv'!$A8),'State Map'!$A:$A,0))="Max Ambition",Schedules!AB$7,AE8),AE8)</f>
        <v>0</v>
      </c>
    </row>
    <row r="9" spans="1:32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39">
        <f>IFERROR(IF(INDEX('State Map'!$C:$C,MATCH(TRIM('RZSPbS-psgr-ldv'!$A9),'State Map'!$A:$A,0))="Max Ambition",Schedules!G$7,J9),J9)</f>
        <v>0.2</v>
      </c>
      <c r="L9" s="39">
        <f>IFERROR(IF(INDEX('State Map'!$C:$C,MATCH(TRIM('RZSPbS-psgr-ldv'!$A9),'State Map'!$A:$A,0))="Max Ambition",Schedules!H$7,K9),K9)</f>
        <v>0.25</v>
      </c>
      <c r="M9" s="39">
        <f>IFERROR(IF(INDEX('State Map'!$C:$C,MATCH(TRIM('RZSPbS-psgr-ldv'!$A9),'State Map'!$A:$A,0))="Max Ambition",Schedules!I$7,L9),L9)</f>
        <v>0.3</v>
      </c>
      <c r="N9" s="39">
        <f>IFERROR(IF(INDEX('State Map'!$C:$C,MATCH(TRIM('RZSPbS-psgr-ldv'!$A9),'State Map'!$A:$A,0))="Max Ambition",Schedules!J$7,M9),M9)</f>
        <v>0.38</v>
      </c>
      <c r="O9" s="39">
        <f>IFERROR(IF(INDEX('State Map'!$C:$C,MATCH(TRIM('RZSPbS-psgr-ldv'!$A9),'State Map'!$A:$A,0))="Max Ambition",Schedules!K$7,N9),N9)</f>
        <v>0.46</v>
      </c>
      <c r="P9" s="39">
        <f>IFERROR(IF(INDEX('State Map'!$C:$C,MATCH(TRIM('RZSPbS-psgr-ldv'!$A9),'State Map'!$A:$A,0))="Max Ambition",Schedules!L$7,O9),O9)</f>
        <v>0.51400000000000001</v>
      </c>
      <c r="Q9" s="39">
        <f>IFERROR(IF(INDEX('State Map'!$C:$C,MATCH(TRIM('RZSPbS-psgr-ldv'!$A9),'State Map'!$A:$A,0))="Max Ambition",Schedules!M$7,P9),P9)</f>
        <v>0.56799999999999995</v>
      </c>
      <c r="R9" s="39">
        <f>IFERROR(IF(INDEX('State Map'!$C:$C,MATCH(TRIM('RZSPbS-psgr-ldv'!$A9),'State Map'!$A:$A,0))="Max Ambition",Schedules!N$7,Q9),Q9)</f>
        <v>0.622</v>
      </c>
      <c r="S9" s="39">
        <f>IFERROR(IF(INDEX('State Map'!$C:$C,MATCH(TRIM('RZSPbS-psgr-ldv'!$A9),'State Map'!$A:$A,0))="Max Ambition",Schedules!O$7,R9),R9)</f>
        <v>0.67600000000000005</v>
      </c>
      <c r="T9" s="39">
        <f>IFERROR(IF(INDEX('State Map'!$C:$C,MATCH(TRIM('RZSPbS-psgr-ldv'!$A9),'State Map'!$A:$A,0))="Max Ambition",Schedules!P$7,S9),S9)</f>
        <v>0.73</v>
      </c>
      <c r="U9" s="39">
        <f>IFERROR(IF(INDEX('State Map'!$C:$C,MATCH(TRIM('RZSPbS-psgr-ldv'!$A9),'State Map'!$A:$A,0))="Max Ambition",Schedules!Q$7,T9),T9)</f>
        <v>0.78400000000000003</v>
      </c>
      <c r="V9" s="39">
        <f>IFERROR(IF(INDEX('State Map'!$C:$C,MATCH(TRIM('RZSPbS-psgr-ldv'!$A9),'State Map'!$A:$A,0))="Max Ambition",Schedules!R$7,U9),U9)</f>
        <v>0.83799999999999997</v>
      </c>
      <c r="W9" s="39">
        <f>IFERROR(IF(INDEX('State Map'!$C:$C,MATCH(TRIM('RZSPbS-psgr-ldv'!$A9),'State Map'!$A:$A,0))="Max Ambition",Schedules!S$7,V9),V9)</f>
        <v>0.89200000000000002</v>
      </c>
      <c r="X9" s="39">
        <f>IFERROR(IF(INDEX('State Map'!$C:$C,MATCH(TRIM('RZSPbS-psgr-ldv'!$A9),'State Map'!$A:$A,0))="Max Ambition",Schedules!T$7,W9),W9)</f>
        <v>0.94599999999999995</v>
      </c>
      <c r="Y9" s="39">
        <f>IFERROR(IF(INDEX('State Map'!$C:$C,MATCH(TRIM('RZSPbS-psgr-ldv'!$A9),'State Map'!$A:$A,0))="Max Ambition",Schedules!U$7,X9),X9)</f>
        <v>1</v>
      </c>
      <c r="Z9" s="39">
        <f>IFERROR(IF(INDEX('State Map'!$C:$C,MATCH(TRIM('RZSPbS-psgr-ldv'!$A9),'State Map'!$A:$A,0))="Max Ambition",Schedules!V$7,Y9),Y9)</f>
        <v>1</v>
      </c>
      <c r="AA9" s="39">
        <f>IFERROR(IF(INDEX('State Map'!$C:$C,MATCH(TRIM('RZSPbS-psgr-ldv'!$A9),'State Map'!$A:$A,0))="Max Ambition",Schedules!W$7,Z9),Z9)</f>
        <v>1</v>
      </c>
      <c r="AB9" s="39">
        <f>IFERROR(IF(INDEX('State Map'!$C:$C,MATCH(TRIM('RZSPbS-psgr-ldv'!$A9),'State Map'!$A:$A,0))="Max Ambition",Schedules!X$7,AA9),AA9)</f>
        <v>1</v>
      </c>
      <c r="AC9" s="39">
        <f>IFERROR(IF(INDEX('State Map'!$C:$C,MATCH(TRIM('RZSPbS-psgr-ldv'!$A9),'State Map'!$A:$A,0))="Max Ambition",Schedules!Y$7,AB9),AB9)</f>
        <v>1</v>
      </c>
      <c r="AD9" s="39">
        <f>IFERROR(IF(INDEX('State Map'!$C:$C,MATCH(TRIM('RZSPbS-psgr-ldv'!$A9),'State Map'!$A:$A,0))="Max Ambition",Schedules!Z$7,AC9),AC9)</f>
        <v>1</v>
      </c>
      <c r="AE9" s="39">
        <f>IFERROR(IF(INDEX('State Map'!$C:$C,MATCH(TRIM('RZSPbS-psgr-ldv'!$A9),'State Map'!$A:$A,0))="Max Ambition",Schedules!AA$7,AD9),AD9)</f>
        <v>1</v>
      </c>
      <c r="AF9" s="39">
        <f>IFERROR(IF(INDEX('State Map'!$C:$C,MATCH(TRIM('RZSPbS-psgr-ldv'!$A9),'State Map'!$A:$A,0))="Max Ambition",Schedules!AB$7,AE9),AE9)</f>
        <v>1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39">
        <f>IFERROR(IF(INDEX('State Map'!$C:$C,MATCH(TRIM('RZSPbS-psgr-ldv'!$A10),'State Map'!$A:$A,0))="Max Ambition",Schedules!G$7,J10),J10)</f>
        <v>0</v>
      </c>
      <c r="L10" s="39">
        <f>IFERROR(IF(INDEX('State Map'!$C:$C,MATCH(TRIM('RZSPbS-psgr-ldv'!$A10),'State Map'!$A:$A,0))="Max Ambition",Schedules!H$7,K10),K10)</f>
        <v>0</v>
      </c>
      <c r="M10" s="39">
        <f>IFERROR(IF(INDEX('State Map'!$C:$C,MATCH(TRIM('RZSPbS-psgr-ldv'!$A10),'State Map'!$A:$A,0))="Max Ambition",Schedules!I$7,L10),L10)</f>
        <v>0</v>
      </c>
      <c r="N10" s="39">
        <f>IFERROR(IF(INDEX('State Map'!$C:$C,MATCH(TRIM('RZSPbS-psgr-ldv'!$A10),'State Map'!$A:$A,0))="Max Ambition",Schedules!J$7,M10),M10)</f>
        <v>0</v>
      </c>
      <c r="O10" s="39">
        <f>IFERROR(IF(INDEX('State Map'!$C:$C,MATCH(TRIM('RZSPbS-psgr-ldv'!$A10),'State Map'!$A:$A,0))="Max Ambition",Schedules!K$7,N10),N10)</f>
        <v>0</v>
      </c>
      <c r="P10" s="39">
        <f>IFERROR(IF(INDEX('State Map'!$C:$C,MATCH(TRIM('RZSPbS-psgr-ldv'!$A10),'State Map'!$A:$A,0))="Max Ambition",Schedules!L$7,O10),O10)</f>
        <v>0</v>
      </c>
      <c r="Q10" s="39">
        <f>IFERROR(IF(INDEX('State Map'!$C:$C,MATCH(TRIM('RZSPbS-psgr-ldv'!$A10),'State Map'!$A:$A,0))="Max Ambition",Schedules!M$7,P10),P10)</f>
        <v>0</v>
      </c>
      <c r="R10" s="39">
        <f>IFERROR(IF(INDEX('State Map'!$C:$C,MATCH(TRIM('RZSPbS-psgr-ldv'!$A10),'State Map'!$A:$A,0))="Max Ambition",Schedules!N$7,Q10),Q10)</f>
        <v>0</v>
      </c>
      <c r="S10" s="39">
        <f>IFERROR(IF(INDEX('State Map'!$C:$C,MATCH(TRIM('RZSPbS-psgr-ldv'!$A10),'State Map'!$A:$A,0))="Max Ambition",Schedules!O$7,R10),R10)</f>
        <v>0</v>
      </c>
      <c r="T10" s="39">
        <f>IFERROR(IF(INDEX('State Map'!$C:$C,MATCH(TRIM('RZSPbS-psgr-ldv'!$A10),'State Map'!$A:$A,0))="Max Ambition",Schedules!P$7,S10),S10)</f>
        <v>0</v>
      </c>
      <c r="U10" s="39">
        <f>IFERROR(IF(INDEX('State Map'!$C:$C,MATCH(TRIM('RZSPbS-psgr-ldv'!$A10),'State Map'!$A:$A,0))="Max Ambition",Schedules!Q$7,T10),T10)</f>
        <v>0</v>
      </c>
      <c r="V10" s="39">
        <f>IFERROR(IF(INDEX('State Map'!$C:$C,MATCH(TRIM('RZSPbS-psgr-ldv'!$A10),'State Map'!$A:$A,0))="Max Ambition",Schedules!R$7,U10),U10)</f>
        <v>0</v>
      </c>
      <c r="W10" s="39">
        <f>IFERROR(IF(INDEX('State Map'!$C:$C,MATCH(TRIM('RZSPbS-psgr-ldv'!$A10),'State Map'!$A:$A,0))="Max Ambition",Schedules!S$7,V10),V10)</f>
        <v>0</v>
      </c>
      <c r="X10" s="39">
        <f>IFERROR(IF(INDEX('State Map'!$C:$C,MATCH(TRIM('RZSPbS-psgr-ldv'!$A10),'State Map'!$A:$A,0))="Max Ambition",Schedules!T$7,W10),W10)</f>
        <v>0</v>
      </c>
      <c r="Y10" s="39">
        <f>IFERROR(IF(INDEX('State Map'!$C:$C,MATCH(TRIM('RZSPbS-psgr-ldv'!$A10),'State Map'!$A:$A,0))="Max Ambition",Schedules!U$7,X10),X10)</f>
        <v>0</v>
      </c>
      <c r="Z10" s="39">
        <f>IFERROR(IF(INDEX('State Map'!$C:$C,MATCH(TRIM('RZSPbS-psgr-ldv'!$A10),'State Map'!$A:$A,0))="Max Ambition",Schedules!V$7,Y10),Y10)</f>
        <v>0</v>
      </c>
      <c r="AA10" s="39">
        <f>IFERROR(IF(INDEX('State Map'!$C:$C,MATCH(TRIM('RZSPbS-psgr-ldv'!$A10),'State Map'!$A:$A,0))="Max Ambition",Schedules!W$7,Z10),Z10)</f>
        <v>0</v>
      </c>
      <c r="AB10" s="39">
        <f>IFERROR(IF(INDEX('State Map'!$C:$C,MATCH(TRIM('RZSPbS-psgr-ldv'!$A10),'State Map'!$A:$A,0))="Max Ambition",Schedules!X$7,AA10),AA10)</f>
        <v>0</v>
      </c>
      <c r="AC10" s="39">
        <f>IFERROR(IF(INDEX('State Map'!$C:$C,MATCH(TRIM('RZSPbS-psgr-ldv'!$A10),'State Map'!$A:$A,0))="Max Ambition",Schedules!Y$7,AB10),AB10)</f>
        <v>0</v>
      </c>
      <c r="AD10" s="39">
        <f>IFERROR(IF(INDEX('State Map'!$C:$C,MATCH(TRIM('RZSPbS-psgr-ldv'!$A10),'State Map'!$A:$A,0))="Max Ambition",Schedules!Z$7,AC10),AC10)</f>
        <v>0</v>
      </c>
      <c r="AE10" s="39">
        <f>IFERROR(IF(INDEX('State Map'!$C:$C,MATCH(TRIM('RZSPbS-psgr-ldv'!$A10),'State Map'!$A:$A,0))="Max Ambition",Schedules!AA$7,AD10),AD10)</f>
        <v>0</v>
      </c>
      <c r="AF10" s="39">
        <f>IFERROR(IF(INDEX('State Map'!$C:$C,MATCH(TRIM('RZSPbS-psgr-ldv'!$A10),'State Map'!$A:$A,0))="Max Ambition",Schedules!AB$7,AE10),AE10)</f>
        <v>0</v>
      </c>
    </row>
    <row r="11" spans="1:3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39">
        <f>IFERROR(IF(INDEX('State Map'!$C:$C,MATCH(TRIM('RZSPbS-psgr-ldv'!$A11),'State Map'!$A:$A,0))="Max Ambition",Schedules!G$7,J11),J11)</f>
        <v>0</v>
      </c>
      <c r="L11" s="39">
        <f>IFERROR(IF(INDEX('State Map'!$C:$C,MATCH(TRIM('RZSPbS-psgr-ldv'!$A11),'State Map'!$A:$A,0))="Max Ambition",Schedules!H$7,K11),K11)</f>
        <v>0</v>
      </c>
      <c r="M11" s="39">
        <f>IFERROR(IF(INDEX('State Map'!$C:$C,MATCH(TRIM('RZSPbS-psgr-ldv'!$A11),'State Map'!$A:$A,0))="Max Ambition",Schedules!I$7,L11),L11)</f>
        <v>0</v>
      </c>
      <c r="N11" s="39">
        <f>IFERROR(IF(INDEX('State Map'!$C:$C,MATCH(TRIM('RZSPbS-psgr-ldv'!$A11),'State Map'!$A:$A,0))="Max Ambition",Schedules!J$7,M11),M11)</f>
        <v>0</v>
      </c>
      <c r="O11" s="39">
        <f>IFERROR(IF(INDEX('State Map'!$C:$C,MATCH(TRIM('RZSPbS-psgr-ldv'!$A11),'State Map'!$A:$A,0))="Max Ambition",Schedules!K$7,N11),N11)</f>
        <v>0</v>
      </c>
      <c r="P11" s="39">
        <f>IFERROR(IF(INDEX('State Map'!$C:$C,MATCH(TRIM('RZSPbS-psgr-ldv'!$A11),'State Map'!$A:$A,0))="Max Ambition",Schedules!L$7,O11),O11)</f>
        <v>0</v>
      </c>
      <c r="Q11" s="39">
        <f>IFERROR(IF(INDEX('State Map'!$C:$C,MATCH(TRIM('RZSPbS-psgr-ldv'!$A11),'State Map'!$A:$A,0))="Max Ambition",Schedules!M$7,P11),P11)</f>
        <v>0</v>
      </c>
      <c r="R11" s="39">
        <f>IFERROR(IF(INDEX('State Map'!$C:$C,MATCH(TRIM('RZSPbS-psgr-ldv'!$A11),'State Map'!$A:$A,0))="Max Ambition",Schedules!N$7,Q11),Q11)</f>
        <v>0</v>
      </c>
      <c r="S11" s="39">
        <f>IFERROR(IF(INDEX('State Map'!$C:$C,MATCH(TRIM('RZSPbS-psgr-ldv'!$A11),'State Map'!$A:$A,0))="Max Ambition",Schedules!O$7,R11),R11)</f>
        <v>0</v>
      </c>
      <c r="T11" s="39">
        <f>IFERROR(IF(INDEX('State Map'!$C:$C,MATCH(TRIM('RZSPbS-psgr-ldv'!$A11),'State Map'!$A:$A,0))="Max Ambition",Schedules!P$7,S11),S11)</f>
        <v>0</v>
      </c>
      <c r="U11" s="39">
        <f>IFERROR(IF(INDEX('State Map'!$C:$C,MATCH(TRIM('RZSPbS-psgr-ldv'!$A11),'State Map'!$A:$A,0))="Max Ambition",Schedules!Q$7,T11),T11)</f>
        <v>0</v>
      </c>
      <c r="V11" s="39">
        <f>IFERROR(IF(INDEX('State Map'!$C:$C,MATCH(TRIM('RZSPbS-psgr-ldv'!$A11),'State Map'!$A:$A,0))="Max Ambition",Schedules!R$7,U11),U11)</f>
        <v>0</v>
      </c>
      <c r="W11" s="39">
        <f>IFERROR(IF(INDEX('State Map'!$C:$C,MATCH(TRIM('RZSPbS-psgr-ldv'!$A11),'State Map'!$A:$A,0))="Max Ambition",Schedules!S$7,V11),V11)</f>
        <v>0</v>
      </c>
      <c r="X11" s="39">
        <f>IFERROR(IF(INDEX('State Map'!$C:$C,MATCH(TRIM('RZSPbS-psgr-ldv'!$A11),'State Map'!$A:$A,0))="Max Ambition",Schedules!T$7,W11),W11)</f>
        <v>0</v>
      </c>
      <c r="Y11" s="39">
        <f>IFERROR(IF(INDEX('State Map'!$C:$C,MATCH(TRIM('RZSPbS-psgr-ldv'!$A11),'State Map'!$A:$A,0))="Max Ambition",Schedules!U$7,X11),X11)</f>
        <v>0</v>
      </c>
      <c r="Z11" s="39">
        <f>IFERROR(IF(INDEX('State Map'!$C:$C,MATCH(TRIM('RZSPbS-psgr-ldv'!$A11),'State Map'!$A:$A,0))="Max Ambition",Schedules!V$7,Y11),Y11)</f>
        <v>0</v>
      </c>
      <c r="AA11" s="39">
        <f>IFERROR(IF(INDEX('State Map'!$C:$C,MATCH(TRIM('RZSPbS-psgr-ldv'!$A11),'State Map'!$A:$A,0))="Max Ambition",Schedules!W$7,Z11),Z11)</f>
        <v>0</v>
      </c>
      <c r="AB11" s="39">
        <f>IFERROR(IF(INDEX('State Map'!$C:$C,MATCH(TRIM('RZSPbS-psgr-ldv'!$A11),'State Map'!$A:$A,0))="Max Ambition",Schedules!X$7,AA11),AA11)</f>
        <v>0</v>
      </c>
      <c r="AC11" s="39">
        <f>IFERROR(IF(INDEX('State Map'!$C:$C,MATCH(TRIM('RZSPbS-psgr-ldv'!$A11),'State Map'!$A:$A,0))="Max Ambition",Schedules!Y$7,AB11),AB11)</f>
        <v>0</v>
      </c>
      <c r="AD11" s="39">
        <f>IFERROR(IF(INDEX('State Map'!$C:$C,MATCH(TRIM('RZSPbS-psgr-ldv'!$A11),'State Map'!$A:$A,0))="Max Ambition",Schedules!Z$7,AC11),AC11)</f>
        <v>0</v>
      </c>
      <c r="AE11" s="39">
        <f>IFERROR(IF(INDEX('State Map'!$C:$C,MATCH(TRIM('RZSPbS-psgr-ldv'!$A11),'State Map'!$A:$A,0))="Max Ambition",Schedules!AA$7,AD11),AD11)</f>
        <v>0</v>
      </c>
      <c r="AF11" s="39">
        <f>IFERROR(IF(INDEX('State Map'!$C:$C,MATCH(TRIM('RZSPbS-psgr-ldv'!$A11),'State Map'!$A:$A,0))="Max Ambition",Schedules!AB$7,AE11),AE11)</f>
        <v>0</v>
      </c>
    </row>
    <row r="12" spans="1:32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39">
        <f>IFERROR(IF(INDEX('State Map'!$C:$C,MATCH(TRIM('RZSPbS-psgr-ldv'!$A12),'State Map'!$A:$A,0))="Max Ambition",Schedules!G$7,J12),J12)</f>
        <v>0</v>
      </c>
      <c r="L12" s="39">
        <f>IFERROR(IF(INDEX('State Map'!$C:$C,MATCH(TRIM('RZSPbS-psgr-ldv'!$A12),'State Map'!$A:$A,0))="Max Ambition",Schedules!H$7,K12),K12)</f>
        <v>0</v>
      </c>
      <c r="M12" s="39">
        <f>IFERROR(IF(INDEX('State Map'!$C:$C,MATCH(TRIM('RZSPbS-psgr-ldv'!$A12),'State Map'!$A:$A,0))="Max Ambition",Schedules!I$7,L12),L12)</f>
        <v>0</v>
      </c>
      <c r="N12" s="39">
        <f>IFERROR(IF(INDEX('State Map'!$C:$C,MATCH(TRIM('RZSPbS-psgr-ldv'!$A12),'State Map'!$A:$A,0))="Max Ambition",Schedules!J$7,M12),M12)</f>
        <v>0</v>
      </c>
      <c r="O12" s="39">
        <f>IFERROR(IF(INDEX('State Map'!$C:$C,MATCH(TRIM('RZSPbS-psgr-ldv'!$A12),'State Map'!$A:$A,0))="Max Ambition",Schedules!K$7,N12),N12)</f>
        <v>0</v>
      </c>
      <c r="P12" s="39">
        <f>IFERROR(IF(INDEX('State Map'!$C:$C,MATCH(TRIM('RZSPbS-psgr-ldv'!$A12),'State Map'!$A:$A,0))="Max Ambition",Schedules!L$7,O12),O12)</f>
        <v>0</v>
      </c>
      <c r="Q12" s="39">
        <f>IFERROR(IF(INDEX('State Map'!$C:$C,MATCH(TRIM('RZSPbS-psgr-ldv'!$A12),'State Map'!$A:$A,0))="Max Ambition",Schedules!M$7,P12),P12)</f>
        <v>0</v>
      </c>
      <c r="R12" s="39">
        <f>IFERROR(IF(INDEX('State Map'!$C:$C,MATCH(TRIM('RZSPbS-psgr-ldv'!$A12),'State Map'!$A:$A,0))="Max Ambition",Schedules!N$7,Q12),Q12)</f>
        <v>0</v>
      </c>
      <c r="S12" s="39">
        <f>IFERROR(IF(INDEX('State Map'!$C:$C,MATCH(TRIM('RZSPbS-psgr-ldv'!$A12),'State Map'!$A:$A,0))="Max Ambition",Schedules!O$7,R12),R12)</f>
        <v>0</v>
      </c>
      <c r="T12" s="39">
        <f>IFERROR(IF(INDEX('State Map'!$C:$C,MATCH(TRIM('RZSPbS-psgr-ldv'!$A12),'State Map'!$A:$A,0))="Max Ambition",Schedules!P$7,S12),S12)</f>
        <v>0</v>
      </c>
      <c r="U12" s="39">
        <f>IFERROR(IF(INDEX('State Map'!$C:$C,MATCH(TRIM('RZSPbS-psgr-ldv'!$A12),'State Map'!$A:$A,0))="Max Ambition",Schedules!Q$7,T12),T12)</f>
        <v>0</v>
      </c>
      <c r="V12" s="39">
        <f>IFERROR(IF(INDEX('State Map'!$C:$C,MATCH(TRIM('RZSPbS-psgr-ldv'!$A12),'State Map'!$A:$A,0))="Max Ambition",Schedules!R$7,U12),U12)</f>
        <v>0</v>
      </c>
      <c r="W12" s="39">
        <f>IFERROR(IF(INDEX('State Map'!$C:$C,MATCH(TRIM('RZSPbS-psgr-ldv'!$A12),'State Map'!$A:$A,0))="Max Ambition",Schedules!S$7,V12),V12)</f>
        <v>0</v>
      </c>
      <c r="X12" s="39">
        <f>IFERROR(IF(INDEX('State Map'!$C:$C,MATCH(TRIM('RZSPbS-psgr-ldv'!$A12),'State Map'!$A:$A,0))="Max Ambition",Schedules!T$7,W12),W12)</f>
        <v>0</v>
      </c>
      <c r="Y12" s="39">
        <f>IFERROR(IF(INDEX('State Map'!$C:$C,MATCH(TRIM('RZSPbS-psgr-ldv'!$A12),'State Map'!$A:$A,0))="Max Ambition",Schedules!U$7,X12),X12)</f>
        <v>0</v>
      </c>
      <c r="Z12" s="39">
        <f>IFERROR(IF(INDEX('State Map'!$C:$C,MATCH(TRIM('RZSPbS-psgr-ldv'!$A12),'State Map'!$A:$A,0))="Max Ambition",Schedules!V$7,Y12),Y12)</f>
        <v>0</v>
      </c>
      <c r="AA12" s="39">
        <f>IFERROR(IF(INDEX('State Map'!$C:$C,MATCH(TRIM('RZSPbS-psgr-ldv'!$A12),'State Map'!$A:$A,0))="Max Ambition",Schedules!W$7,Z12),Z12)</f>
        <v>0</v>
      </c>
      <c r="AB12" s="39">
        <f>IFERROR(IF(INDEX('State Map'!$C:$C,MATCH(TRIM('RZSPbS-psgr-ldv'!$A12),'State Map'!$A:$A,0))="Max Ambition",Schedules!X$7,AA12),AA12)</f>
        <v>0</v>
      </c>
      <c r="AC12" s="39">
        <f>IFERROR(IF(INDEX('State Map'!$C:$C,MATCH(TRIM('RZSPbS-psgr-ldv'!$A12),'State Map'!$A:$A,0))="Max Ambition",Schedules!Y$7,AB12),AB12)</f>
        <v>0</v>
      </c>
      <c r="AD12" s="39">
        <f>IFERROR(IF(INDEX('State Map'!$C:$C,MATCH(TRIM('RZSPbS-psgr-ldv'!$A12),'State Map'!$A:$A,0))="Max Ambition",Schedules!Z$7,AC12),AC12)</f>
        <v>0</v>
      </c>
      <c r="AE12" s="39">
        <f>IFERROR(IF(INDEX('State Map'!$C:$C,MATCH(TRIM('RZSPbS-psgr-ldv'!$A12),'State Map'!$A:$A,0))="Max Ambition",Schedules!AA$7,AD12),AD12)</f>
        <v>0</v>
      </c>
      <c r="AF12" s="39">
        <f>IFERROR(IF(INDEX('State Map'!$C:$C,MATCH(TRIM('RZSPbS-psgr-ldv'!$A12),'State Map'!$A:$A,0))="Max Ambition",Schedules!AB$7,AE12),AE12)</f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39">
        <f>IFERROR(IF(INDEX('State Map'!$C:$C,MATCH(TRIM('RZSPbS-psgr-ldv'!$A13),'State Map'!$A:$A,0))="Max Ambition",Schedules!G$7,J13),J13)</f>
        <v>0</v>
      </c>
      <c r="L13" s="39">
        <f>IFERROR(IF(INDEX('State Map'!$C:$C,MATCH(TRIM('RZSPbS-psgr-ldv'!$A13),'State Map'!$A:$A,0))="Max Ambition",Schedules!H$7,K13),K13)</f>
        <v>0</v>
      </c>
      <c r="M13" s="39">
        <f>IFERROR(IF(INDEX('State Map'!$C:$C,MATCH(TRIM('RZSPbS-psgr-ldv'!$A13),'State Map'!$A:$A,0))="Max Ambition",Schedules!I$7,L13),L13)</f>
        <v>0</v>
      </c>
      <c r="N13" s="39">
        <f>IFERROR(IF(INDEX('State Map'!$C:$C,MATCH(TRIM('RZSPbS-psgr-ldv'!$A13),'State Map'!$A:$A,0))="Max Ambition",Schedules!J$7,M13),M13)</f>
        <v>0</v>
      </c>
      <c r="O13" s="39">
        <f>IFERROR(IF(INDEX('State Map'!$C:$C,MATCH(TRIM('RZSPbS-psgr-ldv'!$A13),'State Map'!$A:$A,0))="Max Ambition",Schedules!K$7,N13),N13)</f>
        <v>0</v>
      </c>
      <c r="P13" s="39">
        <f>IFERROR(IF(INDEX('State Map'!$C:$C,MATCH(TRIM('RZSPbS-psgr-ldv'!$A13),'State Map'!$A:$A,0))="Max Ambition",Schedules!L$7,O13),O13)</f>
        <v>0</v>
      </c>
      <c r="Q13" s="39">
        <f>IFERROR(IF(INDEX('State Map'!$C:$C,MATCH(TRIM('RZSPbS-psgr-ldv'!$A13),'State Map'!$A:$A,0))="Max Ambition",Schedules!M$7,P13),P13)</f>
        <v>0</v>
      </c>
      <c r="R13" s="39">
        <f>IFERROR(IF(INDEX('State Map'!$C:$C,MATCH(TRIM('RZSPbS-psgr-ldv'!$A13),'State Map'!$A:$A,0))="Max Ambition",Schedules!N$7,Q13),Q13)</f>
        <v>0</v>
      </c>
      <c r="S13" s="39">
        <f>IFERROR(IF(INDEX('State Map'!$C:$C,MATCH(TRIM('RZSPbS-psgr-ldv'!$A13),'State Map'!$A:$A,0))="Max Ambition",Schedules!O$7,R13),R13)</f>
        <v>0</v>
      </c>
      <c r="T13" s="39">
        <f>IFERROR(IF(INDEX('State Map'!$C:$C,MATCH(TRIM('RZSPbS-psgr-ldv'!$A13),'State Map'!$A:$A,0))="Max Ambition",Schedules!P$7,S13),S13)</f>
        <v>0</v>
      </c>
      <c r="U13" s="39">
        <f>IFERROR(IF(INDEX('State Map'!$C:$C,MATCH(TRIM('RZSPbS-psgr-ldv'!$A13),'State Map'!$A:$A,0))="Max Ambition",Schedules!Q$7,T13),T13)</f>
        <v>0</v>
      </c>
      <c r="V13" s="39">
        <f>IFERROR(IF(INDEX('State Map'!$C:$C,MATCH(TRIM('RZSPbS-psgr-ldv'!$A13),'State Map'!$A:$A,0))="Max Ambition",Schedules!R$7,U13),U13)</f>
        <v>0</v>
      </c>
      <c r="W13" s="39">
        <f>IFERROR(IF(INDEX('State Map'!$C:$C,MATCH(TRIM('RZSPbS-psgr-ldv'!$A13),'State Map'!$A:$A,0))="Max Ambition",Schedules!S$7,V13),V13)</f>
        <v>0</v>
      </c>
      <c r="X13" s="39">
        <f>IFERROR(IF(INDEX('State Map'!$C:$C,MATCH(TRIM('RZSPbS-psgr-ldv'!$A13),'State Map'!$A:$A,0))="Max Ambition",Schedules!T$7,W13),W13)</f>
        <v>0</v>
      </c>
      <c r="Y13" s="39">
        <f>IFERROR(IF(INDEX('State Map'!$C:$C,MATCH(TRIM('RZSPbS-psgr-ldv'!$A13),'State Map'!$A:$A,0))="Max Ambition",Schedules!U$7,X13),X13)</f>
        <v>0</v>
      </c>
      <c r="Z13" s="39">
        <f>IFERROR(IF(INDEX('State Map'!$C:$C,MATCH(TRIM('RZSPbS-psgr-ldv'!$A13),'State Map'!$A:$A,0))="Max Ambition",Schedules!V$7,Y13),Y13)</f>
        <v>0</v>
      </c>
      <c r="AA13" s="39">
        <f>IFERROR(IF(INDEX('State Map'!$C:$C,MATCH(TRIM('RZSPbS-psgr-ldv'!$A13),'State Map'!$A:$A,0))="Max Ambition",Schedules!W$7,Z13),Z13)</f>
        <v>0</v>
      </c>
      <c r="AB13" s="39">
        <f>IFERROR(IF(INDEX('State Map'!$C:$C,MATCH(TRIM('RZSPbS-psgr-ldv'!$A13),'State Map'!$A:$A,0))="Max Ambition",Schedules!X$7,AA13),AA13)</f>
        <v>0</v>
      </c>
      <c r="AC13" s="39">
        <f>IFERROR(IF(INDEX('State Map'!$C:$C,MATCH(TRIM('RZSPbS-psgr-ldv'!$A13),'State Map'!$A:$A,0))="Max Ambition",Schedules!Y$7,AB13),AB13)</f>
        <v>0</v>
      </c>
      <c r="AD13" s="39">
        <f>IFERROR(IF(INDEX('State Map'!$C:$C,MATCH(TRIM('RZSPbS-psgr-ldv'!$A13),'State Map'!$A:$A,0))="Max Ambition",Schedules!Z$7,AC13),AC13)</f>
        <v>0</v>
      </c>
      <c r="AE13" s="39">
        <f>IFERROR(IF(INDEX('State Map'!$C:$C,MATCH(TRIM('RZSPbS-psgr-ldv'!$A13),'State Map'!$A:$A,0))="Max Ambition",Schedules!AA$7,AD13),AD13)</f>
        <v>0</v>
      </c>
      <c r="AF13" s="39">
        <f>IFERROR(IF(INDEX('State Map'!$C:$C,MATCH(TRIM('RZSPbS-psgr-ldv'!$A13),'State Map'!$A:$A,0))="Max Ambition",Schedules!AB$7,AE13),AE13)</f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39">
        <f>IFERROR(IF(INDEX('State Map'!$C:$C,MATCH(TRIM('RZSPbS-psgr-ldv'!$A14),'State Map'!$A:$A,0))="Max Ambition",Schedules!G$7,J14),J14)</f>
        <v>0</v>
      </c>
      <c r="L14" s="39">
        <f>IFERROR(IF(INDEX('State Map'!$C:$C,MATCH(TRIM('RZSPbS-psgr-ldv'!$A14),'State Map'!$A:$A,0))="Max Ambition",Schedules!H$7,K14),K14)</f>
        <v>0</v>
      </c>
      <c r="M14" s="39">
        <f>IFERROR(IF(INDEX('State Map'!$C:$C,MATCH(TRIM('RZSPbS-psgr-ldv'!$A14),'State Map'!$A:$A,0))="Max Ambition",Schedules!I$7,L14),L14)</f>
        <v>0</v>
      </c>
      <c r="N14" s="39">
        <f>IFERROR(IF(INDEX('State Map'!$C:$C,MATCH(TRIM('RZSPbS-psgr-ldv'!$A14),'State Map'!$A:$A,0))="Max Ambition",Schedules!J$7,M14),M14)</f>
        <v>0</v>
      </c>
      <c r="O14" s="39">
        <f>IFERROR(IF(INDEX('State Map'!$C:$C,MATCH(TRIM('RZSPbS-psgr-ldv'!$A14),'State Map'!$A:$A,0))="Max Ambition",Schedules!K$7,N14),N14)</f>
        <v>0</v>
      </c>
      <c r="P14" s="39">
        <f>IFERROR(IF(INDEX('State Map'!$C:$C,MATCH(TRIM('RZSPbS-psgr-ldv'!$A14),'State Map'!$A:$A,0))="Max Ambition",Schedules!L$7,O14),O14)</f>
        <v>0</v>
      </c>
      <c r="Q14" s="39">
        <f>IFERROR(IF(INDEX('State Map'!$C:$C,MATCH(TRIM('RZSPbS-psgr-ldv'!$A14),'State Map'!$A:$A,0))="Max Ambition",Schedules!M$7,P14),P14)</f>
        <v>0</v>
      </c>
      <c r="R14" s="39">
        <f>IFERROR(IF(INDEX('State Map'!$C:$C,MATCH(TRIM('RZSPbS-psgr-ldv'!$A14),'State Map'!$A:$A,0))="Max Ambition",Schedules!N$7,Q14),Q14)</f>
        <v>0</v>
      </c>
      <c r="S14" s="39">
        <f>IFERROR(IF(INDEX('State Map'!$C:$C,MATCH(TRIM('RZSPbS-psgr-ldv'!$A14),'State Map'!$A:$A,0))="Max Ambition",Schedules!O$7,R14),R14)</f>
        <v>0</v>
      </c>
      <c r="T14" s="39">
        <f>IFERROR(IF(INDEX('State Map'!$C:$C,MATCH(TRIM('RZSPbS-psgr-ldv'!$A14),'State Map'!$A:$A,0))="Max Ambition",Schedules!P$7,S14),S14)</f>
        <v>0</v>
      </c>
      <c r="U14" s="39">
        <f>IFERROR(IF(INDEX('State Map'!$C:$C,MATCH(TRIM('RZSPbS-psgr-ldv'!$A14),'State Map'!$A:$A,0))="Max Ambition",Schedules!Q$7,T14),T14)</f>
        <v>0</v>
      </c>
      <c r="V14" s="39">
        <f>IFERROR(IF(INDEX('State Map'!$C:$C,MATCH(TRIM('RZSPbS-psgr-ldv'!$A14),'State Map'!$A:$A,0))="Max Ambition",Schedules!R$7,U14),U14)</f>
        <v>0</v>
      </c>
      <c r="W14" s="39">
        <f>IFERROR(IF(INDEX('State Map'!$C:$C,MATCH(TRIM('RZSPbS-psgr-ldv'!$A14),'State Map'!$A:$A,0))="Max Ambition",Schedules!S$7,V14),V14)</f>
        <v>0</v>
      </c>
      <c r="X14" s="39">
        <f>IFERROR(IF(INDEX('State Map'!$C:$C,MATCH(TRIM('RZSPbS-psgr-ldv'!$A14),'State Map'!$A:$A,0))="Max Ambition",Schedules!T$7,W14),W14)</f>
        <v>0</v>
      </c>
      <c r="Y14" s="39">
        <f>IFERROR(IF(INDEX('State Map'!$C:$C,MATCH(TRIM('RZSPbS-psgr-ldv'!$A14),'State Map'!$A:$A,0))="Max Ambition",Schedules!U$7,X14),X14)</f>
        <v>0</v>
      </c>
      <c r="Z14" s="39">
        <f>IFERROR(IF(INDEX('State Map'!$C:$C,MATCH(TRIM('RZSPbS-psgr-ldv'!$A14),'State Map'!$A:$A,0))="Max Ambition",Schedules!V$7,Y14),Y14)</f>
        <v>0</v>
      </c>
      <c r="AA14" s="39">
        <f>IFERROR(IF(INDEX('State Map'!$C:$C,MATCH(TRIM('RZSPbS-psgr-ldv'!$A14),'State Map'!$A:$A,0))="Max Ambition",Schedules!W$7,Z14),Z14)</f>
        <v>0</v>
      </c>
      <c r="AB14" s="39">
        <f>IFERROR(IF(INDEX('State Map'!$C:$C,MATCH(TRIM('RZSPbS-psgr-ldv'!$A14),'State Map'!$A:$A,0))="Max Ambition",Schedules!X$7,AA14),AA14)</f>
        <v>0</v>
      </c>
      <c r="AC14" s="39">
        <f>IFERROR(IF(INDEX('State Map'!$C:$C,MATCH(TRIM('RZSPbS-psgr-ldv'!$A14),'State Map'!$A:$A,0))="Max Ambition",Schedules!Y$7,AB14),AB14)</f>
        <v>0</v>
      </c>
      <c r="AD14" s="39">
        <f>IFERROR(IF(INDEX('State Map'!$C:$C,MATCH(TRIM('RZSPbS-psgr-ldv'!$A14),'State Map'!$A:$A,0))="Max Ambition",Schedules!Z$7,AC14),AC14)</f>
        <v>0</v>
      </c>
      <c r="AE14" s="39">
        <f>IFERROR(IF(INDEX('State Map'!$C:$C,MATCH(TRIM('RZSPbS-psgr-ldv'!$A14),'State Map'!$A:$A,0))="Max Ambition",Schedules!AA$7,AD14),AD14)</f>
        <v>0</v>
      </c>
      <c r="AF14" s="39">
        <f>IFERROR(IF(INDEX('State Map'!$C:$C,MATCH(TRIM('RZSPbS-psgr-ldv'!$A14),'State Map'!$A:$A,0))="Max Ambition",Schedules!AB$7,AE14),AE14)</f>
        <v>0</v>
      </c>
    </row>
    <row r="15" spans="1:32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39">
        <f>IFERROR(IF(INDEX('State Map'!$C:$C,MATCH(TRIM('RZSPbS-psgr-ldv'!$A15),'State Map'!$A:$A,0))="Max Ambition",Schedules!G$7,J15),J15)</f>
        <v>0.2</v>
      </c>
      <c r="L15" s="39">
        <f>IFERROR(IF(INDEX('State Map'!$C:$C,MATCH(TRIM('RZSPbS-psgr-ldv'!$A15),'State Map'!$A:$A,0))="Max Ambition",Schedules!H$7,K15),K15)</f>
        <v>0.25</v>
      </c>
      <c r="M15" s="39">
        <f>IFERROR(IF(INDEX('State Map'!$C:$C,MATCH(TRIM('RZSPbS-psgr-ldv'!$A15),'State Map'!$A:$A,0))="Max Ambition",Schedules!I$7,L15),L15)</f>
        <v>0.3</v>
      </c>
      <c r="N15" s="39">
        <f>IFERROR(IF(INDEX('State Map'!$C:$C,MATCH(TRIM('RZSPbS-psgr-ldv'!$A15),'State Map'!$A:$A,0))="Max Ambition",Schedules!J$7,M15),M15)</f>
        <v>0.38</v>
      </c>
      <c r="O15" s="39">
        <f>IFERROR(IF(INDEX('State Map'!$C:$C,MATCH(TRIM('RZSPbS-psgr-ldv'!$A15),'State Map'!$A:$A,0))="Max Ambition",Schedules!K$7,N15),N15)</f>
        <v>0.46</v>
      </c>
      <c r="P15" s="39">
        <f>IFERROR(IF(INDEX('State Map'!$C:$C,MATCH(TRIM('RZSPbS-psgr-ldv'!$A15),'State Map'!$A:$A,0))="Max Ambition",Schedules!L$7,O15),O15)</f>
        <v>0.51400000000000001</v>
      </c>
      <c r="Q15" s="39">
        <f>IFERROR(IF(INDEX('State Map'!$C:$C,MATCH(TRIM('RZSPbS-psgr-ldv'!$A15),'State Map'!$A:$A,0))="Max Ambition",Schedules!M$7,P15),P15)</f>
        <v>0.56799999999999995</v>
      </c>
      <c r="R15" s="39">
        <f>IFERROR(IF(INDEX('State Map'!$C:$C,MATCH(TRIM('RZSPbS-psgr-ldv'!$A15),'State Map'!$A:$A,0))="Max Ambition",Schedules!N$7,Q15),Q15)</f>
        <v>0.622</v>
      </c>
      <c r="S15" s="39">
        <f>IFERROR(IF(INDEX('State Map'!$C:$C,MATCH(TRIM('RZSPbS-psgr-ldv'!$A15),'State Map'!$A:$A,0))="Max Ambition",Schedules!O$7,R15),R15)</f>
        <v>0.67600000000000005</v>
      </c>
      <c r="T15" s="39">
        <f>IFERROR(IF(INDEX('State Map'!$C:$C,MATCH(TRIM('RZSPbS-psgr-ldv'!$A15),'State Map'!$A:$A,0))="Max Ambition",Schedules!P$7,S15),S15)</f>
        <v>0.73</v>
      </c>
      <c r="U15" s="39">
        <f>IFERROR(IF(INDEX('State Map'!$C:$C,MATCH(TRIM('RZSPbS-psgr-ldv'!$A15),'State Map'!$A:$A,0))="Max Ambition",Schedules!Q$7,T15),T15)</f>
        <v>0.78400000000000003</v>
      </c>
      <c r="V15" s="39">
        <f>IFERROR(IF(INDEX('State Map'!$C:$C,MATCH(TRIM('RZSPbS-psgr-ldv'!$A15),'State Map'!$A:$A,0))="Max Ambition",Schedules!R$7,U15),U15)</f>
        <v>0.83799999999999997</v>
      </c>
      <c r="W15" s="39">
        <f>IFERROR(IF(INDEX('State Map'!$C:$C,MATCH(TRIM('RZSPbS-psgr-ldv'!$A15),'State Map'!$A:$A,0))="Max Ambition",Schedules!S$7,V15),V15)</f>
        <v>0.89200000000000002</v>
      </c>
      <c r="X15" s="39">
        <f>IFERROR(IF(INDEX('State Map'!$C:$C,MATCH(TRIM('RZSPbS-psgr-ldv'!$A15),'State Map'!$A:$A,0))="Max Ambition",Schedules!T$7,W15),W15)</f>
        <v>0.94599999999999995</v>
      </c>
      <c r="Y15" s="39">
        <f>IFERROR(IF(INDEX('State Map'!$C:$C,MATCH(TRIM('RZSPbS-psgr-ldv'!$A15),'State Map'!$A:$A,0))="Max Ambition",Schedules!U$7,X15),X15)</f>
        <v>1</v>
      </c>
      <c r="Z15" s="39">
        <f>IFERROR(IF(INDEX('State Map'!$C:$C,MATCH(TRIM('RZSPbS-psgr-ldv'!$A15),'State Map'!$A:$A,0))="Max Ambition",Schedules!V$7,Y15),Y15)</f>
        <v>1</v>
      </c>
      <c r="AA15" s="39">
        <f>IFERROR(IF(INDEX('State Map'!$C:$C,MATCH(TRIM('RZSPbS-psgr-ldv'!$A15),'State Map'!$A:$A,0))="Max Ambition",Schedules!W$7,Z15),Z15)</f>
        <v>1</v>
      </c>
      <c r="AB15" s="39">
        <f>IFERROR(IF(INDEX('State Map'!$C:$C,MATCH(TRIM('RZSPbS-psgr-ldv'!$A15),'State Map'!$A:$A,0))="Max Ambition",Schedules!X$7,AA15),AA15)</f>
        <v>1</v>
      </c>
      <c r="AC15" s="39">
        <f>IFERROR(IF(INDEX('State Map'!$C:$C,MATCH(TRIM('RZSPbS-psgr-ldv'!$A15),'State Map'!$A:$A,0))="Max Ambition",Schedules!Y$7,AB15),AB15)</f>
        <v>1</v>
      </c>
      <c r="AD15" s="39">
        <f>IFERROR(IF(INDEX('State Map'!$C:$C,MATCH(TRIM('RZSPbS-psgr-ldv'!$A15),'State Map'!$A:$A,0))="Max Ambition",Schedules!Z$7,AC15),AC15)</f>
        <v>1</v>
      </c>
      <c r="AE15" s="39">
        <f>IFERROR(IF(INDEX('State Map'!$C:$C,MATCH(TRIM('RZSPbS-psgr-ldv'!$A15),'State Map'!$A:$A,0))="Max Ambition",Schedules!AA$7,AD15),AD15)</f>
        <v>1</v>
      </c>
      <c r="AF15" s="39">
        <f>IFERROR(IF(INDEX('State Map'!$C:$C,MATCH(TRIM('RZSPbS-psgr-ldv'!$A15),'State Map'!$A:$A,0))="Max Ambition",Schedules!AB$7,AE15),AE15)</f>
        <v>1</v>
      </c>
    </row>
    <row r="16" spans="1:3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39">
        <f>IFERROR(IF(INDEX('State Map'!$C:$C,MATCH(TRIM('RZSPbS-psgr-ldv'!$A16),'State Map'!$A:$A,0))="Max Ambition",Schedules!G$7,J16),J16)</f>
        <v>0</v>
      </c>
      <c r="L16" s="39">
        <f>IFERROR(IF(INDEX('State Map'!$C:$C,MATCH(TRIM('RZSPbS-psgr-ldv'!$A16),'State Map'!$A:$A,0))="Max Ambition",Schedules!H$7,K16),K16)</f>
        <v>0</v>
      </c>
      <c r="M16" s="39">
        <f>IFERROR(IF(INDEX('State Map'!$C:$C,MATCH(TRIM('RZSPbS-psgr-ldv'!$A16),'State Map'!$A:$A,0))="Max Ambition",Schedules!I$7,L16),L16)</f>
        <v>0</v>
      </c>
      <c r="N16" s="39">
        <f>IFERROR(IF(INDEX('State Map'!$C:$C,MATCH(TRIM('RZSPbS-psgr-ldv'!$A16),'State Map'!$A:$A,0))="Max Ambition",Schedules!J$7,M16),M16)</f>
        <v>0</v>
      </c>
      <c r="O16" s="39">
        <f>IFERROR(IF(INDEX('State Map'!$C:$C,MATCH(TRIM('RZSPbS-psgr-ldv'!$A16),'State Map'!$A:$A,0))="Max Ambition",Schedules!K$7,N16),N16)</f>
        <v>0</v>
      </c>
      <c r="P16" s="39">
        <f>IFERROR(IF(INDEX('State Map'!$C:$C,MATCH(TRIM('RZSPbS-psgr-ldv'!$A16),'State Map'!$A:$A,0))="Max Ambition",Schedules!L$7,O16),O16)</f>
        <v>0</v>
      </c>
      <c r="Q16" s="39">
        <f>IFERROR(IF(INDEX('State Map'!$C:$C,MATCH(TRIM('RZSPbS-psgr-ldv'!$A16),'State Map'!$A:$A,0))="Max Ambition",Schedules!M$7,P16),P16)</f>
        <v>0</v>
      </c>
      <c r="R16" s="39">
        <f>IFERROR(IF(INDEX('State Map'!$C:$C,MATCH(TRIM('RZSPbS-psgr-ldv'!$A16),'State Map'!$A:$A,0))="Max Ambition",Schedules!N$7,Q16),Q16)</f>
        <v>0</v>
      </c>
      <c r="S16" s="39">
        <f>IFERROR(IF(INDEX('State Map'!$C:$C,MATCH(TRIM('RZSPbS-psgr-ldv'!$A16),'State Map'!$A:$A,0))="Max Ambition",Schedules!O$7,R16),R16)</f>
        <v>0</v>
      </c>
      <c r="T16" s="39">
        <f>IFERROR(IF(INDEX('State Map'!$C:$C,MATCH(TRIM('RZSPbS-psgr-ldv'!$A16),'State Map'!$A:$A,0))="Max Ambition",Schedules!P$7,S16),S16)</f>
        <v>0</v>
      </c>
      <c r="U16" s="39">
        <f>IFERROR(IF(INDEX('State Map'!$C:$C,MATCH(TRIM('RZSPbS-psgr-ldv'!$A16),'State Map'!$A:$A,0))="Max Ambition",Schedules!Q$7,T16),T16)</f>
        <v>0</v>
      </c>
      <c r="V16" s="39">
        <f>IFERROR(IF(INDEX('State Map'!$C:$C,MATCH(TRIM('RZSPbS-psgr-ldv'!$A16),'State Map'!$A:$A,0))="Max Ambition",Schedules!R$7,U16),U16)</f>
        <v>0</v>
      </c>
      <c r="W16" s="39">
        <f>IFERROR(IF(INDEX('State Map'!$C:$C,MATCH(TRIM('RZSPbS-psgr-ldv'!$A16),'State Map'!$A:$A,0))="Max Ambition",Schedules!S$7,V16),V16)</f>
        <v>0</v>
      </c>
      <c r="X16" s="39">
        <f>IFERROR(IF(INDEX('State Map'!$C:$C,MATCH(TRIM('RZSPbS-psgr-ldv'!$A16),'State Map'!$A:$A,0))="Max Ambition",Schedules!T$7,W16),W16)</f>
        <v>0</v>
      </c>
      <c r="Y16" s="39">
        <f>IFERROR(IF(INDEX('State Map'!$C:$C,MATCH(TRIM('RZSPbS-psgr-ldv'!$A16),'State Map'!$A:$A,0))="Max Ambition",Schedules!U$7,X16),X16)</f>
        <v>0</v>
      </c>
      <c r="Z16" s="39">
        <f>IFERROR(IF(INDEX('State Map'!$C:$C,MATCH(TRIM('RZSPbS-psgr-ldv'!$A16),'State Map'!$A:$A,0))="Max Ambition",Schedules!V$7,Y16),Y16)</f>
        <v>0</v>
      </c>
      <c r="AA16" s="39">
        <f>IFERROR(IF(INDEX('State Map'!$C:$C,MATCH(TRIM('RZSPbS-psgr-ldv'!$A16),'State Map'!$A:$A,0))="Max Ambition",Schedules!W$7,Z16),Z16)</f>
        <v>0</v>
      </c>
      <c r="AB16" s="39">
        <f>IFERROR(IF(INDEX('State Map'!$C:$C,MATCH(TRIM('RZSPbS-psgr-ldv'!$A16),'State Map'!$A:$A,0))="Max Ambition",Schedules!X$7,AA16),AA16)</f>
        <v>0</v>
      </c>
      <c r="AC16" s="39">
        <f>IFERROR(IF(INDEX('State Map'!$C:$C,MATCH(TRIM('RZSPbS-psgr-ldv'!$A16),'State Map'!$A:$A,0))="Max Ambition",Schedules!Y$7,AB16),AB16)</f>
        <v>0</v>
      </c>
      <c r="AD16" s="39">
        <f>IFERROR(IF(INDEX('State Map'!$C:$C,MATCH(TRIM('RZSPbS-psgr-ldv'!$A16),'State Map'!$A:$A,0))="Max Ambition",Schedules!Z$7,AC16),AC16)</f>
        <v>0</v>
      </c>
      <c r="AE16" s="39">
        <f>IFERROR(IF(INDEX('State Map'!$C:$C,MATCH(TRIM('RZSPbS-psgr-ldv'!$A16),'State Map'!$A:$A,0))="Max Ambition",Schedules!AA$7,AD16),AD16)</f>
        <v>0</v>
      </c>
      <c r="AF16" s="39">
        <f>IFERROR(IF(INDEX('State Map'!$C:$C,MATCH(TRIM('RZSPbS-psgr-ldv'!$A16),'State Map'!$A:$A,0))="Max Ambition",Schedules!AB$7,AE16),AE16)</f>
        <v>0</v>
      </c>
    </row>
    <row r="17" spans="1:3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39">
        <f>IFERROR(IF(INDEX('State Map'!$C:$C,MATCH(TRIM('RZSPbS-psgr-ldv'!$A17),'State Map'!$A:$A,0))="Max Ambition",Schedules!G$7,J17),J17)</f>
        <v>0</v>
      </c>
      <c r="L17" s="39">
        <f>IFERROR(IF(INDEX('State Map'!$C:$C,MATCH(TRIM('RZSPbS-psgr-ldv'!$A17),'State Map'!$A:$A,0))="Max Ambition",Schedules!H$7,K17),K17)</f>
        <v>0</v>
      </c>
      <c r="M17" s="39">
        <f>IFERROR(IF(INDEX('State Map'!$C:$C,MATCH(TRIM('RZSPbS-psgr-ldv'!$A17),'State Map'!$A:$A,0))="Max Ambition",Schedules!I$7,L17),L17)</f>
        <v>0</v>
      </c>
      <c r="N17" s="39">
        <f>IFERROR(IF(INDEX('State Map'!$C:$C,MATCH(TRIM('RZSPbS-psgr-ldv'!$A17),'State Map'!$A:$A,0))="Max Ambition",Schedules!J$7,M17),M17)</f>
        <v>0</v>
      </c>
      <c r="O17" s="39">
        <f>IFERROR(IF(INDEX('State Map'!$C:$C,MATCH(TRIM('RZSPbS-psgr-ldv'!$A17),'State Map'!$A:$A,0))="Max Ambition",Schedules!K$7,N17),N17)</f>
        <v>0</v>
      </c>
      <c r="P17" s="39">
        <f>IFERROR(IF(INDEX('State Map'!$C:$C,MATCH(TRIM('RZSPbS-psgr-ldv'!$A17),'State Map'!$A:$A,0))="Max Ambition",Schedules!L$7,O17),O17)</f>
        <v>0</v>
      </c>
      <c r="Q17" s="39">
        <f>IFERROR(IF(INDEX('State Map'!$C:$C,MATCH(TRIM('RZSPbS-psgr-ldv'!$A17),'State Map'!$A:$A,0))="Max Ambition",Schedules!M$7,P17),P17)</f>
        <v>0</v>
      </c>
      <c r="R17" s="39">
        <f>IFERROR(IF(INDEX('State Map'!$C:$C,MATCH(TRIM('RZSPbS-psgr-ldv'!$A17),'State Map'!$A:$A,0))="Max Ambition",Schedules!N$7,Q17),Q17)</f>
        <v>0</v>
      </c>
      <c r="S17" s="39">
        <f>IFERROR(IF(INDEX('State Map'!$C:$C,MATCH(TRIM('RZSPbS-psgr-ldv'!$A17),'State Map'!$A:$A,0))="Max Ambition",Schedules!O$7,R17),R17)</f>
        <v>0</v>
      </c>
      <c r="T17" s="39">
        <f>IFERROR(IF(INDEX('State Map'!$C:$C,MATCH(TRIM('RZSPbS-psgr-ldv'!$A17),'State Map'!$A:$A,0))="Max Ambition",Schedules!P$7,S17),S17)</f>
        <v>0</v>
      </c>
      <c r="U17" s="39">
        <f>IFERROR(IF(INDEX('State Map'!$C:$C,MATCH(TRIM('RZSPbS-psgr-ldv'!$A17),'State Map'!$A:$A,0))="Max Ambition",Schedules!Q$7,T17),T17)</f>
        <v>0</v>
      </c>
      <c r="V17" s="39">
        <f>IFERROR(IF(INDEX('State Map'!$C:$C,MATCH(TRIM('RZSPbS-psgr-ldv'!$A17),'State Map'!$A:$A,0))="Max Ambition",Schedules!R$7,U17),U17)</f>
        <v>0</v>
      </c>
      <c r="W17" s="39">
        <f>IFERROR(IF(INDEX('State Map'!$C:$C,MATCH(TRIM('RZSPbS-psgr-ldv'!$A17),'State Map'!$A:$A,0))="Max Ambition",Schedules!S$7,V17),V17)</f>
        <v>0</v>
      </c>
      <c r="X17" s="39">
        <f>IFERROR(IF(INDEX('State Map'!$C:$C,MATCH(TRIM('RZSPbS-psgr-ldv'!$A17),'State Map'!$A:$A,0))="Max Ambition",Schedules!T$7,W17),W17)</f>
        <v>0</v>
      </c>
      <c r="Y17" s="39">
        <f>IFERROR(IF(INDEX('State Map'!$C:$C,MATCH(TRIM('RZSPbS-psgr-ldv'!$A17),'State Map'!$A:$A,0))="Max Ambition",Schedules!U$7,X17),X17)</f>
        <v>0</v>
      </c>
      <c r="Z17" s="39">
        <f>IFERROR(IF(INDEX('State Map'!$C:$C,MATCH(TRIM('RZSPbS-psgr-ldv'!$A17),'State Map'!$A:$A,0))="Max Ambition",Schedules!V$7,Y17),Y17)</f>
        <v>0</v>
      </c>
      <c r="AA17" s="39">
        <f>IFERROR(IF(INDEX('State Map'!$C:$C,MATCH(TRIM('RZSPbS-psgr-ldv'!$A17),'State Map'!$A:$A,0))="Max Ambition",Schedules!W$7,Z17),Z17)</f>
        <v>0</v>
      </c>
      <c r="AB17" s="39">
        <f>IFERROR(IF(INDEX('State Map'!$C:$C,MATCH(TRIM('RZSPbS-psgr-ldv'!$A17),'State Map'!$A:$A,0))="Max Ambition",Schedules!X$7,AA17),AA17)</f>
        <v>0</v>
      </c>
      <c r="AC17" s="39">
        <f>IFERROR(IF(INDEX('State Map'!$C:$C,MATCH(TRIM('RZSPbS-psgr-ldv'!$A17),'State Map'!$A:$A,0))="Max Ambition",Schedules!Y$7,AB17),AB17)</f>
        <v>0</v>
      </c>
      <c r="AD17" s="39">
        <f>IFERROR(IF(INDEX('State Map'!$C:$C,MATCH(TRIM('RZSPbS-psgr-ldv'!$A17),'State Map'!$A:$A,0))="Max Ambition",Schedules!Z$7,AC17),AC17)</f>
        <v>0</v>
      </c>
      <c r="AE17" s="39">
        <f>IFERROR(IF(INDEX('State Map'!$C:$C,MATCH(TRIM('RZSPbS-psgr-ldv'!$A17),'State Map'!$A:$A,0))="Max Ambition",Schedules!AA$7,AD17),AD17)</f>
        <v>0</v>
      </c>
      <c r="AF17" s="39">
        <f>IFERROR(IF(INDEX('State Map'!$C:$C,MATCH(TRIM('RZSPbS-psgr-ldv'!$A17),'State Map'!$A:$A,0))="Max Ambition",Schedules!AB$7,AE17),AE17)</f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39">
        <f>IFERROR(IF(INDEX('State Map'!$C:$C,MATCH(TRIM('RZSPbS-psgr-ldv'!$A18),'State Map'!$A:$A,0))="Max Ambition",Schedules!G$7,J18),J18)</f>
        <v>0</v>
      </c>
      <c r="L18" s="39">
        <f>IFERROR(IF(INDEX('State Map'!$C:$C,MATCH(TRIM('RZSPbS-psgr-ldv'!$A18),'State Map'!$A:$A,0))="Max Ambition",Schedules!H$7,K18),K18)</f>
        <v>0</v>
      </c>
      <c r="M18" s="39">
        <f>IFERROR(IF(INDEX('State Map'!$C:$C,MATCH(TRIM('RZSPbS-psgr-ldv'!$A18),'State Map'!$A:$A,0))="Max Ambition",Schedules!I$7,L18),L18)</f>
        <v>0</v>
      </c>
      <c r="N18" s="39">
        <f>IFERROR(IF(INDEX('State Map'!$C:$C,MATCH(TRIM('RZSPbS-psgr-ldv'!$A18),'State Map'!$A:$A,0))="Max Ambition",Schedules!J$7,M18),M18)</f>
        <v>0</v>
      </c>
      <c r="O18" s="39">
        <f>IFERROR(IF(INDEX('State Map'!$C:$C,MATCH(TRIM('RZSPbS-psgr-ldv'!$A18),'State Map'!$A:$A,0))="Max Ambition",Schedules!K$7,N18),N18)</f>
        <v>0</v>
      </c>
      <c r="P18" s="39">
        <f>IFERROR(IF(INDEX('State Map'!$C:$C,MATCH(TRIM('RZSPbS-psgr-ldv'!$A18),'State Map'!$A:$A,0))="Max Ambition",Schedules!L$7,O18),O18)</f>
        <v>0</v>
      </c>
      <c r="Q18" s="39">
        <f>IFERROR(IF(INDEX('State Map'!$C:$C,MATCH(TRIM('RZSPbS-psgr-ldv'!$A18),'State Map'!$A:$A,0))="Max Ambition",Schedules!M$7,P18),P18)</f>
        <v>0</v>
      </c>
      <c r="R18" s="39">
        <f>IFERROR(IF(INDEX('State Map'!$C:$C,MATCH(TRIM('RZSPbS-psgr-ldv'!$A18),'State Map'!$A:$A,0))="Max Ambition",Schedules!N$7,Q18),Q18)</f>
        <v>0</v>
      </c>
      <c r="S18" s="39">
        <f>IFERROR(IF(INDEX('State Map'!$C:$C,MATCH(TRIM('RZSPbS-psgr-ldv'!$A18),'State Map'!$A:$A,0))="Max Ambition",Schedules!O$7,R18),R18)</f>
        <v>0</v>
      </c>
      <c r="T18" s="39">
        <f>IFERROR(IF(INDEX('State Map'!$C:$C,MATCH(TRIM('RZSPbS-psgr-ldv'!$A18),'State Map'!$A:$A,0))="Max Ambition",Schedules!P$7,S18),S18)</f>
        <v>0</v>
      </c>
      <c r="U18" s="39">
        <f>IFERROR(IF(INDEX('State Map'!$C:$C,MATCH(TRIM('RZSPbS-psgr-ldv'!$A18),'State Map'!$A:$A,0))="Max Ambition",Schedules!Q$7,T18),T18)</f>
        <v>0</v>
      </c>
      <c r="V18" s="39">
        <f>IFERROR(IF(INDEX('State Map'!$C:$C,MATCH(TRIM('RZSPbS-psgr-ldv'!$A18),'State Map'!$A:$A,0))="Max Ambition",Schedules!R$7,U18),U18)</f>
        <v>0</v>
      </c>
      <c r="W18" s="39">
        <f>IFERROR(IF(INDEX('State Map'!$C:$C,MATCH(TRIM('RZSPbS-psgr-ldv'!$A18),'State Map'!$A:$A,0))="Max Ambition",Schedules!S$7,V18),V18)</f>
        <v>0</v>
      </c>
      <c r="X18" s="39">
        <f>IFERROR(IF(INDEX('State Map'!$C:$C,MATCH(TRIM('RZSPbS-psgr-ldv'!$A18),'State Map'!$A:$A,0))="Max Ambition",Schedules!T$7,W18),W18)</f>
        <v>0</v>
      </c>
      <c r="Y18" s="39">
        <f>IFERROR(IF(INDEX('State Map'!$C:$C,MATCH(TRIM('RZSPbS-psgr-ldv'!$A18),'State Map'!$A:$A,0))="Max Ambition",Schedules!U$7,X18),X18)</f>
        <v>0</v>
      </c>
      <c r="Z18" s="39">
        <f>IFERROR(IF(INDEX('State Map'!$C:$C,MATCH(TRIM('RZSPbS-psgr-ldv'!$A18),'State Map'!$A:$A,0))="Max Ambition",Schedules!V$7,Y18),Y18)</f>
        <v>0</v>
      </c>
      <c r="AA18" s="39">
        <f>IFERROR(IF(INDEX('State Map'!$C:$C,MATCH(TRIM('RZSPbS-psgr-ldv'!$A18),'State Map'!$A:$A,0))="Max Ambition",Schedules!W$7,Z18),Z18)</f>
        <v>0</v>
      </c>
      <c r="AB18" s="39">
        <f>IFERROR(IF(INDEX('State Map'!$C:$C,MATCH(TRIM('RZSPbS-psgr-ldv'!$A18),'State Map'!$A:$A,0))="Max Ambition",Schedules!X$7,AA18),AA18)</f>
        <v>0</v>
      </c>
      <c r="AC18" s="39">
        <f>IFERROR(IF(INDEX('State Map'!$C:$C,MATCH(TRIM('RZSPbS-psgr-ldv'!$A18),'State Map'!$A:$A,0))="Max Ambition",Schedules!Y$7,AB18),AB18)</f>
        <v>0</v>
      </c>
      <c r="AD18" s="39">
        <f>IFERROR(IF(INDEX('State Map'!$C:$C,MATCH(TRIM('RZSPbS-psgr-ldv'!$A18),'State Map'!$A:$A,0))="Max Ambition",Schedules!Z$7,AC18),AC18)</f>
        <v>0</v>
      </c>
      <c r="AE18" s="39">
        <f>IFERROR(IF(INDEX('State Map'!$C:$C,MATCH(TRIM('RZSPbS-psgr-ldv'!$A18),'State Map'!$A:$A,0))="Max Ambition",Schedules!AA$7,AD18),AD18)</f>
        <v>0</v>
      </c>
      <c r="AF18" s="39">
        <f>IFERROR(IF(INDEX('State Map'!$C:$C,MATCH(TRIM('RZSPbS-psgr-ldv'!$A18),'State Map'!$A:$A,0))="Max Ambition",Schedules!AB$7,AE18),AE18)</f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39">
        <f>IFERROR(IF(INDEX('State Map'!$C:$C,MATCH(TRIM('RZSPbS-psgr-ldv'!$A19),'State Map'!$A:$A,0))="Max Ambition",Schedules!G$7,J19),J19)</f>
        <v>0</v>
      </c>
      <c r="L19" s="39">
        <f>IFERROR(IF(INDEX('State Map'!$C:$C,MATCH(TRIM('RZSPbS-psgr-ldv'!$A19),'State Map'!$A:$A,0))="Max Ambition",Schedules!H$7,K19),K19)</f>
        <v>0</v>
      </c>
      <c r="M19" s="39">
        <f>IFERROR(IF(INDEX('State Map'!$C:$C,MATCH(TRIM('RZSPbS-psgr-ldv'!$A19),'State Map'!$A:$A,0))="Max Ambition",Schedules!I$7,L19),L19)</f>
        <v>0</v>
      </c>
      <c r="N19" s="39">
        <f>IFERROR(IF(INDEX('State Map'!$C:$C,MATCH(TRIM('RZSPbS-psgr-ldv'!$A19),'State Map'!$A:$A,0))="Max Ambition",Schedules!J$7,M19),M19)</f>
        <v>0</v>
      </c>
      <c r="O19" s="39">
        <f>IFERROR(IF(INDEX('State Map'!$C:$C,MATCH(TRIM('RZSPbS-psgr-ldv'!$A19),'State Map'!$A:$A,0))="Max Ambition",Schedules!K$7,N19),N19)</f>
        <v>0</v>
      </c>
      <c r="P19" s="39">
        <f>IFERROR(IF(INDEX('State Map'!$C:$C,MATCH(TRIM('RZSPbS-psgr-ldv'!$A19),'State Map'!$A:$A,0))="Max Ambition",Schedules!L$7,O19),O19)</f>
        <v>0</v>
      </c>
      <c r="Q19" s="39">
        <f>IFERROR(IF(INDEX('State Map'!$C:$C,MATCH(TRIM('RZSPbS-psgr-ldv'!$A19),'State Map'!$A:$A,0))="Max Ambition",Schedules!M$7,P19),P19)</f>
        <v>0</v>
      </c>
      <c r="R19" s="39">
        <f>IFERROR(IF(INDEX('State Map'!$C:$C,MATCH(TRIM('RZSPbS-psgr-ldv'!$A19),'State Map'!$A:$A,0))="Max Ambition",Schedules!N$7,Q19),Q19)</f>
        <v>0</v>
      </c>
      <c r="S19" s="39">
        <f>IFERROR(IF(INDEX('State Map'!$C:$C,MATCH(TRIM('RZSPbS-psgr-ldv'!$A19),'State Map'!$A:$A,0))="Max Ambition",Schedules!O$7,R19),R19)</f>
        <v>0</v>
      </c>
      <c r="T19" s="39">
        <f>IFERROR(IF(INDEX('State Map'!$C:$C,MATCH(TRIM('RZSPbS-psgr-ldv'!$A19),'State Map'!$A:$A,0))="Max Ambition",Schedules!P$7,S19),S19)</f>
        <v>0</v>
      </c>
      <c r="U19" s="39">
        <f>IFERROR(IF(INDEX('State Map'!$C:$C,MATCH(TRIM('RZSPbS-psgr-ldv'!$A19),'State Map'!$A:$A,0))="Max Ambition",Schedules!Q$7,T19),T19)</f>
        <v>0</v>
      </c>
      <c r="V19" s="39">
        <f>IFERROR(IF(INDEX('State Map'!$C:$C,MATCH(TRIM('RZSPbS-psgr-ldv'!$A19),'State Map'!$A:$A,0))="Max Ambition",Schedules!R$7,U19),U19)</f>
        <v>0</v>
      </c>
      <c r="W19" s="39">
        <f>IFERROR(IF(INDEX('State Map'!$C:$C,MATCH(TRIM('RZSPbS-psgr-ldv'!$A19),'State Map'!$A:$A,0))="Max Ambition",Schedules!S$7,V19),V19)</f>
        <v>0</v>
      </c>
      <c r="X19" s="39">
        <f>IFERROR(IF(INDEX('State Map'!$C:$C,MATCH(TRIM('RZSPbS-psgr-ldv'!$A19),'State Map'!$A:$A,0))="Max Ambition",Schedules!T$7,W19),W19)</f>
        <v>0</v>
      </c>
      <c r="Y19" s="39">
        <f>IFERROR(IF(INDEX('State Map'!$C:$C,MATCH(TRIM('RZSPbS-psgr-ldv'!$A19),'State Map'!$A:$A,0))="Max Ambition",Schedules!U$7,X19),X19)</f>
        <v>0</v>
      </c>
      <c r="Z19" s="39">
        <f>IFERROR(IF(INDEX('State Map'!$C:$C,MATCH(TRIM('RZSPbS-psgr-ldv'!$A19),'State Map'!$A:$A,0))="Max Ambition",Schedules!V$7,Y19),Y19)</f>
        <v>0</v>
      </c>
      <c r="AA19" s="39">
        <f>IFERROR(IF(INDEX('State Map'!$C:$C,MATCH(TRIM('RZSPbS-psgr-ldv'!$A19),'State Map'!$A:$A,0))="Max Ambition",Schedules!W$7,Z19),Z19)</f>
        <v>0</v>
      </c>
      <c r="AB19" s="39">
        <f>IFERROR(IF(INDEX('State Map'!$C:$C,MATCH(TRIM('RZSPbS-psgr-ldv'!$A19),'State Map'!$A:$A,0))="Max Ambition",Schedules!X$7,AA19),AA19)</f>
        <v>0</v>
      </c>
      <c r="AC19" s="39">
        <f>IFERROR(IF(INDEX('State Map'!$C:$C,MATCH(TRIM('RZSPbS-psgr-ldv'!$A19),'State Map'!$A:$A,0))="Max Ambition",Schedules!Y$7,AB19),AB19)</f>
        <v>0</v>
      </c>
      <c r="AD19" s="39">
        <f>IFERROR(IF(INDEX('State Map'!$C:$C,MATCH(TRIM('RZSPbS-psgr-ldv'!$A19),'State Map'!$A:$A,0))="Max Ambition",Schedules!Z$7,AC19),AC19)</f>
        <v>0</v>
      </c>
      <c r="AE19" s="39">
        <f>IFERROR(IF(INDEX('State Map'!$C:$C,MATCH(TRIM('RZSPbS-psgr-ldv'!$A19),'State Map'!$A:$A,0))="Max Ambition",Schedules!AA$7,AD19),AD19)</f>
        <v>0</v>
      </c>
      <c r="AF19" s="39">
        <f>IFERROR(IF(INDEX('State Map'!$C:$C,MATCH(TRIM('RZSPbS-psgr-ldv'!$A19),'State Map'!$A:$A,0))="Max Ambition",Schedules!AB$7,AE19),AE19)</f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39">
        <f>IFERROR(IF(INDEX('State Map'!$C:$C,MATCH(TRIM('RZSPbS-psgr-ldv'!$A20),'State Map'!$A:$A,0))="Max Ambition",Schedules!G$7,J20),J20)</f>
        <v>0</v>
      </c>
      <c r="L20" s="39">
        <f>IFERROR(IF(INDEX('State Map'!$C:$C,MATCH(TRIM('RZSPbS-psgr-ldv'!$A20),'State Map'!$A:$A,0))="Max Ambition",Schedules!H$7,K20),K20)</f>
        <v>0</v>
      </c>
      <c r="M20" s="39">
        <f>IFERROR(IF(INDEX('State Map'!$C:$C,MATCH(TRIM('RZSPbS-psgr-ldv'!$A20),'State Map'!$A:$A,0))="Max Ambition",Schedules!I$7,L20),L20)</f>
        <v>0</v>
      </c>
      <c r="N20" s="39">
        <f>IFERROR(IF(INDEX('State Map'!$C:$C,MATCH(TRIM('RZSPbS-psgr-ldv'!$A20),'State Map'!$A:$A,0))="Max Ambition",Schedules!J$7,M20),M20)</f>
        <v>0</v>
      </c>
      <c r="O20" s="39">
        <f>IFERROR(IF(INDEX('State Map'!$C:$C,MATCH(TRIM('RZSPbS-psgr-ldv'!$A20),'State Map'!$A:$A,0))="Max Ambition",Schedules!K$7,N20),N20)</f>
        <v>0</v>
      </c>
      <c r="P20" s="39">
        <f>IFERROR(IF(INDEX('State Map'!$C:$C,MATCH(TRIM('RZSPbS-psgr-ldv'!$A20),'State Map'!$A:$A,0))="Max Ambition",Schedules!L$7,O20),O20)</f>
        <v>0</v>
      </c>
      <c r="Q20" s="39">
        <f>IFERROR(IF(INDEX('State Map'!$C:$C,MATCH(TRIM('RZSPbS-psgr-ldv'!$A20),'State Map'!$A:$A,0))="Max Ambition",Schedules!M$7,P20),P20)</f>
        <v>0</v>
      </c>
      <c r="R20" s="39">
        <f>IFERROR(IF(INDEX('State Map'!$C:$C,MATCH(TRIM('RZSPbS-psgr-ldv'!$A20),'State Map'!$A:$A,0))="Max Ambition",Schedules!N$7,Q20),Q20)</f>
        <v>0</v>
      </c>
      <c r="S20" s="39">
        <f>IFERROR(IF(INDEX('State Map'!$C:$C,MATCH(TRIM('RZSPbS-psgr-ldv'!$A20),'State Map'!$A:$A,0))="Max Ambition",Schedules!O$7,R20),R20)</f>
        <v>0</v>
      </c>
      <c r="T20" s="39">
        <f>IFERROR(IF(INDEX('State Map'!$C:$C,MATCH(TRIM('RZSPbS-psgr-ldv'!$A20),'State Map'!$A:$A,0))="Max Ambition",Schedules!P$7,S20),S20)</f>
        <v>0</v>
      </c>
      <c r="U20" s="39">
        <f>IFERROR(IF(INDEX('State Map'!$C:$C,MATCH(TRIM('RZSPbS-psgr-ldv'!$A20),'State Map'!$A:$A,0))="Max Ambition",Schedules!Q$7,T20),T20)</f>
        <v>0</v>
      </c>
      <c r="V20" s="39">
        <f>IFERROR(IF(INDEX('State Map'!$C:$C,MATCH(TRIM('RZSPbS-psgr-ldv'!$A20),'State Map'!$A:$A,0))="Max Ambition",Schedules!R$7,U20),U20)</f>
        <v>0</v>
      </c>
      <c r="W20" s="39">
        <f>IFERROR(IF(INDEX('State Map'!$C:$C,MATCH(TRIM('RZSPbS-psgr-ldv'!$A20),'State Map'!$A:$A,0))="Max Ambition",Schedules!S$7,V20),V20)</f>
        <v>0</v>
      </c>
      <c r="X20" s="39">
        <f>IFERROR(IF(INDEX('State Map'!$C:$C,MATCH(TRIM('RZSPbS-psgr-ldv'!$A20),'State Map'!$A:$A,0))="Max Ambition",Schedules!T$7,W20),W20)</f>
        <v>0</v>
      </c>
      <c r="Y20" s="39">
        <f>IFERROR(IF(INDEX('State Map'!$C:$C,MATCH(TRIM('RZSPbS-psgr-ldv'!$A20),'State Map'!$A:$A,0))="Max Ambition",Schedules!U$7,X20),X20)</f>
        <v>0</v>
      </c>
      <c r="Z20" s="39">
        <f>IFERROR(IF(INDEX('State Map'!$C:$C,MATCH(TRIM('RZSPbS-psgr-ldv'!$A20),'State Map'!$A:$A,0))="Max Ambition",Schedules!V$7,Y20),Y20)</f>
        <v>0</v>
      </c>
      <c r="AA20" s="39">
        <f>IFERROR(IF(INDEX('State Map'!$C:$C,MATCH(TRIM('RZSPbS-psgr-ldv'!$A20),'State Map'!$A:$A,0))="Max Ambition",Schedules!W$7,Z20),Z20)</f>
        <v>0</v>
      </c>
      <c r="AB20" s="39">
        <f>IFERROR(IF(INDEX('State Map'!$C:$C,MATCH(TRIM('RZSPbS-psgr-ldv'!$A20),'State Map'!$A:$A,0))="Max Ambition",Schedules!X$7,AA20),AA20)</f>
        <v>0</v>
      </c>
      <c r="AC20" s="39">
        <f>IFERROR(IF(INDEX('State Map'!$C:$C,MATCH(TRIM('RZSPbS-psgr-ldv'!$A20),'State Map'!$A:$A,0))="Max Ambition",Schedules!Y$7,AB20),AB20)</f>
        <v>0</v>
      </c>
      <c r="AD20" s="39">
        <f>IFERROR(IF(INDEX('State Map'!$C:$C,MATCH(TRIM('RZSPbS-psgr-ldv'!$A20),'State Map'!$A:$A,0))="Max Ambition",Schedules!Z$7,AC20),AC20)</f>
        <v>0</v>
      </c>
      <c r="AE20" s="39">
        <f>IFERROR(IF(INDEX('State Map'!$C:$C,MATCH(TRIM('RZSPbS-psgr-ldv'!$A20),'State Map'!$A:$A,0))="Max Ambition",Schedules!AA$7,AD20),AD20)</f>
        <v>0</v>
      </c>
      <c r="AF20" s="39">
        <f>IFERROR(IF(INDEX('State Map'!$C:$C,MATCH(TRIM('RZSPbS-psgr-ldv'!$A20),'State Map'!$A:$A,0))="Max Ambition",Schedules!AB$7,AE20),AE20)</f>
        <v>0</v>
      </c>
    </row>
    <row r="21" spans="1:32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39">
        <f>IFERROR(IF(INDEX('State Map'!$C:$C,MATCH(TRIM('RZSPbS-psgr-ldv'!$A21),'State Map'!$A:$A,0))="Max Ambition",Schedules!G$7,J21),J21)</f>
        <v>0.2</v>
      </c>
      <c r="L21" s="39">
        <f>IFERROR(IF(INDEX('State Map'!$C:$C,MATCH(TRIM('RZSPbS-psgr-ldv'!$A21),'State Map'!$A:$A,0))="Max Ambition",Schedules!H$7,K21),K21)</f>
        <v>0.25</v>
      </c>
      <c r="M21" s="39">
        <f>IFERROR(IF(INDEX('State Map'!$C:$C,MATCH(TRIM('RZSPbS-psgr-ldv'!$A21),'State Map'!$A:$A,0))="Max Ambition",Schedules!I$7,L21),L21)</f>
        <v>0.3</v>
      </c>
      <c r="N21" s="39">
        <f>IFERROR(IF(INDEX('State Map'!$C:$C,MATCH(TRIM('RZSPbS-psgr-ldv'!$A21),'State Map'!$A:$A,0))="Max Ambition",Schedules!J$7,M21),M21)</f>
        <v>0.38</v>
      </c>
      <c r="O21" s="39">
        <f>IFERROR(IF(INDEX('State Map'!$C:$C,MATCH(TRIM('RZSPbS-psgr-ldv'!$A21),'State Map'!$A:$A,0))="Max Ambition",Schedules!K$7,N21),N21)</f>
        <v>0.46</v>
      </c>
      <c r="P21" s="39">
        <f>IFERROR(IF(INDEX('State Map'!$C:$C,MATCH(TRIM('RZSPbS-psgr-ldv'!$A21),'State Map'!$A:$A,0))="Max Ambition",Schedules!L$7,O21),O21)</f>
        <v>0.51400000000000001</v>
      </c>
      <c r="Q21" s="39">
        <f>IFERROR(IF(INDEX('State Map'!$C:$C,MATCH(TRIM('RZSPbS-psgr-ldv'!$A21),'State Map'!$A:$A,0))="Max Ambition",Schedules!M$7,P21),P21)</f>
        <v>0.56799999999999995</v>
      </c>
      <c r="R21" s="39">
        <f>IFERROR(IF(INDEX('State Map'!$C:$C,MATCH(TRIM('RZSPbS-psgr-ldv'!$A21),'State Map'!$A:$A,0))="Max Ambition",Schedules!N$7,Q21),Q21)</f>
        <v>0.622</v>
      </c>
      <c r="S21" s="39">
        <f>IFERROR(IF(INDEX('State Map'!$C:$C,MATCH(TRIM('RZSPbS-psgr-ldv'!$A21),'State Map'!$A:$A,0))="Max Ambition",Schedules!O$7,R21),R21)</f>
        <v>0.67600000000000005</v>
      </c>
      <c r="T21" s="39">
        <f>IFERROR(IF(INDEX('State Map'!$C:$C,MATCH(TRIM('RZSPbS-psgr-ldv'!$A21),'State Map'!$A:$A,0))="Max Ambition",Schedules!P$7,S21),S21)</f>
        <v>0.73</v>
      </c>
      <c r="U21" s="39">
        <f>IFERROR(IF(INDEX('State Map'!$C:$C,MATCH(TRIM('RZSPbS-psgr-ldv'!$A21),'State Map'!$A:$A,0))="Max Ambition",Schedules!Q$7,T21),T21)</f>
        <v>0.78400000000000003</v>
      </c>
      <c r="V21" s="39">
        <f>IFERROR(IF(INDEX('State Map'!$C:$C,MATCH(TRIM('RZSPbS-psgr-ldv'!$A21),'State Map'!$A:$A,0))="Max Ambition",Schedules!R$7,U21),U21)</f>
        <v>0.83799999999999997</v>
      </c>
      <c r="W21" s="39">
        <f>IFERROR(IF(INDEX('State Map'!$C:$C,MATCH(TRIM('RZSPbS-psgr-ldv'!$A21),'State Map'!$A:$A,0))="Max Ambition",Schedules!S$7,V21),V21)</f>
        <v>0.89200000000000002</v>
      </c>
      <c r="X21" s="39">
        <f>IFERROR(IF(INDEX('State Map'!$C:$C,MATCH(TRIM('RZSPbS-psgr-ldv'!$A21),'State Map'!$A:$A,0))="Max Ambition",Schedules!T$7,W21),W21)</f>
        <v>0.94599999999999995</v>
      </c>
      <c r="Y21" s="39">
        <f>IFERROR(IF(INDEX('State Map'!$C:$C,MATCH(TRIM('RZSPbS-psgr-ldv'!$A21),'State Map'!$A:$A,0))="Max Ambition",Schedules!U$7,X21),X21)</f>
        <v>1</v>
      </c>
      <c r="Z21" s="39">
        <f>IFERROR(IF(INDEX('State Map'!$C:$C,MATCH(TRIM('RZSPbS-psgr-ldv'!$A21),'State Map'!$A:$A,0))="Max Ambition",Schedules!V$7,Y21),Y21)</f>
        <v>1</v>
      </c>
      <c r="AA21" s="39">
        <f>IFERROR(IF(INDEX('State Map'!$C:$C,MATCH(TRIM('RZSPbS-psgr-ldv'!$A21),'State Map'!$A:$A,0))="Max Ambition",Schedules!W$7,Z21),Z21)</f>
        <v>1</v>
      </c>
      <c r="AB21" s="39">
        <f>IFERROR(IF(INDEX('State Map'!$C:$C,MATCH(TRIM('RZSPbS-psgr-ldv'!$A21),'State Map'!$A:$A,0))="Max Ambition",Schedules!X$7,AA21),AA21)</f>
        <v>1</v>
      </c>
      <c r="AC21" s="39">
        <f>IFERROR(IF(INDEX('State Map'!$C:$C,MATCH(TRIM('RZSPbS-psgr-ldv'!$A21),'State Map'!$A:$A,0))="Max Ambition",Schedules!Y$7,AB21),AB21)</f>
        <v>1</v>
      </c>
      <c r="AD21" s="39">
        <f>IFERROR(IF(INDEX('State Map'!$C:$C,MATCH(TRIM('RZSPbS-psgr-ldv'!$A21),'State Map'!$A:$A,0))="Max Ambition",Schedules!Z$7,AC21),AC21)</f>
        <v>1</v>
      </c>
      <c r="AE21" s="39">
        <f>IFERROR(IF(INDEX('State Map'!$C:$C,MATCH(TRIM('RZSPbS-psgr-ldv'!$A21),'State Map'!$A:$A,0))="Max Ambition",Schedules!AA$7,AD21),AD21)</f>
        <v>1</v>
      </c>
      <c r="AF21" s="39">
        <f>IFERROR(IF(INDEX('State Map'!$C:$C,MATCH(TRIM('RZSPbS-psgr-ldv'!$A21),'State Map'!$A:$A,0))="Max Ambition",Schedules!AB$7,AE21),AE21)</f>
        <v>1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39">
        <f>IFERROR(IF(INDEX('State Map'!$C:$C,MATCH(TRIM('RZSPbS-psgr-ldv'!$A22),'State Map'!$A:$A,0))="Max Ambition",Schedules!G$7,J22),J22)</f>
        <v>0.2</v>
      </c>
      <c r="L22" s="39">
        <f>IFERROR(IF(INDEX('State Map'!$C:$C,MATCH(TRIM('RZSPbS-psgr-ldv'!$A22),'State Map'!$A:$A,0))="Max Ambition",Schedules!H$7,K22),K22)</f>
        <v>0.25</v>
      </c>
      <c r="M22" s="39">
        <f>IFERROR(IF(INDEX('State Map'!$C:$C,MATCH(TRIM('RZSPbS-psgr-ldv'!$A22),'State Map'!$A:$A,0))="Max Ambition",Schedules!I$7,L22),L22)</f>
        <v>0.3</v>
      </c>
      <c r="N22" s="39">
        <f>IFERROR(IF(INDEX('State Map'!$C:$C,MATCH(TRIM('RZSPbS-psgr-ldv'!$A22),'State Map'!$A:$A,0))="Max Ambition",Schedules!J$7,M22),M22)</f>
        <v>0.38</v>
      </c>
      <c r="O22" s="39">
        <f>IFERROR(IF(INDEX('State Map'!$C:$C,MATCH(TRIM('RZSPbS-psgr-ldv'!$A22),'State Map'!$A:$A,0))="Max Ambition",Schedules!K$7,N22),N22)</f>
        <v>0.46</v>
      </c>
      <c r="P22" s="39">
        <f>IFERROR(IF(INDEX('State Map'!$C:$C,MATCH(TRIM('RZSPbS-psgr-ldv'!$A22),'State Map'!$A:$A,0))="Max Ambition",Schedules!L$7,O22),O22)</f>
        <v>0.51400000000000001</v>
      </c>
      <c r="Q22" s="39">
        <f>IFERROR(IF(INDEX('State Map'!$C:$C,MATCH(TRIM('RZSPbS-psgr-ldv'!$A22),'State Map'!$A:$A,0))="Max Ambition",Schedules!M$7,P22),P22)</f>
        <v>0.56799999999999995</v>
      </c>
      <c r="R22" s="39">
        <f>IFERROR(IF(INDEX('State Map'!$C:$C,MATCH(TRIM('RZSPbS-psgr-ldv'!$A22),'State Map'!$A:$A,0))="Max Ambition",Schedules!N$7,Q22),Q22)</f>
        <v>0.622</v>
      </c>
      <c r="S22" s="39">
        <f>IFERROR(IF(INDEX('State Map'!$C:$C,MATCH(TRIM('RZSPbS-psgr-ldv'!$A22),'State Map'!$A:$A,0))="Max Ambition",Schedules!O$7,R22),R22)</f>
        <v>0.67600000000000005</v>
      </c>
      <c r="T22" s="39">
        <f>IFERROR(IF(INDEX('State Map'!$C:$C,MATCH(TRIM('RZSPbS-psgr-ldv'!$A22),'State Map'!$A:$A,0))="Max Ambition",Schedules!P$7,S22),S22)</f>
        <v>0.73</v>
      </c>
      <c r="U22" s="39">
        <f>IFERROR(IF(INDEX('State Map'!$C:$C,MATCH(TRIM('RZSPbS-psgr-ldv'!$A22),'State Map'!$A:$A,0))="Max Ambition",Schedules!Q$7,T22),T22)</f>
        <v>0.78400000000000003</v>
      </c>
      <c r="V22" s="39">
        <f>IFERROR(IF(INDEX('State Map'!$C:$C,MATCH(TRIM('RZSPbS-psgr-ldv'!$A22),'State Map'!$A:$A,0))="Max Ambition",Schedules!R$7,U22),U22)</f>
        <v>0.83799999999999997</v>
      </c>
      <c r="W22" s="39">
        <f>IFERROR(IF(INDEX('State Map'!$C:$C,MATCH(TRIM('RZSPbS-psgr-ldv'!$A22),'State Map'!$A:$A,0))="Max Ambition",Schedules!S$7,V22),V22)</f>
        <v>0.89200000000000002</v>
      </c>
      <c r="X22" s="39">
        <f>IFERROR(IF(INDEX('State Map'!$C:$C,MATCH(TRIM('RZSPbS-psgr-ldv'!$A22),'State Map'!$A:$A,0))="Max Ambition",Schedules!T$7,W22),W22)</f>
        <v>0.94599999999999995</v>
      </c>
      <c r="Y22" s="39">
        <f>IFERROR(IF(INDEX('State Map'!$C:$C,MATCH(TRIM('RZSPbS-psgr-ldv'!$A22),'State Map'!$A:$A,0))="Max Ambition",Schedules!U$7,X22),X22)</f>
        <v>1</v>
      </c>
      <c r="Z22" s="39">
        <f>IFERROR(IF(INDEX('State Map'!$C:$C,MATCH(TRIM('RZSPbS-psgr-ldv'!$A22),'State Map'!$A:$A,0))="Max Ambition",Schedules!V$7,Y22),Y22)</f>
        <v>1</v>
      </c>
      <c r="AA22" s="39">
        <f>IFERROR(IF(INDEX('State Map'!$C:$C,MATCH(TRIM('RZSPbS-psgr-ldv'!$A22),'State Map'!$A:$A,0))="Max Ambition",Schedules!W$7,Z22),Z22)</f>
        <v>1</v>
      </c>
      <c r="AB22" s="39">
        <f>IFERROR(IF(INDEX('State Map'!$C:$C,MATCH(TRIM('RZSPbS-psgr-ldv'!$A22),'State Map'!$A:$A,0))="Max Ambition",Schedules!X$7,AA22),AA22)</f>
        <v>1</v>
      </c>
      <c r="AC22" s="39">
        <f>IFERROR(IF(INDEX('State Map'!$C:$C,MATCH(TRIM('RZSPbS-psgr-ldv'!$A22),'State Map'!$A:$A,0))="Max Ambition",Schedules!Y$7,AB22),AB22)</f>
        <v>1</v>
      </c>
      <c r="AD22" s="39">
        <f>IFERROR(IF(INDEX('State Map'!$C:$C,MATCH(TRIM('RZSPbS-psgr-ldv'!$A22),'State Map'!$A:$A,0))="Max Ambition",Schedules!Z$7,AC22),AC22)</f>
        <v>1</v>
      </c>
      <c r="AE22" s="39">
        <f>IFERROR(IF(INDEX('State Map'!$C:$C,MATCH(TRIM('RZSPbS-psgr-ldv'!$A22),'State Map'!$A:$A,0))="Max Ambition",Schedules!AA$7,AD22),AD22)</f>
        <v>1</v>
      </c>
      <c r="AF22" s="39">
        <f>IFERROR(IF(INDEX('State Map'!$C:$C,MATCH(TRIM('RZSPbS-psgr-ldv'!$A22),'State Map'!$A:$A,0))="Max Ambition",Schedules!AB$7,AE22),AE22)</f>
        <v>1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39">
        <f>IFERROR(IF(INDEX('State Map'!$C:$C,MATCH(TRIM('RZSPbS-psgr-ldv'!$A23),'State Map'!$A:$A,0))="Max Ambition",Schedules!G$7,J23),J23)</f>
        <v>0.2</v>
      </c>
      <c r="L23" s="39">
        <f>IFERROR(IF(INDEX('State Map'!$C:$C,MATCH(TRIM('RZSPbS-psgr-ldv'!$A23),'State Map'!$A:$A,0))="Max Ambition",Schedules!H$7,K23),K23)</f>
        <v>0.25</v>
      </c>
      <c r="M23" s="39">
        <f>IFERROR(IF(INDEX('State Map'!$C:$C,MATCH(TRIM('RZSPbS-psgr-ldv'!$A23),'State Map'!$A:$A,0))="Max Ambition",Schedules!I$7,L23),L23)</f>
        <v>0.3</v>
      </c>
      <c r="N23" s="39">
        <f>IFERROR(IF(INDEX('State Map'!$C:$C,MATCH(TRIM('RZSPbS-psgr-ldv'!$A23),'State Map'!$A:$A,0))="Max Ambition",Schedules!J$7,M23),M23)</f>
        <v>0.38</v>
      </c>
      <c r="O23" s="39">
        <f>IFERROR(IF(INDEX('State Map'!$C:$C,MATCH(TRIM('RZSPbS-psgr-ldv'!$A23),'State Map'!$A:$A,0))="Max Ambition",Schedules!K$7,N23),N23)</f>
        <v>0.46</v>
      </c>
      <c r="P23" s="39">
        <f>IFERROR(IF(INDEX('State Map'!$C:$C,MATCH(TRIM('RZSPbS-psgr-ldv'!$A23),'State Map'!$A:$A,0))="Max Ambition",Schedules!L$7,O23),O23)</f>
        <v>0.51400000000000001</v>
      </c>
      <c r="Q23" s="39">
        <f>IFERROR(IF(INDEX('State Map'!$C:$C,MATCH(TRIM('RZSPbS-psgr-ldv'!$A23),'State Map'!$A:$A,0))="Max Ambition",Schedules!M$7,P23),P23)</f>
        <v>0.56799999999999995</v>
      </c>
      <c r="R23" s="39">
        <f>IFERROR(IF(INDEX('State Map'!$C:$C,MATCH(TRIM('RZSPbS-psgr-ldv'!$A23),'State Map'!$A:$A,0))="Max Ambition",Schedules!N$7,Q23),Q23)</f>
        <v>0.622</v>
      </c>
      <c r="S23" s="39">
        <f>IFERROR(IF(INDEX('State Map'!$C:$C,MATCH(TRIM('RZSPbS-psgr-ldv'!$A23),'State Map'!$A:$A,0))="Max Ambition",Schedules!O$7,R23),R23)</f>
        <v>0.67600000000000005</v>
      </c>
      <c r="T23" s="39">
        <f>IFERROR(IF(INDEX('State Map'!$C:$C,MATCH(TRIM('RZSPbS-psgr-ldv'!$A23),'State Map'!$A:$A,0))="Max Ambition",Schedules!P$7,S23),S23)</f>
        <v>0.73</v>
      </c>
      <c r="U23" s="39">
        <f>IFERROR(IF(INDEX('State Map'!$C:$C,MATCH(TRIM('RZSPbS-psgr-ldv'!$A23),'State Map'!$A:$A,0))="Max Ambition",Schedules!Q$7,T23),T23)</f>
        <v>0.78400000000000003</v>
      </c>
      <c r="V23" s="39">
        <f>IFERROR(IF(INDEX('State Map'!$C:$C,MATCH(TRIM('RZSPbS-psgr-ldv'!$A23),'State Map'!$A:$A,0))="Max Ambition",Schedules!R$7,U23),U23)</f>
        <v>0.83799999999999997</v>
      </c>
      <c r="W23" s="39">
        <f>IFERROR(IF(INDEX('State Map'!$C:$C,MATCH(TRIM('RZSPbS-psgr-ldv'!$A23),'State Map'!$A:$A,0))="Max Ambition",Schedules!S$7,V23),V23)</f>
        <v>0.89200000000000002</v>
      </c>
      <c r="X23" s="39">
        <f>IFERROR(IF(INDEX('State Map'!$C:$C,MATCH(TRIM('RZSPbS-psgr-ldv'!$A23),'State Map'!$A:$A,0))="Max Ambition",Schedules!T$7,W23),W23)</f>
        <v>0.94599999999999995</v>
      </c>
      <c r="Y23" s="39">
        <f>IFERROR(IF(INDEX('State Map'!$C:$C,MATCH(TRIM('RZSPbS-psgr-ldv'!$A23),'State Map'!$A:$A,0))="Max Ambition",Schedules!U$7,X23),X23)</f>
        <v>1</v>
      </c>
      <c r="Z23" s="39">
        <f>IFERROR(IF(INDEX('State Map'!$C:$C,MATCH(TRIM('RZSPbS-psgr-ldv'!$A23),'State Map'!$A:$A,0))="Max Ambition",Schedules!V$7,Y23),Y23)</f>
        <v>1</v>
      </c>
      <c r="AA23" s="39">
        <f>IFERROR(IF(INDEX('State Map'!$C:$C,MATCH(TRIM('RZSPbS-psgr-ldv'!$A23),'State Map'!$A:$A,0))="Max Ambition",Schedules!W$7,Z23),Z23)</f>
        <v>1</v>
      </c>
      <c r="AB23" s="39">
        <f>IFERROR(IF(INDEX('State Map'!$C:$C,MATCH(TRIM('RZSPbS-psgr-ldv'!$A23),'State Map'!$A:$A,0))="Max Ambition",Schedules!X$7,AA23),AA23)</f>
        <v>1</v>
      </c>
      <c r="AC23" s="39">
        <f>IFERROR(IF(INDEX('State Map'!$C:$C,MATCH(TRIM('RZSPbS-psgr-ldv'!$A23),'State Map'!$A:$A,0))="Max Ambition",Schedules!Y$7,AB23),AB23)</f>
        <v>1</v>
      </c>
      <c r="AD23" s="39">
        <f>IFERROR(IF(INDEX('State Map'!$C:$C,MATCH(TRIM('RZSPbS-psgr-ldv'!$A23),'State Map'!$A:$A,0))="Max Ambition",Schedules!Z$7,AC23),AC23)</f>
        <v>1</v>
      </c>
      <c r="AE23" s="39">
        <f>IFERROR(IF(INDEX('State Map'!$C:$C,MATCH(TRIM('RZSPbS-psgr-ldv'!$A23),'State Map'!$A:$A,0))="Max Ambition",Schedules!AA$7,AD23),AD23)</f>
        <v>1</v>
      </c>
      <c r="AF23" s="39">
        <f>IFERROR(IF(INDEX('State Map'!$C:$C,MATCH(TRIM('RZSPbS-psgr-ldv'!$A23),'State Map'!$A:$A,0))="Max Ambition",Schedules!AB$7,AE23),AE23)</f>
        <v>1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39">
        <f>IFERROR(IF(INDEX('State Map'!$C:$C,MATCH(TRIM('RZSPbS-psgr-ldv'!$A24),'State Map'!$A:$A,0))="Max Ambition",Schedules!G$7,J24),J24)</f>
        <v>0.2</v>
      </c>
      <c r="L24" s="39">
        <f>IFERROR(IF(INDEX('State Map'!$C:$C,MATCH(TRIM('RZSPbS-psgr-ldv'!$A24),'State Map'!$A:$A,0))="Max Ambition",Schedules!H$7,K24),K24)</f>
        <v>0.25</v>
      </c>
      <c r="M24" s="39">
        <f>IFERROR(IF(INDEX('State Map'!$C:$C,MATCH(TRIM('RZSPbS-psgr-ldv'!$A24),'State Map'!$A:$A,0))="Max Ambition",Schedules!I$7,L24),L24)</f>
        <v>0.3</v>
      </c>
      <c r="N24" s="39">
        <f>IFERROR(IF(INDEX('State Map'!$C:$C,MATCH(TRIM('RZSPbS-psgr-ldv'!$A24),'State Map'!$A:$A,0))="Max Ambition",Schedules!J$7,M24),M24)</f>
        <v>0.38</v>
      </c>
      <c r="O24" s="39">
        <f>IFERROR(IF(INDEX('State Map'!$C:$C,MATCH(TRIM('RZSPbS-psgr-ldv'!$A24),'State Map'!$A:$A,0))="Max Ambition",Schedules!K$7,N24),N24)</f>
        <v>0.46</v>
      </c>
      <c r="P24" s="39">
        <f>IFERROR(IF(INDEX('State Map'!$C:$C,MATCH(TRIM('RZSPbS-psgr-ldv'!$A24),'State Map'!$A:$A,0))="Max Ambition",Schedules!L$7,O24),O24)</f>
        <v>0.51400000000000001</v>
      </c>
      <c r="Q24" s="39">
        <f>IFERROR(IF(INDEX('State Map'!$C:$C,MATCH(TRIM('RZSPbS-psgr-ldv'!$A24),'State Map'!$A:$A,0))="Max Ambition",Schedules!M$7,P24),P24)</f>
        <v>0.56799999999999995</v>
      </c>
      <c r="R24" s="39">
        <f>IFERROR(IF(INDEX('State Map'!$C:$C,MATCH(TRIM('RZSPbS-psgr-ldv'!$A24),'State Map'!$A:$A,0))="Max Ambition",Schedules!N$7,Q24),Q24)</f>
        <v>0.622</v>
      </c>
      <c r="S24" s="39">
        <f>IFERROR(IF(INDEX('State Map'!$C:$C,MATCH(TRIM('RZSPbS-psgr-ldv'!$A24),'State Map'!$A:$A,0))="Max Ambition",Schedules!O$7,R24),R24)</f>
        <v>0.67600000000000005</v>
      </c>
      <c r="T24" s="39">
        <f>IFERROR(IF(INDEX('State Map'!$C:$C,MATCH(TRIM('RZSPbS-psgr-ldv'!$A24),'State Map'!$A:$A,0))="Max Ambition",Schedules!P$7,S24),S24)</f>
        <v>0.73</v>
      </c>
      <c r="U24" s="39">
        <f>IFERROR(IF(INDEX('State Map'!$C:$C,MATCH(TRIM('RZSPbS-psgr-ldv'!$A24),'State Map'!$A:$A,0))="Max Ambition",Schedules!Q$7,T24),T24)</f>
        <v>0.78400000000000003</v>
      </c>
      <c r="V24" s="39">
        <f>IFERROR(IF(INDEX('State Map'!$C:$C,MATCH(TRIM('RZSPbS-psgr-ldv'!$A24),'State Map'!$A:$A,0))="Max Ambition",Schedules!R$7,U24),U24)</f>
        <v>0.83799999999999997</v>
      </c>
      <c r="W24" s="39">
        <f>IFERROR(IF(INDEX('State Map'!$C:$C,MATCH(TRIM('RZSPbS-psgr-ldv'!$A24),'State Map'!$A:$A,0))="Max Ambition",Schedules!S$7,V24),V24)</f>
        <v>0.89200000000000002</v>
      </c>
      <c r="X24" s="39">
        <f>IFERROR(IF(INDEX('State Map'!$C:$C,MATCH(TRIM('RZSPbS-psgr-ldv'!$A24),'State Map'!$A:$A,0))="Max Ambition",Schedules!T$7,W24),W24)</f>
        <v>0.94599999999999995</v>
      </c>
      <c r="Y24" s="39">
        <f>IFERROR(IF(INDEX('State Map'!$C:$C,MATCH(TRIM('RZSPbS-psgr-ldv'!$A24),'State Map'!$A:$A,0))="Max Ambition",Schedules!U$7,X24),X24)</f>
        <v>1</v>
      </c>
      <c r="Z24" s="39">
        <f>IFERROR(IF(INDEX('State Map'!$C:$C,MATCH(TRIM('RZSPbS-psgr-ldv'!$A24),'State Map'!$A:$A,0))="Max Ambition",Schedules!V$7,Y24),Y24)</f>
        <v>1</v>
      </c>
      <c r="AA24" s="39">
        <f>IFERROR(IF(INDEX('State Map'!$C:$C,MATCH(TRIM('RZSPbS-psgr-ldv'!$A24),'State Map'!$A:$A,0))="Max Ambition",Schedules!W$7,Z24),Z24)</f>
        <v>1</v>
      </c>
      <c r="AB24" s="39">
        <f>IFERROR(IF(INDEX('State Map'!$C:$C,MATCH(TRIM('RZSPbS-psgr-ldv'!$A24),'State Map'!$A:$A,0))="Max Ambition",Schedules!X$7,AA24),AA24)</f>
        <v>1</v>
      </c>
      <c r="AC24" s="39">
        <f>IFERROR(IF(INDEX('State Map'!$C:$C,MATCH(TRIM('RZSPbS-psgr-ldv'!$A24),'State Map'!$A:$A,0))="Max Ambition",Schedules!Y$7,AB24),AB24)</f>
        <v>1</v>
      </c>
      <c r="AD24" s="39">
        <f>IFERROR(IF(INDEX('State Map'!$C:$C,MATCH(TRIM('RZSPbS-psgr-ldv'!$A24),'State Map'!$A:$A,0))="Max Ambition",Schedules!Z$7,AC24),AC24)</f>
        <v>1</v>
      </c>
      <c r="AE24" s="39">
        <f>IFERROR(IF(INDEX('State Map'!$C:$C,MATCH(TRIM('RZSPbS-psgr-ldv'!$A24),'State Map'!$A:$A,0))="Max Ambition",Schedules!AA$7,AD24),AD24)</f>
        <v>1</v>
      </c>
      <c r="AF24" s="39">
        <f>IFERROR(IF(INDEX('State Map'!$C:$C,MATCH(TRIM('RZSPbS-psgr-ldv'!$A24),'State Map'!$A:$A,0))="Max Ambition",Schedules!AB$7,AE24),AE24)</f>
        <v>1</v>
      </c>
    </row>
    <row r="25" spans="1:32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39">
        <f>IFERROR(IF(INDEX('State Map'!$C:$C,MATCH(TRIM('RZSPbS-psgr-ldv'!$A25),'State Map'!$A:$A,0))="Max Ambition",Schedules!G$7,J25),J25)</f>
        <v>0.2</v>
      </c>
      <c r="L25" s="39">
        <f>IFERROR(IF(INDEX('State Map'!$C:$C,MATCH(TRIM('RZSPbS-psgr-ldv'!$A25),'State Map'!$A:$A,0))="Max Ambition",Schedules!H$7,K25),K25)</f>
        <v>0.25</v>
      </c>
      <c r="M25" s="39">
        <f>IFERROR(IF(INDEX('State Map'!$C:$C,MATCH(TRIM('RZSPbS-psgr-ldv'!$A25),'State Map'!$A:$A,0))="Max Ambition",Schedules!I$7,L25),L25)</f>
        <v>0.3</v>
      </c>
      <c r="N25" s="39">
        <f>IFERROR(IF(INDEX('State Map'!$C:$C,MATCH(TRIM('RZSPbS-psgr-ldv'!$A25),'State Map'!$A:$A,0))="Max Ambition",Schedules!J$7,M25),M25)</f>
        <v>0.38</v>
      </c>
      <c r="O25" s="39">
        <f>IFERROR(IF(INDEX('State Map'!$C:$C,MATCH(TRIM('RZSPbS-psgr-ldv'!$A25),'State Map'!$A:$A,0))="Max Ambition",Schedules!K$7,N25),N25)</f>
        <v>0.46</v>
      </c>
      <c r="P25" s="39">
        <f>IFERROR(IF(INDEX('State Map'!$C:$C,MATCH(TRIM('RZSPbS-psgr-ldv'!$A25),'State Map'!$A:$A,0))="Max Ambition",Schedules!L$7,O25),O25)</f>
        <v>0.51400000000000001</v>
      </c>
      <c r="Q25" s="39">
        <f>IFERROR(IF(INDEX('State Map'!$C:$C,MATCH(TRIM('RZSPbS-psgr-ldv'!$A25),'State Map'!$A:$A,0))="Max Ambition",Schedules!M$7,P25),P25)</f>
        <v>0.56799999999999995</v>
      </c>
      <c r="R25" s="39">
        <f>IFERROR(IF(INDEX('State Map'!$C:$C,MATCH(TRIM('RZSPbS-psgr-ldv'!$A25),'State Map'!$A:$A,0))="Max Ambition",Schedules!N$7,Q25),Q25)</f>
        <v>0.622</v>
      </c>
      <c r="S25" s="39">
        <f>IFERROR(IF(INDEX('State Map'!$C:$C,MATCH(TRIM('RZSPbS-psgr-ldv'!$A25),'State Map'!$A:$A,0))="Max Ambition",Schedules!O$7,R25),R25)</f>
        <v>0.67600000000000005</v>
      </c>
      <c r="T25" s="39">
        <f>IFERROR(IF(INDEX('State Map'!$C:$C,MATCH(TRIM('RZSPbS-psgr-ldv'!$A25),'State Map'!$A:$A,0))="Max Ambition",Schedules!P$7,S25),S25)</f>
        <v>0.73</v>
      </c>
      <c r="U25" s="39">
        <f>IFERROR(IF(INDEX('State Map'!$C:$C,MATCH(TRIM('RZSPbS-psgr-ldv'!$A25),'State Map'!$A:$A,0))="Max Ambition",Schedules!Q$7,T25),T25)</f>
        <v>0.78400000000000003</v>
      </c>
      <c r="V25" s="39">
        <f>IFERROR(IF(INDEX('State Map'!$C:$C,MATCH(TRIM('RZSPbS-psgr-ldv'!$A25),'State Map'!$A:$A,0))="Max Ambition",Schedules!R$7,U25),U25)</f>
        <v>0.83799999999999997</v>
      </c>
      <c r="W25" s="39">
        <f>IFERROR(IF(INDEX('State Map'!$C:$C,MATCH(TRIM('RZSPbS-psgr-ldv'!$A25),'State Map'!$A:$A,0))="Max Ambition",Schedules!S$7,V25),V25)</f>
        <v>0.89200000000000002</v>
      </c>
      <c r="X25" s="39">
        <f>IFERROR(IF(INDEX('State Map'!$C:$C,MATCH(TRIM('RZSPbS-psgr-ldv'!$A25),'State Map'!$A:$A,0))="Max Ambition",Schedules!T$7,W25),W25)</f>
        <v>0.94599999999999995</v>
      </c>
      <c r="Y25" s="39">
        <f>IFERROR(IF(INDEX('State Map'!$C:$C,MATCH(TRIM('RZSPbS-psgr-ldv'!$A25),'State Map'!$A:$A,0))="Max Ambition",Schedules!U$7,X25),X25)</f>
        <v>1</v>
      </c>
      <c r="Z25" s="39">
        <f>IFERROR(IF(INDEX('State Map'!$C:$C,MATCH(TRIM('RZSPbS-psgr-ldv'!$A25),'State Map'!$A:$A,0))="Max Ambition",Schedules!V$7,Y25),Y25)</f>
        <v>1</v>
      </c>
      <c r="AA25" s="39">
        <f>IFERROR(IF(INDEX('State Map'!$C:$C,MATCH(TRIM('RZSPbS-psgr-ldv'!$A25),'State Map'!$A:$A,0))="Max Ambition",Schedules!W$7,Z25),Z25)</f>
        <v>1</v>
      </c>
      <c r="AB25" s="39">
        <f>IFERROR(IF(INDEX('State Map'!$C:$C,MATCH(TRIM('RZSPbS-psgr-ldv'!$A25),'State Map'!$A:$A,0))="Max Ambition",Schedules!X$7,AA25),AA25)</f>
        <v>1</v>
      </c>
      <c r="AC25" s="39">
        <f>IFERROR(IF(INDEX('State Map'!$C:$C,MATCH(TRIM('RZSPbS-psgr-ldv'!$A25),'State Map'!$A:$A,0))="Max Ambition",Schedules!Y$7,AB25),AB25)</f>
        <v>1</v>
      </c>
      <c r="AD25" s="39">
        <f>IFERROR(IF(INDEX('State Map'!$C:$C,MATCH(TRIM('RZSPbS-psgr-ldv'!$A25),'State Map'!$A:$A,0))="Max Ambition",Schedules!Z$7,AC25),AC25)</f>
        <v>1</v>
      </c>
      <c r="AE25" s="39">
        <f>IFERROR(IF(INDEX('State Map'!$C:$C,MATCH(TRIM('RZSPbS-psgr-ldv'!$A25),'State Map'!$A:$A,0))="Max Ambition",Schedules!AA$7,AD25),AD25)</f>
        <v>1</v>
      </c>
      <c r="AF25" s="39">
        <f>IFERROR(IF(INDEX('State Map'!$C:$C,MATCH(TRIM('RZSPbS-psgr-ldv'!$A25),'State Map'!$A:$A,0))="Max Ambition",Schedules!AB$7,AE25),AE25)</f>
        <v>1</v>
      </c>
    </row>
    <row r="26" spans="1:32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39">
        <f>IFERROR(IF(INDEX('State Map'!$C:$C,MATCH(TRIM('RZSPbS-psgr-ldv'!$A26),'State Map'!$A:$A,0))="Max Ambition",Schedules!G$7,J26),J26)</f>
        <v>0</v>
      </c>
      <c r="L26" s="39">
        <f>IFERROR(IF(INDEX('State Map'!$C:$C,MATCH(TRIM('RZSPbS-psgr-ldv'!$A26),'State Map'!$A:$A,0))="Max Ambition",Schedules!H$7,K26),K26)</f>
        <v>0</v>
      </c>
      <c r="M26" s="39">
        <f>IFERROR(IF(INDEX('State Map'!$C:$C,MATCH(TRIM('RZSPbS-psgr-ldv'!$A26),'State Map'!$A:$A,0))="Max Ambition",Schedules!I$7,L26),L26)</f>
        <v>0</v>
      </c>
      <c r="N26" s="39">
        <f>IFERROR(IF(INDEX('State Map'!$C:$C,MATCH(TRIM('RZSPbS-psgr-ldv'!$A26),'State Map'!$A:$A,0))="Max Ambition",Schedules!J$7,M26),M26)</f>
        <v>0</v>
      </c>
      <c r="O26" s="39">
        <f>IFERROR(IF(INDEX('State Map'!$C:$C,MATCH(TRIM('RZSPbS-psgr-ldv'!$A26),'State Map'!$A:$A,0))="Max Ambition",Schedules!K$7,N26),N26)</f>
        <v>0</v>
      </c>
      <c r="P26" s="39">
        <f>IFERROR(IF(INDEX('State Map'!$C:$C,MATCH(TRIM('RZSPbS-psgr-ldv'!$A26),'State Map'!$A:$A,0))="Max Ambition",Schedules!L$7,O26),O26)</f>
        <v>0</v>
      </c>
      <c r="Q26" s="39">
        <f>IFERROR(IF(INDEX('State Map'!$C:$C,MATCH(TRIM('RZSPbS-psgr-ldv'!$A26),'State Map'!$A:$A,0))="Max Ambition",Schedules!M$7,P26),P26)</f>
        <v>0</v>
      </c>
      <c r="R26" s="39">
        <f>IFERROR(IF(INDEX('State Map'!$C:$C,MATCH(TRIM('RZSPbS-psgr-ldv'!$A26),'State Map'!$A:$A,0))="Max Ambition",Schedules!N$7,Q26),Q26)</f>
        <v>0</v>
      </c>
      <c r="S26" s="39">
        <f>IFERROR(IF(INDEX('State Map'!$C:$C,MATCH(TRIM('RZSPbS-psgr-ldv'!$A26),'State Map'!$A:$A,0))="Max Ambition",Schedules!O$7,R26),R26)</f>
        <v>0</v>
      </c>
      <c r="T26" s="39">
        <f>IFERROR(IF(INDEX('State Map'!$C:$C,MATCH(TRIM('RZSPbS-psgr-ldv'!$A26),'State Map'!$A:$A,0))="Max Ambition",Schedules!P$7,S26),S26)</f>
        <v>0</v>
      </c>
      <c r="U26" s="39">
        <f>IFERROR(IF(INDEX('State Map'!$C:$C,MATCH(TRIM('RZSPbS-psgr-ldv'!$A26),'State Map'!$A:$A,0))="Max Ambition",Schedules!Q$7,T26),T26)</f>
        <v>0</v>
      </c>
      <c r="V26" s="39">
        <f>IFERROR(IF(INDEX('State Map'!$C:$C,MATCH(TRIM('RZSPbS-psgr-ldv'!$A26),'State Map'!$A:$A,0))="Max Ambition",Schedules!R$7,U26),U26)</f>
        <v>0</v>
      </c>
      <c r="W26" s="39">
        <f>IFERROR(IF(INDEX('State Map'!$C:$C,MATCH(TRIM('RZSPbS-psgr-ldv'!$A26),'State Map'!$A:$A,0))="Max Ambition",Schedules!S$7,V26),V26)</f>
        <v>0</v>
      </c>
      <c r="X26" s="39">
        <f>IFERROR(IF(INDEX('State Map'!$C:$C,MATCH(TRIM('RZSPbS-psgr-ldv'!$A26),'State Map'!$A:$A,0))="Max Ambition",Schedules!T$7,W26),W26)</f>
        <v>0</v>
      </c>
      <c r="Y26" s="39">
        <f>IFERROR(IF(INDEX('State Map'!$C:$C,MATCH(TRIM('RZSPbS-psgr-ldv'!$A26),'State Map'!$A:$A,0))="Max Ambition",Schedules!U$7,X26),X26)</f>
        <v>0</v>
      </c>
      <c r="Z26" s="39">
        <f>IFERROR(IF(INDEX('State Map'!$C:$C,MATCH(TRIM('RZSPbS-psgr-ldv'!$A26),'State Map'!$A:$A,0))="Max Ambition",Schedules!V$7,Y26),Y26)</f>
        <v>0</v>
      </c>
      <c r="AA26" s="39">
        <f>IFERROR(IF(INDEX('State Map'!$C:$C,MATCH(TRIM('RZSPbS-psgr-ldv'!$A26),'State Map'!$A:$A,0))="Max Ambition",Schedules!W$7,Z26),Z26)</f>
        <v>0</v>
      </c>
      <c r="AB26" s="39">
        <f>IFERROR(IF(INDEX('State Map'!$C:$C,MATCH(TRIM('RZSPbS-psgr-ldv'!$A26),'State Map'!$A:$A,0))="Max Ambition",Schedules!X$7,AA26),AA26)</f>
        <v>0</v>
      </c>
      <c r="AC26" s="39">
        <f>IFERROR(IF(INDEX('State Map'!$C:$C,MATCH(TRIM('RZSPbS-psgr-ldv'!$A26),'State Map'!$A:$A,0))="Max Ambition",Schedules!Y$7,AB26),AB26)</f>
        <v>0</v>
      </c>
      <c r="AD26" s="39">
        <f>IFERROR(IF(INDEX('State Map'!$C:$C,MATCH(TRIM('RZSPbS-psgr-ldv'!$A26),'State Map'!$A:$A,0))="Max Ambition",Schedules!Z$7,AC26),AC26)</f>
        <v>0</v>
      </c>
      <c r="AE26" s="39">
        <f>IFERROR(IF(INDEX('State Map'!$C:$C,MATCH(TRIM('RZSPbS-psgr-ldv'!$A26),'State Map'!$A:$A,0))="Max Ambition",Schedules!AA$7,AD26),AD26)</f>
        <v>0</v>
      </c>
      <c r="AF26" s="39">
        <f>IFERROR(IF(INDEX('State Map'!$C:$C,MATCH(TRIM('RZSPbS-psgr-ldv'!$A26),'State Map'!$A:$A,0))="Max Ambition",Schedules!AB$7,AE26),AE26)</f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39">
        <f>IFERROR(IF(INDEX('State Map'!$C:$C,MATCH(TRIM('RZSPbS-psgr-ldv'!$A27),'State Map'!$A:$A,0))="Max Ambition",Schedules!G$7,J27),J27)</f>
        <v>0</v>
      </c>
      <c r="L27" s="39">
        <f>IFERROR(IF(INDEX('State Map'!$C:$C,MATCH(TRIM('RZSPbS-psgr-ldv'!$A27),'State Map'!$A:$A,0))="Max Ambition",Schedules!H$7,K27),K27)</f>
        <v>0</v>
      </c>
      <c r="M27" s="39">
        <f>IFERROR(IF(INDEX('State Map'!$C:$C,MATCH(TRIM('RZSPbS-psgr-ldv'!$A27),'State Map'!$A:$A,0))="Max Ambition",Schedules!I$7,L27),L27)</f>
        <v>0</v>
      </c>
      <c r="N27" s="39">
        <f>IFERROR(IF(INDEX('State Map'!$C:$C,MATCH(TRIM('RZSPbS-psgr-ldv'!$A27),'State Map'!$A:$A,0))="Max Ambition",Schedules!J$7,M27),M27)</f>
        <v>0</v>
      </c>
      <c r="O27" s="39">
        <f>IFERROR(IF(INDEX('State Map'!$C:$C,MATCH(TRIM('RZSPbS-psgr-ldv'!$A27),'State Map'!$A:$A,0))="Max Ambition",Schedules!K$7,N27),N27)</f>
        <v>0</v>
      </c>
      <c r="P27" s="39">
        <f>IFERROR(IF(INDEX('State Map'!$C:$C,MATCH(TRIM('RZSPbS-psgr-ldv'!$A27),'State Map'!$A:$A,0))="Max Ambition",Schedules!L$7,O27),O27)</f>
        <v>0</v>
      </c>
      <c r="Q27" s="39">
        <f>IFERROR(IF(INDEX('State Map'!$C:$C,MATCH(TRIM('RZSPbS-psgr-ldv'!$A27),'State Map'!$A:$A,0))="Max Ambition",Schedules!M$7,P27),P27)</f>
        <v>0</v>
      </c>
      <c r="R27" s="39">
        <f>IFERROR(IF(INDEX('State Map'!$C:$C,MATCH(TRIM('RZSPbS-psgr-ldv'!$A27),'State Map'!$A:$A,0))="Max Ambition",Schedules!N$7,Q27),Q27)</f>
        <v>0</v>
      </c>
      <c r="S27" s="39">
        <f>IFERROR(IF(INDEX('State Map'!$C:$C,MATCH(TRIM('RZSPbS-psgr-ldv'!$A27),'State Map'!$A:$A,0))="Max Ambition",Schedules!O$7,R27),R27)</f>
        <v>0</v>
      </c>
      <c r="T27" s="39">
        <f>IFERROR(IF(INDEX('State Map'!$C:$C,MATCH(TRIM('RZSPbS-psgr-ldv'!$A27),'State Map'!$A:$A,0))="Max Ambition",Schedules!P$7,S27),S27)</f>
        <v>0</v>
      </c>
      <c r="U27" s="39">
        <f>IFERROR(IF(INDEX('State Map'!$C:$C,MATCH(TRIM('RZSPbS-psgr-ldv'!$A27),'State Map'!$A:$A,0))="Max Ambition",Schedules!Q$7,T27),T27)</f>
        <v>0</v>
      </c>
      <c r="V27" s="39">
        <f>IFERROR(IF(INDEX('State Map'!$C:$C,MATCH(TRIM('RZSPbS-psgr-ldv'!$A27),'State Map'!$A:$A,0))="Max Ambition",Schedules!R$7,U27),U27)</f>
        <v>0</v>
      </c>
      <c r="W27" s="39">
        <f>IFERROR(IF(INDEX('State Map'!$C:$C,MATCH(TRIM('RZSPbS-psgr-ldv'!$A27),'State Map'!$A:$A,0))="Max Ambition",Schedules!S$7,V27),V27)</f>
        <v>0</v>
      </c>
      <c r="X27" s="39">
        <f>IFERROR(IF(INDEX('State Map'!$C:$C,MATCH(TRIM('RZSPbS-psgr-ldv'!$A27),'State Map'!$A:$A,0))="Max Ambition",Schedules!T$7,W27),W27)</f>
        <v>0</v>
      </c>
      <c r="Y27" s="39">
        <f>IFERROR(IF(INDEX('State Map'!$C:$C,MATCH(TRIM('RZSPbS-psgr-ldv'!$A27),'State Map'!$A:$A,0))="Max Ambition",Schedules!U$7,X27),X27)</f>
        <v>0</v>
      </c>
      <c r="Z27" s="39">
        <f>IFERROR(IF(INDEX('State Map'!$C:$C,MATCH(TRIM('RZSPbS-psgr-ldv'!$A27),'State Map'!$A:$A,0))="Max Ambition",Schedules!V$7,Y27),Y27)</f>
        <v>0</v>
      </c>
      <c r="AA27" s="39">
        <f>IFERROR(IF(INDEX('State Map'!$C:$C,MATCH(TRIM('RZSPbS-psgr-ldv'!$A27),'State Map'!$A:$A,0))="Max Ambition",Schedules!W$7,Z27),Z27)</f>
        <v>0</v>
      </c>
      <c r="AB27" s="39">
        <f>IFERROR(IF(INDEX('State Map'!$C:$C,MATCH(TRIM('RZSPbS-psgr-ldv'!$A27),'State Map'!$A:$A,0))="Max Ambition",Schedules!X$7,AA27),AA27)</f>
        <v>0</v>
      </c>
      <c r="AC27" s="39">
        <f>IFERROR(IF(INDEX('State Map'!$C:$C,MATCH(TRIM('RZSPbS-psgr-ldv'!$A27),'State Map'!$A:$A,0))="Max Ambition",Schedules!Y$7,AB27),AB27)</f>
        <v>0</v>
      </c>
      <c r="AD27" s="39">
        <f>IFERROR(IF(INDEX('State Map'!$C:$C,MATCH(TRIM('RZSPbS-psgr-ldv'!$A27),'State Map'!$A:$A,0))="Max Ambition",Schedules!Z$7,AC27),AC27)</f>
        <v>0</v>
      </c>
      <c r="AE27" s="39">
        <f>IFERROR(IF(INDEX('State Map'!$C:$C,MATCH(TRIM('RZSPbS-psgr-ldv'!$A27),'State Map'!$A:$A,0))="Max Ambition",Schedules!AA$7,AD27),AD27)</f>
        <v>0</v>
      </c>
      <c r="AF27" s="39">
        <f>IFERROR(IF(INDEX('State Map'!$C:$C,MATCH(TRIM('RZSPbS-psgr-ldv'!$A27),'State Map'!$A:$A,0))="Max Ambition",Schedules!AB$7,AE27),AE27)</f>
        <v>0</v>
      </c>
    </row>
    <row r="28" spans="1:32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39">
        <f>IFERROR(IF(INDEX('State Map'!$C:$C,MATCH(TRIM('RZSPbS-psgr-ldv'!$A28),'State Map'!$A:$A,0))="Max Ambition",Schedules!G$7,J28),J28)</f>
        <v>0</v>
      </c>
      <c r="L28" s="39">
        <f>IFERROR(IF(INDEX('State Map'!$C:$C,MATCH(TRIM('RZSPbS-psgr-ldv'!$A28),'State Map'!$A:$A,0))="Max Ambition",Schedules!H$7,K28),K28)</f>
        <v>0</v>
      </c>
      <c r="M28" s="39">
        <f>IFERROR(IF(INDEX('State Map'!$C:$C,MATCH(TRIM('RZSPbS-psgr-ldv'!$A28),'State Map'!$A:$A,0))="Max Ambition",Schedules!I$7,L28),L28)</f>
        <v>0</v>
      </c>
      <c r="N28" s="39">
        <f>IFERROR(IF(INDEX('State Map'!$C:$C,MATCH(TRIM('RZSPbS-psgr-ldv'!$A28),'State Map'!$A:$A,0))="Max Ambition",Schedules!J$7,M28),M28)</f>
        <v>0</v>
      </c>
      <c r="O28" s="39">
        <f>IFERROR(IF(INDEX('State Map'!$C:$C,MATCH(TRIM('RZSPbS-psgr-ldv'!$A28),'State Map'!$A:$A,0))="Max Ambition",Schedules!K$7,N28),N28)</f>
        <v>0</v>
      </c>
      <c r="P28" s="39">
        <f>IFERROR(IF(INDEX('State Map'!$C:$C,MATCH(TRIM('RZSPbS-psgr-ldv'!$A28),'State Map'!$A:$A,0))="Max Ambition",Schedules!L$7,O28),O28)</f>
        <v>0</v>
      </c>
      <c r="Q28" s="39">
        <f>IFERROR(IF(INDEX('State Map'!$C:$C,MATCH(TRIM('RZSPbS-psgr-ldv'!$A28),'State Map'!$A:$A,0))="Max Ambition",Schedules!M$7,P28),P28)</f>
        <v>0</v>
      </c>
      <c r="R28" s="39">
        <f>IFERROR(IF(INDEX('State Map'!$C:$C,MATCH(TRIM('RZSPbS-psgr-ldv'!$A28),'State Map'!$A:$A,0))="Max Ambition",Schedules!N$7,Q28),Q28)</f>
        <v>0</v>
      </c>
      <c r="S28" s="39">
        <f>IFERROR(IF(INDEX('State Map'!$C:$C,MATCH(TRIM('RZSPbS-psgr-ldv'!$A28),'State Map'!$A:$A,0))="Max Ambition",Schedules!O$7,R28),R28)</f>
        <v>0</v>
      </c>
      <c r="T28" s="39">
        <f>IFERROR(IF(INDEX('State Map'!$C:$C,MATCH(TRIM('RZSPbS-psgr-ldv'!$A28),'State Map'!$A:$A,0))="Max Ambition",Schedules!P$7,S28),S28)</f>
        <v>0</v>
      </c>
      <c r="U28" s="39">
        <f>IFERROR(IF(INDEX('State Map'!$C:$C,MATCH(TRIM('RZSPbS-psgr-ldv'!$A28),'State Map'!$A:$A,0))="Max Ambition",Schedules!Q$7,T28),T28)</f>
        <v>0</v>
      </c>
      <c r="V28" s="39">
        <f>IFERROR(IF(INDEX('State Map'!$C:$C,MATCH(TRIM('RZSPbS-psgr-ldv'!$A28),'State Map'!$A:$A,0))="Max Ambition",Schedules!R$7,U28),U28)</f>
        <v>0</v>
      </c>
      <c r="W28" s="39">
        <f>IFERROR(IF(INDEX('State Map'!$C:$C,MATCH(TRIM('RZSPbS-psgr-ldv'!$A28),'State Map'!$A:$A,0))="Max Ambition",Schedules!S$7,V28),V28)</f>
        <v>0</v>
      </c>
      <c r="X28" s="39">
        <f>IFERROR(IF(INDEX('State Map'!$C:$C,MATCH(TRIM('RZSPbS-psgr-ldv'!$A28),'State Map'!$A:$A,0))="Max Ambition",Schedules!T$7,W28),W28)</f>
        <v>0</v>
      </c>
      <c r="Y28" s="39">
        <f>IFERROR(IF(INDEX('State Map'!$C:$C,MATCH(TRIM('RZSPbS-psgr-ldv'!$A28),'State Map'!$A:$A,0))="Max Ambition",Schedules!U$7,X28),X28)</f>
        <v>0</v>
      </c>
      <c r="Z28" s="39">
        <f>IFERROR(IF(INDEX('State Map'!$C:$C,MATCH(TRIM('RZSPbS-psgr-ldv'!$A28),'State Map'!$A:$A,0))="Max Ambition",Schedules!V$7,Y28),Y28)</f>
        <v>0</v>
      </c>
      <c r="AA28" s="39">
        <f>IFERROR(IF(INDEX('State Map'!$C:$C,MATCH(TRIM('RZSPbS-psgr-ldv'!$A28),'State Map'!$A:$A,0))="Max Ambition",Schedules!W$7,Z28),Z28)</f>
        <v>0</v>
      </c>
      <c r="AB28" s="39">
        <f>IFERROR(IF(INDEX('State Map'!$C:$C,MATCH(TRIM('RZSPbS-psgr-ldv'!$A28),'State Map'!$A:$A,0))="Max Ambition",Schedules!X$7,AA28),AA28)</f>
        <v>0</v>
      </c>
      <c r="AC28" s="39">
        <f>IFERROR(IF(INDEX('State Map'!$C:$C,MATCH(TRIM('RZSPbS-psgr-ldv'!$A28),'State Map'!$A:$A,0))="Max Ambition",Schedules!Y$7,AB28),AB28)</f>
        <v>0</v>
      </c>
      <c r="AD28" s="39">
        <f>IFERROR(IF(INDEX('State Map'!$C:$C,MATCH(TRIM('RZSPbS-psgr-ldv'!$A28),'State Map'!$A:$A,0))="Max Ambition",Schedules!Z$7,AC28),AC28)</f>
        <v>0</v>
      </c>
      <c r="AE28" s="39">
        <f>IFERROR(IF(INDEX('State Map'!$C:$C,MATCH(TRIM('RZSPbS-psgr-ldv'!$A28),'State Map'!$A:$A,0))="Max Ambition",Schedules!AA$7,AD28),AD28)</f>
        <v>0</v>
      </c>
      <c r="AF28" s="39">
        <f>IFERROR(IF(INDEX('State Map'!$C:$C,MATCH(TRIM('RZSPbS-psgr-ldv'!$A28),'State Map'!$A:$A,0))="Max Ambition",Schedules!AB$7,AE28),AE28)</f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39">
        <f>IFERROR(IF(INDEX('State Map'!$C:$C,MATCH(TRIM('RZSPbS-psgr-ldv'!$A29),'State Map'!$A:$A,0))="Max Ambition",Schedules!G$7,J29),J29)</f>
        <v>0</v>
      </c>
      <c r="L29" s="39">
        <f>IFERROR(IF(INDEX('State Map'!$C:$C,MATCH(TRIM('RZSPbS-psgr-ldv'!$A29),'State Map'!$A:$A,0))="Max Ambition",Schedules!H$7,K29),K29)</f>
        <v>0</v>
      </c>
      <c r="M29" s="39">
        <f>IFERROR(IF(INDEX('State Map'!$C:$C,MATCH(TRIM('RZSPbS-psgr-ldv'!$A29),'State Map'!$A:$A,0))="Max Ambition",Schedules!I$7,L29),L29)</f>
        <v>0</v>
      </c>
      <c r="N29" s="39">
        <f>IFERROR(IF(INDEX('State Map'!$C:$C,MATCH(TRIM('RZSPbS-psgr-ldv'!$A29),'State Map'!$A:$A,0))="Max Ambition",Schedules!J$7,M29),M29)</f>
        <v>0</v>
      </c>
      <c r="O29" s="39">
        <f>IFERROR(IF(INDEX('State Map'!$C:$C,MATCH(TRIM('RZSPbS-psgr-ldv'!$A29),'State Map'!$A:$A,0))="Max Ambition",Schedules!K$7,N29),N29)</f>
        <v>0</v>
      </c>
      <c r="P29" s="39">
        <f>IFERROR(IF(INDEX('State Map'!$C:$C,MATCH(TRIM('RZSPbS-psgr-ldv'!$A29),'State Map'!$A:$A,0))="Max Ambition",Schedules!L$7,O29),O29)</f>
        <v>0</v>
      </c>
      <c r="Q29" s="39">
        <f>IFERROR(IF(INDEX('State Map'!$C:$C,MATCH(TRIM('RZSPbS-psgr-ldv'!$A29),'State Map'!$A:$A,0))="Max Ambition",Schedules!M$7,P29),P29)</f>
        <v>0</v>
      </c>
      <c r="R29" s="39">
        <f>IFERROR(IF(INDEX('State Map'!$C:$C,MATCH(TRIM('RZSPbS-psgr-ldv'!$A29),'State Map'!$A:$A,0))="Max Ambition",Schedules!N$7,Q29),Q29)</f>
        <v>0</v>
      </c>
      <c r="S29" s="39">
        <f>IFERROR(IF(INDEX('State Map'!$C:$C,MATCH(TRIM('RZSPbS-psgr-ldv'!$A29),'State Map'!$A:$A,0))="Max Ambition",Schedules!O$7,R29),R29)</f>
        <v>0</v>
      </c>
      <c r="T29" s="39">
        <f>IFERROR(IF(INDEX('State Map'!$C:$C,MATCH(TRIM('RZSPbS-psgr-ldv'!$A29),'State Map'!$A:$A,0))="Max Ambition",Schedules!P$7,S29),S29)</f>
        <v>0</v>
      </c>
      <c r="U29" s="39">
        <f>IFERROR(IF(INDEX('State Map'!$C:$C,MATCH(TRIM('RZSPbS-psgr-ldv'!$A29),'State Map'!$A:$A,0))="Max Ambition",Schedules!Q$7,T29),T29)</f>
        <v>0</v>
      </c>
      <c r="V29" s="39">
        <f>IFERROR(IF(INDEX('State Map'!$C:$C,MATCH(TRIM('RZSPbS-psgr-ldv'!$A29),'State Map'!$A:$A,0))="Max Ambition",Schedules!R$7,U29),U29)</f>
        <v>0</v>
      </c>
      <c r="W29" s="39">
        <f>IFERROR(IF(INDEX('State Map'!$C:$C,MATCH(TRIM('RZSPbS-psgr-ldv'!$A29),'State Map'!$A:$A,0))="Max Ambition",Schedules!S$7,V29),V29)</f>
        <v>0</v>
      </c>
      <c r="X29" s="39">
        <f>IFERROR(IF(INDEX('State Map'!$C:$C,MATCH(TRIM('RZSPbS-psgr-ldv'!$A29),'State Map'!$A:$A,0))="Max Ambition",Schedules!T$7,W29),W29)</f>
        <v>0</v>
      </c>
      <c r="Y29" s="39">
        <f>IFERROR(IF(INDEX('State Map'!$C:$C,MATCH(TRIM('RZSPbS-psgr-ldv'!$A29),'State Map'!$A:$A,0))="Max Ambition",Schedules!U$7,X29),X29)</f>
        <v>0</v>
      </c>
      <c r="Z29" s="39">
        <f>IFERROR(IF(INDEX('State Map'!$C:$C,MATCH(TRIM('RZSPbS-psgr-ldv'!$A29),'State Map'!$A:$A,0))="Max Ambition",Schedules!V$7,Y29),Y29)</f>
        <v>0</v>
      </c>
      <c r="AA29" s="39">
        <f>IFERROR(IF(INDEX('State Map'!$C:$C,MATCH(TRIM('RZSPbS-psgr-ldv'!$A29),'State Map'!$A:$A,0))="Max Ambition",Schedules!W$7,Z29),Z29)</f>
        <v>0</v>
      </c>
      <c r="AB29" s="39">
        <f>IFERROR(IF(INDEX('State Map'!$C:$C,MATCH(TRIM('RZSPbS-psgr-ldv'!$A29),'State Map'!$A:$A,0))="Max Ambition",Schedules!X$7,AA29),AA29)</f>
        <v>0</v>
      </c>
      <c r="AC29" s="39">
        <f>IFERROR(IF(INDEX('State Map'!$C:$C,MATCH(TRIM('RZSPbS-psgr-ldv'!$A29),'State Map'!$A:$A,0))="Max Ambition",Schedules!Y$7,AB29),AB29)</f>
        <v>0</v>
      </c>
      <c r="AD29" s="39">
        <f>IFERROR(IF(INDEX('State Map'!$C:$C,MATCH(TRIM('RZSPbS-psgr-ldv'!$A29),'State Map'!$A:$A,0))="Max Ambition",Schedules!Z$7,AC29),AC29)</f>
        <v>0</v>
      </c>
      <c r="AE29" s="39">
        <f>IFERROR(IF(INDEX('State Map'!$C:$C,MATCH(TRIM('RZSPbS-psgr-ldv'!$A29),'State Map'!$A:$A,0))="Max Ambition",Schedules!AA$7,AD29),AD29)</f>
        <v>0</v>
      </c>
      <c r="AF29" s="39">
        <f>IFERROR(IF(INDEX('State Map'!$C:$C,MATCH(TRIM('RZSPbS-psgr-ldv'!$A29),'State Map'!$A:$A,0))="Max Ambition",Schedules!AB$7,AE29),AE29)</f>
        <v>0</v>
      </c>
    </row>
    <row r="30" spans="1:32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39">
        <f>IFERROR(IF(INDEX('State Map'!$C:$C,MATCH(TRIM('RZSPbS-psgr-ldv'!$A30),'State Map'!$A:$A,0))="Max Ambition",Schedules!G$7,J30),J30)</f>
        <v>0</v>
      </c>
      <c r="L30" s="39">
        <f>IFERROR(IF(INDEX('State Map'!$C:$C,MATCH(TRIM('RZSPbS-psgr-ldv'!$A30),'State Map'!$A:$A,0))="Max Ambition",Schedules!H$7,K30),K30)</f>
        <v>0</v>
      </c>
      <c r="M30" s="39">
        <f>IFERROR(IF(INDEX('State Map'!$C:$C,MATCH(TRIM('RZSPbS-psgr-ldv'!$A30),'State Map'!$A:$A,0))="Max Ambition",Schedules!I$7,L30),L30)</f>
        <v>0</v>
      </c>
      <c r="N30" s="39">
        <f>IFERROR(IF(INDEX('State Map'!$C:$C,MATCH(TRIM('RZSPbS-psgr-ldv'!$A30),'State Map'!$A:$A,0))="Max Ambition",Schedules!J$7,M30),M30)</f>
        <v>0</v>
      </c>
      <c r="O30" s="39">
        <f>IFERROR(IF(INDEX('State Map'!$C:$C,MATCH(TRIM('RZSPbS-psgr-ldv'!$A30),'State Map'!$A:$A,0))="Max Ambition",Schedules!K$7,N30),N30)</f>
        <v>0</v>
      </c>
      <c r="P30" s="39">
        <f>IFERROR(IF(INDEX('State Map'!$C:$C,MATCH(TRIM('RZSPbS-psgr-ldv'!$A30),'State Map'!$A:$A,0))="Max Ambition",Schedules!L$7,O30),O30)</f>
        <v>0</v>
      </c>
      <c r="Q30" s="39">
        <f>IFERROR(IF(INDEX('State Map'!$C:$C,MATCH(TRIM('RZSPbS-psgr-ldv'!$A30),'State Map'!$A:$A,0))="Max Ambition",Schedules!M$7,P30),P30)</f>
        <v>0</v>
      </c>
      <c r="R30" s="39">
        <f>IFERROR(IF(INDEX('State Map'!$C:$C,MATCH(TRIM('RZSPbS-psgr-ldv'!$A30),'State Map'!$A:$A,0))="Max Ambition",Schedules!N$7,Q30),Q30)</f>
        <v>0</v>
      </c>
      <c r="S30" s="39">
        <f>IFERROR(IF(INDEX('State Map'!$C:$C,MATCH(TRIM('RZSPbS-psgr-ldv'!$A30),'State Map'!$A:$A,0))="Max Ambition",Schedules!O$7,R30),R30)</f>
        <v>0</v>
      </c>
      <c r="T30" s="39">
        <f>IFERROR(IF(INDEX('State Map'!$C:$C,MATCH(TRIM('RZSPbS-psgr-ldv'!$A30),'State Map'!$A:$A,0))="Max Ambition",Schedules!P$7,S30),S30)</f>
        <v>0</v>
      </c>
      <c r="U30" s="39">
        <f>IFERROR(IF(INDEX('State Map'!$C:$C,MATCH(TRIM('RZSPbS-psgr-ldv'!$A30),'State Map'!$A:$A,0))="Max Ambition",Schedules!Q$7,T30),T30)</f>
        <v>0</v>
      </c>
      <c r="V30" s="39">
        <f>IFERROR(IF(INDEX('State Map'!$C:$C,MATCH(TRIM('RZSPbS-psgr-ldv'!$A30),'State Map'!$A:$A,0))="Max Ambition",Schedules!R$7,U30),U30)</f>
        <v>0</v>
      </c>
      <c r="W30" s="39">
        <f>IFERROR(IF(INDEX('State Map'!$C:$C,MATCH(TRIM('RZSPbS-psgr-ldv'!$A30),'State Map'!$A:$A,0))="Max Ambition",Schedules!S$7,V30),V30)</f>
        <v>0</v>
      </c>
      <c r="X30" s="39">
        <f>IFERROR(IF(INDEX('State Map'!$C:$C,MATCH(TRIM('RZSPbS-psgr-ldv'!$A30),'State Map'!$A:$A,0))="Max Ambition",Schedules!T$7,W30),W30)</f>
        <v>0</v>
      </c>
      <c r="Y30" s="39">
        <f>IFERROR(IF(INDEX('State Map'!$C:$C,MATCH(TRIM('RZSPbS-psgr-ldv'!$A30),'State Map'!$A:$A,0))="Max Ambition",Schedules!U$7,X30),X30)</f>
        <v>0</v>
      </c>
      <c r="Z30" s="39">
        <f>IFERROR(IF(INDEX('State Map'!$C:$C,MATCH(TRIM('RZSPbS-psgr-ldv'!$A30),'State Map'!$A:$A,0))="Max Ambition",Schedules!V$7,Y30),Y30)</f>
        <v>0</v>
      </c>
      <c r="AA30" s="39">
        <f>IFERROR(IF(INDEX('State Map'!$C:$C,MATCH(TRIM('RZSPbS-psgr-ldv'!$A30),'State Map'!$A:$A,0))="Max Ambition",Schedules!W$7,Z30),Z30)</f>
        <v>0</v>
      </c>
      <c r="AB30" s="39">
        <f>IFERROR(IF(INDEX('State Map'!$C:$C,MATCH(TRIM('RZSPbS-psgr-ldv'!$A30),'State Map'!$A:$A,0))="Max Ambition",Schedules!X$7,AA30),AA30)</f>
        <v>0</v>
      </c>
      <c r="AC30" s="39">
        <f>IFERROR(IF(INDEX('State Map'!$C:$C,MATCH(TRIM('RZSPbS-psgr-ldv'!$A30),'State Map'!$A:$A,0))="Max Ambition",Schedules!Y$7,AB30),AB30)</f>
        <v>0</v>
      </c>
      <c r="AD30" s="39">
        <f>IFERROR(IF(INDEX('State Map'!$C:$C,MATCH(TRIM('RZSPbS-psgr-ldv'!$A30),'State Map'!$A:$A,0))="Max Ambition",Schedules!Z$7,AC30),AC30)</f>
        <v>0</v>
      </c>
      <c r="AE30" s="39">
        <f>IFERROR(IF(INDEX('State Map'!$C:$C,MATCH(TRIM('RZSPbS-psgr-ldv'!$A30),'State Map'!$A:$A,0))="Max Ambition",Schedules!AA$7,AD30),AD30)</f>
        <v>0</v>
      </c>
      <c r="AF30" s="39">
        <f>IFERROR(IF(INDEX('State Map'!$C:$C,MATCH(TRIM('RZSPbS-psgr-ldv'!$A30),'State Map'!$A:$A,0))="Max Ambition",Schedules!AB$7,AE30),AE30)</f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39">
        <f>IFERROR(IF(INDEX('State Map'!$C:$C,MATCH(TRIM('RZSPbS-psgr-ldv'!$A31),'State Map'!$A:$A,0))="Max Ambition",Schedules!G$7,J31),J31)</f>
        <v>0</v>
      </c>
      <c r="L31" s="39">
        <f>IFERROR(IF(INDEX('State Map'!$C:$C,MATCH(TRIM('RZSPbS-psgr-ldv'!$A31),'State Map'!$A:$A,0))="Max Ambition",Schedules!H$7,K31),K31)</f>
        <v>0</v>
      </c>
      <c r="M31" s="39">
        <f>IFERROR(IF(INDEX('State Map'!$C:$C,MATCH(TRIM('RZSPbS-psgr-ldv'!$A31),'State Map'!$A:$A,0))="Max Ambition",Schedules!I$7,L31),L31)</f>
        <v>0</v>
      </c>
      <c r="N31" s="39">
        <f>IFERROR(IF(INDEX('State Map'!$C:$C,MATCH(TRIM('RZSPbS-psgr-ldv'!$A31),'State Map'!$A:$A,0))="Max Ambition",Schedules!J$7,M31),M31)</f>
        <v>0</v>
      </c>
      <c r="O31" s="39">
        <f>IFERROR(IF(INDEX('State Map'!$C:$C,MATCH(TRIM('RZSPbS-psgr-ldv'!$A31),'State Map'!$A:$A,0))="Max Ambition",Schedules!K$7,N31),N31)</f>
        <v>0</v>
      </c>
      <c r="P31" s="39">
        <f>IFERROR(IF(INDEX('State Map'!$C:$C,MATCH(TRIM('RZSPbS-psgr-ldv'!$A31),'State Map'!$A:$A,0))="Max Ambition",Schedules!L$7,O31),O31)</f>
        <v>0</v>
      </c>
      <c r="Q31" s="39">
        <f>IFERROR(IF(INDEX('State Map'!$C:$C,MATCH(TRIM('RZSPbS-psgr-ldv'!$A31),'State Map'!$A:$A,0))="Max Ambition",Schedules!M$7,P31),P31)</f>
        <v>0</v>
      </c>
      <c r="R31" s="39">
        <f>IFERROR(IF(INDEX('State Map'!$C:$C,MATCH(TRIM('RZSPbS-psgr-ldv'!$A31),'State Map'!$A:$A,0))="Max Ambition",Schedules!N$7,Q31),Q31)</f>
        <v>0</v>
      </c>
      <c r="S31" s="39">
        <f>IFERROR(IF(INDEX('State Map'!$C:$C,MATCH(TRIM('RZSPbS-psgr-ldv'!$A31),'State Map'!$A:$A,0))="Max Ambition",Schedules!O$7,R31),R31)</f>
        <v>0</v>
      </c>
      <c r="T31" s="39">
        <f>IFERROR(IF(INDEX('State Map'!$C:$C,MATCH(TRIM('RZSPbS-psgr-ldv'!$A31),'State Map'!$A:$A,0))="Max Ambition",Schedules!P$7,S31),S31)</f>
        <v>0</v>
      </c>
      <c r="U31" s="39">
        <f>IFERROR(IF(INDEX('State Map'!$C:$C,MATCH(TRIM('RZSPbS-psgr-ldv'!$A31),'State Map'!$A:$A,0))="Max Ambition",Schedules!Q$7,T31),T31)</f>
        <v>0</v>
      </c>
      <c r="V31" s="39">
        <f>IFERROR(IF(INDEX('State Map'!$C:$C,MATCH(TRIM('RZSPbS-psgr-ldv'!$A31),'State Map'!$A:$A,0))="Max Ambition",Schedules!R$7,U31),U31)</f>
        <v>0</v>
      </c>
      <c r="W31" s="39">
        <f>IFERROR(IF(INDEX('State Map'!$C:$C,MATCH(TRIM('RZSPbS-psgr-ldv'!$A31),'State Map'!$A:$A,0))="Max Ambition",Schedules!S$7,V31),V31)</f>
        <v>0</v>
      </c>
      <c r="X31" s="39">
        <f>IFERROR(IF(INDEX('State Map'!$C:$C,MATCH(TRIM('RZSPbS-psgr-ldv'!$A31),'State Map'!$A:$A,0))="Max Ambition",Schedules!T$7,W31),W31)</f>
        <v>0</v>
      </c>
      <c r="Y31" s="39">
        <f>IFERROR(IF(INDEX('State Map'!$C:$C,MATCH(TRIM('RZSPbS-psgr-ldv'!$A31),'State Map'!$A:$A,0))="Max Ambition",Schedules!U$7,X31),X31)</f>
        <v>0</v>
      </c>
      <c r="Z31" s="39">
        <f>IFERROR(IF(INDEX('State Map'!$C:$C,MATCH(TRIM('RZSPbS-psgr-ldv'!$A31),'State Map'!$A:$A,0))="Max Ambition",Schedules!V$7,Y31),Y31)</f>
        <v>0</v>
      </c>
      <c r="AA31" s="39">
        <f>IFERROR(IF(INDEX('State Map'!$C:$C,MATCH(TRIM('RZSPbS-psgr-ldv'!$A31),'State Map'!$A:$A,0))="Max Ambition",Schedules!W$7,Z31),Z31)</f>
        <v>0</v>
      </c>
      <c r="AB31" s="39">
        <f>IFERROR(IF(INDEX('State Map'!$C:$C,MATCH(TRIM('RZSPbS-psgr-ldv'!$A31),'State Map'!$A:$A,0))="Max Ambition",Schedules!X$7,AA31),AA31)</f>
        <v>0</v>
      </c>
      <c r="AC31" s="39">
        <f>IFERROR(IF(INDEX('State Map'!$C:$C,MATCH(TRIM('RZSPbS-psgr-ldv'!$A31),'State Map'!$A:$A,0))="Max Ambition",Schedules!Y$7,AB31),AB31)</f>
        <v>0</v>
      </c>
      <c r="AD31" s="39">
        <f>IFERROR(IF(INDEX('State Map'!$C:$C,MATCH(TRIM('RZSPbS-psgr-ldv'!$A31),'State Map'!$A:$A,0))="Max Ambition",Schedules!Z$7,AC31),AC31)</f>
        <v>0</v>
      </c>
      <c r="AE31" s="39">
        <f>IFERROR(IF(INDEX('State Map'!$C:$C,MATCH(TRIM('RZSPbS-psgr-ldv'!$A31),'State Map'!$A:$A,0))="Max Ambition",Schedules!AA$7,AD31),AD31)</f>
        <v>0</v>
      </c>
      <c r="AF31" s="39">
        <f>IFERROR(IF(INDEX('State Map'!$C:$C,MATCH(TRIM('RZSPbS-psgr-ldv'!$A31),'State Map'!$A:$A,0))="Max Ambition",Schedules!AB$7,AE31),AE31)</f>
        <v>0</v>
      </c>
    </row>
    <row r="32" spans="1:32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39">
        <f>IFERROR(IF(INDEX('State Map'!$C:$C,MATCH(TRIM('RZSPbS-psgr-ldv'!$A32),'State Map'!$A:$A,0))="Max Ambition",Schedules!G$7,J32),J32)</f>
        <v>0.2</v>
      </c>
      <c r="L32" s="39">
        <f>IFERROR(IF(INDEX('State Map'!$C:$C,MATCH(TRIM('RZSPbS-psgr-ldv'!$A32),'State Map'!$A:$A,0))="Max Ambition",Schedules!H$7,K32),K32)</f>
        <v>0.25</v>
      </c>
      <c r="M32" s="39">
        <f>IFERROR(IF(INDEX('State Map'!$C:$C,MATCH(TRIM('RZSPbS-psgr-ldv'!$A32),'State Map'!$A:$A,0))="Max Ambition",Schedules!I$7,L32),L32)</f>
        <v>0.3</v>
      </c>
      <c r="N32" s="39">
        <f>IFERROR(IF(INDEX('State Map'!$C:$C,MATCH(TRIM('RZSPbS-psgr-ldv'!$A32),'State Map'!$A:$A,0))="Max Ambition",Schedules!J$7,M32),M32)</f>
        <v>0.38</v>
      </c>
      <c r="O32" s="39">
        <f>IFERROR(IF(INDEX('State Map'!$C:$C,MATCH(TRIM('RZSPbS-psgr-ldv'!$A32),'State Map'!$A:$A,0))="Max Ambition",Schedules!K$7,N32),N32)</f>
        <v>0.46</v>
      </c>
      <c r="P32" s="39">
        <f>IFERROR(IF(INDEX('State Map'!$C:$C,MATCH(TRIM('RZSPbS-psgr-ldv'!$A32),'State Map'!$A:$A,0))="Max Ambition",Schedules!L$7,O32),O32)</f>
        <v>0.51400000000000001</v>
      </c>
      <c r="Q32" s="39">
        <f>IFERROR(IF(INDEX('State Map'!$C:$C,MATCH(TRIM('RZSPbS-psgr-ldv'!$A32),'State Map'!$A:$A,0))="Max Ambition",Schedules!M$7,P32),P32)</f>
        <v>0.56799999999999995</v>
      </c>
      <c r="R32" s="39">
        <f>IFERROR(IF(INDEX('State Map'!$C:$C,MATCH(TRIM('RZSPbS-psgr-ldv'!$A32),'State Map'!$A:$A,0))="Max Ambition",Schedules!N$7,Q32),Q32)</f>
        <v>0.622</v>
      </c>
      <c r="S32" s="39">
        <f>IFERROR(IF(INDEX('State Map'!$C:$C,MATCH(TRIM('RZSPbS-psgr-ldv'!$A32),'State Map'!$A:$A,0))="Max Ambition",Schedules!O$7,R32),R32)</f>
        <v>0.67600000000000005</v>
      </c>
      <c r="T32" s="39">
        <f>IFERROR(IF(INDEX('State Map'!$C:$C,MATCH(TRIM('RZSPbS-psgr-ldv'!$A32),'State Map'!$A:$A,0))="Max Ambition",Schedules!P$7,S32),S32)</f>
        <v>0.73</v>
      </c>
      <c r="U32" s="39">
        <f>IFERROR(IF(INDEX('State Map'!$C:$C,MATCH(TRIM('RZSPbS-psgr-ldv'!$A32),'State Map'!$A:$A,0))="Max Ambition",Schedules!Q$7,T32),T32)</f>
        <v>0.78400000000000003</v>
      </c>
      <c r="V32" s="39">
        <f>IFERROR(IF(INDEX('State Map'!$C:$C,MATCH(TRIM('RZSPbS-psgr-ldv'!$A32),'State Map'!$A:$A,0))="Max Ambition",Schedules!R$7,U32),U32)</f>
        <v>0.83799999999999997</v>
      </c>
      <c r="W32" s="39">
        <f>IFERROR(IF(INDEX('State Map'!$C:$C,MATCH(TRIM('RZSPbS-psgr-ldv'!$A32),'State Map'!$A:$A,0))="Max Ambition",Schedules!S$7,V32),V32)</f>
        <v>0.89200000000000002</v>
      </c>
      <c r="X32" s="39">
        <f>IFERROR(IF(INDEX('State Map'!$C:$C,MATCH(TRIM('RZSPbS-psgr-ldv'!$A32),'State Map'!$A:$A,0))="Max Ambition",Schedules!T$7,W32),W32)</f>
        <v>0.94599999999999995</v>
      </c>
      <c r="Y32" s="39">
        <f>IFERROR(IF(INDEX('State Map'!$C:$C,MATCH(TRIM('RZSPbS-psgr-ldv'!$A32),'State Map'!$A:$A,0))="Max Ambition",Schedules!U$7,X32),X32)</f>
        <v>1</v>
      </c>
      <c r="Z32" s="39">
        <f>IFERROR(IF(INDEX('State Map'!$C:$C,MATCH(TRIM('RZSPbS-psgr-ldv'!$A32),'State Map'!$A:$A,0))="Max Ambition",Schedules!V$7,Y32),Y32)</f>
        <v>1</v>
      </c>
      <c r="AA32" s="39">
        <f>IFERROR(IF(INDEX('State Map'!$C:$C,MATCH(TRIM('RZSPbS-psgr-ldv'!$A32),'State Map'!$A:$A,0))="Max Ambition",Schedules!W$7,Z32),Z32)</f>
        <v>1</v>
      </c>
      <c r="AB32" s="39">
        <f>IFERROR(IF(INDEX('State Map'!$C:$C,MATCH(TRIM('RZSPbS-psgr-ldv'!$A32),'State Map'!$A:$A,0))="Max Ambition",Schedules!X$7,AA32),AA32)</f>
        <v>1</v>
      </c>
      <c r="AC32" s="39">
        <f>IFERROR(IF(INDEX('State Map'!$C:$C,MATCH(TRIM('RZSPbS-psgr-ldv'!$A32),'State Map'!$A:$A,0))="Max Ambition",Schedules!Y$7,AB32),AB32)</f>
        <v>1</v>
      </c>
      <c r="AD32" s="39">
        <f>IFERROR(IF(INDEX('State Map'!$C:$C,MATCH(TRIM('RZSPbS-psgr-ldv'!$A32),'State Map'!$A:$A,0))="Max Ambition",Schedules!Z$7,AC32),AC32)</f>
        <v>1</v>
      </c>
      <c r="AE32" s="39">
        <f>IFERROR(IF(INDEX('State Map'!$C:$C,MATCH(TRIM('RZSPbS-psgr-ldv'!$A32),'State Map'!$A:$A,0))="Max Ambition",Schedules!AA$7,AD32),AD32)</f>
        <v>1</v>
      </c>
      <c r="AF32" s="39">
        <f>IFERROR(IF(INDEX('State Map'!$C:$C,MATCH(TRIM('RZSPbS-psgr-ldv'!$A32),'State Map'!$A:$A,0))="Max Ambition",Schedules!AB$7,AE32),AE32)</f>
        <v>1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39">
        <f>IFERROR(IF(INDEX('State Map'!$C:$C,MATCH(TRIM('RZSPbS-psgr-ldv'!$A33),'State Map'!$A:$A,0))="Max Ambition",Schedules!G$7,J33),J33)</f>
        <v>0.2</v>
      </c>
      <c r="L33" s="39">
        <f>IFERROR(IF(INDEX('State Map'!$C:$C,MATCH(TRIM('RZSPbS-psgr-ldv'!$A33),'State Map'!$A:$A,0))="Max Ambition",Schedules!H$7,K33),K33)</f>
        <v>0.25</v>
      </c>
      <c r="M33" s="39">
        <f>IFERROR(IF(INDEX('State Map'!$C:$C,MATCH(TRIM('RZSPbS-psgr-ldv'!$A33),'State Map'!$A:$A,0))="Max Ambition",Schedules!I$7,L33),L33)</f>
        <v>0.3</v>
      </c>
      <c r="N33" s="39">
        <f>IFERROR(IF(INDEX('State Map'!$C:$C,MATCH(TRIM('RZSPbS-psgr-ldv'!$A33),'State Map'!$A:$A,0))="Max Ambition",Schedules!J$7,M33),M33)</f>
        <v>0.38</v>
      </c>
      <c r="O33" s="39">
        <f>IFERROR(IF(INDEX('State Map'!$C:$C,MATCH(TRIM('RZSPbS-psgr-ldv'!$A33),'State Map'!$A:$A,0))="Max Ambition",Schedules!K$7,N33),N33)</f>
        <v>0.46</v>
      </c>
      <c r="P33" s="39">
        <f>IFERROR(IF(INDEX('State Map'!$C:$C,MATCH(TRIM('RZSPbS-psgr-ldv'!$A33),'State Map'!$A:$A,0))="Max Ambition",Schedules!L$7,O33),O33)</f>
        <v>0.51400000000000001</v>
      </c>
      <c r="Q33" s="39">
        <f>IFERROR(IF(INDEX('State Map'!$C:$C,MATCH(TRIM('RZSPbS-psgr-ldv'!$A33),'State Map'!$A:$A,0))="Max Ambition",Schedules!M$7,P33),P33)</f>
        <v>0.56799999999999995</v>
      </c>
      <c r="R33" s="39">
        <f>IFERROR(IF(INDEX('State Map'!$C:$C,MATCH(TRIM('RZSPbS-psgr-ldv'!$A33),'State Map'!$A:$A,0))="Max Ambition",Schedules!N$7,Q33),Q33)</f>
        <v>0.622</v>
      </c>
      <c r="S33" s="39">
        <f>IFERROR(IF(INDEX('State Map'!$C:$C,MATCH(TRIM('RZSPbS-psgr-ldv'!$A33),'State Map'!$A:$A,0))="Max Ambition",Schedules!O$7,R33),R33)</f>
        <v>0.67600000000000005</v>
      </c>
      <c r="T33" s="39">
        <f>IFERROR(IF(INDEX('State Map'!$C:$C,MATCH(TRIM('RZSPbS-psgr-ldv'!$A33),'State Map'!$A:$A,0))="Max Ambition",Schedules!P$7,S33),S33)</f>
        <v>0.73</v>
      </c>
      <c r="U33" s="39">
        <f>IFERROR(IF(INDEX('State Map'!$C:$C,MATCH(TRIM('RZSPbS-psgr-ldv'!$A33),'State Map'!$A:$A,0))="Max Ambition",Schedules!Q$7,T33),T33)</f>
        <v>0.78400000000000003</v>
      </c>
      <c r="V33" s="39">
        <f>IFERROR(IF(INDEX('State Map'!$C:$C,MATCH(TRIM('RZSPbS-psgr-ldv'!$A33),'State Map'!$A:$A,0))="Max Ambition",Schedules!R$7,U33),U33)</f>
        <v>0.83799999999999997</v>
      </c>
      <c r="W33" s="39">
        <f>IFERROR(IF(INDEX('State Map'!$C:$C,MATCH(TRIM('RZSPbS-psgr-ldv'!$A33),'State Map'!$A:$A,0))="Max Ambition",Schedules!S$7,V33),V33)</f>
        <v>0.89200000000000002</v>
      </c>
      <c r="X33" s="39">
        <f>IFERROR(IF(INDEX('State Map'!$C:$C,MATCH(TRIM('RZSPbS-psgr-ldv'!$A33),'State Map'!$A:$A,0))="Max Ambition",Schedules!T$7,W33),W33)</f>
        <v>0.94599999999999995</v>
      </c>
      <c r="Y33" s="39">
        <f>IFERROR(IF(INDEX('State Map'!$C:$C,MATCH(TRIM('RZSPbS-psgr-ldv'!$A33),'State Map'!$A:$A,0))="Max Ambition",Schedules!U$7,X33),X33)</f>
        <v>1</v>
      </c>
      <c r="Z33" s="39">
        <f>IFERROR(IF(INDEX('State Map'!$C:$C,MATCH(TRIM('RZSPbS-psgr-ldv'!$A33),'State Map'!$A:$A,0))="Max Ambition",Schedules!V$7,Y33),Y33)</f>
        <v>1</v>
      </c>
      <c r="AA33" s="39">
        <f>IFERROR(IF(INDEX('State Map'!$C:$C,MATCH(TRIM('RZSPbS-psgr-ldv'!$A33),'State Map'!$A:$A,0))="Max Ambition",Schedules!W$7,Z33),Z33)</f>
        <v>1</v>
      </c>
      <c r="AB33" s="39">
        <f>IFERROR(IF(INDEX('State Map'!$C:$C,MATCH(TRIM('RZSPbS-psgr-ldv'!$A33),'State Map'!$A:$A,0))="Max Ambition",Schedules!X$7,AA33),AA33)</f>
        <v>1</v>
      </c>
      <c r="AC33" s="39">
        <f>IFERROR(IF(INDEX('State Map'!$C:$C,MATCH(TRIM('RZSPbS-psgr-ldv'!$A33),'State Map'!$A:$A,0))="Max Ambition",Schedules!Y$7,AB33),AB33)</f>
        <v>1</v>
      </c>
      <c r="AD33" s="39">
        <f>IFERROR(IF(INDEX('State Map'!$C:$C,MATCH(TRIM('RZSPbS-psgr-ldv'!$A33),'State Map'!$A:$A,0))="Max Ambition",Schedules!Z$7,AC33),AC33)</f>
        <v>1</v>
      </c>
      <c r="AE33" s="39">
        <f>IFERROR(IF(INDEX('State Map'!$C:$C,MATCH(TRIM('RZSPbS-psgr-ldv'!$A33),'State Map'!$A:$A,0))="Max Ambition",Schedules!AA$7,AD33),AD33)</f>
        <v>1</v>
      </c>
      <c r="AF33" s="39">
        <f>IFERROR(IF(INDEX('State Map'!$C:$C,MATCH(TRIM('RZSPbS-psgr-ldv'!$A33),'State Map'!$A:$A,0))="Max Ambition",Schedules!AB$7,AE33),AE33)</f>
        <v>1</v>
      </c>
    </row>
    <row r="34" spans="1:32" x14ac:dyDescent="0.2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39">
        <f>IFERROR(IF(INDEX('State Map'!$C:$C,MATCH(TRIM('RZSPbS-psgr-ldv'!$A34),'State Map'!$A:$A,0))="Max Ambition",Schedules!G$7,J34),J34)</f>
        <v>0.2</v>
      </c>
      <c r="L34" s="39">
        <f>IFERROR(IF(INDEX('State Map'!$C:$C,MATCH(TRIM('RZSPbS-psgr-ldv'!$A34),'State Map'!$A:$A,0))="Max Ambition",Schedules!H$7,K34),K34)</f>
        <v>0.25</v>
      </c>
      <c r="M34" s="39">
        <f>IFERROR(IF(INDEX('State Map'!$C:$C,MATCH(TRIM('RZSPbS-psgr-ldv'!$A34),'State Map'!$A:$A,0))="Max Ambition",Schedules!I$7,L34),L34)</f>
        <v>0.3</v>
      </c>
      <c r="N34" s="39">
        <f>IFERROR(IF(INDEX('State Map'!$C:$C,MATCH(TRIM('RZSPbS-psgr-ldv'!$A34),'State Map'!$A:$A,0))="Max Ambition",Schedules!J$7,M34),M34)</f>
        <v>0.38</v>
      </c>
      <c r="O34" s="39">
        <f>IFERROR(IF(INDEX('State Map'!$C:$C,MATCH(TRIM('RZSPbS-psgr-ldv'!$A34),'State Map'!$A:$A,0))="Max Ambition",Schedules!K$7,N34),N34)</f>
        <v>0.46</v>
      </c>
      <c r="P34" s="39">
        <f>IFERROR(IF(INDEX('State Map'!$C:$C,MATCH(TRIM('RZSPbS-psgr-ldv'!$A34),'State Map'!$A:$A,0))="Max Ambition",Schedules!L$7,O34),O34)</f>
        <v>0.51400000000000001</v>
      </c>
      <c r="Q34" s="39">
        <f>IFERROR(IF(INDEX('State Map'!$C:$C,MATCH(TRIM('RZSPbS-psgr-ldv'!$A34),'State Map'!$A:$A,0))="Max Ambition",Schedules!M$7,P34),P34)</f>
        <v>0.56799999999999995</v>
      </c>
      <c r="R34" s="39">
        <f>IFERROR(IF(INDEX('State Map'!$C:$C,MATCH(TRIM('RZSPbS-psgr-ldv'!$A34),'State Map'!$A:$A,0))="Max Ambition",Schedules!N$7,Q34),Q34)</f>
        <v>0.622</v>
      </c>
      <c r="S34" s="39">
        <f>IFERROR(IF(INDEX('State Map'!$C:$C,MATCH(TRIM('RZSPbS-psgr-ldv'!$A34),'State Map'!$A:$A,0))="Max Ambition",Schedules!O$7,R34),R34)</f>
        <v>0.67600000000000005</v>
      </c>
      <c r="T34" s="39">
        <f>IFERROR(IF(INDEX('State Map'!$C:$C,MATCH(TRIM('RZSPbS-psgr-ldv'!$A34),'State Map'!$A:$A,0))="Max Ambition",Schedules!P$7,S34),S34)</f>
        <v>0.73</v>
      </c>
      <c r="U34" s="39">
        <f>IFERROR(IF(INDEX('State Map'!$C:$C,MATCH(TRIM('RZSPbS-psgr-ldv'!$A34),'State Map'!$A:$A,0))="Max Ambition",Schedules!Q$7,T34),T34)</f>
        <v>0.78400000000000003</v>
      </c>
      <c r="V34" s="39">
        <f>IFERROR(IF(INDEX('State Map'!$C:$C,MATCH(TRIM('RZSPbS-psgr-ldv'!$A34),'State Map'!$A:$A,0))="Max Ambition",Schedules!R$7,U34),U34)</f>
        <v>0.83799999999999997</v>
      </c>
      <c r="W34" s="39">
        <f>IFERROR(IF(INDEX('State Map'!$C:$C,MATCH(TRIM('RZSPbS-psgr-ldv'!$A34),'State Map'!$A:$A,0))="Max Ambition",Schedules!S$7,V34),V34)</f>
        <v>0.89200000000000002</v>
      </c>
      <c r="X34" s="39">
        <f>IFERROR(IF(INDEX('State Map'!$C:$C,MATCH(TRIM('RZSPbS-psgr-ldv'!$A34),'State Map'!$A:$A,0))="Max Ambition",Schedules!T$7,W34),W34)</f>
        <v>0.94599999999999995</v>
      </c>
      <c r="Y34" s="39">
        <f>IFERROR(IF(INDEX('State Map'!$C:$C,MATCH(TRIM('RZSPbS-psgr-ldv'!$A34),'State Map'!$A:$A,0))="Max Ambition",Schedules!U$7,X34),X34)</f>
        <v>1</v>
      </c>
      <c r="Z34" s="39">
        <f>IFERROR(IF(INDEX('State Map'!$C:$C,MATCH(TRIM('RZSPbS-psgr-ldv'!$A34),'State Map'!$A:$A,0))="Max Ambition",Schedules!V$7,Y34),Y34)</f>
        <v>1</v>
      </c>
      <c r="AA34" s="39">
        <f>IFERROR(IF(INDEX('State Map'!$C:$C,MATCH(TRIM('RZSPbS-psgr-ldv'!$A34),'State Map'!$A:$A,0))="Max Ambition",Schedules!W$7,Z34),Z34)</f>
        <v>1</v>
      </c>
      <c r="AB34" s="39">
        <f>IFERROR(IF(INDEX('State Map'!$C:$C,MATCH(TRIM('RZSPbS-psgr-ldv'!$A34),'State Map'!$A:$A,0))="Max Ambition",Schedules!X$7,AA34),AA34)</f>
        <v>1</v>
      </c>
      <c r="AC34" s="39">
        <f>IFERROR(IF(INDEX('State Map'!$C:$C,MATCH(TRIM('RZSPbS-psgr-ldv'!$A34),'State Map'!$A:$A,0))="Max Ambition",Schedules!Y$7,AB34),AB34)</f>
        <v>1</v>
      </c>
      <c r="AD34" s="39">
        <f>IFERROR(IF(INDEX('State Map'!$C:$C,MATCH(TRIM('RZSPbS-psgr-ldv'!$A34),'State Map'!$A:$A,0))="Max Ambition",Schedules!Z$7,AC34),AC34)</f>
        <v>1</v>
      </c>
      <c r="AE34" s="39">
        <f>IFERROR(IF(INDEX('State Map'!$C:$C,MATCH(TRIM('RZSPbS-psgr-ldv'!$A34),'State Map'!$A:$A,0))="Max Ambition",Schedules!AA$7,AD34),AD34)</f>
        <v>1</v>
      </c>
      <c r="AF34" s="39">
        <f>IFERROR(IF(INDEX('State Map'!$C:$C,MATCH(TRIM('RZSPbS-psgr-ldv'!$A34),'State Map'!$A:$A,0))="Max Ambition",Schedules!AB$7,AE34),AE34)</f>
        <v>1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39">
        <f>IFERROR(IF(INDEX('State Map'!$C:$C,MATCH(TRIM('RZSPbS-psgr-ldv'!$A35),'State Map'!$A:$A,0))="Max Ambition",Schedules!G$7,J35),J35)</f>
        <v>0</v>
      </c>
      <c r="L35" s="39">
        <f>IFERROR(IF(INDEX('State Map'!$C:$C,MATCH(TRIM('RZSPbS-psgr-ldv'!$A35),'State Map'!$A:$A,0))="Max Ambition",Schedules!H$7,K35),K35)</f>
        <v>0</v>
      </c>
      <c r="M35" s="39">
        <f>IFERROR(IF(INDEX('State Map'!$C:$C,MATCH(TRIM('RZSPbS-psgr-ldv'!$A35),'State Map'!$A:$A,0))="Max Ambition",Schedules!I$7,L35),L35)</f>
        <v>0</v>
      </c>
      <c r="N35" s="39">
        <f>IFERROR(IF(INDEX('State Map'!$C:$C,MATCH(TRIM('RZSPbS-psgr-ldv'!$A35),'State Map'!$A:$A,0))="Max Ambition",Schedules!J$7,M35),M35)</f>
        <v>0</v>
      </c>
      <c r="O35" s="39">
        <f>IFERROR(IF(INDEX('State Map'!$C:$C,MATCH(TRIM('RZSPbS-psgr-ldv'!$A35),'State Map'!$A:$A,0))="Max Ambition",Schedules!K$7,N35),N35)</f>
        <v>0</v>
      </c>
      <c r="P35" s="39">
        <f>IFERROR(IF(INDEX('State Map'!$C:$C,MATCH(TRIM('RZSPbS-psgr-ldv'!$A35),'State Map'!$A:$A,0))="Max Ambition",Schedules!L$7,O35),O35)</f>
        <v>0</v>
      </c>
      <c r="Q35" s="39">
        <f>IFERROR(IF(INDEX('State Map'!$C:$C,MATCH(TRIM('RZSPbS-psgr-ldv'!$A35),'State Map'!$A:$A,0))="Max Ambition",Schedules!M$7,P35),P35)</f>
        <v>0</v>
      </c>
      <c r="R35" s="39">
        <f>IFERROR(IF(INDEX('State Map'!$C:$C,MATCH(TRIM('RZSPbS-psgr-ldv'!$A35),'State Map'!$A:$A,0))="Max Ambition",Schedules!N$7,Q35),Q35)</f>
        <v>0</v>
      </c>
      <c r="S35" s="39">
        <f>IFERROR(IF(INDEX('State Map'!$C:$C,MATCH(TRIM('RZSPbS-psgr-ldv'!$A35),'State Map'!$A:$A,0))="Max Ambition",Schedules!O$7,R35),R35)</f>
        <v>0</v>
      </c>
      <c r="T35" s="39">
        <f>IFERROR(IF(INDEX('State Map'!$C:$C,MATCH(TRIM('RZSPbS-psgr-ldv'!$A35),'State Map'!$A:$A,0))="Max Ambition",Schedules!P$7,S35),S35)</f>
        <v>0</v>
      </c>
      <c r="U35" s="39">
        <f>IFERROR(IF(INDEX('State Map'!$C:$C,MATCH(TRIM('RZSPbS-psgr-ldv'!$A35),'State Map'!$A:$A,0))="Max Ambition",Schedules!Q$7,T35),T35)</f>
        <v>0</v>
      </c>
      <c r="V35" s="39">
        <f>IFERROR(IF(INDEX('State Map'!$C:$C,MATCH(TRIM('RZSPbS-psgr-ldv'!$A35),'State Map'!$A:$A,0))="Max Ambition",Schedules!R$7,U35),U35)</f>
        <v>0</v>
      </c>
      <c r="W35" s="39">
        <f>IFERROR(IF(INDEX('State Map'!$C:$C,MATCH(TRIM('RZSPbS-psgr-ldv'!$A35),'State Map'!$A:$A,0))="Max Ambition",Schedules!S$7,V35),V35)</f>
        <v>0</v>
      </c>
      <c r="X35" s="39">
        <f>IFERROR(IF(INDEX('State Map'!$C:$C,MATCH(TRIM('RZSPbS-psgr-ldv'!$A35),'State Map'!$A:$A,0))="Max Ambition",Schedules!T$7,W35),W35)</f>
        <v>0</v>
      </c>
      <c r="Y35" s="39">
        <f>IFERROR(IF(INDEX('State Map'!$C:$C,MATCH(TRIM('RZSPbS-psgr-ldv'!$A35),'State Map'!$A:$A,0))="Max Ambition",Schedules!U$7,X35),X35)</f>
        <v>0</v>
      </c>
      <c r="Z35" s="39">
        <f>IFERROR(IF(INDEX('State Map'!$C:$C,MATCH(TRIM('RZSPbS-psgr-ldv'!$A35),'State Map'!$A:$A,0))="Max Ambition",Schedules!V$7,Y35),Y35)</f>
        <v>0</v>
      </c>
      <c r="AA35" s="39">
        <f>IFERROR(IF(INDEX('State Map'!$C:$C,MATCH(TRIM('RZSPbS-psgr-ldv'!$A35),'State Map'!$A:$A,0))="Max Ambition",Schedules!W$7,Z35),Z35)</f>
        <v>0</v>
      </c>
      <c r="AB35" s="39">
        <f>IFERROR(IF(INDEX('State Map'!$C:$C,MATCH(TRIM('RZSPbS-psgr-ldv'!$A35),'State Map'!$A:$A,0))="Max Ambition",Schedules!X$7,AA35),AA35)</f>
        <v>0</v>
      </c>
      <c r="AC35" s="39">
        <f>IFERROR(IF(INDEX('State Map'!$C:$C,MATCH(TRIM('RZSPbS-psgr-ldv'!$A35),'State Map'!$A:$A,0))="Max Ambition",Schedules!Y$7,AB35),AB35)</f>
        <v>0</v>
      </c>
      <c r="AD35" s="39">
        <f>IFERROR(IF(INDEX('State Map'!$C:$C,MATCH(TRIM('RZSPbS-psgr-ldv'!$A35),'State Map'!$A:$A,0))="Max Ambition",Schedules!Z$7,AC35),AC35)</f>
        <v>0</v>
      </c>
      <c r="AE35" s="39">
        <f>IFERROR(IF(INDEX('State Map'!$C:$C,MATCH(TRIM('RZSPbS-psgr-ldv'!$A35),'State Map'!$A:$A,0))="Max Ambition",Schedules!AA$7,AD35),AD35)</f>
        <v>0</v>
      </c>
      <c r="AF35" s="39">
        <f>IFERROR(IF(INDEX('State Map'!$C:$C,MATCH(TRIM('RZSPbS-psgr-ldv'!$A35),'State Map'!$A:$A,0))="Max Ambition",Schedules!AB$7,AE35),AE35)</f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39">
        <f>IFERROR(IF(INDEX('State Map'!$C:$C,MATCH(TRIM('RZSPbS-psgr-ldv'!$A36),'State Map'!$A:$A,0))="Max Ambition",Schedules!G$7,J36),J36)</f>
        <v>0</v>
      </c>
      <c r="L36" s="39">
        <f>IFERROR(IF(INDEX('State Map'!$C:$C,MATCH(TRIM('RZSPbS-psgr-ldv'!$A36),'State Map'!$A:$A,0))="Max Ambition",Schedules!H$7,K36),K36)</f>
        <v>0</v>
      </c>
      <c r="M36" s="39">
        <f>IFERROR(IF(INDEX('State Map'!$C:$C,MATCH(TRIM('RZSPbS-psgr-ldv'!$A36),'State Map'!$A:$A,0))="Max Ambition",Schedules!I$7,L36),L36)</f>
        <v>0</v>
      </c>
      <c r="N36" s="39">
        <f>IFERROR(IF(INDEX('State Map'!$C:$C,MATCH(TRIM('RZSPbS-psgr-ldv'!$A36),'State Map'!$A:$A,0))="Max Ambition",Schedules!J$7,M36),M36)</f>
        <v>0</v>
      </c>
      <c r="O36" s="39">
        <f>IFERROR(IF(INDEX('State Map'!$C:$C,MATCH(TRIM('RZSPbS-psgr-ldv'!$A36),'State Map'!$A:$A,0))="Max Ambition",Schedules!K$7,N36),N36)</f>
        <v>0</v>
      </c>
      <c r="P36" s="39">
        <f>IFERROR(IF(INDEX('State Map'!$C:$C,MATCH(TRIM('RZSPbS-psgr-ldv'!$A36),'State Map'!$A:$A,0))="Max Ambition",Schedules!L$7,O36),O36)</f>
        <v>0</v>
      </c>
      <c r="Q36" s="39">
        <f>IFERROR(IF(INDEX('State Map'!$C:$C,MATCH(TRIM('RZSPbS-psgr-ldv'!$A36),'State Map'!$A:$A,0))="Max Ambition",Schedules!M$7,P36),P36)</f>
        <v>0</v>
      </c>
      <c r="R36" s="39">
        <f>IFERROR(IF(INDEX('State Map'!$C:$C,MATCH(TRIM('RZSPbS-psgr-ldv'!$A36),'State Map'!$A:$A,0))="Max Ambition",Schedules!N$7,Q36),Q36)</f>
        <v>0</v>
      </c>
      <c r="S36" s="39">
        <f>IFERROR(IF(INDEX('State Map'!$C:$C,MATCH(TRIM('RZSPbS-psgr-ldv'!$A36),'State Map'!$A:$A,0))="Max Ambition",Schedules!O$7,R36),R36)</f>
        <v>0</v>
      </c>
      <c r="T36" s="39">
        <f>IFERROR(IF(INDEX('State Map'!$C:$C,MATCH(TRIM('RZSPbS-psgr-ldv'!$A36),'State Map'!$A:$A,0))="Max Ambition",Schedules!P$7,S36),S36)</f>
        <v>0</v>
      </c>
      <c r="U36" s="39">
        <f>IFERROR(IF(INDEX('State Map'!$C:$C,MATCH(TRIM('RZSPbS-psgr-ldv'!$A36),'State Map'!$A:$A,0))="Max Ambition",Schedules!Q$7,T36),T36)</f>
        <v>0</v>
      </c>
      <c r="V36" s="39">
        <f>IFERROR(IF(INDEX('State Map'!$C:$C,MATCH(TRIM('RZSPbS-psgr-ldv'!$A36),'State Map'!$A:$A,0))="Max Ambition",Schedules!R$7,U36),U36)</f>
        <v>0</v>
      </c>
      <c r="W36" s="39">
        <f>IFERROR(IF(INDEX('State Map'!$C:$C,MATCH(TRIM('RZSPbS-psgr-ldv'!$A36),'State Map'!$A:$A,0))="Max Ambition",Schedules!S$7,V36),V36)</f>
        <v>0</v>
      </c>
      <c r="X36" s="39">
        <f>IFERROR(IF(INDEX('State Map'!$C:$C,MATCH(TRIM('RZSPbS-psgr-ldv'!$A36),'State Map'!$A:$A,0))="Max Ambition",Schedules!T$7,W36),W36)</f>
        <v>0</v>
      </c>
      <c r="Y36" s="39">
        <f>IFERROR(IF(INDEX('State Map'!$C:$C,MATCH(TRIM('RZSPbS-psgr-ldv'!$A36),'State Map'!$A:$A,0))="Max Ambition",Schedules!U$7,X36),X36)</f>
        <v>0</v>
      </c>
      <c r="Z36" s="39">
        <f>IFERROR(IF(INDEX('State Map'!$C:$C,MATCH(TRIM('RZSPbS-psgr-ldv'!$A36),'State Map'!$A:$A,0))="Max Ambition",Schedules!V$7,Y36),Y36)</f>
        <v>0</v>
      </c>
      <c r="AA36" s="39">
        <f>IFERROR(IF(INDEX('State Map'!$C:$C,MATCH(TRIM('RZSPbS-psgr-ldv'!$A36),'State Map'!$A:$A,0))="Max Ambition",Schedules!W$7,Z36),Z36)</f>
        <v>0</v>
      </c>
      <c r="AB36" s="39">
        <f>IFERROR(IF(INDEX('State Map'!$C:$C,MATCH(TRIM('RZSPbS-psgr-ldv'!$A36),'State Map'!$A:$A,0))="Max Ambition",Schedules!X$7,AA36),AA36)</f>
        <v>0</v>
      </c>
      <c r="AC36" s="39">
        <f>IFERROR(IF(INDEX('State Map'!$C:$C,MATCH(TRIM('RZSPbS-psgr-ldv'!$A36),'State Map'!$A:$A,0))="Max Ambition",Schedules!Y$7,AB36),AB36)</f>
        <v>0</v>
      </c>
      <c r="AD36" s="39">
        <f>IFERROR(IF(INDEX('State Map'!$C:$C,MATCH(TRIM('RZSPbS-psgr-ldv'!$A36),'State Map'!$A:$A,0))="Max Ambition",Schedules!Z$7,AC36),AC36)</f>
        <v>0</v>
      </c>
      <c r="AE36" s="39">
        <f>IFERROR(IF(INDEX('State Map'!$C:$C,MATCH(TRIM('RZSPbS-psgr-ldv'!$A36),'State Map'!$A:$A,0))="Max Ambition",Schedules!AA$7,AD36),AD36)</f>
        <v>0</v>
      </c>
      <c r="AF36" s="39">
        <f>IFERROR(IF(INDEX('State Map'!$C:$C,MATCH(TRIM('RZSPbS-psgr-ldv'!$A36),'State Map'!$A:$A,0))="Max Ambition",Schedules!AB$7,AE36),AE36)</f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39">
        <f>IFERROR(IF(INDEX('State Map'!$C:$C,MATCH(TRIM('RZSPbS-psgr-ldv'!$A37),'State Map'!$A:$A,0))="Max Ambition",Schedules!G$7,J37),J37)</f>
        <v>0</v>
      </c>
      <c r="L37" s="39">
        <f>IFERROR(IF(INDEX('State Map'!$C:$C,MATCH(TRIM('RZSPbS-psgr-ldv'!$A37),'State Map'!$A:$A,0))="Max Ambition",Schedules!H$7,K37),K37)</f>
        <v>0</v>
      </c>
      <c r="M37" s="39">
        <f>IFERROR(IF(INDEX('State Map'!$C:$C,MATCH(TRIM('RZSPbS-psgr-ldv'!$A37),'State Map'!$A:$A,0))="Max Ambition",Schedules!I$7,L37),L37)</f>
        <v>0</v>
      </c>
      <c r="N37" s="39">
        <f>IFERROR(IF(INDEX('State Map'!$C:$C,MATCH(TRIM('RZSPbS-psgr-ldv'!$A37),'State Map'!$A:$A,0))="Max Ambition",Schedules!J$7,M37),M37)</f>
        <v>0</v>
      </c>
      <c r="O37" s="39">
        <f>IFERROR(IF(INDEX('State Map'!$C:$C,MATCH(TRIM('RZSPbS-psgr-ldv'!$A37),'State Map'!$A:$A,0))="Max Ambition",Schedules!K$7,N37),N37)</f>
        <v>0</v>
      </c>
      <c r="P37" s="39">
        <f>IFERROR(IF(INDEX('State Map'!$C:$C,MATCH(TRIM('RZSPbS-psgr-ldv'!$A37),'State Map'!$A:$A,0))="Max Ambition",Schedules!L$7,O37),O37)</f>
        <v>0</v>
      </c>
      <c r="Q37" s="39">
        <f>IFERROR(IF(INDEX('State Map'!$C:$C,MATCH(TRIM('RZSPbS-psgr-ldv'!$A37),'State Map'!$A:$A,0))="Max Ambition",Schedules!M$7,P37),P37)</f>
        <v>0</v>
      </c>
      <c r="R37" s="39">
        <f>IFERROR(IF(INDEX('State Map'!$C:$C,MATCH(TRIM('RZSPbS-psgr-ldv'!$A37),'State Map'!$A:$A,0))="Max Ambition",Schedules!N$7,Q37),Q37)</f>
        <v>0</v>
      </c>
      <c r="S37" s="39">
        <f>IFERROR(IF(INDEX('State Map'!$C:$C,MATCH(TRIM('RZSPbS-psgr-ldv'!$A37),'State Map'!$A:$A,0))="Max Ambition",Schedules!O$7,R37),R37)</f>
        <v>0</v>
      </c>
      <c r="T37" s="39">
        <f>IFERROR(IF(INDEX('State Map'!$C:$C,MATCH(TRIM('RZSPbS-psgr-ldv'!$A37),'State Map'!$A:$A,0))="Max Ambition",Schedules!P$7,S37),S37)</f>
        <v>0</v>
      </c>
      <c r="U37" s="39">
        <f>IFERROR(IF(INDEX('State Map'!$C:$C,MATCH(TRIM('RZSPbS-psgr-ldv'!$A37),'State Map'!$A:$A,0))="Max Ambition",Schedules!Q$7,T37),T37)</f>
        <v>0</v>
      </c>
      <c r="V37" s="39">
        <f>IFERROR(IF(INDEX('State Map'!$C:$C,MATCH(TRIM('RZSPbS-psgr-ldv'!$A37),'State Map'!$A:$A,0))="Max Ambition",Schedules!R$7,U37),U37)</f>
        <v>0</v>
      </c>
      <c r="W37" s="39">
        <f>IFERROR(IF(INDEX('State Map'!$C:$C,MATCH(TRIM('RZSPbS-psgr-ldv'!$A37),'State Map'!$A:$A,0))="Max Ambition",Schedules!S$7,V37),V37)</f>
        <v>0</v>
      </c>
      <c r="X37" s="39">
        <f>IFERROR(IF(INDEX('State Map'!$C:$C,MATCH(TRIM('RZSPbS-psgr-ldv'!$A37),'State Map'!$A:$A,0))="Max Ambition",Schedules!T$7,W37),W37)</f>
        <v>0</v>
      </c>
      <c r="Y37" s="39">
        <f>IFERROR(IF(INDEX('State Map'!$C:$C,MATCH(TRIM('RZSPbS-psgr-ldv'!$A37),'State Map'!$A:$A,0))="Max Ambition",Schedules!U$7,X37),X37)</f>
        <v>0</v>
      </c>
      <c r="Z37" s="39">
        <f>IFERROR(IF(INDEX('State Map'!$C:$C,MATCH(TRIM('RZSPbS-psgr-ldv'!$A37),'State Map'!$A:$A,0))="Max Ambition",Schedules!V$7,Y37),Y37)</f>
        <v>0</v>
      </c>
      <c r="AA37" s="39">
        <f>IFERROR(IF(INDEX('State Map'!$C:$C,MATCH(TRIM('RZSPbS-psgr-ldv'!$A37),'State Map'!$A:$A,0))="Max Ambition",Schedules!W$7,Z37),Z37)</f>
        <v>0</v>
      </c>
      <c r="AB37" s="39">
        <f>IFERROR(IF(INDEX('State Map'!$C:$C,MATCH(TRIM('RZSPbS-psgr-ldv'!$A37),'State Map'!$A:$A,0))="Max Ambition",Schedules!X$7,AA37),AA37)</f>
        <v>0</v>
      </c>
      <c r="AC37" s="39">
        <f>IFERROR(IF(INDEX('State Map'!$C:$C,MATCH(TRIM('RZSPbS-psgr-ldv'!$A37),'State Map'!$A:$A,0))="Max Ambition",Schedules!Y$7,AB37),AB37)</f>
        <v>0</v>
      </c>
      <c r="AD37" s="39">
        <f>IFERROR(IF(INDEX('State Map'!$C:$C,MATCH(TRIM('RZSPbS-psgr-ldv'!$A37),'State Map'!$A:$A,0))="Max Ambition",Schedules!Z$7,AC37),AC37)</f>
        <v>0</v>
      </c>
      <c r="AE37" s="39">
        <f>IFERROR(IF(INDEX('State Map'!$C:$C,MATCH(TRIM('RZSPbS-psgr-ldv'!$A37),'State Map'!$A:$A,0))="Max Ambition",Schedules!AA$7,AD37),AD37)</f>
        <v>0</v>
      </c>
      <c r="AF37" s="39">
        <f>IFERROR(IF(INDEX('State Map'!$C:$C,MATCH(TRIM('RZSPbS-psgr-ldv'!$A37),'State Map'!$A:$A,0))="Max Ambition",Schedules!AB$7,AE37),AE37)</f>
        <v>0</v>
      </c>
    </row>
    <row r="38" spans="1:32" x14ac:dyDescent="0.2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39">
        <f>IFERROR(IF(INDEX('State Map'!$C:$C,MATCH(TRIM('RZSPbS-psgr-ldv'!$A38),'State Map'!$A:$A,0))="Max Ambition",Schedules!G$7,J38),J38)</f>
        <v>0</v>
      </c>
      <c r="L38" s="39">
        <f>IFERROR(IF(INDEX('State Map'!$C:$C,MATCH(TRIM('RZSPbS-psgr-ldv'!$A38),'State Map'!$A:$A,0))="Max Ambition",Schedules!H$7,K38),K38)</f>
        <v>0</v>
      </c>
      <c r="M38" s="39">
        <f>IFERROR(IF(INDEX('State Map'!$C:$C,MATCH(TRIM('RZSPbS-psgr-ldv'!$A38),'State Map'!$A:$A,0))="Max Ambition",Schedules!I$7,L38),L38)</f>
        <v>0</v>
      </c>
      <c r="N38" s="39">
        <f>IFERROR(IF(INDEX('State Map'!$C:$C,MATCH(TRIM('RZSPbS-psgr-ldv'!$A38),'State Map'!$A:$A,0))="Max Ambition",Schedules!J$7,M38),M38)</f>
        <v>0</v>
      </c>
      <c r="O38" s="39">
        <f>IFERROR(IF(INDEX('State Map'!$C:$C,MATCH(TRIM('RZSPbS-psgr-ldv'!$A38),'State Map'!$A:$A,0))="Max Ambition",Schedules!K$7,N38),N38)</f>
        <v>0</v>
      </c>
      <c r="P38" s="39">
        <f>IFERROR(IF(INDEX('State Map'!$C:$C,MATCH(TRIM('RZSPbS-psgr-ldv'!$A38),'State Map'!$A:$A,0))="Max Ambition",Schedules!L$7,O38),O38)</f>
        <v>0</v>
      </c>
      <c r="Q38" s="39">
        <f>IFERROR(IF(INDEX('State Map'!$C:$C,MATCH(TRIM('RZSPbS-psgr-ldv'!$A38),'State Map'!$A:$A,0))="Max Ambition",Schedules!M$7,P38),P38)</f>
        <v>0</v>
      </c>
      <c r="R38" s="39">
        <f>IFERROR(IF(INDEX('State Map'!$C:$C,MATCH(TRIM('RZSPbS-psgr-ldv'!$A38),'State Map'!$A:$A,0))="Max Ambition",Schedules!N$7,Q38),Q38)</f>
        <v>0</v>
      </c>
      <c r="S38" s="39">
        <f>IFERROR(IF(INDEX('State Map'!$C:$C,MATCH(TRIM('RZSPbS-psgr-ldv'!$A38),'State Map'!$A:$A,0))="Max Ambition",Schedules!O$7,R38),R38)</f>
        <v>0</v>
      </c>
      <c r="T38" s="39">
        <f>IFERROR(IF(INDEX('State Map'!$C:$C,MATCH(TRIM('RZSPbS-psgr-ldv'!$A38),'State Map'!$A:$A,0))="Max Ambition",Schedules!P$7,S38),S38)</f>
        <v>0</v>
      </c>
      <c r="U38" s="39">
        <f>IFERROR(IF(INDEX('State Map'!$C:$C,MATCH(TRIM('RZSPbS-psgr-ldv'!$A38),'State Map'!$A:$A,0))="Max Ambition",Schedules!Q$7,T38),T38)</f>
        <v>0</v>
      </c>
      <c r="V38" s="39">
        <f>IFERROR(IF(INDEX('State Map'!$C:$C,MATCH(TRIM('RZSPbS-psgr-ldv'!$A38),'State Map'!$A:$A,0))="Max Ambition",Schedules!R$7,U38),U38)</f>
        <v>0</v>
      </c>
      <c r="W38" s="39">
        <f>IFERROR(IF(INDEX('State Map'!$C:$C,MATCH(TRIM('RZSPbS-psgr-ldv'!$A38),'State Map'!$A:$A,0))="Max Ambition",Schedules!S$7,V38),V38)</f>
        <v>0</v>
      </c>
      <c r="X38" s="39">
        <f>IFERROR(IF(INDEX('State Map'!$C:$C,MATCH(TRIM('RZSPbS-psgr-ldv'!$A38),'State Map'!$A:$A,0))="Max Ambition",Schedules!T$7,W38),W38)</f>
        <v>0</v>
      </c>
      <c r="Y38" s="39">
        <f>IFERROR(IF(INDEX('State Map'!$C:$C,MATCH(TRIM('RZSPbS-psgr-ldv'!$A38),'State Map'!$A:$A,0))="Max Ambition",Schedules!U$7,X38),X38)</f>
        <v>0</v>
      </c>
      <c r="Z38" s="39">
        <f>IFERROR(IF(INDEX('State Map'!$C:$C,MATCH(TRIM('RZSPbS-psgr-ldv'!$A38),'State Map'!$A:$A,0))="Max Ambition",Schedules!V$7,Y38),Y38)</f>
        <v>0</v>
      </c>
      <c r="AA38" s="39">
        <f>IFERROR(IF(INDEX('State Map'!$C:$C,MATCH(TRIM('RZSPbS-psgr-ldv'!$A38),'State Map'!$A:$A,0))="Max Ambition",Schedules!W$7,Z38),Z38)</f>
        <v>0</v>
      </c>
      <c r="AB38" s="39">
        <f>IFERROR(IF(INDEX('State Map'!$C:$C,MATCH(TRIM('RZSPbS-psgr-ldv'!$A38),'State Map'!$A:$A,0))="Max Ambition",Schedules!X$7,AA38),AA38)</f>
        <v>0</v>
      </c>
      <c r="AC38" s="39">
        <f>IFERROR(IF(INDEX('State Map'!$C:$C,MATCH(TRIM('RZSPbS-psgr-ldv'!$A38),'State Map'!$A:$A,0))="Max Ambition",Schedules!Y$7,AB38),AB38)</f>
        <v>0</v>
      </c>
      <c r="AD38" s="39">
        <f>IFERROR(IF(INDEX('State Map'!$C:$C,MATCH(TRIM('RZSPbS-psgr-ldv'!$A38),'State Map'!$A:$A,0))="Max Ambition",Schedules!Z$7,AC38),AC38)</f>
        <v>0</v>
      </c>
      <c r="AE38" s="39">
        <f>IFERROR(IF(INDEX('State Map'!$C:$C,MATCH(TRIM('RZSPbS-psgr-ldv'!$A38),'State Map'!$A:$A,0))="Max Ambition",Schedules!AA$7,AD38),AD38)</f>
        <v>0</v>
      </c>
      <c r="AF38" s="39">
        <f>IFERROR(IF(INDEX('State Map'!$C:$C,MATCH(TRIM('RZSPbS-psgr-ldv'!$A38),'State Map'!$A:$A,0))="Max Ambition",Schedules!AB$7,AE38),AE38)</f>
        <v>0</v>
      </c>
    </row>
    <row r="39" spans="1:32" x14ac:dyDescent="0.25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39">
        <f>IFERROR(IF(INDEX('State Map'!$C:$C,MATCH(TRIM('RZSPbS-psgr-ldv'!$A39),'State Map'!$A:$A,0))="Max Ambition",Schedules!G$7,J39),J39)</f>
        <v>0.2</v>
      </c>
      <c r="L39" s="39">
        <f>IFERROR(IF(INDEX('State Map'!$C:$C,MATCH(TRIM('RZSPbS-psgr-ldv'!$A39),'State Map'!$A:$A,0))="Max Ambition",Schedules!H$7,K39),K39)</f>
        <v>0.25</v>
      </c>
      <c r="M39" s="39">
        <f>IFERROR(IF(INDEX('State Map'!$C:$C,MATCH(TRIM('RZSPbS-psgr-ldv'!$A39),'State Map'!$A:$A,0))="Max Ambition",Schedules!I$7,L39),L39)</f>
        <v>0.3</v>
      </c>
      <c r="N39" s="39">
        <f>IFERROR(IF(INDEX('State Map'!$C:$C,MATCH(TRIM('RZSPbS-psgr-ldv'!$A39),'State Map'!$A:$A,0))="Max Ambition",Schedules!J$7,M39),M39)</f>
        <v>0.38</v>
      </c>
      <c r="O39" s="39">
        <f>IFERROR(IF(INDEX('State Map'!$C:$C,MATCH(TRIM('RZSPbS-psgr-ldv'!$A39),'State Map'!$A:$A,0))="Max Ambition",Schedules!K$7,N39),N39)</f>
        <v>0.46</v>
      </c>
      <c r="P39" s="39">
        <f>IFERROR(IF(INDEX('State Map'!$C:$C,MATCH(TRIM('RZSPbS-psgr-ldv'!$A39),'State Map'!$A:$A,0))="Max Ambition",Schedules!L$7,O39),O39)</f>
        <v>0.51400000000000001</v>
      </c>
      <c r="Q39" s="39">
        <f>IFERROR(IF(INDEX('State Map'!$C:$C,MATCH(TRIM('RZSPbS-psgr-ldv'!$A39),'State Map'!$A:$A,0))="Max Ambition",Schedules!M$7,P39),P39)</f>
        <v>0.56799999999999995</v>
      </c>
      <c r="R39" s="39">
        <f>IFERROR(IF(INDEX('State Map'!$C:$C,MATCH(TRIM('RZSPbS-psgr-ldv'!$A39),'State Map'!$A:$A,0))="Max Ambition",Schedules!N$7,Q39),Q39)</f>
        <v>0.622</v>
      </c>
      <c r="S39" s="39">
        <f>IFERROR(IF(INDEX('State Map'!$C:$C,MATCH(TRIM('RZSPbS-psgr-ldv'!$A39),'State Map'!$A:$A,0))="Max Ambition",Schedules!O$7,R39),R39)</f>
        <v>0.67600000000000005</v>
      </c>
      <c r="T39" s="39">
        <f>IFERROR(IF(INDEX('State Map'!$C:$C,MATCH(TRIM('RZSPbS-psgr-ldv'!$A39),'State Map'!$A:$A,0))="Max Ambition",Schedules!P$7,S39),S39)</f>
        <v>0.73</v>
      </c>
      <c r="U39" s="39">
        <f>IFERROR(IF(INDEX('State Map'!$C:$C,MATCH(TRIM('RZSPbS-psgr-ldv'!$A39),'State Map'!$A:$A,0))="Max Ambition",Schedules!Q$7,T39),T39)</f>
        <v>0.78400000000000003</v>
      </c>
      <c r="V39" s="39">
        <f>IFERROR(IF(INDEX('State Map'!$C:$C,MATCH(TRIM('RZSPbS-psgr-ldv'!$A39),'State Map'!$A:$A,0))="Max Ambition",Schedules!R$7,U39),U39)</f>
        <v>0.83799999999999997</v>
      </c>
      <c r="W39" s="39">
        <f>IFERROR(IF(INDEX('State Map'!$C:$C,MATCH(TRIM('RZSPbS-psgr-ldv'!$A39),'State Map'!$A:$A,0))="Max Ambition",Schedules!S$7,V39),V39)</f>
        <v>0.89200000000000002</v>
      </c>
      <c r="X39" s="39">
        <f>IFERROR(IF(INDEX('State Map'!$C:$C,MATCH(TRIM('RZSPbS-psgr-ldv'!$A39),'State Map'!$A:$A,0))="Max Ambition",Schedules!T$7,W39),W39)</f>
        <v>0.94599999999999995</v>
      </c>
      <c r="Y39" s="39">
        <f>IFERROR(IF(INDEX('State Map'!$C:$C,MATCH(TRIM('RZSPbS-psgr-ldv'!$A39),'State Map'!$A:$A,0))="Max Ambition",Schedules!U$7,X39),X39)</f>
        <v>1</v>
      </c>
      <c r="Z39" s="39">
        <f>IFERROR(IF(INDEX('State Map'!$C:$C,MATCH(TRIM('RZSPbS-psgr-ldv'!$A39),'State Map'!$A:$A,0))="Max Ambition",Schedules!V$7,Y39),Y39)</f>
        <v>1</v>
      </c>
      <c r="AA39" s="39">
        <f>IFERROR(IF(INDEX('State Map'!$C:$C,MATCH(TRIM('RZSPbS-psgr-ldv'!$A39),'State Map'!$A:$A,0))="Max Ambition",Schedules!W$7,Z39),Z39)</f>
        <v>1</v>
      </c>
      <c r="AB39" s="39">
        <f>IFERROR(IF(INDEX('State Map'!$C:$C,MATCH(TRIM('RZSPbS-psgr-ldv'!$A39),'State Map'!$A:$A,0))="Max Ambition",Schedules!X$7,AA39),AA39)</f>
        <v>1</v>
      </c>
      <c r="AC39" s="39">
        <f>IFERROR(IF(INDEX('State Map'!$C:$C,MATCH(TRIM('RZSPbS-psgr-ldv'!$A39),'State Map'!$A:$A,0))="Max Ambition",Schedules!Y$7,AB39),AB39)</f>
        <v>1</v>
      </c>
      <c r="AD39" s="39">
        <f>IFERROR(IF(INDEX('State Map'!$C:$C,MATCH(TRIM('RZSPbS-psgr-ldv'!$A39),'State Map'!$A:$A,0))="Max Ambition",Schedules!Z$7,AC39),AC39)</f>
        <v>1</v>
      </c>
      <c r="AE39" s="39">
        <f>IFERROR(IF(INDEX('State Map'!$C:$C,MATCH(TRIM('RZSPbS-psgr-ldv'!$A39),'State Map'!$A:$A,0))="Max Ambition",Schedules!AA$7,AD39),AD39)</f>
        <v>1</v>
      </c>
      <c r="AF39" s="39">
        <f>IFERROR(IF(INDEX('State Map'!$C:$C,MATCH(TRIM('RZSPbS-psgr-ldv'!$A39),'State Map'!$A:$A,0))="Max Ambition",Schedules!AB$7,AE39),AE39)</f>
        <v>1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39">
        <f>IFERROR(IF(INDEX('State Map'!$C:$C,MATCH(TRIM('RZSPbS-psgr-ldv'!$A40),'State Map'!$A:$A,0))="Max Ambition",Schedules!G$7,J40),J40)</f>
        <v>0</v>
      </c>
      <c r="L40" s="39">
        <f>IFERROR(IF(INDEX('State Map'!$C:$C,MATCH(TRIM('RZSPbS-psgr-ldv'!$A40),'State Map'!$A:$A,0))="Max Ambition",Schedules!H$7,K40),K40)</f>
        <v>0</v>
      </c>
      <c r="M40" s="39">
        <f>IFERROR(IF(INDEX('State Map'!$C:$C,MATCH(TRIM('RZSPbS-psgr-ldv'!$A40),'State Map'!$A:$A,0))="Max Ambition",Schedules!I$7,L40),L40)</f>
        <v>0</v>
      </c>
      <c r="N40" s="39">
        <f>IFERROR(IF(INDEX('State Map'!$C:$C,MATCH(TRIM('RZSPbS-psgr-ldv'!$A40),'State Map'!$A:$A,0))="Max Ambition",Schedules!J$7,M40),M40)</f>
        <v>0</v>
      </c>
      <c r="O40" s="39">
        <f>IFERROR(IF(INDEX('State Map'!$C:$C,MATCH(TRIM('RZSPbS-psgr-ldv'!$A40),'State Map'!$A:$A,0))="Max Ambition",Schedules!K$7,N40),N40)</f>
        <v>0</v>
      </c>
      <c r="P40" s="39">
        <f>IFERROR(IF(INDEX('State Map'!$C:$C,MATCH(TRIM('RZSPbS-psgr-ldv'!$A40),'State Map'!$A:$A,0))="Max Ambition",Schedules!L$7,O40),O40)</f>
        <v>0</v>
      </c>
      <c r="Q40" s="39">
        <f>IFERROR(IF(INDEX('State Map'!$C:$C,MATCH(TRIM('RZSPbS-psgr-ldv'!$A40),'State Map'!$A:$A,0))="Max Ambition",Schedules!M$7,P40),P40)</f>
        <v>0</v>
      </c>
      <c r="R40" s="39">
        <f>IFERROR(IF(INDEX('State Map'!$C:$C,MATCH(TRIM('RZSPbS-psgr-ldv'!$A40),'State Map'!$A:$A,0))="Max Ambition",Schedules!N$7,Q40),Q40)</f>
        <v>0</v>
      </c>
      <c r="S40" s="39">
        <f>IFERROR(IF(INDEX('State Map'!$C:$C,MATCH(TRIM('RZSPbS-psgr-ldv'!$A40),'State Map'!$A:$A,0))="Max Ambition",Schedules!O$7,R40),R40)</f>
        <v>0</v>
      </c>
      <c r="T40" s="39">
        <f>IFERROR(IF(INDEX('State Map'!$C:$C,MATCH(TRIM('RZSPbS-psgr-ldv'!$A40),'State Map'!$A:$A,0))="Max Ambition",Schedules!P$7,S40),S40)</f>
        <v>0</v>
      </c>
      <c r="U40" s="39">
        <f>IFERROR(IF(INDEX('State Map'!$C:$C,MATCH(TRIM('RZSPbS-psgr-ldv'!$A40),'State Map'!$A:$A,0))="Max Ambition",Schedules!Q$7,T40),T40)</f>
        <v>0</v>
      </c>
      <c r="V40" s="39">
        <f>IFERROR(IF(INDEX('State Map'!$C:$C,MATCH(TRIM('RZSPbS-psgr-ldv'!$A40),'State Map'!$A:$A,0))="Max Ambition",Schedules!R$7,U40),U40)</f>
        <v>0</v>
      </c>
      <c r="W40" s="39">
        <f>IFERROR(IF(INDEX('State Map'!$C:$C,MATCH(TRIM('RZSPbS-psgr-ldv'!$A40),'State Map'!$A:$A,0))="Max Ambition",Schedules!S$7,V40),V40)</f>
        <v>0</v>
      </c>
      <c r="X40" s="39">
        <f>IFERROR(IF(INDEX('State Map'!$C:$C,MATCH(TRIM('RZSPbS-psgr-ldv'!$A40),'State Map'!$A:$A,0))="Max Ambition",Schedules!T$7,W40),W40)</f>
        <v>0</v>
      </c>
      <c r="Y40" s="39">
        <f>IFERROR(IF(INDEX('State Map'!$C:$C,MATCH(TRIM('RZSPbS-psgr-ldv'!$A40),'State Map'!$A:$A,0))="Max Ambition",Schedules!U$7,X40),X40)</f>
        <v>0</v>
      </c>
      <c r="Z40" s="39">
        <f>IFERROR(IF(INDEX('State Map'!$C:$C,MATCH(TRIM('RZSPbS-psgr-ldv'!$A40),'State Map'!$A:$A,0))="Max Ambition",Schedules!V$7,Y40),Y40)</f>
        <v>0</v>
      </c>
      <c r="AA40" s="39">
        <f>IFERROR(IF(INDEX('State Map'!$C:$C,MATCH(TRIM('RZSPbS-psgr-ldv'!$A40),'State Map'!$A:$A,0))="Max Ambition",Schedules!W$7,Z40),Z40)</f>
        <v>0</v>
      </c>
      <c r="AB40" s="39">
        <f>IFERROR(IF(INDEX('State Map'!$C:$C,MATCH(TRIM('RZSPbS-psgr-ldv'!$A40),'State Map'!$A:$A,0))="Max Ambition",Schedules!X$7,AA40),AA40)</f>
        <v>0</v>
      </c>
      <c r="AC40" s="39">
        <f>IFERROR(IF(INDEX('State Map'!$C:$C,MATCH(TRIM('RZSPbS-psgr-ldv'!$A40),'State Map'!$A:$A,0))="Max Ambition",Schedules!Y$7,AB40),AB40)</f>
        <v>0</v>
      </c>
      <c r="AD40" s="39">
        <f>IFERROR(IF(INDEX('State Map'!$C:$C,MATCH(TRIM('RZSPbS-psgr-ldv'!$A40),'State Map'!$A:$A,0))="Max Ambition",Schedules!Z$7,AC40),AC40)</f>
        <v>0</v>
      </c>
      <c r="AE40" s="39">
        <f>IFERROR(IF(INDEX('State Map'!$C:$C,MATCH(TRIM('RZSPbS-psgr-ldv'!$A40),'State Map'!$A:$A,0))="Max Ambition",Schedules!AA$7,AD40),AD40)</f>
        <v>0</v>
      </c>
      <c r="AF40" s="39">
        <f>IFERROR(IF(INDEX('State Map'!$C:$C,MATCH(TRIM('RZSPbS-psgr-ldv'!$A40),'State Map'!$A:$A,0))="Max Ambition",Schedules!AB$7,AE40),AE40)</f>
        <v>0</v>
      </c>
    </row>
    <row r="41" spans="1:32" x14ac:dyDescent="0.2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39">
        <f>IFERROR(IF(INDEX('State Map'!$C:$C,MATCH(TRIM('RZSPbS-psgr-ldv'!$A41),'State Map'!$A:$A,0))="Max Ambition",Schedules!G$7,J41),J41)</f>
        <v>0.2</v>
      </c>
      <c r="L41" s="39">
        <f>IFERROR(IF(INDEX('State Map'!$C:$C,MATCH(TRIM('RZSPbS-psgr-ldv'!$A41),'State Map'!$A:$A,0))="Max Ambition",Schedules!H$7,K41),K41)</f>
        <v>0.25</v>
      </c>
      <c r="M41" s="39">
        <f>IFERROR(IF(INDEX('State Map'!$C:$C,MATCH(TRIM('RZSPbS-psgr-ldv'!$A41),'State Map'!$A:$A,0))="Max Ambition",Schedules!I$7,L41),L41)</f>
        <v>0.3</v>
      </c>
      <c r="N41" s="39">
        <f>IFERROR(IF(INDEX('State Map'!$C:$C,MATCH(TRIM('RZSPbS-psgr-ldv'!$A41),'State Map'!$A:$A,0))="Max Ambition",Schedules!J$7,M41),M41)</f>
        <v>0.38</v>
      </c>
      <c r="O41" s="39">
        <f>IFERROR(IF(INDEX('State Map'!$C:$C,MATCH(TRIM('RZSPbS-psgr-ldv'!$A41),'State Map'!$A:$A,0))="Max Ambition",Schedules!K$7,N41),N41)</f>
        <v>0.46</v>
      </c>
      <c r="P41" s="39">
        <f>IFERROR(IF(INDEX('State Map'!$C:$C,MATCH(TRIM('RZSPbS-psgr-ldv'!$A41),'State Map'!$A:$A,0))="Max Ambition",Schedules!L$7,O41),O41)</f>
        <v>0.51400000000000001</v>
      </c>
      <c r="Q41" s="39">
        <f>IFERROR(IF(INDEX('State Map'!$C:$C,MATCH(TRIM('RZSPbS-psgr-ldv'!$A41),'State Map'!$A:$A,0))="Max Ambition",Schedules!M$7,P41),P41)</f>
        <v>0.56799999999999995</v>
      </c>
      <c r="R41" s="39">
        <f>IFERROR(IF(INDEX('State Map'!$C:$C,MATCH(TRIM('RZSPbS-psgr-ldv'!$A41),'State Map'!$A:$A,0))="Max Ambition",Schedules!N$7,Q41),Q41)</f>
        <v>0.622</v>
      </c>
      <c r="S41" s="39">
        <f>IFERROR(IF(INDEX('State Map'!$C:$C,MATCH(TRIM('RZSPbS-psgr-ldv'!$A41),'State Map'!$A:$A,0))="Max Ambition",Schedules!O$7,R41),R41)</f>
        <v>0.67600000000000005</v>
      </c>
      <c r="T41" s="39">
        <f>IFERROR(IF(INDEX('State Map'!$C:$C,MATCH(TRIM('RZSPbS-psgr-ldv'!$A41),'State Map'!$A:$A,0))="Max Ambition",Schedules!P$7,S41),S41)</f>
        <v>0.73</v>
      </c>
      <c r="U41" s="39">
        <f>IFERROR(IF(INDEX('State Map'!$C:$C,MATCH(TRIM('RZSPbS-psgr-ldv'!$A41),'State Map'!$A:$A,0))="Max Ambition",Schedules!Q$7,T41),T41)</f>
        <v>0.78400000000000003</v>
      </c>
      <c r="V41" s="39">
        <f>IFERROR(IF(INDEX('State Map'!$C:$C,MATCH(TRIM('RZSPbS-psgr-ldv'!$A41),'State Map'!$A:$A,0))="Max Ambition",Schedules!R$7,U41),U41)</f>
        <v>0.83799999999999997</v>
      </c>
      <c r="W41" s="39">
        <f>IFERROR(IF(INDEX('State Map'!$C:$C,MATCH(TRIM('RZSPbS-psgr-ldv'!$A41),'State Map'!$A:$A,0))="Max Ambition",Schedules!S$7,V41),V41)</f>
        <v>0.89200000000000002</v>
      </c>
      <c r="X41" s="39">
        <f>IFERROR(IF(INDEX('State Map'!$C:$C,MATCH(TRIM('RZSPbS-psgr-ldv'!$A41),'State Map'!$A:$A,0))="Max Ambition",Schedules!T$7,W41),W41)</f>
        <v>0.94599999999999995</v>
      </c>
      <c r="Y41" s="39">
        <f>IFERROR(IF(INDEX('State Map'!$C:$C,MATCH(TRIM('RZSPbS-psgr-ldv'!$A41),'State Map'!$A:$A,0))="Max Ambition",Schedules!U$7,X41),X41)</f>
        <v>1</v>
      </c>
      <c r="Z41" s="39">
        <f>IFERROR(IF(INDEX('State Map'!$C:$C,MATCH(TRIM('RZSPbS-psgr-ldv'!$A41),'State Map'!$A:$A,0))="Max Ambition",Schedules!V$7,Y41),Y41)</f>
        <v>1</v>
      </c>
      <c r="AA41" s="39">
        <f>IFERROR(IF(INDEX('State Map'!$C:$C,MATCH(TRIM('RZSPbS-psgr-ldv'!$A41),'State Map'!$A:$A,0))="Max Ambition",Schedules!W$7,Z41),Z41)</f>
        <v>1</v>
      </c>
      <c r="AB41" s="39">
        <f>IFERROR(IF(INDEX('State Map'!$C:$C,MATCH(TRIM('RZSPbS-psgr-ldv'!$A41),'State Map'!$A:$A,0))="Max Ambition",Schedules!X$7,AA41),AA41)</f>
        <v>1</v>
      </c>
      <c r="AC41" s="39">
        <f>IFERROR(IF(INDEX('State Map'!$C:$C,MATCH(TRIM('RZSPbS-psgr-ldv'!$A41),'State Map'!$A:$A,0))="Max Ambition",Schedules!Y$7,AB41),AB41)</f>
        <v>1</v>
      </c>
      <c r="AD41" s="39">
        <f>IFERROR(IF(INDEX('State Map'!$C:$C,MATCH(TRIM('RZSPbS-psgr-ldv'!$A41),'State Map'!$A:$A,0))="Max Ambition",Schedules!Z$7,AC41),AC41)</f>
        <v>1</v>
      </c>
      <c r="AE41" s="39">
        <f>IFERROR(IF(INDEX('State Map'!$C:$C,MATCH(TRIM('RZSPbS-psgr-ldv'!$A41),'State Map'!$A:$A,0))="Max Ambition",Schedules!AA$7,AD41),AD41)</f>
        <v>1</v>
      </c>
      <c r="AF41" s="39">
        <f>IFERROR(IF(INDEX('State Map'!$C:$C,MATCH(TRIM('RZSPbS-psgr-ldv'!$A41),'State Map'!$A:$A,0))="Max Ambition",Schedules!AB$7,AE41),AE41)</f>
        <v>1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39">
        <f>IFERROR(IF(INDEX('State Map'!$C:$C,MATCH(TRIM('RZSPbS-psgr-ldv'!$A42),'State Map'!$A:$A,0))="Max Ambition",Schedules!G$7,J42),J42)</f>
        <v>0</v>
      </c>
      <c r="L42" s="39">
        <f>IFERROR(IF(INDEX('State Map'!$C:$C,MATCH(TRIM('RZSPbS-psgr-ldv'!$A42),'State Map'!$A:$A,0))="Max Ambition",Schedules!H$7,K42),K42)</f>
        <v>0</v>
      </c>
      <c r="M42" s="39">
        <f>IFERROR(IF(INDEX('State Map'!$C:$C,MATCH(TRIM('RZSPbS-psgr-ldv'!$A42),'State Map'!$A:$A,0))="Max Ambition",Schedules!I$7,L42),L42)</f>
        <v>0</v>
      </c>
      <c r="N42" s="39">
        <f>IFERROR(IF(INDEX('State Map'!$C:$C,MATCH(TRIM('RZSPbS-psgr-ldv'!$A42),'State Map'!$A:$A,0))="Max Ambition",Schedules!J$7,M42),M42)</f>
        <v>0</v>
      </c>
      <c r="O42" s="39">
        <f>IFERROR(IF(INDEX('State Map'!$C:$C,MATCH(TRIM('RZSPbS-psgr-ldv'!$A42),'State Map'!$A:$A,0))="Max Ambition",Schedules!K$7,N42),N42)</f>
        <v>0</v>
      </c>
      <c r="P42" s="39">
        <f>IFERROR(IF(INDEX('State Map'!$C:$C,MATCH(TRIM('RZSPbS-psgr-ldv'!$A42),'State Map'!$A:$A,0))="Max Ambition",Schedules!L$7,O42),O42)</f>
        <v>0</v>
      </c>
      <c r="Q42" s="39">
        <f>IFERROR(IF(INDEX('State Map'!$C:$C,MATCH(TRIM('RZSPbS-psgr-ldv'!$A42),'State Map'!$A:$A,0))="Max Ambition",Schedules!M$7,P42),P42)</f>
        <v>0</v>
      </c>
      <c r="R42" s="39">
        <f>IFERROR(IF(INDEX('State Map'!$C:$C,MATCH(TRIM('RZSPbS-psgr-ldv'!$A42),'State Map'!$A:$A,0))="Max Ambition",Schedules!N$7,Q42),Q42)</f>
        <v>0</v>
      </c>
      <c r="S42" s="39">
        <f>IFERROR(IF(INDEX('State Map'!$C:$C,MATCH(TRIM('RZSPbS-psgr-ldv'!$A42),'State Map'!$A:$A,0))="Max Ambition",Schedules!O$7,R42),R42)</f>
        <v>0</v>
      </c>
      <c r="T42" s="39">
        <f>IFERROR(IF(INDEX('State Map'!$C:$C,MATCH(TRIM('RZSPbS-psgr-ldv'!$A42),'State Map'!$A:$A,0))="Max Ambition",Schedules!P$7,S42),S42)</f>
        <v>0</v>
      </c>
      <c r="U42" s="39">
        <f>IFERROR(IF(INDEX('State Map'!$C:$C,MATCH(TRIM('RZSPbS-psgr-ldv'!$A42),'State Map'!$A:$A,0))="Max Ambition",Schedules!Q$7,T42),T42)</f>
        <v>0</v>
      </c>
      <c r="V42" s="39">
        <f>IFERROR(IF(INDEX('State Map'!$C:$C,MATCH(TRIM('RZSPbS-psgr-ldv'!$A42),'State Map'!$A:$A,0))="Max Ambition",Schedules!R$7,U42),U42)</f>
        <v>0</v>
      </c>
      <c r="W42" s="39">
        <f>IFERROR(IF(INDEX('State Map'!$C:$C,MATCH(TRIM('RZSPbS-psgr-ldv'!$A42),'State Map'!$A:$A,0))="Max Ambition",Schedules!S$7,V42),V42)</f>
        <v>0</v>
      </c>
      <c r="X42" s="39">
        <f>IFERROR(IF(INDEX('State Map'!$C:$C,MATCH(TRIM('RZSPbS-psgr-ldv'!$A42),'State Map'!$A:$A,0))="Max Ambition",Schedules!T$7,W42),W42)</f>
        <v>0</v>
      </c>
      <c r="Y42" s="39">
        <f>IFERROR(IF(INDEX('State Map'!$C:$C,MATCH(TRIM('RZSPbS-psgr-ldv'!$A42),'State Map'!$A:$A,0))="Max Ambition",Schedules!U$7,X42),X42)</f>
        <v>0</v>
      </c>
      <c r="Z42" s="39">
        <f>IFERROR(IF(INDEX('State Map'!$C:$C,MATCH(TRIM('RZSPbS-psgr-ldv'!$A42),'State Map'!$A:$A,0))="Max Ambition",Schedules!V$7,Y42),Y42)</f>
        <v>0</v>
      </c>
      <c r="AA42" s="39">
        <f>IFERROR(IF(INDEX('State Map'!$C:$C,MATCH(TRIM('RZSPbS-psgr-ldv'!$A42),'State Map'!$A:$A,0))="Max Ambition",Schedules!W$7,Z42),Z42)</f>
        <v>0</v>
      </c>
      <c r="AB42" s="39">
        <f>IFERROR(IF(INDEX('State Map'!$C:$C,MATCH(TRIM('RZSPbS-psgr-ldv'!$A42),'State Map'!$A:$A,0))="Max Ambition",Schedules!X$7,AA42),AA42)</f>
        <v>0</v>
      </c>
      <c r="AC42" s="39">
        <f>IFERROR(IF(INDEX('State Map'!$C:$C,MATCH(TRIM('RZSPbS-psgr-ldv'!$A42),'State Map'!$A:$A,0))="Max Ambition",Schedules!Y$7,AB42),AB42)</f>
        <v>0</v>
      </c>
      <c r="AD42" s="39">
        <f>IFERROR(IF(INDEX('State Map'!$C:$C,MATCH(TRIM('RZSPbS-psgr-ldv'!$A42),'State Map'!$A:$A,0))="Max Ambition",Schedules!Z$7,AC42),AC42)</f>
        <v>0</v>
      </c>
      <c r="AE42" s="39">
        <f>IFERROR(IF(INDEX('State Map'!$C:$C,MATCH(TRIM('RZSPbS-psgr-ldv'!$A42),'State Map'!$A:$A,0))="Max Ambition",Schedules!AA$7,AD42),AD42)</f>
        <v>0</v>
      </c>
      <c r="AF42" s="39">
        <f>IFERROR(IF(INDEX('State Map'!$C:$C,MATCH(TRIM('RZSPbS-psgr-ldv'!$A42),'State Map'!$A:$A,0))="Max Ambition",Schedules!AB$7,AE42),AE42)</f>
        <v>0</v>
      </c>
    </row>
    <row r="43" spans="1:32" x14ac:dyDescent="0.2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39">
        <f>IFERROR(IF(INDEX('State Map'!$C:$C,MATCH(TRIM('RZSPbS-psgr-ldv'!$A43),'State Map'!$A:$A,0))="Max Ambition",Schedules!G$7,J43),J43)</f>
        <v>0</v>
      </c>
      <c r="L43" s="39">
        <f>IFERROR(IF(INDEX('State Map'!$C:$C,MATCH(TRIM('RZSPbS-psgr-ldv'!$A43),'State Map'!$A:$A,0))="Max Ambition",Schedules!H$7,K43),K43)</f>
        <v>0</v>
      </c>
      <c r="M43" s="39">
        <f>IFERROR(IF(INDEX('State Map'!$C:$C,MATCH(TRIM('RZSPbS-psgr-ldv'!$A43),'State Map'!$A:$A,0))="Max Ambition",Schedules!I$7,L43),L43)</f>
        <v>0</v>
      </c>
      <c r="N43" s="39">
        <f>IFERROR(IF(INDEX('State Map'!$C:$C,MATCH(TRIM('RZSPbS-psgr-ldv'!$A43),'State Map'!$A:$A,0))="Max Ambition",Schedules!J$7,M43),M43)</f>
        <v>0</v>
      </c>
      <c r="O43" s="39">
        <f>IFERROR(IF(INDEX('State Map'!$C:$C,MATCH(TRIM('RZSPbS-psgr-ldv'!$A43),'State Map'!$A:$A,0))="Max Ambition",Schedules!K$7,N43),N43)</f>
        <v>0</v>
      </c>
      <c r="P43" s="39">
        <f>IFERROR(IF(INDEX('State Map'!$C:$C,MATCH(TRIM('RZSPbS-psgr-ldv'!$A43),'State Map'!$A:$A,0))="Max Ambition",Schedules!L$7,O43),O43)</f>
        <v>0</v>
      </c>
      <c r="Q43" s="39">
        <f>IFERROR(IF(INDEX('State Map'!$C:$C,MATCH(TRIM('RZSPbS-psgr-ldv'!$A43),'State Map'!$A:$A,0))="Max Ambition",Schedules!M$7,P43),P43)</f>
        <v>0</v>
      </c>
      <c r="R43" s="39">
        <f>IFERROR(IF(INDEX('State Map'!$C:$C,MATCH(TRIM('RZSPbS-psgr-ldv'!$A43),'State Map'!$A:$A,0))="Max Ambition",Schedules!N$7,Q43),Q43)</f>
        <v>0</v>
      </c>
      <c r="S43" s="39">
        <f>IFERROR(IF(INDEX('State Map'!$C:$C,MATCH(TRIM('RZSPbS-psgr-ldv'!$A43),'State Map'!$A:$A,0))="Max Ambition",Schedules!O$7,R43),R43)</f>
        <v>0</v>
      </c>
      <c r="T43" s="39">
        <f>IFERROR(IF(INDEX('State Map'!$C:$C,MATCH(TRIM('RZSPbS-psgr-ldv'!$A43),'State Map'!$A:$A,0))="Max Ambition",Schedules!P$7,S43),S43)</f>
        <v>0</v>
      </c>
      <c r="U43" s="39">
        <f>IFERROR(IF(INDEX('State Map'!$C:$C,MATCH(TRIM('RZSPbS-psgr-ldv'!$A43),'State Map'!$A:$A,0))="Max Ambition",Schedules!Q$7,T43),T43)</f>
        <v>0</v>
      </c>
      <c r="V43" s="39">
        <f>IFERROR(IF(INDEX('State Map'!$C:$C,MATCH(TRIM('RZSPbS-psgr-ldv'!$A43),'State Map'!$A:$A,0))="Max Ambition",Schedules!R$7,U43),U43)</f>
        <v>0</v>
      </c>
      <c r="W43" s="39">
        <f>IFERROR(IF(INDEX('State Map'!$C:$C,MATCH(TRIM('RZSPbS-psgr-ldv'!$A43),'State Map'!$A:$A,0))="Max Ambition",Schedules!S$7,V43),V43)</f>
        <v>0</v>
      </c>
      <c r="X43" s="39">
        <f>IFERROR(IF(INDEX('State Map'!$C:$C,MATCH(TRIM('RZSPbS-psgr-ldv'!$A43),'State Map'!$A:$A,0))="Max Ambition",Schedules!T$7,W43),W43)</f>
        <v>0</v>
      </c>
      <c r="Y43" s="39">
        <f>IFERROR(IF(INDEX('State Map'!$C:$C,MATCH(TRIM('RZSPbS-psgr-ldv'!$A43),'State Map'!$A:$A,0))="Max Ambition",Schedules!U$7,X43),X43)</f>
        <v>0</v>
      </c>
      <c r="Z43" s="39">
        <f>IFERROR(IF(INDEX('State Map'!$C:$C,MATCH(TRIM('RZSPbS-psgr-ldv'!$A43),'State Map'!$A:$A,0))="Max Ambition",Schedules!V$7,Y43),Y43)</f>
        <v>0</v>
      </c>
      <c r="AA43" s="39">
        <f>IFERROR(IF(INDEX('State Map'!$C:$C,MATCH(TRIM('RZSPbS-psgr-ldv'!$A43),'State Map'!$A:$A,0))="Max Ambition",Schedules!W$7,Z43),Z43)</f>
        <v>0</v>
      </c>
      <c r="AB43" s="39">
        <f>IFERROR(IF(INDEX('State Map'!$C:$C,MATCH(TRIM('RZSPbS-psgr-ldv'!$A43),'State Map'!$A:$A,0))="Max Ambition",Schedules!X$7,AA43),AA43)</f>
        <v>0</v>
      </c>
      <c r="AC43" s="39">
        <f>IFERROR(IF(INDEX('State Map'!$C:$C,MATCH(TRIM('RZSPbS-psgr-ldv'!$A43),'State Map'!$A:$A,0))="Max Ambition",Schedules!Y$7,AB43),AB43)</f>
        <v>0</v>
      </c>
      <c r="AD43" s="39">
        <f>IFERROR(IF(INDEX('State Map'!$C:$C,MATCH(TRIM('RZSPbS-psgr-ldv'!$A43),'State Map'!$A:$A,0))="Max Ambition",Schedules!Z$7,AC43),AC43)</f>
        <v>0</v>
      </c>
      <c r="AE43" s="39">
        <f>IFERROR(IF(INDEX('State Map'!$C:$C,MATCH(TRIM('RZSPbS-psgr-ldv'!$A43),'State Map'!$A:$A,0))="Max Ambition",Schedules!AA$7,AD43),AD43)</f>
        <v>0</v>
      </c>
      <c r="AF43" s="39">
        <f>IFERROR(IF(INDEX('State Map'!$C:$C,MATCH(TRIM('RZSPbS-psgr-ldv'!$A43),'State Map'!$A:$A,0))="Max Ambition",Schedules!AB$7,AE43),AE43)</f>
        <v>0</v>
      </c>
    </row>
    <row r="44" spans="1:32" x14ac:dyDescent="0.25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39">
        <f>IFERROR(IF(INDEX('State Map'!$C:$C,MATCH(TRIM('RZSPbS-psgr-ldv'!$A44),'State Map'!$A:$A,0))="Max Ambition",Schedules!G$7,J44),J44)</f>
        <v>0</v>
      </c>
      <c r="L44" s="39">
        <f>IFERROR(IF(INDEX('State Map'!$C:$C,MATCH(TRIM('RZSPbS-psgr-ldv'!$A44),'State Map'!$A:$A,0))="Max Ambition",Schedules!H$7,K44),K44)</f>
        <v>0</v>
      </c>
      <c r="M44" s="39">
        <f>IFERROR(IF(INDEX('State Map'!$C:$C,MATCH(TRIM('RZSPbS-psgr-ldv'!$A44),'State Map'!$A:$A,0))="Max Ambition",Schedules!I$7,L44),L44)</f>
        <v>0</v>
      </c>
      <c r="N44" s="39">
        <f>IFERROR(IF(INDEX('State Map'!$C:$C,MATCH(TRIM('RZSPbS-psgr-ldv'!$A44),'State Map'!$A:$A,0))="Max Ambition",Schedules!J$7,M44),M44)</f>
        <v>0</v>
      </c>
      <c r="O44" s="39">
        <f>IFERROR(IF(INDEX('State Map'!$C:$C,MATCH(TRIM('RZSPbS-psgr-ldv'!$A44),'State Map'!$A:$A,0))="Max Ambition",Schedules!K$7,N44),N44)</f>
        <v>0</v>
      </c>
      <c r="P44" s="39">
        <f>IFERROR(IF(INDEX('State Map'!$C:$C,MATCH(TRIM('RZSPbS-psgr-ldv'!$A44),'State Map'!$A:$A,0))="Max Ambition",Schedules!L$7,O44),O44)</f>
        <v>0</v>
      </c>
      <c r="Q44" s="39">
        <f>IFERROR(IF(INDEX('State Map'!$C:$C,MATCH(TRIM('RZSPbS-psgr-ldv'!$A44),'State Map'!$A:$A,0))="Max Ambition",Schedules!M$7,P44),P44)</f>
        <v>0</v>
      </c>
      <c r="R44" s="39">
        <f>IFERROR(IF(INDEX('State Map'!$C:$C,MATCH(TRIM('RZSPbS-psgr-ldv'!$A44),'State Map'!$A:$A,0))="Max Ambition",Schedules!N$7,Q44),Q44)</f>
        <v>0</v>
      </c>
      <c r="S44" s="39">
        <f>IFERROR(IF(INDEX('State Map'!$C:$C,MATCH(TRIM('RZSPbS-psgr-ldv'!$A44),'State Map'!$A:$A,0))="Max Ambition",Schedules!O$7,R44),R44)</f>
        <v>0</v>
      </c>
      <c r="T44" s="39">
        <f>IFERROR(IF(INDEX('State Map'!$C:$C,MATCH(TRIM('RZSPbS-psgr-ldv'!$A44),'State Map'!$A:$A,0))="Max Ambition",Schedules!P$7,S44),S44)</f>
        <v>0</v>
      </c>
      <c r="U44" s="39">
        <f>IFERROR(IF(INDEX('State Map'!$C:$C,MATCH(TRIM('RZSPbS-psgr-ldv'!$A44),'State Map'!$A:$A,0))="Max Ambition",Schedules!Q$7,T44),T44)</f>
        <v>0</v>
      </c>
      <c r="V44" s="39">
        <f>IFERROR(IF(INDEX('State Map'!$C:$C,MATCH(TRIM('RZSPbS-psgr-ldv'!$A44),'State Map'!$A:$A,0))="Max Ambition",Schedules!R$7,U44),U44)</f>
        <v>0</v>
      </c>
      <c r="W44" s="39">
        <f>IFERROR(IF(INDEX('State Map'!$C:$C,MATCH(TRIM('RZSPbS-psgr-ldv'!$A44),'State Map'!$A:$A,0))="Max Ambition",Schedules!S$7,V44),V44)</f>
        <v>0</v>
      </c>
      <c r="X44" s="39">
        <f>IFERROR(IF(INDEX('State Map'!$C:$C,MATCH(TRIM('RZSPbS-psgr-ldv'!$A44),'State Map'!$A:$A,0))="Max Ambition",Schedules!T$7,W44),W44)</f>
        <v>0</v>
      </c>
      <c r="Y44" s="39">
        <f>IFERROR(IF(INDEX('State Map'!$C:$C,MATCH(TRIM('RZSPbS-psgr-ldv'!$A44),'State Map'!$A:$A,0))="Max Ambition",Schedules!U$7,X44),X44)</f>
        <v>0</v>
      </c>
      <c r="Z44" s="39">
        <f>IFERROR(IF(INDEX('State Map'!$C:$C,MATCH(TRIM('RZSPbS-psgr-ldv'!$A44),'State Map'!$A:$A,0))="Max Ambition",Schedules!V$7,Y44),Y44)</f>
        <v>0</v>
      </c>
      <c r="AA44" s="39">
        <f>IFERROR(IF(INDEX('State Map'!$C:$C,MATCH(TRIM('RZSPbS-psgr-ldv'!$A44),'State Map'!$A:$A,0))="Max Ambition",Schedules!W$7,Z44),Z44)</f>
        <v>0</v>
      </c>
      <c r="AB44" s="39">
        <f>IFERROR(IF(INDEX('State Map'!$C:$C,MATCH(TRIM('RZSPbS-psgr-ldv'!$A44),'State Map'!$A:$A,0))="Max Ambition",Schedules!X$7,AA44),AA44)</f>
        <v>0</v>
      </c>
      <c r="AC44" s="39">
        <f>IFERROR(IF(INDEX('State Map'!$C:$C,MATCH(TRIM('RZSPbS-psgr-ldv'!$A44),'State Map'!$A:$A,0))="Max Ambition",Schedules!Y$7,AB44),AB44)</f>
        <v>0</v>
      </c>
      <c r="AD44" s="39">
        <f>IFERROR(IF(INDEX('State Map'!$C:$C,MATCH(TRIM('RZSPbS-psgr-ldv'!$A44),'State Map'!$A:$A,0))="Max Ambition",Schedules!Z$7,AC44),AC44)</f>
        <v>0</v>
      </c>
      <c r="AE44" s="39">
        <f>IFERROR(IF(INDEX('State Map'!$C:$C,MATCH(TRIM('RZSPbS-psgr-ldv'!$A44),'State Map'!$A:$A,0))="Max Ambition",Schedules!AA$7,AD44),AD44)</f>
        <v>0</v>
      </c>
      <c r="AF44" s="39">
        <f>IFERROR(IF(INDEX('State Map'!$C:$C,MATCH(TRIM('RZSPbS-psgr-ldv'!$A44),'State Map'!$A:$A,0))="Max Ambition",Schedules!AB$7,AE44),AE44)</f>
        <v>0</v>
      </c>
    </row>
    <row r="45" spans="1:32" x14ac:dyDescent="0.2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39">
        <f>IFERROR(IF(INDEX('State Map'!$C:$C,MATCH(TRIM('RZSPbS-psgr-ldv'!$A45),'State Map'!$A:$A,0))="Max Ambition",Schedules!G$7,J45),J45)</f>
        <v>0</v>
      </c>
      <c r="L45" s="39">
        <f>IFERROR(IF(INDEX('State Map'!$C:$C,MATCH(TRIM('RZSPbS-psgr-ldv'!$A45),'State Map'!$A:$A,0))="Max Ambition",Schedules!H$7,K45),K45)</f>
        <v>0</v>
      </c>
      <c r="M45" s="39">
        <f>IFERROR(IF(INDEX('State Map'!$C:$C,MATCH(TRIM('RZSPbS-psgr-ldv'!$A45),'State Map'!$A:$A,0))="Max Ambition",Schedules!I$7,L45),L45)</f>
        <v>0</v>
      </c>
      <c r="N45" s="39">
        <f>IFERROR(IF(INDEX('State Map'!$C:$C,MATCH(TRIM('RZSPbS-psgr-ldv'!$A45),'State Map'!$A:$A,0))="Max Ambition",Schedules!J$7,M45),M45)</f>
        <v>0</v>
      </c>
      <c r="O45" s="39">
        <f>IFERROR(IF(INDEX('State Map'!$C:$C,MATCH(TRIM('RZSPbS-psgr-ldv'!$A45),'State Map'!$A:$A,0))="Max Ambition",Schedules!K$7,N45),N45)</f>
        <v>0</v>
      </c>
      <c r="P45" s="39">
        <f>IFERROR(IF(INDEX('State Map'!$C:$C,MATCH(TRIM('RZSPbS-psgr-ldv'!$A45),'State Map'!$A:$A,0))="Max Ambition",Schedules!L$7,O45),O45)</f>
        <v>0</v>
      </c>
      <c r="Q45" s="39">
        <f>IFERROR(IF(INDEX('State Map'!$C:$C,MATCH(TRIM('RZSPbS-psgr-ldv'!$A45),'State Map'!$A:$A,0))="Max Ambition",Schedules!M$7,P45),P45)</f>
        <v>0</v>
      </c>
      <c r="R45" s="39">
        <f>IFERROR(IF(INDEX('State Map'!$C:$C,MATCH(TRIM('RZSPbS-psgr-ldv'!$A45),'State Map'!$A:$A,0))="Max Ambition",Schedules!N$7,Q45),Q45)</f>
        <v>0</v>
      </c>
      <c r="S45" s="39">
        <f>IFERROR(IF(INDEX('State Map'!$C:$C,MATCH(TRIM('RZSPbS-psgr-ldv'!$A45),'State Map'!$A:$A,0))="Max Ambition",Schedules!O$7,R45),R45)</f>
        <v>0</v>
      </c>
      <c r="T45" s="39">
        <f>IFERROR(IF(INDEX('State Map'!$C:$C,MATCH(TRIM('RZSPbS-psgr-ldv'!$A45),'State Map'!$A:$A,0))="Max Ambition",Schedules!P$7,S45),S45)</f>
        <v>0</v>
      </c>
      <c r="U45" s="39">
        <f>IFERROR(IF(INDEX('State Map'!$C:$C,MATCH(TRIM('RZSPbS-psgr-ldv'!$A45),'State Map'!$A:$A,0))="Max Ambition",Schedules!Q$7,T45),T45)</f>
        <v>0</v>
      </c>
      <c r="V45" s="39">
        <f>IFERROR(IF(INDEX('State Map'!$C:$C,MATCH(TRIM('RZSPbS-psgr-ldv'!$A45),'State Map'!$A:$A,0))="Max Ambition",Schedules!R$7,U45),U45)</f>
        <v>0</v>
      </c>
      <c r="W45" s="39">
        <f>IFERROR(IF(INDEX('State Map'!$C:$C,MATCH(TRIM('RZSPbS-psgr-ldv'!$A45),'State Map'!$A:$A,0))="Max Ambition",Schedules!S$7,V45),V45)</f>
        <v>0</v>
      </c>
      <c r="X45" s="39">
        <f>IFERROR(IF(INDEX('State Map'!$C:$C,MATCH(TRIM('RZSPbS-psgr-ldv'!$A45),'State Map'!$A:$A,0))="Max Ambition",Schedules!T$7,W45),W45)</f>
        <v>0</v>
      </c>
      <c r="Y45" s="39">
        <f>IFERROR(IF(INDEX('State Map'!$C:$C,MATCH(TRIM('RZSPbS-psgr-ldv'!$A45),'State Map'!$A:$A,0))="Max Ambition",Schedules!U$7,X45),X45)</f>
        <v>0</v>
      </c>
      <c r="Z45" s="39">
        <f>IFERROR(IF(INDEX('State Map'!$C:$C,MATCH(TRIM('RZSPbS-psgr-ldv'!$A45),'State Map'!$A:$A,0))="Max Ambition",Schedules!V$7,Y45),Y45)</f>
        <v>0</v>
      </c>
      <c r="AA45" s="39">
        <f>IFERROR(IF(INDEX('State Map'!$C:$C,MATCH(TRIM('RZSPbS-psgr-ldv'!$A45),'State Map'!$A:$A,0))="Max Ambition",Schedules!W$7,Z45),Z45)</f>
        <v>0</v>
      </c>
      <c r="AB45" s="39">
        <f>IFERROR(IF(INDEX('State Map'!$C:$C,MATCH(TRIM('RZSPbS-psgr-ldv'!$A45),'State Map'!$A:$A,0))="Max Ambition",Schedules!X$7,AA45),AA45)</f>
        <v>0</v>
      </c>
      <c r="AC45" s="39">
        <f>IFERROR(IF(INDEX('State Map'!$C:$C,MATCH(TRIM('RZSPbS-psgr-ldv'!$A45),'State Map'!$A:$A,0))="Max Ambition",Schedules!Y$7,AB45),AB45)</f>
        <v>0</v>
      </c>
      <c r="AD45" s="39">
        <f>IFERROR(IF(INDEX('State Map'!$C:$C,MATCH(TRIM('RZSPbS-psgr-ldv'!$A45),'State Map'!$A:$A,0))="Max Ambition",Schedules!Z$7,AC45),AC45)</f>
        <v>0</v>
      </c>
      <c r="AE45" s="39">
        <f>IFERROR(IF(INDEX('State Map'!$C:$C,MATCH(TRIM('RZSPbS-psgr-ldv'!$A45),'State Map'!$A:$A,0))="Max Ambition",Schedules!AA$7,AD45),AD45)</f>
        <v>0</v>
      </c>
      <c r="AF45" s="39">
        <f>IFERROR(IF(INDEX('State Map'!$C:$C,MATCH(TRIM('RZSPbS-psgr-ldv'!$A45),'State Map'!$A:$A,0))="Max Ambition",Schedules!AB$7,AE45),AE45)</f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39">
        <f>IFERROR(IF(INDEX('State Map'!$C:$C,MATCH(TRIM('RZSPbS-psgr-ldv'!$A46),'State Map'!$A:$A,0))="Max Ambition",Schedules!G$7,J46),J46)</f>
        <v>0</v>
      </c>
      <c r="L46" s="39">
        <f>IFERROR(IF(INDEX('State Map'!$C:$C,MATCH(TRIM('RZSPbS-psgr-ldv'!$A46),'State Map'!$A:$A,0))="Max Ambition",Schedules!H$7,K46),K46)</f>
        <v>0</v>
      </c>
      <c r="M46" s="39">
        <f>IFERROR(IF(INDEX('State Map'!$C:$C,MATCH(TRIM('RZSPbS-psgr-ldv'!$A46),'State Map'!$A:$A,0))="Max Ambition",Schedules!I$7,L46),L46)</f>
        <v>0</v>
      </c>
      <c r="N46" s="39">
        <f>IFERROR(IF(INDEX('State Map'!$C:$C,MATCH(TRIM('RZSPbS-psgr-ldv'!$A46),'State Map'!$A:$A,0))="Max Ambition",Schedules!J$7,M46),M46)</f>
        <v>0</v>
      </c>
      <c r="O46" s="39">
        <f>IFERROR(IF(INDEX('State Map'!$C:$C,MATCH(TRIM('RZSPbS-psgr-ldv'!$A46),'State Map'!$A:$A,0))="Max Ambition",Schedules!K$7,N46),N46)</f>
        <v>0</v>
      </c>
      <c r="P46" s="39">
        <f>IFERROR(IF(INDEX('State Map'!$C:$C,MATCH(TRIM('RZSPbS-psgr-ldv'!$A46),'State Map'!$A:$A,0))="Max Ambition",Schedules!L$7,O46),O46)</f>
        <v>0</v>
      </c>
      <c r="Q46" s="39">
        <f>IFERROR(IF(INDEX('State Map'!$C:$C,MATCH(TRIM('RZSPbS-psgr-ldv'!$A46),'State Map'!$A:$A,0))="Max Ambition",Schedules!M$7,P46),P46)</f>
        <v>0</v>
      </c>
      <c r="R46" s="39">
        <f>IFERROR(IF(INDEX('State Map'!$C:$C,MATCH(TRIM('RZSPbS-psgr-ldv'!$A46),'State Map'!$A:$A,0))="Max Ambition",Schedules!N$7,Q46),Q46)</f>
        <v>0</v>
      </c>
      <c r="S46" s="39">
        <f>IFERROR(IF(INDEX('State Map'!$C:$C,MATCH(TRIM('RZSPbS-psgr-ldv'!$A46),'State Map'!$A:$A,0))="Max Ambition",Schedules!O$7,R46),R46)</f>
        <v>0</v>
      </c>
      <c r="T46" s="39">
        <f>IFERROR(IF(INDEX('State Map'!$C:$C,MATCH(TRIM('RZSPbS-psgr-ldv'!$A46),'State Map'!$A:$A,0))="Max Ambition",Schedules!P$7,S46),S46)</f>
        <v>0</v>
      </c>
      <c r="U46" s="39">
        <f>IFERROR(IF(INDEX('State Map'!$C:$C,MATCH(TRIM('RZSPbS-psgr-ldv'!$A46),'State Map'!$A:$A,0))="Max Ambition",Schedules!Q$7,T46),T46)</f>
        <v>0</v>
      </c>
      <c r="V46" s="39">
        <f>IFERROR(IF(INDEX('State Map'!$C:$C,MATCH(TRIM('RZSPbS-psgr-ldv'!$A46),'State Map'!$A:$A,0))="Max Ambition",Schedules!R$7,U46),U46)</f>
        <v>0</v>
      </c>
      <c r="W46" s="39">
        <f>IFERROR(IF(INDEX('State Map'!$C:$C,MATCH(TRIM('RZSPbS-psgr-ldv'!$A46),'State Map'!$A:$A,0))="Max Ambition",Schedules!S$7,V46),V46)</f>
        <v>0</v>
      </c>
      <c r="X46" s="39">
        <f>IFERROR(IF(INDEX('State Map'!$C:$C,MATCH(TRIM('RZSPbS-psgr-ldv'!$A46),'State Map'!$A:$A,0))="Max Ambition",Schedules!T$7,W46),W46)</f>
        <v>0</v>
      </c>
      <c r="Y46" s="39">
        <f>IFERROR(IF(INDEX('State Map'!$C:$C,MATCH(TRIM('RZSPbS-psgr-ldv'!$A46),'State Map'!$A:$A,0))="Max Ambition",Schedules!U$7,X46),X46)</f>
        <v>0</v>
      </c>
      <c r="Z46" s="39">
        <f>IFERROR(IF(INDEX('State Map'!$C:$C,MATCH(TRIM('RZSPbS-psgr-ldv'!$A46),'State Map'!$A:$A,0))="Max Ambition",Schedules!V$7,Y46),Y46)</f>
        <v>0</v>
      </c>
      <c r="AA46" s="39">
        <f>IFERROR(IF(INDEX('State Map'!$C:$C,MATCH(TRIM('RZSPbS-psgr-ldv'!$A46),'State Map'!$A:$A,0))="Max Ambition",Schedules!W$7,Z46),Z46)</f>
        <v>0</v>
      </c>
      <c r="AB46" s="39">
        <f>IFERROR(IF(INDEX('State Map'!$C:$C,MATCH(TRIM('RZSPbS-psgr-ldv'!$A46),'State Map'!$A:$A,0))="Max Ambition",Schedules!X$7,AA46),AA46)</f>
        <v>0</v>
      </c>
      <c r="AC46" s="39">
        <f>IFERROR(IF(INDEX('State Map'!$C:$C,MATCH(TRIM('RZSPbS-psgr-ldv'!$A46),'State Map'!$A:$A,0))="Max Ambition",Schedules!Y$7,AB46),AB46)</f>
        <v>0</v>
      </c>
      <c r="AD46" s="39">
        <f>IFERROR(IF(INDEX('State Map'!$C:$C,MATCH(TRIM('RZSPbS-psgr-ldv'!$A46),'State Map'!$A:$A,0))="Max Ambition",Schedules!Z$7,AC46),AC46)</f>
        <v>0</v>
      </c>
      <c r="AE46" s="39">
        <f>IFERROR(IF(INDEX('State Map'!$C:$C,MATCH(TRIM('RZSPbS-psgr-ldv'!$A46),'State Map'!$A:$A,0))="Max Ambition",Schedules!AA$7,AD46),AD46)</f>
        <v>0</v>
      </c>
      <c r="AF46" s="39">
        <f>IFERROR(IF(INDEX('State Map'!$C:$C,MATCH(TRIM('RZSPbS-psgr-ldv'!$A46),'State Map'!$A:$A,0))="Max Ambition",Schedules!AB$7,AE46),AE46)</f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39">
        <f>IFERROR(IF(INDEX('State Map'!$C:$C,MATCH(TRIM('RZSPbS-psgr-ldv'!$A47),'State Map'!$A:$A,0))="Max Ambition",Schedules!G$7,J47),J47)</f>
        <v>0.2</v>
      </c>
      <c r="L47" s="39">
        <f>IFERROR(IF(INDEX('State Map'!$C:$C,MATCH(TRIM('RZSPbS-psgr-ldv'!$A47),'State Map'!$A:$A,0))="Max Ambition",Schedules!H$7,K47),K47)</f>
        <v>0.25</v>
      </c>
      <c r="M47" s="39">
        <f>IFERROR(IF(INDEX('State Map'!$C:$C,MATCH(TRIM('RZSPbS-psgr-ldv'!$A47),'State Map'!$A:$A,0))="Max Ambition",Schedules!I$7,L47),L47)</f>
        <v>0.3</v>
      </c>
      <c r="N47" s="39">
        <f>IFERROR(IF(INDEX('State Map'!$C:$C,MATCH(TRIM('RZSPbS-psgr-ldv'!$A47),'State Map'!$A:$A,0))="Max Ambition",Schedules!J$7,M47),M47)</f>
        <v>0.38</v>
      </c>
      <c r="O47" s="39">
        <f>IFERROR(IF(INDEX('State Map'!$C:$C,MATCH(TRIM('RZSPbS-psgr-ldv'!$A47),'State Map'!$A:$A,0))="Max Ambition",Schedules!K$7,N47),N47)</f>
        <v>0.46</v>
      </c>
      <c r="P47" s="39">
        <f>IFERROR(IF(INDEX('State Map'!$C:$C,MATCH(TRIM('RZSPbS-psgr-ldv'!$A47),'State Map'!$A:$A,0))="Max Ambition",Schedules!L$7,O47),O47)</f>
        <v>0.51400000000000001</v>
      </c>
      <c r="Q47" s="39">
        <f>IFERROR(IF(INDEX('State Map'!$C:$C,MATCH(TRIM('RZSPbS-psgr-ldv'!$A47),'State Map'!$A:$A,0))="Max Ambition",Schedules!M$7,P47),P47)</f>
        <v>0.56799999999999995</v>
      </c>
      <c r="R47" s="39">
        <f>IFERROR(IF(INDEX('State Map'!$C:$C,MATCH(TRIM('RZSPbS-psgr-ldv'!$A47),'State Map'!$A:$A,0))="Max Ambition",Schedules!N$7,Q47),Q47)</f>
        <v>0.622</v>
      </c>
      <c r="S47" s="39">
        <f>IFERROR(IF(INDEX('State Map'!$C:$C,MATCH(TRIM('RZSPbS-psgr-ldv'!$A47),'State Map'!$A:$A,0))="Max Ambition",Schedules!O$7,R47),R47)</f>
        <v>0.67600000000000005</v>
      </c>
      <c r="T47" s="39">
        <f>IFERROR(IF(INDEX('State Map'!$C:$C,MATCH(TRIM('RZSPbS-psgr-ldv'!$A47),'State Map'!$A:$A,0))="Max Ambition",Schedules!P$7,S47),S47)</f>
        <v>0.73</v>
      </c>
      <c r="U47" s="39">
        <f>IFERROR(IF(INDEX('State Map'!$C:$C,MATCH(TRIM('RZSPbS-psgr-ldv'!$A47),'State Map'!$A:$A,0))="Max Ambition",Schedules!Q$7,T47),T47)</f>
        <v>0.78400000000000003</v>
      </c>
      <c r="V47" s="39">
        <f>IFERROR(IF(INDEX('State Map'!$C:$C,MATCH(TRIM('RZSPbS-psgr-ldv'!$A47),'State Map'!$A:$A,0))="Max Ambition",Schedules!R$7,U47),U47)</f>
        <v>0.83799999999999997</v>
      </c>
      <c r="W47" s="39">
        <f>IFERROR(IF(INDEX('State Map'!$C:$C,MATCH(TRIM('RZSPbS-psgr-ldv'!$A47),'State Map'!$A:$A,0))="Max Ambition",Schedules!S$7,V47),V47)</f>
        <v>0.89200000000000002</v>
      </c>
      <c r="X47" s="39">
        <f>IFERROR(IF(INDEX('State Map'!$C:$C,MATCH(TRIM('RZSPbS-psgr-ldv'!$A47),'State Map'!$A:$A,0))="Max Ambition",Schedules!T$7,W47),W47)</f>
        <v>0.94599999999999995</v>
      </c>
      <c r="Y47" s="39">
        <f>IFERROR(IF(INDEX('State Map'!$C:$C,MATCH(TRIM('RZSPbS-psgr-ldv'!$A47),'State Map'!$A:$A,0))="Max Ambition",Schedules!U$7,X47),X47)</f>
        <v>1</v>
      </c>
      <c r="Z47" s="39">
        <f>IFERROR(IF(INDEX('State Map'!$C:$C,MATCH(TRIM('RZSPbS-psgr-ldv'!$A47),'State Map'!$A:$A,0))="Max Ambition",Schedules!V$7,Y47),Y47)</f>
        <v>1</v>
      </c>
      <c r="AA47" s="39">
        <f>IFERROR(IF(INDEX('State Map'!$C:$C,MATCH(TRIM('RZSPbS-psgr-ldv'!$A47),'State Map'!$A:$A,0))="Max Ambition",Schedules!W$7,Z47),Z47)</f>
        <v>1</v>
      </c>
      <c r="AB47" s="39">
        <f>IFERROR(IF(INDEX('State Map'!$C:$C,MATCH(TRIM('RZSPbS-psgr-ldv'!$A47),'State Map'!$A:$A,0))="Max Ambition",Schedules!X$7,AA47),AA47)</f>
        <v>1</v>
      </c>
      <c r="AC47" s="39">
        <f>IFERROR(IF(INDEX('State Map'!$C:$C,MATCH(TRIM('RZSPbS-psgr-ldv'!$A47),'State Map'!$A:$A,0))="Max Ambition",Schedules!Y$7,AB47),AB47)</f>
        <v>1</v>
      </c>
      <c r="AD47" s="39">
        <f>IFERROR(IF(INDEX('State Map'!$C:$C,MATCH(TRIM('RZSPbS-psgr-ldv'!$A47),'State Map'!$A:$A,0))="Max Ambition",Schedules!Z$7,AC47),AC47)</f>
        <v>1</v>
      </c>
      <c r="AE47" s="39">
        <f>IFERROR(IF(INDEX('State Map'!$C:$C,MATCH(TRIM('RZSPbS-psgr-ldv'!$A47),'State Map'!$A:$A,0))="Max Ambition",Schedules!AA$7,AD47),AD47)</f>
        <v>1</v>
      </c>
      <c r="AF47" s="39">
        <f>IFERROR(IF(INDEX('State Map'!$C:$C,MATCH(TRIM('RZSPbS-psgr-ldv'!$A47),'State Map'!$A:$A,0))="Max Ambition",Schedules!AB$7,AE47),AE47)</f>
        <v>1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39">
        <f>IFERROR(IF(INDEX('State Map'!$C:$C,MATCH(TRIM('RZSPbS-psgr-ldv'!$A48),'State Map'!$A:$A,0))="Max Ambition",Schedules!G$7,J48),J48)</f>
        <v>0</v>
      </c>
      <c r="L48" s="39">
        <f>IFERROR(IF(INDEX('State Map'!$C:$C,MATCH(TRIM('RZSPbS-psgr-ldv'!$A48),'State Map'!$A:$A,0))="Max Ambition",Schedules!H$7,K48),K48)</f>
        <v>0</v>
      </c>
      <c r="M48" s="39">
        <f>IFERROR(IF(INDEX('State Map'!$C:$C,MATCH(TRIM('RZSPbS-psgr-ldv'!$A48),'State Map'!$A:$A,0))="Max Ambition",Schedules!I$7,L48),L48)</f>
        <v>0</v>
      </c>
      <c r="N48" s="39">
        <f>IFERROR(IF(INDEX('State Map'!$C:$C,MATCH(TRIM('RZSPbS-psgr-ldv'!$A48),'State Map'!$A:$A,0))="Max Ambition",Schedules!J$7,M48),M48)</f>
        <v>0</v>
      </c>
      <c r="O48" s="39">
        <f>IFERROR(IF(INDEX('State Map'!$C:$C,MATCH(TRIM('RZSPbS-psgr-ldv'!$A48),'State Map'!$A:$A,0))="Max Ambition",Schedules!K$7,N48),N48)</f>
        <v>0</v>
      </c>
      <c r="P48" s="39">
        <f>IFERROR(IF(INDEX('State Map'!$C:$C,MATCH(TRIM('RZSPbS-psgr-ldv'!$A48),'State Map'!$A:$A,0))="Max Ambition",Schedules!L$7,O48),O48)</f>
        <v>0</v>
      </c>
      <c r="Q48" s="39">
        <f>IFERROR(IF(INDEX('State Map'!$C:$C,MATCH(TRIM('RZSPbS-psgr-ldv'!$A48),'State Map'!$A:$A,0))="Max Ambition",Schedules!M$7,P48),P48)</f>
        <v>0</v>
      </c>
      <c r="R48" s="39">
        <f>IFERROR(IF(INDEX('State Map'!$C:$C,MATCH(TRIM('RZSPbS-psgr-ldv'!$A48),'State Map'!$A:$A,0))="Max Ambition",Schedules!N$7,Q48),Q48)</f>
        <v>0</v>
      </c>
      <c r="S48" s="39">
        <f>IFERROR(IF(INDEX('State Map'!$C:$C,MATCH(TRIM('RZSPbS-psgr-ldv'!$A48),'State Map'!$A:$A,0))="Max Ambition",Schedules!O$7,R48),R48)</f>
        <v>0</v>
      </c>
      <c r="T48" s="39">
        <f>IFERROR(IF(INDEX('State Map'!$C:$C,MATCH(TRIM('RZSPbS-psgr-ldv'!$A48),'State Map'!$A:$A,0))="Max Ambition",Schedules!P$7,S48),S48)</f>
        <v>0</v>
      </c>
      <c r="U48" s="39">
        <f>IFERROR(IF(INDEX('State Map'!$C:$C,MATCH(TRIM('RZSPbS-psgr-ldv'!$A48),'State Map'!$A:$A,0))="Max Ambition",Schedules!Q$7,T48),T48)</f>
        <v>0</v>
      </c>
      <c r="V48" s="39">
        <f>IFERROR(IF(INDEX('State Map'!$C:$C,MATCH(TRIM('RZSPbS-psgr-ldv'!$A48),'State Map'!$A:$A,0))="Max Ambition",Schedules!R$7,U48),U48)</f>
        <v>0</v>
      </c>
      <c r="W48" s="39">
        <f>IFERROR(IF(INDEX('State Map'!$C:$C,MATCH(TRIM('RZSPbS-psgr-ldv'!$A48),'State Map'!$A:$A,0))="Max Ambition",Schedules!S$7,V48),V48)</f>
        <v>0</v>
      </c>
      <c r="X48" s="39">
        <f>IFERROR(IF(INDEX('State Map'!$C:$C,MATCH(TRIM('RZSPbS-psgr-ldv'!$A48),'State Map'!$A:$A,0))="Max Ambition",Schedules!T$7,W48),W48)</f>
        <v>0</v>
      </c>
      <c r="Y48" s="39">
        <f>IFERROR(IF(INDEX('State Map'!$C:$C,MATCH(TRIM('RZSPbS-psgr-ldv'!$A48),'State Map'!$A:$A,0))="Max Ambition",Schedules!U$7,X48),X48)</f>
        <v>0</v>
      </c>
      <c r="Z48" s="39">
        <f>IFERROR(IF(INDEX('State Map'!$C:$C,MATCH(TRIM('RZSPbS-psgr-ldv'!$A48),'State Map'!$A:$A,0))="Max Ambition",Schedules!V$7,Y48),Y48)</f>
        <v>0</v>
      </c>
      <c r="AA48" s="39">
        <f>IFERROR(IF(INDEX('State Map'!$C:$C,MATCH(TRIM('RZSPbS-psgr-ldv'!$A48),'State Map'!$A:$A,0))="Max Ambition",Schedules!W$7,Z48),Z48)</f>
        <v>0</v>
      </c>
      <c r="AB48" s="39">
        <f>IFERROR(IF(INDEX('State Map'!$C:$C,MATCH(TRIM('RZSPbS-psgr-ldv'!$A48),'State Map'!$A:$A,0))="Max Ambition",Schedules!X$7,AA48),AA48)</f>
        <v>0</v>
      </c>
      <c r="AC48" s="39">
        <f>IFERROR(IF(INDEX('State Map'!$C:$C,MATCH(TRIM('RZSPbS-psgr-ldv'!$A48),'State Map'!$A:$A,0))="Max Ambition",Schedules!Y$7,AB48),AB48)</f>
        <v>0</v>
      </c>
      <c r="AD48" s="39">
        <f>IFERROR(IF(INDEX('State Map'!$C:$C,MATCH(TRIM('RZSPbS-psgr-ldv'!$A48),'State Map'!$A:$A,0))="Max Ambition",Schedules!Z$7,AC48),AC48)</f>
        <v>0</v>
      </c>
      <c r="AE48" s="39">
        <f>IFERROR(IF(INDEX('State Map'!$C:$C,MATCH(TRIM('RZSPbS-psgr-ldv'!$A48),'State Map'!$A:$A,0))="Max Ambition",Schedules!AA$7,AD48),AD48)</f>
        <v>0</v>
      </c>
      <c r="AF48" s="39">
        <f>IFERROR(IF(INDEX('State Map'!$C:$C,MATCH(TRIM('RZSPbS-psgr-ldv'!$A48),'State Map'!$A:$A,0))="Max Ambition",Schedules!AB$7,AE48),AE48)</f>
        <v>0</v>
      </c>
    </row>
    <row r="49" spans="1:32" x14ac:dyDescent="0.25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39">
        <f>IFERROR(IF(INDEX('State Map'!$C:$C,MATCH(TRIM('RZSPbS-psgr-ldv'!$A49),'State Map'!$A:$A,0))="Max Ambition",Schedules!G$7,J49),J49)</f>
        <v>0.2</v>
      </c>
      <c r="L49" s="39">
        <f>IFERROR(IF(INDEX('State Map'!$C:$C,MATCH(TRIM('RZSPbS-psgr-ldv'!$A49),'State Map'!$A:$A,0))="Max Ambition",Schedules!H$7,K49),K49)</f>
        <v>0.25</v>
      </c>
      <c r="M49" s="39">
        <f>IFERROR(IF(INDEX('State Map'!$C:$C,MATCH(TRIM('RZSPbS-psgr-ldv'!$A49),'State Map'!$A:$A,0))="Max Ambition",Schedules!I$7,L49),L49)</f>
        <v>0.3</v>
      </c>
      <c r="N49" s="39">
        <f>IFERROR(IF(INDEX('State Map'!$C:$C,MATCH(TRIM('RZSPbS-psgr-ldv'!$A49),'State Map'!$A:$A,0))="Max Ambition",Schedules!J$7,M49),M49)</f>
        <v>0.38</v>
      </c>
      <c r="O49" s="39">
        <f>IFERROR(IF(INDEX('State Map'!$C:$C,MATCH(TRIM('RZSPbS-psgr-ldv'!$A49),'State Map'!$A:$A,0))="Max Ambition",Schedules!K$7,N49),N49)</f>
        <v>0.46</v>
      </c>
      <c r="P49" s="39">
        <f>IFERROR(IF(INDEX('State Map'!$C:$C,MATCH(TRIM('RZSPbS-psgr-ldv'!$A49),'State Map'!$A:$A,0))="Max Ambition",Schedules!L$7,O49),O49)</f>
        <v>0.51400000000000001</v>
      </c>
      <c r="Q49" s="39">
        <f>IFERROR(IF(INDEX('State Map'!$C:$C,MATCH(TRIM('RZSPbS-psgr-ldv'!$A49),'State Map'!$A:$A,0))="Max Ambition",Schedules!M$7,P49),P49)</f>
        <v>0.56799999999999995</v>
      </c>
      <c r="R49" s="39">
        <f>IFERROR(IF(INDEX('State Map'!$C:$C,MATCH(TRIM('RZSPbS-psgr-ldv'!$A49),'State Map'!$A:$A,0))="Max Ambition",Schedules!N$7,Q49),Q49)</f>
        <v>0.622</v>
      </c>
      <c r="S49" s="39">
        <f>IFERROR(IF(INDEX('State Map'!$C:$C,MATCH(TRIM('RZSPbS-psgr-ldv'!$A49),'State Map'!$A:$A,0))="Max Ambition",Schedules!O$7,R49),R49)</f>
        <v>0.67600000000000005</v>
      </c>
      <c r="T49" s="39">
        <f>IFERROR(IF(INDEX('State Map'!$C:$C,MATCH(TRIM('RZSPbS-psgr-ldv'!$A49),'State Map'!$A:$A,0))="Max Ambition",Schedules!P$7,S49),S49)</f>
        <v>0.73</v>
      </c>
      <c r="U49" s="39">
        <f>IFERROR(IF(INDEX('State Map'!$C:$C,MATCH(TRIM('RZSPbS-psgr-ldv'!$A49),'State Map'!$A:$A,0))="Max Ambition",Schedules!Q$7,T49),T49)</f>
        <v>0.78400000000000003</v>
      </c>
      <c r="V49" s="39">
        <f>IFERROR(IF(INDEX('State Map'!$C:$C,MATCH(TRIM('RZSPbS-psgr-ldv'!$A49),'State Map'!$A:$A,0))="Max Ambition",Schedules!R$7,U49),U49)</f>
        <v>0.83799999999999997</v>
      </c>
      <c r="W49" s="39">
        <f>IFERROR(IF(INDEX('State Map'!$C:$C,MATCH(TRIM('RZSPbS-psgr-ldv'!$A49),'State Map'!$A:$A,0))="Max Ambition",Schedules!S$7,V49),V49)</f>
        <v>0.89200000000000002</v>
      </c>
      <c r="X49" s="39">
        <f>IFERROR(IF(INDEX('State Map'!$C:$C,MATCH(TRIM('RZSPbS-psgr-ldv'!$A49),'State Map'!$A:$A,0))="Max Ambition",Schedules!T$7,W49),W49)</f>
        <v>0.94599999999999995</v>
      </c>
      <c r="Y49" s="39">
        <f>IFERROR(IF(INDEX('State Map'!$C:$C,MATCH(TRIM('RZSPbS-psgr-ldv'!$A49),'State Map'!$A:$A,0))="Max Ambition",Schedules!U$7,X49),X49)</f>
        <v>1</v>
      </c>
      <c r="Z49" s="39">
        <f>IFERROR(IF(INDEX('State Map'!$C:$C,MATCH(TRIM('RZSPbS-psgr-ldv'!$A49),'State Map'!$A:$A,0))="Max Ambition",Schedules!V$7,Y49),Y49)</f>
        <v>1</v>
      </c>
      <c r="AA49" s="39">
        <f>IFERROR(IF(INDEX('State Map'!$C:$C,MATCH(TRIM('RZSPbS-psgr-ldv'!$A49),'State Map'!$A:$A,0))="Max Ambition",Schedules!W$7,Z49),Z49)</f>
        <v>1</v>
      </c>
      <c r="AB49" s="39">
        <f>IFERROR(IF(INDEX('State Map'!$C:$C,MATCH(TRIM('RZSPbS-psgr-ldv'!$A49),'State Map'!$A:$A,0))="Max Ambition",Schedules!X$7,AA49),AA49)</f>
        <v>1</v>
      </c>
      <c r="AC49" s="39">
        <f>IFERROR(IF(INDEX('State Map'!$C:$C,MATCH(TRIM('RZSPbS-psgr-ldv'!$A49),'State Map'!$A:$A,0))="Max Ambition",Schedules!Y$7,AB49),AB49)</f>
        <v>1</v>
      </c>
      <c r="AD49" s="39">
        <f>IFERROR(IF(INDEX('State Map'!$C:$C,MATCH(TRIM('RZSPbS-psgr-ldv'!$A49),'State Map'!$A:$A,0))="Max Ambition",Schedules!Z$7,AC49),AC49)</f>
        <v>1</v>
      </c>
      <c r="AE49" s="39">
        <f>IFERROR(IF(INDEX('State Map'!$C:$C,MATCH(TRIM('RZSPbS-psgr-ldv'!$A49),'State Map'!$A:$A,0))="Max Ambition",Schedules!AA$7,AD49),AD49)</f>
        <v>1</v>
      </c>
      <c r="AF49" s="39">
        <f>IFERROR(IF(INDEX('State Map'!$C:$C,MATCH(TRIM('RZSPbS-psgr-ldv'!$A49),'State Map'!$A:$A,0))="Max Ambition",Schedules!AB$7,AE49),AE49)</f>
        <v>1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39">
        <f>IFERROR(IF(INDEX('State Map'!$C:$C,MATCH(TRIM('RZSPbS-psgr-ldv'!$A50),'State Map'!$A:$A,0))="Max Ambition",Schedules!G$7,J50),J50)</f>
        <v>0</v>
      </c>
      <c r="L50" s="39">
        <f>IFERROR(IF(INDEX('State Map'!$C:$C,MATCH(TRIM('RZSPbS-psgr-ldv'!$A50),'State Map'!$A:$A,0))="Max Ambition",Schedules!H$7,K50),K50)</f>
        <v>0</v>
      </c>
      <c r="M50" s="39">
        <f>IFERROR(IF(INDEX('State Map'!$C:$C,MATCH(TRIM('RZSPbS-psgr-ldv'!$A50),'State Map'!$A:$A,0))="Max Ambition",Schedules!I$7,L50),L50)</f>
        <v>0</v>
      </c>
      <c r="N50" s="39">
        <f>IFERROR(IF(INDEX('State Map'!$C:$C,MATCH(TRIM('RZSPbS-psgr-ldv'!$A50),'State Map'!$A:$A,0))="Max Ambition",Schedules!J$7,M50),M50)</f>
        <v>0</v>
      </c>
      <c r="O50" s="39">
        <f>IFERROR(IF(INDEX('State Map'!$C:$C,MATCH(TRIM('RZSPbS-psgr-ldv'!$A50),'State Map'!$A:$A,0))="Max Ambition",Schedules!K$7,N50),N50)</f>
        <v>0</v>
      </c>
      <c r="P50" s="39">
        <f>IFERROR(IF(INDEX('State Map'!$C:$C,MATCH(TRIM('RZSPbS-psgr-ldv'!$A50),'State Map'!$A:$A,0))="Max Ambition",Schedules!L$7,O50),O50)</f>
        <v>0</v>
      </c>
      <c r="Q50" s="39">
        <f>IFERROR(IF(INDEX('State Map'!$C:$C,MATCH(TRIM('RZSPbS-psgr-ldv'!$A50),'State Map'!$A:$A,0))="Max Ambition",Schedules!M$7,P50),P50)</f>
        <v>0</v>
      </c>
      <c r="R50" s="39">
        <f>IFERROR(IF(INDEX('State Map'!$C:$C,MATCH(TRIM('RZSPbS-psgr-ldv'!$A50),'State Map'!$A:$A,0))="Max Ambition",Schedules!N$7,Q50),Q50)</f>
        <v>0</v>
      </c>
      <c r="S50" s="39">
        <f>IFERROR(IF(INDEX('State Map'!$C:$C,MATCH(TRIM('RZSPbS-psgr-ldv'!$A50),'State Map'!$A:$A,0))="Max Ambition",Schedules!O$7,R50),R50)</f>
        <v>0</v>
      </c>
      <c r="T50" s="39">
        <f>IFERROR(IF(INDEX('State Map'!$C:$C,MATCH(TRIM('RZSPbS-psgr-ldv'!$A50),'State Map'!$A:$A,0))="Max Ambition",Schedules!P$7,S50),S50)</f>
        <v>0</v>
      </c>
      <c r="U50" s="39">
        <f>IFERROR(IF(INDEX('State Map'!$C:$C,MATCH(TRIM('RZSPbS-psgr-ldv'!$A50),'State Map'!$A:$A,0))="Max Ambition",Schedules!Q$7,T50),T50)</f>
        <v>0</v>
      </c>
      <c r="V50" s="39">
        <f>IFERROR(IF(INDEX('State Map'!$C:$C,MATCH(TRIM('RZSPbS-psgr-ldv'!$A50),'State Map'!$A:$A,0))="Max Ambition",Schedules!R$7,U50),U50)</f>
        <v>0</v>
      </c>
      <c r="W50" s="39">
        <f>IFERROR(IF(INDEX('State Map'!$C:$C,MATCH(TRIM('RZSPbS-psgr-ldv'!$A50),'State Map'!$A:$A,0))="Max Ambition",Schedules!S$7,V50),V50)</f>
        <v>0</v>
      </c>
      <c r="X50" s="39">
        <f>IFERROR(IF(INDEX('State Map'!$C:$C,MATCH(TRIM('RZSPbS-psgr-ldv'!$A50),'State Map'!$A:$A,0))="Max Ambition",Schedules!T$7,W50),W50)</f>
        <v>0</v>
      </c>
      <c r="Y50" s="39">
        <f>IFERROR(IF(INDEX('State Map'!$C:$C,MATCH(TRIM('RZSPbS-psgr-ldv'!$A50),'State Map'!$A:$A,0))="Max Ambition",Schedules!U$7,X50),X50)</f>
        <v>0</v>
      </c>
      <c r="Z50" s="39">
        <f>IFERROR(IF(INDEX('State Map'!$C:$C,MATCH(TRIM('RZSPbS-psgr-ldv'!$A50),'State Map'!$A:$A,0))="Max Ambition",Schedules!V$7,Y50),Y50)</f>
        <v>0</v>
      </c>
      <c r="AA50" s="39">
        <f>IFERROR(IF(INDEX('State Map'!$C:$C,MATCH(TRIM('RZSPbS-psgr-ldv'!$A50),'State Map'!$A:$A,0))="Max Ambition",Schedules!W$7,Z50),Z50)</f>
        <v>0</v>
      </c>
      <c r="AB50" s="39">
        <f>IFERROR(IF(INDEX('State Map'!$C:$C,MATCH(TRIM('RZSPbS-psgr-ldv'!$A50),'State Map'!$A:$A,0))="Max Ambition",Schedules!X$7,AA50),AA50)</f>
        <v>0</v>
      </c>
      <c r="AC50" s="39">
        <f>IFERROR(IF(INDEX('State Map'!$C:$C,MATCH(TRIM('RZSPbS-psgr-ldv'!$A50),'State Map'!$A:$A,0))="Max Ambition",Schedules!Y$7,AB50),AB50)</f>
        <v>0</v>
      </c>
      <c r="AD50" s="39">
        <f>IFERROR(IF(INDEX('State Map'!$C:$C,MATCH(TRIM('RZSPbS-psgr-ldv'!$A50),'State Map'!$A:$A,0))="Max Ambition",Schedules!Z$7,AC50),AC50)</f>
        <v>0</v>
      </c>
      <c r="AE50" s="39">
        <f>IFERROR(IF(INDEX('State Map'!$C:$C,MATCH(TRIM('RZSPbS-psgr-ldv'!$A50),'State Map'!$A:$A,0))="Max Ambition",Schedules!AA$7,AD50),AD50)</f>
        <v>0</v>
      </c>
      <c r="AF50" s="39">
        <f>IFERROR(IF(INDEX('State Map'!$C:$C,MATCH(TRIM('RZSPbS-psgr-ldv'!$A50),'State Map'!$A:$A,0))="Max Ambition",Schedules!AB$7,AE50),AE50)</f>
        <v>0</v>
      </c>
    </row>
    <row r="51" spans="1:32" x14ac:dyDescent="0.25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39">
        <f>IFERROR(IF(INDEX('State Map'!$C:$C,MATCH(TRIM('RZSPbS-psgr-ldv'!$A51),'State Map'!$A:$A,0))="Max Ambition",Schedules!G$7,J51),J51)</f>
        <v>0</v>
      </c>
      <c r="L51" s="39">
        <f>IFERROR(IF(INDEX('State Map'!$C:$C,MATCH(TRIM('RZSPbS-psgr-ldv'!$A51),'State Map'!$A:$A,0))="Max Ambition",Schedules!H$7,K51),K51)</f>
        <v>0</v>
      </c>
      <c r="M51" s="39">
        <f>IFERROR(IF(INDEX('State Map'!$C:$C,MATCH(TRIM('RZSPbS-psgr-ldv'!$A51),'State Map'!$A:$A,0))="Max Ambition",Schedules!I$7,L51),L51)</f>
        <v>0</v>
      </c>
      <c r="N51" s="39">
        <f>IFERROR(IF(INDEX('State Map'!$C:$C,MATCH(TRIM('RZSPbS-psgr-ldv'!$A51),'State Map'!$A:$A,0))="Max Ambition",Schedules!J$7,M51),M51)</f>
        <v>0</v>
      </c>
      <c r="O51" s="39">
        <f>IFERROR(IF(INDEX('State Map'!$C:$C,MATCH(TRIM('RZSPbS-psgr-ldv'!$A51),'State Map'!$A:$A,0))="Max Ambition",Schedules!K$7,N51),N51)</f>
        <v>0</v>
      </c>
      <c r="P51" s="39">
        <f>IFERROR(IF(INDEX('State Map'!$C:$C,MATCH(TRIM('RZSPbS-psgr-ldv'!$A51),'State Map'!$A:$A,0))="Max Ambition",Schedules!L$7,O51),O51)</f>
        <v>0</v>
      </c>
      <c r="Q51" s="39">
        <f>IFERROR(IF(INDEX('State Map'!$C:$C,MATCH(TRIM('RZSPbS-psgr-ldv'!$A51),'State Map'!$A:$A,0))="Max Ambition",Schedules!M$7,P51),P51)</f>
        <v>0</v>
      </c>
      <c r="R51" s="39">
        <f>IFERROR(IF(INDEX('State Map'!$C:$C,MATCH(TRIM('RZSPbS-psgr-ldv'!$A51),'State Map'!$A:$A,0))="Max Ambition",Schedules!N$7,Q51),Q51)</f>
        <v>0</v>
      </c>
      <c r="S51" s="39">
        <f>IFERROR(IF(INDEX('State Map'!$C:$C,MATCH(TRIM('RZSPbS-psgr-ldv'!$A51),'State Map'!$A:$A,0))="Max Ambition",Schedules!O$7,R51),R51)</f>
        <v>0</v>
      </c>
      <c r="T51" s="39">
        <f>IFERROR(IF(INDEX('State Map'!$C:$C,MATCH(TRIM('RZSPbS-psgr-ldv'!$A51),'State Map'!$A:$A,0))="Max Ambition",Schedules!P$7,S51),S51)</f>
        <v>0</v>
      </c>
      <c r="U51" s="39">
        <f>IFERROR(IF(INDEX('State Map'!$C:$C,MATCH(TRIM('RZSPbS-psgr-ldv'!$A51),'State Map'!$A:$A,0))="Max Ambition",Schedules!Q$7,T51),T51)</f>
        <v>0</v>
      </c>
      <c r="V51" s="39">
        <f>IFERROR(IF(INDEX('State Map'!$C:$C,MATCH(TRIM('RZSPbS-psgr-ldv'!$A51),'State Map'!$A:$A,0))="Max Ambition",Schedules!R$7,U51),U51)</f>
        <v>0</v>
      </c>
      <c r="W51" s="39">
        <f>IFERROR(IF(INDEX('State Map'!$C:$C,MATCH(TRIM('RZSPbS-psgr-ldv'!$A51),'State Map'!$A:$A,0))="Max Ambition",Schedules!S$7,V51),V51)</f>
        <v>0</v>
      </c>
      <c r="X51" s="39">
        <f>IFERROR(IF(INDEX('State Map'!$C:$C,MATCH(TRIM('RZSPbS-psgr-ldv'!$A51),'State Map'!$A:$A,0))="Max Ambition",Schedules!T$7,W51),W51)</f>
        <v>0</v>
      </c>
      <c r="Y51" s="39">
        <f>IFERROR(IF(INDEX('State Map'!$C:$C,MATCH(TRIM('RZSPbS-psgr-ldv'!$A51),'State Map'!$A:$A,0))="Max Ambition",Schedules!U$7,X51),X51)</f>
        <v>0</v>
      </c>
      <c r="Z51" s="39">
        <f>IFERROR(IF(INDEX('State Map'!$C:$C,MATCH(TRIM('RZSPbS-psgr-ldv'!$A51),'State Map'!$A:$A,0))="Max Ambition",Schedules!V$7,Y51),Y51)</f>
        <v>0</v>
      </c>
      <c r="AA51" s="39">
        <f>IFERROR(IF(INDEX('State Map'!$C:$C,MATCH(TRIM('RZSPbS-psgr-ldv'!$A51),'State Map'!$A:$A,0))="Max Ambition",Schedules!W$7,Z51),Z51)</f>
        <v>0</v>
      </c>
      <c r="AB51" s="39">
        <f>IFERROR(IF(INDEX('State Map'!$C:$C,MATCH(TRIM('RZSPbS-psgr-ldv'!$A51),'State Map'!$A:$A,0))="Max Ambition",Schedules!X$7,AA51),AA51)</f>
        <v>0</v>
      </c>
      <c r="AC51" s="39">
        <f>IFERROR(IF(INDEX('State Map'!$C:$C,MATCH(TRIM('RZSPbS-psgr-ldv'!$A51),'State Map'!$A:$A,0))="Max Ambition",Schedules!Y$7,AB51),AB51)</f>
        <v>0</v>
      </c>
      <c r="AD51" s="39">
        <f>IFERROR(IF(INDEX('State Map'!$C:$C,MATCH(TRIM('RZSPbS-psgr-ldv'!$A51),'State Map'!$A:$A,0))="Max Ambition",Schedules!Z$7,AC51),AC51)</f>
        <v>0</v>
      </c>
      <c r="AE51" s="39">
        <f>IFERROR(IF(INDEX('State Map'!$C:$C,MATCH(TRIM('RZSPbS-psgr-ldv'!$A51),'State Map'!$A:$A,0))="Max Ambition",Schedules!AA$7,AD51),AD51)</f>
        <v>0</v>
      </c>
      <c r="AF51" s="39">
        <f>IFERROR(IF(INDEX('State Map'!$C:$C,MATCH(TRIM('RZSPbS-psgr-ldv'!$A51),'State Map'!$A:$A,0))="Max Ambition",Schedules!AB$7,AE51),AE51)</f>
        <v>0</v>
      </c>
    </row>
    <row r="52" spans="1:32" x14ac:dyDescent="0.25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39">
        <f>IFERROR(IF(INDEX('State Map'!$C:$C,MATCH(TRIM('RZSPbS-psgr-ldv'!$A52),'State Map'!$A:$A,0))="Max Ambition",Schedules!G$7,J52),J52)</f>
        <v>0</v>
      </c>
      <c r="L52" s="39">
        <f>IFERROR(IF(INDEX('State Map'!$C:$C,MATCH(TRIM('RZSPbS-psgr-ldv'!$A52),'State Map'!$A:$A,0))="Max Ambition",Schedules!H$7,K52),K52)</f>
        <v>0</v>
      </c>
      <c r="M52" s="39">
        <f>IFERROR(IF(INDEX('State Map'!$C:$C,MATCH(TRIM('RZSPbS-psgr-ldv'!$A52),'State Map'!$A:$A,0))="Max Ambition",Schedules!I$7,L52),L52)</f>
        <v>0</v>
      </c>
      <c r="N52" s="39">
        <f>IFERROR(IF(INDEX('State Map'!$C:$C,MATCH(TRIM('RZSPbS-psgr-ldv'!$A52),'State Map'!$A:$A,0))="Max Ambition",Schedules!J$7,M52),M52)</f>
        <v>0</v>
      </c>
      <c r="O52" s="39">
        <f>IFERROR(IF(INDEX('State Map'!$C:$C,MATCH(TRIM('RZSPbS-psgr-ldv'!$A52),'State Map'!$A:$A,0))="Max Ambition",Schedules!K$7,N52),N52)</f>
        <v>0</v>
      </c>
      <c r="P52" s="39">
        <f>IFERROR(IF(INDEX('State Map'!$C:$C,MATCH(TRIM('RZSPbS-psgr-ldv'!$A52),'State Map'!$A:$A,0))="Max Ambition",Schedules!L$7,O52),O52)</f>
        <v>0</v>
      </c>
      <c r="Q52" s="39">
        <f>IFERROR(IF(INDEX('State Map'!$C:$C,MATCH(TRIM('RZSPbS-psgr-ldv'!$A52),'State Map'!$A:$A,0))="Max Ambition",Schedules!M$7,P52),P52)</f>
        <v>0</v>
      </c>
      <c r="R52" s="39">
        <f>IFERROR(IF(INDEX('State Map'!$C:$C,MATCH(TRIM('RZSPbS-psgr-ldv'!$A52),'State Map'!$A:$A,0))="Max Ambition",Schedules!N$7,Q52),Q52)</f>
        <v>0</v>
      </c>
      <c r="S52" s="39">
        <f>IFERROR(IF(INDEX('State Map'!$C:$C,MATCH(TRIM('RZSPbS-psgr-ldv'!$A52),'State Map'!$A:$A,0))="Max Ambition",Schedules!O$7,R52),R52)</f>
        <v>0</v>
      </c>
      <c r="T52" s="39">
        <f>IFERROR(IF(INDEX('State Map'!$C:$C,MATCH(TRIM('RZSPbS-psgr-ldv'!$A52),'State Map'!$A:$A,0))="Max Ambition",Schedules!P$7,S52),S52)</f>
        <v>0</v>
      </c>
      <c r="U52" s="39">
        <f>IFERROR(IF(INDEX('State Map'!$C:$C,MATCH(TRIM('RZSPbS-psgr-ldv'!$A52),'State Map'!$A:$A,0))="Max Ambition",Schedules!Q$7,T52),T52)</f>
        <v>0</v>
      </c>
      <c r="V52" s="39">
        <f>IFERROR(IF(INDEX('State Map'!$C:$C,MATCH(TRIM('RZSPbS-psgr-ldv'!$A52),'State Map'!$A:$A,0))="Max Ambition",Schedules!R$7,U52),U52)</f>
        <v>0</v>
      </c>
      <c r="W52" s="39">
        <f>IFERROR(IF(INDEX('State Map'!$C:$C,MATCH(TRIM('RZSPbS-psgr-ldv'!$A52),'State Map'!$A:$A,0))="Max Ambition",Schedules!S$7,V52),V52)</f>
        <v>0</v>
      </c>
      <c r="X52" s="39">
        <f>IFERROR(IF(INDEX('State Map'!$C:$C,MATCH(TRIM('RZSPbS-psgr-ldv'!$A52),'State Map'!$A:$A,0))="Max Ambition",Schedules!T$7,W52),W52)</f>
        <v>0</v>
      </c>
      <c r="Y52" s="39">
        <f>IFERROR(IF(INDEX('State Map'!$C:$C,MATCH(TRIM('RZSPbS-psgr-ldv'!$A52),'State Map'!$A:$A,0))="Max Ambition",Schedules!U$7,X52),X52)</f>
        <v>0</v>
      </c>
      <c r="Z52" s="39">
        <f>IFERROR(IF(INDEX('State Map'!$C:$C,MATCH(TRIM('RZSPbS-psgr-ldv'!$A52),'State Map'!$A:$A,0))="Max Ambition",Schedules!V$7,Y52),Y52)</f>
        <v>0</v>
      </c>
      <c r="AA52" s="39">
        <f>IFERROR(IF(INDEX('State Map'!$C:$C,MATCH(TRIM('RZSPbS-psgr-ldv'!$A52),'State Map'!$A:$A,0))="Max Ambition",Schedules!W$7,Z52),Z52)</f>
        <v>0</v>
      </c>
      <c r="AB52" s="39">
        <f>IFERROR(IF(INDEX('State Map'!$C:$C,MATCH(TRIM('RZSPbS-psgr-ldv'!$A52),'State Map'!$A:$A,0))="Max Ambition",Schedules!X$7,AA52),AA52)</f>
        <v>0</v>
      </c>
      <c r="AC52" s="39">
        <f>IFERROR(IF(INDEX('State Map'!$C:$C,MATCH(TRIM('RZSPbS-psgr-ldv'!$A52),'State Map'!$A:$A,0))="Max Ambition",Schedules!Y$7,AB52),AB52)</f>
        <v>0</v>
      </c>
      <c r="AD52" s="39">
        <f>IFERROR(IF(INDEX('State Map'!$C:$C,MATCH(TRIM('RZSPbS-psgr-ldv'!$A52),'State Map'!$A:$A,0))="Max Ambition",Schedules!Z$7,AC52),AC52)</f>
        <v>0</v>
      </c>
      <c r="AE52" s="39">
        <f>IFERROR(IF(INDEX('State Map'!$C:$C,MATCH(TRIM('RZSPbS-psgr-ldv'!$A52),'State Map'!$A:$A,0))="Max Ambition",Schedules!AA$7,AD52),AD52)</f>
        <v>0</v>
      </c>
      <c r="AF52" s="39">
        <f>IFERROR(IF(INDEX('State Map'!$C:$C,MATCH(TRIM('RZSPbS-psgr-ldv'!$A52),'State Map'!$A:$A,0))="Max Ambition",Schedules!AB$7,AE52),AE52)</f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39">
        <f>IFERROR(IF(INDEX('State Map'!$C:$C,MATCH(TRIM('RZSPbS-psgr-ldv'!$A53),'State Map'!$A:$A,0))="Max Ambition",Schedules!G$7,J53),J53)</f>
        <v>0</v>
      </c>
      <c r="L53" s="39">
        <f>IFERROR(IF(INDEX('State Map'!$C:$C,MATCH(TRIM('RZSPbS-psgr-ldv'!$A53),'State Map'!$A:$A,0))="Max Ambition",Schedules!H$7,K53),K53)</f>
        <v>0</v>
      </c>
      <c r="M53" s="39">
        <f>IFERROR(IF(INDEX('State Map'!$C:$C,MATCH(TRIM('RZSPbS-psgr-ldv'!$A53),'State Map'!$A:$A,0))="Max Ambition",Schedules!I$7,L53),L53)</f>
        <v>0</v>
      </c>
      <c r="N53" s="39">
        <f>IFERROR(IF(INDEX('State Map'!$C:$C,MATCH(TRIM('RZSPbS-psgr-ldv'!$A53),'State Map'!$A:$A,0))="Max Ambition",Schedules!J$7,M53),M53)</f>
        <v>0</v>
      </c>
      <c r="O53" s="39">
        <f>IFERROR(IF(INDEX('State Map'!$C:$C,MATCH(TRIM('RZSPbS-psgr-ldv'!$A53),'State Map'!$A:$A,0))="Max Ambition",Schedules!K$7,N53),N53)</f>
        <v>0</v>
      </c>
      <c r="P53" s="39">
        <f>IFERROR(IF(INDEX('State Map'!$C:$C,MATCH(TRIM('RZSPbS-psgr-ldv'!$A53),'State Map'!$A:$A,0))="Max Ambition",Schedules!L$7,O53),O53)</f>
        <v>0</v>
      </c>
      <c r="Q53" s="39">
        <f>IFERROR(IF(INDEX('State Map'!$C:$C,MATCH(TRIM('RZSPbS-psgr-ldv'!$A53),'State Map'!$A:$A,0))="Max Ambition",Schedules!M$7,P53),P53)</f>
        <v>0</v>
      </c>
      <c r="R53" s="39">
        <f>IFERROR(IF(INDEX('State Map'!$C:$C,MATCH(TRIM('RZSPbS-psgr-ldv'!$A53),'State Map'!$A:$A,0))="Max Ambition",Schedules!N$7,Q53),Q53)</f>
        <v>0</v>
      </c>
      <c r="S53" s="39">
        <f>IFERROR(IF(INDEX('State Map'!$C:$C,MATCH(TRIM('RZSPbS-psgr-ldv'!$A53),'State Map'!$A:$A,0))="Max Ambition",Schedules!O$7,R53),R53)</f>
        <v>0</v>
      </c>
      <c r="T53" s="39">
        <f>IFERROR(IF(INDEX('State Map'!$C:$C,MATCH(TRIM('RZSPbS-psgr-ldv'!$A53),'State Map'!$A:$A,0))="Max Ambition",Schedules!P$7,S53),S53)</f>
        <v>0</v>
      </c>
      <c r="U53" s="39">
        <f>IFERROR(IF(INDEX('State Map'!$C:$C,MATCH(TRIM('RZSPbS-psgr-ldv'!$A53),'State Map'!$A:$A,0))="Max Ambition",Schedules!Q$7,T53),T53)</f>
        <v>0</v>
      </c>
      <c r="V53" s="39">
        <f>IFERROR(IF(INDEX('State Map'!$C:$C,MATCH(TRIM('RZSPbS-psgr-ldv'!$A53),'State Map'!$A:$A,0))="Max Ambition",Schedules!R$7,U53),U53)</f>
        <v>0</v>
      </c>
      <c r="W53" s="39">
        <f>IFERROR(IF(INDEX('State Map'!$C:$C,MATCH(TRIM('RZSPbS-psgr-ldv'!$A53),'State Map'!$A:$A,0))="Max Ambition",Schedules!S$7,V53),V53)</f>
        <v>0</v>
      </c>
      <c r="X53" s="39">
        <f>IFERROR(IF(INDEX('State Map'!$C:$C,MATCH(TRIM('RZSPbS-psgr-ldv'!$A53),'State Map'!$A:$A,0))="Max Ambition",Schedules!T$7,W53),W53)</f>
        <v>0</v>
      </c>
      <c r="Y53" s="39">
        <f>IFERROR(IF(INDEX('State Map'!$C:$C,MATCH(TRIM('RZSPbS-psgr-ldv'!$A53),'State Map'!$A:$A,0))="Max Ambition",Schedules!U$7,X53),X53)</f>
        <v>0</v>
      </c>
      <c r="Z53" s="39">
        <f>IFERROR(IF(INDEX('State Map'!$C:$C,MATCH(TRIM('RZSPbS-psgr-ldv'!$A53),'State Map'!$A:$A,0))="Max Ambition",Schedules!V$7,Y53),Y53)</f>
        <v>0</v>
      </c>
      <c r="AA53" s="39">
        <f>IFERROR(IF(INDEX('State Map'!$C:$C,MATCH(TRIM('RZSPbS-psgr-ldv'!$A53),'State Map'!$A:$A,0))="Max Ambition",Schedules!W$7,Z53),Z53)</f>
        <v>0</v>
      </c>
      <c r="AB53" s="39">
        <f>IFERROR(IF(INDEX('State Map'!$C:$C,MATCH(TRIM('RZSPbS-psgr-ldv'!$A53),'State Map'!$A:$A,0))="Max Ambition",Schedules!X$7,AA53),AA53)</f>
        <v>0</v>
      </c>
      <c r="AC53" s="39">
        <f>IFERROR(IF(INDEX('State Map'!$C:$C,MATCH(TRIM('RZSPbS-psgr-ldv'!$A53),'State Map'!$A:$A,0))="Max Ambition",Schedules!Y$7,AB53),AB53)</f>
        <v>0</v>
      </c>
      <c r="AD53" s="39">
        <f>IFERROR(IF(INDEX('State Map'!$C:$C,MATCH(TRIM('RZSPbS-psgr-ldv'!$A53),'State Map'!$A:$A,0))="Max Ambition",Schedules!Z$7,AC53),AC53)</f>
        <v>0</v>
      </c>
      <c r="AE53" s="39">
        <f>IFERROR(IF(INDEX('State Map'!$C:$C,MATCH(TRIM('RZSPbS-psgr-ldv'!$A53),'State Map'!$A:$A,0))="Max Ambition",Schedules!AA$7,AD53),AD53)</f>
        <v>0</v>
      </c>
      <c r="AF53" s="39">
        <f>IFERROR(IF(INDEX('State Map'!$C:$C,MATCH(TRIM('RZSPbS-psgr-ldv'!$A53),'State Map'!$A:$A,0))="Max Ambition",Schedules!AB$7,AE53),AE53)</f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s="39">
        <f>IFERROR(IF(INDEX('State Map'!$C:$C,MATCH(TRIM('RZSPbS-psgr-ldv'!$A54),'State Map'!$A:$A,0))="Max Ambition",Schedules!G$7,J54),J54)</f>
        <v>0</v>
      </c>
      <c r="L54" s="39">
        <f>IFERROR(IF(INDEX('State Map'!$C:$C,MATCH(TRIM('RZSPbS-psgr-ldv'!$A54),'State Map'!$A:$A,0))="Max Ambition",Schedules!H$7,K54),K54)</f>
        <v>0</v>
      </c>
      <c r="M54" s="39">
        <f>IFERROR(IF(INDEX('State Map'!$C:$C,MATCH(TRIM('RZSPbS-psgr-ldv'!$A54),'State Map'!$A:$A,0))="Max Ambition",Schedules!I$7,L54),L54)</f>
        <v>0</v>
      </c>
      <c r="N54" s="39">
        <f>IFERROR(IF(INDEX('State Map'!$C:$C,MATCH(TRIM('RZSPbS-psgr-ldv'!$A54),'State Map'!$A:$A,0))="Max Ambition",Schedules!J$7,M54),M54)</f>
        <v>0</v>
      </c>
      <c r="O54" s="39">
        <f>IFERROR(IF(INDEX('State Map'!$C:$C,MATCH(TRIM('RZSPbS-psgr-ldv'!$A54),'State Map'!$A:$A,0))="Max Ambition",Schedules!K$7,N54),N54)</f>
        <v>0</v>
      </c>
      <c r="P54" s="39">
        <f>IFERROR(IF(INDEX('State Map'!$C:$C,MATCH(TRIM('RZSPbS-psgr-ldv'!$A54),'State Map'!$A:$A,0))="Max Ambition",Schedules!L$7,O54),O54)</f>
        <v>0</v>
      </c>
      <c r="Q54" s="39">
        <f>IFERROR(IF(INDEX('State Map'!$C:$C,MATCH(TRIM('RZSPbS-psgr-ldv'!$A54),'State Map'!$A:$A,0))="Max Ambition",Schedules!M$7,P54),P54)</f>
        <v>0</v>
      </c>
      <c r="R54" s="39">
        <f>IFERROR(IF(INDEX('State Map'!$C:$C,MATCH(TRIM('RZSPbS-psgr-ldv'!$A54),'State Map'!$A:$A,0))="Max Ambition",Schedules!N$7,Q54),Q54)</f>
        <v>0</v>
      </c>
      <c r="S54" s="39">
        <f>IFERROR(IF(INDEX('State Map'!$C:$C,MATCH(TRIM('RZSPbS-psgr-ldv'!$A54),'State Map'!$A:$A,0))="Max Ambition",Schedules!O$7,R54),R54)</f>
        <v>0</v>
      </c>
      <c r="T54" s="39">
        <f>IFERROR(IF(INDEX('State Map'!$C:$C,MATCH(TRIM('RZSPbS-psgr-ldv'!$A54),'State Map'!$A:$A,0))="Max Ambition",Schedules!P$7,S54),S54)</f>
        <v>0</v>
      </c>
      <c r="U54" s="39">
        <f>IFERROR(IF(INDEX('State Map'!$C:$C,MATCH(TRIM('RZSPbS-psgr-ldv'!$A54),'State Map'!$A:$A,0))="Max Ambition",Schedules!Q$7,T54),T54)</f>
        <v>0</v>
      </c>
      <c r="V54" s="39">
        <f>IFERROR(IF(INDEX('State Map'!$C:$C,MATCH(TRIM('RZSPbS-psgr-ldv'!$A54),'State Map'!$A:$A,0))="Max Ambition",Schedules!R$7,U54),U54)</f>
        <v>0</v>
      </c>
      <c r="W54" s="39">
        <f>IFERROR(IF(INDEX('State Map'!$C:$C,MATCH(TRIM('RZSPbS-psgr-ldv'!$A54),'State Map'!$A:$A,0))="Max Ambition",Schedules!S$7,V54),V54)</f>
        <v>0</v>
      </c>
      <c r="X54" s="39">
        <f>IFERROR(IF(INDEX('State Map'!$C:$C,MATCH(TRIM('RZSPbS-psgr-ldv'!$A54),'State Map'!$A:$A,0))="Max Ambition",Schedules!T$7,W54),W54)</f>
        <v>0</v>
      </c>
      <c r="Y54" s="39">
        <f>IFERROR(IF(INDEX('State Map'!$C:$C,MATCH(TRIM('RZSPbS-psgr-ldv'!$A54),'State Map'!$A:$A,0))="Max Ambition",Schedules!U$7,X54),X54)</f>
        <v>0</v>
      </c>
      <c r="Z54" s="39">
        <f>IFERROR(IF(INDEX('State Map'!$C:$C,MATCH(TRIM('RZSPbS-psgr-ldv'!$A54),'State Map'!$A:$A,0))="Max Ambition",Schedules!V$7,Y54),Y54)</f>
        <v>0</v>
      </c>
      <c r="AA54" s="39">
        <f>IFERROR(IF(INDEX('State Map'!$C:$C,MATCH(TRIM('RZSPbS-psgr-ldv'!$A54),'State Map'!$A:$A,0))="Max Ambition",Schedules!W$7,Z54),Z54)</f>
        <v>0</v>
      </c>
      <c r="AB54" s="39">
        <f>IFERROR(IF(INDEX('State Map'!$C:$C,MATCH(TRIM('RZSPbS-psgr-ldv'!$A54),'State Map'!$A:$A,0))="Max Ambition",Schedules!X$7,AA54),AA54)</f>
        <v>0</v>
      </c>
      <c r="AC54" s="39">
        <f>IFERROR(IF(INDEX('State Map'!$C:$C,MATCH(TRIM('RZSPbS-psgr-ldv'!$A54),'State Map'!$A:$A,0))="Max Ambition",Schedules!Y$7,AB54),AB54)</f>
        <v>0</v>
      </c>
      <c r="AD54" s="39">
        <f>IFERROR(IF(INDEX('State Map'!$C:$C,MATCH(TRIM('RZSPbS-psgr-ldv'!$A54),'State Map'!$A:$A,0))="Max Ambition",Schedules!Z$7,AC54),AC54)</f>
        <v>0</v>
      </c>
      <c r="AE54" s="39">
        <f>IFERROR(IF(INDEX('State Map'!$C:$C,MATCH(TRIM('RZSPbS-psgr-ldv'!$A54),'State Map'!$A:$A,0))="Max Ambition",Schedules!AA$7,AD54),AD54)</f>
        <v>0</v>
      </c>
      <c r="AF54" s="39">
        <f>IFERROR(IF(INDEX('State Map'!$C:$C,MATCH(TRIM('RZSPbS-psgr-ldv'!$A54),'State Map'!$A:$A,0))="Max Ambition",Schedules!AB$7,AE54),AE54)</f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39">
        <f>IFERROR(IF(INDEX('State Map'!$C:$C,MATCH(TRIM('RZSPbS-psgr-ldv'!$A55),'State Map'!$A:$A,0))="Max Ambition",Schedules!G$7,J55),J55)</f>
        <v>0</v>
      </c>
      <c r="L55" s="39">
        <f>IFERROR(IF(INDEX('State Map'!$C:$C,MATCH(TRIM('RZSPbS-psgr-ldv'!$A55),'State Map'!$A:$A,0))="Max Ambition",Schedules!H$7,K55),K55)</f>
        <v>0</v>
      </c>
      <c r="M55" s="39">
        <f>IFERROR(IF(INDEX('State Map'!$C:$C,MATCH(TRIM('RZSPbS-psgr-ldv'!$A55),'State Map'!$A:$A,0))="Max Ambition",Schedules!I$7,L55),L55)</f>
        <v>0</v>
      </c>
      <c r="N55" s="39">
        <f>IFERROR(IF(INDEX('State Map'!$C:$C,MATCH(TRIM('RZSPbS-psgr-ldv'!$A55),'State Map'!$A:$A,0))="Max Ambition",Schedules!J$7,M55),M55)</f>
        <v>0</v>
      </c>
      <c r="O55" s="39">
        <f>IFERROR(IF(INDEX('State Map'!$C:$C,MATCH(TRIM('RZSPbS-psgr-ldv'!$A55),'State Map'!$A:$A,0))="Max Ambition",Schedules!K$7,N55),N55)</f>
        <v>0</v>
      </c>
      <c r="P55" s="39">
        <f>IFERROR(IF(INDEX('State Map'!$C:$C,MATCH(TRIM('RZSPbS-psgr-ldv'!$A55),'State Map'!$A:$A,0))="Max Ambition",Schedules!L$7,O55),O55)</f>
        <v>0</v>
      </c>
      <c r="Q55" s="39">
        <f>IFERROR(IF(INDEX('State Map'!$C:$C,MATCH(TRIM('RZSPbS-psgr-ldv'!$A55),'State Map'!$A:$A,0))="Max Ambition",Schedules!M$7,P55),P55)</f>
        <v>0</v>
      </c>
      <c r="R55" s="39">
        <f>IFERROR(IF(INDEX('State Map'!$C:$C,MATCH(TRIM('RZSPbS-psgr-ldv'!$A55),'State Map'!$A:$A,0))="Max Ambition",Schedules!N$7,Q55),Q55)</f>
        <v>0</v>
      </c>
      <c r="S55" s="39">
        <f>IFERROR(IF(INDEX('State Map'!$C:$C,MATCH(TRIM('RZSPbS-psgr-ldv'!$A55),'State Map'!$A:$A,0))="Max Ambition",Schedules!O$7,R55),R55)</f>
        <v>0</v>
      </c>
      <c r="T55" s="39">
        <f>IFERROR(IF(INDEX('State Map'!$C:$C,MATCH(TRIM('RZSPbS-psgr-ldv'!$A55),'State Map'!$A:$A,0))="Max Ambition",Schedules!P$7,S55),S55)</f>
        <v>0</v>
      </c>
      <c r="U55" s="39">
        <f>IFERROR(IF(INDEX('State Map'!$C:$C,MATCH(TRIM('RZSPbS-psgr-ldv'!$A55),'State Map'!$A:$A,0))="Max Ambition",Schedules!Q$7,T55),T55)</f>
        <v>0</v>
      </c>
      <c r="V55" s="39">
        <f>IFERROR(IF(INDEX('State Map'!$C:$C,MATCH(TRIM('RZSPbS-psgr-ldv'!$A55),'State Map'!$A:$A,0))="Max Ambition",Schedules!R$7,U55),U55)</f>
        <v>0</v>
      </c>
      <c r="W55" s="39">
        <f>IFERROR(IF(INDEX('State Map'!$C:$C,MATCH(TRIM('RZSPbS-psgr-ldv'!$A55),'State Map'!$A:$A,0))="Max Ambition",Schedules!S$7,V55),V55)</f>
        <v>0</v>
      </c>
      <c r="X55" s="39">
        <f>IFERROR(IF(INDEX('State Map'!$C:$C,MATCH(TRIM('RZSPbS-psgr-ldv'!$A55),'State Map'!$A:$A,0))="Max Ambition",Schedules!T$7,W55),W55)</f>
        <v>0</v>
      </c>
      <c r="Y55" s="39">
        <f>IFERROR(IF(INDEX('State Map'!$C:$C,MATCH(TRIM('RZSPbS-psgr-ldv'!$A55),'State Map'!$A:$A,0))="Max Ambition",Schedules!U$7,X55),X55)</f>
        <v>0</v>
      </c>
      <c r="Z55" s="39">
        <f>IFERROR(IF(INDEX('State Map'!$C:$C,MATCH(TRIM('RZSPbS-psgr-ldv'!$A55),'State Map'!$A:$A,0))="Max Ambition",Schedules!V$7,Y55),Y55)</f>
        <v>0</v>
      </c>
      <c r="AA55" s="39">
        <f>IFERROR(IF(INDEX('State Map'!$C:$C,MATCH(TRIM('RZSPbS-psgr-ldv'!$A55),'State Map'!$A:$A,0))="Max Ambition",Schedules!W$7,Z55),Z55)</f>
        <v>0</v>
      </c>
      <c r="AB55" s="39">
        <f>IFERROR(IF(INDEX('State Map'!$C:$C,MATCH(TRIM('RZSPbS-psgr-ldv'!$A55),'State Map'!$A:$A,0))="Max Ambition",Schedules!X$7,AA55),AA55)</f>
        <v>0</v>
      </c>
      <c r="AC55" s="39">
        <f>IFERROR(IF(INDEX('State Map'!$C:$C,MATCH(TRIM('RZSPbS-psgr-ldv'!$A55),'State Map'!$A:$A,0))="Max Ambition",Schedules!Y$7,AB55),AB55)</f>
        <v>0</v>
      </c>
      <c r="AD55" s="39">
        <f>IFERROR(IF(INDEX('State Map'!$C:$C,MATCH(TRIM('RZSPbS-psgr-ldv'!$A55),'State Map'!$A:$A,0))="Max Ambition",Schedules!Z$7,AC55),AC55)</f>
        <v>0</v>
      </c>
      <c r="AE55" s="39">
        <f>IFERROR(IF(INDEX('State Map'!$C:$C,MATCH(TRIM('RZSPbS-psgr-ldv'!$A55),'State Map'!$A:$A,0))="Max Ambition",Schedules!AA$7,AD55),AD55)</f>
        <v>0</v>
      </c>
      <c r="AF55" s="39">
        <f>IFERROR(IF(INDEX('State Map'!$C:$C,MATCH(TRIM('RZSPbS-psgr-ldv'!$A55),'State Map'!$A:$A,0))="Max Ambition",Schedules!AB$7,AE55),AE55)</f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39">
        <f>IFERROR(IF(INDEX('State Map'!$C:$C,MATCH(TRIM('RZSPbS-psgr-ldv'!$A56),'State Map'!$A:$A,0))="Max Ambition",Schedules!G$7,J56),J56)</f>
        <v>0</v>
      </c>
      <c r="L56" s="39">
        <f>IFERROR(IF(INDEX('State Map'!$C:$C,MATCH(TRIM('RZSPbS-psgr-ldv'!$A56),'State Map'!$A:$A,0))="Max Ambition",Schedules!H$7,K56),K56)</f>
        <v>0</v>
      </c>
      <c r="M56" s="39">
        <f>IFERROR(IF(INDEX('State Map'!$C:$C,MATCH(TRIM('RZSPbS-psgr-ldv'!$A56),'State Map'!$A:$A,0))="Max Ambition",Schedules!I$7,L56),L56)</f>
        <v>0</v>
      </c>
      <c r="N56" s="39">
        <f>IFERROR(IF(INDEX('State Map'!$C:$C,MATCH(TRIM('RZSPbS-psgr-ldv'!$A56),'State Map'!$A:$A,0))="Max Ambition",Schedules!J$7,M56),M56)</f>
        <v>0</v>
      </c>
      <c r="O56" s="39">
        <f>IFERROR(IF(INDEX('State Map'!$C:$C,MATCH(TRIM('RZSPbS-psgr-ldv'!$A56),'State Map'!$A:$A,0))="Max Ambition",Schedules!K$7,N56),N56)</f>
        <v>0</v>
      </c>
      <c r="P56" s="39">
        <f>IFERROR(IF(INDEX('State Map'!$C:$C,MATCH(TRIM('RZSPbS-psgr-ldv'!$A56),'State Map'!$A:$A,0))="Max Ambition",Schedules!L$7,O56),O56)</f>
        <v>0</v>
      </c>
      <c r="Q56" s="39">
        <f>IFERROR(IF(INDEX('State Map'!$C:$C,MATCH(TRIM('RZSPbS-psgr-ldv'!$A56),'State Map'!$A:$A,0))="Max Ambition",Schedules!M$7,P56),P56)</f>
        <v>0</v>
      </c>
      <c r="R56" s="39">
        <f>IFERROR(IF(INDEX('State Map'!$C:$C,MATCH(TRIM('RZSPbS-psgr-ldv'!$A56),'State Map'!$A:$A,0))="Max Ambition",Schedules!N$7,Q56),Q56)</f>
        <v>0</v>
      </c>
      <c r="S56" s="39">
        <f>IFERROR(IF(INDEX('State Map'!$C:$C,MATCH(TRIM('RZSPbS-psgr-ldv'!$A56),'State Map'!$A:$A,0))="Max Ambition",Schedules!O$7,R56),R56)</f>
        <v>0</v>
      </c>
      <c r="T56" s="39">
        <f>IFERROR(IF(INDEX('State Map'!$C:$C,MATCH(TRIM('RZSPbS-psgr-ldv'!$A56),'State Map'!$A:$A,0))="Max Ambition",Schedules!P$7,S56),S56)</f>
        <v>0</v>
      </c>
      <c r="U56" s="39">
        <f>IFERROR(IF(INDEX('State Map'!$C:$C,MATCH(TRIM('RZSPbS-psgr-ldv'!$A56),'State Map'!$A:$A,0))="Max Ambition",Schedules!Q$7,T56),T56)</f>
        <v>0</v>
      </c>
      <c r="V56" s="39">
        <f>IFERROR(IF(INDEX('State Map'!$C:$C,MATCH(TRIM('RZSPbS-psgr-ldv'!$A56),'State Map'!$A:$A,0))="Max Ambition",Schedules!R$7,U56),U56)</f>
        <v>0</v>
      </c>
      <c r="W56" s="39">
        <f>IFERROR(IF(INDEX('State Map'!$C:$C,MATCH(TRIM('RZSPbS-psgr-ldv'!$A56),'State Map'!$A:$A,0))="Max Ambition",Schedules!S$7,V56),V56)</f>
        <v>0</v>
      </c>
      <c r="X56" s="39">
        <f>IFERROR(IF(INDEX('State Map'!$C:$C,MATCH(TRIM('RZSPbS-psgr-ldv'!$A56),'State Map'!$A:$A,0))="Max Ambition",Schedules!T$7,W56),W56)</f>
        <v>0</v>
      </c>
      <c r="Y56" s="39">
        <f>IFERROR(IF(INDEX('State Map'!$C:$C,MATCH(TRIM('RZSPbS-psgr-ldv'!$A56),'State Map'!$A:$A,0))="Max Ambition",Schedules!U$7,X56),X56)</f>
        <v>0</v>
      </c>
      <c r="Z56" s="39">
        <f>IFERROR(IF(INDEX('State Map'!$C:$C,MATCH(TRIM('RZSPbS-psgr-ldv'!$A56),'State Map'!$A:$A,0))="Max Ambition",Schedules!V$7,Y56),Y56)</f>
        <v>0</v>
      </c>
      <c r="AA56" s="39">
        <f>IFERROR(IF(INDEX('State Map'!$C:$C,MATCH(TRIM('RZSPbS-psgr-ldv'!$A56),'State Map'!$A:$A,0))="Max Ambition",Schedules!W$7,Z56),Z56)</f>
        <v>0</v>
      </c>
      <c r="AB56" s="39">
        <f>IFERROR(IF(INDEX('State Map'!$C:$C,MATCH(TRIM('RZSPbS-psgr-ldv'!$A56),'State Map'!$A:$A,0))="Max Ambition",Schedules!X$7,AA56),AA56)</f>
        <v>0</v>
      </c>
      <c r="AC56" s="39">
        <f>IFERROR(IF(INDEX('State Map'!$C:$C,MATCH(TRIM('RZSPbS-psgr-ldv'!$A56),'State Map'!$A:$A,0))="Max Ambition",Schedules!Y$7,AB56),AB56)</f>
        <v>0</v>
      </c>
      <c r="AD56" s="39">
        <f>IFERROR(IF(INDEX('State Map'!$C:$C,MATCH(TRIM('RZSPbS-psgr-ldv'!$A56),'State Map'!$A:$A,0))="Max Ambition",Schedules!Z$7,AC56),AC56)</f>
        <v>0</v>
      </c>
      <c r="AE56" s="39">
        <f>IFERROR(IF(INDEX('State Map'!$C:$C,MATCH(TRIM('RZSPbS-psgr-ldv'!$A56),'State Map'!$A:$A,0))="Max Ambition",Schedules!AA$7,AD56),AD56)</f>
        <v>0</v>
      </c>
      <c r="AF56" s="39">
        <f>IFERROR(IF(INDEX('State Map'!$C:$C,MATCH(TRIM('RZSPbS-psgr-ldv'!$A56),'State Map'!$A:$A,0))="Max Ambition",Schedules!AB$7,AE56),AE56)</f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39">
        <f>IFERROR(IF(INDEX('State Map'!$C:$C,MATCH(TRIM('RZSPbS-psgr-ldv'!$A57),'State Map'!$A:$A,0))="Max Ambition",Schedules!G$7,J57),J57)</f>
        <v>0</v>
      </c>
      <c r="L57" s="39">
        <f>IFERROR(IF(INDEX('State Map'!$C:$C,MATCH(TRIM('RZSPbS-psgr-ldv'!$A57),'State Map'!$A:$A,0))="Max Ambition",Schedules!H$7,K57),K57)</f>
        <v>0</v>
      </c>
      <c r="M57" s="39">
        <f>IFERROR(IF(INDEX('State Map'!$C:$C,MATCH(TRIM('RZSPbS-psgr-ldv'!$A57),'State Map'!$A:$A,0))="Max Ambition",Schedules!I$7,L57),L57)</f>
        <v>0</v>
      </c>
      <c r="N57" s="39">
        <f>IFERROR(IF(INDEX('State Map'!$C:$C,MATCH(TRIM('RZSPbS-psgr-ldv'!$A57),'State Map'!$A:$A,0))="Max Ambition",Schedules!J$7,M57),M57)</f>
        <v>0</v>
      </c>
      <c r="O57" s="39">
        <f>IFERROR(IF(INDEX('State Map'!$C:$C,MATCH(TRIM('RZSPbS-psgr-ldv'!$A57),'State Map'!$A:$A,0))="Max Ambition",Schedules!K$7,N57),N57)</f>
        <v>0</v>
      </c>
      <c r="P57" s="39">
        <f>IFERROR(IF(INDEX('State Map'!$C:$C,MATCH(TRIM('RZSPbS-psgr-ldv'!$A57),'State Map'!$A:$A,0))="Max Ambition",Schedules!L$7,O57),O57)</f>
        <v>0</v>
      </c>
      <c r="Q57" s="39">
        <f>IFERROR(IF(INDEX('State Map'!$C:$C,MATCH(TRIM('RZSPbS-psgr-ldv'!$A57),'State Map'!$A:$A,0))="Max Ambition",Schedules!M$7,P57),P57)</f>
        <v>0</v>
      </c>
      <c r="R57" s="39">
        <f>IFERROR(IF(INDEX('State Map'!$C:$C,MATCH(TRIM('RZSPbS-psgr-ldv'!$A57),'State Map'!$A:$A,0))="Max Ambition",Schedules!N$7,Q57),Q57)</f>
        <v>0</v>
      </c>
      <c r="S57" s="39">
        <f>IFERROR(IF(INDEX('State Map'!$C:$C,MATCH(TRIM('RZSPbS-psgr-ldv'!$A57),'State Map'!$A:$A,0))="Max Ambition",Schedules!O$7,R57),R57)</f>
        <v>0</v>
      </c>
      <c r="T57" s="39">
        <f>IFERROR(IF(INDEX('State Map'!$C:$C,MATCH(TRIM('RZSPbS-psgr-ldv'!$A57),'State Map'!$A:$A,0))="Max Ambition",Schedules!P$7,S57),S57)</f>
        <v>0</v>
      </c>
      <c r="U57" s="39">
        <f>IFERROR(IF(INDEX('State Map'!$C:$C,MATCH(TRIM('RZSPbS-psgr-ldv'!$A57),'State Map'!$A:$A,0))="Max Ambition",Schedules!Q$7,T57),T57)</f>
        <v>0</v>
      </c>
      <c r="V57" s="39">
        <f>IFERROR(IF(INDEX('State Map'!$C:$C,MATCH(TRIM('RZSPbS-psgr-ldv'!$A57),'State Map'!$A:$A,0))="Max Ambition",Schedules!R$7,U57),U57)</f>
        <v>0</v>
      </c>
      <c r="W57" s="39">
        <f>IFERROR(IF(INDEX('State Map'!$C:$C,MATCH(TRIM('RZSPbS-psgr-ldv'!$A57),'State Map'!$A:$A,0))="Max Ambition",Schedules!S$7,V57),V57)</f>
        <v>0</v>
      </c>
      <c r="X57" s="39">
        <f>IFERROR(IF(INDEX('State Map'!$C:$C,MATCH(TRIM('RZSPbS-psgr-ldv'!$A57),'State Map'!$A:$A,0))="Max Ambition",Schedules!T$7,W57),W57)</f>
        <v>0</v>
      </c>
      <c r="Y57" s="39">
        <f>IFERROR(IF(INDEX('State Map'!$C:$C,MATCH(TRIM('RZSPbS-psgr-ldv'!$A57),'State Map'!$A:$A,0))="Max Ambition",Schedules!U$7,X57),X57)</f>
        <v>0</v>
      </c>
      <c r="Z57" s="39">
        <f>IFERROR(IF(INDEX('State Map'!$C:$C,MATCH(TRIM('RZSPbS-psgr-ldv'!$A57),'State Map'!$A:$A,0))="Max Ambition",Schedules!V$7,Y57),Y57)</f>
        <v>0</v>
      </c>
      <c r="AA57" s="39">
        <f>IFERROR(IF(INDEX('State Map'!$C:$C,MATCH(TRIM('RZSPbS-psgr-ldv'!$A57),'State Map'!$A:$A,0))="Max Ambition",Schedules!W$7,Z57),Z57)</f>
        <v>0</v>
      </c>
      <c r="AB57" s="39">
        <f>IFERROR(IF(INDEX('State Map'!$C:$C,MATCH(TRIM('RZSPbS-psgr-ldv'!$A57),'State Map'!$A:$A,0))="Max Ambition",Schedules!X$7,AA57),AA57)</f>
        <v>0</v>
      </c>
      <c r="AC57" s="39">
        <f>IFERROR(IF(INDEX('State Map'!$C:$C,MATCH(TRIM('RZSPbS-psgr-ldv'!$A57),'State Map'!$A:$A,0))="Max Ambition",Schedules!Y$7,AB57),AB57)</f>
        <v>0</v>
      </c>
      <c r="AD57" s="39">
        <f>IFERROR(IF(INDEX('State Map'!$C:$C,MATCH(TRIM('RZSPbS-psgr-ldv'!$A57),'State Map'!$A:$A,0))="Max Ambition",Schedules!Z$7,AC57),AC57)</f>
        <v>0</v>
      </c>
      <c r="AE57" s="39">
        <f>IFERROR(IF(INDEX('State Map'!$C:$C,MATCH(TRIM('RZSPbS-psgr-ldv'!$A57),'State Map'!$A:$A,0))="Max Ambition",Schedules!AA$7,AD57),AD57)</f>
        <v>0</v>
      </c>
      <c r="AF57" s="39">
        <f>IFERROR(IF(INDEX('State Map'!$C:$C,MATCH(TRIM('RZSPbS-psgr-ldv'!$A57),'State Map'!$A:$A,0))="Max Ambition",Schedules!AB$7,AE57),AE57)</f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39">
        <f>IFERROR(IF(INDEX('State Map'!$C:$C,MATCH(TRIM('RZSPbS-psgr-ldv'!$A58),'State Map'!$A:$A,0))="Max Ambition",Schedules!G$7,J58),J58)</f>
        <v>0</v>
      </c>
      <c r="L58" s="39">
        <f>IFERROR(IF(INDEX('State Map'!$C:$C,MATCH(TRIM('RZSPbS-psgr-ldv'!$A58),'State Map'!$A:$A,0))="Max Ambition",Schedules!H$7,K58),K58)</f>
        <v>0</v>
      </c>
      <c r="M58" s="39">
        <f>IFERROR(IF(INDEX('State Map'!$C:$C,MATCH(TRIM('RZSPbS-psgr-ldv'!$A58),'State Map'!$A:$A,0))="Max Ambition",Schedules!I$7,L58),L58)</f>
        <v>0</v>
      </c>
      <c r="N58" s="39">
        <f>IFERROR(IF(INDEX('State Map'!$C:$C,MATCH(TRIM('RZSPbS-psgr-ldv'!$A58),'State Map'!$A:$A,0))="Max Ambition",Schedules!J$7,M58),M58)</f>
        <v>0</v>
      </c>
      <c r="O58" s="39">
        <f>IFERROR(IF(INDEX('State Map'!$C:$C,MATCH(TRIM('RZSPbS-psgr-ldv'!$A58),'State Map'!$A:$A,0))="Max Ambition",Schedules!K$7,N58),N58)</f>
        <v>0</v>
      </c>
      <c r="P58" s="39">
        <f>IFERROR(IF(INDEX('State Map'!$C:$C,MATCH(TRIM('RZSPbS-psgr-ldv'!$A58),'State Map'!$A:$A,0))="Max Ambition",Schedules!L$7,O58),O58)</f>
        <v>0</v>
      </c>
      <c r="Q58" s="39">
        <f>IFERROR(IF(INDEX('State Map'!$C:$C,MATCH(TRIM('RZSPbS-psgr-ldv'!$A58),'State Map'!$A:$A,0))="Max Ambition",Schedules!M$7,P58),P58)</f>
        <v>0</v>
      </c>
      <c r="R58" s="39">
        <f>IFERROR(IF(INDEX('State Map'!$C:$C,MATCH(TRIM('RZSPbS-psgr-ldv'!$A58),'State Map'!$A:$A,0))="Max Ambition",Schedules!N$7,Q58),Q58)</f>
        <v>0</v>
      </c>
      <c r="S58" s="39">
        <f>IFERROR(IF(INDEX('State Map'!$C:$C,MATCH(TRIM('RZSPbS-psgr-ldv'!$A58),'State Map'!$A:$A,0))="Max Ambition",Schedules!O$7,R58),R58)</f>
        <v>0</v>
      </c>
      <c r="T58" s="39">
        <f>IFERROR(IF(INDEX('State Map'!$C:$C,MATCH(TRIM('RZSPbS-psgr-ldv'!$A58),'State Map'!$A:$A,0))="Max Ambition",Schedules!P$7,S58),S58)</f>
        <v>0</v>
      </c>
      <c r="U58" s="39">
        <f>IFERROR(IF(INDEX('State Map'!$C:$C,MATCH(TRIM('RZSPbS-psgr-ldv'!$A58),'State Map'!$A:$A,0))="Max Ambition",Schedules!Q$7,T58),T58)</f>
        <v>0</v>
      </c>
      <c r="V58" s="39">
        <f>IFERROR(IF(INDEX('State Map'!$C:$C,MATCH(TRIM('RZSPbS-psgr-ldv'!$A58),'State Map'!$A:$A,0))="Max Ambition",Schedules!R$7,U58),U58)</f>
        <v>0</v>
      </c>
      <c r="W58" s="39">
        <f>IFERROR(IF(INDEX('State Map'!$C:$C,MATCH(TRIM('RZSPbS-psgr-ldv'!$A58),'State Map'!$A:$A,0))="Max Ambition",Schedules!S$7,V58),V58)</f>
        <v>0</v>
      </c>
      <c r="X58" s="39">
        <f>IFERROR(IF(INDEX('State Map'!$C:$C,MATCH(TRIM('RZSPbS-psgr-ldv'!$A58),'State Map'!$A:$A,0))="Max Ambition",Schedules!T$7,W58),W58)</f>
        <v>0</v>
      </c>
      <c r="Y58" s="39">
        <f>IFERROR(IF(INDEX('State Map'!$C:$C,MATCH(TRIM('RZSPbS-psgr-ldv'!$A58),'State Map'!$A:$A,0))="Max Ambition",Schedules!U$7,X58),X58)</f>
        <v>0</v>
      </c>
      <c r="Z58" s="39">
        <f>IFERROR(IF(INDEX('State Map'!$C:$C,MATCH(TRIM('RZSPbS-psgr-ldv'!$A58),'State Map'!$A:$A,0))="Max Ambition",Schedules!V$7,Y58),Y58)</f>
        <v>0</v>
      </c>
      <c r="AA58" s="39">
        <f>IFERROR(IF(INDEX('State Map'!$C:$C,MATCH(TRIM('RZSPbS-psgr-ldv'!$A58),'State Map'!$A:$A,0))="Max Ambition",Schedules!W$7,Z58),Z58)</f>
        <v>0</v>
      </c>
      <c r="AB58" s="39">
        <f>IFERROR(IF(INDEX('State Map'!$C:$C,MATCH(TRIM('RZSPbS-psgr-ldv'!$A58),'State Map'!$A:$A,0))="Max Ambition",Schedules!X$7,AA58),AA58)</f>
        <v>0</v>
      </c>
      <c r="AC58" s="39">
        <f>IFERROR(IF(INDEX('State Map'!$C:$C,MATCH(TRIM('RZSPbS-psgr-ldv'!$A58),'State Map'!$A:$A,0))="Max Ambition",Schedules!Y$7,AB58),AB58)</f>
        <v>0</v>
      </c>
      <c r="AD58" s="39">
        <f>IFERROR(IF(INDEX('State Map'!$C:$C,MATCH(TRIM('RZSPbS-psgr-ldv'!$A58),'State Map'!$A:$A,0))="Max Ambition",Schedules!Z$7,AC58),AC58)</f>
        <v>0</v>
      </c>
      <c r="AE58" s="39">
        <f>IFERROR(IF(INDEX('State Map'!$C:$C,MATCH(TRIM('RZSPbS-psgr-ldv'!$A58),'State Map'!$A:$A,0))="Max Ambition",Schedules!AA$7,AD58),AD58)</f>
        <v>0</v>
      </c>
      <c r="AF58" s="39">
        <f>IFERROR(IF(INDEX('State Map'!$C:$C,MATCH(TRIM('RZSPbS-psgr-ldv'!$A58),'State Map'!$A:$A,0))="Max Ambition",Schedules!AB$7,AE58),AE58)</f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39">
        <f>IFERROR(IF(INDEX('State Map'!$C:$C,MATCH(TRIM('RZSPbS-psgr-ldv'!$A59),'State Map'!$A:$A,0))="Max Ambition",Schedules!G$7,J59),J59)</f>
        <v>0</v>
      </c>
      <c r="L59" s="39">
        <f>IFERROR(IF(INDEX('State Map'!$C:$C,MATCH(TRIM('RZSPbS-psgr-ldv'!$A59),'State Map'!$A:$A,0))="Max Ambition",Schedules!H$7,K59),K59)</f>
        <v>0</v>
      </c>
      <c r="M59" s="39">
        <f>IFERROR(IF(INDEX('State Map'!$C:$C,MATCH(TRIM('RZSPbS-psgr-ldv'!$A59),'State Map'!$A:$A,0))="Max Ambition",Schedules!I$7,L59),L59)</f>
        <v>0</v>
      </c>
      <c r="N59" s="39">
        <f>IFERROR(IF(INDEX('State Map'!$C:$C,MATCH(TRIM('RZSPbS-psgr-ldv'!$A59),'State Map'!$A:$A,0))="Max Ambition",Schedules!J$7,M59),M59)</f>
        <v>0</v>
      </c>
      <c r="O59" s="39">
        <f>IFERROR(IF(INDEX('State Map'!$C:$C,MATCH(TRIM('RZSPbS-psgr-ldv'!$A59),'State Map'!$A:$A,0))="Max Ambition",Schedules!K$7,N59),N59)</f>
        <v>0</v>
      </c>
      <c r="P59" s="39">
        <f>IFERROR(IF(INDEX('State Map'!$C:$C,MATCH(TRIM('RZSPbS-psgr-ldv'!$A59),'State Map'!$A:$A,0))="Max Ambition",Schedules!L$7,O59),O59)</f>
        <v>0</v>
      </c>
      <c r="Q59" s="39">
        <f>IFERROR(IF(INDEX('State Map'!$C:$C,MATCH(TRIM('RZSPbS-psgr-ldv'!$A59),'State Map'!$A:$A,0))="Max Ambition",Schedules!M$7,P59),P59)</f>
        <v>0</v>
      </c>
      <c r="R59" s="39">
        <f>IFERROR(IF(INDEX('State Map'!$C:$C,MATCH(TRIM('RZSPbS-psgr-ldv'!$A59),'State Map'!$A:$A,0))="Max Ambition",Schedules!N$7,Q59),Q59)</f>
        <v>0</v>
      </c>
      <c r="S59" s="39">
        <f>IFERROR(IF(INDEX('State Map'!$C:$C,MATCH(TRIM('RZSPbS-psgr-ldv'!$A59),'State Map'!$A:$A,0))="Max Ambition",Schedules!O$7,R59),R59)</f>
        <v>0</v>
      </c>
      <c r="T59" s="39">
        <f>IFERROR(IF(INDEX('State Map'!$C:$C,MATCH(TRIM('RZSPbS-psgr-ldv'!$A59),'State Map'!$A:$A,0))="Max Ambition",Schedules!P$7,S59),S59)</f>
        <v>0</v>
      </c>
      <c r="U59" s="39">
        <f>IFERROR(IF(INDEX('State Map'!$C:$C,MATCH(TRIM('RZSPbS-psgr-ldv'!$A59),'State Map'!$A:$A,0))="Max Ambition",Schedules!Q$7,T59),T59)</f>
        <v>0</v>
      </c>
      <c r="V59" s="39">
        <f>IFERROR(IF(INDEX('State Map'!$C:$C,MATCH(TRIM('RZSPbS-psgr-ldv'!$A59),'State Map'!$A:$A,0))="Max Ambition",Schedules!R$7,U59),U59)</f>
        <v>0</v>
      </c>
      <c r="W59" s="39">
        <f>IFERROR(IF(INDEX('State Map'!$C:$C,MATCH(TRIM('RZSPbS-psgr-ldv'!$A59),'State Map'!$A:$A,0))="Max Ambition",Schedules!S$7,V59),V59)</f>
        <v>0</v>
      </c>
      <c r="X59" s="39">
        <f>IFERROR(IF(INDEX('State Map'!$C:$C,MATCH(TRIM('RZSPbS-psgr-ldv'!$A59),'State Map'!$A:$A,0))="Max Ambition",Schedules!T$7,W59),W59)</f>
        <v>0</v>
      </c>
      <c r="Y59" s="39">
        <f>IFERROR(IF(INDEX('State Map'!$C:$C,MATCH(TRIM('RZSPbS-psgr-ldv'!$A59),'State Map'!$A:$A,0))="Max Ambition",Schedules!U$7,X59),X59)</f>
        <v>0</v>
      </c>
      <c r="Z59" s="39">
        <f>IFERROR(IF(INDEX('State Map'!$C:$C,MATCH(TRIM('RZSPbS-psgr-ldv'!$A59),'State Map'!$A:$A,0))="Max Ambition",Schedules!V$7,Y59),Y59)</f>
        <v>0</v>
      </c>
      <c r="AA59" s="39">
        <f>IFERROR(IF(INDEX('State Map'!$C:$C,MATCH(TRIM('RZSPbS-psgr-ldv'!$A59),'State Map'!$A:$A,0))="Max Ambition",Schedules!W$7,Z59),Z59)</f>
        <v>0</v>
      </c>
      <c r="AB59" s="39">
        <f>IFERROR(IF(INDEX('State Map'!$C:$C,MATCH(TRIM('RZSPbS-psgr-ldv'!$A59),'State Map'!$A:$A,0))="Max Ambition",Schedules!X$7,AA59),AA59)</f>
        <v>0</v>
      </c>
      <c r="AC59" s="39">
        <f>IFERROR(IF(INDEX('State Map'!$C:$C,MATCH(TRIM('RZSPbS-psgr-ldv'!$A59),'State Map'!$A:$A,0))="Max Ambition",Schedules!Y$7,AB59),AB59)</f>
        <v>0</v>
      </c>
      <c r="AD59" s="39">
        <f>IFERROR(IF(INDEX('State Map'!$C:$C,MATCH(TRIM('RZSPbS-psgr-ldv'!$A59),'State Map'!$A:$A,0))="Max Ambition",Schedules!Z$7,AC59),AC59)</f>
        <v>0</v>
      </c>
      <c r="AE59" s="39">
        <f>IFERROR(IF(INDEX('State Map'!$C:$C,MATCH(TRIM('RZSPbS-psgr-ldv'!$A59),'State Map'!$A:$A,0))="Max Ambition",Schedules!AA$7,AD59),AD59)</f>
        <v>0</v>
      </c>
      <c r="AF59" s="39">
        <f>IFERROR(IF(INDEX('State Map'!$C:$C,MATCH(TRIM('RZSPbS-psgr-ldv'!$A59),'State Map'!$A:$A,0))="Max Ambition",Schedules!AB$7,AE59),AE59)</f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39">
        <f>IFERROR(IF(INDEX('State Map'!$C:$C,MATCH(TRIM('RZSPbS-psgr-ldv'!$A60),'State Map'!$A:$A,0))="Max Ambition",Schedules!G$7,J60),J60)</f>
        <v>0</v>
      </c>
      <c r="L60" s="39">
        <f>IFERROR(IF(INDEX('State Map'!$C:$C,MATCH(TRIM('RZSPbS-psgr-ldv'!$A60),'State Map'!$A:$A,0))="Max Ambition",Schedules!H$7,K60),K60)</f>
        <v>0</v>
      </c>
      <c r="M60" s="39">
        <f>IFERROR(IF(INDEX('State Map'!$C:$C,MATCH(TRIM('RZSPbS-psgr-ldv'!$A60),'State Map'!$A:$A,0))="Max Ambition",Schedules!I$7,L60),L60)</f>
        <v>0</v>
      </c>
      <c r="N60" s="39">
        <f>IFERROR(IF(INDEX('State Map'!$C:$C,MATCH(TRIM('RZSPbS-psgr-ldv'!$A60),'State Map'!$A:$A,0))="Max Ambition",Schedules!J$7,M60),M60)</f>
        <v>0</v>
      </c>
      <c r="O60" s="39">
        <f>IFERROR(IF(INDEX('State Map'!$C:$C,MATCH(TRIM('RZSPbS-psgr-ldv'!$A60),'State Map'!$A:$A,0))="Max Ambition",Schedules!K$7,N60),N60)</f>
        <v>0</v>
      </c>
      <c r="P60" s="39">
        <f>IFERROR(IF(INDEX('State Map'!$C:$C,MATCH(TRIM('RZSPbS-psgr-ldv'!$A60),'State Map'!$A:$A,0))="Max Ambition",Schedules!L$7,O60),O60)</f>
        <v>0</v>
      </c>
      <c r="Q60" s="39">
        <f>IFERROR(IF(INDEX('State Map'!$C:$C,MATCH(TRIM('RZSPbS-psgr-ldv'!$A60),'State Map'!$A:$A,0))="Max Ambition",Schedules!M$7,P60),P60)</f>
        <v>0</v>
      </c>
      <c r="R60" s="39">
        <f>IFERROR(IF(INDEX('State Map'!$C:$C,MATCH(TRIM('RZSPbS-psgr-ldv'!$A60),'State Map'!$A:$A,0))="Max Ambition",Schedules!N$7,Q60),Q60)</f>
        <v>0</v>
      </c>
      <c r="S60" s="39">
        <f>IFERROR(IF(INDEX('State Map'!$C:$C,MATCH(TRIM('RZSPbS-psgr-ldv'!$A60),'State Map'!$A:$A,0))="Max Ambition",Schedules!O$7,R60),R60)</f>
        <v>0</v>
      </c>
      <c r="T60" s="39">
        <f>IFERROR(IF(INDEX('State Map'!$C:$C,MATCH(TRIM('RZSPbS-psgr-ldv'!$A60),'State Map'!$A:$A,0))="Max Ambition",Schedules!P$7,S60),S60)</f>
        <v>0</v>
      </c>
      <c r="U60" s="39">
        <f>IFERROR(IF(INDEX('State Map'!$C:$C,MATCH(TRIM('RZSPbS-psgr-ldv'!$A60),'State Map'!$A:$A,0))="Max Ambition",Schedules!Q$7,T60),T60)</f>
        <v>0</v>
      </c>
      <c r="V60" s="39">
        <f>IFERROR(IF(INDEX('State Map'!$C:$C,MATCH(TRIM('RZSPbS-psgr-ldv'!$A60),'State Map'!$A:$A,0))="Max Ambition",Schedules!R$7,U60),U60)</f>
        <v>0</v>
      </c>
      <c r="W60" s="39">
        <f>IFERROR(IF(INDEX('State Map'!$C:$C,MATCH(TRIM('RZSPbS-psgr-ldv'!$A60),'State Map'!$A:$A,0))="Max Ambition",Schedules!S$7,V60),V60)</f>
        <v>0</v>
      </c>
      <c r="X60" s="39">
        <f>IFERROR(IF(INDEX('State Map'!$C:$C,MATCH(TRIM('RZSPbS-psgr-ldv'!$A60),'State Map'!$A:$A,0))="Max Ambition",Schedules!T$7,W60),W60)</f>
        <v>0</v>
      </c>
      <c r="Y60" s="39">
        <f>IFERROR(IF(INDEX('State Map'!$C:$C,MATCH(TRIM('RZSPbS-psgr-ldv'!$A60),'State Map'!$A:$A,0))="Max Ambition",Schedules!U$7,X60),X60)</f>
        <v>0</v>
      </c>
      <c r="Z60" s="39">
        <f>IFERROR(IF(INDEX('State Map'!$C:$C,MATCH(TRIM('RZSPbS-psgr-ldv'!$A60),'State Map'!$A:$A,0))="Max Ambition",Schedules!V$7,Y60),Y60)</f>
        <v>0</v>
      </c>
      <c r="AA60" s="39">
        <f>IFERROR(IF(INDEX('State Map'!$C:$C,MATCH(TRIM('RZSPbS-psgr-ldv'!$A60),'State Map'!$A:$A,0))="Max Ambition",Schedules!W$7,Z60),Z60)</f>
        <v>0</v>
      </c>
      <c r="AB60" s="39">
        <f>IFERROR(IF(INDEX('State Map'!$C:$C,MATCH(TRIM('RZSPbS-psgr-ldv'!$A60),'State Map'!$A:$A,0))="Max Ambition",Schedules!X$7,AA60),AA60)</f>
        <v>0</v>
      </c>
      <c r="AC60" s="39">
        <f>IFERROR(IF(INDEX('State Map'!$C:$C,MATCH(TRIM('RZSPbS-psgr-ldv'!$A60),'State Map'!$A:$A,0))="Max Ambition",Schedules!Y$7,AB60),AB60)</f>
        <v>0</v>
      </c>
      <c r="AD60" s="39">
        <f>IFERROR(IF(INDEX('State Map'!$C:$C,MATCH(TRIM('RZSPbS-psgr-ldv'!$A60),'State Map'!$A:$A,0))="Max Ambition",Schedules!Z$7,AC60),AC60)</f>
        <v>0</v>
      </c>
      <c r="AE60" s="39">
        <f>IFERROR(IF(INDEX('State Map'!$C:$C,MATCH(TRIM('RZSPbS-psgr-ldv'!$A60),'State Map'!$A:$A,0))="Max Ambition",Schedules!AA$7,AD60),AD60)</f>
        <v>0</v>
      </c>
      <c r="AF60" s="39">
        <f>IFERROR(IF(INDEX('State Map'!$C:$C,MATCH(TRIM('RZSPbS-psgr-ldv'!$A60),'State Map'!$A:$A,0))="Max Ambition",Schedules!AB$7,AE60),AE60)</f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39">
        <f>IFERROR(IF(INDEX('State Map'!$C:$C,MATCH(TRIM('RZSPbS-psgr-ldv'!$A61),'State Map'!$A:$A,0))="Max Ambition",Schedules!G$7,J61),J61)</f>
        <v>0</v>
      </c>
      <c r="L61" s="39">
        <f>IFERROR(IF(INDEX('State Map'!$C:$C,MATCH(TRIM('RZSPbS-psgr-ldv'!$A61),'State Map'!$A:$A,0))="Max Ambition",Schedules!H$7,K61),K61)</f>
        <v>0</v>
      </c>
      <c r="M61" s="39">
        <f>IFERROR(IF(INDEX('State Map'!$C:$C,MATCH(TRIM('RZSPbS-psgr-ldv'!$A61),'State Map'!$A:$A,0))="Max Ambition",Schedules!I$7,L61),L61)</f>
        <v>0</v>
      </c>
      <c r="N61" s="39">
        <f>IFERROR(IF(INDEX('State Map'!$C:$C,MATCH(TRIM('RZSPbS-psgr-ldv'!$A61),'State Map'!$A:$A,0))="Max Ambition",Schedules!J$7,M61),M61)</f>
        <v>0</v>
      </c>
      <c r="O61" s="39">
        <f>IFERROR(IF(INDEX('State Map'!$C:$C,MATCH(TRIM('RZSPbS-psgr-ldv'!$A61),'State Map'!$A:$A,0))="Max Ambition",Schedules!K$7,N61),N61)</f>
        <v>0</v>
      </c>
      <c r="P61" s="39">
        <f>IFERROR(IF(INDEX('State Map'!$C:$C,MATCH(TRIM('RZSPbS-psgr-ldv'!$A61),'State Map'!$A:$A,0))="Max Ambition",Schedules!L$7,O61),O61)</f>
        <v>0</v>
      </c>
      <c r="Q61" s="39">
        <f>IFERROR(IF(INDEX('State Map'!$C:$C,MATCH(TRIM('RZSPbS-psgr-ldv'!$A61),'State Map'!$A:$A,0))="Max Ambition",Schedules!M$7,P61),P61)</f>
        <v>0</v>
      </c>
      <c r="R61" s="39">
        <f>IFERROR(IF(INDEX('State Map'!$C:$C,MATCH(TRIM('RZSPbS-psgr-ldv'!$A61),'State Map'!$A:$A,0))="Max Ambition",Schedules!N$7,Q61),Q61)</f>
        <v>0</v>
      </c>
      <c r="S61" s="39">
        <f>IFERROR(IF(INDEX('State Map'!$C:$C,MATCH(TRIM('RZSPbS-psgr-ldv'!$A61),'State Map'!$A:$A,0))="Max Ambition",Schedules!O$7,R61),R61)</f>
        <v>0</v>
      </c>
      <c r="T61" s="39">
        <f>IFERROR(IF(INDEX('State Map'!$C:$C,MATCH(TRIM('RZSPbS-psgr-ldv'!$A61),'State Map'!$A:$A,0))="Max Ambition",Schedules!P$7,S61),S61)</f>
        <v>0</v>
      </c>
      <c r="U61" s="39">
        <f>IFERROR(IF(INDEX('State Map'!$C:$C,MATCH(TRIM('RZSPbS-psgr-ldv'!$A61),'State Map'!$A:$A,0))="Max Ambition",Schedules!Q$7,T61),T61)</f>
        <v>0</v>
      </c>
      <c r="V61" s="39">
        <f>IFERROR(IF(INDEX('State Map'!$C:$C,MATCH(TRIM('RZSPbS-psgr-ldv'!$A61),'State Map'!$A:$A,0))="Max Ambition",Schedules!R$7,U61),U61)</f>
        <v>0</v>
      </c>
      <c r="W61" s="39">
        <f>IFERROR(IF(INDEX('State Map'!$C:$C,MATCH(TRIM('RZSPbS-psgr-ldv'!$A61),'State Map'!$A:$A,0))="Max Ambition",Schedules!S$7,V61),V61)</f>
        <v>0</v>
      </c>
      <c r="X61" s="39">
        <f>IFERROR(IF(INDEX('State Map'!$C:$C,MATCH(TRIM('RZSPbS-psgr-ldv'!$A61),'State Map'!$A:$A,0))="Max Ambition",Schedules!T$7,W61),W61)</f>
        <v>0</v>
      </c>
      <c r="Y61" s="39">
        <f>IFERROR(IF(INDEX('State Map'!$C:$C,MATCH(TRIM('RZSPbS-psgr-ldv'!$A61),'State Map'!$A:$A,0))="Max Ambition",Schedules!U$7,X61),X61)</f>
        <v>0</v>
      </c>
      <c r="Z61" s="39">
        <f>IFERROR(IF(INDEX('State Map'!$C:$C,MATCH(TRIM('RZSPbS-psgr-ldv'!$A61),'State Map'!$A:$A,0))="Max Ambition",Schedules!V$7,Y61),Y61)</f>
        <v>0</v>
      </c>
      <c r="AA61" s="39">
        <f>IFERROR(IF(INDEX('State Map'!$C:$C,MATCH(TRIM('RZSPbS-psgr-ldv'!$A61),'State Map'!$A:$A,0))="Max Ambition",Schedules!W$7,Z61),Z61)</f>
        <v>0</v>
      </c>
      <c r="AB61" s="39">
        <f>IFERROR(IF(INDEX('State Map'!$C:$C,MATCH(TRIM('RZSPbS-psgr-ldv'!$A61),'State Map'!$A:$A,0))="Max Ambition",Schedules!X$7,AA61),AA61)</f>
        <v>0</v>
      </c>
      <c r="AC61" s="39">
        <f>IFERROR(IF(INDEX('State Map'!$C:$C,MATCH(TRIM('RZSPbS-psgr-ldv'!$A61),'State Map'!$A:$A,0))="Max Ambition",Schedules!Y$7,AB61),AB61)</f>
        <v>0</v>
      </c>
      <c r="AD61" s="39">
        <f>IFERROR(IF(INDEX('State Map'!$C:$C,MATCH(TRIM('RZSPbS-psgr-ldv'!$A61),'State Map'!$A:$A,0))="Max Ambition",Schedules!Z$7,AC61),AC61)</f>
        <v>0</v>
      </c>
      <c r="AE61" s="39">
        <f>IFERROR(IF(INDEX('State Map'!$C:$C,MATCH(TRIM('RZSPbS-psgr-ldv'!$A61),'State Map'!$A:$A,0))="Max Ambition",Schedules!AA$7,AD61),AD61)</f>
        <v>0</v>
      </c>
      <c r="AF61" s="39">
        <f>IFERROR(IF(INDEX('State Map'!$C:$C,MATCH(TRIM('RZSPbS-psgr-ldv'!$A61),'State Map'!$A:$A,0))="Max Ambition",Schedules!AB$7,AE61),AE61)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>
      <selection activeCell="K2" sqref="K2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topLeftCell="E29" workbookViewId="0">
      <selection activeCell="B2" sqref="B2:AF61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>
      <selection activeCell="K2" sqref="K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39">
        <f>IFERROR(IF(INDEX('State Map'!$C:$C,MATCH(TRIM('RZSPbS-psgr-ldv'!$A2),'State Map'!$A:$A,0))="Max Ambition",Schedules!G$10,J2),J2)</f>
        <v>0</v>
      </c>
      <c r="L2" s="39">
        <f>IFERROR(IF(INDEX('State Map'!$C:$C,MATCH(TRIM('RZSPbS-psgr-ldv'!$A2),'State Map'!$A:$A,0))="Max Ambition",Schedules!H$10,K2),K2)</f>
        <v>0</v>
      </c>
      <c r="M2" s="39">
        <f>IFERROR(IF(INDEX('State Map'!$C:$C,MATCH(TRIM('RZSPbS-psgr-ldv'!$A2),'State Map'!$A:$A,0))="Max Ambition",Schedules!I$10,L2),L2)</f>
        <v>0</v>
      </c>
      <c r="N2" s="39">
        <f>IFERROR(IF(INDEX('State Map'!$C:$C,MATCH(TRIM('RZSPbS-psgr-ldv'!$A2),'State Map'!$A:$A,0))="Max Ambition",Schedules!J$10,M2),M2)</f>
        <v>0</v>
      </c>
      <c r="O2" s="39">
        <f>IFERROR(IF(INDEX('State Map'!$C:$C,MATCH(TRIM('RZSPbS-psgr-ldv'!$A2),'State Map'!$A:$A,0))="Max Ambition",Schedules!K$10,N2),N2)</f>
        <v>0</v>
      </c>
      <c r="P2" s="39">
        <f>IFERROR(IF(INDEX('State Map'!$C:$C,MATCH(TRIM('RZSPbS-psgr-ldv'!$A2),'State Map'!$A:$A,0))="Max Ambition",Schedules!L$10,O2),O2)</f>
        <v>0</v>
      </c>
      <c r="Q2" s="39">
        <f>IFERROR(IF(INDEX('State Map'!$C:$C,MATCH(TRIM('RZSPbS-psgr-ldv'!$A2),'State Map'!$A:$A,0))="Max Ambition",Schedules!M$10,P2),P2)</f>
        <v>0</v>
      </c>
      <c r="R2" s="39">
        <f>IFERROR(IF(INDEX('State Map'!$C:$C,MATCH(TRIM('RZSPbS-psgr-ldv'!$A2),'State Map'!$A:$A,0))="Max Ambition",Schedules!N$10,Q2),Q2)</f>
        <v>0</v>
      </c>
      <c r="S2" s="39">
        <f>IFERROR(IF(INDEX('State Map'!$C:$C,MATCH(TRIM('RZSPbS-psgr-ldv'!$A2),'State Map'!$A:$A,0))="Max Ambition",Schedules!O$10,R2),R2)</f>
        <v>0</v>
      </c>
      <c r="T2" s="39">
        <f>IFERROR(IF(INDEX('State Map'!$C:$C,MATCH(TRIM('RZSPbS-psgr-ldv'!$A2),'State Map'!$A:$A,0))="Max Ambition",Schedules!P$10,S2),S2)</f>
        <v>0</v>
      </c>
      <c r="U2" s="39">
        <f>IFERROR(IF(INDEX('State Map'!$C:$C,MATCH(TRIM('RZSPbS-psgr-ldv'!$A2),'State Map'!$A:$A,0))="Max Ambition",Schedules!Q$10,T2),T2)</f>
        <v>0</v>
      </c>
      <c r="V2" s="39">
        <f>IFERROR(IF(INDEX('State Map'!$C:$C,MATCH(TRIM('RZSPbS-psgr-ldv'!$A2),'State Map'!$A:$A,0))="Max Ambition",Schedules!R$10,U2),U2)</f>
        <v>0</v>
      </c>
      <c r="W2" s="39">
        <f>IFERROR(IF(INDEX('State Map'!$C:$C,MATCH(TRIM('RZSPbS-psgr-ldv'!$A2),'State Map'!$A:$A,0))="Max Ambition",Schedules!S$10,V2),V2)</f>
        <v>0</v>
      </c>
      <c r="X2" s="39">
        <f>IFERROR(IF(INDEX('State Map'!$C:$C,MATCH(TRIM('RZSPbS-psgr-ldv'!$A2),'State Map'!$A:$A,0))="Max Ambition",Schedules!T$10,W2),W2)</f>
        <v>0</v>
      </c>
      <c r="Y2" s="39">
        <f>IFERROR(IF(INDEX('State Map'!$C:$C,MATCH(TRIM('RZSPbS-psgr-ldv'!$A2),'State Map'!$A:$A,0))="Max Ambition",Schedules!U$10,X2),X2)</f>
        <v>0</v>
      </c>
      <c r="Z2" s="39">
        <f>IFERROR(IF(INDEX('State Map'!$C:$C,MATCH(TRIM('RZSPbS-psgr-ldv'!$A2),'State Map'!$A:$A,0))="Max Ambition",Schedules!V$10,Y2),Y2)</f>
        <v>0</v>
      </c>
      <c r="AA2" s="39">
        <f>IFERROR(IF(INDEX('State Map'!$C:$C,MATCH(TRIM('RZSPbS-psgr-ldv'!$A2),'State Map'!$A:$A,0))="Max Ambition",Schedules!W$10,Z2),Z2)</f>
        <v>0</v>
      </c>
      <c r="AB2" s="39">
        <f>IFERROR(IF(INDEX('State Map'!$C:$C,MATCH(TRIM('RZSPbS-psgr-ldv'!$A2),'State Map'!$A:$A,0))="Max Ambition",Schedules!X$10,AA2),AA2)</f>
        <v>0</v>
      </c>
      <c r="AC2" s="39">
        <f>IFERROR(IF(INDEX('State Map'!$C:$C,MATCH(TRIM('RZSPbS-psgr-ldv'!$A2),'State Map'!$A:$A,0))="Max Ambition",Schedules!Y$10,AB2),AB2)</f>
        <v>0</v>
      </c>
      <c r="AD2" s="39">
        <f>IFERROR(IF(INDEX('State Map'!$C:$C,MATCH(TRIM('RZSPbS-psgr-ldv'!$A2),'State Map'!$A:$A,0))="Max Ambition",Schedules!Z$10,AC2),AC2)</f>
        <v>0</v>
      </c>
      <c r="AE2" s="39">
        <f>IFERROR(IF(INDEX('State Map'!$C:$C,MATCH(TRIM('RZSPbS-psgr-ldv'!$A2),'State Map'!$A:$A,0))="Max Ambition",Schedules!AA$10,AD2),AD2)</f>
        <v>0</v>
      </c>
      <c r="AF2" s="39">
        <f>IFERROR(IF(INDEX('State Map'!$C:$C,MATCH(TRIM('RZSPbS-psgr-ldv'!$A2),'State Map'!$A:$A,0))="Max Ambition",Schedules!AB$10,AE2),AE2)</f>
        <v>0</v>
      </c>
    </row>
    <row r="3" spans="1:3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39">
        <f>IFERROR(IF(INDEX('State Map'!$C:$C,MATCH(TRIM('RZSPbS-psgr-ldv'!$A3),'State Map'!$A:$A,0))="Max Ambition",Schedules!G$10,J3),J3)</f>
        <v>0</v>
      </c>
      <c r="L3" s="39">
        <f>IFERROR(IF(INDEX('State Map'!$C:$C,MATCH(TRIM('RZSPbS-psgr-ldv'!$A3),'State Map'!$A:$A,0))="Max Ambition",Schedules!H$10,K3),K3)</f>
        <v>0</v>
      </c>
      <c r="M3" s="39">
        <f>IFERROR(IF(INDEX('State Map'!$C:$C,MATCH(TRIM('RZSPbS-psgr-ldv'!$A3),'State Map'!$A:$A,0))="Max Ambition",Schedules!I$10,L3),L3)</f>
        <v>0</v>
      </c>
      <c r="N3" s="39">
        <f>IFERROR(IF(INDEX('State Map'!$C:$C,MATCH(TRIM('RZSPbS-psgr-ldv'!$A3),'State Map'!$A:$A,0))="Max Ambition",Schedules!J$10,M3),M3)</f>
        <v>0</v>
      </c>
      <c r="O3" s="39">
        <f>IFERROR(IF(INDEX('State Map'!$C:$C,MATCH(TRIM('RZSPbS-psgr-ldv'!$A3),'State Map'!$A:$A,0))="Max Ambition",Schedules!K$10,N3),N3)</f>
        <v>0</v>
      </c>
      <c r="P3" s="39">
        <f>IFERROR(IF(INDEX('State Map'!$C:$C,MATCH(TRIM('RZSPbS-psgr-ldv'!$A3),'State Map'!$A:$A,0))="Max Ambition",Schedules!L$10,O3),O3)</f>
        <v>0</v>
      </c>
      <c r="Q3" s="39">
        <f>IFERROR(IF(INDEX('State Map'!$C:$C,MATCH(TRIM('RZSPbS-psgr-ldv'!$A3),'State Map'!$A:$A,0))="Max Ambition",Schedules!M$10,P3),P3)</f>
        <v>0</v>
      </c>
      <c r="R3" s="39">
        <f>IFERROR(IF(INDEX('State Map'!$C:$C,MATCH(TRIM('RZSPbS-psgr-ldv'!$A3),'State Map'!$A:$A,0))="Max Ambition",Schedules!N$10,Q3),Q3)</f>
        <v>0</v>
      </c>
      <c r="S3" s="39">
        <f>IFERROR(IF(INDEX('State Map'!$C:$C,MATCH(TRIM('RZSPbS-psgr-ldv'!$A3),'State Map'!$A:$A,0))="Max Ambition",Schedules!O$10,R3),R3)</f>
        <v>0</v>
      </c>
      <c r="T3" s="39">
        <f>IFERROR(IF(INDEX('State Map'!$C:$C,MATCH(TRIM('RZSPbS-psgr-ldv'!$A3),'State Map'!$A:$A,0))="Max Ambition",Schedules!P$10,S3),S3)</f>
        <v>0</v>
      </c>
      <c r="U3" s="39">
        <f>IFERROR(IF(INDEX('State Map'!$C:$C,MATCH(TRIM('RZSPbS-psgr-ldv'!$A3),'State Map'!$A:$A,0))="Max Ambition",Schedules!Q$10,T3),T3)</f>
        <v>0</v>
      </c>
      <c r="V3" s="39">
        <f>IFERROR(IF(INDEX('State Map'!$C:$C,MATCH(TRIM('RZSPbS-psgr-ldv'!$A3),'State Map'!$A:$A,0))="Max Ambition",Schedules!R$10,U3),U3)</f>
        <v>0</v>
      </c>
      <c r="W3" s="39">
        <f>IFERROR(IF(INDEX('State Map'!$C:$C,MATCH(TRIM('RZSPbS-psgr-ldv'!$A3),'State Map'!$A:$A,0))="Max Ambition",Schedules!S$10,V3),V3)</f>
        <v>0</v>
      </c>
      <c r="X3" s="39">
        <f>IFERROR(IF(INDEX('State Map'!$C:$C,MATCH(TRIM('RZSPbS-psgr-ldv'!$A3),'State Map'!$A:$A,0))="Max Ambition",Schedules!T$10,W3),W3)</f>
        <v>0</v>
      </c>
      <c r="Y3" s="39">
        <f>IFERROR(IF(INDEX('State Map'!$C:$C,MATCH(TRIM('RZSPbS-psgr-ldv'!$A3),'State Map'!$A:$A,0))="Max Ambition",Schedules!U$10,X3),X3)</f>
        <v>0</v>
      </c>
      <c r="Z3" s="39">
        <f>IFERROR(IF(INDEX('State Map'!$C:$C,MATCH(TRIM('RZSPbS-psgr-ldv'!$A3),'State Map'!$A:$A,0))="Max Ambition",Schedules!V$10,Y3),Y3)</f>
        <v>0</v>
      </c>
      <c r="AA3" s="39">
        <f>IFERROR(IF(INDEX('State Map'!$C:$C,MATCH(TRIM('RZSPbS-psgr-ldv'!$A3),'State Map'!$A:$A,0))="Max Ambition",Schedules!W$10,Z3),Z3)</f>
        <v>0</v>
      </c>
      <c r="AB3" s="39">
        <f>IFERROR(IF(INDEX('State Map'!$C:$C,MATCH(TRIM('RZSPbS-psgr-ldv'!$A3),'State Map'!$A:$A,0))="Max Ambition",Schedules!X$10,AA3),AA3)</f>
        <v>0</v>
      </c>
      <c r="AC3" s="39">
        <f>IFERROR(IF(INDEX('State Map'!$C:$C,MATCH(TRIM('RZSPbS-psgr-ldv'!$A3),'State Map'!$A:$A,0))="Max Ambition",Schedules!Y$10,AB3),AB3)</f>
        <v>0</v>
      </c>
      <c r="AD3" s="39">
        <f>IFERROR(IF(INDEX('State Map'!$C:$C,MATCH(TRIM('RZSPbS-psgr-ldv'!$A3),'State Map'!$A:$A,0))="Max Ambition",Schedules!Z$10,AC3),AC3)</f>
        <v>0</v>
      </c>
      <c r="AE3" s="39">
        <f>IFERROR(IF(INDEX('State Map'!$C:$C,MATCH(TRIM('RZSPbS-psgr-ldv'!$A3),'State Map'!$A:$A,0))="Max Ambition",Schedules!AA$10,AD3),AD3)</f>
        <v>0</v>
      </c>
      <c r="AF3" s="39">
        <f>IFERROR(IF(INDEX('State Map'!$C:$C,MATCH(TRIM('RZSPbS-psgr-ldv'!$A3),'State Map'!$A:$A,0))="Max Ambition",Schedules!AB$10,AE3),AE3)</f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39">
        <f>IFERROR(IF(INDEX('State Map'!$C:$C,MATCH(TRIM('RZSPbS-psgr-ldv'!$A4),'State Map'!$A:$A,0))="Max Ambition",Schedules!G$10,J4),J4)</f>
        <v>0</v>
      </c>
      <c r="L4" s="39">
        <f>IFERROR(IF(INDEX('State Map'!$C:$C,MATCH(TRIM('RZSPbS-psgr-ldv'!$A4),'State Map'!$A:$A,0))="Max Ambition",Schedules!H$10,K4),K4)</f>
        <v>0</v>
      </c>
      <c r="M4" s="39">
        <f>IFERROR(IF(INDEX('State Map'!$C:$C,MATCH(TRIM('RZSPbS-psgr-ldv'!$A4),'State Map'!$A:$A,0))="Max Ambition",Schedules!I$10,L4),L4)</f>
        <v>0</v>
      </c>
      <c r="N4" s="39">
        <f>IFERROR(IF(INDEX('State Map'!$C:$C,MATCH(TRIM('RZSPbS-psgr-ldv'!$A4),'State Map'!$A:$A,0))="Max Ambition",Schedules!J$10,M4),M4)</f>
        <v>0</v>
      </c>
      <c r="O4" s="39">
        <f>IFERROR(IF(INDEX('State Map'!$C:$C,MATCH(TRIM('RZSPbS-psgr-ldv'!$A4),'State Map'!$A:$A,0))="Max Ambition",Schedules!K$10,N4),N4)</f>
        <v>0</v>
      </c>
      <c r="P4" s="39">
        <f>IFERROR(IF(INDEX('State Map'!$C:$C,MATCH(TRIM('RZSPbS-psgr-ldv'!$A4),'State Map'!$A:$A,0))="Max Ambition",Schedules!L$10,O4),O4)</f>
        <v>0</v>
      </c>
      <c r="Q4" s="39">
        <f>IFERROR(IF(INDEX('State Map'!$C:$C,MATCH(TRIM('RZSPbS-psgr-ldv'!$A4),'State Map'!$A:$A,0))="Max Ambition",Schedules!M$10,P4),P4)</f>
        <v>0</v>
      </c>
      <c r="R4" s="39">
        <f>IFERROR(IF(INDEX('State Map'!$C:$C,MATCH(TRIM('RZSPbS-psgr-ldv'!$A4),'State Map'!$A:$A,0))="Max Ambition",Schedules!N$10,Q4),Q4)</f>
        <v>0</v>
      </c>
      <c r="S4" s="39">
        <f>IFERROR(IF(INDEX('State Map'!$C:$C,MATCH(TRIM('RZSPbS-psgr-ldv'!$A4),'State Map'!$A:$A,0))="Max Ambition",Schedules!O$10,R4),R4)</f>
        <v>0</v>
      </c>
      <c r="T4" s="39">
        <f>IFERROR(IF(INDEX('State Map'!$C:$C,MATCH(TRIM('RZSPbS-psgr-ldv'!$A4),'State Map'!$A:$A,0))="Max Ambition",Schedules!P$10,S4),S4)</f>
        <v>0</v>
      </c>
      <c r="U4" s="39">
        <f>IFERROR(IF(INDEX('State Map'!$C:$C,MATCH(TRIM('RZSPbS-psgr-ldv'!$A4),'State Map'!$A:$A,0))="Max Ambition",Schedules!Q$10,T4),T4)</f>
        <v>0</v>
      </c>
      <c r="V4" s="39">
        <f>IFERROR(IF(INDEX('State Map'!$C:$C,MATCH(TRIM('RZSPbS-psgr-ldv'!$A4),'State Map'!$A:$A,0))="Max Ambition",Schedules!R$10,U4),U4)</f>
        <v>0</v>
      </c>
      <c r="W4" s="39">
        <f>IFERROR(IF(INDEX('State Map'!$C:$C,MATCH(TRIM('RZSPbS-psgr-ldv'!$A4),'State Map'!$A:$A,0))="Max Ambition",Schedules!S$10,V4),V4)</f>
        <v>0</v>
      </c>
      <c r="X4" s="39">
        <f>IFERROR(IF(INDEX('State Map'!$C:$C,MATCH(TRIM('RZSPbS-psgr-ldv'!$A4),'State Map'!$A:$A,0))="Max Ambition",Schedules!T$10,W4),W4)</f>
        <v>0</v>
      </c>
      <c r="Y4" s="39">
        <f>IFERROR(IF(INDEX('State Map'!$C:$C,MATCH(TRIM('RZSPbS-psgr-ldv'!$A4),'State Map'!$A:$A,0))="Max Ambition",Schedules!U$10,X4),X4)</f>
        <v>0</v>
      </c>
      <c r="Z4" s="39">
        <f>IFERROR(IF(INDEX('State Map'!$C:$C,MATCH(TRIM('RZSPbS-psgr-ldv'!$A4),'State Map'!$A:$A,0))="Max Ambition",Schedules!V$10,Y4),Y4)</f>
        <v>0</v>
      </c>
      <c r="AA4" s="39">
        <f>IFERROR(IF(INDEX('State Map'!$C:$C,MATCH(TRIM('RZSPbS-psgr-ldv'!$A4),'State Map'!$A:$A,0))="Max Ambition",Schedules!W$10,Z4),Z4)</f>
        <v>0</v>
      </c>
      <c r="AB4" s="39">
        <f>IFERROR(IF(INDEX('State Map'!$C:$C,MATCH(TRIM('RZSPbS-psgr-ldv'!$A4),'State Map'!$A:$A,0))="Max Ambition",Schedules!X$10,AA4),AA4)</f>
        <v>0</v>
      </c>
      <c r="AC4" s="39">
        <f>IFERROR(IF(INDEX('State Map'!$C:$C,MATCH(TRIM('RZSPbS-psgr-ldv'!$A4),'State Map'!$A:$A,0))="Max Ambition",Schedules!Y$10,AB4),AB4)</f>
        <v>0</v>
      </c>
      <c r="AD4" s="39">
        <f>IFERROR(IF(INDEX('State Map'!$C:$C,MATCH(TRIM('RZSPbS-psgr-ldv'!$A4),'State Map'!$A:$A,0))="Max Ambition",Schedules!Z$10,AC4),AC4)</f>
        <v>0</v>
      </c>
      <c r="AE4" s="39">
        <f>IFERROR(IF(INDEX('State Map'!$C:$C,MATCH(TRIM('RZSPbS-psgr-ldv'!$A4),'State Map'!$A:$A,0))="Max Ambition",Schedules!AA$10,AD4),AD4)</f>
        <v>0</v>
      </c>
      <c r="AF4" s="39">
        <f>IFERROR(IF(INDEX('State Map'!$C:$C,MATCH(TRIM('RZSPbS-psgr-ldv'!$A4),'State Map'!$A:$A,0))="Max Ambition",Schedules!AB$10,AE4),AE4)</f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39">
        <f>IFERROR(IF(INDEX('State Map'!$C:$C,MATCH(TRIM('RZSPbS-psgr-ldv'!$A5),'State Map'!$A:$A,0))="Max Ambition",Schedules!G$10,J5),J5)</f>
        <v>0</v>
      </c>
      <c r="L5" s="39">
        <f>IFERROR(IF(INDEX('State Map'!$C:$C,MATCH(TRIM('RZSPbS-psgr-ldv'!$A5),'State Map'!$A:$A,0))="Max Ambition",Schedules!H$10,K5),K5)</f>
        <v>0</v>
      </c>
      <c r="M5" s="39">
        <f>IFERROR(IF(INDEX('State Map'!$C:$C,MATCH(TRIM('RZSPbS-psgr-ldv'!$A5),'State Map'!$A:$A,0))="Max Ambition",Schedules!I$10,L5),L5)</f>
        <v>0</v>
      </c>
      <c r="N5" s="39">
        <f>IFERROR(IF(INDEX('State Map'!$C:$C,MATCH(TRIM('RZSPbS-psgr-ldv'!$A5),'State Map'!$A:$A,0))="Max Ambition",Schedules!J$10,M5),M5)</f>
        <v>0</v>
      </c>
      <c r="O5" s="39">
        <f>IFERROR(IF(INDEX('State Map'!$C:$C,MATCH(TRIM('RZSPbS-psgr-ldv'!$A5),'State Map'!$A:$A,0))="Max Ambition",Schedules!K$10,N5),N5)</f>
        <v>0</v>
      </c>
      <c r="P5" s="39">
        <f>IFERROR(IF(INDEX('State Map'!$C:$C,MATCH(TRIM('RZSPbS-psgr-ldv'!$A5),'State Map'!$A:$A,0))="Max Ambition",Schedules!L$10,O5),O5)</f>
        <v>0</v>
      </c>
      <c r="Q5" s="39">
        <f>IFERROR(IF(INDEX('State Map'!$C:$C,MATCH(TRIM('RZSPbS-psgr-ldv'!$A5),'State Map'!$A:$A,0))="Max Ambition",Schedules!M$10,P5),P5)</f>
        <v>0</v>
      </c>
      <c r="R5" s="39">
        <f>IFERROR(IF(INDEX('State Map'!$C:$C,MATCH(TRIM('RZSPbS-psgr-ldv'!$A5),'State Map'!$A:$A,0))="Max Ambition",Schedules!N$10,Q5),Q5)</f>
        <v>0</v>
      </c>
      <c r="S5" s="39">
        <f>IFERROR(IF(INDEX('State Map'!$C:$C,MATCH(TRIM('RZSPbS-psgr-ldv'!$A5),'State Map'!$A:$A,0))="Max Ambition",Schedules!O$10,R5),R5)</f>
        <v>0</v>
      </c>
      <c r="T5" s="39">
        <f>IFERROR(IF(INDEX('State Map'!$C:$C,MATCH(TRIM('RZSPbS-psgr-ldv'!$A5),'State Map'!$A:$A,0))="Max Ambition",Schedules!P$10,S5),S5)</f>
        <v>0</v>
      </c>
      <c r="U5" s="39">
        <f>IFERROR(IF(INDEX('State Map'!$C:$C,MATCH(TRIM('RZSPbS-psgr-ldv'!$A5),'State Map'!$A:$A,0))="Max Ambition",Schedules!Q$10,T5),T5)</f>
        <v>0</v>
      </c>
      <c r="V5" s="39">
        <f>IFERROR(IF(INDEX('State Map'!$C:$C,MATCH(TRIM('RZSPbS-psgr-ldv'!$A5),'State Map'!$A:$A,0))="Max Ambition",Schedules!R$10,U5),U5)</f>
        <v>0</v>
      </c>
      <c r="W5" s="39">
        <f>IFERROR(IF(INDEX('State Map'!$C:$C,MATCH(TRIM('RZSPbS-psgr-ldv'!$A5),'State Map'!$A:$A,0))="Max Ambition",Schedules!S$10,V5),V5)</f>
        <v>0</v>
      </c>
      <c r="X5" s="39">
        <f>IFERROR(IF(INDEX('State Map'!$C:$C,MATCH(TRIM('RZSPbS-psgr-ldv'!$A5),'State Map'!$A:$A,0))="Max Ambition",Schedules!T$10,W5),W5)</f>
        <v>0</v>
      </c>
      <c r="Y5" s="39">
        <f>IFERROR(IF(INDEX('State Map'!$C:$C,MATCH(TRIM('RZSPbS-psgr-ldv'!$A5),'State Map'!$A:$A,0))="Max Ambition",Schedules!U$10,X5),X5)</f>
        <v>0</v>
      </c>
      <c r="Z5" s="39">
        <f>IFERROR(IF(INDEX('State Map'!$C:$C,MATCH(TRIM('RZSPbS-psgr-ldv'!$A5),'State Map'!$A:$A,0))="Max Ambition",Schedules!V$10,Y5),Y5)</f>
        <v>0</v>
      </c>
      <c r="AA5" s="39">
        <f>IFERROR(IF(INDEX('State Map'!$C:$C,MATCH(TRIM('RZSPbS-psgr-ldv'!$A5),'State Map'!$A:$A,0))="Max Ambition",Schedules!W$10,Z5),Z5)</f>
        <v>0</v>
      </c>
      <c r="AB5" s="39">
        <f>IFERROR(IF(INDEX('State Map'!$C:$C,MATCH(TRIM('RZSPbS-psgr-ldv'!$A5),'State Map'!$A:$A,0))="Max Ambition",Schedules!X$10,AA5),AA5)</f>
        <v>0</v>
      </c>
      <c r="AC5" s="39">
        <f>IFERROR(IF(INDEX('State Map'!$C:$C,MATCH(TRIM('RZSPbS-psgr-ldv'!$A5),'State Map'!$A:$A,0))="Max Ambition",Schedules!Y$10,AB5),AB5)</f>
        <v>0</v>
      </c>
      <c r="AD5" s="39">
        <f>IFERROR(IF(INDEX('State Map'!$C:$C,MATCH(TRIM('RZSPbS-psgr-ldv'!$A5),'State Map'!$A:$A,0))="Max Ambition",Schedules!Z$10,AC5),AC5)</f>
        <v>0</v>
      </c>
      <c r="AE5" s="39">
        <f>IFERROR(IF(INDEX('State Map'!$C:$C,MATCH(TRIM('RZSPbS-psgr-ldv'!$A5),'State Map'!$A:$A,0))="Max Ambition",Schedules!AA$10,AD5),AD5)</f>
        <v>0</v>
      </c>
      <c r="AF5" s="39">
        <f>IFERROR(IF(INDEX('State Map'!$C:$C,MATCH(TRIM('RZSPbS-psgr-ldv'!$A5),'State Map'!$A:$A,0))="Max Ambition",Schedules!AB$10,AE5),AE5)</f>
        <v>0</v>
      </c>
    </row>
    <row r="6" spans="1:32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39">
        <f>IFERROR(IF(INDEX('State Map'!$C:$C,MATCH(TRIM('RZSPbS-psgr-ldv'!$A6),'State Map'!$A:$A,0))="Max Ambition",Schedules!G$10,J6),J6)</f>
        <v>0.155</v>
      </c>
      <c r="L6" s="39">
        <f>IFERROR(IF(INDEX('State Map'!$C:$C,MATCH(TRIM('RZSPbS-psgr-ldv'!$A6),'State Map'!$A:$A,0))="Max Ambition",Schedules!H$10,K6),K6)</f>
        <v>0.17499999999999999</v>
      </c>
      <c r="M6" s="39">
        <f>IFERROR(IF(INDEX('State Map'!$C:$C,MATCH(TRIM('RZSPbS-psgr-ldv'!$A6),'State Map'!$A:$A,0))="Max Ambition",Schedules!I$10,L6),L6)</f>
        <v>0.19500000000000001</v>
      </c>
      <c r="N6" s="39">
        <f>IFERROR(IF(INDEX('State Map'!$C:$C,MATCH(TRIM('RZSPbS-psgr-ldv'!$A6),'State Map'!$A:$A,0))="Max Ambition",Schedules!J$10,M6),M6)</f>
        <v>0.255</v>
      </c>
      <c r="O6" s="39">
        <f>IFERROR(IF(INDEX('State Map'!$C:$C,MATCH(TRIM('RZSPbS-psgr-ldv'!$A6),'State Map'!$A:$A,0))="Max Ambition",Schedules!K$10,N6),N6)</f>
        <v>0.315</v>
      </c>
      <c r="P6" s="39">
        <f>IFERROR(IF(INDEX('State Map'!$C:$C,MATCH(TRIM('RZSPbS-psgr-ldv'!$A6),'State Map'!$A:$A,0))="Max Ambition",Schedules!L$10,O6),O6)</f>
        <v>0.375</v>
      </c>
      <c r="Q6" s="39">
        <f>IFERROR(IF(INDEX('State Map'!$C:$C,MATCH(TRIM('RZSPbS-psgr-ldv'!$A6),'State Map'!$A:$A,0))="Max Ambition",Schedules!M$10,P6),P6)</f>
        <v>0.435</v>
      </c>
      <c r="R6" s="39">
        <f>IFERROR(IF(INDEX('State Map'!$C:$C,MATCH(TRIM('RZSPbS-psgr-ldv'!$A6),'State Map'!$A:$A,0))="Max Ambition",Schedules!N$10,Q6),Q6)</f>
        <v>0.495</v>
      </c>
      <c r="S6" s="39">
        <f>IFERROR(IF(INDEX('State Map'!$C:$C,MATCH(TRIM('RZSPbS-psgr-ldv'!$A6),'State Map'!$A:$A,0))="Max Ambition",Schedules!O$10,R6),R6)</f>
        <v>0.55500000000000005</v>
      </c>
      <c r="T6" s="39">
        <f>IFERROR(IF(INDEX('State Map'!$C:$C,MATCH(TRIM('RZSPbS-psgr-ldv'!$A6),'State Map'!$A:$A,0))="Max Ambition",Schedules!P$10,S6),S6)</f>
        <v>0.61499999999999999</v>
      </c>
      <c r="U6" s="39">
        <f>IFERROR(IF(INDEX('State Map'!$C:$C,MATCH(TRIM('RZSPbS-psgr-ldv'!$A6),'State Map'!$A:$A,0))="Max Ambition",Schedules!Q$10,T6),T6)</f>
        <v>0.67500000000000004</v>
      </c>
      <c r="V6" s="39">
        <f>IFERROR(IF(INDEX('State Map'!$C:$C,MATCH(TRIM('RZSPbS-psgr-ldv'!$A6),'State Map'!$A:$A,0))="Max Ambition",Schedules!R$10,U6),U6)</f>
        <v>0.73499999999999999</v>
      </c>
      <c r="W6" s="39">
        <f>IFERROR(IF(INDEX('State Map'!$C:$C,MATCH(TRIM('RZSPbS-psgr-ldv'!$A6),'State Map'!$A:$A,0))="Max Ambition",Schedules!S$10,V6),V6)</f>
        <v>0.79500000000000004</v>
      </c>
      <c r="X6" s="39">
        <f>IFERROR(IF(INDEX('State Map'!$C:$C,MATCH(TRIM('RZSPbS-psgr-ldv'!$A6),'State Map'!$A:$A,0))="Max Ambition",Schedules!T$10,W6),W6)</f>
        <v>0.85</v>
      </c>
      <c r="Y6" s="39">
        <f>IFERROR(IF(INDEX('State Map'!$C:$C,MATCH(TRIM('RZSPbS-psgr-ldv'!$A6),'State Map'!$A:$A,0))="Max Ambition",Schedules!U$10,X6),X6)</f>
        <v>0.88</v>
      </c>
      <c r="Z6" s="39">
        <f>IFERROR(IF(INDEX('State Map'!$C:$C,MATCH(TRIM('RZSPbS-psgr-ldv'!$A6),'State Map'!$A:$A,0))="Max Ambition",Schedules!V$10,Y6),Y6)</f>
        <v>0.91</v>
      </c>
      <c r="AA6" s="39">
        <f>IFERROR(IF(INDEX('State Map'!$C:$C,MATCH(TRIM('RZSPbS-psgr-ldv'!$A6),'State Map'!$A:$A,0))="Max Ambition",Schedules!W$10,Z6),Z6)</f>
        <v>0.94</v>
      </c>
      <c r="AB6" s="39">
        <f>IFERROR(IF(INDEX('State Map'!$C:$C,MATCH(TRIM('RZSPbS-psgr-ldv'!$A6),'State Map'!$A:$A,0))="Max Ambition",Schedules!X$10,AA6),AA6)</f>
        <v>0.97</v>
      </c>
      <c r="AC6" s="39">
        <f>IFERROR(IF(INDEX('State Map'!$C:$C,MATCH(TRIM('RZSPbS-psgr-ldv'!$A6),'State Map'!$A:$A,0))="Max Ambition",Schedules!Y$10,AB6),AB6)</f>
        <v>1</v>
      </c>
      <c r="AD6" s="39">
        <f>IFERROR(IF(INDEX('State Map'!$C:$C,MATCH(TRIM('RZSPbS-psgr-ldv'!$A6),'State Map'!$A:$A,0))="Max Ambition",Schedules!Z$10,AC6),AC6)</f>
        <v>1</v>
      </c>
      <c r="AE6" s="39">
        <f>IFERROR(IF(INDEX('State Map'!$C:$C,MATCH(TRIM('RZSPbS-psgr-ldv'!$A6),'State Map'!$A:$A,0))="Max Ambition",Schedules!AA$10,AD6),AD6)</f>
        <v>1</v>
      </c>
      <c r="AF6" s="39">
        <f>IFERROR(IF(INDEX('State Map'!$C:$C,MATCH(TRIM('RZSPbS-psgr-ldv'!$A6),'State Map'!$A:$A,0))="Max Ambition",Schedules!AB$10,AE6),AE6)</f>
        <v>1</v>
      </c>
    </row>
    <row r="7" spans="1:32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39">
        <f>IFERROR(IF(INDEX('State Map'!$C:$C,MATCH(TRIM('RZSPbS-psgr-ldv'!$A7),'State Map'!$A:$A,0))="Max Ambition",Schedules!G$10,J7),J7)</f>
        <v>0.155</v>
      </c>
      <c r="L7" s="39">
        <f>IFERROR(IF(INDEX('State Map'!$C:$C,MATCH(TRIM('RZSPbS-psgr-ldv'!$A7),'State Map'!$A:$A,0))="Max Ambition",Schedules!H$10,K7),K7)</f>
        <v>0.17499999999999999</v>
      </c>
      <c r="M7" s="39">
        <f>IFERROR(IF(INDEX('State Map'!$C:$C,MATCH(TRIM('RZSPbS-psgr-ldv'!$A7),'State Map'!$A:$A,0))="Max Ambition",Schedules!I$10,L7),L7)</f>
        <v>0.19500000000000001</v>
      </c>
      <c r="N7" s="39">
        <f>IFERROR(IF(INDEX('State Map'!$C:$C,MATCH(TRIM('RZSPbS-psgr-ldv'!$A7),'State Map'!$A:$A,0))="Max Ambition",Schedules!J$10,M7),M7)</f>
        <v>0.255</v>
      </c>
      <c r="O7" s="39">
        <f>IFERROR(IF(INDEX('State Map'!$C:$C,MATCH(TRIM('RZSPbS-psgr-ldv'!$A7),'State Map'!$A:$A,0))="Max Ambition",Schedules!K$10,N7),N7)</f>
        <v>0.315</v>
      </c>
      <c r="P7" s="39">
        <f>IFERROR(IF(INDEX('State Map'!$C:$C,MATCH(TRIM('RZSPbS-psgr-ldv'!$A7),'State Map'!$A:$A,0))="Max Ambition",Schedules!L$10,O7),O7)</f>
        <v>0.375</v>
      </c>
      <c r="Q7" s="39">
        <f>IFERROR(IF(INDEX('State Map'!$C:$C,MATCH(TRIM('RZSPbS-psgr-ldv'!$A7),'State Map'!$A:$A,0))="Max Ambition",Schedules!M$10,P7),P7)</f>
        <v>0.435</v>
      </c>
      <c r="R7" s="39">
        <f>IFERROR(IF(INDEX('State Map'!$C:$C,MATCH(TRIM('RZSPbS-psgr-ldv'!$A7),'State Map'!$A:$A,0))="Max Ambition",Schedules!N$10,Q7),Q7)</f>
        <v>0.495</v>
      </c>
      <c r="S7" s="39">
        <f>IFERROR(IF(INDEX('State Map'!$C:$C,MATCH(TRIM('RZSPbS-psgr-ldv'!$A7),'State Map'!$A:$A,0))="Max Ambition",Schedules!O$10,R7),R7)</f>
        <v>0.55500000000000005</v>
      </c>
      <c r="T7" s="39">
        <f>IFERROR(IF(INDEX('State Map'!$C:$C,MATCH(TRIM('RZSPbS-psgr-ldv'!$A7),'State Map'!$A:$A,0))="Max Ambition",Schedules!P$10,S7),S7)</f>
        <v>0.61499999999999999</v>
      </c>
      <c r="U7" s="39">
        <f>IFERROR(IF(INDEX('State Map'!$C:$C,MATCH(TRIM('RZSPbS-psgr-ldv'!$A7),'State Map'!$A:$A,0))="Max Ambition",Schedules!Q$10,T7),T7)</f>
        <v>0.67500000000000004</v>
      </c>
      <c r="V7" s="39">
        <f>IFERROR(IF(INDEX('State Map'!$C:$C,MATCH(TRIM('RZSPbS-psgr-ldv'!$A7),'State Map'!$A:$A,0))="Max Ambition",Schedules!R$10,U7),U7)</f>
        <v>0.73499999999999999</v>
      </c>
      <c r="W7" s="39">
        <f>IFERROR(IF(INDEX('State Map'!$C:$C,MATCH(TRIM('RZSPbS-psgr-ldv'!$A7),'State Map'!$A:$A,0))="Max Ambition",Schedules!S$10,V7),V7)</f>
        <v>0.79500000000000004</v>
      </c>
      <c r="X7" s="39">
        <f>IFERROR(IF(INDEX('State Map'!$C:$C,MATCH(TRIM('RZSPbS-psgr-ldv'!$A7),'State Map'!$A:$A,0))="Max Ambition",Schedules!T$10,W7),W7)</f>
        <v>0.85</v>
      </c>
      <c r="Y7" s="39">
        <f>IFERROR(IF(INDEX('State Map'!$C:$C,MATCH(TRIM('RZSPbS-psgr-ldv'!$A7),'State Map'!$A:$A,0))="Max Ambition",Schedules!U$10,X7),X7)</f>
        <v>0.88</v>
      </c>
      <c r="Z7" s="39">
        <f>IFERROR(IF(INDEX('State Map'!$C:$C,MATCH(TRIM('RZSPbS-psgr-ldv'!$A7),'State Map'!$A:$A,0))="Max Ambition",Schedules!V$10,Y7),Y7)</f>
        <v>0.91</v>
      </c>
      <c r="AA7" s="39">
        <f>IFERROR(IF(INDEX('State Map'!$C:$C,MATCH(TRIM('RZSPbS-psgr-ldv'!$A7),'State Map'!$A:$A,0))="Max Ambition",Schedules!W$10,Z7),Z7)</f>
        <v>0.94</v>
      </c>
      <c r="AB7" s="39">
        <f>IFERROR(IF(INDEX('State Map'!$C:$C,MATCH(TRIM('RZSPbS-psgr-ldv'!$A7),'State Map'!$A:$A,0))="Max Ambition",Schedules!X$10,AA7),AA7)</f>
        <v>0.97</v>
      </c>
      <c r="AC7" s="39">
        <f>IFERROR(IF(INDEX('State Map'!$C:$C,MATCH(TRIM('RZSPbS-psgr-ldv'!$A7),'State Map'!$A:$A,0))="Max Ambition",Schedules!Y$10,AB7),AB7)</f>
        <v>1</v>
      </c>
      <c r="AD7" s="39">
        <f>IFERROR(IF(INDEX('State Map'!$C:$C,MATCH(TRIM('RZSPbS-psgr-ldv'!$A7),'State Map'!$A:$A,0))="Max Ambition",Schedules!Z$10,AC7),AC7)</f>
        <v>1</v>
      </c>
      <c r="AE7" s="39">
        <f>IFERROR(IF(INDEX('State Map'!$C:$C,MATCH(TRIM('RZSPbS-psgr-ldv'!$A7),'State Map'!$A:$A,0))="Max Ambition",Schedules!AA$10,AD7),AD7)</f>
        <v>1</v>
      </c>
      <c r="AF7" s="39">
        <f>IFERROR(IF(INDEX('State Map'!$C:$C,MATCH(TRIM('RZSPbS-psgr-ldv'!$A7),'State Map'!$A:$A,0))="Max Ambition",Schedules!AB$10,AE7),AE7)</f>
        <v>1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39">
        <f>IFERROR(IF(INDEX('State Map'!$C:$C,MATCH(TRIM('RZSPbS-psgr-ldv'!$A8),'State Map'!$A:$A,0))="Max Ambition",Schedules!G$10,J8),J8)</f>
        <v>0</v>
      </c>
      <c r="L8" s="39">
        <f>IFERROR(IF(INDEX('State Map'!$C:$C,MATCH(TRIM('RZSPbS-psgr-ldv'!$A8),'State Map'!$A:$A,0))="Max Ambition",Schedules!H$10,K8),K8)</f>
        <v>0</v>
      </c>
      <c r="M8" s="39">
        <f>IFERROR(IF(INDEX('State Map'!$C:$C,MATCH(TRIM('RZSPbS-psgr-ldv'!$A8),'State Map'!$A:$A,0))="Max Ambition",Schedules!I$10,L8),L8)</f>
        <v>0</v>
      </c>
      <c r="N8" s="39">
        <f>IFERROR(IF(INDEX('State Map'!$C:$C,MATCH(TRIM('RZSPbS-psgr-ldv'!$A8),'State Map'!$A:$A,0))="Max Ambition",Schedules!J$10,M8),M8)</f>
        <v>0</v>
      </c>
      <c r="O8" s="39">
        <f>IFERROR(IF(INDEX('State Map'!$C:$C,MATCH(TRIM('RZSPbS-psgr-ldv'!$A8),'State Map'!$A:$A,0))="Max Ambition",Schedules!K$10,N8),N8)</f>
        <v>0</v>
      </c>
      <c r="P8" s="39">
        <f>IFERROR(IF(INDEX('State Map'!$C:$C,MATCH(TRIM('RZSPbS-psgr-ldv'!$A8),'State Map'!$A:$A,0))="Max Ambition",Schedules!L$10,O8),O8)</f>
        <v>0</v>
      </c>
      <c r="Q8" s="39">
        <f>IFERROR(IF(INDEX('State Map'!$C:$C,MATCH(TRIM('RZSPbS-psgr-ldv'!$A8),'State Map'!$A:$A,0))="Max Ambition",Schedules!M$10,P8),P8)</f>
        <v>0</v>
      </c>
      <c r="R8" s="39">
        <f>IFERROR(IF(INDEX('State Map'!$C:$C,MATCH(TRIM('RZSPbS-psgr-ldv'!$A8),'State Map'!$A:$A,0))="Max Ambition",Schedules!N$10,Q8),Q8)</f>
        <v>0</v>
      </c>
      <c r="S8" s="39">
        <f>IFERROR(IF(INDEX('State Map'!$C:$C,MATCH(TRIM('RZSPbS-psgr-ldv'!$A8),'State Map'!$A:$A,0))="Max Ambition",Schedules!O$10,R8),R8)</f>
        <v>0</v>
      </c>
      <c r="T8" s="39">
        <f>IFERROR(IF(INDEX('State Map'!$C:$C,MATCH(TRIM('RZSPbS-psgr-ldv'!$A8),'State Map'!$A:$A,0))="Max Ambition",Schedules!P$10,S8),S8)</f>
        <v>0</v>
      </c>
      <c r="U8" s="39">
        <f>IFERROR(IF(INDEX('State Map'!$C:$C,MATCH(TRIM('RZSPbS-psgr-ldv'!$A8),'State Map'!$A:$A,0))="Max Ambition",Schedules!Q$10,T8),T8)</f>
        <v>0</v>
      </c>
      <c r="V8" s="39">
        <f>IFERROR(IF(INDEX('State Map'!$C:$C,MATCH(TRIM('RZSPbS-psgr-ldv'!$A8),'State Map'!$A:$A,0))="Max Ambition",Schedules!R$10,U8),U8)</f>
        <v>0</v>
      </c>
      <c r="W8" s="39">
        <f>IFERROR(IF(INDEX('State Map'!$C:$C,MATCH(TRIM('RZSPbS-psgr-ldv'!$A8),'State Map'!$A:$A,0))="Max Ambition",Schedules!S$10,V8),V8)</f>
        <v>0</v>
      </c>
      <c r="X8" s="39">
        <f>IFERROR(IF(INDEX('State Map'!$C:$C,MATCH(TRIM('RZSPbS-psgr-ldv'!$A8),'State Map'!$A:$A,0))="Max Ambition",Schedules!T$10,W8),W8)</f>
        <v>0</v>
      </c>
      <c r="Y8" s="39">
        <f>IFERROR(IF(INDEX('State Map'!$C:$C,MATCH(TRIM('RZSPbS-psgr-ldv'!$A8),'State Map'!$A:$A,0))="Max Ambition",Schedules!U$10,X8),X8)</f>
        <v>0</v>
      </c>
      <c r="Z8" s="39">
        <f>IFERROR(IF(INDEX('State Map'!$C:$C,MATCH(TRIM('RZSPbS-psgr-ldv'!$A8),'State Map'!$A:$A,0))="Max Ambition",Schedules!V$10,Y8),Y8)</f>
        <v>0</v>
      </c>
      <c r="AA8" s="39">
        <f>IFERROR(IF(INDEX('State Map'!$C:$C,MATCH(TRIM('RZSPbS-psgr-ldv'!$A8),'State Map'!$A:$A,0))="Max Ambition",Schedules!W$10,Z8),Z8)</f>
        <v>0</v>
      </c>
      <c r="AB8" s="39">
        <f>IFERROR(IF(INDEX('State Map'!$C:$C,MATCH(TRIM('RZSPbS-psgr-ldv'!$A8),'State Map'!$A:$A,0))="Max Ambition",Schedules!X$10,AA8),AA8)</f>
        <v>0</v>
      </c>
      <c r="AC8" s="39">
        <f>IFERROR(IF(INDEX('State Map'!$C:$C,MATCH(TRIM('RZSPbS-psgr-ldv'!$A8),'State Map'!$A:$A,0))="Max Ambition",Schedules!Y$10,AB8),AB8)</f>
        <v>0</v>
      </c>
      <c r="AD8" s="39">
        <f>IFERROR(IF(INDEX('State Map'!$C:$C,MATCH(TRIM('RZSPbS-psgr-ldv'!$A8),'State Map'!$A:$A,0))="Max Ambition",Schedules!Z$10,AC8),AC8)</f>
        <v>0</v>
      </c>
      <c r="AE8" s="39">
        <f>IFERROR(IF(INDEX('State Map'!$C:$C,MATCH(TRIM('RZSPbS-psgr-ldv'!$A8),'State Map'!$A:$A,0))="Max Ambition",Schedules!AA$10,AD8),AD8)</f>
        <v>0</v>
      </c>
      <c r="AF8" s="39">
        <f>IFERROR(IF(INDEX('State Map'!$C:$C,MATCH(TRIM('RZSPbS-psgr-ldv'!$A8),'State Map'!$A:$A,0))="Max Ambition",Schedules!AB$10,AE8),AE8)</f>
        <v>0</v>
      </c>
    </row>
    <row r="9" spans="1:32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39">
        <f>IFERROR(IF(INDEX('State Map'!$C:$C,MATCH(TRIM('RZSPbS-psgr-ldv'!$A9),'State Map'!$A:$A,0))="Max Ambition",Schedules!G$10,J9),J9)</f>
        <v>0.155</v>
      </c>
      <c r="L9" s="39">
        <f>IFERROR(IF(INDEX('State Map'!$C:$C,MATCH(TRIM('RZSPbS-psgr-ldv'!$A9),'State Map'!$A:$A,0))="Max Ambition",Schedules!H$10,K9),K9)</f>
        <v>0.17499999999999999</v>
      </c>
      <c r="M9" s="39">
        <f>IFERROR(IF(INDEX('State Map'!$C:$C,MATCH(TRIM('RZSPbS-psgr-ldv'!$A9),'State Map'!$A:$A,0))="Max Ambition",Schedules!I$10,L9),L9)</f>
        <v>0.19500000000000001</v>
      </c>
      <c r="N9" s="39">
        <f>IFERROR(IF(INDEX('State Map'!$C:$C,MATCH(TRIM('RZSPbS-psgr-ldv'!$A9),'State Map'!$A:$A,0))="Max Ambition",Schedules!J$10,M9),M9)</f>
        <v>0.255</v>
      </c>
      <c r="O9" s="39">
        <f>IFERROR(IF(INDEX('State Map'!$C:$C,MATCH(TRIM('RZSPbS-psgr-ldv'!$A9),'State Map'!$A:$A,0))="Max Ambition",Schedules!K$10,N9),N9)</f>
        <v>0.315</v>
      </c>
      <c r="P9" s="39">
        <f>IFERROR(IF(INDEX('State Map'!$C:$C,MATCH(TRIM('RZSPbS-psgr-ldv'!$A9),'State Map'!$A:$A,0))="Max Ambition",Schedules!L$10,O9),O9)</f>
        <v>0.375</v>
      </c>
      <c r="Q9" s="39">
        <f>IFERROR(IF(INDEX('State Map'!$C:$C,MATCH(TRIM('RZSPbS-psgr-ldv'!$A9),'State Map'!$A:$A,0))="Max Ambition",Schedules!M$10,P9),P9)</f>
        <v>0.435</v>
      </c>
      <c r="R9" s="39">
        <f>IFERROR(IF(INDEX('State Map'!$C:$C,MATCH(TRIM('RZSPbS-psgr-ldv'!$A9),'State Map'!$A:$A,0))="Max Ambition",Schedules!N$10,Q9),Q9)</f>
        <v>0.495</v>
      </c>
      <c r="S9" s="39">
        <f>IFERROR(IF(INDEX('State Map'!$C:$C,MATCH(TRIM('RZSPbS-psgr-ldv'!$A9),'State Map'!$A:$A,0))="Max Ambition",Schedules!O$10,R9),R9)</f>
        <v>0.55500000000000005</v>
      </c>
      <c r="T9" s="39">
        <f>IFERROR(IF(INDEX('State Map'!$C:$C,MATCH(TRIM('RZSPbS-psgr-ldv'!$A9),'State Map'!$A:$A,0))="Max Ambition",Schedules!P$10,S9),S9)</f>
        <v>0.61499999999999999</v>
      </c>
      <c r="U9" s="39">
        <f>IFERROR(IF(INDEX('State Map'!$C:$C,MATCH(TRIM('RZSPbS-psgr-ldv'!$A9),'State Map'!$A:$A,0))="Max Ambition",Schedules!Q$10,T9),T9)</f>
        <v>0.67500000000000004</v>
      </c>
      <c r="V9" s="39">
        <f>IFERROR(IF(INDEX('State Map'!$C:$C,MATCH(TRIM('RZSPbS-psgr-ldv'!$A9),'State Map'!$A:$A,0))="Max Ambition",Schedules!R$10,U9),U9)</f>
        <v>0.73499999999999999</v>
      </c>
      <c r="W9" s="39">
        <f>IFERROR(IF(INDEX('State Map'!$C:$C,MATCH(TRIM('RZSPbS-psgr-ldv'!$A9),'State Map'!$A:$A,0))="Max Ambition",Schedules!S$10,V9),V9)</f>
        <v>0.79500000000000004</v>
      </c>
      <c r="X9" s="39">
        <f>IFERROR(IF(INDEX('State Map'!$C:$C,MATCH(TRIM('RZSPbS-psgr-ldv'!$A9),'State Map'!$A:$A,0))="Max Ambition",Schedules!T$10,W9),W9)</f>
        <v>0.85</v>
      </c>
      <c r="Y9" s="39">
        <f>IFERROR(IF(INDEX('State Map'!$C:$C,MATCH(TRIM('RZSPbS-psgr-ldv'!$A9),'State Map'!$A:$A,0))="Max Ambition",Schedules!U$10,X9),X9)</f>
        <v>0.88</v>
      </c>
      <c r="Z9" s="39">
        <f>IFERROR(IF(INDEX('State Map'!$C:$C,MATCH(TRIM('RZSPbS-psgr-ldv'!$A9),'State Map'!$A:$A,0))="Max Ambition",Schedules!V$10,Y9),Y9)</f>
        <v>0.91</v>
      </c>
      <c r="AA9" s="39">
        <f>IFERROR(IF(INDEX('State Map'!$C:$C,MATCH(TRIM('RZSPbS-psgr-ldv'!$A9),'State Map'!$A:$A,0))="Max Ambition",Schedules!W$10,Z9),Z9)</f>
        <v>0.94</v>
      </c>
      <c r="AB9" s="39">
        <f>IFERROR(IF(INDEX('State Map'!$C:$C,MATCH(TRIM('RZSPbS-psgr-ldv'!$A9),'State Map'!$A:$A,0))="Max Ambition",Schedules!X$10,AA9),AA9)</f>
        <v>0.97</v>
      </c>
      <c r="AC9" s="39">
        <f>IFERROR(IF(INDEX('State Map'!$C:$C,MATCH(TRIM('RZSPbS-psgr-ldv'!$A9),'State Map'!$A:$A,0))="Max Ambition",Schedules!Y$10,AB9),AB9)</f>
        <v>1</v>
      </c>
      <c r="AD9" s="39">
        <f>IFERROR(IF(INDEX('State Map'!$C:$C,MATCH(TRIM('RZSPbS-psgr-ldv'!$A9),'State Map'!$A:$A,0))="Max Ambition",Schedules!Z$10,AC9),AC9)</f>
        <v>1</v>
      </c>
      <c r="AE9" s="39">
        <f>IFERROR(IF(INDEX('State Map'!$C:$C,MATCH(TRIM('RZSPbS-psgr-ldv'!$A9),'State Map'!$A:$A,0))="Max Ambition",Schedules!AA$10,AD9),AD9)</f>
        <v>1</v>
      </c>
      <c r="AF9" s="39">
        <f>IFERROR(IF(INDEX('State Map'!$C:$C,MATCH(TRIM('RZSPbS-psgr-ldv'!$A9),'State Map'!$A:$A,0))="Max Ambition",Schedules!AB$10,AE9),AE9)</f>
        <v>1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39">
        <f>IFERROR(IF(INDEX('State Map'!$C:$C,MATCH(TRIM('RZSPbS-psgr-ldv'!$A10),'State Map'!$A:$A,0))="Max Ambition",Schedules!G$10,J10),J10)</f>
        <v>0</v>
      </c>
      <c r="L10" s="39">
        <f>IFERROR(IF(INDEX('State Map'!$C:$C,MATCH(TRIM('RZSPbS-psgr-ldv'!$A10),'State Map'!$A:$A,0))="Max Ambition",Schedules!H$10,K10),K10)</f>
        <v>0</v>
      </c>
      <c r="M10" s="39">
        <f>IFERROR(IF(INDEX('State Map'!$C:$C,MATCH(TRIM('RZSPbS-psgr-ldv'!$A10),'State Map'!$A:$A,0))="Max Ambition",Schedules!I$10,L10),L10)</f>
        <v>0</v>
      </c>
      <c r="N10" s="39">
        <f>IFERROR(IF(INDEX('State Map'!$C:$C,MATCH(TRIM('RZSPbS-psgr-ldv'!$A10),'State Map'!$A:$A,0))="Max Ambition",Schedules!J$10,M10),M10)</f>
        <v>0</v>
      </c>
      <c r="O10" s="39">
        <f>IFERROR(IF(INDEX('State Map'!$C:$C,MATCH(TRIM('RZSPbS-psgr-ldv'!$A10),'State Map'!$A:$A,0))="Max Ambition",Schedules!K$10,N10),N10)</f>
        <v>0</v>
      </c>
      <c r="P10" s="39">
        <f>IFERROR(IF(INDEX('State Map'!$C:$C,MATCH(TRIM('RZSPbS-psgr-ldv'!$A10),'State Map'!$A:$A,0))="Max Ambition",Schedules!L$10,O10),O10)</f>
        <v>0</v>
      </c>
      <c r="Q10" s="39">
        <f>IFERROR(IF(INDEX('State Map'!$C:$C,MATCH(TRIM('RZSPbS-psgr-ldv'!$A10),'State Map'!$A:$A,0))="Max Ambition",Schedules!M$10,P10),P10)</f>
        <v>0</v>
      </c>
      <c r="R10" s="39">
        <f>IFERROR(IF(INDEX('State Map'!$C:$C,MATCH(TRIM('RZSPbS-psgr-ldv'!$A10),'State Map'!$A:$A,0))="Max Ambition",Schedules!N$10,Q10),Q10)</f>
        <v>0</v>
      </c>
      <c r="S10" s="39">
        <f>IFERROR(IF(INDEX('State Map'!$C:$C,MATCH(TRIM('RZSPbS-psgr-ldv'!$A10),'State Map'!$A:$A,0))="Max Ambition",Schedules!O$10,R10),R10)</f>
        <v>0</v>
      </c>
      <c r="T10" s="39">
        <f>IFERROR(IF(INDEX('State Map'!$C:$C,MATCH(TRIM('RZSPbS-psgr-ldv'!$A10),'State Map'!$A:$A,0))="Max Ambition",Schedules!P$10,S10),S10)</f>
        <v>0</v>
      </c>
      <c r="U10" s="39">
        <f>IFERROR(IF(INDEX('State Map'!$C:$C,MATCH(TRIM('RZSPbS-psgr-ldv'!$A10),'State Map'!$A:$A,0))="Max Ambition",Schedules!Q$10,T10),T10)</f>
        <v>0</v>
      </c>
      <c r="V10" s="39">
        <f>IFERROR(IF(INDEX('State Map'!$C:$C,MATCH(TRIM('RZSPbS-psgr-ldv'!$A10),'State Map'!$A:$A,0))="Max Ambition",Schedules!R$10,U10),U10)</f>
        <v>0</v>
      </c>
      <c r="W10" s="39">
        <f>IFERROR(IF(INDEX('State Map'!$C:$C,MATCH(TRIM('RZSPbS-psgr-ldv'!$A10),'State Map'!$A:$A,0))="Max Ambition",Schedules!S$10,V10),V10)</f>
        <v>0</v>
      </c>
      <c r="X10" s="39">
        <f>IFERROR(IF(INDEX('State Map'!$C:$C,MATCH(TRIM('RZSPbS-psgr-ldv'!$A10),'State Map'!$A:$A,0))="Max Ambition",Schedules!T$10,W10),W10)</f>
        <v>0</v>
      </c>
      <c r="Y10" s="39">
        <f>IFERROR(IF(INDEX('State Map'!$C:$C,MATCH(TRIM('RZSPbS-psgr-ldv'!$A10),'State Map'!$A:$A,0))="Max Ambition",Schedules!U$10,X10),X10)</f>
        <v>0</v>
      </c>
      <c r="Z10" s="39">
        <f>IFERROR(IF(INDEX('State Map'!$C:$C,MATCH(TRIM('RZSPbS-psgr-ldv'!$A10),'State Map'!$A:$A,0))="Max Ambition",Schedules!V$10,Y10),Y10)</f>
        <v>0</v>
      </c>
      <c r="AA10" s="39">
        <f>IFERROR(IF(INDEX('State Map'!$C:$C,MATCH(TRIM('RZSPbS-psgr-ldv'!$A10),'State Map'!$A:$A,0))="Max Ambition",Schedules!W$10,Z10),Z10)</f>
        <v>0</v>
      </c>
      <c r="AB10" s="39">
        <f>IFERROR(IF(INDEX('State Map'!$C:$C,MATCH(TRIM('RZSPbS-psgr-ldv'!$A10),'State Map'!$A:$A,0))="Max Ambition",Schedules!X$10,AA10),AA10)</f>
        <v>0</v>
      </c>
      <c r="AC10" s="39">
        <f>IFERROR(IF(INDEX('State Map'!$C:$C,MATCH(TRIM('RZSPbS-psgr-ldv'!$A10),'State Map'!$A:$A,0))="Max Ambition",Schedules!Y$10,AB10),AB10)</f>
        <v>0</v>
      </c>
      <c r="AD10" s="39">
        <f>IFERROR(IF(INDEX('State Map'!$C:$C,MATCH(TRIM('RZSPbS-psgr-ldv'!$A10),'State Map'!$A:$A,0))="Max Ambition",Schedules!Z$10,AC10),AC10)</f>
        <v>0</v>
      </c>
      <c r="AE10" s="39">
        <f>IFERROR(IF(INDEX('State Map'!$C:$C,MATCH(TRIM('RZSPbS-psgr-ldv'!$A10),'State Map'!$A:$A,0))="Max Ambition",Schedules!AA$10,AD10),AD10)</f>
        <v>0</v>
      </c>
      <c r="AF10" s="39">
        <f>IFERROR(IF(INDEX('State Map'!$C:$C,MATCH(TRIM('RZSPbS-psgr-ldv'!$A10),'State Map'!$A:$A,0))="Max Ambition",Schedules!AB$10,AE10),AE10)</f>
        <v>0</v>
      </c>
    </row>
    <row r="11" spans="1:3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39">
        <f>IFERROR(IF(INDEX('State Map'!$C:$C,MATCH(TRIM('RZSPbS-psgr-ldv'!$A11),'State Map'!$A:$A,0))="Max Ambition",Schedules!G$10,J11),J11)</f>
        <v>0</v>
      </c>
      <c r="L11" s="39">
        <f>IFERROR(IF(INDEX('State Map'!$C:$C,MATCH(TRIM('RZSPbS-psgr-ldv'!$A11),'State Map'!$A:$A,0))="Max Ambition",Schedules!H$10,K11),K11)</f>
        <v>0</v>
      </c>
      <c r="M11" s="39">
        <f>IFERROR(IF(INDEX('State Map'!$C:$C,MATCH(TRIM('RZSPbS-psgr-ldv'!$A11),'State Map'!$A:$A,0))="Max Ambition",Schedules!I$10,L11),L11)</f>
        <v>0</v>
      </c>
      <c r="N11" s="39">
        <f>IFERROR(IF(INDEX('State Map'!$C:$C,MATCH(TRIM('RZSPbS-psgr-ldv'!$A11),'State Map'!$A:$A,0))="Max Ambition",Schedules!J$10,M11),M11)</f>
        <v>0</v>
      </c>
      <c r="O11" s="39">
        <f>IFERROR(IF(INDEX('State Map'!$C:$C,MATCH(TRIM('RZSPbS-psgr-ldv'!$A11),'State Map'!$A:$A,0))="Max Ambition",Schedules!K$10,N11),N11)</f>
        <v>0</v>
      </c>
      <c r="P11" s="39">
        <f>IFERROR(IF(INDEX('State Map'!$C:$C,MATCH(TRIM('RZSPbS-psgr-ldv'!$A11),'State Map'!$A:$A,0))="Max Ambition",Schedules!L$10,O11),O11)</f>
        <v>0</v>
      </c>
      <c r="Q11" s="39">
        <f>IFERROR(IF(INDEX('State Map'!$C:$C,MATCH(TRIM('RZSPbS-psgr-ldv'!$A11),'State Map'!$A:$A,0))="Max Ambition",Schedules!M$10,P11),P11)</f>
        <v>0</v>
      </c>
      <c r="R11" s="39">
        <f>IFERROR(IF(INDEX('State Map'!$C:$C,MATCH(TRIM('RZSPbS-psgr-ldv'!$A11),'State Map'!$A:$A,0))="Max Ambition",Schedules!N$10,Q11),Q11)</f>
        <v>0</v>
      </c>
      <c r="S11" s="39">
        <f>IFERROR(IF(INDEX('State Map'!$C:$C,MATCH(TRIM('RZSPbS-psgr-ldv'!$A11),'State Map'!$A:$A,0))="Max Ambition",Schedules!O$10,R11),R11)</f>
        <v>0</v>
      </c>
      <c r="T11" s="39">
        <f>IFERROR(IF(INDEX('State Map'!$C:$C,MATCH(TRIM('RZSPbS-psgr-ldv'!$A11),'State Map'!$A:$A,0))="Max Ambition",Schedules!P$10,S11),S11)</f>
        <v>0</v>
      </c>
      <c r="U11" s="39">
        <f>IFERROR(IF(INDEX('State Map'!$C:$C,MATCH(TRIM('RZSPbS-psgr-ldv'!$A11),'State Map'!$A:$A,0))="Max Ambition",Schedules!Q$10,T11),T11)</f>
        <v>0</v>
      </c>
      <c r="V11" s="39">
        <f>IFERROR(IF(INDEX('State Map'!$C:$C,MATCH(TRIM('RZSPbS-psgr-ldv'!$A11),'State Map'!$A:$A,0))="Max Ambition",Schedules!R$10,U11),U11)</f>
        <v>0</v>
      </c>
      <c r="W11" s="39">
        <f>IFERROR(IF(INDEX('State Map'!$C:$C,MATCH(TRIM('RZSPbS-psgr-ldv'!$A11),'State Map'!$A:$A,0))="Max Ambition",Schedules!S$10,V11),V11)</f>
        <v>0</v>
      </c>
      <c r="X11" s="39">
        <f>IFERROR(IF(INDEX('State Map'!$C:$C,MATCH(TRIM('RZSPbS-psgr-ldv'!$A11),'State Map'!$A:$A,0))="Max Ambition",Schedules!T$10,W11),W11)</f>
        <v>0</v>
      </c>
      <c r="Y11" s="39">
        <f>IFERROR(IF(INDEX('State Map'!$C:$C,MATCH(TRIM('RZSPbS-psgr-ldv'!$A11),'State Map'!$A:$A,0))="Max Ambition",Schedules!U$10,X11),X11)</f>
        <v>0</v>
      </c>
      <c r="Z11" s="39">
        <f>IFERROR(IF(INDEX('State Map'!$C:$C,MATCH(TRIM('RZSPbS-psgr-ldv'!$A11),'State Map'!$A:$A,0))="Max Ambition",Schedules!V$10,Y11),Y11)</f>
        <v>0</v>
      </c>
      <c r="AA11" s="39">
        <f>IFERROR(IF(INDEX('State Map'!$C:$C,MATCH(TRIM('RZSPbS-psgr-ldv'!$A11),'State Map'!$A:$A,0))="Max Ambition",Schedules!W$10,Z11),Z11)</f>
        <v>0</v>
      </c>
      <c r="AB11" s="39">
        <f>IFERROR(IF(INDEX('State Map'!$C:$C,MATCH(TRIM('RZSPbS-psgr-ldv'!$A11),'State Map'!$A:$A,0))="Max Ambition",Schedules!X$10,AA11),AA11)</f>
        <v>0</v>
      </c>
      <c r="AC11" s="39">
        <f>IFERROR(IF(INDEX('State Map'!$C:$C,MATCH(TRIM('RZSPbS-psgr-ldv'!$A11),'State Map'!$A:$A,0))="Max Ambition",Schedules!Y$10,AB11),AB11)</f>
        <v>0</v>
      </c>
      <c r="AD11" s="39">
        <f>IFERROR(IF(INDEX('State Map'!$C:$C,MATCH(TRIM('RZSPbS-psgr-ldv'!$A11),'State Map'!$A:$A,0))="Max Ambition",Schedules!Z$10,AC11),AC11)</f>
        <v>0</v>
      </c>
      <c r="AE11" s="39">
        <f>IFERROR(IF(INDEX('State Map'!$C:$C,MATCH(TRIM('RZSPbS-psgr-ldv'!$A11),'State Map'!$A:$A,0))="Max Ambition",Schedules!AA$10,AD11),AD11)</f>
        <v>0</v>
      </c>
      <c r="AF11" s="39">
        <f>IFERROR(IF(INDEX('State Map'!$C:$C,MATCH(TRIM('RZSPbS-psgr-ldv'!$A11),'State Map'!$A:$A,0))="Max Ambition",Schedules!AB$10,AE11),AE11)</f>
        <v>0</v>
      </c>
    </row>
    <row r="12" spans="1:32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39">
        <f>IFERROR(IF(INDEX('State Map'!$C:$C,MATCH(TRIM('RZSPbS-psgr-ldv'!$A12),'State Map'!$A:$A,0))="Max Ambition",Schedules!G$10,J12),J12)</f>
        <v>0</v>
      </c>
      <c r="L12" s="39">
        <f>IFERROR(IF(INDEX('State Map'!$C:$C,MATCH(TRIM('RZSPbS-psgr-ldv'!$A12),'State Map'!$A:$A,0))="Max Ambition",Schedules!H$10,K12),K12)</f>
        <v>0</v>
      </c>
      <c r="M12" s="39">
        <f>IFERROR(IF(INDEX('State Map'!$C:$C,MATCH(TRIM('RZSPbS-psgr-ldv'!$A12),'State Map'!$A:$A,0))="Max Ambition",Schedules!I$10,L12),L12)</f>
        <v>0</v>
      </c>
      <c r="N12" s="39">
        <f>IFERROR(IF(INDEX('State Map'!$C:$C,MATCH(TRIM('RZSPbS-psgr-ldv'!$A12),'State Map'!$A:$A,0))="Max Ambition",Schedules!J$10,M12),M12)</f>
        <v>0</v>
      </c>
      <c r="O12" s="39">
        <f>IFERROR(IF(INDEX('State Map'!$C:$C,MATCH(TRIM('RZSPbS-psgr-ldv'!$A12),'State Map'!$A:$A,0))="Max Ambition",Schedules!K$10,N12),N12)</f>
        <v>0</v>
      </c>
      <c r="P12" s="39">
        <f>IFERROR(IF(INDEX('State Map'!$C:$C,MATCH(TRIM('RZSPbS-psgr-ldv'!$A12),'State Map'!$A:$A,0))="Max Ambition",Schedules!L$10,O12),O12)</f>
        <v>0</v>
      </c>
      <c r="Q12" s="39">
        <f>IFERROR(IF(INDEX('State Map'!$C:$C,MATCH(TRIM('RZSPbS-psgr-ldv'!$A12),'State Map'!$A:$A,0))="Max Ambition",Schedules!M$10,P12),P12)</f>
        <v>0</v>
      </c>
      <c r="R12" s="39">
        <f>IFERROR(IF(INDEX('State Map'!$C:$C,MATCH(TRIM('RZSPbS-psgr-ldv'!$A12),'State Map'!$A:$A,0))="Max Ambition",Schedules!N$10,Q12),Q12)</f>
        <v>0</v>
      </c>
      <c r="S12" s="39">
        <f>IFERROR(IF(INDEX('State Map'!$C:$C,MATCH(TRIM('RZSPbS-psgr-ldv'!$A12),'State Map'!$A:$A,0))="Max Ambition",Schedules!O$10,R12),R12)</f>
        <v>0</v>
      </c>
      <c r="T12" s="39">
        <f>IFERROR(IF(INDEX('State Map'!$C:$C,MATCH(TRIM('RZSPbS-psgr-ldv'!$A12),'State Map'!$A:$A,0))="Max Ambition",Schedules!P$10,S12),S12)</f>
        <v>0</v>
      </c>
      <c r="U12" s="39">
        <f>IFERROR(IF(INDEX('State Map'!$C:$C,MATCH(TRIM('RZSPbS-psgr-ldv'!$A12),'State Map'!$A:$A,0))="Max Ambition",Schedules!Q$10,T12),T12)</f>
        <v>0</v>
      </c>
      <c r="V12" s="39">
        <f>IFERROR(IF(INDEX('State Map'!$C:$C,MATCH(TRIM('RZSPbS-psgr-ldv'!$A12),'State Map'!$A:$A,0))="Max Ambition",Schedules!R$10,U12),U12)</f>
        <v>0</v>
      </c>
      <c r="W12" s="39">
        <f>IFERROR(IF(INDEX('State Map'!$C:$C,MATCH(TRIM('RZSPbS-psgr-ldv'!$A12),'State Map'!$A:$A,0))="Max Ambition",Schedules!S$10,V12),V12)</f>
        <v>0</v>
      </c>
      <c r="X12" s="39">
        <f>IFERROR(IF(INDEX('State Map'!$C:$C,MATCH(TRIM('RZSPbS-psgr-ldv'!$A12),'State Map'!$A:$A,0))="Max Ambition",Schedules!T$10,W12),W12)</f>
        <v>0</v>
      </c>
      <c r="Y12" s="39">
        <f>IFERROR(IF(INDEX('State Map'!$C:$C,MATCH(TRIM('RZSPbS-psgr-ldv'!$A12),'State Map'!$A:$A,0))="Max Ambition",Schedules!U$10,X12),X12)</f>
        <v>0</v>
      </c>
      <c r="Z12" s="39">
        <f>IFERROR(IF(INDEX('State Map'!$C:$C,MATCH(TRIM('RZSPbS-psgr-ldv'!$A12),'State Map'!$A:$A,0))="Max Ambition",Schedules!V$10,Y12),Y12)</f>
        <v>0</v>
      </c>
      <c r="AA12" s="39">
        <f>IFERROR(IF(INDEX('State Map'!$C:$C,MATCH(TRIM('RZSPbS-psgr-ldv'!$A12),'State Map'!$A:$A,0))="Max Ambition",Schedules!W$10,Z12),Z12)</f>
        <v>0</v>
      </c>
      <c r="AB12" s="39">
        <f>IFERROR(IF(INDEX('State Map'!$C:$C,MATCH(TRIM('RZSPbS-psgr-ldv'!$A12),'State Map'!$A:$A,0))="Max Ambition",Schedules!X$10,AA12),AA12)</f>
        <v>0</v>
      </c>
      <c r="AC12" s="39">
        <f>IFERROR(IF(INDEX('State Map'!$C:$C,MATCH(TRIM('RZSPbS-psgr-ldv'!$A12),'State Map'!$A:$A,0))="Max Ambition",Schedules!Y$10,AB12),AB12)</f>
        <v>0</v>
      </c>
      <c r="AD12" s="39">
        <f>IFERROR(IF(INDEX('State Map'!$C:$C,MATCH(TRIM('RZSPbS-psgr-ldv'!$A12),'State Map'!$A:$A,0))="Max Ambition",Schedules!Z$10,AC12),AC12)</f>
        <v>0</v>
      </c>
      <c r="AE12" s="39">
        <f>IFERROR(IF(INDEX('State Map'!$C:$C,MATCH(TRIM('RZSPbS-psgr-ldv'!$A12),'State Map'!$A:$A,0))="Max Ambition",Schedules!AA$10,AD12),AD12)</f>
        <v>0</v>
      </c>
      <c r="AF12" s="39">
        <f>IFERROR(IF(INDEX('State Map'!$C:$C,MATCH(TRIM('RZSPbS-psgr-ldv'!$A12),'State Map'!$A:$A,0))="Max Ambition",Schedules!AB$10,AE12),AE12)</f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39">
        <f>IFERROR(IF(INDEX('State Map'!$C:$C,MATCH(TRIM('RZSPbS-psgr-ldv'!$A13),'State Map'!$A:$A,0))="Max Ambition",Schedules!G$10,J13),J13)</f>
        <v>0</v>
      </c>
      <c r="L13" s="39">
        <f>IFERROR(IF(INDEX('State Map'!$C:$C,MATCH(TRIM('RZSPbS-psgr-ldv'!$A13),'State Map'!$A:$A,0))="Max Ambition",Schedules!H$10,K13),K13)</f>
        <v>0</v>
      </c>
      <c r="M13" s="39">
        <f>IFERROR(IF(INDEX('State Map'!$C:$C,MATCH(TRIM('RZSPbS-psgr-ldv'!$A13),'State Map'!$A:$A,0))="Max Ambition",Schedules!I$10,L13),L13)</f>
        <v>0</v>
      </c>
      <c r="N13" s="39">
        <f>IFERROR(IF(INDEX('State Map'!$C:$C,MATCH(TRIM('RZSPbS-psgr-ldv'!$A13),'State Map'!$A:$A,0))="Max Ambition",Schedules!J$10,M13),M13)</f>
        <v>0</v>
      </c>
      <c r="O13" s="39">
        <f>IFERROR(IF(INDEX('State Map'!$C:$C,MATCH(TRIM('RZSPbS-psgr-ldv'!$A13),'State Map'!$A:$A,0))="Max Ambition",Schedules!K$10,N13),N13)</f>
        <v>0</v>
      </c>
      <c r="P13" s="39">
        <f>IFERROR(IF(INDEX('State Map'!$C:$C,MATCH(TRIM('RZSPbS-psgr-ldv'!$A13),'State Map'!$A:$A,0))="Max Ambition",Schedules!L$10,O13),O13)</f>
        <v>0</v>
      </c>
      <c r="Q13" s="39">
        <f>IFERROR(IF(INDEX('State Map'!$C:$C,MATCH(TRIM('RZSPbS-psgr-ldv'!$A13),'State Map'!$A:$A,0))="Max Ambition",Schedules!M$10,P13),P13)</f>
        <v>0</v>
      </c>
      <c r="R13" s="39">
        <f>IFERROR(IF(INDEX('State Map'!$C:$C,MATCH(TRIM('RZSPbS-psgr-ldv'!$A13),'State Map'!$A:$A,0))="Max Ambition",Schedules!N$10,Q13),Q13)</f>
        <v>0</v>
      </c>
      <c r="S13" s="39">
        <f>IFERROR(IF(INDEX('State Map'!$C:$C,MATCH(TRIM('RZSPbS-psgr-ldv'!$A13),'State Map'!$A:$A,0))="Max Ambition",Schedules!O$10,R13),R13)</f>
        <v>0</v>
      </c>
      <c r="T13" s="39">
        <f>IFERROR(IF(INDEX('State Map'!$C:$C,MATCH(TRIM('RZSPbS-psgr-ldv'!$A13),'State Map'!$A:$A,0))="Max Ambition",Schedules!P$10,S13),S13)</f>
        <v>0</v>
      </c>
      <c r="U13" s="39">
        <f>IFERROR(IF(INDEX('State Map'!$C:$C,MATCH(TRIM('RZSPbS-psgr-ldv'!$A13),'State Map'!$A:$A,0))="Max Ambition",Schedules!Q$10,T13),T13)</f>
        <v>0</v>
      </c>
      <c r="V13" s="39">
        <f>IFERROR(IF(INDEX('State Map'!$C:$C,MATCH(TRIM('RZSPbS-psgr-ldv'!$A13),'State Map'!$A:$A,0))="Max Ambition",Schedules!R$10,U13),U13)</f>
        <v>0</v>
      </c>
      <c r="W13" s="39">
        <f>IFERROR(IF(INDEX('State Map'!$C:$C,MATCH(TRIM('RZSPbS-psgr-ldv'!$A13),'State Map'!$A:$A,0))="Max Ambition",Schedules!S$10,V13),V13)</f>
        <v>0</v>
      </c>
      <c r="X13" s="39">
        <f>IFERROR(IF(INDEX('State Map'!$C:$C,MATCH(TRIM('RZSPbS-psgr-ldv'!$A13),'State Map'!$A:$A,0))="Max Ambition",Schedules!T$10,W13),W13)</f>
        <v>0</v>
      </c>
      <c r="Y13" s="39">
        <f>IFERROR(IF(INDEX('State Map'!$C:$C,MATCH(TRIM('RZSPbS-psgr-ldv'!$A13),'State Map'!$A:$A,0))="Max Ambition",Schedules!U$10,X13),X13)</f>
        <v>0</v>
      </c>
      <c r="Z13" s="39">
        <f>IFERROR(IF(INDEX('State Map'!$C:$C,MATCH(TRIM('RZSPbS-psgr-ldv'!$A13),'State Map'!$A:$A,0))="Max Ambition",Schedules!V$10,Y13),Y13)</f>
        <v>0</v>
      </c>
      <c r="AA13" s="39">
        <f>IFERROR(IF(INDEX('State Map'!$C:$C,MATCH(TRIM('RZSPbS-psgr-ldv'!$A13),'State Map'!$A:$A,0))="Max Ambition",Schedules!W$10,Z13),Z13)</f>
        <v>0</v>
      </c>
      <c r="AB13" s="39">
        <f>IFERROR(IF(INDEX('State Map'!$C:$C,MATCH(TRIM('RZSPbS-psgr-ldv'!$A13),'State Map'!$A:$A,0))="Max Ambition",Schedules!X$10,AA13),AA13)</f>
        <v>0</v>
      </c>
      <c r="AC13" s="39">
        <f>IFERROR(IF(INDEX('State Map'!$C:$C,MATCH(TRIM('RZSPbS-psgr-ldv'!$A13),'State Map'!$A:$A,0))="Max Ambition",Schedules!Y$10,AB13),AB13)</f>
        <v>0</v>
      </c>
      <c r="AD13" s="39">
        <f>IFERROR(IF(INDEX('State Map'!$C:$C,MATCH(TRIM('RZSPbS-psgr-ldv'!$A13),'State Map'!$A:$A,0))="Max Ambition",Schedules!Z$10,AC13),AC13)</f>
        <v>0</v>
      </c>
      <c r="AE13" s="39">
        <f>IFERROR(IF(INDEX('State Map'!$C:$C,MATCH(TRIM('RZSPbS-psgr-ldv'!$A13),'State Map'!$A:$A,0))="Max Ambition",Schedules!AA$10,AD13),AD13)</f>
        <v>0</v>
      </c>
      <c r="AF13" s="39">
        <f>IFERROR(IF(INDEX('State Map'!$C:$C,MATCH(TRIM('RZSPbS-psgr-ldv'!$A13),'State Map'!$A:$A,0))="Max Ambition",Schedules!AB$10,AE13),AE13)</f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39">
        <f>IFERROR(IF(INDEX('State Map'!$C:$C,MATCH(TRIM('RZSPbS-psgr-ldv'!$A14),'State Map'!$A:$A,0))="Max Ambition",Schedules!G$10,J14),J14)</f>
        <v>0</v>
      </c>
      <c r="L14" s="39">
        <f>IFERROR(IF(INDEX('State Map'!$C:$C,MATCH(TRIM('RZSPbS-psgr-ldv'!$A14),'State Map'!$A:$A,0))="Max Ambition",Schedules!H$10,K14),K14)</f>
        <v>0</v>
      </c>
      <c r="M14" s="39">
        <f>IFERROR(IF(INDEX('State Map'!$C:$C,MATCH(TRIM('RZSPbS-psgr-ldv'!$A14),'State Map'!$A:$A,0))="Max Ambition",Schedules!I$10,L14),L14)</f>
        <v>0</v>
      </c>
      <c r="N14" s="39">
        <f>IFERROR(IF(INDEX('State Map'!$C:$C,MATCH(TRIM('RZSPbS-psgr-ldv'!$A14),'State Map'!$A:$A,0))="Max Ambition",Schedules!J$10,M14),M14)</f>
        <v>0</v>
      </c>
      <c r="O14" s="39">
        <f>IFERROR(IF(INDEX('State Map'!$C:$C,MATCH(TRIM('RZSPbS-psgr-ldv'!$A14),'State Map'!$A:$A,0))="Max Ambition",Schedules!K$10,N14),N14)</f>
        <v>0</v>
      </c>
      <c r="P14" s="39">
        <f>IFERROR(IF(INDEX('State Map'!$C:$C,MATCH(TRIM('RZSPbS-psgr-ldv'!$A14),'State Map'!$A:$A,0))="Max Ambition",Schedules!L$10,O14),O14)</f>
        <v>0</v>
      </c>
      <c r="Q14" s="39">
        <f>IFERROR(IF(INDEX('State Map'!$C:$C,MATCH(TRIM('RZSPbS-psgr-ldv'!$A14),'State Map'!$A:$A,0))="Max Ambition",Schedules!M$10,P14),P14)</f>
        <v>0</v>
      </c>
      <c r="R14" s="39">
        <f>IFERROR(IF(INDEX('State Map'!$C:$C,MATCH(TRIM('RZSPbS-psgr-ldv'!$A14),'State Map'!$A:$A,0))="Max Ambition",Schedules!N$10,Q14),Q14)</f>
        <v>0</v>
      </c>
      <c r="S14" s="39">
        <f>IFERROR(IF(INDEX('State Map'!$C:$C,MATCH(TRIM('RZSPbS-psgr-ldv'!$A14),'State Map'!$A:$A,0))="Max Ambition",Schedules!O$10,R14),R14)</f>
        <v>0</v>
      </c>
      <c r="T14" s="39">
        <f>IFERROR(IF(INDEX('State Map'!$C:$C,MATCH(TRIM('RZSPbS-psgr-ldv'!$A14),'State Map'!$A:$A,0))="Max Ambition",Schedules!P$10,S14),S14)</f>
        <v>0</v>
      </c>
      <c r="U14" s="39">
        <f>IFERROR(IF(INDEX('State Map'!$C:$C,MATCH(TRIM('RZSPbS-psgr-ldv'!$A14),'State Map'!$A:$A,0))="Max Ambition",Schedules!Q$10,T14),T14)</f>
        <v>0</v>
      </c>
      <c r="V14" s="39">
        <f>IFERROR(IF(INDEX('State Map'!$C:$C,MATCH(TRIM('RZSPbS-psgr-ldv'!$A14),'State Map'!$A:$A,0))="Max Ambition",Schedules!R$10,U14),U14)</f>
        <v>0</v>
      </c>
      <c r="W14" s="39">
        <f>IFERROR(IF(INDEX('State Map'!$C:$C,MATCH(TRIM('RZSPbS-psgr-ldv'!$A14),'State Map'!$A:$A,0))="Max Ambition",Schedules!S$10,V14),V14)</f>
        <v>0</v>
      </c>
      <c r="X14" s="39">
        <f>IFERROR(IF(INDEX('State Map'!$C:$C,MATCH(TRIM('RZSPbS-psgr-ldv'!$A14),'State Map'!$A:$A,0))="Max Ambition",Schedules!T$10,W14),W14)</f>
        <v>0</v>
      </c>
      <c r="Y14" s="39">
        <f>IFERROR(IF(INDEX('State Map'!$C:$C,MATCH(TRIM('RZSPbS-psgr-ldv'!$A14),'State Map'!$A:$A,0))="Max Ambition",Schedules!U$10,X14),X14)</f>
        <v>0</v>
      </c>
      <c r="Z14" s="39">
        <f>IFERROR(IF(INDEX('State Map'!$C:$C,MATCH(TRIM('RZSPbS-psgr-ldv'!$A14),'State Map'!$A:$A,0))="Max Ambition",Schedules!V$10,Y14),Y14)</f>
        <v>0</v>
      </c>
      <c r="AA14" s="39">
        <f>IFERROR(IF(INDEX('State Map'!$C:$C,MATCH(TRIM('RZSPbS-psgr-ldv'!$A14),'State Map'!$A:$A,0))="Max Ambition",Schedules!W$10,Z14),Z14)</f>
        <v>0</v>
      </c>
      <c r="AB14" s="39">
        <f>IFERROR(IF(INDEX('State Map'!$C:$C,MATCH(TRIM('RZSPbS-psgr-ldv'!$A14),'State Map'!$A:$A,0))="Max Ambition",Schedules!X$10,AA14),AA14)</f>
        <v>0</v>
      </c>
      <c r="AC14" s="39">
        <f>IFERROR(IF(INDEX('State Map'!$C:$C,MATCH(TRIM('RZSPbS-psgr-ldv'!$A14),'State Map'!$A:$A,0))="Max Ambition",Schedules!Y$10,AB14),AB14)</f>
        <v>0</v>
      </c>
      <c r="AD14" s="39">
        <f>IFERROR(IF(INDEX('State Map'!$C:$C,MATCH(TRIM('RZSPbS-psgr-ldv'!$A14),'State Map'!$A:$A,0))="Max Ambition",Schedules!Z$10,AC14),AC14)</f>
        <v>0</v>
      </c>
      <c r="AE14" s="39">
        <f>IFERROR(IF(INDEX('State Map'!$C:$C,MATCH(TRIM('RZSPbS-psgr-ldv'!$A14),'State Map'!$A:$A,0))="Max Ambition",Schedules!AA$10,AD14),AD14)</f>
        <v>0</v>
      </c>
      <c r="AF14" s="39">
        <f>IFERROR(IF(INDEX('State Map'!$C:$C,MATCH(TRIM('RZSPbS-psgr-ldv'!$A14),'State Map'!$A:$A,0))="Max Ambition",Schedules!AB$10,AE14),AE14)</f>
        <v>0</v>
      </c>
    </row>
    <row r="15" spans="1:32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39">
        <f>IFERROR(IF(INDEX('State Map'!$C:$C,MATCH(TRIM('RZSPbS-psgr-ldv'!$A15),'State Map'!$A:$A,0))="Max Ambition",Schedules!G$10,J15),J15)</f>
        <v>0.155</v>
      </c>
      <c r="L15" s="39">
        <f>IFERROR(IF(INDEX('State Map'!$C:$C,MATCH(TRIM('RZSPbS-psgr-ldv'!$A15),'State Map'!$A:$A,0))="Max Ambition",Schedules!H$10,K15),K15)</f>
        <v>0.17499999999999999</v>
      </c>
      <c r="M15" s="39">
        <f>IFERROR(IF(INDEX('State Map'!$C:$C,MATCH(TRIM('RZSPbS-psgr-ldv'!$A15),'State Map'!$A:$A,0))="Max Ambition",Schedules!I$10,L15),L15)</f>
        <v>0.19500000000000001</v>
      </c>
      <c r="N15" s="39">
        <f>IFERROR(IF(INDEX('State Map'!$C:$C,MATCH(TRIM('RZSPbS-psgr-ldv'!$A15),'State Map'!$A:$A,0))="Max Ambition",Schedules!J$10,M15),M15)</f>
        <v>0.255</v>
      </c>
      <c r="O15" s="39">
        <f>IFERROR(IF(INDEX('State Map'!$C:$C,MATCH(TRIM('RZSPbS-psgr-ldv'!$A15),'State Map'!$A:$A,0))="Max Ambition",Schedules!K$10,N15),N15)</f>
        <v>0.315</v>
      </c>
      <c r="P15" s="39">
        <f>IFERROR(IF(INDEX('State Map'!$C:$C,MATCH(TRIM('RZSPbS-psgr-ldv'!$A15),'State Map'!$A:$A,0))="Max Ambition",Schedules!L$10,O15),O15)</f>
        <v>0.375</v>
      </c>
      <c r="Q15" s="39">
        <f>IFERROR(IF(INDEX('State Map'!$C:$C,MATCH(TRIM('RZSPbS-psgr-ldv'!$A15),'State Map'!$A:$A,0))="Max Ambition",Schedules!M$10,P15),P15)</f>
        <v>0.435</v>
      </c>
      <c r="R15" s="39">
        <f>IFERROR(IF(INDEX('State Map'!$C:$C,MATCH(TRIM('RZSPbS-psgr-ldv'!$A15),'State Map'!$A:$A,0))="Max Ambition",Schedules!N$10,Q15),Q15)</f>
        <v>0.495</v>
      </c>
      <c r="S15" s="39">
        <f>IFERROR(IF(INDEX('State Map'!$C:$C,MATCH(TRIM('RZSPbS-psgr-ldv'!$A15),'State Map'!$A:$A,0))="Max Ambition",Schedules!O$10,R15),R15)</f>
        <v>0.55500000000000005</v>
      </c>
      <c r="T15" s="39">
        <f>IFERROR(IF(INDEX('State Map'!$C:$C,MATCH(TRIM('RZSPbS-psgr-ldv'!$A15),'State Map'!$A:$A,0))="Max Ambition",Schedules!P$10,S15),S15)</f>
        <v>0.61499999999999999</v>
      </c>
      <c r="U15" s="39">
        <f>IFERROR(IF(INDEX('State Map'!$C:$C,MATCH(TRIM('RZSPbS-psgr-ldv'!$A15),'State Map'!$A:$A,0))="Max Ambition",Schedules!Q$10,T15),T15)</f>
        <v>0.67500000000000004</v>
      </c>
      <c r="V15" s="39">
        <f>IFERROR(IF(INDEX('State Map'!$C:$C,MATCH(TRIM('RZSPbS-psgr-ldv'!$A15),'State Map'!$A:$A,0))="Max Ambition",Schedules!R$10,U15),U15)</f>
        <v>0.73499999999999999</v>
      </c>
      <c r="W15" s="39">
        <f>IFERROR(IF(INDEX('State Map'!$C:$C,MATCH(TRIM('RZSPbS-psgr-ldv'!$A15),'State Map'!$A:$A,0))="Max Ambition",Schedules!S$10,V15),V15)</f>
        <v>0.79500000000000004</v>
      </c>
      <c r="X15" s="39">
        <f>IFERROR(IF(INDEX('State Map'!$C:$C,MATCH(TRIM('RZSPbS-psgr-ldv'!$A15),'State Map'!$A:$A,0))="Max Ambition",Schedules!T$10,W15),W15)</f>
        <v>0.85</v>
      </c>
      <c r="Y15" s="39">
        <f>IFERROR(IF(INDEX('State Map'!$C:$C,MATCH(TRIM('RZSPbS-psgr-ldv'!$A15),'State Map'!$A:$A,0))="Max Ambition",Schedules!U$10,X15),X15)</f>
        <v>0.88</v>
      </c>
      <c r="Z15" s="39">
        <f>IFERROR(IF(INDEX('State Map'!$C:$C,MATCH(TRIM('RZSPbS-psgr-ldv'!$A15),'State Map'!$A:$A,0))="Max Ambition",Schedules!V$10,Y15),Y15)</f>
        <v>0.91</v>
      </c>
      <c r="AA15" s="39">
        <f>IFERROR(IF(INDEX('State Map'!$C:$C,MATCH(TRIM('RZSPbS-psgr-ldv'!$A15),'State Map'!$A:$A,0))="Max Ambition",Schedules!W$10,Z15),Z15)</f>
        <v>0.94</v>
      </c>
      <c r="AB15" s="39">
        <f>IFERROR(IF(INDEX('State Map'!$C:$C,MATCH(TRIM('RZSPbS-psgr-ldv'!$A15),'State Map'!$A:$A,0))="Max Ambition",Schedules!X$10,AA15),AA15)</f>
        <v>0.97</v>
      </c>
      <c r="AC15" s="39">
        <f>IFERROR(IF(INDEX('State Map'!$C:$C,MATCH(TRIM('RZSPbS-psgr-ldv'!$A15),'State Map'!$A:$A,0))="Max Ambition",Schedules!Y$10,AB15),AB15)</f>
        <v>1</v>
      </c>
      <c r="AD15" s="39">
        <f>IFERROR(IF(INDEX('State Map'!$C:$C,MATCH(TRIM('RZSPbS-psgr-ldv'!$A15),'State Map'!$A:$A,0))="Max Ambition",Schedules!Z$10,AC15),AC15)</f>
        <v>1</v>
      </c>
      <c r="AE15" s="39">
        <f>IFERROR(IF(INDEX('State Map'!$C:$C,MATCH(TRIM('RZSPbS-psgr-ldv'!$A15),'State Map'!$A:$A,0))="Max Ambition",Schedules!AA$10,AD15),AD15)</f>
        <v>1</v>
      </c>
      <c r="AF15" s="39">
        <f>IFERROR(IF(INDEX('State Map'!$C:$C,MATCH(TRIM('RZSPbS-psgr-ldv'!$A15),'State Map'!$A:$A,0))="Max Ambition",Schedules!AB$10,AE15),AE15)</f>
        <v>1</v>
      </c>
    </row>
    <row r="16" spans="1:3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39">
        <f>IFERROR(IF(INDEX('State Map'!$C:$C,MATCH(TRIM('RZSPbS-psgr-ldv'!$A16),'State Map'!$A:$A,0))="Max Ambition",Schedules!G$10,J16),J16)</f>
        <v>0</v>
      </c>
      <c r="L16" s="39">
        <f>IFERROR(IF(INDEX('State Map'!$C:$C,MATCH(TRIM('RZSPbS-psgr-ldv'!$A16),'State Map'!$A:$A,0))="Max Ambition",Schedules!H$10,K16),K16)</f>
        <v>0</v>
      </c>
      <c r="M16" s="39">
        <f>IFERROR(IF(INDEX('State Map'!$C:$C,MATCH(TRIM('RZSPbS-psgr-ldv'!$A16),'State Map'!$A:$A,0))="Max Ambition",Schedules!I$10,L16),L16)</f>
        <v>0</v>
      </c>
      <c r="N16" s="39">
        <f>IFERROR(IF(INDEX('State Map'!$C:$C,MATCH(TRIM('RZSPbS-psgr-ldv'!$A16),'State Map'!$A:$A,0))="Max Ambition",Schedules!J$10,M16),M16)</f>
        <v>0</v>
      </c>
      <c r="O16" s="39">
        <f>IFERROR(IF(INDEX('State Map'!$C:$C,MATCH(TRIM('RZSPbS-psgr-ldv'!$A16),'State Map'!$A:$A,0))="Max Ambition",Schedules!K$10,N16),N16)</f>
        <v>0</v>
      </c>
      <c r="P16" s="39">
        <f>IFERROR(IF(INDEX('State Map'!$C:$C,MATCH(TRIM('RZSPbS-psgr-ldv'!$A16),'State Map'!$A:$A,0))="Max Ambition",Schedules!L$10,O16),O16)</f>
        <v>0</v>
      </c>
      <c r="Q16" s="39">
        <f>IFERROR(IF(INDEX('State Map'!$C:$C,MATCH(TRIM('RZSPbS-psgr-ldv'!$A16),'State Map'!$A:$A,0))="Max Ambition",Schedules!M$10,P16),P16)</f>
        <v>0</v>
      </c>
      <c r="R16" s="39">
        <f>IFERROR(IF(INDEX('State Map'!$C:$C,MATCH(TRIM('RZSPbS-psgr-ldv'!$A16),'State Map'!$A:$A,0))="Max Ambition",Schedules!N$10,Q16),Q16)</f>
        <v>0</v>
      </c>
      <c r="S16" s="39">
        <f>IFERROR(IF(INDEX('State Map'!$C:$C,MATCH(TRIM('RZSPbS-psgr-ldv'!$A16),'State Map'!$A:$A,0))="Max Ambition",Schedules!O$10,R16),R16)</f>
        <v>0</v>
      </c>
      <c r="T16" s="39">
        <f>IFERROR(IF(INDEX('State Map'!$C:$C,MATCH(TRIM('RZSPbS-psgr-ldv'!$A16),'State Map'!$A:$A,0))="Max Ambition",Schedules!P$10,S16),S16)</f>
        <v>0</v>
      </c>
      <c r="U16" s="39">
        <f>IFERROR(IF(INDEX('State Map'!$C:$C,MATCH(TRIM('RZSPbS-psgr-ldv'!$A16),'State Map'!$A:$A,0))="Max Ambition",Schedules!Q$10,T16),T16)</f>
        <v>0</v>
      </c>
      <c r="V16" s="39">
        <f>IFERROR(IF(INDEX('State Map'!$C:$C,MATCH(TRIM('RZSPbS-psgr-ldv'!$A16),'State Map'!$A:$A,0))="Max Ambition",Schedules!R$10,U16),U16)</f>
        <v>0</v>
      </c>
      <c r="W16" s="39">
        <f>IFERROR(IF(INDEX('State Map'!$C:$C,MATCH(TRIM('RZSPbS-psgr-ldv'!$A16),'State Map'!$A:$A,0))="Max Ambition",Schedules!S$10,V16),V16)</f>
        <v>0</v>
      </c>
      <c r="X16" s="39">
        <f>IFERROR(IF(INDEX('State Map'!$C:$C,MATCH(TRIM('RZSPbS-psgr-ldv'!$A16),'State Map'!$A:$A,0))="Max Ambition",Schedules!T$10,W16),W16)</f>
        <v>0</v>
      </c>
      <c r="Y16" s="39">
        <f>IFERROR(IF(INDEX('State Map'!$C:$C,MATCH(TRIM('RZSPbS-psgr-ldv'!$A16),'State Map'!$A:$A,0))="Max Ambition",Schedules!U$10,X16),X16)</f>
        <v>0</v>
      </c>
      <c r="Z16" s="39">
        <f>IFERROR(IF(INDEX('State Map'!$C:$C,MATCH(TRIM('RZSPbS-psgr-ldv'!$A16),'State Map'!$A:$A,0))="Max Ambition",Schedules!V$10,Y16),Y16)</f>
        <v>0</v>
      </c>
      <c r="AA16" s="39">
        <f>IFERROR(IF(INDEX('State Map'!$C:$C,MATCH(TRIM('RZSPbS-psgr-ldv'!$A16),'State Map'!$A:$A,0))="Max Ambition",Schedules!W$10,Z16),Z16)</f>
        <v>0</v>
      </c>
      <c r="AB16" s="39">
        <f>IFERROR(IF(INDEX('State Map'!$C:$C,MATCH(TRIM('RZSPbS-psgr-ldv'!$A16),'State Map'!$A:$A,0))="Max Ambition",Schedules!X$10,AA16),AA16)</f>
        <v>0</v>
      </c>
      <c r="AC16" s="39">
        <f>IFERROR(IF(INDEX('State Map'!$C:$C,MATCH(TRIM('RZSPbS-psgr-ldv'!$A16),'State Map'!$A:$A,0))="Max Ambition",Schedules!Y$10,AB16),AB16)</f>
        <v>0</v>
      </c>
      <c r="AD16" s="39">
        <f>IFERROR(IF(INDEX('State Map'!$C:$C,MATCH(TRIM('RZSPbS-psgr-ldv'!$A16),'State Map'!$A:$A,0))="Max Ambition",Schedules!Z$10,AC16),AC16)</f>
        <v>0</v>
      </c>
      <c r="AE16" s="39">
        <f>IFERROR(IF(INDEX('State Map'!$C:$C,MATCH(TRIM('RZSPbS-psgr-ldv'!$A16),'State Map'!$A:$A,0))="Max Ambition",Schedules!AA$10,AD16),AD16)</f>
        <v>0</v>
      </c>
      <c r="AF16" s="39">
        <f>IFERROR(IF(INDEX('State Map'!$C:$C,MATCH(TRIM('RZSPbS-psgr-ldv'!$A16),'State Map'!$A:$A,0))="Max Ambition",Schedules!AB$10,AE16),AE16)</f>
        <v>0</v>
      </c>
    </row>
    <row r="17" spans="1:3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39">
        <f>IFERROR(IF(INDEX('State Map'!$C:$C,MATCH(TRIM('RZSPbS-psgr-ldv'!$A17),'State Map'!$A:$A,0))="Max Ambition",Schedules!G$10,J17),J17)</f>
        <v>0</v>
      </c>
      <c r="L17" s="39">
        <f>IFERROR(IF(INDEX('State Map'!$C:$C,MATCH(TRIM('RZSPbS-psgr-ldv'!$A17),'State Map'!$A:$A,0))="Max Ambition",Schedules!H$10,K17),K17)</f>
        <v>0</v>
      </c>
      <c r="M17" s="39">
        <f>IFERROR(IF(INDEX('State Map'!$C:$C,MATCH(TRIM('RZSPbS-psgr-ldv'!$A17),'State Map'!$A:$A,0))="Max Ambition",Schedules!I$10,L17),L17)</f>
        <v>0</v>
      </c>
      <c r="N17" s="39">
        <f>IFERROR(IF(INDEX('State Map'!$C:$C,MATCH(TRIM('RZSPbS-psgr-ldv'!$A17),'State Map'!$A:$A,0))="Max Ambition",Schedules!J$10,M17),M17)</f>
        <v>0</v>
      </c>
      <c r="O17" s="39">
        <f>IFERROR(IF(INDEX('State Map'!$C:$C,MATCH(TRIM('RZSPbS-psgr-ldv'!$A17),'State Map'!$A:$A,0))="Max Ambition",Schedules!K$10,N17),N17)</f>
        <v>0</v>
      </c>
      <c r="P17" s="39">
        <f>IFERROR(IF(INDEX('State Map'!$C:$C,MATCH(TRIM('RZSPbS-psgr-ldv'!$A17),'State Map'!$A:$A,0))="Max Ambition",Schedules!L$10,O17),O17)</f>
        <v>0</v>
      </c>
      <c r="Q17" s="39">
        <f>IFERROR(IF(INDEX('State Map'!$C:$C,MATCH(TRIM('RZSPbS-psgr-ldv'!$A17),'State Map'!$A:$A,0))="Max Ambition",Schedules!M$10,P17),P17)</f>
        <v>0</v>
      </c>
      <c r="R17" s="39">
        <f>IFERROR(IF(INDEX('State Map'!$C:$C,MATCH(TRIM('RZSPbS-psgr-ldv'!$A17),'State Map'!$A:$A,0))="Max Ambition",Schedules!N$10,Q17),Q17)</f>
        <v>0</v>
      </c>
      <c r="S17" s="39">
        <f>IFERROR(IF(INDEX('State Map'!$C:$C,MATCH(TRIM('RZSPbS-psgr-ldv'!$A17),'State Map'!$A:$A,0))="Max Ambition",Schedules!O$10,R17),R17)</f>
        <v>0</v>
      </c>
      <c r="T17" s="39">
        <f>IFERROR(IF(INDEX('State Map'!$C:$C,MATCH(TRIM('RZSPbS-psgr-ldv'!$A17),'State Map'!$A:$A,0))="Max Ambition",Schedules!P$10,S17),S17)</f>
        <v>0</v>
      </c>
      <c r="U17" s="39">
        <f>IFERROR(IF(INDEX('State Map'!$C:$C,MATCH(TRIM('RZSPbS-psgr-ldv'!$A17),'State Map'!$A:$A,0))="Max Ambition",Schedules!Q$10,T17),T17)</f>
        <v>0</v>
      </c>
      <c r="V17" s="39">
        <f>IFERROR(IF(INDEX('State Map'!$C:$C,MATCH(TRIM('RZSPbS-psgr-ldv'!$A17),'State Map'!$A:$A,0))="Max Ambition",Schedules!R$10,U17),U17)</f>
        <v>0</v>
      </c>
      <c r="W17" s="39">
        <f>IFERROR(IF(INDEX('State Map'!$C:$C,MATCH(TRIM('RZSPbS-psgr-ldv'!$A17),'State Map'!$A:$A,0))="Max Ambition",Schedules!S$10,V17),V17)</f>
        <v>0</v>
      </c>
      <c r="X17" s="39">
        <f>IFERROR(IF(INDEX('State Map'!$C:$C,MATCH(TRIM('RZSPbS-psgr-ldv'!$A17),'State Map'!$A:$A,0))="Max Ambition",Schedules!T$10,W17),W17)</f>
        <v>0</v>
      </c>
      <c r="Y17" s="39">
        <f>IFERROR(IF(INDEX('State Map'!$C:$C,MATCH(TRIM('RZSPbS-psgr-ldv'!$A17),'State Map'!$A:$A,0))="Max Ambition",Schedules!U$10,X17),X17)</f>
        <v>0</v>
      </c>
      <c r="Z17" s="39">
        <f>IFERROR(IF(INDEX('State Map'!$C:$C,MATCH(TRIM('RZSPbS-psgr-ldv'!$A17),'State Map'!$A:$A,0))="Max Ambition",Schedules!V$10,Y17),Y17)</f>
        <v>0</v>
      </c>
      <c r="AA17" s="39">
        <f>IFERROR(IF(INDEX('State Map'!$C:$C,MATCH(TRIM('RZSPbS-psgr-ldv'!$A17),'State Map'!$A:$A,0))="Max Ambition",Schedules!W$10,Z17),Z17)</f>
        <v>0</v>
      </c>
      <c r="AB17" s="39">
        <f>IFERROR(IF(INDEX('State Map'!$C:$C,MATCH(TRIM('RZSPbS-psgr-ldv'!$A17),'State Map'!$A:$A,0))="Max Ambition",Schedules!X$10,AA17),AA17)</f>
        <v>0</v>
      </c>
      <c r="AC17" s="39">
        <f>IFERROR(IF(INDEX('State Map'!$C:$C,MATCH(TRIM('RZSPbS-psgr-ldv'!$A17),'State Map'!$A:$A,0))="Max Ambition",Schedules!Y$10,AB17),AB17)</f>
        <v>0</v>
      </c>
      <c r="AD17" s="39">
        <f>IFERROR(IF(INDEX('State Map'!$C:$C,MATCH(TRIM('RZSPbS-psgr-ldv'!$A17),'State Map'!$A:$A,0))="Max Ambition",Schedules!Z$10,AC17),AC17)</f>
        <v>0</v>
      </c>
      <c r="AE17" s="39">
        <f>IFERROR(IF(INDEX('State Map'!$C:$C,MATCH(TRIM('RZSPbS-psgr-ldv'!$A17),'State Map'!$A:$A,0))="Max Ambition",Schedules!AA$10,AD17),AD17)</f>
        <v>0</v>
      </c>
      <c r="AF17" s="39">
        <f>IFERROR(IF(INDEX('State Map'!$C:$C,MATCH(TRIM('RZSPbS-psgr-ldv'!$A17),'State Map'!$A:$A,0))="Max Ambition",Schedules!AB$10,AE17),AE17)</f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39">
        <f>IFERROR(IF(INDEX('State Map'!$C:$C,MATCH(TRIM('RZSPbS-psgr-ldv'!$A18),'State Map'!$A:$A,0))="Max Ambition",Schedules!G$10,J18),J18)</f>
        <v>0</v>
      </c>
      <c r="L18" s="39">
        <f>IFERROR(IF(INDEX('State Map'!$C:$C,MATCH(TRIM('RZSPbS-psgr-ldv'!$A18),'State Map'!$A:$A,0))="Max Ambition",Schedules!H$10,K18),K18)</f>
        <v>0</v>
      </c>
      <c r="M18" s="39">
        <f>IFERROR(IF(INDEX('State Map'!$C:$C,MATCH(TRIM('RZSPbS-psgr-ldv'!$A18),'State Map'!$A:$A,0))="Max Ambition",Schedules!I$10,L18),L18)</f>
        <v>0</v>
      </c>
      <c r="N18" s="39">
        <f>IFERROR(IF(INDEX('State Map'!$C:$C,MATCH(TRIM('RZSPbS-psgr-ldv'!$A18),'State Map'!$A:$A,0))="Max Ambition",Schedules!J$10,M18),M18)</f>
        <v>0</v>
      </c>
      <c r="O18" s="39">
        <f>IFERROR(IF(INDEX('State Map'!$C:$C,MATCH(TRIM('RZSPbS-psgr-ldv'!$A18),'State Map'!$A:$A,0))="Max Ambition",Schedules!K$10,N18),N18)</f>
        <v>0</v>
      </c>
      <c r="P18" s="39">
        <f>IFERROR(IF(INDEX('State Map'!$C:$C,MATCH(TRIM('RZSPbS-psgr-ldv'!$A18),'State Map'!$A:$A,0))="Max Ambition",Schedules!L$10,O18),O18)</f>
        <v>0</v>
      </c>
      <c r="Q18" s="39">
        <f>IFERROR(IF(INDEX('State Map'!$C:$C,MATCH(TRIM('RZSPbS-psgr-ldv'!$A18),'State Map'!$A:$A,0))="Max Ambition",Schedules!M$10,P18),P18)</f>
        <v>0</v>
      </c>
      <c r="R18" s="39">
        <f>IFERROR(IF(INDEX('State Map'!$C:$C,MATCH(TRIM('RZSPbS-psgr-ldv'!$A18),'State Map'!$A:$A,0))="Max Ambition",Schedules!N$10,Q18),Q18)</f>
        <v>0</v>
      </c>
      <c r="S18" s="39">
        <f>IFERROR(IF(INDEX('State Map'!$C:$C,MATCH(TRIM('RZSPbS-psgr-ldv'!$A18),'State Map'!$A:$A,0))="Max Ambition",Schedules!O$10,R18),R18)</f>
        <v>0</v>
      </c>
      <c r="T18" s="39">
        <f>IFERROR(IF(INDEX('State Map'!$C:$C,MATCH(TRIM('RZSPbS-psgr-ldv'!$A18),'State Map'!$A:$A,0))="Max Ambition",Schedules!P$10,S18),S18)</f>
        <v>0</v>
      </c>
      <c r="U18" s="39">
        <f>IFERROR(IF(INDEX('State Map'!$C:$C,MATCH(TRIM('RZSPbS-psgr-ldv'!$A18),'State Map'!$A:$A,0))="Max Ambition",Schedules!Q$10,T18),T18)</f>
        <v>0</v>
      </c>
      <c r="V18" s="39">
        <f>IFERROR(IF(INDEX('State Map'!$C:$C,MATCH(TRIM('RZSPbS-psgr-ldv'!$A18),'State Map'!$A:$A,0))="Max Ambition",Schedules!R$10,U18),U18)</f>
        <v>0</v>
      </c>
      <c r="W18" s="39">
        <f>IFERROR(IF(INDEX('State Map'!$C:$C,MATCH(TRIM('RZSPbS-psgr-ldv'!$A18),'State Map'!$A:$A,0))="Max Ambition",Schedules!S$10,V18),V18)</f>
        <v>0</v>
      </c>
      <c r="X18" s="39">
        <f>IFERROR(IF(INDEX('State Map'!$C:$C,MATCH(TRIM('RZSPbS-psgr-ldv'!$A18),'State Map'!$A:$A,0))="Max Ambition",Schedules!T$10,W18),W18)</f>
        <v>0</v>
      </c>
      <c r="Y18" s="39">
        <f>IFERROR(IF(INDEX('State Map'!$C:$C,MATCH(TRIM('RZSPbS-psgr-ldv'!$A18),'State Map'!$A:$A,0))="Max Ambition",Schedules!U$10,X18),X18)</f>
        <v>0</v>
      </c>
      <c r="Z18" s="39">
        <f>IFERROR(IF(INDEX('State Map'!$C:$C,MATCH(TRIM('RZSPbS-psgr-ldv'!$A18),'State Map'!$A:$A,0))="Max Ambition",Schedules!V$10,Y18),Y18)</f>
        <v>0</v>
      </c>
      <c r="AA18" s="39">
        <f>IFERROR(IF(INDEX('State Map'!$C:$C,MATCH(TRIM('RZSPbS-psgr-ldv'!$A18),'State Map'!$A:$A,0))="Max Ambition",Schedules!W$10,Z18),Z18)</f>
        <v>0</v>
      </c>
      <c r="AB18" s="39">
        <f>IFERROR(IF(INDEX('State Map'!$C:$C,MATCH(TRIM('RZSPbS-psgr-ldv'!$A18),'State Map'!$A:$A,0))="Max Ambition",Schedules!X$10,AA18),AA18)</f>
        <v>0</v>
      </c>
      <c r="AC18" s="39">
        <f>IFERROR(IF(INDEX('State Map'!$C:$C,MATCH(TRIM('RZSPbS-psgr-ldv'!$A18),'State Map'!$A:$A,0))="Max Ambition",Schedules!Y$10,AB18),AB18)</f>
        <v>0</v>
      </c>
      <c r="AD18" s="39">
        <f>IFERROR(IF(INDEX('State Map'!$C:$C,MATCH(TRIM('RZSPbS-psgr-ldv'!$A18),'State Map'!$A:$A,0))="Max Ambition",Schedules!Z$10,AC18),AC18)</f>
        <v>0</v>
      </c>
      <c r="AE18" s="39">
        <f>IFERROR(IF(INDEX('State Map'!$C:$C,MATCH(TRIM('RZSPbS-psgr-ldv'!$A18),'State Map'!$A:$A,0))="Max Ambition",Schedules!AA$10,AD18),AD18)</f>
        <v>0</v>
      </c>
      <c r="AF18" s="39">
        <f>IFERROR(IF(INDEX('State Map'!$C:$C,MATCH(TRIM('RZSPbS-psgr-ldv'!$A18),'State Map'!$A:$A,0))="Max Ambition",Schedules!AB$10,AE18),AE18)</f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39">
        <f>IFERROR(IF(INDEX('State Map'!$C:$C,MATCH(TRIM('RZSPbS-psgr-ldv'!$A19),'State Map'!$A:$A,0))="Max Ambition",Schedules!G$10,J19),J19)</f>
        <v>0</v>
      </c>
      <c r="L19" s="39">
        <f>IFERROR(IF(INDEX('State Map'!$C:$C,MATCH(TRIM('RZSPbS-psgr-ldv'!$A19),'State Map'!$A:$A,0))="Max Ambition",Schedules!H$10,K19),K19)</f>
        <v>0</v>
      </c>
      <c r="M19" s="39">
        <f>IFERROR(IF(INDEX('State Map'!$C:$C,MATCH(TRIM('RZSPbS-psgr-ldv'!$A19),'State Map'!$A:$A,0))="Max Ambition",Schedules!I$10,L19),L19)</f>
        <v>0</v>
      </c>
      <c r="N19" s="39">
        <f>IFERROR(IF(INDEX('State Map'!$C:$C,MATCH(TRIM('RZSPbS-psgr-ldv'!$A19),'State Map'!$A:$A,0))="Max Ambition",Schedules!J$10,M19),M19)</f>
        <v>0</v>
      </c>
      <c r="O19" s="39">
        <f>IFERROR(IF(INDEX('State Map'!$C:$C,MATCH(TRIM('RZSPbS-psgr-ldv'!$A19),'State Map'!$A:$A,0))="Max Ambition",Schedules!K$10,N19),N19)</f>
        <v>0</v>
      </c>
      <c r="P19" s="39">
        <f>IFERROR(IF(INDEX('State Map'!$C:$C,MATCH(TRIM('RZSPbS-psgr-ldv'!$A19),'State Map'!$A:$A,0))="Max Ambition",Schedules!L$10,O19),O19)</f>
        <v>0</v>
      </c>
      <c r="Q19" s="39">
        <f>IFERROR(IF(INDEX('State Map'!$C:$C,MATCH(TRIM('RZSPbS-psgr-ldv'!$A19),'State Map'!$A:$A,0))="Max Ambition",Schedules!M$10,P19),P19)</f>
        <v>0</v>
      </c>
      <c r="R19" s="39">
        <f>IFERROR(IF(INDEX('State Map'!$C:$C,MATCH(TRIM('RZSPbS-psgr-ldv'!$A19),'State Map'!$A:$A,0))="Max Ambition",Schedules!N$10,Q19),Q19)</f>
        <v>0</v>
      </c>
      <c r="S19" s="39">
        <f>IFERROR(IF(INDEX('State Map'!$C:$C,MATCH(TRIM('RZSPbS-psgr-ldv'!$A19),'State Map'!$A:$A,0))="Max Ambition",Schedules!O$10,R19),R19)</f>
        <v>0</v>
      </c>
      <c r="T19" s="39">
        <f>IFERROR(IF(INDEX('State Map'!$C:$C,MATCH(TRIM('RZSPbS-psgr-ldv'!$A19),'State Map'!$A:$A,0))="Max Ambition",Schedules!P$10,S19),S19)</f>
        <v>0</v>
      </c>
      <c r="U19" s="39">
        <f>IFERROR(IF(INDEX('State Map'!$C:$C,MATCH(TRIM('RZSPbS-psgr-ldv'!$A19),'State Map'!$A:$A,0))="Max Ambition",Schedules!Q$10,T19),T19)</f>
        <v>0</v>
      </c>
      <c r="V19" s="39">
        <f>IFERROR(IF(INDEX('State Map'!$C:$C,MATCH(TRIM('RZSPbS-psgr-ldv'!$A19),'State Map'!$A:$A,0))="Max Ambition",Schedules!R$10,U19),U19)</f>
        <v>0</v>
      </c>
      <c r="W19" s="39">
        <f>IFERROR(IF(INDEX('State Map'!$C:$C,MATCH(TRIM('RZSPbS-psgr-ldv'!$A19),'State Map'!$A:$A,0))="Max Ambition",Schedules!S$10,V19),V19)</f>
        <v>0</v>
      </c>
      <c r="X19" s="39">
        <f>IFERROR(IF(INDEX('State Map'!$C:$C,MATCH(TRIM('RZSPbS-psgr-ldv'!$A19),'State Map'!$A:$A,0))="Max Ambition",Schedules!T$10,W19),W19)</f>
        <v>0</v>
      </c>
      <c r="Y19" s="39">
        <f>IFERROR(IF(INDEX('State Map'!$C:$C,MATCH(TRIM('RZSPbS-psgr-ldv'!$A19),'State Map'!$A:$A,0))="Max Ambition",Schedules!U$10,X19),X19)</f>
        <v>0</v>
      </c>
      <c r="Z19" s="39">
        <f>IFERROR(IF(INDEX('State Map'!$C:$C,MATCH(TRIM('RZSPbS-psgr-ldv'!$A19),'State Map'!$A:$A,0))="Max Ambition",Schedules!V$10,Y19),Y19)</f>
        <v>0</v>
      </c>
      <c r="AA19" s="39">
        <f>IFERROR(IF(INDEX('State Map'!$C:$C,MATCH(TRIM('RZSPbS-psgr-ldv'!$A19),'State Map'!$A:$A,0))="Max Ambition",Schedules!W$10,Z19),Z19)</f>
        <v>0</v>
      </c>
      <c r="AB19" s="39">
        <f>IFERROR(IF(INDEX('State Map'!$C:$C,MATCH(TRIM('RZSPbS-psgr-ldv'!$A19),'State Map'!$A:$A,0))="Max Ambition",Schedules!X$10,AA19),AA19)</f>
        <v>0</v>
      </c>
      <c r="AC19" s="39">
        <f>IFERROR(IF(INDEX('State Map'!$C:$C,MATCH(TRIM('RZSPbS-psgr-ldv'!$A19),'State Map'!$A:$A,0))="Max Ambition",Schedules!Y$10,AB19),AB19)</f>
        <v>0</v>
      </c>
      <c r="AD19" s="39">
        <f>IFERROR(IF(INDEX('State Map'!$C:$C,MATCH(TRIM('RZSPbS-psgr-ldv'!$A19),'State Map'!$A:$A,0))="Max Ambition",Schedules!Z$10,AC19),AC19)</f>
        <v>0</v>
      </c>
      <c r="AE19" s="39">
        <f>IFERROR(IF(INDEX('State Map'!$C:$C,MATCH(TRIM('RZSPbS-psgr-ldv'!$A19),'State Map'!$A:$A,0))="Max Ambition",Schedules!AA$10,AD19),AD19)</f>
        <v>0</v>
      </c>
      <c r="AF19" s="39">
        <f>IFERROR(IF(INDEX('State Map'!$C:$C,MATCH(TRIM('RZSPbS-psgr-ldv'!$A19),'State Map'!$A:$A,0))="Max Ambition",Schedules!AB$10,AE19),AE19)</f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39">
        <f>IFERROR(IF(INDEX('State Map'!$C:$C,MATCH(TRIM('RZSPbS-psgr-ldv'!$A20),'State Map'!$A:$A,0))="Max Ambition",Schedules!G$10,J20),J20)</f>
        <v>0</v>
      </c>
      <c r="L20" s="39">
        <f>IFERROR(IF(INDEX('State Map'!$C:$C,MATCH(TRIM('RZSPbS-psgr-ldv'!$A20),'State Map'!$A:$A,0))="Max Ambition",Schedules!H$10,K20),K20)</f>
        <v>0</v>
      </c>
      <c r="M20" s="39">
        <f>IFERROR(IF(INDEX('State Map'!$C:$C,MATCH(TRIM('RZSPbS-psgr-ldv'!$A20),'State Map'!$A:$A,0))="Max Ambition",Schedules!I$10,L20),L20)</f>
        <v>0</v>
      </c>
      <c r="N20" s="39">
        <f>IFERROR(IF(INDEX('State Map'!$C:$C,MATCH(TRIM('RZSPbS-psgr-ldv'!$A20),'State Map'!$A:$A,0))="Max Ambition",Schedules!J$10,M20),M20)</f>
        <v>0</v>
      </c>
      <c r="O20" s="39">
        <f>IFERROR(IF(INDEX('State Map'!$C:$C,MATCH(TRIM('RZSPbS-psgr-ldv'!$A20),'State Map'!$A:$A,0))="Max Ambition",Schedules!K$10,N20),N20)</f>
        <v>0</v>
      </c>
      <c r="P20" s="39">
        <f>IFERROR(IF(INDEX('State Map'!$C:$C,MATCH(TRIM('RZSPbS-psgr-ldv'!$A20),'State Map'!$A:$A,0))="Max Ambition",Schedules!L$10,O20),O20)</f>
        <v>0</v>
      </c>
      <c r="Q20" s="39">
        <f>IFERROR(IF(INDEX('State Map'!$C:$C,MATCH(TRIM('RZSPbS-psgr-ldv'!$A20),'State Map'!$A:$A,0))="Max Ambition",Schedules!M$10,P20),P20)</f>
        <v>0</v>
      </c>
      <c r="R20" s="39">
        <f>IFERROR(IF(INDEX('State Map'!$C:$C,MATCH(TRIM('RZSPbS-psgr-ldv'!$A20),'State Map'!$A:$A,0))="Max Ambition",Schedules!N$10,Q20),Q20)</f>
        <v>0</v>
      </c>
      <c r="S20" s="39">
        <f>IFERROR(IF(INDEX('State Map'!$C:$C,MATCH(TRIM('RZSPbS-psgr-ldv'!$A20),'State Map'!$A:$A,0))="Max Ambition",Schedules!O$10,R20),R20)</f>
        <v>0</v>
      </c>
      <c r="T20" s="39">
        <f>IFERROR(IF(INDEX('State Map'!$C:$C,MATCH(TRIM('RZSPbS-psgr-ldv'!$A20),'State Map'!$A:$A,0))="Max Ambition",Schedules!P$10,S20),S20)</f>
        <v>0</v>
      </c>
      <c r="U20" s="39">
        <f>IFERROR(IF(INDEX('State Map'!$C:$C,MATCH(TRIM('RZSPbS-psgr-ldv'!$A20),'State Map'!$A:$A,0))="Max Ambition",Schedules!Q$10,T20),T20)</f>
        <v>0</v>
      </c>
      <c r="V20" s="39">
        <f>IFERROR(IF(INDEX('State Map'!$C:$C,MATCH(TRIM('RZSPbS-psgr-ldv'!$A20),'State Map'!$A:$A,0))="Max Ambition",Schedules!R$10,U20),U20)</f>
        <v>0</v>
      </c>
      <c r="W20" s="39">
        <f>IFERROR(IF(INDEX('State Map'!$C:$C,MATCH(TRIM('RZSPbS-psgr-ldv'!$A20),'State Map'!$A:$A,0))="Max Ambition",Schedules!S$10,V20),V20)</f>
        <v>0</v>
      </c>
      <c r="X20" s="39">
        <f>IFERROR(IF(INDEX('State Map'!$C:$C,MATCH(TRIM('RZSPbS-psgr-ldv'!$A20),'State Map'!$A:$A,0))="Max Ambition",Schedules!T$10,W20),W20)</f>
        <v>0</v>
      </c>
      <c r="Y20" s="39">
        <f>IFERROR(IF(INDEX('State Map'!$C:$C,MATCH(TRIM('RZSPbS-psgr-ldv'!$A20),'State Map'!$A:$A,0))="Max Ambition",Schedules!U$10,X20),X20)</f>
        <v>0</v>
      </c>
      <c r="Z20" s="39">
        <f>IFERROR(IF(INDEX('State Map'!$C:$C,MATCH(TRIM('RZSPbS-psgr-ldv'!$A20),'State Map'!$A:$A,0))="Max Ambition",Schedules!V$10,Y20),Y20)</f>
        <v>0</v>
      </c>
      <c r="AA20" s="39">
        <f>IFERROR(IF(INDEX('State Map'!$C:$C,MATCH(TRIM('RZSPbS-psgr-ldv'!$A20),'State Map'!$A:$A,0))="Max Ambition",Schedules!W$10,Z20),Z20)</f>
        <v>0</v>
      </c>
      <c r="AB20" s="39">
        <f>IFERROR(IF(INDEX('State Map'!$C:$C,MATCH(TRIM('RZSPbS-psgr-ldv'!$A20),'State Map'!$A:$A,0))="Max Ambition",Schedules!X$10,AA20),AA20)</f>
        <v>0</v>
      </c>
      <c r="AC20" s="39">
        <f>IFERROR(IF(INDEX('State Map'!$C:$C,MATCH(TRIM('RZSPbS-psgr-ldv'!$A20),'State Map'!$A:$A,0))="Max Ambition",Schedules!Y$10,AB20),AB20)</f>
        <v>0</v>
      </c>
      <c r="AD20" s="39">
        <f>IFERROR(IF(INDEX('State Map'!$C:$C,MATCH(TRIM('RZSPbS-psgr-ldv'!$A20),'State Map'!$A:$A,0))="Max Ambition",Schedules!Z$10,AC20),AC20)</f>
        <v>0</v>
      </c>
      <c r="AE20" s="39">
        <f>IFERROR(IF(INDEX('State Map'!$C:$C,MATCH(TRIM('RZSPbS-psgr-ldv'!$A20),'State Map'!$A:$A,0))="Max Ambition",Schedules!AA$10,AD20),AD20)</f>
        <v>0</v>
      </c>
      <c r="AF20" s="39">
        <f>IFERROR(IF(INDEX('State Map'!$C:$C,MATCH(TRIM('RZSPbS-psgr-ldv'!$A20),'State Map'!$A:$A,0))="Max Ambition",Schedules!AB$10,AE20),AE20)</f>
        <v>0</v>
      </c>
    </row>
    <row r="21" spans="1:32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39">
        <f>IFERROR(IF(INDEX('State Map'!$C:$C,MATCH(TRIM('RZSPbS-psgr-ldv'!$A21),'State Map'!$A:$A,0))="Max Ambition",Schedules!G$10,J21),J21)</f>
        <v>0.155</v>
      </c>
      <c r="L21" s="39">
        <f>IFERROR(IF(INDEX('State Map'!$C:$C,MATCH(TRIM('RZSPbS-psgr-ldv'!$A21),'State Map'!$A:$A,0))="Max Ambition",Schedules!H$10,K21),K21)</f>
        <v>0.17499999999999999</v>
      </c>
      <c r="M21" s="39">
        <f>IFERROR(IF(INDEX('State Map'!$C:$C,MATCH(TRIM('RZSPbS-psgr-ldv'!$A21),'State Map'!$A:$A,0))="Max Ambition",Schedules!I$10,L21),L21)</f>
        <v>0.19500000000000001</v>
      </c>
      <c r="N21" s="39">
        <f>IFERROR(IF(INDEX('State Map'!$C:$C,MATCH(TRIM('RZSPbS-psgr-ldv'!$A21),'State Map'!$A:$A,0))="Max Ambition",Schedules!J$10,M21),M21)</f>
        <v>0.255</v>
      </c>
      <c r="O21" s="39">
        <f>IFERROR(IF(INDEX('State Map'!$C:$C,MATCH(TRIM('RZSPbS-psgr-ldv'!$A21),'State Map'!$A:$A,0))="Max Ambition",Schedules!K$10,N21),N21)</f>
        <v>0.315</v>
      </c>
      <c r="P21" s="39">
        <f>IFERROR(IF(INDEX('State Map'!$C:$C,MATCH(TRIM('RZSPbS-psgr-ldv'!$A21),'State Map'!$A:$A,0))="Max Ambition",Schedules!L$10,O21),O21)</f>
        <v>0.375</v>
      </c>
      <c r="Q21" s="39">
        <f>IFERROR(IF(INDEX('State Map'!$C:$C,MATCH(TRIM('RZSPbS-psgr-ldv'!$A21),'State Map'!$A:$A,0))="Max Ambition",Schedules!M$10,P21),P21)</f>
        <v>0.435</v>
      </c>
      <c r="R21" s="39">
        <f>IFERROR(IF(INDEX('State Map'!$C:$C,MATCH(TRIM('RZSPbS-psgr-ldv'!$A21),'State Map'!$A:$A,0))="Max Ambition",Schedules!N$10,Q21),Q21)</f>
        <v>0.495</v>
      </c>
      <c r="S21" s="39">
        <f>IFERROR(IF(INDEX('State Map'!$C:$C,MATCH(TRIM('RZSPbS-psgr-ldv'!$A21),'State Map'!$A:$A,0))="Max Ambition",Schedules!O$10,R21),R21)</f>
        <v>0.55500000000000005</v>
      </c>
      <c r="T21" s="39">
        <f>IFERROR(IF(INDEX('State Map'!$C:$C,MATCH(TRIM('RZSPbS-psgr-ldv'!$A21),'State Map'!$A:$A,0))="Max Ambition",Schedules!P$10,S21),S21)</f>
        <v>0.61499999999999999</v>
      </c>
      <c r="U21" s="39">
        <f>IFERROR(IF(INDEX('State Map'!$C:$C,MATCH(TRIM('RZSPbS-psgr-ldv'!$A21),'State Map'!$A:$A,0))="Max Ambition",Schedules!Q$10,T21),T21)</f>
        <v>0.67500000000000004</v>
      </c>
      <c r="V21" s="39">
        <f>IFERROR(IF(INDEX('State Map'!$C:$C,MATCH(TRIM('RZSPbS-psgr-ldv'!$A21),'State Map'!$A:$A,0))="Max Ambition",Schedules!R$10,U21),U21)</f>
        <v>0.73499999999999999</v>
      </c>
      <c r="W21" s="39">
        <f>IFERROR(IF(INDEX('State Map'!$C:$C,MATCH(TRIM('RZSPbS-psgr-ldv'!$A21),'State Map'!$A:$A,0))="Max Ambition",Schedules!S$10,V21),V21)</f>
        <v>0.79500000000000004</v>
      </c>
      <c r="X21" s="39">
        <f>IFERROR(IF(INDEX('State Map'!$C:$C,MATCH(TRIM('RZSPbS-psgr-ldv'!$A21),'State Map'!$A:$A,0))="Max Ambition",Schedules!T$10,W21),W21)</f>
        <v>0.85</v>
      </c>
      <c r="Y21" s="39">
        <f>IFERROR(IF(INDEX('State Map'!$C:$C,MATCH(TRIM('RZSPbS-psgr-ldv'!$A21),'State Map'!$A:$A,0))="Max Ambition",Schedules!U$10,X21),X21)</f>
        <v>0.88</v>
      </c>
      <c r="Z21" s="39">
        <f>IFERROR(IF(INDEX('State Map'!$C:$C,MATCH(TRIM('RZSPbS-psgr-ldv'!$A21),'State Map'!$A:$A,0))="Max Ambition",Schedules!V$10,Y21),Y21)</f>
        <v>0.91</v>
      </c>
      <c r="AA21" s="39">
        <f>IFERROR(IF(INDEX('State Map'!$C:$C,MATCH(TRIM('RZSPbS-psgr-ldv'!$A21),'State Map'!$A:$A,0))="Max Ambition",Schedules!W$10,Z21),Z21)</f>
        <v>0.94</v>
      </c>
      <c r="AB21" s="39">
        <f>IFERROR(IF(INDEX('State Map'!$C:$C,MATCH(TRIM('RZSPbS-psgr-ldv'!$A21),'State Map'!$A:$A,0))="Max Ambition",Schedules!X$10,AA21),AA21)</f>
        <v>0.97</v>
      </c>
      <c r="AC21" s="39">
        <f>IFERROR(IF(INDEX('State Map'!$C:$C,MATCH(TRIM('RZSPbS-psgr-ldv'!$A21),'State Map'!$A:$A,0))="Max Ambition",Schedules!Y$10,AB21),AB21)</f>
        <v>1</v>
      </c>
      <c r="AD21" s="39">
        <f>IFERROR(IF(INDEX('State Map'!$C:$C,MATCH(TRIM('RZSPbS-psgr-ldv'!$A21),'State Map'!$A:$A,0))="Max Ambition",Schedules!Z$10,AC21),AC21)</f>
        <v>1</v>
      </c>
      <c r="AE21" s="39">
        <f>IFERROR(IF(INDEX('State Map'!$C:$C,MATCH(TRIM('RZSPbS-psgr-ldv'!$A21),'State Map'!$A:$A,0))="Max Ambition",Schedules!AA$10,AD21),AD21)</f>
        <v>1</v>
      </c>
      <c r="AF21" s="39">
        <f>IFERROR(IF(INDEX('State Map'!$C:$C,MATCH(TRIM('RZSPbS-psgr-ldv'!$A21),'State Map'!$A:$A,0))="Max Ambition",Schedules!AB$10,AE21),AE21)</f>
        <v>1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39">
        <f>IFERROR(IF(INDEX('State Map'!$C:$C,MATCH(TRIM('RZSPbS-psgr-ldv'!$A22),'State Map'!$A:$A,0))="Max Ambition",Schedules!G$10,J22),J22)</f>
        <v>0.155</v>
      </c>
      <c r="L22" s="39">
        <f>IFERROR(IF(INDEX('State Map'!$C:$C,MATCH(TRIM('RZSPbS-psgr-ldv'!$A22),'State Map'!$A:$A,0))="Max Ambition",Schedules!H$10,K22),K22)</f>
        <v>0.17499999999999999</v>
      </c>
      <c r="M22" s="39">
        <f>IFERROR(IF(INDEX('State Map'!$C:$C,MATCH(TRIM('RZSPbS-psgr-ldv'!$A22),'State Map'!$A:$A,0))="Max Ambition",Schedules!I$10,L22),L22)</f>
        <v>0.19500000000000001</v>
      </c>
      <c r="N22" s="39">
        <f>IFERROR(IF(INDEX('State Map'!$C:$C,MATCH(TRIM('RZSPbS-psgr-ldv'!$A22),'State Map'!$A:$A,0))="Max Ambition",Schedules!J$10,M22),M22)</f>
        <v>0.255</v>
      </c>
      <c r="O22" s="39">
        <f>IFERROR(IF(INDEX('State Map'!$C:$C,MATCH(TRIM('RZSPbS-psgr-ldv'!$A22),'State Map'!$A:$A,0))="Max Ambition",Schedules!K$10,N22),N22)</f>
        <v>0.315</v>
      </c>
      <c r="P22" s="39">
        <f>IFERROR(IF(INDEX('State Map'!$C:$C,MATCH(TRIM('RZSPbS-psgr-ldv'!$A22),'State Map'!$A:$A,0))="Max Ambition",Schedules!L$10,O22),O22)</f>
        <v>0.375</v>
      </c>
      <c r="Q22" s="39">
        <f>IFERROR(IF(INDEX('State Map'!$C:$C,MATCH(TRIM('RZSPbS-psgr-ldv'!$A22),'State Map'!$A:$A,0))="Max Ambition",Schedules!M$10,P22),P22)</f>
        <v>0.435</v>
      </c>
      <c r="R22" s="39">
        <f>IFERROR(IF(INDEX('State Map'!$C:$C,MATCH(TRIM('RZSPbS-psgr-ldv'!$A22),'State Map'!$A:$A,0))="Max Ambition",Schedules!N$10,Q22),Q22)</f>
        <v>0.495</v>
      </c>
      <c r="S22" s="39">
        <f>IFERROR(IF(INDEX('State Map'!$C:$C,MATCH(TRIM('RZSPbS-psgr-ldv'!$A22),'State Map'!$A:$A,0))="Max Ambition",Schedules!O$10,R22),R22)</f>
        <v>0.55500000000000005</v>
      </c>
      <c r="T22" s="39">
        <f>IFERROR(IF(INDEX('State Map'!$C:$C,MATCH(TRIM('RZSPbS-psgr-ldv'!$A22),'State Map'!$A:$A,0))="Max Ambition",Schedules!P$10,S22),S22)</f>
        <v>0.61499999999999999</v>
      </c>
      <c r="U22" s="39">
        <f>IFERROR(IF(INDEX('State Map'!$C:$C,MATCH(TRIM('RZSPbS-psgr-ldv'!$A22),'State Map'!$A:$A,0))="Max Ambition",Schedules!Q$10,T22),T22)</f>
        <v>0.67500000000000004</v>
      </c>
      <c r="V22" s="39">
        <f>IFERROR(IF(INDEX('State Map'!$C:$C,MATCH(TRIM('RZSPbS-psgr-ldv'!$A22),'State Map'!$A:$A,0))="Max Ambition",Schedules!R$10,U22),U22)</f>
        <v>0.73499999999999999</v>
      </c>
      <c r="W22" s="39">
        <f>IFERROR(IF(INDEX('State Map'!$C:$C,MATCH(TRIM('RZSPbS-psgr-ldv'!$A22),'State Map'!$A:$A,0))="Max Ambition",Schedules!S$10,V22),V22)</f>
        <v>0.79500000000000004</v>
      </c>
      <c r="X22" s="39">
        <f>IFERROR(IF(INDEX('State Map'!$C:$C,MATCH(TRIM('RZSPbS-psgr-ldv'!$A22),'State Map'!$A:$A,0))="Max Ambition",Schedules!T$10,W22),W22)</f>
        <v>0.85</v>
      </c>
      <c r="Y22" s="39">
        <f>IFERROR(IF(INDEX('State Map'!$C:$C,MATCH(TRIM('RZSPbS-psgr-ldv'!$A22),'State Map'!$A:$A,0))="Max Ambition",Schedules!U$10,X22),X22)</f>
        <v>0.88</v>
      </c>
      <c r="Z22" s="39">
        <f>IFERROR(IF(INDEX('State Map'!$C:$C,MATCH(TRIM('RZSPbS-psgr-ldv'!$A22),'State Map'!$A:$A,0))="Max Ambition",Schedules!V$10,Y22),Y22)</f>
        <v>0.91</v>
      </c>
      <c r="AA22" s="39">
        <f>IFERROR(IF(INDEX('State Map'!$C:$C,MATCH(TRIM('RZSPbS-psgr-ldv'!$A22),'State Map'!$A:$A,0))="Max Ambition",Schedules!W$10,Z22),Z22)</f>
        <v>0.94</v>
      </c>
      <c r="AB22" s="39">
        <f>IFERROR(IF(INDEX('State Map'!$C:$C,MATCH(TRIM('RZSPbS-psgr-ldv'!$A22),'State Map'!$A:$A,0))="Max Ambition",Schedules!X$10,AA22),AA22)</f>
        <v>0.97</v>
      </c>
      <c r="AC22" s="39">
        <f>IFERROR(IF(INDEX('State Map'!$C:$C,MATCH(TRIM('RZSPbS-psgr-ldv'!$A22),'State Map'!$A:$A,0))="Max Ambition",Schedules!Y$10,AB22),AB22)</f>
        <v>1</v>
      </c>
      <c r="AD22" s="39">
        <f>IFERROR(IF(INDEX('State Map'!$C:$C,MATCH(TRIM('RZSPbS-psgr-ldv'!$A22),'State Map'!$A:$A,0))="Max Ambition",Schedules!Z$10,AC22),AC22)</f>
        <v>1</v>
      </c>
      <c r="AE22" s="39">
        <f>IFERROR(IF(INDEX('State Map'!$C:$C,MATCH(TRIM('RZSPbS-psgr-ldv'!$A22),'State Map'!$A:$A,0))="Max Ambition",Schedules!AA$10,AD22),AD22)</f>
        <v>1</v>
      </c>
      <c r="AF22" s="39">
        <f>IFERROR(IF(INDEX('State Map'!$C:$C,MATCH(TRIM('RZSPbS-psgr-ldv'!$A22),'State Map'!$A:$A,0))="Max Ambition",Schedules!AB$10,AE22),AE22)</f>
        <v>1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39">
        <f>IFERROR(IF(INDEX('State Map'!$C:$C,MATCH(TRIM('RZSPbS-psgr-ldv'!$A23),'State Map'!$A:$A,0))="Max Ambition",Schedules!G$10,J23),J23)</f>
        <v>0.155</v>
      </c>
      <c r="L23" s="39">
        <f>IFERROR(IF(INDEX('State Map'!$C:$C,MATCH(TRIM('RZSPbS-psgr-ldv'!$A23),'State Map'!$A:$A,0))="Max Ambition",Schedules!H$10,K23),K23)</f>
        <v>0.17499999999999999</v>
      </c>
      <c r="M23" s="39">
        <f>IFERROR(IF(INDEX('State Map'!$C:$C,MATCH(TRIM('RZSPbS-psgr-ldv'!$A23),'State Map'!$A:$A,0))="Max Ambition",Schedules!I$10,L23),L23)</f>
        <v>0.19500000000000001</v>
      </c>
      <c r="N23" s="39">
        <f>IFERROR(IF(INDEX('State Map'!$C:$C,MATCH(TRIM('RZSPbS-psgr-ldv'!$A23),'State Map'!$A:$A,0))="Max Ambition",Schedules!J$10,M23),M23)</f>
        <v>0.255</v>
      </c>
      <c r="O23" s="39">
        <f>IFERROR(IF(INDEX('State Map'!$C:$C,MATCH(TRIM('RZSPbS-psgr-ldv'!$A23),'State Map'!$A:$A,0))="Max Ambition",Schedules!K$10,N23),N23)</f>
        <v>0.315</v>
      </c>
      <c r="P23" s="39">
        <f>IFERROR(IF(INDEX('State Map'!$C:$C,MATCH(TRIM('RZSPbS-psgr-ldv'!$A23),'State Map'!$A:$A,0))="Max Ambition",Schedules!L$10,O23),O23)</f>
        <v>0.375</v>
      </c>
      <c r="Q23" s="39">
        <f>IFERROR(IF(INDEX('State Map'!$C:$C,MATCH(TRIM('RZSPbS-psgr-ldv'!$A23),'State Map'!$A:$A,0))="Max Ambition",Schedules!M$10,P23),P23)</f>
        <v>0.435</v>
      </c>
      <c r="R23" s="39">
        <f>IFERROR(IF(INDEX('State Map'!$C:$C,MATCH(TRIM('RZSPbS-psgr-ldv'!$A23),'State Map'!$A:$A,0))="Max Ambition",Schedules!N$10,Q23),Q23)</f>
        <v>0.495</v>
      </c>
      <c r="S23" s="39">
        <f>IFERROR(IF(INDEX('State Map'!$C:$C,MATCH(TRIM('RZSPbS-psgr-ldv'!$A23),'State Map'!$A:$A,0))="Max Ambition",Schedules!O$10,R23),R23)</f>
        <v>0.55500000000000005</v>
      </c>
      <c r="T23" s="39">
        <f>IFERROR(IF(INDEX('State Map'!$C:$C,MATCH(TRIM('RZSPbS-psgr-ldv'!$A23),'State Map'!$A:$A,0))="Max Ambition",Schedules!P$10,S23),S23)</f>
        <v>0.61499999999999999</v>
      </c>
      <c r="U23" s="39">
        <f>IFERROR(IF(INDEX('State Map'!$C:$C,MATCH(TRIM('RZSPbS-psgr-ldv'!$A23),'State Map'!$A:$A,0))="Max Ambition",Schedules!Q$10,T23),T23)</f>
        <v>0.67500000000000004</v>
      </c>
      <c r="V23" s="39">
        <f>IFERROR(IF(INDEX('State Map'!$C:$C,MATCH(TRIM('RZSPbS-psgr-ldv'!$A23),'State Map'!$A:$A,0))="Max Ambition",Schedules!R$10,U23),U23)</f>
        <v>0.73499999999999999</v>
      </c>
      <c r="W23" s="39">
        <f>IFERROR(IF(INDEX('State Map'!$C:$C,MATCH(TRIM('RZSPbS-psgr-ldv'!$A23),'State Map'!$A:$A,0))="Max Ambition",Schedules!S$10,V23),V23)</f>
        <v>0.79500000000000004</v>
      </c>
      <c r="X23" s="39">
        <f>IFERROR(IF(INDEX('State Map'!$C:$C,MATCH(TRIM('RZSPbS-psgr-ldv'!$A23),'State Map'!$A:$A,0))="Max Ambition",Schedules!T$10,W23),W23)</f>
        <v>0.85</v>
      </c>
      <c r="Y23" s="39">
        <f>IFERROR(IF(INDEX('State Map'!$C:$C,MATCH(TRIM('RZSPbS-psgr-ldv'!$A23),'State Map'!$A:$A,0))="Max Ambition",Schedules!U$10,X23),X23)</f>
        <v>0.88</v>
      </c>
      <c r="Z23" s="39">
        <f>IFERROR(IF(INDEX('State Map'!$C:$C,MATCH(TRIM('RZSPbS-psgr-ldv'!$A23),'State Map'!$A:$A,0))="Max Ambition",Schedules!V$10,Y23),Y23)</f>
        <v>0.91</v>
      </c>
      <c r="AA23" s="39">
        <f>IFERROR(IF(INDEX('State Map'!$C:$C,MATCH(TRIM('RZSPbS-psgr-ldv'!$A23),'State Map'!$A:$A,0))="Max Ambition",Schedules!W$10,Z23),Z23)</f>
        <v>0.94</v>
      </c>
      <c r="AB23" s="39">
        <f>IFERROR(IF(INDEX('State Map'!$C:$C,MATCH(TRIM('RZSPbS-psgr-ldv'!$A23),'State Map'!$A:$A,0))="Max Ambition",Schedules!X$10,AA23),AA23)</f>
        <v>0.97</v>
      </c>
      <c r="AC23" s="39">
        <f>IFERROR(IF(INDEX('State Map'!$C:$C,MATCH(TRIM('RZSPbS-psgr-ldv'!$A23),'State Map'!$A:$A,0))="Max Ambition",Schedules!Y$10,AB23),AB23)</f>
        <v>1</v>
      </c>
      <c r="AD23" s="39">
        <f>IFERROR(IF(INDEX('State Map'!$C:$C,MATCH(TRIM('RZSPbS-psgr-ldv'!$A23),'State Map'!$A:$A,0))="Max Ambition",Schedules!Z$10,AC23),AC23)</f>
        <v>1</v>
      </c>
      <c r="AE23" s="39">
        <f>IFERROR(IF(INDEX('State Map'!$C:$C,MATCH(TRIM('RZSPbS-psgr-ldv'!$A23),'State Map'!$A:$A,0))="Max Ambition",Schedules!AA$10,AD23),AD23)</f>
        <v>1</v>
      </c>
      <c r="AF23" s="39">
        <f>IFERROR(IF(INDEX('State Map'!$C:$C,MATCH(TRIM('RZSPbS-psgr-ldv'!$A23),'State Map'!$A:$A,0))="Max Ambition",Schedules!AB$10,AE23),AE23)</f>
        <v>1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39">
        <f>IFERROR(IF(INDEX('State Map'!$C:$C,MATCH(TRIM('RZSPbS-psgr-ldv'!$A24),'State Map'!$A:$A,0))="Max Ambition",Schedules!G$10,J24),J24)</f>
        <v>0.155</v>
      </c>
      <c r="L24" s="39">
        <f>IFERROR(IF(INDEX('State Map'!$C:$C,MATCH(TRIM('RZSPbS-psgr-ldv'!$A24),'State Map'!$A:$A,0))="Max Ambition",Schedules!H$10,K24),K24)</f>
        <v>0.17499999999999999</v>
      </c>
      <c r="M24" s="39">
        <f>IFERROR(IF(INDEX('State Map'!$C:$C,MATCH(TRIM('RZSPbS-psgr-ldv'!$A24),'State Map'!$A:$A,0))="Max Ambition",Schedules!I$10,L24),L24)</f>
        <v>0.19500000000000001</v>
      </c>
      <c r="N24" s="39">
        <f>IFERROR(IF(INDEX('State Map'!$C:$C,MATCH(TRIM('RZSPbS-psgr-ldv'!$A24),'State Map'!$A:$A,0))="Max Ambition",Schedules!J$10,M24),M24)</f>
        <v>0.255</v>
      </c>
      <c r="O24" s="39">
        <f>IFERROR(IF(INDEX('State Map'!$C:$C,MATCH(TRIM('RZSPbS-psgr-ldv'!$A24),'State Map'!$A:$A,0))="Max Ambition",Schedules!K$10,N24),N24)</f>
        <v>0.315</v>
      </c>
      <c r="P24" s="39">
        <f>IFERROR(IF(INDEX('State Map'!$C:$C,MATCH(TRIM('RZSPbS-psgr-ldv'!$A24),'State Map'!$A:$A,0))="Max Ambition",Schedules!L$10,O24),O24)</f>
        <v>0.375</v>
      </c>
      <c r="Q24" s="39">
        <f>IFERROR(IF(INDEX('State Map'!$C:$C,MATCH(TRIM('RZSPbS-psgr-ldv'!$A24),'State Map'!$A:$A,0))="Max Ambition",Schedules!M$10,P24),P24)</f>
        <v>0.435</v>
      </c>
      <c r="R24" s="39">
        <f>IFERROR(IF(INDEX('State Map'!$C:$C,MATCH(TRIM('RZSPbS-psgr-ldv'!$A24),'State Map'!$A:$A,0))="Max Ambition",Schedules!N$10,Q24),Q24)</f>
        <v>0.495</v>
      </c>
      <c r="S24" s="39">
        <f>IFERROR(IF(INDEX('State Map'!$C:$C,MATCH(TRIM('RZSPbS-psgr-ldv'!$A24),'State Map'!$A:$A,0))="Max Ambition",Schedules!O$10,R24),R24)</f>
        <v>0.55500000000000005</v>
      </c>
      <c r="T24" s="39">
        <f>IFERROR(IF(INDEX('State Map'!$C:$C,MATCH(TRIM('RZSPbS-psgr-ldv'!$A24),'State Map'!$A:$A,0))="Max Ambition",Schedules!P$10,S24),S24)</f>
        <v>0.61499999999999999</v>
      </c>
      <c r="U24" s="39">
        <f>IFERROR(IF(INDEX('State Map'!$C:$C,MATCH(TRIM('RZSPbS-psgr-ldv'!$A24),'State Map'!$A:$A,0))="Max Ambition",Schedules!Q$10,T24),T24)</f>
        <v>0.67500000000000004</v>
      </c>
      <c r="V24" s="39">
        <f>IFERROR(IF(INDEX('State Map'!$C:$C,MATCH(TRIM('RZSPbS-psgr-ldv'!$A24),'State Map'!$A:$A,0))="Max Ambition",Schedules!R$10,U24),U24)</f>
        <v>0.73499999999999999</v>
      </c>
      <c r="W24" s="39">
        <f>IFERROR(IF(INDEX('State Map'!$C:$C,MATCH(TRIM('RZSPbS-psgr-ldv'!$A24),'State Map'!$A:$A,0))="Max Ambition",Schedules!S$10,V24),V24)</f>
        <v>0.79500000000000004</v>
      </c>
      <c r="X24" s="39">
        <f>IFERROR(IF(INDEX('State Map'!$C:$C,MATCH(TRIM('RZSPbS-psgr-ldv'!$A24),'State Map'!$A:$A,0))="Max Ambition",Schedules!T$10,W24),W24)</f>
        <v>0.85</v>
      </c>
      <c r="Y24" s="39">
        <f>IFERROR(IF(INDEX('State Map'!$C:$C,MATCH(TRIM('RZSPbS-psgr-ldv'!$A24),'State Map'!$A:$A,0))="Max Ambition",Schedules!U$10,X24),X24)</f>
        <v>0.88</v>
      </c>
      <c r="Z24" s="39">
        <f>IFERROR(IF(INDEX('State Map'!$C:$C,MATCH(TRIM('RZSPbS-psgr-ldv'!$A24),'State Map'!$A:$A,0))="Max Ambition",Schedules!V$10,Y24),Y24)</f>
        <v>0.91</v>
      </c>
      <c r="AA24" s="39">
        <f>IFERROR(IF(INDEX('State Map'!$C:$C,MATCH(TRIM('RZSPbS-psgr-ldv'!$A24),'State Map'!$A:$A,0))="Max Ambition",Schedules!W$10,Z24),Z24)</f>
        <v>0.94</v>
      </c>
      <c r="AB24" s="39">
        <f>IFERROR(IF(INDEX('State Map'!$C:$C,MATCH(TRIM('RZSPbS-psgr-ldv'!$A24),'State Map'!$A:$A,0))="Max Ambition",Schedules!X$10,AA24),AA24)</f>
        <v>0.97</v>
      </c>
      <c r="AC24" s="39">
        <f>IFERROR(IF(INDEX('State Map'!$C:$C,MATCH(TRIM('RZSPbS-psgr-ldv'!$A24),'State Map'!$A:$A,0))="Max Ambition",Schedules!Y$10,AB24),AB24)</f>
        <v>1</v>
      </c>
      <c r="AD24" s="39">
        <f>IFERROR(IF(INDEX('State Map'!$C:$C,MATCH(TRIM('RZSPbS-psgr-ldv'!$A24),'State Map'!$A:$A,0))="Max Ambition",Schedules!Z$10,AC24),AC24)</f>
        <v>1</v>
      </c>
      <c r="AE24" s="39">
        <f>IFERROR(IF(INDEX('State Map'!$C:$C,MATCH(TRIM('RZSPbS-psgr-ldv'!$A24),'State Map'!$A:$A,0))="Max Ambition",Schedules!AA$10,AD24),AD24)</f>
        <v>1</v>
      </c>
      <c r="AF24" s="39">
        <f>IFERROR(IF(INDEX('State Map'!$C:$C,MATCH(TRIM('RZSPbS-psgr-ldv'!$A24),'State Map'!$A:$A,0))="Max Ambition",Schedules!AB$10,AE24),AE24)</f>
        <v>1</v>
      </c>
    </row>
    <row r="25" spans="1:32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39">
        <f>IFERROR(IF(INDEX('State Map'!$C:$C,MATCH(TRIM('RZSPbS-psgr-ldv'!$A25),'State Map'!$A:$A,0))="Max Ambition",Schedules!G$10,J25),J25)</f>
        <v>0.155</v>
      </c>
      <c r="L25" s="39">
        <f>IFERROR(IF(INDEX('State Map'!$C:$C,MATCH(TRIM('RZSPbS-psgr-ldv'!$A25),'State Map'!$A:$A,0))="Max Ambition",Schedules!H$10,K25),K25)</f>
        <v>0.17499999999999999</v>
      </c>
      <c r="M25" s="39">
        <f>IFERROR(IF(INDEX('State Map'!$C:$C,MATCH(TRIM('RZSPbS-psgr-ldv'!$A25),'State Map'!$A:$A,0))="Max Ambition",Schedules!I$10,L25),L25)</f>
        <v>0.19500000000000001</v>
      </c>
      <c r="N25" s="39">
        <f>IFERROR(IF(INDEX('State Map'!$C:$C,MATCH(TRIM('RZSPbS-psgr-ldv'!$A25),'State Map'!$A:$A,0))="Max Ambition",Schedules!J$10,M25),M25)</f>
        <v>0.255</v>
      </c>
      <c r="O25" s="39">
        <f>IFERROR(IF(INDEX('State Map'!$C:$C,MATCH(TRIM('RZSPbS-psgr-ldv'!$A25),'State Map'!$A:$A,0))="Max Ambition",Schedules!K$10,N25),N25)</f>
        <v>0.315</v>
      </c>
      <c r="P25" s="39">
        <f>IFERROR(IF(INDEX('State Map'!$C:$C,MATCH(TRIM('RZSPbS-psgr-ldv'!$A25),'State Map'!$A:$A,0))="Max Ambition",Schedules!L$10,O25),O25)</f>
        <v>0.375</v>
      </c>
      <c r="Q25" s="39">
        <f>IFERROR(IF(INDEX('State Map'!$C:$C,MATCH(TRIM('RZSPbS-psgr-ldv'!$A25),'State Map'!$A:$A,0))="Max Ambition",Schedules!M$10,P25),P25)</f>
        <v>0.435</v>
      </c>
      <c r="R25" s="39">
        <f>IFERROR(IF(INDEX('State Map'!$C:$C,MATCH(TRIM('RZSPbS-psgr-ldv'!$A25),'State Map'!$A:$A,0))="Max Ambition",Schedules!N$10,Q25),Q25)</f>
        <v>0.495</v>
      </c>
      <c r="S25" s="39">
        <f>IFERROR(IF(INDEX('State Map'!$C:$C,MATCH(TRIM('RZSPbS-psgr-ldv'!$A25),'State Map'!$A:$A,0))="Max Ambition",Schedules!O$10,R25),R25)</f>
        <v>0.55500000000000005</v>
      </c>
      <c r="T25" s="39">
        <f>IFERROR(IF(INDEX('State Map'!$C:$C,MATCH(TRIM('RZSPbS-psgr-ldv'!$A25),'State Map'!$A:$A,0))="Max Ambition",Schedules!P$10,S25),S25)</f>
        <v>0.61499999999999999</v>
      </c>
      <c r="U25" s="39">
        <f>IFERROR(IF(INDEX('State Map'!$C:$C,MATCH(TRIM('RZSPbS-psgr-ldv'!$A25),'State Map'!$A:$A,0))="Max Ambition",Schedules!Q$10,T25),T25)</f>
        <v>0.67500000000000004</v>
      </c>
      <c r="V25" s="39">
        <f>IFERROR(IF(INDEX('State Map'!$C:$C,MATCH(TRIM('RZSPbS-psgr-ldv'!$A25),'State Map'!$A:$A,0))="Max Ambition",Schedules!R$10,U25),U25)</f>
        <v>0.73499999999999999</v>
      </c>
      <c r="W25" s="39">
        <f>IFERROR(IF(INDEX('State Map'!$C:$C,MATCH(TRIM('RZSPbS-psgr-ldv'!$A25),'State Map'!$A:$A,0))="Max Ambition",Schedules!S$10,V25),V25)</f>
        <v>0.79500000000000004</v>
      </c>
      <c r="X25" s="39">
        <f>IFERROR(IF(INDEX('State Map'!$C:$C,MATCH(TRIM('RZSPbS-psgr-ldv'!$A25),'State Map'!$A:$A,0))="Max Ambition",Schedules!T$10,W25),W25)</f>
        <v>0.85</v>
      </c>
      <c r="Y25" s="39">
        <f>IFERROR(IF(INDEX('State Map'!$C:$C,MATCH(TRIM('RZSPbS-psgr-ldv'!$A25),'State Map'!$A:$A,0))="Max Ambition",Schedules!U$10,X25),X25)</f>
        <v>0.88</v>
      </c>
      <c r="Z25" s="39">
        <f>IFERROR(IF(INDEX('State Map'!$C:$C,MATCH(TRIM('RZSPbS-psgr-ldv'!$A25),'State Map'!$A:$A,0))="Max Ambition",Schedules!V$10,Y25),Y25)</f>
        <v>0.91</v>
      </c>
      <c r="AA25" s="39">
        <f>IFERROR(IF(INDEX('State Map'!$C:$C,MATCH(TRIM('RZSPbS-psgr-ldv'!$A25),'State Map'!$A:$A,0))="Max Ambition",Schedules!W$10,Z25),Z25)</f>
        <v>0.94</v>
      </c>
      <c r="AB25" s="39">
        <f>IFERROR(IF(INDEX('State Map'!$C:$C,MATCH(TRIM('RZSPbS-psgr-ldv'!$A25),'State Map'!$A:$A,0))="Max Ambition",Schedules!X$10,AA25),AA25)</f>
        <v>0.97</v>
      </c>
      <c r="AC25" s="39">
        <f>IFERROR(IF(INDEX('State Map'!$C:$C,MATCH(TRIM('RZSPbS-psgr-ldv'!$A25),'State Map'!$A:$A,0))="Max Ambition",Schedules!Y$10,AB25),AB25)</f>
        <v>1</v>
      </c>
      <c r="AD25" s="39">
        <f>IFERROR(IF(INDEX('State Map'!$C:$C,MATCH(TRIM('RZSPbS-psgr-ldv'!$A25),'State Map'!$A:$A,0))="Max Ambition",Schedules!Z$10,AC25),AC25)</f>
        <v>1</v>
      </c>
      <c r="AE25" s="39">
        <f>IFERROR(IF(INDEX('State Map'!$C:$C,MATCH(TRIM('RZSPbS-psgr-ldv'!$A25),'State Map'!$A:$A,0))="Max Ambition",Schedules!AA$10,AD25),AD25)</f>
        <v>1</v>
      </c>
      <c r="AF25" s="39">
        <f>IFERROR(IF(INDEX('State Map'!$C:$C,MATCH(TRIM('RZSPbS-psgr-ldv'!$A25),'State Map'!$A:$A,0))="Max Ambition",Schedules!AB$10,AE25),AE25)</f>
        <v>1</v>
      </c>
    </row>
    <row r="26" spans="1:32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39">
        <f>IFERROR(IF(INDEX('State Map'!$C:$C,MATCH(TRIM('RZSPbS-psgr-ldv'!$A26),'State Map'!$A:$A,0))="Max Ambition",Schedules!G$10,J26),J26)</f>
        <v>0</v>
      </c>
      <c r="L26" s="39">
        <f>IFERROR(IF(INDEX('State Map'!$C:$C,MATCH(TRIM('RZSPbS-psgr-ldv'!$A26),'State Map'!$A:$A,0))="Max Ambition",Schedules!H$10,K26),K26)</f>
        <v>0</v>
      </c>
      <c r="M26" s="39">
        <f>IFERROR(IF(INDEX('State Map'!$C:$C,MATCH(TRIM('RZSPbS-psgr-ldv'!$A26),'State Map'!$A:$A,0))="Max Ambition",Schedules!I$10,L26),L26)</f>
        <v>0</v>
      </c>
      <c r="N26" s="39">
        <f>IFERROR(IF(INDEX('State Map'!$C:$C,MATCH(TRIM('RZSPbS-psgr-ldv'!$A26),'State Map'!$A:$A,0))="Max Ambition",Schedules!J$10,M26),M26)</f>
        <v>0</v>
      </c>
      <c r="O26" s="39">
        <f>IFERROR(IF(INDEX('State Map'!$C:$C,MATCH(TRIM('RZSPbS-psgr-ldv'!$A26),'State Map'!$A:$A,0))="Max Ambition",Schedules!K$10,N26),N26)</f>
        <v>0</v>
      </c>
      <c r="P26" s="39">
        <f>IFERROR(IF(INDEX('State Map'!$C:$C,MATCH(TRIM('RZSPbS-psgr-ldv'!$A26),'State Map'!$A:$A,0))="Max Ambition",Schedules!L$10,O26),O26)</f>
        <v>0</v>
      </c>
      <c r="Q26" s="39">
        <f>IFERROR(IF(INDEX('State Map'!$C:$C,MATCH(TRIM('RZSPbS-psgr-ldv'!$A26),'State Map'!$A:$A,0))="Max Ambition",Schedules!M$10,P26),P26)</f>
        <v>0</v>
      </c>
      <c r="R26" s="39">
        <f>IFERROR(IF(INDEX('State Map'!$C:$C,MATCH(TRIM('RZSPbS-psgr-ldv'!$A26),'State Map'!$A:$A,0))="Max Ambition",Schedules!N$10,Q26),Q26)</f>
        <v>0</v>
      </c>
      <c r="S26" s="39">
        <f>IFERROR(IF(INDEX('State Map'!$C:$C,MATCH(TRIM('RZSPbS-psgr-ldv'!$A26),'State Map'!$A:$A,0))="Max Ambition",Schedules!O$10,R26),R26)</f>
        <v>0</v>
      </c>
      <c r="T26" s="39">
        <f>IFERROR(IF(INDEX('State Map'!$C:$C,MATCH(TRIM('RZSPbS-psgr-ldv'!$A26),'State Map'!$A:$A,0))="Max Ambition",Schedules!P$10,S26),S26)</f>
        <v>0</v>
      </c>
      <c r="U26" s="39">
        <f>IFERROR(IF(INDEX('State Map'!$C:$C,MATCH(TRIM('RZSPbS-psgr-ldv'!$A26),'State Map'!$A:$A,0))="Max Ambition",Schedules!Q$10,T26),T26)</f>
        <v>0</v>
      </c>
      <c r="V26" s="39">
        <f>IFERROR(IF(INDEX('State Map'!$C:$C,MATCH(TRIM('RZSPbS-psgr-ldv'!$A26),'State Map'!$A:$A,0))="Max Ambition",Schedules!R$10,U26),U26)</f>
        <v>0</v>
      </c>
      <c r="W26" s="39">
        <f>IFERROR(IF(INDEX('State Map'!$C:$C,MATCH(TRIM('RZSPbS-psgr-ldv'!$A26),'State Map'!$A:$A,0))="Max Ambition",Schedules!S$10,V26),V26)</f>
        <v>0</v>
      </c>
      <c r="X26" s="39">
        <f>IFERROR(IF(INDEX('State Map'!$C:$C,MATCH(TRIM('RZSPbS-psgr-ldv'!$A26),'State Map'!$A:$A,0))="Max Ambition",Schedules!T$10,W26),W26)</f>
        <v>0</v>
      </c>
      <c r="Y26" s="39">
        <f>IFERROR(IF(INDEX('State Map'!$C:$C,MATCH(TRIM('RZSPbS-psgr-ldv'!$A26),'State Map'!$A:$A,0))="Max Ambition",Schedules!U$10,X26),X26)</f>
        <v>0</v>
      </c>
      <c r="Z26" s="39">
        <f>IFERROR(IF(INDEX('State Map'!$C:$C,MATCH(TRIM('RZSPbS-psgr-ldv'!$A26),'State Map'!$A:$A,0))="Max Ambition",Schedules!V$10,Y26),Y26)</f>
        <v>0</v>
      </c>
      <c r="AA26" s="39">
        <f>IFERROR(IF(INDEX('State Map'!$C:$C,MATCH(TRIM('RZSPbS-psgr-ldv'!$A26),'State Map'!$A:$A,0))="Max Ambition",Schedules!W$10,Z26),Z26)</f>
        <v>0</v>
      </c>
      <c r="AB26" s="39">
        <f>IFERROR(IF(INDEX('State Map'!$C:$C,MATCH(TRIM('RZSPbS-psgr-ldv'!$A26),'State Map'!$A:$A,0))="Max Ambition",Schedules!X$10,AA26),AA26)</f>
        <v>0</v>
      </c>
      <c r="AC26" s="39">
        <f>IFERROR(IF(INDEX('State Map'!$C:$C,MATCH(TRIM('RZSPbS-psgr-ldv'!$A26),'State Map'!$A:$A,0))="Max Ambition",Schedules!Y$10,AB26),AB26)</f>
        <v>0</v>
      </c>
      <c r="AD26" s="39">
        <f>IFERROR(IF(INDEX('State Map'!$C:$C,MATCH(TRIM('RZSPbS-psgr-ldv'!$A26),'State Map'!$A:$A,0))="Max Ambition",Schedules!Z$10,AC26),AC26)</f>
        <v>0</v>
      </c>
      <c r="AE26" s="39">
        <f>IFERROR(IF(INDEX('State Map'!$C:$C,MATCH(TRIM('RZSPbS-psgr-ldv'!$A26),'State Map'!$A:$A,0))="Max Ambition",Schedules!AA$10,AD26),AD26)</f>
        <v>0</v>
      </c>
      <c r="AF26" s="39">
        <f>IFERROR(IF(INDEX('State Map'!$C:$C,MATCH(TRIM('RZSPbS-psgr-ldv'!$A26),'State Map'!$A:$A,0))="Max Ambition",Schedules!AB$10,AE26),AE26)</f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39">
        <f>IFERROR(IF(INDEX('State Map'!$C:$C,MATCH(TRIM('RZSPbS-psgr-ldv'!$A27),'State Map'!$A:$A,0))="Max Ambition",Schedules!G$10,J27),J27)</f>
        <v>0</v>
      </c>
      <c r="L27" s="39">
        <f>IFERROR(IF(INDEX('State Map'!$C:$C,MATCH(TRIM('RZSPbS-psgr-ldv'!$A27),'State Map'!$A:$A,0))="Max Ambition",Schedules!H$10,K27),K27)</f>
        <v>0</v>
      </c>
      <c r="M27" s="39">
        <f>IFERROR(IF(INDEX('State Map'!$C:$C,MATCH(TRIM('RZSPbS-psgr-ldv'!$A27),'State Map'!$A:$A,0))="Max Ambition",Schedules!I$10,L27),L27)</f>
        <v>0</v>
      </c>
      <c r="N27" s="39">
        <f>IFERROR(IF(INDEX('State Map'!$C:$C,MATCH(TRIM('RZSPbS-psgr-ldv'!$A27),'State Map'!$A:$A,0))="Max Ambition",Schedules!J$10,M27),M27)</f>
        <v>0</v>
      </c>
      <c r="O27" s="39">
        <f>IFERROR(IF(INDEX('State Map'!$C:$C,MATCH(TRIM('RZSPbS-psgr-ldv'!$A27),'State Map'!$A:$A,0))="Max Ambition",Schedules!K$10,N27),N27)</f>
        <v>0</v>
      </c>
      <c r="P27" s="39">
        <f>IFERROR(IF(INDEX('State Map'!$C:$C,MATCH(TRIM('RZSPbS-psgr-ldv'!$A27),'State Map'!$A:$A,0))="Max Ambition",Schedules!L$10,O27),O27)</f>
        <v>0</v>
      </c>
      <c r="Q27" s="39">
        <f>IFERROR(IF(INDEX('State Map'!$C:$C,MATCH(TRIM('RZSPbS-psgr-ldv'!$A27),'State Map'!$A:$A,0))="Max Ambition",Schedules!M$10,P27),P27)</f>
        <v>0</v>
      </c>
      <c r="R27" s="39">
        <f>IFERROR(IF(INDEX('State Map'!$C:$C,MATCH(TRIM('RZSPbS-psgr-ldv'!$A27),'State Map'!$A:$A,0))="Max Ambition",Schedules!N$10,Q27),Q27)</f>
        <v>0</v>
      </c>
      <c r="S27" s="39">
        <f>IFERROR(IF(INDEX('State Map'!$C:$C,MATCH(TRIM('RZSPbS-psgr-ldv'!$A27),'State Map'!$A:$A,0))="Max Ambition",Schedules!O$10,R27),R27)</f>
        <v>0</v>
      </c>
      <c r="T27" s="39">
        <f>IFERROR(IF(INDEX('State Map'!$C:$C,MATCH(TRIM('RZSPbS-psgr-ldv'!$A27),'State Map'!$A:$A,0))="Max Ambition",Schedules!P$10,S27),S27)</f>
        <v>0</v>
      </c>
      <c r="U27" s="39">
        <f>IFERROR(IF(INDEX('State Map'!$C:$C,MATCH(TRIM('RZSPbS-psgr-ldv'!$A27),'State Map'!$A:$A,0))="Max Ambition",Schedules!Q$10,T27),T27)</f>
        <v>0</v>
      </c>
      <c r="V27" s="39">
        <f>IFERROR(IF(INDEX('State Map'!$C:$C,MATCH(TRIM('RZSPbS-psgr-ldv'!$A27),'State Map'!$A:$A,0))="Max Ambition",Schedules!R$10,U27),U27)</f>
        <v>0</v>
      </c>
      <c r="W27" s="39">
        <f>IFERROR(IF(INDEX('State Map'!$C:$C,MATCH(TRIM('RZSPbS-psgr-ldv'!$A27),'State Map'!$A:$A,0))="Max Ambition",Schedules!S$10,V27),V27)</f>
        <v>0</v>
      </c>
      <c r="X27" s="39">
        <f>IFERROR(IF(INDEX('State Map'!$C:$C,MATCH(TRIM('RZSPbS-psgr-ldv'!$A27),'State Map'!$A:$A,0))="Max Ambition",Schedules!T$10,W27),W27)</f>
        <v>0</v>
      </c>
      <c r="Y27" s="39">
        <f>IFERROR(IF(INDEX('State Map'!$C:$C,MATCH(TRIM('RZSPbS-psgr-ldv'!$A27),'State Map'!$A:$A,0))="Max Ambition",Schedules!U$10,X27),X27)</f>
        <v>0</v>
      </c>
      <c r="Z27" s="39">
        <f>IFERROR(IF(INDEX('State Map'!$C:$C,MATCH(TRIM('RZSPbS-psgr-ldv'!$A27),'State Map'!$A:$A,0))="Max Ambition",Schedules!V$10,Y27),Y27)</f>
        <v>0</v>
      </c>
      <c r="AA27" s="39">
        <f>IFERROR(IF(INDEX('State Map'!$C:$C,MATCH(TRIM('RZSPbS-psgr-ldv'!$A27),'State Map'!$A:$A,0))="Max Ambition",Schedules!W$10,Z27),Z27)</f>
        <v>0</v>
      </c>
      <c r="AB27" s="39">
        <f>IFERROR(IF(INDEX('State Map'!$C:$C,MATCH(TRIM('RZSPbS-psgr-ldv'!$A27),'State Map'!$A:$A,0))="Max Ambition",Schedules!X$10,AA27),AA27)</f>
        <v>0</v>
      </c>
      <c r="AC27" s="39">
        <f>IFERROR(IF(INDEX('State Map'!$C:$C,MATCH(TRIM('RZSPbS-psgr-ldv'!$A27),'State Map'!$A:$A,0))="Max Ambition",Schedules!Y$10,AB27),AB27)</f>
        <v>0</v>
      </c>
      <c r="AD27" s="39">
        <f>IFERROR(IF(INDEX('State Map'!$C:$C,MATCH(TRIM('RZSPbS-psgr-ldv'!$A27),'State Map'!$A:$A,0))="Max Ambition",Schedules!Z$10,AC27),AC27)</f>
        <v>0</v>
      </c>
      <c r="AE27" s="39">
        <f>IFERROR(IF(INDEX('State Map'!$C:$C,MATCH(TRIM('RZSPbS-psgr-ldv'!$A27),'State Map'!$A:$A,0))="Max Ambition",Schedules!AA$10,AD27),AD27)</f>
        <v>0</v>
      </c>
      <c r="AF27" s="39">
        <f>IFERROR(IF(INDEX('State Map'!$C:$C,MATCH(TRIM('RZSPbS-psgr-ldv'!$A27),'State Map'!$A:$A,0))="Max Ambition",Schedules!AB$10,AE27),AE27)</f>
        <v>0</v>
      </c>
    </row>
    <row r="28" spans="1:32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39">
        <f>IFERROR(IF(INDEX('State Map'!$C:$C,MATCH(TRIM('RZSPbS-psgr-ldv'!$A28),'State Map'!$A:$A,0))="Max Ambition",Schedules!G$10,J28),J28)</f>
        <v>0</v>
      </c>
      <c r="L28" s="39">
        <f>IFERROR(IF(INDEX('State Map'!$C:$C,MATCH(TRIM('RZSPbS-psgr-ldv'!$A28),'State Map'!$A:$A,0))="Max Ambition",Schedules!H$10,K28),K28)</f>
        <v>0</v>
      </c>
      <c r="M28" s="39">
        <f>IFERROR(IF(INDEX('State Map'!$C:$C,MATCH(TRIM('RZSPbS-psgr-ldv'!$A28),'State Map'!$A:$A,0))="Max Ambition",Schedules!I$10,L28),L28)</f>
        <v>0</v>
      </c>
      <c r="N28" s="39">
        <f>IFERROR(IF(INDEX('State Map'!$C:$C,MATCH(TRIM('RZSPbS-psgr-ldv'!$A28),'State Map'!$A:$A,0))="Max Ambition",Schedules!J$10,M28),M28)</f>
        <v>0</v>
      </c>
      <c r="O28" s="39">
        <f>IFERROR(IF(INDEX('State Map'!$C:$C,MATCH(TRIM('RZSPbS-psgr-ldv'!$A28),'State Map'!$A:$A,0))="Max Ambition",Schedules!K$10,N28),N28)</f>
        <v>0</v>
      </c>
      <c r="P28" s="39">
        <f>IFERROR(IF(INDEX('State Map'!$C:$C,MATCH(TRIM('RZSPbS-psgr-ldv'!$A28),'State Map'!$A:$A,0))="Max Ambition",Schedules!L$10,O28),O28)</f>
        <v>0</v>
      </c>
      <c r="Q28" s="39">
        <f>IFERROR(IF(INDEX('State Map'!$C:$C,MATCH(TRIM('RZSPbS-psgr-ldv'!$A28),'State Map'!$A:$A,0))="Max Ambition",Schedules!M$10,P28),P28)</f>
        <v>0</v>
      </c>
      <c r="R28" s="39">
        <f>IFERROR(IF(INDEX('State Map'!$C:$C,MATCH(TRIM('RZSPbS-psgr-ldv'!$A28),'State Map'!$A:$A,0))="Max Ambition",Schedules!N$10,Q28),Q28)</f>
        <v>0</v>
      </c>
      <c r="S28" s="39">
        <f>IFERROR(IF(INDEX('State Map'!$C:$C,MATCH(TRIM('RZSPbS-psgr-ldv'!$A28),'State Map'!$A:$A,0))="Max Ambition",Schedules!O$10,R28),R28)</f>
        <v>0</v>
      </c>
      <c r="T28" s="39">
        <f>IFERROR(IF(INDEX('State Map'!$C:$C,MATCH(TRIM('RZSPbS-psgr-ldv'!$A28),'State Map'!$A:$A,0))="Max Ambition",Schedules!P$10,S28),S28)</f>
        <v>0</v>
      </c>
      <c r="U28" s="39">
        <f>IFERROR(IF(INDEX('State Map'!$C:$C,MATCH(TRIM('RZSPbS-psgr-ldv'!$A28),'State Map'!$A:$A,0))="Max Ambition",Schedules!Q$10,T28),T28)</f>
        <v>0</v>
      </c>
      <c r="V28" s="39">
        <f>IFERROR(IF(INDEX('State Map'!$C:$C,MATCH(TRIM('RZSPbS-psgr-ldv'!$A28),'State Map'!$A:$A,0))="Max Ambition",Schedules!R$10,U28),U28)</f>
        <v>0</v>
      </c>
      <c r="W28" s="39">
        <f>IFERROR(IF(INDEX('State Map'!$C:$C,MATCH(TRIM('RZSPbS-psgr-ldv'!$A28),'State Map'!$A:$A,0))="Max Ambition",Schedules!S$10,V28),V28)</f>
        <v>0</v>
      </c>
      <c r="X28" s="39">
        <f>IFERROR(IF(INDEX('State Map'!$C:$C,MATCH(TRIM('RZSPbS-psgr-ldv'!$A28),'State Map'!$A:$A,0))="Max Ambition",Schedules!T$10,W28),W28)</f>
        <v>0</v>
      </c>
      <c r="Y28" s="39">
        <f>IFERROR(IF(INDEX('State Map'!$C:$C,MATCH(TRIM('RZSPbS-psgr-ldv'!$A28),'State Map'!$A:$A,0))="Max Ambition",Schedules!U$10,X28),X28)</f>
        <v>0</v>
      </c>
      <c r="Z28" s="39">
        <f>IFERROR(IF(INDEX('State Map'!$C:$C,MATCH(TRIM('RZSPbS-psgr-ldv'!$A28),'State Map'!$A:$A,0))="Max Ambition",Schedules!V$10,Y28),Y28)</f>
        <v>0</v>
      </c>
      <c r="AA28" s="39">
        <f>IFERROR(IF(INDEX('State Map'!$C:$C,MATCH(TRIM('RZSPbS-psgr-ldv'!$A28),'State Map'!$A:$A,0))="Max Ambition",Schedules!W$10,Z28),Z28)</f>
        <v>0</v>
      </c>
      <c r="AB28" s="39">
        <f>IFERROR(IF(INDEX('State Map'!$C:$C,MATCH(TRIM('RZSPbS-psgr-ldv'!$A28),'State Map'!$A:$A,0))="Max Ambition",Schedules!X$10,AA28),AA28)</f>
        <v>0</v>
      </c>
      <c r="AC28" s="39">
        <f>IFERROR(IF(INDEX('State Map'!$C:$C,MATCH(TRIM('RZSPbS-psgr-ldv'!$A28),'State Map'!$A:$A,0))="Max Ambition",Schedules!Y$10,AB28),AB28)</f>
        <v>0</v>
      </c>
      <c r="AD28" s="39">
        <f>IFERROR(IF(INDEX('State Map'!$C:$C,MATCH(TRIM('RZSPbS-psgr-ldv'!$A28),'State Map'!$A:$A,0))="Max Ambition",Schedules!Z$10,AC28),AC28)</f>
        <v>0</v>
      </c>
      <c r="AE28" s="39">
        <f>IFERROR(IF(INDEX('State Map'!$C:$C,MATCH(TRIM('RZSPbS-psgr-ldv'!$A28),'State Map'!$A:$A,0))="Max Ambition",Schedules!AA$10,AD28),AD28)</f>
        <v>0</v>
      </c>
      <c r="AF28" s="39">
        <f>IFERROR(IF(INDEX('State Map'!$C:$C,MATCH(TRIM('RZSPbS-psgr-ldv'!$A28),'State Map'!$A:$A,0))="Max Ambition",Schedules!AB$10,AE28),AE28)</f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39">
        <f>IFERROR(IF(INDEX('State Map'!$C:$C,MATCH(TRIM('RZSPbS-psgr-ldv'!$A29),'State Map'!$A:$A,0))="Max Ambition",Schedules!G$10,J29),J29)</f>
        <v>0</v>
      </c>
      <c r="L29" s="39">
        <f>IFERROR(IF(INDEX('State Map'!$C:$C,MATCH(TRIM('RZSPbS-psgr-ldv'!$A29),'State Map'!$A:$A,0))="Max Ambition",Schedules!H$10,K29),K29)</f>
        <v>0</v>
      </c>
      <c r="M29" s="39">
        <f>IFERROR(IF(INDEX('State Map'!$C:$C,MATCH(TRIM('RZSPbS-psgr-ldv'!$A29),'State Map'!$A:$A,0))="Max Ambition",Schedules!I$10,L29),L29)</f>
        <v>0</v>
      </c>
      <c r="N29" s="39">
        <f>IFERROR(IF(INDEX('State Map'!$C:$C,MATCH(TRIM('RZSPbS-psgr-ldv'!$A29),'State Map'!$A:$A,0))="Max Ambition",Schedules!J$10,M29),M29)</f>
        <v>0</v>
      </c>
      <c r="O29" s="39">
        <f>IFERROR(IF(INDEX('State Map'!$C:$C,MATCH(TRIM('RZSPbS-psgr-ldv'!$A29),'State Map'!$A:$A,0))="Max Ambition",Schedules!K$10,N29),N29)</f>
        <v>0</v>
      </c>
      <c r="P29" s="39">
        <f>IFERROR(IF(INDEX('State Map'!$C:$C,MATCH(TRIM('RZSPbS-psgr-ldv'!$A29),'State Map'!$A:$A,0))="Max Ambition",Schedules!L$10,O29),O29)</f>
        <v>0</v>
      </c>
      <c r="Q29" s="39">
        <f>IFERROR(IF(INDEX('State Map'!$C:$C,MATCH(TRIM('RZSPbS-psgr-ldv'!$A29),'State Map'!$A:$A,0))="Max Ambition",Schedules!M$10,P29),P29)</f>
        <v>0</v>
      </c>
      <c r="R29" s="39">
        <f>IFERROR(IF(INDEX('State Map'!$C:$C,MATCH(TRIM('RZSPbS-psgr-ldv'!$A29),'State Map'!$A:$A,0))="Max Ambition",Schedules!N$10,Q29),Q29)</f>
        <v>0</v>
      </c>
      <c r="S29" s="39">
        <f>IFERROR(IF(INDEX('State Map'!$C:$C,MATCH(TRIM('RZSPbS-psgr-ldv'!$A29),'State Map'!$A:$A,0))="Max Ambition",Schedules!O$10,R29),R29)</f>
        <v>0</v>
      </c>
      <c r="T29" s="39">
        <f>IFERROR(IF(INDEX('State Map'!$C:$C,MATCH(TRIM('RZSPbS-psgr-ldv'!$A29),'State Map'!$A:$A,0))="Max Ambition",Schedules!P$10,S29),S29)</f>
        <v>0</v>
      </c>
      <c r="U29" s="39">
        <f>IFERROR(IF(INDEX('State Map'!$C:$C,MATCH(TRIM('RZSPbS-psgr-ldv'!$A29),'State Map'!$A:$A,0))="Max Ambition",Schedules!Q$10,T29),T29)</f>
        <v>0</v>
      </c>
      <c r="V29" s="39">
        <f>IFERROR(IF(INDEX('State Map'!$C:$C,MATCH(TRIM('RZSPbS-psgr-ldv'!$A29),'State Map'!$A:$A,0))="Max Ambition",Schedules!R$10,U29),U29)</f>
        <v>0</v>
      </c>
      <c r="W29" s="39">
        <f>IFERROR(IF(INDEX('State Map'!$C:$C,MATCH(TRIM('RZSPbS-psgr-ldv'!$A29),'State Map'!$A:$A,0))="Max Ambition",Schedules!S$10,V29),V29)</f>
        <v>0</v>
      </c>
      <c r="X29" s="39">
        <f>IFERROR(IF(INDEX('State Map'!$C:$C,MATCH(TRIM('RZSPbS-psgr-ldv'!$A29),'State Map'!$A:$A,0))="Max Ambition",Schedules!T$10,W29),W29)</f>
        <v>0</v>
      </c>
      <c r="Y29" s="39">
        <f>IFERROR(IF(INDEX('State Map'!$C:$C,MATCH(TRIM('RZSPbS-psgr-ldv'!$A29),'State Map'!$A:$A,0))="Max Ambition",Schedules!U$10,X29),X29)</f>
        <v>0</v>
      </c>
      <c r="Z29" s="39">
        <f>IFERROR(IF(INDEX('State Map'!$C:$C,MATCH(TRIM('RZSPbS-psgr-ldv'!$A29),'State Map'!$A:$A,0))="Max Ambition",Schedules!V$10,Y29),Y29)</f>
        <v>0</v>
      </c>
      <c r="AA29" s="39">
        <f>IFERROR(IF(INDEX('State Map'!$C:$C,MATCH(TRIM('RZSPbS-psgr-ldv'!$A29),'State Map'!$A:$A,0))="Max Ambition",Schedules!W$10,Z29),Z29)</f>
        <v>0</v>
      </c>
      <c r="AB29" s="39">
        <f>IFERROR(IF(INDEX('State Map'!$C:$C,MATCH(TRIM('RZSPbS-psgr-ldv'!$A29),'State Map'!$A:$A,0))="Max Ambition",Schedules!X$10,AA29),AA29)</f>
        <v>0</v>
      </c>
      <c r="AC29" s="39">
        <f>IFERROR(IF(INDEX('State Map'!$C:$C,MATCH(TRIM('RZSPbS-psgr-ldv'!$A29),'State Map'!$A:$A,0))="Max Ambition",Schedules!Y$10,AB29),AB29)</f>
        <v>0</v>
      </c>
      <c r="AD29" s="39">
        <f>IFERROR(IF(INDEX('State Map'!$C:$C,MATCH(TRIM('RZSPbS-psgr-ldv'!$A29),'State Map'!$A:$A,0))="Max Ambition",Schedules!Z$10,AC29),AC29)</f>
        <v>0</v>
      </c>
      <c r="AE29" s="39">
        <f>IFERROR(IF(INDEX('State Map'!$C:$C,MATCH(TRIM('RZSPbS-psgr-ldv'!$A29),'State Map'!$A:$A,0))="Max Ambition",Schedules!AA$10,AD29),AD29)</f>
        <v>0</v>
      </c>
      <c r="AF29" s="39">
        <f>IFERROR(IF(INDEX('State Map'!$C:$C,MATCH(TRIM('RZSPbS-psgr-ldv'!$A29),'State Map'!$A:$A,0))="Max Ambition",Schedules!AB$10,AE29),AE29)</f>
        <v>0</v>
      </c>
    </row>
    <row r="30" spans="1:32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39">
        <f>IFERROR(IF(INDEX('State Map'!$C:$C,MATCH(TRIM('RZSPbS-psgr-ldv'!$A30),'State Map'!$A:$A,0))="Max Ambition",Schedules!G$10,J30),J30)</f>
        <v>0</v>
      </c>
      <c r="L30" s="39">
        <f>IFERROR(IF(INDEX('State Map'!$C:$C,MATCH(TRIM('RZSPbS-psgr-ldv'!$A30),'State Map'!$A:$A,0))="Max Ambition",Schedules!H$10,K30),K30)</f>
        <v>0</v>
      </c>
      <c r="M30" s="39">
        <f>IFERROR(IF(INDEX('State Map'!$C:$C,MATCH(TRIM('RZSPbS-psgr-ldv'!$A30),'State Map'!$A:$A,0))="Max Ambition",Schedules!I$10,L30),L30)</f>
        <v>0</v>
      </c>
      <c r="N30" s="39">
        <f>IFERROR(IF(INDEX('State Map'!$C:$C,MATCH(TRIM('RZSPbS-psgr-ldv'!$A30),'State Map'!$A:$A,0))="Max Ambition",Schedules!J$10,M30),M30)</f>
        <v>0</v>
      </c>
      <c r="O30" s="39">
        <f>IFERROR(IF(INDEX('State Map'!$C:$C,MATCH(TRIM('RZSPbS-psgr-ldv'!$A30),'State Map'!$A:$A,0))="Max Ambition",Schedules!K$10,N30),N30)</f>
        <v>0</v>
      </c>
      <c r="P30" s="39">
        <f>IFERROR(IF(INDEX('State Map'!$C:$C,MATCH(TRIM('RZSPbS-psgr-ldv'!$A30),'State Map'!$A:$A,0))="Max Ambition",Schedules!L$10,O30),O30)</f>
        <v>0</v>
      </c>
      <c r="Q30" s="39">
        <f>IFERROR(IF(INDEX('State Map'!$C:$C,MATCH(TRIM('RZSPbS-psgr-ldv'!$A30),'State Map'!$A:$A,0))="Max Ambition",Schedules!M$10,P30),P30)</f>
        <v>0</v>
      </c>
      <c r="R30" s="39">
        <f>IFERROR(IF(INDEX('State Map'!$C:$C,MATCH(TRIM('RZSPbS-psgr-ldv'!$A30),'State Map'!$A:$A,0))="Max Ambition",Schedules!N$10,Q30),Q30)</f>
        <v>0</v>
      </c>
      <c r="S30" s="39">
        <f>IFERROR(IF(INDEX('State Map'!$C:$C,MATCH(TRIM('RZSPbS-psgr-ldv'!$A30),'State Map'!$A:$A,0))="Max Ambition",Schedules!O$10,R30),R30)</f>
        <v>0</v>
      </c>
      <c r="T30" s="39">
        <f>IFERROR(IF(INDEX('State Map'!$C:$C,MATCH(TRIM('RZSPbS-psgr-ldv'!$A30),'State Map'!$A:$A,0))="Max Ambition",Schedules!P$10,S30),S30)</f>
        <v>0</v>
      </c>
      <c r="U30" s="39">
        <f>IFERROR(IF(INDEX('State Map'!$C:$C,MATCH(TRIM('RZSPbS-psgr-ldv'!$A30),'State Map'!$A:$A,0))="Max Ambition",Schedules!Q$10,T30),T30)</f>
        <v>0</v>
      </c>
      <c r="V30" s="39">
        <f>IFERROR(IF(INDEX('State Map'!$C:$C,MATCH(TRIM('RZSPbS-psgr-ldv'!$A30),'State Map'!$A:$A,0))="Max Ambition",Schedules!R$10,U30),U30)</f>
        <v>0</v>
      </c>
      <c r="W30" s="39">
        <f>IFERROR(IF(INDEX('State Map'!$C:$C,MATCH(TRIM('RZSPbS-psgr-ldv'!$A30),'State Map'!$A:$A,0))="Max Ambition",Schedules!S$10,V30),V30)</f>
        <v>0</v>
      </c>
      <c r="X30" s="39">
        <f>IFERROR(IF(INDEX('State Map'!$C:$C,MATCH(TRIM('RZSPbS-psgr-ldv'!$A30),'State Map'!$A:$A,0))="Max Ambition",Schedules!T$10,W30),W30)</f>
        <v>0</v>
      </c>
      <c r="Y30" s="39">
        <f>IFERROR(IF(INDEX('State Map'!$C:$C,MATCH(TRIM('RZSPbS-psgr-ldv'!$A30),'State Map'!$A:$A,0))="Max Ambition",Schedules!U$10,X30),X30)</f>
        <v>0</v>
      </c>
      <c r="Z30" s="39">
        <f>IFERROR(IF(INDEX('State Map'!$C:$C,MATCH(TRIM('RZSPbS-psgr-ldv'!$A30),'State Map'!$A:$A,0))="Max Ambition",Schedules!V$10,Y30),Y30)</f>
        <v>0</v>
      </c>
      <c r="AA30" s="39">
        <f>IFERROR(IF(INDEX('State Map'!$C:$C,MATCH(TRIM('RZSPbS-psgr-ldv'!$A30),'State Map'!$A:$A,0))="Max Ambition",Schedules!W$10,Z30),Z30)</f>
        <v>0</v>
      </c>
      <c r="AB30" s="39">
        <f>IFERROR(IF(INDEX('State Map'!$C:$C,MATCH(TRIM('RZSPbS-psgr-ldv'!$A30),'State Map'!$A:$A,0))="Max Ambition",Schedules!X$10,AA30),AA30)</f>
        <v>0</v>
      </c>
      <c r="AC30" s="39">
        <f>IFERROR(IF(INDEX('State Map'!$C:$C,MATCH(TRIM('RZSPbS-psgr-ldv'!$A30),'State Map'!$A:$A,0))="Max Ambition",Schedules!Y$10,AB30),AB30)</f>
        <v>0</v>
      </c>
      <c r="AD30" s="39">
        <f>IFERROR(IF(INDEX('State Map'!$C:$C,MATCH(TRIM('RZSPbS-psgr-ldv'!$A30),'State Map'!$A:$A,0))="Max Ambition",Schedules!Z$10,AC30),AC30)</f>
        <v>0</v>
      </c>
      <c r="AE30" s="39">
        <f>IFERROR(IF(INDEX('State Map'!$C:$C,MATCH(TRIM('RZSPbS-psgr-ldv'!$A30),'State Map'!$A:$A,0))="Max Ambition",Schedules!AA$10,AD30),AD30)</f>
        <v>0</v>
      </c>
      <c r="AF30" s="39">
        <f>IFERROR(IF(INDEX('State Map'!$C:$C,MATCH(TRIM('RZSPbS-psgr-ldv'!$A30),'State Map'!$A:$A,0))="Max Ambition",Schedules!AB$10,AE30),AE30)</f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39">
        <f>IFERROR(IF(INDEX('State Map'!$C:$C,MATCH(TRIM('RZSPbS-psgr-ldv'!$A31),'State Map'!$A:$A,0))="Max Ambition",Schedules!G$10,J31),J31)</f>
        <v>0</v>
      </c>
      <c r="L31" s="39">
        <f>IFERROR(IF(INDEX('State Map'!$C:$C,MATCH(TRIM('RZSPbS-psgr-ldv'!$A31),'State Map'!$A:$A,0))="Max Ambition",Schedules!H$10,K31),K31)</f>
        <v>0</v>
      </c>
      <c r="M31" s="39">
        <f>IFERROR(IF(INDEX('State Map'!$C:$C,MATCH(TRIM('RZSPbS-psgr-ldv'!$A31),'State Map'!$A:$A,0))="Max Ambition",Schedules!I$10,L31),L31)</f>
        <v>0</v>
      </c>
      <c r="N31" s="39">
        <f>IFERROR(IF(INDEX('State Map'!$C:$C,MATCH(TRIM('RZSPbS-psgr-ldv'!$A31),'State Map'!$A:$A,0))="Max Ambition",Schedules!J$10,M31),M31)</f>
        <v>0</v>
      </c>
      <c r="O31" s="39">
        <f>IFERROR(IF(INDEX('State Map'!$C:$C,MATCH(TRIM('RZSPbS-psgr-ldv'!$A31),'State Map'!$A:$A,0))="Max Ambition",Schedules!K$10,N31),N31)</f>
        <v>0</v>
      </c>
      <c r="P31" s="39">
        <f>IFERROR(IF(INDEX('State Map'!$C:$C,MATCH(TRIM('RZSPbS-psgr-ldv'!$A31),'State Map'!$A:$A,0))="Max Ambition",Schedules!L$10,O31),O31)</f>
        <v>0</v>
      </c>
      <c r="Q31" s="39">
        <f>IFERROR(IF(INDEX('State Map'!$C:$C,MATCH(TRIM('RZSPbS-psgr-ldv'!$A31),'State Map'!$A:$A,0))="Max Ambition",Schedules!M$10,P31),P31)</f>
        <v>0</v>
      </c>
      <c r="R31" s="39">
        <f>IFERROR(IF(INDEX('State Map'!$C:$C,MATCH(TRIM('RZSPbS-psgr-ldv'!$A31),'State Map'!$A:$A,0))="Max Ambition",Schedules!N$10,Q31),Q31)</f>
        <v>0</v>
      </c>
      <c r="S31" s="39">
        <f>IFERROR(IF(INDEX('State Map'!$C:$C,MATCH(TRIM('RZSPbS-psgr-ldv'!$A31),'State Map'!$A:$A,0))="Max Ambition",Schedules!O$10,R31),R31)</f>
        <v>0</v>
      </c>
      <c r="T31" s="39">
        <f>IFERROR(IF(INDEX('State Map'!$C:$C,MATCH(TRIM('RZSPbS-psgr-ldv'!$A31),'State Map'!$A:$A,0))="Max Ambition",Schedules!P$10,S31),S31)</f>
        <v>0</v>
      </c>
      <c r="U31" s="39">
        <f>IFERROR(IF(INDEX('State Map'!$C:$C,MATCH(TRIM('RZSPbS-psgr-ldv'!$A31),'State Map'!$A:$A,0))="Max Ambition",Schedules!Q$10,T31),T31)</f>
        <v>0</v>
      </c>
      <c r="V31" s="39">
        <f>IFERROR(IF(INDEX('State Map'!$C:$C,MATCH(TRIM('RZSPbS-psgr-ldv'!$A31),'State Map'!$A:$A,0))="Max Ambition",Schedules!R$10,U31),U31)</f>
        <v>0</v>
      </c>
      <c r="W31" s="39">
        <f>IFERROR(IF(INDEX('State Map'!$C:$C,MATCH(TRIM('RZSPbS-psgr-ldv'!$A31),'State Map'!$A:$A,0))="Max Ambition",Schedules!S$10,V31),V31)</f>
        <v>0</v>
      </c>
      <c r="X31" s="39">
        <f>IFERROR(IF(INDEX('State Map'!$C:$C,MATCH(TRIM('RZSPbS-psgr-ldv'!$A31),'State Map'!$A:$A,0))="Max Ambition",Schedules!T$10,W31),W31)</f>
        <v>0</v>
      </c>
      <c r="Y31" s="39">
        <f>IFERROR(IF(INDEX('State Map'!$C:$C,MATCH(TRIM('RZSPbS-psgr-ldv'!$A31),'State Map'!$A:$A,0))="Max Ambition",Schedules!U$10,X31),X31)</f>
        <v>0</v>
      </c>
      <c r="Z31" s="39">
        <f>IFERROR(IF(INDEX('State Map'!$C:$C,MATCH(TRIM('RZSPbS-psgr-ldv'!$A31),'State Map'!$A:$A,0))="Max Ambition",Schedules!V$10,Y31),Y31)</f>
        <v>0</v>
      </c>
      <c r="AA31" s="39">
        <f>IFERROR(IF(INDEX('State Map'!$C:$C,MATCH(TRIM('RZSPbS-psgr-ldv'!$A31),'State Map'!$A:$A,0))="Max Ambition",Schedules!W$10,Z31),Z31)</f>
        <v>0</v>
      </c>
      <c r="AB31" s="39">
        <f>IFERROR(IF(INDEX('State Map'!$C:$C,MATCH(TRIM('RZSPbS-psgr-ldv'!$A31),'State Map'!$A:$A,0))="Max Ambition",Schedules!X$10,AA31),AA31)</f>
        <v>0</v>
      </c>
      <c r="AC31" s="39">
        <f>IFERROR(IF(INDEX('State Map'!$C:$C,MATCH(TRIM('RZSPbS-psgr-ldv'!$A31),'State Map'!$A:$A,0))="Max Ambition",Schedules!Y$10,AB31),AB31)</f>
        <v>0</v>
      </c>
      <c r="AD31" s="39">
        <f>IFERROR(IF(INDEX('State Map'!$C:$C,MATCH(TRIM('RZSPbS-psgr-ldv'!$A31),'State Map'!$A:$A,0))="Max Ambition",Schedules!Z$10,AC31),AC31)</f>
        <v>0</v>
      </c>
      <c r="AE31" s="39">
        <f>IFERROR(IF(INDEX('State Map'!$C:$C,MATCH(TRIM('RZSPbS-psgr-ldv'!$A31),'State Map'!$A:$A,0))="Max Ambition",Schedules!AA$10,AD31),AD31)</f>
        <v>0</v>
      </c>
      <c r="AF31" s="39">
        <f>IFERROR(IF(INDEX('State Map'!$C:$C,MATCH(TRIM('RZSPbS-psgr-ldv'!$A31),'State Map'!$A:$A,0))="Max Ambition",Schedules!AB$10,AE31),AE31)</f>
        <v>0</v>
      </c>
    </row>
    <row r="32" spans="1:32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39">
        <f>IFERROR(IF(INDEX('State Map'!$C:$C,MATCH(TRIM('RZSPbS-psgr-ldv'!$A32),'State Map'!$A:$A,0))="Max Ambition",Schedules!G$10,J32),J32)</f>
        <v>0.155</v>
      </c>
      <c r="L32" s="39">
        <f>IFERROR(IF(INDEX('State Map'!$C:$C,MATCH(TRIM('RZSPbS-psgr-ldv'!$A32),'State Map'!$A:$A,0))="Max Ambition",Schedules!H$10,K32),K32)</f>
        <v>0.17499999999999999</v>
      </c>
      <c r="M32" s="39">
        <f>IFERROR(IF(INDEX('State Map'!$C:$C,MATCH(TRIM('RZSPbS-psgr-ldv'!$A32),'State Map'!$A:$A,0))="Max Ambition",Schedules!I$10,L32),L32)</f>
        <v>0.19500000000000001</v>
      </c>
      <c r="N32" s="39">
        <f>IFERROR(IF(INDEX('State Map'!$C:$C,MATCH(TRIM('RZSPbS-psgr-ldv'!$A32),'State Map'!$A:$A,0))="Max Ambition",Schedules!J$10,M32),M32)</f>
        <v>0.255</v>
      </c>
      <c r="O32" s="39">
        <f>IFERROR(IF(INDEX('State Map'!$C:$C,MATCH(TRIM('RZSPbS-psgr-ldv'!$A32),'State Map'!$A:$A,0))="Max Ambition",Schedules!K$10,N32),N32)</f>
        <v>0.315</v>
      </c>
      <c r="P32" s="39">
        <f>IFERROR(IF(INDEX('State Map'!$C:$C,MATCH(TRIM('RZSPbS-psgr-ldv'!$A32),'State Map'!$A:$A,0))="Max Ambition",Schedules!L$10,O32),O32)</f>
        <v>0.375</v>
      </c>
      <c r="Q32" s="39">
        <f>IFERROR(IF(INDEX('State Map'!$C:$C,MATCH(TRIM('RZSPbS-psgr-ldv'!$A32),'State Map'!$A:$A,0))="Max Ambition",Schedules!M$10,P32),P32)</f>
        <v>0.435</v>
      </c>
      <c r="R32" s="39">
        <f>IFERROR(IF(INDEX('State Map'!$C:$C,MATCH(TRIM('RZSPbS-psgr-ldv'!$A32),'State Map'!$A:$A,0))="Max Ambition",Schedules!N$10,Q32),Q32)</f>
        <v>0.495</v>
      </c>
      <c r="S32" s="39">
        <f>IFERROR(IF(INDEX('State Map'!$C:$C,MATCH(TRIM('RZSPbS-psgr-ldv'!$A32),'State Map'!$A:$A,0))="Max Ambition",Schedules!O$10,R32),R32)</f>
        <v>0.55500000000000005</v>
      </c>
      <c r="T32" s="39">
        <f>IFERROR(IF(INDEX('State Map'!$C:$C,MATCH(TRIM('RZSPbS-psgr-ldv'!$A32),'State Map'!$A:$A,0))="Max Ambition",Schedules!P$10,S32),S32)</f>
        <v>0.61499999999999999</v>
      </c>
      <c r="U32" s="39">
        <f>IFERROR(IF(INDEX('State Map'!$C:$C,MATCH(TRIM('RZSPbS-psgr-ldv'!$A32),'State Map'!$A:$A,0))="Max Ambition",Schedules!Q$10,T32),T32)</f>
        <v>0.67500000000000004</v>
      </c>
      <c r="V32" s="39">
        <f>IFERROR(IF(INDEX('State Map'!$C:$C,MATCH(TRIM('RZSPbS-psgr-ldv'!$A32),'State Map'!$A:$A,0))="Max Ambition",Schedules!R$10,U32),U32)</f>
        <v>0.73499999999999999</v>
      </c>
      <c r="W32" s="39">
        <f>IFERROR(IF(INDEX('State Map'!$C:$C,MATCH(TRIM('RZSPbS-psgr-ldv'!$A32),'State Map'!$A:$A,0))="Max Ambition",Schedules!S$10,V32),V32)</f>
        <v>0.79500000000000004</v>
      </c>
      <c r="X32" s="39">
        <f>IFERROR(IF(INDEX('State Map'!$C:$C,MATCH(TRIM('RZSPbS-psgr-ldv'!$A32),'State Map'!$A:$A,0))="Max Ambition",Schedules!T$10,W32),W32)</f>
        <v>0.85</v>
      </c>
      <c r="Y32" s="39">
        <f>IFERROR(IF(INDEX('State Map'!$C:$C,MATCH(TRIM('RZSPbS-psgr-ldv'!$A32),'State Map'!$A:$A,0))="Max Ambition",Schedules!U$10,X32),X32)</f>
        <v>0.88</v>
      </c>
      <c r="Z32" s="39">
        <f>IFERROR(IF(INDEX('State Map'!$C:$C,MATCH(TRIM('RZSPbS-psgr-ldv'!$A32),'State Map'!$A:$A,0))="Max Ambition",Schedules!V$10,Y32),Y32)</f>
        <v>0.91</v>
      </c>
      <c r="AA32" s="39">
        <f>IFERROR(IF(INDEX('State Map'!$C:$C,MATCH(TRIM('RZSPbS-psgr-ldv'!$A32),'State Map'!$A:$A,0))="Max Ambition",Schedules!W$10,Z32),Z32)</f>
        <v>0.94</v>
      </c>
      <c r="AB32" s="39">
        <f>IFERROR(IF(INDEX('State Map'!$C:$C,MATCH(TRIM('RZSPbS-psgr-ldv'!$A32),'State Map'!$A:$A,0))="Max Ambition",Schedules!X$10,AA32),AA32)</f>
        <v>0.97</v>
      </c>
      <c r="AC32" s="39">
        <f>IFERROR(IF(INDEX('State Map'!$C:$C,MATCH(TRIM('RZSPbS-psgr-ldv'!$A32),'State Map'!$A:$A,0))="Max Ambition",Schedules!Y$10,AB32),AB32)</f>
        <v>1</v>
      </c>
      <c r="AD32" s="39">
        <f>IFERROR(IF(INDEX('State Map'!$C:$C,MATCH(TRIM('RZSPbS-psgr-ldv'!$A32),'State Map'!$A:$A,0))="Max Ambition",Schedules!Z$10,AC32),AC32)</f>
        <v>1</v>
      </c>
      <c r="AE32" s="39">
        <f>IFERROR(IF(INDEX('State Map'!$C:$C,MATCH(TRIM('RZSPbS-psgr-ldv'!$A32),'State Map'!$A:$A,0))="Max Ambition",Schedules!AA$10,AD32),AD32)</f>
        <v>1</v>
      </c>
      <c r="AF32" s="39">
        <f>IFERROR(IF(INDEX('State Map'!$C:$C,MATCH(TRIM('RZSPbS-psgr-ldv'!$A32),'State Map'!$A:$A,0))="Max Ambition",Schedules!AB$10,AE32),AE32)</f>
        <v>1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39">
        <f>IFERROR(IF(INDEX('State Map'!$C:$C,MATCH(TRIM('RZSPbS-psgr-ldv'!$A33),'State Map'!$A:$A,0))="Max Ambition",Schedules!G$10,J33),J33)</f>
        <v>0.155</v>
      </c>
      <c r="L33" s="39">
        <f>IFERROR(IF(INDEX('State Map'!$C:$C,MATCH(TRIM('RZSPbS-psgr-ldv'!$A33),'State Map'!$A:$A,0))="Max Ambition",Schedules!H$10,K33),K33)</f>
        <v>0.17499999999999999</v>
      </c>
      <c r="M33" s="39">
        <f>IFERROR(IF(INDEX('State Map'!$C:$C,MATCH(TRIM('RZSPbS-psgr-ldv'!$A33),'State Map'!$A:$A,0))="Max Ambition",Schedules!I$10,L33),L33)</f>
        <v>0.19500000000000001</v>
      </c>
      <c r="N33" s="39">
        <f>IFERROR(IF(INDEX('State Map'!$C:$C,MATCH(TRIM('RZSPbS-psgr-ldv'!$A33),'State Map'!$A:$A,0))="Max Ambition",Schedules!J$10,M33),M33)</f>
        <v>0.255</v>
      </c>
      <c r="O33" s="39">
        <f>IFERROR(IF(INDEX('State Map'!$C:$C,MATCH(TRIM('RZSPbS-psgr-ldv'!$A33),'State Map'!$A:$A,0))="Max Ambition",Schedules!K$10,N33),N33)</f>
        <v>0.315</v>
      </c>
      <c r="P33" s="39">
        <f>IFERROR(IF(INDEX('State Map'!$C:$C,MATCH(TRIM('RZSPbS-psgr-ldv'!$A33),'State Map'!$A:$A,0))="Max Ambition",Schedules!L$10,O33),O33)</f>
        <v>0.375</v>
      </c>
      <c r="Q33" s="39">
        <f>IFERROR(IF(INDEX('State Map'!$C:$C,MATCH(TRIM('RZSPbS-psgr-ldv'!$A33),'State Map'!$A:$A,0))="Max Ambition",Schedules!M$10,P33),P33)</f>
        <v>0.435</v>
      </c>
      <c r="R33" s="39">
        <f>IFERROR(IF(INDEX('State Map'!$C:$C,MATCH(TRIM('RZSPbS-psgr-ldv'!$A33),'State Map'!$A:$A,0))="Max Ambition",Schedules!N$10,Q33),Q33)</f>
        <v>0.495</v>
      </c>
      <c r="S33" s="39">
        <f>IFERROR(IF(INDEX('State Map'!$C:$C,MATCH(TRIM('RZSPbS-psgr-ldv'!$A33),'State Map'!$A:$A,0))="Max Ambition",Schedules!O$10,R33),R33)</f>
        <v>0.55500000000000005</v>
      </c>
      <c r="T33" s="39">
        <f>IFERROR(IF(INDEX('State Map'!$C:$C,MATCH(TRIM('RZSPbS-psgr-ldv'!$A33),'State Map'!$A:$A,0))="Max Ambition",Schedules!P$10,S33),S33)</f>
        <v>0.61499999999999999</v>
      </c>
      <c r="U33" s="39">
        <f>IFERROR(IF(INDEX('State Map'!$C:$C,MATCH(TRIM('RZSPbS-psgr-ldv'!$A33),'State Map'!$A:$A,0))="Max Ambition",Schedules!Q$10,T33),T33)</f>
        <v>0.67500000000000004</v>
      </c>
      <c r="V33" s="39">
        <f>IFERROR(IF(INDEX('State Map'!$C:$C,MATCH(TRIM('RZSPbS-psgr-ldv'!$A33),'State Map'!$A:$A,0))="Max Ambition",Schedules!R$10,U33),U33)</f>
        <v>0.73499999999999999</v>
      </c>
      <c r="W33" s="39">
        <f>IFERROR(IF(INDEX('State Map'!$C:$C,MATCH(TRIM('RZSPbS-psgr-ldv'!$A33),'State Map'!$A:$A,0))="Max Ambition",Schedules!S$10,V33),V33)</f>
        <v>0.79500000000000004</v>
      </c>
      <c r="X33" s="39">
        <f>IFERROR(IF(INDEX('State Map'!$C:$C,MATCH(TRIM('RZSPbS-psgr-ldv'!$A33),'State Map'!$A:$A,0))="Max Ambition",Schedules!T$10,W33),W33)</f>
        <v>0.85</v>
      </c>
      <c r="Y33" s="39">
        <f>IFERROR(IF(INDEX('State Map'!$C:$C,MATCH(TRIM('RZSPbS-psgr-ldv'!$A33),'State Map'!$A:$A,0))="Max Ambition",Schedules!U$10,X33),X33)</f>
        <v>0.88</v>
      </c>
      <c r="Z33" s="39">
        <f>IFERROR(IF(INDEX('State Map'!$C:$C,MATCH(TRIM('RZSPbS-psgr-ldv'!$A33),'State Map'!$A:$A,0))="Max Ambition",Schedules!V$10,Y33),Y33)</f>
        <v>0.91</v>
      </c>
      <c r="AA33" s="39">
        <f>IFERROR(IF(INDEX('State Map'!$C:$C,MATCH(TRIM('RZSPbS-psgr-ldv'!$A33),'State Map'!$A:$A,0))="Max Ambition",Schedules!W$10,Z33),Z33)</f>
        <v>0.94</v>
      </c>
      <c r="AB33" s="39">
        <f>IFERROR(IF(INDEX('State Map'!$C:$C,MATCH(TRIM('RZSPbS-psgr-ldv'!$A33),'State Map'!$A:$A,0))="Max Ambition",Schedules!X$10,AA33),AA33)</f>
        <v>0.97</v>
      </c>
      <c r="AC33" s="39">
        <f>IFERROR(IF(INDEX('State Map'!$C:$C,MATCH(TRIM('RZSPbS-psgr-ldv'!$A33),'State Map'!$A:$A,0))="Max Ambition",Schedules!Y$10,AB33),AB33)</f>
        <v>1</v>
      </c>
      <c r="AD33" s="39">
        <f>IFERROR(IF(INDEX('State Map'!$C:$C,MATCH(TRIM('RZSPbS-psgr-ldv'!$A33),'State Map'!$A:$A,0))="Max Ambition",Schedules!Z$10,AC33),AC33)</f>
        <v>1</v>
      </c>
      <c r="AE33" s="39">
        <f>IFERROR(IF(INDEX('State Map'!$C:$C,MATCH(TRIM('RZSPbS-psgr-ldv'!$A33),'State Map'!$A:$A,0))="Max Ambition",Schedules!AA$10,AD33),AD33)</f>
        <v>1</v>
      </c>
      <c r="AF33" s="39">
        <f>IFERROR(IF(INDEX('State Map'!$C:$C,MATCH(TRIM('RZSPbS-psgr-ldv'!$A33),'State Map'!$A:$A,0))="Max Ambition",Schedules!AB$10,AE33),AE33)</f>
        <v>1</v>
      </c>
    </row>
    <row r="34" spans="1:32" x14ac:dyDescent="0.2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39">
        <f>IFERROR(IF(INDEX('State Map'!$C:$C,MATCH(TRIM('RZSPbS-psgr-ldv'!$A34),'State Map'!$A:$A,0))="Max Ambition",Schedules!G$10,J34),J34)</f>
        <v>0.155</v>
      </c>
      <c r="L34" s="39">
        <f>IFERROR(IF(INDEX('State Map'!$C:$C,MATCH(TRIM('RZSPbS-psgr-ldv'!$A34),'State Map'!$A:$A,0))="Max Ambition",Schedules!H$10,K34),K34)</f>
        <v>0.17499999999999999</v>
      </c>
      <c r="M34" s="39">
        <f>IFERROR(IF(INDEX('State Map'!$C:$C,MATCH(TRIM('RZSPbS-psgr-ldv'!$A34),'State Map'!$A:$A,0))="Max Ambition",Schedules!I$10,L34),L34)</f>
        <v>0.19500000000000001</v>
      </c>
      <c r="N34" s="39">
        <f>IFERROR(IF(INDEX('State Map'!$C:$C,MATCH(TRIM('RZSPbS-psgr-ldv'!$A34),'State Map'!$A:$A,0))="Max Ambition",Schedules!J$10,M34),M34)</f>
        <v>0.255</v>
      </c>
      <c r="O34" s="39">
        <f>IFERROR(IF(INDEX('State Map'!$C:$C,MATCH(TRIM('RZSPbS-psgr-ldv'!$A34),'State Map'!$A:$A,0))="Max Ambition",Schedules!K$10,N34),N34)</f>
        <v>0.315</v>
      </c>
      <c r="P34" s="39">
        <f>IFERROR(IF(INDEX('State Map'!$C:$C,MATCH(TRIM('RZSPbS-psgr-ldv'!$A34),'State Map'!$A:$A,0))="Max Ambition",Schedules!L$10,O34),O34)</f>
        <v>0.375</v>
      </c>
      <c r="Q34" s="39">
        <f>IFERROR(IF(INDEX('State Map'!$C:$C,MATCH(TRIM('RZSPbS-psgr-ldv'!$A34),'State Map'!$A:$A,0))="Max Ambition",Schedules!M$10,P34),P34)</f>
        <v>0.435</v>
      </c>
      <c r="R34" s="39">
        <f>IFERROR(IF(INDEX('State Map'!$C:$C,MATCH(TRIM('RZSPbS-psgr-ldv'!$A34),'State Map'!$A:$A,0))="Max Ambition",Schedules!N$10,Q34),Q34)</f>
        <v>0.495</v>
      </c>
      <c r="S34" s="39">
        <f>IFERROR(IF(INDEX('State Map'!$C:$C,MATCH(TRIM('RZSPbS-psgr-ldv'!$A34),'State Map'!$A:$A,0))="Max Ambition",Schedules!O$10,R34),R34)</f>
        <v>0.55500000000000005</v>
      </c>
      <c r="T34" s="39">
        <f>IFERROR(IF(INDEX('State Map'!$C:$C,MATCH(TRIM('RZSPbS-psgr-ldv'!$A34),'State Map'!$A:$A,0))="Max Ambition",Schedules!P$10,S34),S34)</f>
        <v>0.61499999999999999</v>
      </c>
      <c r="U34" s="39">
        <f>IFERROR(IF(INDEX('State Map'!$C:$C,MATCH(TRIM('RZSPbS-psgr-ldv'!$A34),'State Map'!$A:$A,0))="Max Ambition",Schedules!Q$10,T34),T34)</f>
        <v>0.67500000000000004</v>
      </c>
      <c r="V34" s="39">
        <f>IFERROR(IF(INDEX('State Map'!$C:$C,MATCH(TRIM('RZSPbS-psgr-ldv'!$A34),'State Map'!$A:$A,0))="Max Ambition",Schedules!R$10,U34),U34)</f>
        <v>0.73499999999999999</v>
      </c>
      <c r="W34" s="39">
        <f>IFERROR(IF(INDEX('State Map'!$C:$C,MATCH(TRIM('RZSPbS-psgr-ldv'!$A34),'State Map'!$A:$A,0))="Max Ambition",Schedules!S$10,V34),V34)</f>
        <v>0.79500000000000004</v>
      </c>
      <c r="X34" s="39">
        <f>IFERROR(IF(INDEX('State Map'!$C:$C,MATCH(TRIM('RZSPbS-psgr-ldv'!$A34),'State Map'!$A:$A,0))="Max Ambition",Schedules!T$10,W34),W34)</f>
        <v>0.85</v>
      </c>
      <c r="Y34" s="39">
        <f>IFERROR(IF(INDEX('State Map'!$C:$C,MATCH(TRIM('RZSPbS-psgr-ldv'!$A34),'State Map'!$A:$A,0))="Max Ambition",Schedules!U$10,X34),X34)</f>
        <v>0.88</v>
      </c>
      <c r="Z34" s="39">
        <f>IFERROR(IF(INDEX('State Map'!$C:$C,MATCH(TRIM('RZSPbS-psgr-ldv'!$A34),'State Map'!$A:$A,0))="Max Ambition",Schedules!V$10,Y34),Y34)</f>
        <v>0.91</v>
      </c>
      <c r="AA34" s="39">
        <f>IFERROR(IF(INDEX('State Map'!$C:$C,MATCH(TRIM('RZSPbS-psgr-ldv'!$A34),'State Map'!$A:$A,0))="Max Ambition",Schedules!W$10,Z34),Z34)</f>
        <v>0.94</v>
      </c>
      <c r="AB34" s="39">
        <f>IFERROR(IF(INDEX('State Map'!$C:$C,MATCH(TRIM('RZSPbS-psgr-ldv'!$A34),'State Map'!$A:$A,0))="Max Ambition",Schedules!X$10,AA34),AA34)</f>
        <v>0.97</v>
      </c>
      <c r="AC34" s="39">
        <f>IFERROR(IF(INDEX('State Map'!$C:$C,MATCH(TRIM('RZSPbS-psgr-ldv'!$A34),'State Map'!$A:$A,0))="Max Ambition",Schedules!Y$10,AB34),AB34)</f>
        <v>1</v>
      </c>
      <c r="AD34" s="39">
        <f>IFERROR(IF(INDEX('State Map'!$C:$C,MATCH(TRIM('RZSPbS-psgr-ldv'!$A34),'State Map'!$A:$A,0))="Max Ambition",Schedules!Z$10,AC34),AC34)</f>
        <v>1</v>
      </c>
      <c r="AE34" s="39">
        <f>IFERROR(IF(INDEX('State Map'!$C:$C,MATCH(TRIM('RZSPbS-psgr-ldv'!$A34),'State Map'!$A:$A,0))="Max Ambition",Schedules!AA$10,AD34),AD34)</f>
        <v>1</v>
      </c>
      <c r="AF34" s="39">
        <f>IFERROR(IF(INDEX('State Map'!$C:$C,MATCH(TRIM('RZSPbS-psgr-ldv'!$A34),'State Map'!$A:$A,0))="Max Ambition",Schedules!AB$10,AE34),AE34)</f>
        <v>1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39">
        <f>IFERROR(IF(INDEX('State Map'!$C:$C,MATCH(TRIM('RZSPbS-psgr-ldv'!$A35),'State Map'!$A:$A,0))="Max Ambition",Schedules!G$10,J35),J35)</f>
        <v>0</v>
      </c>
      <c r="L35" s="39">
        <f>IFERROR(IF(INDEX('State Map'!$C:$C,MATCH(TRIM('RZSPbS-psgr-ldv'!$A35),'State Map'!$A:$A,0))="Max Ambition",Schedules!H$10,K35),K35)</f>
        <v>0</v>
      </c>
      <c r="M35" s="39">
        <f>IFERROR(IF(INDEX('State Map'!$C:$C,MATCH(TRIM('RZSPbS-psgr-ldv'!$A35),'State Map'!$A:$A,0))="Max Ambition",Schedules!I$10,L35),L35)</f>
        <v>0</v>
      </c>
      <c r="N35" s="39">
        <f>IFERROR(IF(INDEX('State Map'!$C:$C,MATCH(TRIM('RZSPbS-psgr-ldv'!$A35),'State Map'!$A:$A,0))="Max Ambition",Schedules!J$10,M35),M35)</f>
        <v>0</v>
      </c>
      <c r="O35" s="39">
        <f>IFERROR(IF(INDEX('State Map'!$C:$C,MATCH(TRIM('RZSPbS-psgr-ldv'!$A35),'State Map'!$A:$A,0))="Max Ambition",Schedules!K$10,N35),N35)</f>
        <v>0</v>
      </c>
      <c r="P35" s="39">
        <f>IFERROR(IF(INDEX('State Map'!$C:$C,MATCH(TRIM('RZSPbS-psgr-ldv'!$A35),'State Map'!$A:$A,0))="Max Ambition",Schedules!L$10,O35),O35)</f>
        <v>0</v>
      </c>
      <c r="Q35" s="39">
        <f>IFERROR(IF(INDEX('State Map'!$C:$C,MATCH(TRIM('RZSPbS-psgr-ldv'!$A35),'State Map'!$A:$A,0))="Max Ambition",Schedules!M$10,P35),P35)</f>
        <v>0</v>
      </c>
      <c r="R35" s="39">
        <f>IFERROR(IF(INDEX('State Map'!$C:$C,MATCH(TRIM('RZSPbS-psgr-ldv'!$A35),'State Map'!$A:$A,0))="Max Ambition",Schedules!N$10,Q35),Q35)</f>
        <v>0</v>
      </c>
      <c r="S35" s="39">
        <f>IFERROR(IF(INDEX('State Map'!$C:$C,MATCH(TRIM('RZSPbS-psgr-ldv'!$A35),'State Map'!$A:$A,0))="Max Ambition",Schedules!O$10,R35),R35)</f>
        <v>0</v>
      </c>
      <c r="T35" s="39">
        <f>IFERROR(IF(INDEX('State Map'!$C:$C,MATCH(TRIM('RZSPbS-psgr-ldv'!$A35),'State Map'!$A:$A,0))="Max Ambition",Schedules!P$10,S35),S35)</f>
        <v>0</v>
      </c>
      <c r="U35" s="39">
        <f>IFERROR(IF(INDEX('State Map'!$C:$C,MATCH(TRIM('RZSPbS-psgr-ldv'!$A35),'State Map'!$A:$A,0))="Max Ambition",Schedules!Q$10,T35),T35)</f>
        <v>0</v>
      </c>
      <c r="V35" s="39">
        <f>IFERROR(IF(INDEX('State Map'!$C:$C,MATCH(TRIM('RZSPbS-psgr-ldv'!$A35),'State Map'!$A:$A,0))="Max Ambition",Schedules!R$10,U35),U35)</f>
        <v>0</v>
      </c>
      <c r="W35" s="39">
        <f>IFERROR(IF(INDEX('State Map'!$C:$C,MATCH(TRIM('RZSPbS-psgr-ldv'!$A35),'State Map'!$A:$A,0))="Max Ambition",Schedules!S$10,V35),V35)</f>
        <v>0</v>
      </c>
      <c r="X35" s="39">
        <f>IFERROR(IF(INDEX('State Map'!$C:$C,MATCH(TRIM('RZSPbS-psgr-ldv'!$A35),'State Map'!$A:$A,0))="Max Ambition",Schedules!T$10,W35),W35)</f>
        <v>0</v>
      </c>
      <c r="Y35" s="39">
        <f>IFERROR(IF(INDEX('State Map'!$C:$C,MATCH(TRIM('RZSPbS-psgr-ldv'!$A35),'State Map'!$A:$A,0))="Max Ambition",Schedules!U$10,X35),X35)</f>
        <v>0</v>
      </c>
      <c r="Z35" s="39">
        <f>IFERROR(IF(INDEX('State Map'!$C:$C,MATCH(TRIM('RZSPbS-psgr-ldv'!$A35),'State Map'!$A:$A,0))="Max Ambition",Schedules!V$10,Y35),Y35)</f>
        <v>0</v>
      </c>
      <c r="AA35" s="39">
        <f>IFERROR(IF(INDEX('State Map'!$C:$C,MATCH(TRIM('RZSPbS-psgr-ldv'!$A35),'State Map'!$A:$A,0))="Max Ambition",Schedules!W$10,Z35),Z35)</f>
        <v>0</v>
      </c>
      <c r="AB35" s="39">
        <f>IFERROR(IF(INDEX('State Map'!$C:$C,MATCH(TRIM('RZSPbS-psgr-ldv'!$A35),'State Map'!$A:$A,0))="Max Ambition",Schedules!X$10,AA35),AA35)</f>
        <v>0</v>
      </c>
      <c r="AC35" s="39">
        <f>IFERROR(IF(INDEX('State Map'!$C:$C,MATCH(TRIM('RZSPbS-psgr-ldv'!$A35),'State Map'!$A:$A,0))="Max Ambition",Schedules!Y$10,AB35),AB35)</f>
        <v>0</v>
      </c>
      <c r="AD35" s="39">
        <f>IFERROR(IF(INDEX('State Map'!$C:$C,MATCH(TRIM('RZSPbS-psgr-ldv'!$A35),'State Map'!$A:$A,0))="Max Ambition",Schedules!Z$10,AC35),AC35)</f>
        <v>0</v>
      </c>
      <c r="AE35" s="39">
        <f>IFERROR(IF(INDEX('State Map'!$C:$C,MATCH(TRIM('RZSPbS-psgr-ldv'!$A35),'State Map'!$A:$A,0))="Max Ambition",Schedules!AA$10,AD35),AD35)</f>
        <v>0</v>
      </c>
      <c r="AF35" s="39">
        <f>IFERROR(IF(INDEX('State Map'!$C:$C,MATCH(TRIM('RZSPbS-psgr-ldv'!$A35),'State Map'!$A:$A,0))="Max Ambition",Schedules!AB$10,AE35),AE35)</f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39">
        <f>IFERROR(IF(INDEX('State Map'!$C:$C,MATCH(TRIM('RZSPbS-psgr-ldv'!$A36),'State Map'!$A:$A,0))="Max Ambition",Schedules!G$10,J36),J36)</f>
        <v>0</v>
      </c>
      <c r="L36" s="39">
        <f>IFERROR(IF(INDEX('State Map'!$C:$C,MATCH(TRIM('RZSPbS-psgr-ldv'!$A36),'State Map'!$A:$A,0))="Max Ambition",Schedules!H$10,K36),K36)</f>
        <v>0</v>
      </c>
      <c r="M36" s="39">
        <f>IFERROR(IF(INDEX('State Map'!$C:$C,MATCH(TRIM('RZSPbS-psgr-ldv'!$A36),'State Map'!$A:$A,0))="Max Ambition",Schedules!I$10,L36),L36)</f>
        <v>0</v>
      </c>
      <c r="N36" s="39">
        <f>IFERROR(IF(INDEX('State Map'!$C:$C,MATCH(TRIM('RZSPbS-psgr-ldv'!$A36),'State Map'!$A:$A,0))="Max Ambition",Schedules!J$10,M36),M36)</f>
        <v>0</v>
      </c>
      <c r="O36" s="39">
        <f>IFERROR(IF(INDEX('State Map'!$C:$C,MATCH(TRIM('RZSPbS-psgr-ldv'!$A36),'State Map'!$A:$A,0))="Max Ambition",Schedules!K$10,N36),N36)</f>
        <v>0</v>
      </c>
      <c r="P36" s="39">
        <f>IFERROR(IF(INDEX('State Map'!$C:$C,MATCH(TRIM('RZSPbS-psgr-ldv'!$A36),'State Map'!$A:$A,0))="Max Ambition",Schedules!L$10,O36),O36)</f>
        <v>0</v>
      </c>
      <c r="Q36" s="39">
        <f>IFERROR(IF(INDEX('State Map'!$C:$C,MATCH(TRIM('RZSPbS-psgr-ldv'!$A36),'State Map'!$A:$A,0))="Max Ambition",Schedules!M$10,P36),P36)</f>
        <v>0</v>
      </c>
      <c r="R36" s="39">
        <f>IFERROR(IF(INDEX('State Map'!$C:$C,MATCH(TRIM('RZSPbS-psgr-ldv'!$A36),'State Map'!$A:$A,0))="Max Ambition",Schedules!N$10,Q36),Q36)</f>
        <v>0</v>
      </c>
      <c r="S36" s="39">
        <f>IFERROR(IF(INDEX('State Map'!$C:$C,MATCH(TRIM('RZSPbS-psgr-ldv'!$A36),'State Map'!$A:$A,0))="Max Ambition",Schedules!O$10,R36),R36)</f>
        <v>0</v>
      </c>
      <c r="T36" s="39">
        <f>IFERROR(IF(INDEX('State Map'!$C:$C,MATCH(TRIM('RZSPbS-psgr-ldv'!$A36),'State Map'!$A:$A,0))="Max Ambition",Schedules!P$10,S36),S36)</f>
        <v>0</v>
      </c>
      <c r="U36" s="39">
        <f>IFERROR(IF(INDEX('State Map'!$C:$C,MATCH(TRIM('RZSPbS-psgr-ldv'!$A36),'State Map'!$A:$A,0))="Max Ambition",Schedules!Q$10,T36),T36)</f>
        <v>0</v>
      </c>
      <c r="V36" s="39">
        <f>IFERROR(IF(INDEX('State Map'!$C:$C,MATCH(TRIM('RZSPbS-psgr-ldv'!$A36),'State Map'!$A:$A,0))="Max Ambition",Schedules!R$10,U36),U36)</f>
        <v>0</v>
      </c>
      <c r="W36" s="39">
        <f>IFERROR(IF(INDEX('State Map'!$C:$C,MATCH(TRIM('RZSPbS-psgr-ldv'!$A36),'State Map'!$A:$A,0))="Max Ambition",Schedules!S$10,V36),V36)</f>
        <v>0</v>
      </c>
      <c r="X36" s="39">
        <f>IFERROR(IF(INDEX('State Map'!$C:$C,MATCH(TRIM('RZSPbS-psgr-ldv'!$A36),'State Map'!$A:$A,0))="Max Ambition",Schedules!T$10,W36),W36)</f>
        <v>0</v>
      </c>
      <c r="Y36" s="39">
        <f>IFERROR(IF(INDEX('State Map'!$C:$C,MATCH(TRIM('RZSPbS-psgr-ldv'!$A36),'State Map'!$A:$A,0))="Max Ambition",Schedules!U$10,X36),X36)</f>
        <v>0</v>
      </c>
      <c r="Z36" s="39">
        <f>IFERROR(IF(INDEX('State Map'!$C:$C,MATCH(TRIM('RZSPbS-psgr-ldv'!$A36),'State Map'!$A:$A,0))="Max Ambition",Schedules!V$10,Y36),Y36)</f>
        <v>0</v>
      </c>
      <c r="AA36" s="39">
        <f>IFERROR(IF(INDEX('State Map'!$C:$C,MATCH(TRIM('RZSPbS-psgr-ldv'!$A36),'State Map'!$A:$A,0))="Max Ambition",Schedules!W$10,Z36),Z36)</f>
        <v>0</v>
      </c>
      <c r="AB36" s="39">
        <f>IFERROR(IF(INDEX('State Map'!$C:$C,MATCH(TRIM('RZSPbS-psgr-ldv'!$A36),'State Map'!$A:$A,0))="Max Ambition",Schedules!X$10,AA36),AA36)</f>
        <v>0</v>
      </c>
      <c r="AC36" s="39">
        <f>IFERROR(IF(INDEX('State Map'!$C:$C,MATCH(TRIM('RZSPbS-psgr-ldv'!$A36),'State Map'!$A:$A,0))="Max Ambition",Schedules!Y$10,AB36),AB36)</f>
        <v>0</v>
      </c>
      <c r="AD36" s="39">
        <f>IFERROR(IF(INDEX('State Map'!$C:$C,MATCH(TRIM('RZSPbS-psgr-ldv'!$A36),'State Map'!$A:$A,0))="Max Ambition",Schedules!Z$10,AC36),AC36)</f>
        <v>0</v>
      </c>
      <c r="AE36" s="39">
        <f>IFERROR(IF(INDEX('State Map'!$C:$C,MATCH(TRIM('RZSPbS-psgr-ldv'!$A36),'State Map'!$A:$A,0))="Max Ambition",Schedules!AA$10,AD36),AD36)</f>
        <v>0</v>
      </c>
      <c r="AF36" s="39">
        <f>IFERROR(IF(INDEX('State Map'!$C:$C,MATCH(TRIM('RZSPbS-psgr-ldv'!$A36),'State Map'!$A:$A,0))="Max Ambition",Schedules!AB$10,AE36),AE36)</f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39">
        <f>IFERROR(IF(INDEX('State Map'!$C:$C,MATCH(TRIM('RZSPbS-psgr-ldv'!$A37),'State Map'!$A:$A,0))="Max Ambition",Schedules!G$10,J37),J37)</f>
        <v>0</v>
      </c>
      <c r="L37" s="39">
        <f>IFERROR(IF(INDEX('State Map'!$C:$C,MATCH(TRIM('RZSPbS-psgr-ldv'!$A37),'State Map'!$A:$A,0))="Max Ambition",Schedules!H$10,K37),K37)</f>
        <v>0</v>
      </c>
      <c r="M37" s="39">
        <f>IFERROR(IF(INDEX('State Map'!$C:$C,MATCH(TRIM('RZSPbS-psgr-ldv'!$A37),'State Map'!$A:$A,0))="Max Ambition",Schedules!I$10,L37),L37)</f>
        <v>0</v>
      </c>
      <c r="N37" s="39">
        <f>IFERROR(IF(INDEX('State Map'!$C:$C,MATCH(TRIM('RZSPbS-psgr-ldv'!$A37),'State Map'!$A:$A,0))="Max Ambition",Schedules!J$10,M37),M37)</f>
        <v>0</v>
      </c>
      <c r="O37" s="39">
        <f>IFERROR(IF(INDEX('State Map'!$C:$C,MATCH(TRIM('RZSPbS-psgr-ldv'!$A37),'State Map'!$A:$A,0))="Max Ambition",Schedules!K$10,N37),N37)</f>
        <v>0</v>
      </c>
      <c r="P37" s="39">
        <f>IFERROR(IF(INDEX('State Map'!$C:$C,MATCH(TRIM('RZSPbS-psgr-ldv'!$A37),'State Map'!$A:$A,0))="Max Ambition",Schedules!L$10,O37),O37)</f>
        <v>0</v>
      </c>
      <c r="Q37" s="39">
        <f>IFERROR(IF(INDEX('State Map'!$C:$C,MATCH(TRIM('RZSPbS-psgr-ldv'!$A37),'State Map'!$A:$A,0))="Max Ambition",Schedules!M$10,P37),P37)</f>
        <v>0</v>
      </c>
      <c r="R37" s="39">
        <f>IFERROR(IF(INDEX('State Map'!$C:$C,MATCH(TRIM('RZSPbS-psgr-ldv'!$A37),'State Map'!$A:$A,0))="Max Ambition",Schedules!N$10,Q37),Q37)</f>
        <v>0</v>
      </c>
      <c r="S37" s="39">
        <f>IFERROR(IF(INDEX('State Map'!$C:$C,MATCH(TRIM('RZSPbS-psgr-ldv'!$A37),'State Map'!$A:$A,0))="Max Ambition",Schedules!O$10,R37),R37)</f>
        <v>0</v>
      </c>
      <c r="T37" s="39">
        <f>IFERROR(IF(INDEX('State Map'!$C:$C,MATCH(TRIM('RZSPbS-psgr-ldv'!$A37),'State Map'!$A:$A,0))="Max Ambition",Schedules!P$10,S37),S37)</f>
        <v>0</v>
      </c>
      <c r="U37" s="39">
        <f>IFERROR(IF(INDEX('State Map'!$C:$C,MATCH(TRIM('RZSPbS-psgr-ldv'!$A37),'State Map'!$A:$A,0))="Max Ambition",Schedules!Q$10,T37),T37)</f>
        <v>0</v>
      </c>
      <c r="V37" s="39">
        <f>IFERROR(IF(INDEX('State Map'!$C:$C,MATCH(TRIM('RZSPbS-psgr-ldv'!$A37),'State Map'!$A:$A,0))="Max Ambition",Schedules!R$10,U37),U37)</f>
        <v>0</v>
      </c>
      <c r="W37" s="39">
        <f>IFERROR(IF(INDEX('State Map'!$C:$C,MATCH(TRIM('RZSPbS-psgr-ldv'!$A37),'State Map'!$A:$A,0))="Max Ambition",Schedules!S$10,V37),V37)</f>
        <v>0</v>
      </c>
      <c r="X37" s="39">
        <f>IFERROR(IF(INDEX('State Map'!$C:$C,MATCH(TRIM('RZSPbS-psgr-ldv'!$A37),'State Map'!$A:$A,0))="Max Ambition",Schedules!T$10,W37),W37)</f>
        <v>0</v>
      </c>
      <c r="Y37" s="39">
        <f>IFERROR(IF(INDEX('State Map'!$C:$C,MATCH(TRIM('RZSPbS-psgr-ldv'!$A37),'State Map'!$A:$A,0))="Max Ambition",Schedules!U$10,X37),X37)</f>
        <v>0</v>
      </c>
      <c r="Z37" s="39">
        <f>IFERROR(IF(INDEX('State Map'!$C:$C,MATCH(TRIM('RZSPbS-psgr-ldv'!$A37),'State Map'!$A:$A,0))="Max Ambition",Schedules!V$10,Y37),Y37)</f>
        <v>0</v>
      </c>
      <c r="AA37" s="39">
        <f>IFERROR(IF(INDEX('State Map'!$C:$C,MATCH(TRIM('RZSPbS-psgr-ldv'!$A37),'State Map'!$A:$A,0))="Max Ambition",Schedules!W$10,Z37),Z37)</f>
        <v>0</v>
      </c>
      <c r="AB37" s="39">
        <f>IFERROR(IF(INDEX('State Map'!$C:$C,MATCH(TRIM('RZSPbS-psgr-ldv'!$A37),'State Map'!$A:$A,0))="Max Ambition",Schedules!X$10,AA37),AA37)</f>
        <v>0</v>
      </c>
      <c r="AC37" s="39">
        <f>IFERROR(IF(INDEX('State Map'!$C:$C,MATCH(TRIM('RZSPbS-psgr-ldv'!$A37),'State Map'!$A:$A,0))="Max Ambition",Schedules!Y$10,AB37),AB37)</f>
        <v>0</v>
      </c>
      <c r="AD37" s="39">
        <f>IFERROR(IF(INDEX('State Map'!$C:$C,MATCH(TRIM('RZSPbS-psgr-ldv'!$A37),'State Map'!$A:$A,0))="Max Ambition",Schedules!Z$10,AC37),AC37)</f>
        <v>0</v>
      </c>
      <c r="AE37" s="39">
        <f>IFERROR(IF(INDEX('State Map'!$C:$C,MATCH(TRIM('RZSPbS-psgr-ldv'!$A37),'State Map'!$A:$A,0))="Max Ambition",Schedules!AA$10,AD37),AD37)</f>
        <v>0</v>
      </c>
      <c r="AF37" s="39">
        <f>IFERROR(IF(INDEX('State Map'!$C:$C,MATCH(TRIM('RZSPbS-psgr-ldv'!$A37),'State Map'!$A:$A,0))="Max Ambition",Schedules!AB$10,AE37),AE37)</f>
        <v>0</v>
      </c>
    </row>
    <row r="38" spans="1:32" x14ac:dyDescent="0.2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39">
        <f>IFERROR(IF(INDEX('State Map'!$C:$C,MATCH(TRIM('RZSPbS-psgr-ldv'!$A38),'State Map'!$A:$A,0))="Max Ambition",Schedules!G$10,J38),J38)</f>
        <v>0</v>
      </c>
      <c r="L38" s="39">
        <f>IFERROR(IF(INDEX('State Map'!$C:$C,MATCH(TRIM('RZSPbS-psgr-ldv'!$A38),'State Map'!$A:$A,0))="Max Ambition",Schedules!H$10,K38),K38)</f>
        <v>0</v>
      </c>
      <c r="M38" s="39">
        <f>IFERROR(IF(INDEX('State Map'!$C:$C,MATCH(TRIM('RZSPbS-psgr-ldv'!$A38),'State Map'!$A:$A,0))="Max Ambition",Schedules!I$10,L38),L38)</f>
        <v>0</v>
      </c>
      <c r="N38" s="39">
        <f>IFERROR(IF(INDEX('State Map'!$C:$C,MATCH(TRIM('RZSPbS-psgr-ldv'!$A38),'State Map'!$A:$A,0))="Max Ambition",Schedules!J$10,M38),M38)</f>
        <v>0</v>
      </c>
      <c r="O38" s="39">
        <f>IFERROR(IF(INDEX('State Map'!$C:$C,MATCH(TRIM('RZSPbS-psgr-ldv'!$A38),'State Map'!$A:$A,0))="Max Ambition",Schedules!K$10,N38),N38)</f>
        <v>0</v>
      </c>
      <c r="P38" s="39">
        <f>IFERROR(IF(INDEX('State Map'!$C:$C,MATCH(TRIM('RZSPbS-psgr-ldv'!$A38),'State Map'!$A:$A,0))="Max Ambition",Schedules!L$10,O38),O38)</f>
        <v>0</v>
      </c>
      <c r="Q38" s="39">
        <f>IFERROR(IF(INDEX('State Map'!$C:$C,MATCH(TRIM('RZSPbS-psgr-ldv'!$A38),'State Map'!$A:$A,0))="Max Ambition",Schedules!M$10,P38),P38)</f>
        <v>0</v>
      </c>
      <c r="R38" s="39">
        <f>IFERROR(IF(INDEX('State Map'!$C:$C,MATCH(TRIM('RZSPbS-psgr-ldv'!$A38),'State Map'!$A:$A,0))="Max Ambition",Schedules!N$10,Q38),Q38)</f>
        <v>0</v>
      </c>
      <c r="S38" s="39">
        <f>IFERROR(IF(INDEX('State Map'!$C:$C,MATCH(TRIM('RZSPbS-psgr-ldv'!$A38),'State Map'!$A:$A,0))="Max Ambition",Schedules!O$10,R38),R38)</f>
        <v>0</v>
      </c>
      <c r="T38" s="39">
        <f>IFERROR(IF(INDEX('State Map'!$C:$C,MATCH(TRIM('RZSPbS-psgr-ldv'!$A38),'State Map'!$A:$A,0))="Max Ambition",Schedules!P$10,S38),S38)</f>
        <v>0</v>
      </c>
      <c r="U38" s="39">
        <f>IFERROR(IF(INDEX('State Map'!$C:$C,MATCH(TRIM('RZSPbS-psgr-ldv'!$A38),'State Map'!$A:$A,0))="Max Ambition",Schedules!Q$10,T38),T38)</f>
        <v>0</v>
      </c>
      <c r="V38" s="39">
        <f>IFERROR(IF(INDEX('State Map'!$C:$C,MATCH(TRIM('RZSPbS-psgr-ldv'!$A38),'State Map'!$A:$A,0))="Max Ambition",Schedules!R$10,U38),U38)</f>
        <v>0</v>
      </c>
      <c r="W38" s="39">
        <f>IFERROR(IF(INDEX('State Map'!$C:$C,MATCH(TRIM('RZSPbS-psgr-ldv'!$A38),'State Map'!$A:$A,0))="Max Ambition",Schedules!S$10,V38),V38)</f>
        <v>0</v>
      </c>
      <c r="X38" s="39">
        <f>IFERROR(IF(INDEX('State Map'!$C:$C,MATCH(TRIM('RZSPbS-psgr-ldv'!$A38),'State Map'!$A:$A,0))="Max Ambition",Schedules!T$10,W38),W38)</f>
        <v>0</v>
      </c>
      <c r="Y38" s="39">
        <f>IFERROR(IF(INDEX('State Map'!$C:$C,MATCH(TRIM('RZSPbS-psgr-ldv'!$A38),'State Map'!$A:$A,0))="Max Ambition",Schedules!U$10,X38),X38)</f>
        <v>0</v>
      </c>
      <c r="Z38" s="39">
        <f>IFERROR(IF(INDEX('State Map'!$C:$C,MATCH(TRIM('RZSPbS-psgr-ldv'!$A38),'State Map'!$A:$A,0))="Max Ambition",Schedules!V$10,Y38),Y38)</f>
        <v>0</v>
      </c>
      <c r="AA38" s="39">
        <f>IFERROR(IF(INDEX('State Map'!$C:$C,MATCH(TRIM('RZSPbS-psgr-ldv'!$A38),'State Map'!$A:$A,0))="Max Ambition",Schedules!W$10,Z38),Z38)</f>
        <v>0</v>
      </c>
      <c r="AB38" s="39">
        <f>IFERROR(IF(INDEX('State Map'!$C:$C,MATCH(TRIM('RZSPbS-psgr-ldv'!$A38),'State Map'!$A:$A,0))="Max Ambition",Schedules!X$10,AA38),AA38)</f>
        <v>0</v>
      </c>
      <c r="AC38" s="39">
        <f>IFERROR(IF(INDEX('State Map'!$C:$C,MATCH(TRIM('RZSPbS-psgr-ldv'!$A38),'State Map'!$A:$A,0))="Max Ambition",Schedules!Y$10,AB38),AB38)</f>
        <v>0</v>
      </c>
      <c r="AD38" s="39">
        <f>IFERROR(IF(INDEX('State Map'!$C:$C,MATCH(TRIM('RZSPbS-psgr-ldv'!$A38),'State Map'!$A:$A,0))="Max Ambition",Schedules!Z$10,AC38),AC38)</f>
        <v>0</v>
      </c>
      <c r="AE38" s="39">
        <f>IFERROR(IF(INDEX('State Map'!$C:$C,MATCH(TRIM('RZSPbS-psgr-ldv'!$A38),'State Map'!$A:$A,0))="Max Ambition",Schedules!AA$10,AD38),AD38)</f>
        <v>0</v>
      </c>
      <c r="AF38" s="39">
        <f>IFERROR(IF(INDEX('State Map'!$C:$C,MATCH(TRIM('RZSPbS-psgr-ldv'!$A38),'State Map'!$A:$A,0))="Max Ambition",Schedules!AB$10,AE38),AE38)</f>
        <v>0</v>
      </c>
    </row>
    <row r="39" spans="1:32" x14ac:dyDescent="0.25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39">
        <f>IFERROR(IF(INDEX('State Map'!$C:$C,MATCH(TRIM('RZSPbS-psgr-ldv'!$A39),'State Map'!$A:$A,0))="Max Ambition",Schedules!G$10,J39),J39)</f>
        <v>0.155</v>
      </c>
      <c r="L39" s="39">
        <f>IFERROR(IF(INDEX('State Map'!$C:$C,MATCH(TRIM('RZSPbS-psgr-ldv'!$A39),'State Map'!$A:$A,0))="Max Ambition",Schedules!H$10,K39),K39)</f>
        <v>0.17499999999999999</v>
      </c>
      <c r="M39" s="39">
        <f>IFERROR(IF(INDEX('State Map'!$C:$C,MATCH(TRIM('RZSPbS-psgr-ldv'!$A39),'State Map'!$A:$A,0))="Max Ambition",Schedules!I$10,L39),L39)</f>
        <v>0.19500000000000001</v>
      </c>
      <c r="N39" s="39">
        <f>IFERROR(IF(INDEX('State Map'!$C:$C,MATCH(TRIM('RZSPbS-psgr-ldv'!$A39),'State Map'!$A:$A,0))="Max Ambition",Schedules!J$10,M39),M39)</f>
        <v>0.255</v>
      </c>
      <c r="O39" s="39">
        <f>IFERROR(IF(INDEX('State Map'!$C:$C,MATCH(TRIM('RZSPbS-psgr-ldv'!$A39),'State Map'!$A:$A,0))="Max Ambition",Schedules!K$10,N39),N39)</f>
        <v>0.315</v>
      </c>
      <c r="P39" s="39">
        <f>IFERROR(IF(INDEX('State Map'!$C:$C,MATCH(TRIM('RZSPbS-psgr-ldv'!$A39),'State Map'!$A:$A,0))="Max Ambition",Schedules!L$10,O39),O39)</f>
        <v>0.375</v>
      </c>
      <c r="Q39" s="39">
        <f>IFERROR(IF(INDEX('State Map'!$C:$C,MATCH(TRIM('RZSPbS-psgr-ldv'!$A39),'State Map'!$A:$A,0))="Max Ambition",Schedules!M$10,P39),P39)</f>
        <v>0.435</v>
      </c>
      <c r="R39" s="39">
        <f>IFERROR(IF(INDEX('State Map'!$C:$C,MATCH(TRIM('RZSPbS-psgr-ldv'!$A39),'State Map'!$A:$A,0))="Max Ambition",Schedules!N$10,Q39),Q39)</f>
        <v>0.495</v>
      </c>
      <c r="S39" s="39">
        <f>IFERROR(IF(INDEX('State Map'!$C:$C,MATCH(TRIM('RZSPbS-psgr-ldv'!$A39),'State Map'!$A:$A,0))="Max Ambition",Schedules!O$10,R39),R39)</f>
        <v>0.55500000000000005</v>
      </c>
      <c r="T39" s="39">
        <f>IFERROR(IF(INDEX('State Map'!$C:$C,MATCH(TRIM('RZSPbS-psgr-ldv'!$A39),'State Map'!$A:$A,0))="Max Ambition",Schedules!P$10,S39),S39)</f>
        <v>0.61499999999999999</v>
      </c>
      <c r="U39" s="39">
        <f>IFERROR(IF(INDEX('State Map'!$C:$C,MATCH(TRIM('RZSPbS-psgr-ldv'!$A39),'State Map'!$A:$A,0))="Max Ambition",Schedules!Q$10,T39),T39)</f>
        <v>0.67500000000000004</v>
      </c>
      <c r="V39" s="39">
        <f>IFERROR(IF(INDEX('State Map'!$C:$C,MATCH(TRIM('RZSPbS-psgr-ldv'!$A39),'State Map'!$A:$A,0))="Max Ambition",Schedules!R$10,U39),U39)</f>
        <v>0.73499999999999999</v>
      </c>
      <c r="W39" s="39">
        <f>IFERROR(IF(INDEX('State Map'!$C:$C,MATCH(TRIM('RZSPbS-psgr-ldv'!$A39),'State Map'!$A:$A,0))="Max Ambition",Schedules!S$10,V39),V39)</f>
        <v>0.79500000000000004</v>
      </c>
      <c r="X39" s="39">
        <f>IFERROR(IF(INDEX('State Map'!$C:$C,MATCH(TRIM('RZSPbS-psgr-ldv'!$A39),'State Map'!$A:$A,0))="Max Ambition",Schedules!T$10,W39),W39)</f>
        <v>0.85</v>
      </c>
      <c r="Y39" s="39">
        <f>IFERROR(IF(INDEX('State Map'!$C:$C,MATCH(TRIM('RZSPbS-psgr-ldv'!$A39),'State Map'!$A:$A,0))="Max Ambition",Schedules!U$10,X39),X39)</f>
        <v>0.88</v>
      </c>
      <c r="Z39" s="39">
        <f>IFERROR(IF(INDEX('State Map'!$C:$C,MATCH(TRIM('RZSPbS-psgr-ldv'!$A39),'State Map'!$A:$A,0))="Max Ambition",Schedules!V$10,Y39),Y39)</f>
        <v>0.91</v>
      </c>
      <c r="AA39" s="39">
        <f>IFERROR(IF(INDEX('State Map'!$C:$C,MATCH(TRIM('RZSPbS-psgr-ldv'!$A39),'State Map'!$A:$A,0))="Max Ambition",Schedules!W$10,Z39),Z39)</f>
        <v>0.94</v>
      </c>
      <c r="AB39" s="39">
        <f>IFERROR(IF(INDEX('State Map'!$C:$C,MATCH(TRIM('RZSPbS-psgr-ldv'!$A39),'State Map'!$A:$A,0))="Max Ambition",Schedules!X$10,AA39),AA39)</f>
        <v>0.97</v>
      </c>
      <c r="AC39" s="39">
        <f>IFERROR(IF(INDEX('State Map'!$C:$C,MATCH(TRIM('RZSPbS-psgr-ldv'!$A39),'State Map'!$A:$A,0))="Max Ambition",Schedules!Y$10,AB39),AB39)</f>
        <v>1</v>
      </c>
      <c r="AD39" s="39">
        <f>IFERROR(IF(INDEX('State Map'!$C:$C,MATCH(TRIM('RZSPbS-psgr-ldv'!$A39),'State Map'!$A:$A,0))="Max Ambition",Schedules!Z$10,AC39),AC39)</f>
        <v>1</v>
      </c>
      <c r="AE39" s="39">
        <f>IFERROR(IF(INDEX('State Map'!$C:$C,MATCH(TRIM('RZSPbS-psgr-ldv'!$A39),'State Map'!$A:$A,0))="Max Ambition",Schedules!AA$10,AD39),AD39)</f>
        <v>1</v>
      </c>
      <c r="AF39" s="39">
        <f>IFERROR(IF(INDEX('State Map'!$C:$C,MATCH(TRIM('RZSPbS-psgr-ldv'!$A39),'State Map'!$A:$A,0))="Max Ambition",Schedules!AB$10,AE39),AE39)</f>
        <v>1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39">
        <f>IFERROR(IF(INDEX('State Map'!$C:$C,MATCH(TRIM('RZSPbS-psgr-ldv'!$A40),'State Map'!$A:$A,0))="Max Ambition",Schedules!G$10,J40),J40)</f>
        <v>0</v>
      </c>
      <c r="L40" s="39">
        <f>IFERROR(IF(INDEX('State Map'!$C:$C,MATCH(TRIM('RZSPbS-psgr-ldv'!$A40),'State Map'!$A:$A,0))="Max Ambition",Schedules!H$10,K40),K40)</f>
        <v>0</v>
      </c>
      <c r="M40" s="39">
        <f>IFERROR(IF(INDEX('State Map'!$C:$C,MATCH(TRIM('RZSPbS-psgr-ldv'!$A40),'State Map'!$A:$A,0))="Max Ambition",Schedules!I$10,L40),L40)</f>
        <v>0</v>
      </c>
      <c r="N40" s="39">
        <f>IFERROR(IF(INDEX('State Map'!$C:$C,MATCH(TRIM('RZSPbS-psgr-ldv'!$A40),'State Map'!$A:$A,0))="Max Ambition",Schedules!J$10,M40),M40)</f>
        <v>0</v>
      </c>
      <c r="O40" s="39">
        <f>IFERROR(IF(INDEX('State Map'!$C:$C,MATCH(TRIM('RZSPbS-psgr-ldv'!$A40),'State Map'!$A:$A,0))="Max Ambition",Schedules!K$10,N40),N40)</f>
        <v>0</v>
      </c>
      <c r="P40" s="39">
        <f>IFERROR(IF(INDEX('State Map'!$C:$C,MATCH(TRIM('RZSPbS-psgr-ldv'!$A40),'State Map'!$A:$A,0))="Max Ambition",Schedules!L$10,O40),O40)</f>
        <v>0</v>
      </c>
      <c r="Q40" s="39">
        <f>IFERROR(IF(INDEX('State Map'!$C:$C,MATCH(TRIM('RZSPbS-psgr-ldv'!$A40),'State Map'!$A:$A,0))="Max Ambition",Schedules!M$10,P40),P40)</f>
        <v>0</v>
      </c>
      <c r="R40" s="39">
        <f>IFERROR(IF(INDEX('State Map'!$C:$C,MATCH(TRIM('RZSPbS-psgr-ldv'!$A40),'State Map'!$A:$A,0))="Max Ambition",Schedules!N$10,Q40),Q40)</f>
        <v>0</v>
      </c>
      <c r="S40" s="39">
        <f>IFERROR(IF(INDEX('State Map'!$C:$C,MATCH(TRIM('RZSPbS-psgr-ldv'!$A40),'State Map'!$A:$A,0))="Max Ambition",Schedules!O$10,R40),R40)</f>
        <v>0</v>
      </c>
      <c r="T40" s="39">
        <f>IFERROR(IF(INDEX('State Map'!$C:$C,MATCH(TRIM('RZSPbS-psgr-ldv'!$A40),'State Map'!$A:$A,0))="Max Ambition",Schedules!P$10,S40),S40)</f>
        <v>0</v>
      </c>
      <c r="U40" s="39">
        <f>IFERROR(IF(INDEX('State Map'!$C:$C,MATCH(TRIM('RZSPbS-psgr-ldv'!$A40),'State Map'!$A:$A,0))="Max Ambition",Schedules!Q$10,T40),T40)</f>
        <v>0</v>
      </c>
      <c r="V40" s="39">
        <f>IFERROR(IF(INDEX('State Map'!$C:$C,MATCH(TRIM('RZSPbS-psgr-ldv'!$A40),'State Map'!$A:$A,0))="Max Ambition",Schedules!R$10,U40),U40)</f>
        <v>0</v>
      </c>
      <c r="W40" s="39">
        <f>IFERROR(IF(INDEX('State Map'!$C:$C,MATCH(TRIM('RZSPbS-psgr-ldv'!$A40),'State Map'!$A:$A,0))="Max Ambition",Schedules!S$10,V40),V40)</f>
        <v>0</v>
      </c>
      <c r="X40" s="39">
        <f>IFERROR(IF(INDEX('State Map'!$C:$C,MATCH(TRIM('RZSPbS-psgr-ldv'!$A40),'State Map'!$A:$A,0))="Max Ambition",Schedules!T$10,W40),W40)</f>
        <v>0</v>
      </c>
      <c r="Y40" s="39">
        <f>IFERROR(IF(INDEX('State Map'!$C:$C,MATCH(TRIM('RZSPbS-psgr-ldv'!$A40),'State Map'!$A:$A,0))="Max Ambition",Schedules!U$10,X40),X40)</f>
        <v>0</v>
      </c>
      <c r="Z40" s="39">
        <f>IFERROR(IF(INDEX('State Map'!$C:$C,MATCH(TRIM('RZSPbS-psgr-ldv'!$A40),'State Map'!$A:$A,0))="Max Ambition",Schedules!V$10,Y40),Y40)</f>
        <v>0</v>
      </c>
      <c r="AA40" s="39">
        <f>IFERROR(IF(INDEX('State Map'!$C:$C,MATCH(TRIM('RZSPbS-psgr-ldv'!$A40),'State Map'!$A:$A,0))="Max Ambition",Schedules!W$10,Z40),Z40)</f>
        <v>0</v>
      </c>
      <c r="AB40" s="39">
        <f>IFERROR(IF(INDEX('State Map'!$C:$C,MATCH(TRIM('RZSPbS-psgr-ldv'!$A40),'State Map'!$A:$A,0))="Max Ambition",Schedules!X$10,AA40),AA40)</f>
        <v>0</v>
      </c>
      <c r="AC40" s="39">
        <f>IFERROR(IF(INDEX('State Map'!$C:$C,MATCH(TRIM('RZSPbS-psgr-ldv'!$A40),'State Map'!$A:$A,0))="Max Ambition",Schedules!Y$10,AB40),AB40)</f>
        <v>0</v>
      </c>
      <c r="AD40" s="39">
        <f>IFERROR(IF(INDEX('State Map'!$C:$C,MATCH(TRIM('RZSPbS-psgr-ldv'!$A40),'State Map'!$A:$A,0))="Max Ambition",Schedules!Z$10,AC40),AC40)</f>
        <v>0</v>
      </c>
      <c r="AE40" s="39">
        <f>IFERROR(IF(INDEX('State Map'!$C:$C,MATCH(TRIM('RZSPbS-psgr-ldv'!$A40),'State Map'!$A:$A,0))="Max Ambition",Schedules!AA$10,AD40),AD40)</f>
        <v>0</v>
      </c>
      <c r="AF40" s="39">
        <f>IFERROR(IF(INDEX('State Map'!$C:$C,MATCH(TRIM('RZSPbS-psgr-ldv'!$A40),'State Map'!$A:$A,0))="Max Ambition",Schedules!AB$10,AE40),AE40)</f>
        <v>0</v>
      </c>
    </row>
    <row r="41" spans="1:32" x14ac:dyDescent="0.2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39">
        <f>IFERROR(IF(INDEX('State Map'!$C:$C,MATCH(TRIM('RZSPbS-psgr-ldv'!$A41),'State Map'!$A:$A,0))="Max Ambition",Schedules!G$10,J41),J41)</f>
        <v>0.155</v>
      </c>
      <c r="L41" s="39">
        <f>IFERROR(IF(INDEX('State Map'!$C:$C,MATCH(TRIM('RZSPbS-psgr-ldv'!$A41),'State Map'!$A:$A,0))="Max Ambition",Schedules!H$10,K41),K41)</f>
        <v>0.17499999999999999</v>
      </c>
      <c r="M41" s="39">
        <f>IFERROR(IF(INDEX('State Map'!$C:$C,MATCH(TRIM('RZSPbS-psgr-ldv'!$A41),'State Map'!$A:$A,0))="Max Ambition",Schedules!I$10,L41),L41)</f>
        <v>0.19500000000000001</v>
      </c>
      <c r="N41" s="39">
        <f>IFERROR(IF(INDEX('State Map'!$C:$C,MATCH(TRIM('RZSPbS-psgr-ldv'!$A41),'State Map'!$A:$A,0))="Max Ambition",Schedules!J$10,M41),M41)</f>
        <v>0.255</v>
      </c>
      <c r="O41" s="39">
        <f>IFERROR(IF(INDEX('State Map'!$C:$C,MATCH(TRIM('RZSPbS-psgr-ldv'!$A41),'State Map'!$A:$A,0))="Max Ambition",Schedules!K$10,N41),N41)</f>
        <v>0.315</v>
      </c>
      <c r="P41" s="39">
        <f>IFERROR(IF(INDEX('State Map'!$C:$C,MATCH(TRIM('RZSPbS-psgr-ldv'!$A41),'State Map'!$A:$A,0))="Max Ambition",Schedules!L$10,O41),O41)</f>
        <v>0.375</v>
      </c>
      <c r="Q41" s="39">
        <f>IFERROR(IF(INDEX('State Map'!$C:$C,MATCH(TRIM('RZSPbS-psgr-ldv'!$A41),'State Map'!$A:$A,0))="Max Ambition",Schedules!M$10,P41),P41)</f>
        <v>0.435</v>
      </c>
      <c r="R41" s="39">
        <f>IFERROR(IF(INDEX('State Map'!$C:$C,MATCH(TRIM('RZSPbS-psgr-ldv'!$A41),'State Map'!$A:$A,0))="Max Ambition",Schedules!N$10,Q41),Q41)</f>
        <v>0.495</v>
      </c>
      <c r="S41" s="39">
        <f>IFERROR(IF(INDEX('State Map'!$C:$C,MATCH(TRIM('RZSPbS-psgr-ldv'!$A41),'State Map'!$A:$A,0))="Max Ambition",Schedules!O$10,R41),R41)</f>
        <v>0.55500000000000005</v>
      </c>
      <c r="T41" s="39">
        <f>IFERROR(IF(INDEX('State Map'!$C:$C,MATCH(TRIM('RZSPbS-psgr-ldv'!$A41),'State Map'!$A:$A,0))="Max Ambition",Schedules!P$10,S41),S41)</f>
        <v>0.61499999999999999</v>
      </c>
      <c r="U41" s="39">
        <f>IFERROR(IF(INDEX('State Map'!$C:$C,MATCH(TRIM('RZSPbS-psgr-ldv'!$A41),'State Map'!$A:$A,0))="Max Ambition",Schedules!Q$10,T41),T41)</f>
        <v>0.67500000000000004</v>
      </c>
      <c r="V41" s="39">
        <f>IFERROR(IF(INDEX('State Map'!$C:$C,MATCH(TRIM('RZSPbS-psgr-ldv'!$A41),'State Map'!$A:$A,0))="Max Ambition",Schedules!R$10,U41),U41)</f>
        <v>0.73499999999999999</v>
      </c>
      <c r="W41" s="39">
        <f>IFERROR(IF(INDEX('State Map'!$C:$C,MATCH(TRIM('RZSPbS-psgr-ldv'!$A41),'State Map'!$A:$A,0))="Max Ambition",Schedules!S$10,V41),V41)</f>
        <v>0.79500000000000004</v>
      </c>
      <c r="X41" s="39">
        <f>IFERROR(IF(INDEX('State Map'!$C:$C,MATCH(TRIM('RZSPbS-psgr-ldv'!$A41),'State Map'!$A:$A,0))="Max Ambition",Schedules!T$10,W41),W41)</f>
        <v>0.85</v>
      </c>
      <c r="Y41" s="39">
        <f>IFERROR(IF(INDEX('State Map'!$C:$C,MATCH(TRIM('RZSPbS-psgr-ldv'!$A41),'State Map'!$A:$A,0))="Max Ambition",Schedules!U$10,X41),X41)</f>
        <v>0.88</v>
      </c>
      <c r="Z41" s="39">
        <f>IFERROR(IF(INDEX('State Map'!$C:$C,MATCH(TRIM('RZSPbS-psgr-ldv'!$A41),'State Map'!$A:$A,0))="Max Ambition",Schedules!V$10,Y41),Y41)</f>
        <v>0.91</v>
      </c>
      <c r="AA41" s="39">
        <f>IFERROR(IF(INDEX('State Map'!$C:$C,MATCH(TRIM('RZSPbS-psgr-ldv'!$A41),'State Map'!$A:$A,0))="Max Ambition",Schedules!W$10,Z41),Z41)</f>
        <v>0.94</v>
      </c>
      <c r="AB41" s="39">
        <f>IFERROR(IF(INDEX('State Map'!$C:$C,MATCH(TRIM('RZSPbS-psgr-ldv'!$A41),'State Map'!$A:$A,0))="Max Ambition",Schedules!X$10,AA41),AA41)</f>
        <v>0.97</v>
      </c>
      <c r="AC41" s="39">
        <f>IFERROR(IF(INDEX('State Map'!$C:$C,MATCH(TRIM('RZSPbS-psgr-ldv'!$A41),'State Map'!$A:$A,0))="Max Ambition",Schedules!Y$10,AB41),AB41)</f>
        <v>1</v>
      </c>
      <c r="AD41" s="39">
        <f>IFERROR(IF(INDEX('State Map'!$C:$C,MATCH(TRIM('RZSPbS-psgr-ldv'!$A41),'State Map'!$A:$A,0))="Max Ambition",Schedules!Z$10,AC41),AC41)</f>
        <v>1</v>
      </c>
      <c r="AE41" s="39">
        <f>IFERROR(IF(INDEX('State Map'!$C:$C,MATCH(TRIM('RZSPbS-psgr-ldv'!$A41),'State Map'!$A:$A,0))="Max Ambition",Schedules!AA$10,AD41),AD41)</f>
        <v>1</v>
      </c>
      <c r="AF41" s="39">
        <f>IFERROR(IF(INDEX('State Map'!$C:$C,MATCH(TRIM('RZSPbS-psgr-ldv'!$A41),'State Map'!$A:$A,0))="Max Ambition",Schedules!AB$10,AE41),AE41)</f>
        <v>1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39">
        <f>IFERROR(IF(INDEX('State Map'!$C:$C,MATCH(TRIM('RZSPbS-psgr-ldv'!$A42),'State Map'!$A:$A,0))="Max Ambition",Schedules!G$10,J42),J42)</f>
        <v>0</v>
      </c>
      <c r="L42" s="39">
        <f>IFERROR(IF(INDEX('State Map'!$C:$C,MATCH(TRIM('RZSPbS-psgr-ldv'!$A42),'State Map'!$A:$A,0))="Max Ambition",Schedules!H$10,K42),K42)</f>
        <v>0</v>
      </c>
      <c r="M42" s="39">
        <f>IFERROR(IF(INDEX('State Map'!$C:$C,MATCH(TRIM('RZSPbS-psgr-ldv'!$A42),'State Map'!$A:$A,0))="Max Ambition",Schedules!I$10,L42),L42)</f>
        <v>0</v>
      </c>
      <c r="N42" s="39">
        <f>IFERROR(IF(INDEX('State Map'!$C:$C,MATCH(TRIM('RZSPbS-psgr-ldv'!$A42),'State Map'!$A:$A,0))="Max Ambition",Schedules!J$10,M42),M42)</f>
        <v>0</v>
      </c>
      <c r="O42" s="39">
        <f>IFERROR(IF(INDEX('State Map'!$C:$C,MATCH(TRIM('RZSPbS-psgr-ldv'!$A42),'State Map'!$A:$A,0))="Max Ambition",Schedules!K$10,N42),N42)</f>
        <v>0</v>
      </c>
      <c r="P42" s="39">
        <f>IFERROR(IF(INDEX('State Map'!$C:$C,MATCH(TRIM('RZSPbS-psgr-ldv'!$A42),'State Map'!$A:$A,0))="Max Ambition",Schedules!L$10,O42),O42)</f>
        <v>0</v>
      </c>
      <c r="Q42" s="39">
        <f>IFERROR(IF(INDEX('State Map'!$C:$C,MATCH(TRIM('RZSPbS-psgr-ldv'!$A42),'State Map'!$A:$A,0))="Max Ambition",Schedules!M$10,P42),P42)</f>
        <v>0</v>
      </c>
      <c r="R42" s="39">
        <f>IFERROR(IF(INDEX('State Map'!$C:$C,MATCH(TRIM('RZSPbS-psgr-ldv'!$A42),'State Map'!$A:$A,0))="Max Ambition",Schedules!N$10,Q42),Q42)</f>
        <v>0</v>
      </c>
      <c r="S42" s="39">
        <f>IFERROR(IF(INDEX('State Map'!$C:$C,MATCH(TRIM('RZSPbS-psgr-ldv'!$A42),'State Map'!$A:$A,0))="Max Ambition",Schedules!O$10,R42),R42)</f>
        <v>0</v>
      </c>
      <c r="T42" s="39">
        <f>IFERROR(IF(INDEX('State Map'!$C:$C,MATCH(TRIM('RZSPbS-psgr-ldv'!$A42),'State Map'!$A:$A,0))="Max Ambition",Schedules!P$10,S42),S42)</f>
        <v>0</v>
      </c>
      <c r="U42" s="39">
        <f>IFERROR(IF(INDEX('State Map'!$C:$C,MATCH(TRIM('RZSPbS-psgr-ldv'!$A42),'State Map'!$A:$A,0))="Max Ambition",Schedules!Q$10,T42),T42)</f>
        <v>0</v>
      </c>
      <c r="V42" s="39">
        <f>IFERROR(IF(INDEX('State Map'!$C:$C,MATCH(TRIM('RZSPbS-psgr-ldv'!$A42),'State Map'!$A:$A,0))="Max Ambition",Schedules!R$10,U42),U42)</f>
        <v>0</v>
      </c>
      <c r="W42" s="39">
        <f>IFERROR(IF(INDEX('State Map'!$C:$C,MATCH(TRIM('RZSPbS-psgr-ldv'!$A42),'State Map'!$A:$A,0))="Max Ambition",Schedules!S$10,V42),V42)</f>
        <v>0</v>
      </c>
      <c r="X42" s="39">
        <f>IFERROR(IF(INDEX('State Map'!$C:$C,MATCH(TRIM('RZSPbS-psgr-ldv'!$A42),'State Map'!$A:$A,0))="Max Ambition",Schedules!T$10,W42),W42)</f>
        <v>0</v>
      </c>
      <c r="Y42" s="39">
        <f>IFERROR(IF(INDEX('State Map'!$C:$C,MATCH(TRIM('RZSPbS-psgr-ldv'!$A42),'State Map'!$A:$A,0))="Max Ambition",Schedules!U$10,X42),X42)</f>
        <v>0</v>
      </c>
      <c r="Z42" s="39">
        <f>IFERROR(IF(INDEX('State Map'!$C:$C,MATCH(TRIM('RZSPbS-psgr-ldv'!$A42),'State Map'!$A:$A,0))="Max Ambition",Schedules!V$10,Y42),Y42)</f>
        <v>0</v>
      </c>
      <c r="AA42" s="39">
        <f>IFERROR(IF(INDEX('State Map'!$C:$C,MATCH(TRIM('RZSPbS-psgr-ldv'!$A42),'State Map'!$A:$A,0))="Max Ambition",Schedules!W$10,Z42),Z42)</f>
        <v>0</v>
      </c>
      <c r="AB42" s="39">
        <f>IFERROR(IF(INDEX('State Map'!$C:$C,MATCH(TRIM('RZSPbS-psgr-ldv'!$A42),'State Map'!$A:$A,0))="Max Ambition",Schedules!X$10,AA42),AA42)</f>
        <v>0</v>
      </c>
      <c r="AC42" s="39">
        <f>IFERROR(IF(INDEX('State Map'!$C:$C,MATCH(TRIM('RZSPbS-psgr-ldv'!$A42),'State Map'!$A:$A,0))="Max Ambition",Schedules!Y$10,AB42),AB42)</f>
        <v>0</v>
      </c>
      <c r="AD42" s="39">
        <f>IFERROR(IF(INDEX('State Map'!$C:$C,MATCH(TRIM('RZSPbS-psgr-ldv'!$A42),'State Map'!$A:$A,0))="Max Ambition",Schedules!Z$10,AC42),AC42)</f>
        <v>0</v>
      </c>
      <c r="AE42" s="39">
        <f>IFERROR(IF(INDEX('State Map'!$C:$C,MATCH(TRIM('RZSPbS-psgr-ldv'!$A42),'State Map'!$A:$A,0))="Max Ambition",Schedules!AA$10,AD42),AD42)</f>
        <v>0</v>
      </c>
      <c r="AF42" s="39">
        <f>IFERROR(IF(INDEX('State Map'!$C:$C,MATCH(TRIM('RZSPbS-psgr-ldv'!$A42),'State Map'!$A:$A,0))="Max Ambition",Schedules!AB$10,AE42),AE42)</f>
        <v>0</v>
      </c>
    </row>
    <row r="43" spans="1:32" x14ac:dyDescent="0.2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39">
        <f>IFERROR(IF(INDEX('State Map'!$C:$C,MATCH(TRIM('RZSPbS-psgr-ldv'!$A43),'State Map'!$A:$A,0))="Max Ambition",Schedules!G$10,J43),J43)</f>
        <v>0</v>
      </c>
      <c r="L43" s="39">
        <f>IFERROR(IF(INDEX('State Map'!$C:$C,MATCH(TRIM('RZSPbS-psgr-ldv'!$A43),'State Map'!$A:$A,0))="Max Ambition",Schedules!H$10,K43),K43)</f>
        <v>0</v>
      </c>
      <c r="M43" s="39">
        <f>IFERROR(IF(INDEX('State Map'!$C:$C,MATCH(TRIM('RZSPbS-psgr-ldv'!$A43),'State Map'!$A:$A,0))="Max Ambition",Schedules!I$10,L43),L43)</f>
        <v>0</v>
      </c>
      <c r="N43" s="39">
        <f>IFERROR(IF(INDEX('State Map'!$C:$C,MATCH(TRIM('RZSPbS-psgr-ldv'!$A43),'State Map'!$A:$A,0))="Max Ambition",Schedules!J$10,M43),M43)</f>
        <v>0</v>
      </c>
      <c r="O43" s="39">
        <f>IFERROR(IF(INDEX('State Map'!$C:$C,MATCH(TRIM('RZSPbS-psgr-ldv'!$A43),'State Map'!$A:$A,0))="Max Ambition",Schedules!K$10,N43),N43)</f>
        <v>0</v>
      </c>
      <c r="P43" s="39">
        <f>IFERROR(IF(INDEX('State Map'!$C:$C,MATCH(TRIM('RZSPbS-psgr-ldv'!$A43),'State Map'!$A:$A,0))="Max Ambition",Schedules!L$10,O43),O43)</f>
        <v>0</v>
      </c>
      <c r="Q43" s="39">
        <f>IFERROR(IF(INDEX('State Map'!$C:$C,MATCH(TRIM('RZSPbS-psgr-ldv'!$A43),'State Map'!$A:$A,0))="Max Ambition",Schedules!M$10,P43),P43)</f>
        <v>0</v>
      </c>
      <c r="R43" s="39">
        <f>IFERROR(IF(INDEX('State Map'!$C:$C,MATCH(TRIM('RZSPbS-psgr-ldv'!$A43),'State Map'!$A:$A,0))="Max Ambition",Schedules!N$10,Q43),Q43)</f>
        <v>0</v>
      </c>
      <c r="S43" s="39">
        <f>IFERROR(IF(INDEX('State Map'!$C:$C,MATCH(TRIM('RZSPbS-psgr-ldv'!$A43),'State Map'!$A:$A,0))="Max Ambition",Schedules!O$10,R43),R43)</f>
        <v>0</v>
      </c>
      <c r="T43" s="39">
        <f>IFERROR(IF(INDEX('State Map'!$C:$C,MATCH(TRIM('RZSPbS-psgr-ldv'!$A43),'State Map'!$A:$A,0))="Max Ambition",Schedules!P$10,S43),S43)</f>
        <v>0</v>
      </c>
      <c r="U43" s="39">
        <f>IFERROR(IF(INDEX('State Map'!$C:$C,MATCH(TRIM('RZSPbS-psgr-ldv'!$A43),'State Map'!$A:$A,0))="Max Ambition",Schedules!Q$10,T43),T43)</f>
        <v>0</v>
      </c>
      <c r="V43" s="39">
        <f>IFERROR(IF(INDEX('State Map'!$C:$C,MATCH(TRIM('RZSPbS-psgr-ldv'!$A43),'State Map'!$A:$A,0))="Max Ambition",Schedules!R$10,U43),U43)</f>
        <v>0</v>
      </c>
      <c r="W43" s="39">
        <f>IFERROR(IF(INDEX('State Map'!$C:$C,MATCH(TRIM('RZSPbS-psgr-ldv'!$A43),'State Map'!$A:$A,0))="Max Ambition",Schedules!S$10,V43),V43)</f>
        <v>0</v>
      </c>
      <c r="X43" s="39">
        <f>IFERROR(IF(INDEX('State Map'!$C:$C,MATCH(TRIM('RZSPbS-psgr-ldv'!$A43),'State Map'!$A:$A,0))="Max Ambition",Schedules!T$10,W43),W43)</f>
        <v>0</v>
      </c>
      <c r="Y43" s="39">
        <f>IFERROR(IF(INDEX('State Map'!$C:$C,MATCH(TRIM('RZSPbS-psgr-ldv'!$A43),'State Map'!$A:$A,0))="Max Ambition",Schedules!U$10,X43),X43)</f>
        <v>0</v>
      </c>
      <c r="Z43" s="39">
        <f>IFERROR(IF(INDEX('State Map'!$C:$C,MATCH(TRIM('RZSPbS-psgr-ldv'!$A43),'State Map'!$A:$A,0))="Max Ambition",Schedules!V$10,Y43),Y43)</f>
        <v>0</v>
      </c>
      <c r="AA43" s="39">
        <f>IFERROR(IF(INDEX('State Map'!$C:$C,MATCH(TRIM('RZSPbS-psgr-ldv'!$A43),'State Map'!$A:$A,0))="Max Ambition",Schedules!W$10,Z43),Z43)</f>
        <v>0</v>
      </c>
      <c r="AB43" s="39">
        <f>IFERROR(IF(INDEX('State Map'!$C:$C,MATCH(TRIM('RZSPbS-psgr-ldv'!$A43),'State Map'!$A:$A,0))="Max Ambition",Schedules!X$10,AA43),AA43)</f>
        <v>0</v>
      </c>
      <c r="AC43" s="39">
        <f>IFERROR(IF(INDEX('State Map'!$C:$C,MATCH(TRIM('RZSPbS-psgr-ldv'!$A43),'State Map'!$A:$A,0))="Max Ambition",Schedules!Y$10,AB43),AB43)</f>
        <v>0</v>
      </c>
      <c r="AD43" s="39">
        <f>IFERROR(IF(INDEX('State Map'!$C:$C,MATCH(TRIM('RZSPbS-psgr-ldv'!$A43),'State Map'!$A:$A,0))="Max Ambition",Schedules!Z$10,AC43),AC43)</f>
        <v>0</v>
      </c>
      <c r="AE43" s="39">
        <f>IFERROR(IF(INDEX('State Map'!$C:$C,MATCH(TRIM('RZSPbS-psgr-ldv'!$A43),'State Map'!$A:$A,0))="Max Ambition",Schedules!AA$10,AD43),AD43)</f>
        <v>0</v>
      </c>
      <c r="AF43" s="39">
        <f>IFERROR(IF(INDEX('State Map'!$C:$C,MATCH(TRIM('RZSPbS-psgr-ldv'!$A43),'State Map'!$A:$A,0))="Max Ambition",Schedules!AB$10,AE43),AE43)</f>
        <v>0</v>
      </c>
    </row>
    <row r="44" spans="1:32" x14ac:dyDescent="0.25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39">
        <f>IFERROR(IF(INDEX('State Map'!$C:$C,MATCH(TRIM('RZSPbS-psgr-ldv'!$A44),'State Map'!$A:$A,0))="Max Ambition",Schedules!G$10,J44),J44)</f>
        <v>0</v>
      </c>
      <c r="L44" s="39">
        <f>IFERROR(IF(INDEX('State Map'!$C:$C,MATCH(TRIM('RZSPbS-psgr-ldv'!$A44),'State Map'!$A:$A,0))="Max Ambition",Schedules!H$10,K44),K44)</f>
        <v>0</v>
      </c>
      <c r="M44" s="39">
        <f>IFERROR(IF(INDEX('State Map'!$C:$C,MATCH(TRIM('RZSPbS-psgr-ldv'!$A44),'State Map'!$A:$A,0))="Max Ambition",Schedules!I$10,L44),L44)</f>
        <v>0</v>
      </c>
      <c r="N44" s="39">
        <f>IFERROR(IF(INDEX('State Map'!$C:$C,MATCH(TRIM('RZSPbS-psgr-ldv'!$A44),'State Map'!$A:$A,0))="Max Ambition",Schedules!J$10,M44),M44)</f>
        <v>0</v>
      </c>
      <c r="O44" s="39">
        <f>IFERROR(IF(INDEX('State Map'!$C:$C,MATCH(TRIM('RZSPbS-psgr-ldv'!$A44),'State Map'!$A:$A,0))="Max Ambition",Schedules!K$10,N44),N44)</f>
        <v>0</v>
      </c>
      <c r="P44" s="39">
        <f>IFERROR(IF(INDEX('State Map'!$C:$C,MATCH(TRIM('RZSPbS-psgr-ldv'!$A44),'State Map'!$A:$A,0))="Max Ambition",Schedules!L$10,O44),O44)</f>
        <v>0</v>
      </c>
      <c r="Q44" s="39">
        <f>IFERROR(IF(INDEX('State Map'!$C:$C,MATCH(TRIM('RZSPbS-psgr-ldv'!$A44),'State Map'!$A:$A,0))="Max Ambition",Schedules!M$10,P44),P44)</f>
        <v>0</v>
      </c>
      <c r="R44" s="39">
        <f>IFERROR(IF(INDEX('State Map'!$C:$C,MATCH(TRIM('RZSPbS-psgr-ldv'!$A44),'State Map'!$A:$A,0))="Max Ambition",Schedules!N$10,Q44),Q44)</f>
        <v>0</v>
      </c>
      <c r="S44" s="39">
        <f>IFERROR(IF(INDEX('State Map'!$C:$C,MATCH(TRIM('RZSPbS-psgr-ldv'!$A44),'State Map'!$A:$A,0))="Max Ambition",Schedules!O$10,R44),R44)</f>
        <v>0</v>
      </c>
      <c r="T44" s="39">
        <f>IFERROR(IF(INDEX('State Map'!$C:$C,MATCH(TRIM('RZSPbS-psgr-ldv'!$A44),'State Map'!$A:$A,0))="Max Ambition",Schedules!P$10,S44),S44)</f>
        <v>0</v>
      </c>
      <c r="U44" s="39">
        <f>IFERROR(IF(INDEX('State Map'!$C:$C,MATCH(TRIM('RZSPbS-psgr-ldv'!$A44),'State Map'!$A:$A,0))="Max Ambition",Schedules!Q$10,T44),T44)</f>
        <v>0</v>
      </c>
      <c r="V44" s="39">
        <f>IFERROR(IF(INDEX('State Map'!$C:$C,MATCH(TRIM('RZSPbS-psgr-ldv'!$A44),'State Map'!$A:$A,0))="Max Ambition",Schedules!R$10,U44),U44)</f>
        <v>0</v>
      </c>
      <c r="W44" s="39">
        <f>IFERROR(IF(INDEX('State Map'!$C:$C,MATCH(TRIM('RZSPbS-psgr-ldv'!$A44),'State Map'!$A:$A,0))="Max Ambition",Schedules!S$10,V44),V44)</f>
        <v>0</v>
      </c>
      <c r="X44" s="39">
        <f>IFERROR(IF(INDEX('State Map'!$C:$C,MATCH(TRIM('RZSPbS-psgr-ldv'!$A44),'State Map'!$A:$A,0))="Max Ambition",Schedules!T$10,W44),W44)</f>
        <v>0</v>
      </c>
      <c r="Y44" s="39">
        <f>IFERROR(IF(INDEX('State Map'!$C:$C,MATCH(TRIM('RZSPbS-psgr-ldv'!$A44),'State Map'!$A:$A,0))="Max Ambition",Schedules!U$10,X44),X44)</f>
        <v>0</v>
      </c>
      <c r="Z44" s="39">
        <f>IFERROR(IF(INDEX('State Map'!$C:$C,MATCH(TRIM('RZSPbS-psgr-ldv'!$A44),'State Map'!$A:$A,0))="Max Ambition",Schedules!V$10,Y44),Y44)</f>
        <v>0</v>
      </c>
      <c r="AA44" s="39">
        <f>IFERROR(IF(INDEX('State Map'!$C:$C,MATCH(TRIM('RZSPbS-psgr-ldv'!$A44),'State Map'!$A:$A,0))="Max Ambition",Schedules!W$10,Z44),Z44)</f>
        <v>0</v>
      </c>
      <c r="AB44" s="39">
        <f>IFERROR(IF(INDEX('State Map'!$C:$C,MATCH(TRIM('RZSPbS-psgr-ldv'!$A44),'State Map'!$A:$A,0))="Max Ambition",Schedules!X$10,AA44),AA44)</f>
        <v>0</v>
      </c>
      <c r="AC44" s="39">
        <f>IFERROR(IF(INDEX('State Map'!$C:$C,MATCH(TRIM('RZSPbS-psgr-ldv'!$A44),'State Map'!$A:$A,0))="Max Ambition",Schedules!Y$10,AB44),AB44)</f>
        <v>0</v>
      </c>
      <c r="AD44" s="39">
        <f>IFERROR(IF(INDEX('State Map'!$C:$C,MATCH(TRIM('RZSPbS-psgr-ldv'!$A44),'State Map'!$A:$A,0))="Max Ambition",Schedules!Z$10,AC44),AC44)</f>
        <v>0</v>
      </c>
      <c r="AE44" s="39">
        <f>IFERROR(IF(INDEX('State Map'!$C:$C,MATCH(TRIM('RZSPbS-psgr-ldv'!$A44),'State Map'!$A:$A,0))="Max Ambition",Schedules!AA$10,AD44),AD44)</f>
        <v>0</v>
      </c>
      <c r="AF44" s="39">
        <f>IFERROR(IF(INDEX('State Map'!$C:$C,MATCH(TRIM('RZSPbS-psgr-ldv'!$A44),'State Map'!$A:$A,0))="Max Ambition",Schedules!AB$10,AE44),AE44)</f>
        <v>0</v>
      </c>
    </row>
    <row r="45" spans="1:32" x14ac:dyDescent="0.2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39">
        <f>IFERROR(IF(INDEX('State Map'!$C:$C,MATCH(TRIM('RZSPbS-psgr-ldv'!$A45),'State Map'!$A:$A,0))="Max Ambition",Schedules!G$10,J45),J45)</f>
        <v>0</v>
      </c>
      <c r="L45" s="39">
        <f>IFERROR(IF(INDEX('State Map'!$C:$C,MATCH(TRIM('RZSPbS-psgr-ldv'!$A45),'State Map'!$A:$A,0))="Max Ambition",Schedules!H$10,K45),K45)</f>
        <v>0</v>
      </c>
      <c r="M45" s="39">
        <f>IFERROR(IF(INDEX('State Map'!$C:$C,MATCH(TRIM('RZSPbS-psgr-ldv'!$A45),'State Map'!$A:$A,0))="Max Ambition",Schedules!I$10,L45),L45)</f>
        <v>0</v>
      </c>
      <c r="N45" s="39">
        <f>IFERROR(IF(INDEX('State Map'!$C:$C,MATCH(TRIM('RZSPbS-psgr-ldv'!$A45),'State Map'!$A:$A,0))="Max Ambition",Schedules!J$10,M45),M45)</f>
        <v>0</v>
      </c>
      <c r="O45" s="39">
        <f>IFERROR(IF(INDEX('State Map'!$C:$C,MATCH(TRIM('RZSPbS-psgr-ldv'!$A45),'State Map'!$A:$A,0))="Max Ambition",Schedules!K$10,N45),N45)</f>
        <v>0</v>
      </c>
      <c r="P45" s="39">
        <f>IFERROR(IF(INDEX('State Map'!$C:$C,MATCH(TRIM('RZSPbS-psgr-ldv'!$A45),'State Map'!$A:$A,0))="Max Ambition",Schedules!L$10,O45),O45)</f>
        <v>0</v>
      </c>
      <c r="Q45" s="39">
        <f>IFERROR(IF(INDEX('State Map'!$C:$C,MATCH(TRIM('RZSPbS-psgr-ldv'!$A45),'State Map'!$A:$A,0))="Max Ambition",Schedules!M$10,P45),P45)</f>
        <v>0</v>
      </c>
      <c r="R45" s="39">
        <f>IFERROR(IF(INDEX('State Map'!$C:$C,MATCH(TRIM('RZSPbS-psgr-ldv'!$A45),'State Map'!$A:$A,0))="Max Ambition",Schedules!N$10,Q45),Q45)</f>
        <v>0</v>
      </c>
      <c r="S45" s="39">
        <f>IFERROR(IF(INDEX('State Map'!$C:$C,MATCH(TRIM('RZSPbS-psgr-ldv'!$A45),'State Map'!$A:$A,0))="Max Ambition",Schedules!O$10,R45),R45)</f>
        <v>0</v>
      </c>
      <c r="T45" s="39">
        <f>IFERROR(IF(INDEX('State Map'!$C:$C,MATCH(TRIM('RZSPbS-psgr-ldv'!$A45),'State Map'!$A:$A,0))="Max Ambition",Schedules!P$10,S45),S45)</f>
        <v>0</v>
      </c>
      <c r="U45" s="39">
        <f>IFERROR(IF(INDEX('State Map'!$C:$C,MATCH(TRIM('RZSPbS-psgr-ldv'!$A45),'State Map'!$A:$A,0))="Max Ambition",Schedules!Q$10,T45),T45)</f>
        <v>0</v>
      </c>
      <c r="V45" s="39">
        <f>IFERROR(IF(INDEX('State Map'!$C:$C,MATCH(TRIM('RZSPbS-psgr-ldv'!$A45),'State Map'!$A:$A,0))="Max Ambition",Schedules!R$10,U45),U45)</f>
        <v>0</v>
      </c>
      <c r="W45" s="39">
        <f>IFERROR(IF(INDEX('State Map'!$C:$C,MATCH(TRIM('RZSPbS-psgr-ldv'!$A45),'State Map'!$A:$A,0))="Max Ambition",Schedules!S$10,V45),V45)</f>
        <v>0</v>
      </c>
      <c r="X45" s="39">
        <f>IFERROR(IF(INDEX('State Map'!$C:$C,MATCH(TRIM('RZSPbS-psgr-ldv'!$A45),'State Map'!$A:$A,0))="Max Ambition",Schedules!T$10,W45),W45)</f>
        <v>0</v>
      </c>
      <c r="Y45" s="39">
        <f>IFERROR(IF(INDEX('State Map'!$C:$C,MATCH(TRIM('RZSPbS-psgr-ldv'!$A45),'State Map'!$A:$A,0))="Max Ambition",Schedules!U$10,X45),X45)</f>
        <v>0</v>
      </c>
      <c r="Z45" s="39">
        <f>IFERROR(IF(INDEX('State Map'!$C:$C,MATCH(TRIM('RZSPbS-psgr-ldv'!$A45),'State Map'!$A:$A,0))="Max Ambition",Schedules!V$10,Y45),Y45)</f>
        <v>0</v>
      </c>
      <c r="AA45" s="39">
        <f>IFERROR(IF(INDEX('State Map'!$C:$C,MATCH(TRIM('RZSPbS-psgr-ldv'!$A45),'State Map'!$A:$A,0))="Max Ambition",Schedules!W$10,Z45),Z45)</f>
        <v>0</v>
      </c>
      <c r="AB45" s="39">
        <f>IFERROR(IF(INDEX('State Map'!$C:$C,MATCH(TRIM('RZSPbS-psgr-ldv'!$A45),'State Map'!$A:$A,0))="Max Ambition",Schedules!X$10,AA45),AA45)</f>
        <v>0</v>
      </c>
      <c r="AC45" s="39">
        <f>IFERROR(IF(INDEX('State Map'!$C:$C,MATCH(TRIM('RZSPbS-psgr-ldv'!$A45),'State Map'!$A:$A,0))="Max Ambition",Schedules!Y$10,AB45),AB45)</f>
        <v>0</v>
      </c>
      <c r="AD45" s="39">
        <f>IFERROR(IF(INDEX('State Map'!$C:$C,MATCH(TRIM('RZSPbS-psgr-ldv'!$A45),'State Map'!$A:$A,0))="Max Ambition",Schedules!Z$10,AC45),AC45)</f>
        <v>0</v>
      </c>
      <c r="AE45" s="39">
        <f>IFERROR(IF(INDEX('State Map'!$C:$C,MATCH(TRIM('RZSPbS-psgr-ldv'!$A45),'State Map'!$A:$A,0))="Max Ambition",Schedules!AA$10,AD45),AD45)</f>
        <v>0</v>
      </c>
      <c r="AF45" s="39">
        <f>IFERROR(IF(INDEX('State Map'!$C:$C,MATCH(TRIM('RZSPbS-psgr-ldv'!$A45),'State Map'!$A:$A,0))="Max Ambition",Schedules!AB$10,AE45),AE45)</f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39">
        <f>IFERROR(IF(INDEX('State Map'!$C:$C,MATCH(TRIM('RZSPbS-psgr-ldv'!$A46),'State Map'!$A:$A,0))="Max Ambition",Schedules!G$10,J46),J46)</f>
        <v>0</v>
      </c>
      <c r="L46" s="39">
        <f>IFERROR(IF(INDEX('State Map'!$C:$C,MATCH(TRIM('RZSPbS-psgr-ldv'!$A46),'State Map'!$A:$A,0))="Max Ambition",Schedules!H$10,K46),K46)</f>
        <v>0</v>
      </c>
      <c r="M46" s="39">
        <f>IFERROR(IF(INDEX('State Map'!$C:$C,MATCH(TRIM('RZSPbS-psgr-ldv'!$A46),'State Map'!$A:$A,0))="Max Ambition",Schedules!I$10,L46),L46)</f>
        <v>0</v>
      </c>
      <c r="N46" s="39">
        <f>IFERROR(IF(INDEX('State Map'!$C:$C,MATCH(TRIM('RZSPbS-psgr-ldv'!$A46),'State Map'!$A:$A,0))="Max Ambition",Schedules!J$10,M46),M46)</f>
        <v>0</v>
      </c>
      <c r="O46" s="39">
        <f>IFERROR(IF(INDEX('State Map'!$C:$C,MATCH(TRIM('RZSPbS-psgr-ldv'!$A46),'State Map'!$A:$A,0))="Max Ambition",Schedules!K$10,N46),N46)</f>
        <v>0</v>
      </c>
      <c r="P46" s="39">
        <f>IFERROR(IF(INDEX('State Map'!$C:$C,MATCH(TRIM('RZSPbS-psgr-ldv'!$A46),'State Map'!$A:$A,0))="Max Ambition",Schedules!L$10,O46),O46)</f>
        <v>0</v>
      </c>
      <c r="Q46" s="39">
        <f>IFERROR(IF(INDEX('State Map'!$C:$C,MATCH(TRIM('RZSPbS-psgr-ldv'!$A46),'State Map'!$A:$A,0))="Max Ambition",Schedules!M$10,P46),P46)</f>
        <v>0</v>
      </c>
      <c r="R46" s="39">
        <f>IFERROR(IF(INDEX('State Map'!$C:$C,MATCH(TRIM('RZSPbS-psgr-ldv'!$A46),'State Map'!$A:$A,0))="Max Ambition",Schedules!N$10,Q46),Q46)</f>
        <v>0</v>
      </c>
      <c r="S46" s="39">
        <f>IFERROR(IF(INDEX('State Map'!$C:$C,MATCH(TRIM('RZSPbS-psgr-ldv'!$A46),'State Map'!$A:$A,0))="Max Ambition",Schedules!O$10,R46),R46)</f>
        <v>0</v>
      </c>
      <c r="T46" s="39">
        <f>IFERROR(IF(INDEX('State Map'!$C:$C,MATCH(TRIM('RZSPbS-psgr-ldv'!$A46),'State Map'!$A:$A,0))="Max Ambition",Schedules!P$10,S46),S46)</f>
        <v>0</v>
      </c>
      <c r="U46" s="39">
        <f>IFERROR(IF(INDEX('State Map'!$C:$C,MATCH(TRIM('RZSPbS-psgr-ldv'!$A46),'State Map'!$A:$A,0))="Max Ambition",Schedules!Q$10,T46),T46)</f>
        <v>0</v>
      </c>
      <c r="V46" s="39">
        <f>IFERROR(IF(INDEX('State Map'!$C:$C,MATCH(TRIM('RZSPbS-psgr-ldv'!$A46),'State Map'!$A:$A,0))="Max Ambition",Schedules!R$10,U46),U46)</f>
        <v>0</v>
      </c>
      <c r="W46" s="39">
        <f>IFERROR(IF(INDEX('State Map'!$C:$C,MATCH(TRIM('RZSPbS-psgr-ldv'!$A46),'State Map'!$A:$A,0))="Max Ambition",Schedules!S$10,V46),V46)</f>
        <v>0</v>
      </c>
      <c r="X46" s="39">
        <f>IFERROR(IF(INDEX('State Map'!$C:$C,MATCH(TRIM('RZSPbS-psgr-ldv'!$A46),'State Map'!$A:$A,0))="Max Ambition",Schedules!T$10,W46),W46)</f>
        <v>0</v>
      </c>
      <c r="Y46" s="39">
        <f>IFERROR(IF(INDEX('State Map'!$C:$C,MATCH(TRIM('RZSPbS-psgr-ldv'!$A46),'State Map'!$A:$A,0))="Max Ambition",Schedules!U$10,X46),X46)</f>
        <v>0</v>
      </c>
      <c r="Z46" s="39">
        <f>IFERROR(IF(INDEX('State Map'!$C:$C,MATCH(TRIM('RZSPbS-psgr-ldv'!$A46),'State Map'!$A:$A,0))="Max Ambition",Schedules!V$10,Y46),Y46)</f>
        <v>0</v>
      </c>
      <c r="AA46" s="39">
        <f>IFERROR(IF(INDEX('State Map'!$C:$C,MATCH(TRIM('RZSPbS-psgr-ldv'!$A46),'State Map'!$A:$A,0))="Max Ambition",Schedules!W$10,Z46),Z46)</f>
        <v>0</v>
      </c>
      <c r="AB46" s="39">
        <f>IFERROR(IF(INDEX('State Map'!$C:$C,MATCH(TRIM('RZSPbS-psgr-ldv'!$A46),'State Map'!$A:$A,0))="Max Ambition",Schedules!X$10,AA46),AA46)</f>
        <v>0</v>
      </c>
      <c r="AC46" s="39">
        <f>IFERROR(IF(INDEX('State Map'!$C:$C,MATCH(TRIM('RZSPbS-psgr-ldv'!$A46),'State Map'!$A:$A,0))="Max Ambition",Schedules!Y$10,AB46),AB46)</f>
        <v>0</v>
      </c>
      <c r="AD46" s="39">
        <f>IFERROR(IF(INDEX('State Map'!$C:$C,MATCH(TRIM('RZSPbS-psgr-ldv'!$A46),'State Map'!$A:$A,0))="Max Ambition",Schedules!Z$10,AC46),AC46)</f>
        <v>0</v>
      </c>
      <c r="AE46" s="39">
        <f>IFERROR(IF(INDEX('State Map'!$C:$C,MATCH(TRIM('RZSPbS-psgr-ldv'!$A46),'State Map'!$A:$A,0))="Max Ambition",Schedules!AA$10,AD46),AD46)</f>
        <v>0</v>
      </c>
      <c r="AF46" s="39">
        <f>IFERROR(IF(INDEX('State Map'!$C:$C,MATCH(TRIM('RZSPbS-psgr-ldv'!$A46),'State Map'!$A:$A,0))="Max Ambition",Schedules!AB$10,AE46),AE46)</f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39">
        <f>IFERROR(IF(INDEX('State Map'!$C:$C,MATCH(TRIM('RZSPbS-psgr-ldv'!$A47),'State Map'!$A:$A,0))="Max Ambition",Schedules!G$10,J47),J47)</f>
        <v>0.155</v>
      </c>
      <c r="L47" s="39">
        <f>IFERROR(IF(INDEX('State Map'!$C:$C,MATCH(TRIM('RZSPbS-psgr-ldv'!$A47),'State Map'!$A:$A,0))="Max Ambition",Schedules!H$10,K47),K47)</f>
        <v>0.17499999999999999</v>
      </c>
      <c r="M47" s="39">
        <f>IFERROR(IF(INDEX('State Map'!$C:$C,MATCH(TRIM('RZSPbS-psgr-ldv'!$A47),'State Map'!$A:$A,0))="Max Ambition",Schedules!I$10,L47),L47)</f>
        <v>0.19500000000000001</v>
      </c>
      <c r="N47" s="39">
        <f>IFERROR(IF(INDEX('State Map'!$C:$C,MATCH(TRIM('RZSPbS-psgr-ldv'!$A47),'State Map'!$A:$A,0))="Max Ambition",Schedules!J$10,M47),M47)</f>
        <v>0.255</v>
      </c>
      <c r="O47" s="39">
        <f>IFERROR(IF(INDEX('State Map'!$C:$C,MATCH(TRIM('RZSPbS-psgr-ldv'!$A47),'State Map'!$A:$A,0))="Max Ambition",Schedules!K$10,N47),N47)</f>
        <v>0.315</v>
      </c>
      <c r="P47" s="39">
        <f>IFERROR(IF(INDEX('State Map'!$C:$C,MATCH(TRIM('RZSPbS-psgr-ldv'!$A47),'State Map'!$A:$A,0))="Max Ambition",Schedules!L$10,O47),O47)</f>
        <v>0.375</v>
      </c>
      <c r="Q47" s="39">
        <f>IFERROR(IF(INDEX('State Map'!$C:$C,MATCH(TRIM('RZSPbS-psgr-ldv'!$A47),'State Map'!$A:$A,0))="Max Ambition",Schedules!M$10,P47),P47)</f>
        <v>0.435</v>
      </c>
      <c r="R47" s="39">
        <f>IFERROR(IF(INDEX('State Map'!$C:$C,MATCH(TRIM('RZSPbS-psgr-ldv'!$A47),'State Map'!$A:$A,0))="Max Ambition",Schedules!N$10,Q47),Q47)</f>
        <v>0.495</v>
      </c>
      <c r="S47" s="39">
        <f>IFERROR(IF(INDEX('State Map'!$C:$C,MATCH(TRIM('RZSPbS-psgr-ldv'!$A47),'State Map'!$A:$A,0))="Max Ambition",Schedules!O$10,R47),R47)</f>
        <v>0.55500000000000005</v>
      </c>
      <c r="T47" s="39">
        <f>IFERROR(IF(INDEX('State Map'!$C:$C,MATCH(TRIM('RZSPbS-psgr-ldv'!$A47),'State Map'!$A:$A,0))="Max Ambition",Schedules!P$10,S47),S47)</f>
        <v>0.61499999999999999</v>
      </c>
      <c r="U47" s="39">
        <f>IFERROR(IF(INDEX('State Map'!$C:$C,MATCH(TRIM('RZSPbS-psgr-ldv'!$A47),'State Map'!$A:$A,0))="Max Ambition",Schedules!Q$10,T47),T47)</f>
        <v>0.67500000000000004</v>
      </c>
      <c r="V47" s="39">
        <f>IFERROR(IF(INDEX('State Map'!$C:$C,MATCH(TRIM('RZSPbS-psgr-ldv'!$A47),'State Map'!$A:$A,0))="Max Ambition",Schedules!R$10,U47),U47)</f>
        <v>0.73499999999999999</v>
      </c>
      <c r="W47" s="39">
        <f>IFERROR(IF(INDEX('State Map'!$C:$C,MATCH(TRIM('RZSPbS-psgr-ldv'!$A47),'State Map'!$A:$A,0))="Max Ambition",Schedules!S$10,V47),V47)</f>
        <v>0.79500000000000004</v>
      </c>
      <c r="X47" s="39">
        <f>IFERROR(IF(INDEX('State Map'!$C:$C,MATCH(TRIM('RZSPbS-psgr-ldv'!$A47),'State Map'!$A:$A,0))="Max Ambition",Schedules!T$10,W47),W47)</f>
        <v>0.85</v>
      </c>
      <c r="Y47" s="39">
        <f>IFERROR(IF(INDEX('State Map'!$C:$C,MATCH(TRIM('RZSPbS-psgr-ldv'!$A47),'State Map'!$A:$A,0))="Max Ambition",Schedules!U$10,X47),X47)</f>
        <v>0.88</v>
      </c>
      <c r="Z47" s="39">
        <f>IFERROR(IF(INDEX('State Map'!$C:$C,MATCH(TRIM('RZSPbS-psgr-ldv'!$A47),'State Map'!$A:$A,0))="Max Ambition",Schedules!V$10,Y47),Y47)</f>
        <v>0.91</v>
      </c>
      <c r="AA47" s="39">
        <f>IFERROR(IF(INDEX('State Map'!$C:$C,MATCH(TRIM('RZSPbS-psgr-ldv'!$A47),'State Map'!$A:$A,0))="Max Ambition",Schedules!W$10,Z47),Z47)</f>
        <v>0.94</v>
      </c>
      <c r="AB47" s="39">
        <f>IFERROR(IF(INDEX('State Map'!$C:$C,MATCH(TRIM('RZSPbS-psgr-ldv'!$A47),'State Map'!$A:$A,0))="Max Ambition",Schedules!X$10,AA47),AA47)</f>
        <v>0.97</v>
      </c>
      <c r="AC47" s="39">
        <f>IFERROR(IF(INDEX('State Map'!$C:$C,MATCH(TRIM('RZSPbS-psgr-ldv'!$A47),'State Map'!$A:$A,0))="Max Ambition",Schedules!Y$10,AB47),AB47)</f>
        <v>1</v>
      </c>
      <c r="AD47" s="39">
        <f>IFERROR(IF(INDEX('State Map'!$C:$C,MATCH(TRIM('RZSPbS-psgr-ldv'!$A47),'State Map'!$A:$A,0))="Max Ambition",Schedules!Z$10,AC47),AC47)</f>
        <v>1</v>
      </c>
      <c r="AE47" s="39">
        <f>IFERROR(IF(INDEX('State Map'!$C:$C,MATCH(TRIM('RZSPbS-psgr-ldv'!$A47),'State Map'!$A:$A,0))="Max Ambition",Schedules!AA$10,AD47),AD47)</f>
        <v>1</v>
      </c>
      <c r="AF47" s="39">
        <f>IFERROR(IF(INDEX('State Map'!$C:$C,MATCH(TRIM('RZSPbS-psgr-ldv'!$A47),'State Map'!$A:$A,0))="Max Ambition",Schedules!AB$10,AE47),AE47)</f>
        <v>1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39">
        <f>IFERROR(IF(INDEX('State Map'!$C:$C,MATCH(TRIM('RZSPbS-psgr-ldv'!$A48),'State Map'!$A:$A,0))="Max Ambition",Schedules!G$10,J48),J48)</f>
        <v>0</v>
      </c>
      <c r="L48" s="39">
        <f>IFERROR(IF(INDEX('State Map'!$C:$C,MATCH(TRIM('RZSPbS-psgr-ldv'!$A48),'State Map'!$A:$A,0))="Max Ambition",Schedules!H$10,K48),K48)</f>
        <v>0</v>
      </c>
      <c r="M48" s="39">
        <f>IFERROR(IF(INDEX('State Map'!$C:$C,MATCH(TRIM('RZSPbS-psgr-ldv'!$A48),'State Map'!$A:$A,0))="Max Ambition",Schedules!I$10,L48),L48)</f>
        <v>0</v>
      </c>
      <c r="N48" s="39">
        <f>IFERROR(IF(INDEX('State Map'!$C:$C,MATCH(TRIM('RZSPbS-psgr-ldv'!$A48),'State Map'!$A:$A,0))="Max Ambition",Schedules!J$10,M48),M48)</f>
        <v>0</v>
      </c>
      <c r="O48" s="39">
        <f>IFERROR(IF(INDEX('State Map'!$C:$C,MATCH(TRIM('RZSPbS-psgr-ldv'!$A48),'State Map'!$A:$A,0))="Max Ambition",Schedules!K$10,N48),N48)</f>
        <v>0</v>
      </c>
      <c r="P48" s="39">
        <f>IFERROR(IF(INDEX('State Map'!$C:$C,MATCH(TRIM('RZSPbS-psgr-ldv'!$A48),'State Map'!$A:$A,0))="Max Ambition",Schedules!L$10,O48),O48)</f>
        <v>0</v>
      </c>
      <c r="Q48" s="39">
        <f>IFERROR(IF(INDEX('State Map'!$C:$C,MATCH(TRIM('RZSPbS-psgr-ldv'!$A48),'State Map'!$A:$A,0))="Max Ambition",Schedules!M$10,P48),P48)</f>
        <v>0</v>
      </c>
      <c r="R48" s="39">
        <f>IFERROR(IF(INDEX('State Map'!$C:$C,MATCH(TRIM('RZSPbS-psgr-ldv'!$A48),'State Map'!$A:$A,0))="Max Ambition",Schedules!N$10,Q48),Q48)</f>
        <v>0</v>
      </c>
      <c r="S48" s="39">
        <f>IFERROR(IF(INDEX('State Map'!$C:$C,MATCH(TRIM('RZSPbS-psgr-ldv'!$A48),'State Map'!$A:$A,0))="Max Ambition",Schedules!O$10,R48),R48)</f>
        <v>0</v>
      </c>
      <c r="T48" s="39">
        <f>IFERROR(IF(INDEX('State Map'!$C:$C,MATCH(TRIM('RZSPbS-psgr-ldv'!$A48),'State Map'!$A:$A,0))="Max Ambition",Schedules!P$10,S48),S48)</f>
        <v>0</v>
      </c>
      <c r="U48" s="39">
        <f>IFERROR(IF(INDEX('State Map'!$C:$C,MATCH(TRIM('RZSPbS-psgr-ldv'!$A48),'State Map'!$A:$A,0))="Max Ambition",Schedules!Q$10,T48),T48)</f>
        <v>0</v>
      </c>
      <c r="V48" s="39">
        <f>IFERROR(IF(INDEX('State Map'!$C:$C,MATCH(TRIM('RZSPbS-psgr-ldv'!$A48),'State Map'!$A:$A,0))="Max Ambition",Schedules!R$10,U48),U48)</f>
        <v>0</v>
      </c>
      <c r="W48" s="39">
        <f>IFERROR(IF(INDEX('State Map'!$C:$C,MATCH(TRIM('RZSPbS-psgr-ldv'!$A48),'State Map'!$A:$A,0))="Max Ambition",Schedules!S$10,V48),V48)</f>
        <v>0</v>
      </c>
      <c r="X48" s="39">
        <f>IFERROR(IF(INDEX('State Map'!$C:$C,MATCH(TRIM('RZSPbS-psgr-ldv'!$A48),'State Map'!$A:$A,0))="Max Ambition",Schedules!T$10,W48),W48)</f>
        <v>0</v>
      </c>
      <c r="Y48" s="39">
        <f>IFERROR(IF(INDEX('State Map'!$C:$C,MATCH(TRIM('RZSPbS-psgr-ldv'!$A48),'State Map'!$A:$A,0))="Max Ambition",Schedules!U$10,X48),X48)</f>
        <v>0</v>
      </c>
      <c r="Z48" s="39">
        <f>IFERROR(IF(INDEX('State Map'!$C:$C,MATCH(TRIM('RZSPbS-psgr-ldv'!$A48),'State Map'!$A:$A,0))="Max Ambition",Schedules!V$10,Y48),Y48)</f>
        <v>0</v>
      </c>
      <c r="AA48" s="39">
        <f>IFERROR(IF(INDEX('State Map'!$C:$C,MATCH(TRIM('RZSPbS-psgr-ldv'!$A48),'State Map'!$A:$A,0))="Max Ambition",Schedules!W$10,Z48),Z48)</f>
        <v>0</v>
      </c>
      <c r="AB48" s="39">
        <f>IFERROR(IF(INDEX('State Map'!$C:$C,MATCH(TRIM('RZSPbS-psgr-ldv'!$A48),'State Map'!$A:$A,0))="Max Ambition",Schedules!X$10,AA48),AA48)</f>
        <v>0</v>
      </c>
      <c r="AC48" s="39">
        <f>IFERROR(IF(INDEX('State Map'!$C:$C,MATCH(TRIM('RZSPbS-psgr-ldv'!$A48),'State Map'!$A:$A,0))="Max Ambition",Schedules!Y$10,AB48),AB48)</f>
        <v>0</v>
      </c>
      <c r="AD48" s="39">
        <f>IFERROR(IF(INDEX('State Map'!$C:$C,MATCH(TRIM('RZSPbS-psgr-ldv'!$A48),'State Map'!$A:$A,0))="Max Ambition",Schedules!Z$10,AC48),AC48)</f>
        <v>0</v>
      </c>
      <c r="AE48" s="39">
        <f>IFERROR(IF(INDEX('State Map'!$C:$C,MATCH(TRIM('RZSPbS-psgr-ldv'!$A48),'State Map'!$A:$A,0))="Max Ambition",Schedules!AA$10,AD48),AD48)</f>
        <v>0</v>
      </c>
      <c r="AF48" s="39">
        <f>IFERROR(IF(INDEX('State Map'!$C:$C,MATCH(TRIM('RZSPbS-psgr-ldv'!$A48),'State Map'!$A:$A,0))="Max Ambition",Schedules!AB$10,AE48),AE48)</f>
        <v>0</v>
      </c>
    </row>
    <row r="49" spans="1:32" x14ac:dyDescent="0.25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39">
        <f>IFERROR(IF(INDEX('State Map'!$C:$C,MATCH(TRIM('RZSPbS-psgr-ldv'!$A49),'State Map'!$A:$A,0))="Max Ambition",Schedules!G$10,J49),J49)</f>
        <v>0.155</v>
      </c>
      <c r="L49" s="39">
        <f>IFERROR(IF(INDEX('State Map'!$C:$C,MATCH(TRIM('RZSPbS-psgr-ldv'!$A49),'State Map'!$A:$A,0))="Max Ambition",Schedules!H$10,K49),K49)</f>
        <v>0.17499999999999999</v>
      </c>
      <c r="M49" s="39">
        <f>IFERROR(IF(INDEX('State Map'!$C:$C,MATCH(TRIM('RZSPbS-psgr-ldv'!$A49),'State Map'!$A:$A,0))="Max Ambition",Schedules!I$10,L49),L49)</f>
        <v>0.19500000000000001</v>
      </c>
      <c r="N49" s="39">
        <f>IFERROR(IF(INDEX('State Map'!$C:$C,MATCH(TRIM('RZSPbS-psgr-ldv'!$A49),'State Map'!$A:$A,0))="Max Ambition",Schedules!J$10,M49),M49)</f>
        <v>0.255</v>
      </c>
      <c r="O49" s="39">
        <f>IFERROR(IF(INDEX('State Map'!$C:$C,MATCH(TRIM('RZSPbS-psgr-ldv'!$A49),'State Map'!$A:$A,0))="Max Ambition",Schedules!K$10,N49),N49)</f>
        <v>0.315</v>
      </c>
      <c r="P49" s="39">
        <f>IFERROR(IF(INDEX('State Map'!$C:$C,MATCH(TRIM('RZSPbS-psgr-ldv'!$A49),'State Map'!$A:$A,0))="Max Ambition",Schedules!L$10,O49),O49)</f>
        <v>0.375</v>
      </c>
      <c r="Q49" s="39">
        <f>IFERROR(IF(INDEX('State Map'!$C:$C,MATCH(TRIM('RZSPbS-psgr-ldv'!$A49),'State Map'!$A:$A,0))="Max Ambition",Schedules!M$10,P49),P49)</f>
        <v>0.435</v>
      </c>
      <c r="R49" s="39">
        <f>IFERROR(IF(INDEX('State Map'!$C:$C,MATCH(TRIM('RZSPbS-psgr-ldv'!$A49),'State Map'!$A:$A,0))="Max Ambition",Schedules!N$10,Q49),Q49)</f>
        <v>0.495</v>
      </c>
      <c r="S49" s="39">
        <f>IFERROR(IF(INDEX('State Map'!$C:$C,MATCH(TRIM('RZSPbS-psgr-ldv'!$A49),'State Map'!$A:$A,0))="Max Ambition",Schedules!O$10,R49),R49)</f>
        <v>0.55500000000000005</v>
      </c>
      <c r="T49" s="39">
        <f>IFERROR(IF(INDEX('State Map'!$C:$C,MATCH(TRIM('RZSPbS-psgr-ldv'!$A49),'State Map'!$A:$A,0))="Max Ambition",Schedules!P$10,S49),S49)</f>
        <v>0.61499999999999999</v>
      </c>
      <c r="U49" s="39">
        <f>IFERROR(IF(INDEX('State Map'!$C:$C,MATCH(TRIM('RZSPbS-psgr-ldv'!$A49),'State Map'!$A:$A,0))="Max Ambition",Schedules!Q$10,T49),T49)</f>
        <v>0.67500000000000004</v>
      </c>
      <c r="V49" s="39">
        <f>IFERROR(IF(INDEX('State Map'!$C:$C,MATCH(TRIM('RZSPbS-psgr-ldv'!$A49),'State Map'!$A:$A,0))="Max Ambition",Schedules!R$10,U49),U49)</f>
        <v>0.73499999999999999</v>
      </c>
      <c r="W49" s="39">
        <f>IFERROR(IF(INDEX('State Map'!$C:$C,MATCH(TRIM('RZSPbS-psgr-ldv'!$A49),'State Map'!$A:$A,0))="Max Ambition",Schedules!S$10,V49),V49)</f>
        <v>0.79500000000000004</v>
      </c>
      <c r="X49" s="39">
        <f>IFERROR(IF(INDEX('State Map'!$C:$C,MATCH(TRIM('RZSPbS-psgr-ldv'!$A49),'State Map'!$A:$A,0))="Max Ambition",Schedules!T$10,W49),W49)</f>
        <v>0.85</v>
      </c>
      <c r="Y49" s="39">
        <f>IFERROR(IF(INDEX('State Map'!$C:$C,MATCH(TRIM('RZSPbS-psgr-ldv'!$A49),'State Map'!$A:$A,0))="Max Ambition",Schedules!U$10,X49),X49)</f>
        <v>0.88</v>
      </c>
      <c r="Z49" s="39">
        <f>IFERROR(IF(INDEX('State Map'!$C:$C,MATCH(TRIM('RZSPbS-psgr-ldv'!$A49),'State Map'!$A:$A,0))="Max Ambition",Schedules!V$10,Y49),Y49)</f>
        <v>0.91</v>
      </c>
      <c r="AA49" s="39">
        <f>IFERROR(IF(INDEX('State Map'!$C:$C,MATCH(TRIM('RZSPbS-psgr-ldv'!$A49),'State Map'!$A:$A,0))="Max Ambition",Schedules!W$10,Z49),Z49)</f>
        <v>0.94</v>
      </c>
      <c r="AB49" s="39">
        <f>IFERROR(IF(INDEX('State Map'!$C:$C,MATCH(TRIM('RZSPbS-psgr-ldv'!$A49),'State Map'!$A:$A,0))="Max Ambition",Schedules!X$10,AA49),AA49)</f>
        <v>0.97</v>
      </c>
      <c r="AC49" s="39">
        <f>IFERROR(IF(INDEX('State Map'!$C:$C,MATCH(TRIM('RZSPbS-psgr-ldv'!$A49),'State Map'!$A:$A,0))="Max Ambition",Schedules!Y$10,AB49),AB49)</f>
        <v>1</v>
      </c>
      <c r="AD49" s="39">
        <f>IFERROR(IF(INDEX('State Map'!$C:$C,MATCH(TRIM('RZSPbS-psgr-ldv'!$A49),'State Map'!$A:$A,0))="Max Ambition",Schedules!Z$10,AC49),AC49)</f>
        <v>1</v>
      </c>
      <c r="AE49" s="39">
        <f>IFERROR(IF(INDEX('State Map'!$C:$C,MATCH(TRIM('RZSPbS-psgr-ldv'!$A49),'State Map'!$A:$A,0))="Max Ambition",Schedules!AA$10,AD49),AD49)</f>
        <v>1</v>
      </c>
      <c r="AF49" s="39">
        <f>IFERROR(IF(INDEX('State Map'!$C:$C,MATCH(TRIM('RZSPbS-psgr-ldv'!$A49),'State Map'!$A:$A,0))="Max Ambition",Schedules!AB$10,AE49),AE49)</f>
        <v>1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39">
        <f>IFERROR(IF(INDEX('State Map'!$C:$C,MATCH(TRIM('RZSPbS-psgr-ldv'!$A50),'State Map'!$A:$A,0))="Max Ambition",Schedules!G$10,J50),J50)</f>
        <v>0</v>
      </c>
      <c r="L50" s="39">
        <f>IFERROR(IF(INDEX('State Map'!$C:$C,MATCH(TRIM('RZSPbS-psgr-ldv'!$A50),'State Map'!$A:$A,0))="Max Ambition",Schedules!H$10,K50),K50)</f>
        <v>0</v>
      </c>
      <c r="M50" s="39">
        <f>IFERROR(IF(INDEX('State Map'!$C:$C,MATCH(TRIM('RZSPbS-psgr-ldv'!$A50),'State Map'!$A:$A,0))="Max Ambition",Schedules!I$10,L50),L50)</f>
        <v>0</v>
      </c>
      <c r="N50" s="39">
        <f>IFERROR(IF(INDEX('State Map'!$C:$C,MATCH(TRIM('RZSPbS-psgr-ldv'!$A50),'State Map'!$A:$A,0))="Max Ambition",Schedules!J$10,M50),M50)</f>
        <v>0</v>
      </c>
      <c r="O50" s="39">
        <f>IFERROR(IF(INDEX('State Map'!$C:$C,MATCH(TRIM('RZSPbS-psgr-ldv'!$A50),'State Map'!$A:$A,0))="Max Ambition",Schedules!K$10,N50),N50)</f>
        <v>0</v>
      </c>
      <c r="P50" s="39">
        <f>IFERROR(IF(INDEX('State Map'!$C:$C,MATCH(TRIM('RZSPbS-psgr-ldv'!$A50),'State Map'!$A:$A,0))="Max Ambition",Schedules!L$10,O50),O50)</f>
        <v>0</v>
      </c>
      <c r="Q50" s="39">
        <f>IFERROR(IF(INDEX('State Map'!$C:$C,MATCH(TRIM('RZSPbS-psgr-ldv'!$A50),'State Map'!$A:$A,0))="Max Ambition",Schedules!M$10,P50),P50)</f>
        <v>0</v>
      </c>
      <c r="R50" s="39">
        <f>IFERROR(IF(INDEX('State Map'!$C:$C,MATCH(TRIM('RZSPbS-psgr-ldv'!$A50),'State Map'!$A:$A,0))="Max Ambition",Schedules!N$10,Q50),Q50)</f>
        <v>0</v>
      </c>
      <c r="S50" s="39">
        <f>IFERROR(IF(INDEX('State Map'!$C:$C,MATCH(TRIM('RZSPbS-psgr-ldv'!$A50),'State Map'!$A:$A,0))="Max Ambition",Schedules!O$10,R50),R50)</f>
        <v>0</v>
      </c>
      <c r="T50" s="39">
        <f>IFERROR(IF(INDEX('State Map'!$C:$C,MATCH(TRIM('RZSPbS-psgr-ldv'!$A50),'State Map'!$A:$A,0))="Max Ambition",Schedules!P$10,S50),S50)</f>
        <v>0</v>
      </c>
      <c r="U50" s="39">
        <f>IFERROR(IF(INDEX('State Map'!$C:$C,MATCH(TRIM('RZSPbS-psgr-ldv'!$A50),'State Map'!$A:$A,0))="Max Ambition",Schedules!Q$10,T50),T50)</f>
        <v>0</v>
      </c>
      <c r="V50" s="39">
        <f>IFERROR(IF(INDEX('State Map'!$C:$C,MATCH(TRIM('RZSPbS-psgr-ldv'!$A50),'State Map'!$A:$A,0))="Max Ambition",Schedules!R$10,U50),U50)</f>
        <v>0</v>
      </c>
      <c r="W50" s="39">
        <f>IFERROR(IF(INDEX('State Map'!$C:$C,MATCH(TRIM('RZSPbS-psgr-ldv'!$A50),'State Map'!$A:$A,0))="Max Ambition",Schedules!S$10,V50),V50)</f>
        <v>0</v>
      </c>
      <c r="X50" s="39">
        <f>IFERROR(IF(INDEX('State Map'!$C:$C,MATCH(TRIM('RZSPbS-psgr-ldv'!$A50),'State Map'!$A:$A,0))="Max Ambition",Schedules!T$10,W50),W50)</f>
        <v>0</v>
      </c>
      <c r="Y50" s="39">
        <f>IFERROR(IF(INDEX('State Map'!$C:$C,MATCH(TRIM('RZSPbS-psgr-ldv'!$A50),'State Map'!$A:$A,0))="Max Ambition",Schedules!U$10,X50),X50)</f>
        <v>0</v>
      </c>
      <c r="Z50" s="39">
        <f>IFERROR(IF(INDEX('State Map'!$C:$C,MATCH(TRIM('RZSPbS-psgr-ldv'!$A50),'State Map'!$A:$A,0))="Max Ambition",Schedules!V$10,Y50),Y50)</f>
        <v>0</v>
      </c>
      <c r="AA50" s="39">
        <f>IFERROR(IF(INDEX('State Map'!$C:$C,MATCH(TRIM('RZSPbS-psgr-ldv'!$A50),'State Map'!$A:$A,0))="Max Ambition",Schedules!W$10,Z50),Z50)</f>
        <v>0</v>
      </c>
      <c r="AB50" s="39">
        <f>IFERROR(IF(INDEX('State Map'!$C:$C,MATCH(TRIM('RZSPbS-psgr-ldv'!$A50),'State Map'!$A:$A,0))="Max Ambition",Schedules!X$10,AA50),AA50)</f>
        <v>0</v>
      </c>
      <c r="AC50" s="39">
        <f>IFERROR(IF(INDEX('State Map'!$C:$C,MATCH(TRIM('RZSPbS-psgr-ldv'!$A50),'State Map'!$A:$A,0))="Max Ambition",Schedules!Y$10,AB50),AB50)</f>
        <v>0</v>
      </c>
      <c r="AD50" s="39">
        <f>IFERROR(IF(INDEX('State Map'!$C:$C,MATCH(TRIM('RZSPbS-psgr-ldv'!$A50),'State Map'!$A:$A,0))="Max Ambition",Schedules!Z$10,AC50),AC50)</f>
        <v>0</v>
      </c>
      <c r="AE50" s="39">
        <f>IFERROR(IF(INDEX('State Map'!$C:$C,MATCH(TRIM('RZSPbS-psgr-ldv'!$A50),'State Map'!$A:$A,0))="Max Ambition",Schedules!AA$10,AD50),AD50)</f>
        <v>0</v>
      </c>
      <c r="AF50" s="39">
        <f>IFERROR(IF(INDEX('State Map'!$C:$C,MATCH(TRIM('RZSPbS-psgr-ldv'!$A50),'State Map'!$A:$A,0))="Max Ambition",Schedules!AB$10,AE50),AE50)</f>
        <v>0</v>
      </c>
    </row>
    <row r="51" spans="1:32" x14ac:dyDescent="0.25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39">
        <f>IFERROR(IF(INDEX('State Map'!$C:$C,MATCH(TRIM('RZSPbS-psgr-ldv'!$A51),'State Map'!$A:$A,0))="Max Ambition",Schedules!G$10,J51),J51)</f>
        <v>0</v>
      </c>
      <c r="L51" s="39">
        <f>IFERROR(IF(INDEX('State Map'!$C:$C,MATCH(TRIM('RZSPbS-psgr-ldv'!$A51),'State Map'!$A:$A,0))="Max Ambition",Schedules!H$10,K51),K51)</f>
        <v>0</v>
      </c>
      <c r="M51" s="39">
        <f>IFERROR(IF(INDEX('State Map'!$C:$C,MATCH(TRIM('RZSPbS-psgr-ldv'!$A51),'State Map'!$A:$A,0))="Max Ambition",Schedules!I$10,L51),L51)</f>
        <v>0</v>
      </c>
      <c r="N51" s="39">
        <f>IFERROR(IF(INDEX('State Map'!$C:$C,MATCH(TRIM('RZSPbS-psgr-ldv'!$A51),'State Map'!$A:$A,0))="Max Ambition",Schedules!J$10,M51),M51)</f>
        <v>0</v>
      </c>
      <c r="O51" s="39">
        <f>IFERROR(IF(INDEX('State Map'!$C:$C,MATCH(TRIM('RZSPbS-psgr-ldv'!$A51),'State Map'!$A:$A,0))="Max Ambition",Schedules!K$10,N51),N51)</f>
        <v>0</v>
      </c>
      <c r="P51" s="39">
        <f>IFERROR(IF(INDEX('State Map'!$C:$C,MATCH(TRIM('RZSPbS-psgr-ldv'!$A51),'State Map'!$A:$A,0))="Max Ambition",Schedules!L$10,O51),O51)</f>
        <v>0</v>
      </c>
      <c r="Q51" s="39">
        <f>IFERROR(IF(INDEX('State Map'!$C:$C,MATCH(TRIM('RZSPbS-psgr-ldv'!$A51),'State Map'!$A:$A,0))="Max Ambition",Schedules!M$10,P51),P51)</f>
        <v>0</v>
      </c>
      <c r="R51" s="39">
        <f>IFERROR(IF(INDEX('State Map'!$C:$C,MATCH(TRIM('RZSPbS-psgr-ldv'!$A51),'State Map'!$A:$A,0))="Max Ambition",Schedules!N$10,Q51),Q51)</f>
        <v>0</v>
      </c>
      <c r="S51" s="39">
        <f>IFERROR(IF(INDEX('State Map'!$C:$C,MATCH(TRIM('RZSPbS-psgr-ldv'!$A51),'State Map'!$A:$A,0))="Max Ambition",Schedules!O$10,R51),R51)</f>
        <v>0</v>
      </c>
      <c r="T51" s="39">
        <f>IFERROR(IF(INDEX('State Map'!$C:$C,MATCH(TRIM('RZSPbS-psgr-ldv'!$A51),'State Map'!$A:$A,0))="Max Ambition",Schedules!P$10,S51),S51)</f>
        <v>0</v>
      </c>
      <c r="U51" s="39">
        <f>IFERROR(IF(INDEX('State Map'!$C:$C,MATCH(TRIM('RZSPbS-psgr-ldv'!$A51),'State Map'!$A:$A,0))="Max Ambition",Schedules!Q$10,T51),T51)</f>
        <v>0</v>
      </c>
      <c r="V51" s="39">
        <f>IFERROR(IF(INDEX('State Map'!$C:$C,MATCH(TRIM('RZSPbS-psgr-ldv'!$A51),'State Map'!$A:$A,0))="Max Ambition",Schedules!R$10,U51),U51)</f>
        <v>0</v>
      </c>
      <c r="W51" s="39">
        <f>IFERROR(IF(INDEX('State Map'!$C:$C,MATCH(TRIM('RZSPbS-psgr-ldv'!$A51),'State Map'!$A:$A,0))="Max Ambition",Schedules!S$10,V51),V51)</f>
        <v>0</v>
      </c>
      <c r="X51" s="39">
        <f>IFERROR(IF(INDEX('State Map'!$C:$C,MATCH(TRIM('RZSPbS-psgr-ldv'!$A51),'State Map'!$A:$A,0))="Max Ambition",Schedules!T$10,W51),W51)</f>
        <v>0</v>
      </c>
      <c r="Y51" s="39">
        <f>IFERROR(IF(INDEX('State Map'!$C:$C,MATCH(TRIM('RZSPbS-psgr-ldv'!$A51),'State Map'!$A:$A,0))="Max Ambition",Schedules!U$10,X51),X51)</f>
        <v>0</v>
      </c>
      <c r="Z51" s="39">
        <f>IFERROR(IF(INDEX('State Map'!$C:$C,MATCH(TRIM('RZSPbS-psgr-ldv'!$A51),'State Map'!$A:$A,0))="Max Ambition",Schedules!V$10,Y51),Y51)</f>
        <v>0</v>
      </c>
      <c r="AA51" s="39">
        <f>IFERROR(IF(INDEX('State Map'!$C:$C,MATCH(TRIM('RZSPbS-psgr-ldv'!$A51),'State Map'!$A:$A,0))="Max Ambition",Schedules!W$10,Z51),Z51)</f>
        <v>0</v>
      </c>
      <c r="AB51" s="39">
        <f>IFERROR(IF(INDEX('State Map'!$C:$C,MATCH(TRIM('RZSPbS-psgr-ldv'!$A51),'State Map'!$A:$A,0))="Max Ambition",Schedules!X$10,AA51),AA51)</f>
        <v>0</v>
      </c>
      <c r="AC51" s="39">
        <f>IFERROR(IF(INDEX('State Map'!$C:$C,MATCH(TRIM('RZSPbS-psgr-ldv'!$A51),'State Map'!$A:$A,0))="Max Ambition",Schedules!Y$10,AB51),AB51)</f>
        <v>0</v>
      </c>
      <c r="AD51" s="39">
        <f>IFERROR(IF(INDEX('State Map'!$C:$C,MATCH(TRIM('RZSPbS-psgr-ldv'!$A51),'State Map'!$A:$A,0))="Max Ambition",Schedules!Z$10,AC51),AC51)</f>
        <v>0</v>
      </c>
      <c r="AE51" s="39">
        <f>IFERROR(IF(INDEX('State Map'!$C:$C,MATCH(TRIM('RZSPbS-psgr-ldv'!$A51),'State Map'!$A:$A,0))="Max Ambition",Schedules!AA$10,AD51),AD51)</f>
        <v>0</v>
      </c>
      <c r="AF51" s="39">
        <f>IFERROR(IF(INDEX('State Map'!$C:$C,MATCH(TRIM('RZSPbS-psgr-ldv'!$A51),'State Map'!$A:$A,0))="Max Ambition",Schedules!AB$10,AE51),AE51)</f>
        <v>0</v>
      </c>
    </row>
    <row r="52" spans="1:32" x14ac:dyDescent="0.25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39">
        <f>IFERROR(IF(INDEX('State Map'!$C:$C,MATCH(TRIM('RZSPbS-psgr-ldv'!$A52),'State Map'!$A:$A,0))="Max Ambition",Schedules!G$10,J52),J52)</f>
        <v>0</v>
      </c>
      <c r="L52" s="39">
        <f>IFERROR(IF(INDEX('State Map'!$C:$C,MATCH(TRIM('RZSPbS-psgr-ldv'!$A52),'State Map'!$A:$A,0))="Max Ambition",Schedules!H$10,K52),K52)</f>
        <v>0</v>
      </c>
      <c r="M52" s="39">
        <f>IFERROR(IF(INDEX('State Map'!$C:$C,MATCH(TRIM('RZSPbS-psgr-ldv'!$A52),'State Map'!$A:$A,0))="Max Ambition",Schedules!I$10,L52),L52)</f>
        <v>0</v>
      </c>
      <c r="N52" s="39">
        <f>IFERROR(IF(INDEX('State Map'!$C:$C,MATCH(TRIM('RZSPbS-psgr-ldv'!$A52),'State Map'!$A:$A,0))="Max Ambition",Schedules!J$10,M52),M52)</f>
        <v>0</v>
      </c>
      <c r="O52" s="39">
        <f>IFERROR(IF(INDEX('State Map'!$C:$C,MATCH(TRIM('RZSPbS-psgr-ldv'!$A52),'State Map'!$A:$A,0))="Max Ambition",Schedules!K$10,N52),N52)</f>
        <v>0</v>
      </c>
      <c r="P52" s="39">
        <f>IFERROR(IF(INDEX('State Map'!$C:$C,MATCH(TRIM('RZSPbS-psgr-ldv'!$A52),'State Map'!$A:$A,0))="Max Ambition",Schedules!L$10,O52),O52)</f>
        <v>0</v>
      </c>
      <c r="Q52" s="39">
        <f>IFERROR(IF(INDEX('State Map'!$C:$C,MATCH(TRIM('RZSPbS-psgr-ldv'!$A52),'State Map'!$A:$A,0))="Max Ambition",Schedules!M$10,P52),P52)</f>
        <v>0</v>
      </c>
      <c r="R52" s="39">
        <f>IFERROR(IF(INDEX('State Map'!$C:$C,MATCH(TRIM('RZSPbS-psgr-ldv'!$A52),'State Map'!$A:$A,0))="Max Ambition",Schedules!N$10,Q52),Q52)</f>
        <v>0</v>
      </c>
      <c r="S52" s="39">
        <f>IFERROR(IF(INDEX('State Map'!$C:$C,MATCH(TRIM('RZSPbS-psgr-ldv'!$A52),'State Map'!$A:$A,0))="Max Ambition",Schedules!O$10,R52),R52)</f>
        <v>0</v>
      </c>
      <c r="T52" s="39">
        <f>IFERROR(IF(INDEX('State Map'!$C:$C,MATCH(TRIM('RZSPbS-psgr-ldv'!$A52),'State Map'!$A:$A,0))="Max Ambition",Schedules!P$10,S52),S52)</f>
        <v>0</v>
      </c>
      <c r="U52" s="39">
        <f>IFERROR(IF(INDEX('State Map'!$C:$C,MATCH(TRIM('RZSPbS-psgr-ldv'!$A52),'State Map'!$A:$A,0))="Max Ambition",Schedules!Q$10,T52),T52)</f>
        <v>0</v>
      </c>
      <c r="V52" s="39">
        <f>IFERROR(IF(INDEX('State Map'!$C:$C,MATCH(TRIM('RZSPbS-psgr-ldv'!$A52),'State Map'!$A:$A,0))="Max Ambition",Schedules!R$10,U52),U52)</f>
        <v>0</v>
      </c>
      <c r="W52" s="39">
        <f>IFERROR(IF(INDEX('State Map'!$C:$C,MATCH(TRIM('RZSPbS-psgr-ldv'!$A52),'State Map'!$A:$A,0))="Max Ambition",Schedules!S$10,V52),V52)</f>
        <v>0</v>
      </c>
      <c r="X52" s="39">
        <f>IFERROR(IF(INDEX('State Map'!$C:$C,MATCH(TRIM('RZSPbS-psgr-ldv'!$A52),'State Map'!$A:$A,0))="Max Ambition",Schedules!T$10,W52),W52)</f>
        <v>0</v>
      </c>
      <c r="Y52" s="39">
        <f>IFERROR(IF(INDEX('State Map'!$C:$C,MATCH(TRIM('RZSPbS-psgr-ldv'!$A52),'State Map'!$A:$A,0))="Max Ambition",Schedules!U$10,X52),X52)</f>
        <v>0</v>
      </c>
      <c r="Z52" s="39">
        <f>IFERROR(IF(INDEX('State Map'!$C:$C,MATCH(TRIM('RZSPbS-psgr-ldv'!$A52),'State Map'!$A:$A,0))="Max Ambition",Schedules!V$10,Y52),Y52)</f>
        <v>0</v>
      </c>
      <c r="AA52" s="39">
        <f>IFERROR(IF(INDEX('State Map'!$C:$C,MATCH(TRIM('RZSPbS-psgr-ldv'!$A52),'State Map'!$A:$A,0))="Max Ambition",Schedules!W$10,Z52),Z52)</f>
        <v>0</v>
      </c>
      <c r="AB52" s="39">
        <f>IFERROR(IF(INDEX('State Map'!$C:$C,MATCH(TRIM('RZSPbS-psgr-ldv'!$A52),'State Map'!$A:$A,0))="Max Ambition",Schedules!X$10,AA52),AA52)</f>
        <v>0</v>
      </c>
      <c r="AC52" s="39">
        <f>IFERROR(IF(INDEX('State Map'!$C:$C,MATCH(TRIM('RZSPbS-psgr-ldv'!$A52),'State Map'!$A:$A,0))="Max Ambition",Schedules!Y$10,AB52),AB52)</f>
        <v>0</v>
      </c>
      <c r="AD52" s="39">
        <f>IFERROR(IF(INDEX('State Map'!$C:$C,MATCH(TRIM('RZSPbS-psgr-ldv'!$A52),'State Map'!$A:$A,0))="Max Ambition",Schedules!Z$10,AC52),AC52)</f>
        <v>0</v>
      </c>
      <c r="AE52" s="39">
        <f>IFERROR(IF(INDEX('State Map'!$C:$C,MATCH(TRIM('RZSPbS-psgr-ldv'!$A52),'State Map'!$A:$A,0))="Max Ambition",Schedules!AA$10,AD52),AD52)</f>
        <v>0</v>
      </c>
      <c r="AF52" s="39">
        <f>IFERROR(IF(INDEX('State Map'!$C:$C,MATCH(TRIM('RZSPbS-psgr-ldv'!$A52),'State Map'!$A:$A,0))="Max Ambition",Schedules!AB$10,AE52),AE52)</f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39">
        <f>IFERROR(IF(INDEX('State Map'!$C:$C,MATCH(TRIM('RZSPbS-psgr-ldv'!$A53),'State Map'!$A:$A,0))="Max Ambition",Schedules!G$10,J53),J53)</f>
        <v>0</v>
      </c>
      <c r="L53" s="39">
        <f>IFERROR(IF(INDEX('State Map'!$C:$C,MATCH(TRIM('RZSPbS-psgr-ldv'!$A53),'State Map'!$A:$A,0))="Max Ambition",Schedules!H$10,K53),K53)</f>
        <v>0</v>
      </c>
      <c r="M53" s="39">
        <f>IFERROR(IF(INDEX('State Map'!$C:$C,MATCH(TRIM('RZSPbS-psgr-ldv'!$A53),'State Map'!$A:$A,0))="Max Ambition",Schedules!I$10,L53),L53)</f>
        <v>0</v>
      </c>
      <c r="N53" s="39">
        <f>IFERROR(IF(INDEX('State Map'!$C:$C,MATCH(TRIM('RZSPbS-psgr-ldv'!$A53),'State Map'!$A:$A,0))="Max Ambition",Schedules!J$10,M53),M53)</f>
        <v>0</v>
      </c>
      <c r="O53" s="39">
        <f>IFERROR(IF(INDEX('State Map'!$C:$C,MATCH(TRIM('RZSPbS-psgr-ldv'!$A53),'State Map'!$A:$A,0))="Max Ambition",Schedules!K$10,N53),N53)</f>
        <v>0</v>
      </c>
      <c r="P53" s="39">
        <f>IFERROR(IF(INDEX('State Map'!$C:$C,MATCH(TRIM('RZSPbS-psgr-ldv'!$A53),'State Map'!$A:$A,0))="Max Ambition",Schedules!L$10,O53),O53)</f>
        <v>0</v>
      </c>
      <c r="Q53" s="39">
        <f>IFERROR(IF(INDEX('State Map'!$C:$C,MATCH(TRIM('RZSPbS-psgr-ldv'!$A53),'State Map'!$A:$A,0))="Max Ambition",Schedules!M$10,P53),P53)</f>
        <v>0</v>
      </c>
      <c r="R53" s="39">
        <f>IFERROR(IF(INDEX('State Map'!$C:$C,MATCH(TRIM('RZSPbS-psgr-ldv'!$A53),'State Map'!$A:$A,0))="Max Ambition",Schedules!N$10,Q53),Q53)</f>
        <v>0</v>
      </c>
      <c r="S53" s="39">
        <f>IFERROR(IF(INDEX('State Map'!$C:$C,MATCH(TRIM('RZSPbS-psgr-ldv'!$A53),'State Map'!$A:$A,0))="Max Ambition",Schedules!O$10,R53),R53)</f>
        <v>0</v>
      </c>
      <c r="T53" s="39">
        <f>IFERROR(IF(INDEX('State Map'!$C:$C,MATCH(TRIM('RZSPbS-psgr-ldv'!$A53),'State Map'!$A:$A,0))="Max Ambition",Schedules!P$10,S53),S53)</f>
        <v>0</v>
      </c>
      <c r="U53" s="39">
        <f>IFERROR(IF(INDEX('State Map'!$C:$C,MATCH(TRIM('RZSPbS-psgr-ldv'!$A53),'State Map'!$A:$A,0))="Max Ambition",Schedules!Q$10,T53),T53)</f>
        <v>0</v>
      </c>
      <c r="V53" s="39">
        <f>IFERROR(IF(INDEX('State Map'!$C:$C,MATCH(TRIM('RZSPbS-psgr-ldv'!$A53),'State Map'!$A:$A,0))="Max Ambition",Schedules!R$10,U53),U53)</f>
        <v>0</v>
      </c>
      <c r="W53" s="39">
        <f>IFERROR(IF(INDEX('State Map'!$C:$C,MATCH(TRIM('RZSPbS-psgr-ldv'!$A53),'State Map'!$A:$A,0))="Max Ambition",Schedules!S$10,V53),V53)</f>
        <v>0</v>
      </c>
      <c r="X53" s="39">
        <f>IFERROR(IF(INDEX('State Map'!$C:$C,MATCH(TRIM('RZSPbS-psgr-ldv'!$A53),'State Map'!$A:$A,0))="Max Ambition",Schedules!T$10,W53),W53)</f>
        <v>0</v>
      </c>
      <c r="Y53" s="39">
        <f>IFERROR(IF(INDEX('State Map'!$C:$C,MATCH(TRIM('RZSPbS-psgr-ldv'!$A53),'State Map'!$A:$A,0))="Max Ambition",Schedules!U$10,X53),X53)</f>
        <v>0</v>
      </c>
      <c r="Z53" s="39">
        <f>IFERROR(IF(INDEX('State Map'!$C:$C,MATCH(TRIM('RZSPbS-psgr-ldv'!$A53),'State Map'!$A:$A,0))="Max Ambition",Schedules!V$10,Y53),Y53)</f>
        <v>0</v>
      </c>
      <c r="AA53" s="39">
        <f>IFERROR(IF(INDEX('State Map'!$C:$C,MATCH(TRIM('RZSPbS-psgr-ldv'!$A53),'State Map'!$A:$A,0))="Max Ambition",Schedules!W$10,Z53),Z53)</f>
        <v>0</v>
      </c>
      <c r="AB53" s="39">
        <f>IFERROR(IF(INDEX('State Map'!$C:$C,MATCH(TRIM('RZSPbS-psgr-ldv'!$A53),'State Map'!$A:$A,0))="Max Ambition",Schedules!X$10,AA53),AA53)</f>
        <v>0</v>
      </c>
      <c r="AC53" s="39">
        <f>IFERROR(IF(INDEX('State Map'!$C:$C,MATCH(TRIM('RZSPbS-psgr-ldv'!$A53),'State Map'!$A:$A,0))="Max Ambition",Schedules!Y$10,AB53),AB53)</f>
        <v>0</v>
      </c>
      <c r="AD53" s="39">
        <f>IFERROR(IF(INDEX('State Map'!$C:$C,MATCH(TRIM('RZSPbS-psgr-ldv'!$A53),'State Map'!$A:$A,0))="Max Ambition",Schedules!Z$10,AC53),AC53)</f>
        <v>0</v>
      </c>
      <c r="AE53" s="39">
        <f>IFERROR(IF(INDEX('State Map'!$C:$C,MATCH(TRIM('RZSPbS-psgr-ldv'!$A53),'State Map'!$A:$A,0))="Max Ambition",Schedules!AA$10,AD53),AD53)</f>
        <v>0</v>
      </c>
      <c r="AF53" s="39">
        <f>IFERROR(IF(INDEX('State Map'!$C:$C,MATCH(TRIM('RZSPbS-psgr-ldv'!$A53),'State Map'!$A:$A,0))="Max Ambition",Schedules!AB$10,AE53),AE53)</f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s="39">
        <f>IFERROR(IF(INDEX('State Map'!$C:$C,MATCH(TRIM('RZSPbS-psgr-ldv'!$A54),'State Map'!$A:$A,0))="Max Ambition",Schedules!G$10,J54),J54)</f>
        <v>0</v>
      </c>
      <c r="L54" s="39">
        <f>IFERROR(IF(INDEX('State Map'!$C:$C,MATCH(TRIM('RZSPbS-psgr-ldv'!$A54),'State Map'!$A:$A,0))="Max Ambition",Schedules!H$10,K54),K54)</f>
        <v>0</v>
      </c>
      <c r="M54" s="39">
        <f>IFERROR(IF(INDEX('State Map'!$C:$C,MATCH(TRIM('RZSPbS-psgr-ldv'!$A54),'State Map'!$A:$A,0))="Max Ambition",Schedules!I$10,L54),L54)</f>
        <v>0</v>
      </c>
      <c r="N54" s="39">
        <f>IFERROR(IF(INDEX('State Map'!$C:$C,MATCH(TRIM('RZSPbS-psgr-ldv'!$A54),'State Map'!$A:$A,0))="Max Ambition",Schedules!J$10,M54),M54)</f>
        <v>0</v>
      </c>
      <c r="O54" s="39">
        <f>IFERROR(IF(INDEX('State Map'!$C:$C,MATCH(TRIM('RZSPbS-psgr-ldv'!$A54),'State Map'!$A:$A,0))="Max Ambition",Schedules!K$10,N54),N54)</f>
        <v>0</v>
      </c>
      <c r="P54" s="39">
        <f>IFERROR(IF(INDEX('State Map'!$C:$C,MATCH(TRIM('RZSPbS-psgr-ldv'!$A54),'State Map'!$A:$A,0))="Max Ambition",Schedules!L$10,O54),O54)</f>
        <v>0</v>
      </c>
      <c r="Q54" s="39">
        <f>IFERROR(IF(INDEX('State Map'!$C:$C,MATCH(TRIM('RZSPbS-psgr-ldv'!$A54),'State Map'!$A:$A,0))="Max Ambition",Schedules!M$10,P54),P54)</f>
        <v>0</v>
      </c>
      <c r="R54" s="39">
        <f>IFERROR(IF(INDEX('State Map'!$C:$C,MATCH(TRIM('RZSPbS-psgr-ldv'!$A54),'State Map'!$A:$A,0))="Max Ambition",Schedules!N$10,Q54),Q54)</f>
        <v>0</v>
      </c>
      <c r="S54" s="39">
        <f>IFERROR(IF(INDEX('State Map'!$C:$C,MATCH(TRIM('RZSPbS-psgr-ldv'!$A54),'State Map'!$A:$A,0))="Max Ambition",Schedules!O$10,R54),R54)</f>
        <v>0</v>
      </c>
      <c r="T54" s="39">
        <f>IFERROR(IF(INDEX('State Map'!$C:$C,MATCH(TRIM('RZSPbS-psgr-ldv'!$A54),'State Map'!$A:$A,0))="Max Ambition",Schedules!P$10,S54),S54)</f>
        <v>0</v>
      </c>
      <c r="U54" s="39">
        <f>IFERROR(IF(INDEX('State Map'!$C:$C,MATCH(TRIM('RZSPbS-psgr-ldv'!$A54),'State Map'!$A:$A,0))="Max Ambition",Schedules!Q$10,T54),T54)</f>
        <v>0</v>
      </c>
      <c r="V54" s="39">
        <f>IFERROR(IF(INDEX('State Map'!$C:$C,MATCH(TRIM('RZSPbS-psgr-ldv'!$A54),'State Map'!$A:$A,0))="Max Ambition",Schedules!R$10,U54),U54)</f>
        <v>0</v>
      </c>
      <c r="W54" s="39">
        <f>IFERROR(IF(INDEX('State Map'!$C:$C,MATCH(TRIM('RZSPbS-psgr-ldv'!$A54),'State Map'!$A:$A,0))="Max Ambition",Schedules!S$10,V54),V54)</f>
        <v>0</v>
      </c>
      <c r="X54" s="39">
        <f>IFERROR(IF(INDEX('State Map'!$C:$C,MATCH(TRIM('RZSPbS-psgr-ldv'!$A54),'State Map'!$A:$A,0))="Max Ambition",Schedules!T$10,W54),W54)</f>
        <v>0</v>
      </c>
      <c r="Y54" s="39">
        <f>IFERROR(IF(INDEX('State Map'!$C:$C,MATCH(TRIM('RZSPbS-psgr-ldv'!$A54),'State Map'!$A:$A,0))="Max Ambition",Schedules!U$10,X54),X54)</f>
        <v>0</v>
      </c>
      <c r="Z54" s="39">
        <f>IFERROR(IF(INDEX('State Map'!$C:$C,MATCH(TRIM('RZSPbS-psgr-ldv'!$A54),'State Map'!$A:$A,0))="Max Ambition",Schedules!V$10,Y54),Y54)</f>
        <v>0</v>
      </c>
      <c r="AA54" s="39">
        <f>IFERROR(IF(INDEX('State Map'!$C:$C,MATCH(TRIM('RZSPbS-psgr-ldv'!$A54),'State Map'!$A:$A,0))="Max Ambition",Schedules!W$10,Z54),Z54)</f>
        <v>0</v>
      </c>
      <c r="AB54" s="39">
        <f>IFERROR(IF(INDEX('State Map'!$C:$C,MATCH(TRIM('RZSPbS-psgr-ldv'!$A54),'State Map'!$A:$A,0))="Max Ambition",Schedules!X$10,AA54),AA54)</f>
        <v>0</v>
      </c>
      <c r="AC54" s="39">
        <f>IFERROR(IF(INDEX('State Map'!$C:$C,MATCH(TRIM('RZSPbS-psgr-ldv'!$A54),'State Map'!$A:$A,0))="Max Ambition",Schedules!Y$10,AB54),AB54)</f>
        <v>0</v>
      </c>
      <c r="AD54" s="39">
        <f>IFERROR(IF(INDEX('State Map'!$C:$C,MATCH(TRIM('RZSPbS-psgr-ldv'!$A54),'State Map'!$A:$A,0))="Max Ambition",Schedules!Z$10,AC54),AC54)</f>
        <v>0</v>
      </c>
      <c r="AE54" s="39">
        <f>IFERROR(IF(INDEX('State Map'!$C:$C,MATCH(TRIM('RZSPbS-psgr-ldv'!$A54),'State Map'!$A:$A,0))="Max Ambition",Schedules!AA$10,AD54),AD54)</f>
        <v>0</v>
      </c>
      <c r="AF54" s="39">
        <f>IFERROR(IF(INDEX('State Map'!$C:$C,MATCH(TRIM('RZSPbS-psgr-ldv'!$A54),'State Map'!$A:$A,0))="Max Ambition",Schedules!AB$10,AE54),AE54)</f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39">
        <f>IFERROR(IF(INDEX('State Map'!$C:$C,MATCH(TRIM('RZSPbS-psgr-ldv'!$A55),'State Map'!$A:$A,0))="Max Ambition",Schedules!G$10,J55),J55)</f>
        <v>0</v>
      </c>
      <c r="L55" s="39">
        <f>IFERROR(IF(INDEX('State Map'!$C:$C,MATCH(TRIM('RZSPbS-psgr-ldv'!$A55),'State Map'!$A:$A,0))="Max Ambition",Schedules!H$10,K55),K55)</f>
        <v>0</v>
      </c>
      <c r="M55" s="39">
        <f>IFERROR(IF(INDEX('State Map'!$C:$C,MATCH(TRIM('RZSPbS-psgr-ldv'!$A55),'State Map'!$A:$A,0))="Max Ambition",Schedules!I$10,L55),L55)</f>
        <v>0</v>
      </c>
      <c r="N55" s="39">
        <f>IFERROR(IF(INDEX('State Map'!$C:$C,MATCH(TRIM('RZSPbS-psgr-ldv'!$A55),'State Map'!$A:$A,0))="Max Ambition",Schedules!J$10,M55),M55)</f>
        <v>0</v>
      </c>
      <c r="O55" s="39">
        <f>IFERROR(IF(INDEX('State Map'!$C:$C,MATCH(TRIM('RZSPbS-psgr-ldv'!$A55),'State Map'!$A:$A,0))="Max Ambition",Schedules!K$10,N55),N55)</f>
        <v>0</v>
      </c>
      <c r="P55" s="39">
        <f>IFERROR(IF(INDEX('State Map'!$C:$C,MATCH(TRIM('RZSPbS-psgr-ldv'!$A55),'State Map'!$A:$A,0))="Max Ambition",Schedules!L$10,O55),O55)</f>
        <v>0</v>
      </c>
      <c r="Q55" s="39">
        <f>IFERROR(IF(INDEX('State Map'!$C:$C,MATCH(TRIM('RZSPbS-psgr-ldv'!$A55),'State Map'!$A:$A,0))="Max Ambition",Schedules!M$10,P55),P55)</f>
        <v>0</v>
      </c>
      <c r="R55" s="39">
        <f>IFERROR(IF(INDEX('State Map'!$C:$C,MATCH(TRIM('RZSPbS-psgr-ldv'!$A55),'State Map'!$A:$A,0))="Max Ambition",Schedules!N$10,Q55),Q55)</f>
        <v>0</v>
      </c>
      <c r="S55" s="39">
        <f>IFERROR(IF(INDEX('State Map'!$C:$C,MATCH(TRIM('RZSPbS-psgr-ldv'!$A55),'State Map'!$A:$A,0))="Max Ambition",Schedules!O$10,R55),R55)</f>
        <v>0</v>
      </c>
      <c r="T55" s="39">
        <f>IFERROR(IF(INDEX('State Map'!$C:$C,MATCH(TRIM('RZSPbS-psgr-ldv'!$A55),'State Map'!$A:$A,0))="Max Ambition",Schedules!P$10,S55),S55)</f>
        <v>0</v>
      </c>
      <c r="U55" s="39">
        <f>IFERROR(IF(INDEX('State Map'!$C:$C,MATCH(TRIM('RZSPbS-psgr-ldv'!$A55),'State Map'!$A:$A,0))="Max Ambition",Schedules!Q$10,T55),T55)</f>
        <v>0</v>
      </c>
      <c r="V55" s="39">
        <f>IFERROR(IF(INDEX('State Map'!$C:$C,MATCH(TRIM('RZSPbS-psgr-ldv'!$A55),'State Map'!$A:$A,0))="Max Ambition",Schedules!R$10,U55),U55)</f>
        <v>0</v>
      </c>
      <c r="W55" s="39">
        <f>IFERROR(IF(INDEX('State Map'!$C:$C,MATCH(TRIM('RZSPbS-psgr-ldv'!$A55),'State Map'!$A:$A,0))="Max Ambition",Schedules!S$10,V55),V55)</f>
        <v>0</v>
      </c>
      <c r="X55" s="39">
        <f>IFERROR(IF(INDEX('State Map'!$C:$C,MATCH(TRIM('RZSPbS-psgr-ldv'!$A55),'State Map'!$A:$A,0))="Max Ambition",Schedules!T$10,W55),W55)</f>
        <v>0</v>
      </c>
      <c r="Y55" s="39">
        <f>IFERROR(IF(INDEX('State Map'!$C:$C,MATCH(TRIM('RZSPbS-psgr-ldv'!$A55),'State Map'!$A:$A,0))="Max Ambition",Schedules!U$10,X55),X55)</f>
        <v>0</v>
      </c>
      <c r="Z55" s="39">
        <f>IFERROR(IF(INDEX('State Map'!$C:$C,MATCH(TRIM('RZSPbS-psgr-ldv'!$A55),'State Map'!$A:$A,0))="Max Ambition",Schedules!V$10,Y55),Y55)</f>
        <v>0</v>
      </c>
      <c r="AA55" s="39">
        <f>IFERROR(IF(INDEX('State Map'!$C:$C,MATCH(TRIM('RZSPbS-psgr-ldv'!$A55),'State Map'!$A:$A,0))="Max Ambition",Schedules!W$10,Z55),Z55)</f>
        <v>0</v>
      </c>
      <c r="AB55" s="39">
        <f>IFERROR(IF(INDEX('State Map'!$C:$C,MATCH(TRIM('RZSPbS-psgr-ldv'!$A55),'State Map'!$A:$A,0))="Max Ambition",Schedules!X$10,AA55),AA55)</f>
        <v>0</v>
      </c>
      <c r="AC55" s="39">
        <f>IFERROR(IF(INDEX('State Map'!$C:$C,MATCH(TRIM('RZSPbS-psgr-ldv'!$A55),'State Map'!$A:$A,0))="Max Ambition",Schedules!Y$10,AB55),AB55)</f>
        <v>0</v>
      </c>
      <c r="AD55" s="39">
        <f>IFERROR(IF(INDEX('State Map'!$C:$C,MATCH(TRIM('RZSPbS-psgr-ldv'!$A55),'State Map'!$A:$A,0))="Max Ambition",Schedules!Z$10,AC55),AC55)</f>
        <v>0</v>
      </c>
      <c r="AE55" s="39">
        <f>IFERROR(IF(INDEX('State Map'!$C:$C,MATCH(TRIM('RZSPbS-psgr-ldv'!$A55),'State Map'!$A:$A,0))="Max Ambition",Schedules!AA$10,AD55),AD55)</f>
        <v>0</v>
      </c>
      <c r="AF55" s="39">
        <f>IFERROR(IF(INDEX('State Map'!$C:$C,MATCH(TRIM('RZSPbS-psgr-ldv'!$A55),'State Map'!$A:$A,0))="Max Ambition",Schedules!AB$10,AE55),AE55)</f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39">
        <f>IFERROR(IF(INDEX('State Map'!$C:$C,MATCH(TRIM('RZSPbS-psgr-ldv'!$A56),'State Map'!$A:$A,0))="Max Ambition",Schedules!G$10,J56),J56)</f>
        <v>0</v>
      </c>
      <c r="L56" s="39">
        <f>IFERROR(IF(INDEX('State Map'!$C:$C,MATCH(TRIM('RZSPbS-psgr-ldv'!$A56),'State Map'!$A:$A,0))="Max Ambition",Schedules!H$10,K56),K56)</f>
        <v>0</v>
      </c>
      <c r="M56" s="39">
        <f>IFERROR(IF(INDEX('State Map'!$C:$C,MATCH(TRIM('RZSPbS-psgr-ldv'!$A56),'State Map'!$A:$A,0))="Max Ambition",Schedules!I$10,L56),L56)</f>
        <v>0</v>
      </c>
      <c r="N56" s="39">
        <f>IFERROR(IF(INDEX('State Map'!$C:$C,MATCH(TRIM('RZSPbS-psgr-ldv'!$A56),'State Map'!$A:$A,0))="Max Ambition",Schedules!J$10,M56),M56)</f>
        <v>0</v>
      </c>
      <c r="O56" s="39">
        <f>IFERROR(IF(INDEX('State Map'!$C:$C,MATCH(TRIM('RZSPbS-psgr-ldv'!$A56),'State Map'!$A:$A,0))="Max Ambition",Schedules!K$10,N56),N56)</f>
        <v>0</v>
      </c>
      <c r="P56" s="39">
        <f>IFERROR(IF(INDEX('State Map'!$C:$C,MATCH(TRIM('RZSPbS-psgr-ldv'!$A56),'State Map'!$A:$A,0))="Max Ambition",Schedules!L$10,O56),O56)</f>
        <v>0</v>
      </c>
      <c r="Q56" s="39">
        <f>IFERROR(IF(INDEX('State Map'!$C:$C,MATCH(TRIM('RZSPbS-psgr-ldv'!$A56),'State Map'!$A:$A,0))="Max Ambition",Schedules!M$10,P56),P56)</f>
        <v>0</v>
      </c>
      <c r="R56" s="39">
        <f>IFERROR(IF(INDEX('State Map'!$C:$C,MATCH(TRIM('RZSPbS-psgr-ldv'!$A56),'State Map'!$A:$A,0))="Max Ambition",Schedules!N$10,Q56),Q56)</f>
        <v>0</v>
      </c>
      <c r="S56" s="39">
        <f>IFERROR(IF(INDEX('State Map'!$C:$C,MATCH(TRIM('RZSPbS-psgr-ldv'!$A56),'State Map'!$A:$A,0))="Max Ambition",Schedules!O$10,R56),R56)</f>
        <v>0</v>
      </c>
      <c r="T56" s="39">
        <f>IFERROR(IF(INDEX('State Map'!$C:$C,MATCH(TRIM('RZSPbS-psgr-ldv'!$A56),'State Map'!$A:$A,0))="Max Ambition",Schedules!P$10,S56),S56)</f>
        <v>0</v>
      </c>
      <c r="U56" s="39">
        <f>IFERROR(IF(INDEX('State Map'!$C:$C,MATCH(TRIM('RZSPbS-psgr-ldv'!$A56),'State Map'!$A:$A,0))="Max Ambition",Schedules!Q$10,T56),T56)</f>
        <v>0</v>
      </c>
      <c r="V56" s="39">
        <f>IFERROR(IF(INDEX('State Map'!$C:$C,MATCH(TRIM('RZSPbS-psgr-ldv'!$A56),'State Map'!$A:$A,0))="Max Ambition",Schedules!R$10,U56),U56)</f>
        <v>0</v>
      </c>
      <c r="W56" s="39">
        <f>IFERROR(IF(INDEX('State Map'!$C:$C,MATCH(TRIM('RZSPbS-psgr-ldv'!$A56),'State Map'!$A:$A,0))="Max Ambition",Schedules!S$10,V56),V56)</f>
        <v>0</v>
      </c>
      <c r="X56" s="39">
        <f>IFERROR(IF(INDEX('State Map'!$C:$C,MATCH(TRIM('RZSPbS-psgr-ldv'!$A56),'State Map'!$A:$A,0))="Max Ambition",Schedules!T$10,W56),W56)</f>
        <v>0</v>
      </c>
      <c r="Y56" s="39">
        <f>IFERROR(IF(INDEX('State Map'!$C:$C,MATCH(TRIM('RZSPbS-psgr-ldv'!$A56),'State Map'!$A:$A,0))="Max Ambition",Schedules!U$10,X56),X56)</f>
        <v>0</v>
      </c>
      <c r="Z56" s="39">
        <f>IFERROR(IF(INDEX('State Map'!$C:$C,MATCH(TRIM('RZSPbS-psgr-ldv'!$A56),'State Map'!$A:$A,0))="Max Ambition",Schedules!V$10,Y56),Y56)</f>
        <v>0</v>
      </c>
      <c r="AA56" s="39">
        <f>IFERROR(IF(INDEX('State Map'!$C:$C,MATCH(TRIM('RZSPbS-psgr-ldv'!$A56),'State Map'!$A:$A,0))="Max Ambition",Schedules!W$10,Z56),Z56)</f>
        <v>0</v>
      </c>
      <c r="AB56" s="39">
        <f>IFERROR(IF(INDEX('State Map'!$C:$C,MATCH(TRIM('RZSPbS-psgr-ldv'!$A56),'State Map'!$A:$A,0))="Max Ambition",Schedules!X$10,AA56),AA56)</f>
        <v>0</v>
      </c>
      <c r="AC56" s="39">
        <f>IFERROR(IF(INDEX('State Map'!$C:$C,MATCH(TRIM('RZSPbS-psgr-ldv'!$A56),'State Map'!$A:$A,0))="Max Ambition",Schedules!Y$10,AB56),AB56)</f>
        <v>0</v>
      </c>
      <c r="AD56" s="39">
        <f>IFERROR(IF(INDEX('State Map'!$C:$C,MATCH(TRIM('RZSPbS-psgr-ldv'!$A56),'State Map'!$A:$A,0))="Max Ambition",Schedules!Z$10,AC56),AC56)</f>
        <v>0</v>
      </c>
      <c r="AE56" s="39">
        <f>IFERROR(IF(INDEX('State Map'!$C:$C,MATCH(TRIM('RZSPbS-psgr-ldv'!$A56),'State Map'!$A:$A,0))="Max Ambition",Schedules!AA$10,AD56),AD56)</f>
        <v>0</v>
      </c>
      <c r="AF56" s="39">
        <f>IFERROR(IF(INDEX('State Map'!$C:$C,MATCH(TRIM('RZSPbS-psgr-ldv'!$A56),'State Map'!$A:$A,0))="Max Ambition",Schedules!AB$10,AE56),AE56)</f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39">
        <f>IFERROR(IF(INDEX('State Map'!$C:$C,MATCH(TRIM('RZSPbS-psgr-ldv'!$A57),'State Map'!$A:$A,0))="Max Ambition",Schedules!G$10,J57),J57)</f>
        <v>0</v>
      </c>
      <c r="L57" s="39">
        <f>IFERROR(IF(INDEX('State Map'!$C:$C,MATCH(TRIM('RZSPbS-psgr-ldv'!$A57),'State Map'!$A:$A,0))="Max Ambition",Schedules!H$10,K57),K57)</f>
        <v>0</v>
      </c>
      <c r="M57" s="39">
        <f>IFERROR(IF(INDEX('State Map'!$C:$C,MATCH(TRIM('RZSPbS-psgr-ldv'!$A57),'State Map'!$A:$A,0))="Max Ambition",Schedules!I$10,L57),L57)</f>
        <v>0</v>
      </c>
      <c r="N57" s="39">
        <f>IFERROR(IF(INDEX('State Map'!$C:$C,MATCH(TRIM('RZSPbS-psgr-ldv'!$A57),'State Map'!$A:$A,0))="Max Ambition",Schedules!J$10,M57),M57)</f>
        <v>0</v>
      </c>
      <c r="O57" s="39">
        <f>IFERROR(IF(INDEX('State Map'!$C:$C,MATCH(TRIM('RZSPbS-psgr-ldv'!$A57),'State Map'!$A:$A,0))="Max Ambition",Schedules!K$10,N57),N57)</f>
        <v>0</v>
      </c>
      <c r="P57" s="39">
        <f>IFERROR(IF(INDEX('State Map'!$C:$C,MATCH(TRIM('RZSPbS-psgr-ldv'!$A57),'State Map'!$A:$A,0))="Max Ambition",Schedules!L$10,O57),O57)</f>
        <v>0</v>
      </c>
      <c r="Q57" s="39">
        <f>IFERROR(IF(INDEX('State Map'!$C:$C,MATCH(TRIM('RZSPbS-psgr-ldv'!$A57),'State Map'!$A:$A,0))="Max Ambition",Schedules!M$10,P57),P57)</f>
        <v>0</v>
      </c>
      <c r="R57" s="39">
        <f>IFERROR(IF(INDEX('State Map'!$C:$C,MATCH(TRIM('RZSPbS-psgr-ldv'!$A57),'State Map'!$A:$A,0))="Max Ambition",Schedules!N$10,Q57),Q57)</f>
        <v>0</v>
      </c>
      <c r="S57" s="39">
        <f>IFERROR(IF(INDEX('State Map'!$C:$C,MATCH(TRIM('RZSPbS-psgr-ldv'!$A57),'State Map'!$A:$A,0))="Max Ambition",Schedules!O$10,R57),R57)</f>
        <v>0</v>
      </c>
      <c r="T57" s="39">
        <f>IFERROR(IF(INDEX('State Map'!$C:$C,MATCH(TRIM('RZSPbS-psgr-ldv'!$A57),'State Map'!$A:$A,0))="Max Ambition",Schedules!P$10,S57),S57)</f>
        <v>0</v>
      </c>
      <c r="U57" s="39">
        <f>IFERROR(IF(INDEX('State Map'!$C:$C,MATCH(TRIM('RZSPbS-psgr-ldv'!$A57),'State Map'!$A:$A,0))="Max Ambition",Schedules!Q$10,T57),T57)</f>
        <v>0</v>
      </c>
      <c r="V57" s="39">
        <f>IFERROR(IF(INDEX('State Map'!$C:$C,MATCH(TRIM('RZSPbS-psgr-ldv'!$A57),'State Map'!$A:$A,0))="Max Ambition",Schedules!R$10,U57),U57)</f>
        <v>0</v>
      </c>
      <c r="W57" s="39">
        <f>IFERROR(IF(INDEX('State Map'!$C:$C,MATCH(TRIM('RZSPbS-psgr-ldv'!$A57),'State Map'!$A:$A,0))="Max Ambition",Schedules!S$10,V57),V57)</f>
        <v>0</v>
      </c>
      <c r="X57" s="39">
        <f>IFERROR(IF(INDEX('State Map'!$C:$C,MATCH(TRIM('RZSPbS-psgr-ldv'!$A57),'State Map'!$A:$A,0))="Max Ambition",Schedules!T$10,W57),W57)</f>
        <v>0</v>
      </c>
      <c r="Y57" s="39">
        <f>IFERROR(IF(INDEX('State Map'!$C:$C,MATCH(TRIM('RZSPbS-psgr-ldv'!$A57),'State Map'!$A:$A,0))="Max Ambition",Schedules!U$10,X57),X57)</f>
        <v>0</v>
      </c>
      <c r="Z57" s="39">
        <f>IFERROR(IF(INDEX('State Map'!$C:$C,MATCH(TRIM('RZSPbS-psgr-ldv'!$A57),'State Map'!$A:$A,0))="Max Ambition",Schedules!V$10,Y57),Y57)</f>
        <v>0</v>
      </c>
      <c r="AA57" s="39">
        <f>IFERROR(IF(INDEX('State Map'!$C:$C,MATCH(TRIM('RZSPbS-psgr-ldv'!$A57),'State Map'!$A:$A,0))="Max Ambition",Schedules!W$10,Z57),Z57)</f>
        <v>0</v>
      </c>
      <c r="AB57" s="39">
        <f>IFERROR(IF(INDEX('State Map'!$C:$C,MATCH(TRIM('RZSPbS-psgr-ldv'!$A57),'State Map'!$A:$A,0))="Max Ambition",Schedules!X$10,AA57),AA57)</f>
        <v>0</v>
      </c>
      <c r="AC57" s="39">
        <f>IFERROR(IF(INDEX('State Map'!$C:$C,MATCH(TRIM('RZSPbS-psgr-ldv'!$A57),'State Map'!$A:$A,0))="Max Ambition",Schedules!Y$10,AB57),AB57)</f>
        <v>0</v>
      </c>
      <c r="AD57" s="39">
        <f>IFERROR(IF(INDEX('State Map'!$C:$C,MATCH(TRIM('RZSPbS-psgr-ldv'!$A57),'State Map'!$A:$A,0))="Max Ambition",Schedules!Z$10,AC57),AC57)</f>
        <v>0</v>
      </c>
      <c r="AE57" s="39">
        <f>IFERROR(IF(INDEX('State Map'!$C:$C,MATCH(TRIM('RZSPbS-psgr-ldv'!$A57),'State Map'!$A:$A,0))="Max Ambition",Schedules!AA$10,AD57),AD57)</f>
        <v>0</v>
      </c>
      <c r="AF57" s="39">
        <f>IFERROR(IF(INDEX('State Map'!$C:$C,MATCH(TRIM('RZSPbS-psgr-ldv'!$A57),'State Map'!$A:$A,0))="Max Ambition",Schedules!AB$10,AE57),AE57)</f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39">
        <f>IFERROR(IF(INDEX('State Map'!$C:$C,MATCH(TRIM('RZSPbS-psgr-ldv'!$A58),'State Map'!$A:$A,0))="Max Ambition",Schedules!G$10,J58),J58)</f>
        <v>0</v>
      </c>
      <c r="L58" s="39">
        <f>IFERROR(IF(INDEX('State Map'!$C:$C,MATCH(TRIM('RZSPbS-psgr-ldv'!$A58),'State Map'!$A:$A,0))="Max Ambition",Schedules!H$10,K58),K58)</f>
        <v>0</v>
      </c>
      <c r="M58" s="39">
        <f>IFERROR(IF(INDEX('State Map'!$C:$C,MATCH(TRIM('RZSPbS-psgr-ldv'!$A58),'State Map'!$A:$A,0))="Max Ambition",Schedules!I$10,L58),L58)</f>
        <v>0</v>
      </c>
      <c r="N58" s="39">
        <f>IFERROR(IF(INDEX('State Map'!$C:$C,MATCH(TRIM('RZSPbS-psgr-ldv'!$A58),'State Map'!$A:$A,0))="Max Ambition",Schedules!J$10,M58),M58)</f>
        <v>0</v>
      </c>
      <c r="O58" s="39">
        <f>IFERROR(IF(INDEX('State Map'!$C:$C,MATCH(TRIM('RZSPbS-psgr-ldv'!$A58),'State Map'!$A:$A,0))="Max Ambition",Schedules!K$10,N58),N58)</f>
        <v>0</v>
      </c>
      <c r="P58" s="39">
        <f>IFERROR(IF(INDEX('State Map'!$C:$C,MATCH(TRIM('RZSPbS-psgr-ldv'!$A58),'State Map'!$A:$A,0))="Max Ambition",Schedules!L$10,O58),O58)</f>
        <v>0</v>
      </c>
      <c r="Q58" s="39">
        <f>IFERROR(IF(INDEX('State Map'!$C:$C,MATCH(TRIM('RZSPbS-psgr-ldv'!$A58),'State Map'!$A:$A,0))="Max Ambition",Schedules!M$10,P58),P58)</f>
        <v>0</v>
      </c>
      <c r="R58" s="39">
        <f>IFERROR(IF(INDEX('State Map'!$C:$C,MATCH(TRIM('RZSPbS-psgr-ldv'!$A58),'State Map'!$A:$A,0))="Max Ambition",Schedules!N$10,Q58),Q58)</f>
        <v>0</v>
      </c>
      <c r="S58" s="39">
        <f>IFERROR(IF(INDEX('State Map'!$C:$C,MATCH(TRIM('RZSPbS-psgr-ldv'!$A58),'State Map'!$A:$A,0))="Max Ambition",Schedules!O$10,R58),R58)</f>
        <v>0</v>
      </c>
      <c r="T58" s="39">
        <f>IFERROR(IF(INDEX('State Map'!$C:$C,MATCH(TRIM('RZSPbS-psgr-ldv'!$A58),'State Map'!$A:$A,0))="Max Ambition",Schedules!P$10,S58),S58)</f>
        <v>0</v>
      </c>
      <c r="U58" s="39">
        <f>IFERROR(IF(INDEX('State Map'!$C:$C,MATCH(TRIM('RZSPbS-psgr-ldv'!$A58),'State Map'!$A:$A,0))="Max Ambition",Schedules!Q$10,T58),T58)</f>
        <v>0</v>
      </c>
      <c r="V58" s="39">
        <f>IFERROR(IF(INDEX('State Map'!$C:$C,MATCH(TRIM('RZSPbS-psgr-ldv'!$A58),'State Map'!$A:$A,0))="Max Ambition",Schedules!R$10,U58),U58)</f>
        <v>0</v>
      </c>
      <c r="W58" s="39">
        <f>IFERROR(IF(INDEX('State Map'!$C:$C,MATCH(TRIM('RZSPbS-psgr-ldv'!$A58),'State Map'!$A:$A,0))="Max Ambition",Schedules!S$10,V58),V58)</f>
        <v>0</v>
      </c>
      <c r="X58" s="39">
        <f>IFERROR(IF(INDEX('State Map'!$C:$C,MATCH(TRIM('RZSPbS-psgr-ldv'!$A58),'State Map'!$A:$A,0))="Max Ambition",Schedules!T$10,W58),W58)</f>
        <v>0</v>
      </c>
      <c r="Y58" s="39">
        <f>IFERROR(IF(INDEX('State Map'!$C:$C,MATCH(TRIM('RZSPbS-psgr-ldv'!$A58),'State Map'!$A:$A,0))="Max Ambition",Schedules!U$10,X58),X58)</f>
        <v>0</v>
      </c>
      <c r="Z58" s="39">
        <f>IFERROR(IF(INDEX('State Map'!$C:$C,MATCH(TRIM('RZSPbS-psgr-ldv'!$A58),'State Map'!$A:$A,0))="Max Ambition",Schedules!V$10,Y58),Y58)</f>
        <v>0</v>
      </c>
      <c r="AA58" s="39">
        <f>IFERROR(IF(INDEX('State Map'!$C:$C,MATCH(TRIM('RZSPbS-psgr-ldv'!$A58),'State Map'!$A:$A,0))="Max Ambition",Schedules!W$10,Z58),Z58)</f>
        <v>0</v>
      </c>
      <c r="AB58" s="39">
        <f>IFERROR(IF(INDEX('State Map'!$C:$C,MATCH(TRIM('RZSPbS-psgr-ldv'!$A58),'State Map'!$A:$A,0))="Max Ambition",Schedules!X$10,AA58),AA58)</f>
        <v>0</v>
      </c>
      <c r="AC58" s="39">
        <f>IFERROR(IF(INDEX('State Map'!$C:$C,MATCH(TRIM('RZSPbS-psgr-ldv'!$A58),'State Map'!$A:$A,0))="Max Ambition",Schedules!Y$10,AB58),AB58)</f>
        <v>0</v>
      </c>
      <c r="AD58" s="39">
        <f>IFERROR(IF(INDEX('State Map'!$C:$C,MATCH(TRIM('RZSPbS-psgr-ldv'!$A58),'State Map'!$A:$A,0))="Max Ambition",Schedules!Z$10,AC58),AC58)</f>
        <v>0</v>
      </c>
      <c r="AE58" s="39">
        <f>IFERROR(IF(INDEX('State Map'!$C:$C,MATCH(TRIM('RZSPbS-psgr-ldv'!$A58),'State Map'!$A:$A,0))="Max Ambition",Schedules!AA$10,AD58),AD58)</f>
        <v>0</v>
      </c>
      <c r="AF58" s="39">
        <f>IFERROR(IF(INDEX('State Map'!$C:$C,MATCH(TRIM('RZSPbS-psgr-ldv'!$A58),'State Map'!$A:$A,0))="Max Ambition",Schedules!AB$10,AE58),AE58)</f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39">
        <f>IFERROR(IF(INDEX('State Map'!$C:$C,MATCH(TRIM('RZSPbS-psgr-ldv'!$A59),'State Map'!$A:$A,0))="Max Ambition",Schedules!G$10,J59),J59)</f>
        <v>0</v>
      </c>
      <c r="L59" s="39">
        <f>IFERROR(IF(INDEX('State Map'!$C:$C,MATCH(TRIM('RZSPbS-psgr-ldv'!$A59),'State Map'!$A:$A,0))="Max Ambition",Schedules!H$10,K59),K59)</f>
        <v>0</v>
      </c>
      <c r="M59" s="39">
        <f>IFERROR(IF(INDEX('State Map'!$C:$C,MATCH(TRIM('RZSPbS-psgr-ldv'!$A59),'State Map'!$A:$A,0))="Max Ambition",Schedules!I$10,L59),L59)</f>
        <v>0</v>
      </c>
      <c r="N59" s="39">
        <f>IFERROR(IF(INDEX('State Map'!$C:$C,MATCH(TRIM('RZSPbS-psgr-ldv'!$A59),'State Map'!$A:$A,0))="Max Ambition",Schedules!J$10,M59),M59)</f>
        <v>0</v>
      </c>
      <c r="O59" s="39">
        <f>IFERROR(IF(INDEX('State Map'!$C:$C,MATCH(TRIM('RZSPbS-psgr-ldv'!$A59),'State Map'!$A:$A,0))="Max Ambition",Schedules!K$10,N59),N59)</f>
        <v>0</v>
      </c>
      <c r="P59" s="39">
        <f>IFERROR(IF(INDEX('State Map'!$C:$C,MATCH(TRIM('RZSPbS-psgr-ldv'!$A59),'State Map'!$A:$A,0))="Max Ambition",Schedules!L$10,O59),O59)</f>
        <v>0</v>
      </c>
      <c r="Q59" s="39">
        <f>IFERROR(IF(INDEX('State Map'!$C:$C,MATCH(TRIM('RZSPbS-psgr-ldv'!$A59),'State Map'!$A:$A,0))="Max Ambition",Schedules!M$10,P59),P59)</f>
        <v>0</v>
      </c>
      <c r="R59" s="39">
        <f>IFERROR(IF(INDEX('State Map'!$C:$C,MATCH(TRIM('RZSPbS-psgr-ldv'!$A59),'State Map'!$A:$A,0))="Max Ambition",Schedules!N$10,Q59),Q59)</f>
        <v>0</v>
      </c>
      <c r="S59" s="39">
        <f>IFERROR(IF(INDEX('State Map'!$C:$C,MATCH(TRIM('RZSPbS-psgr-ldv'!$A59),'State Map'!$A:$A,0))="Max Ambition",Schedules!O$10,R59),R59)</f>
        <v>0</v>
      </c>
      <c r="T59" s="39">
        <f>IFERROR(IF(INDEX('State Map'!$C:$C,MATCH(TRIM('RZSPbS-psgr-ldv'!$A59),'State Map'!$A:$A,0))="Max Ambition",Schedules!P$10,S59),S59)</f>
        <v>0</v>
      </c>
      <c r="U59" s="39">
        <f>IFERROR(IF(INDEX('State Map'!$C:$C,MATCH(TRIM('RZSPbS-psgr-ldv'!$A59),'State Map'!$A:$A,0))="Max Ambition",Schedules!Q$10,T59),T59)</f>
        <v>0</v>
      </c>
      <c r="V59" s="39">
        <f>IFERROR(IF(INDEX('State Map'!$C:$C,MATCH(TRIM('RZSPbS-psgr-ldv'!$A59),'State Map'!$A:$A,0))="Max Ambition",Schedules!R$10,U59),U59)</f>
        <v>0</v>
      </c>
      <c r="W59" s="39">
        <f>IFERROR(IF(INDEX('State Map'!$C:$C,MATCH(TRIM('RZSPbS-psgr-ldv'!$A59),'State Map'!$A:$A,0))="Max Ambition",Schedules!S$10,V59),V59)</f>
        <v>0</v>
      </c>
      <c r="X59" s="39">
        <f>IFERROR(IF(INDEX('State Map'!$C:$C,MATCH(TRIM('RZSPbS-psgr-ldv'!$A59),'State Map'!$A:$A,0))="Max Ambition",Schedules!T$10,W59),W59)</f>
        <v>0</v>
      </c>
      <c r="Y59" s="39">
        <f>IFERROR(IF(INDEX('State Map'!$C:$C,MATCH(TRIM('RZSPbS-psgr-ldv'!$A59),'State Map'!$A:$A,0))="Max Ambition",Schedules!U$10,X59),X59)</f>
        <v>0</v>
      </c>
      <c r="Z59" s="39">
        <f>IFERROR(IF(INDEX('State Map'!$C:$C,MATCH(TRIM('RZSPbS-psgr-ldv'!$A59),'State Map'!$A:$A,0))="Max Ambition",Schedules!V$10,Y59),Y59)</f>
        <v>0</v>
      </c>
      <c r="AA59" s="39">
        <f>IFERROR(IF(INDEX('State Map'!$C:$C,MATCH(TRIM('RZSPbS-psgr-ldv'!$A59),'State Map'!$A:$A,0))="Max Ambition",Schedules!W$10,Z59),Z59)</f>
        <v>0</v>
      </c>
      <c r="AB59" s="39">
        <f>IFERROR(IF(INDEX('State Map'!$C:$C,MATCH(TRIM('RZSPbS-psgr-ldv'!$A59),'State Map'!$A:$A,0))="Max Ambition",Schedules!X$10,AA59),AA59)</f>
        <v>0</v>
      </c>
      <c r="AC59" s="39">
        <f>IFERROR(IF(INDEX('State Map'!$C:$C,MATCH(TRIM('RZSPbS-psgr-ldv'!$A59),'State Map'!$A:$A,0))="Max Ambition",Schedules!Y$10,AB59),AB59)</f>
        <v>0</v>
      </c>
      <c r="AD59" s="39">
        <f>IFERROR(IF(INDEX('State Map'!$C:$C,MATCH(TRIM('RZSPbS-psgr-ldv'!$A59),'State Map'!$A:$A,0))="Max Ambition",Schedules!Z$10,AC59),AC59)</f>
        <v>0</v>
      </c>
      <c r="AE59" s="39">
        <f>IFERROR(IF(INDEX('State Map'!$C:$C,MATCH(TRIM('RZSPbS-psgr-ldv'!$A59),'State Map'!$A:$A,0))="Max Ambition",Schedules!AA$10,AD59),AD59)</f>
        <v>0</v>
      </c>
      <c r="AF59" s="39">
        <f>IFERROR(IF(INDEX('State Map'!$C:$C,MATCH(TRIM('RZSPbS-psgr-ldv'!$A59),'State Map'!$A:$A,0))="Max Ambition",Schedules!AB$10,AE59),AE59)</f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39">
        <f>IFERROR(IF(INDEX('State Map'!$C:$C,MATCH(TRIM('RZSPbS-psgr-ldv'!$A60),'State Map'!$A:$A,0))="Max Ambition",Schedules!G$10,J60),J60)</f>
        <v>0</v>
      </c>
      <c r="L60" s="39">
        <f>IFERROR(IF(INDEX('State Map'!$C:$C,MATCH(TRIM('RZSPbS-psgr-ldv'!$A60),'State Map'!$A:$A,0))="Max Ambition",Schedules!H$10,K60),K60)</f>
        <v>0</v>
      </c>
      <c r="M60" s="39">
        <f>IFERROR(IF(INDEX('State Map'!$C:$C,MATCH(TRIM('RZSPbS-psgr-ldv'!$A60),'State Map'!$A:$A,0))="Max Ambition",Schedules!I$10,L60),L60)</f>
        <v>0</v>
      </c>
      <c r="N60" s="39">
        <f>IFERROR(IF(INDEX('State Map'!$C:$C,MATCH(TRIM('RZSPbS-psgr-ldv'!$A60),'State Map'!$A:$A,0))="Max Ambition",Schedules!J$10,M60),M60)</f>
        <v>0</v>
      </c>
      <c r="O60" s="39">
        <f>IFERROR(IF(INDEX('State Map'!$C:$C,MATCH(TRIM('RZSPbS-psgr-ldv'!$A60),'State Map'!$A:$A,0))="Max Ambition",Schedules!K$10,N60),N60)</f>
        <v>0</v>
      </c>
      <c r="P60" s="39">
        <f>IFERROR(IF(INDEX('State Map'!$C:$C,MATCH(TRIM('RZSPbS-psgr-ldv'!$A60),'State Map'!$A:$A,0))="Max Ambition",Schedules!L$10,O60),O60)</f>
        <v>0</v>
      </c>
      <c r="Q60" s="39">
        <f>IFERROR(IF(INDEX('State Map'!$C:$C,MATCH(TRIM('RZSPbS-psgr-ldv'!$A60),'State Map'!$A:$A,0))="Max Ambition",Schedules!M$10,P60),P60)</f>
        <v>0</v>
      </c>
      <c r="R60" s="39">
        <f>IFERROR(IF(INDEX('State Map'!$C:$C,MATCH(TRIM('RZSPbS-psgr-ldv'!$A60),'State Map'!$A:$A,0))="Max Ambition",Schedules!N$10,Q60),Q60)</f>
        <v>0</v>
      </c>
      <c r="S60" s="39">
        <f>IFERROR(IF(INDEX('State Map'!$C:$C,MATCH(TRIM('RZSPbS-psgr-ldv'!$A60),'State Map'!$A:$A,0))="Max Ambition",Schedules!O$10,R60),R60)</f>
        <v>0</v>
      </c>
      <c r="T60" s="39">
        <f>IFERROR(IF(INDEX('State Map'!$C:$C,MATCH(TRIM('RZSPbS-psgr-ldv'!$A60),'State Map'!$A:$A,0))="Max Ambition",Schedules!P$10,S60),S60)</f>
        <v>0</v>
      </c>
      <c r="U60" s="39">
        <f>IFERROR(IF(INDEX('State Map'!$C:$C,MATCH(TRIM('RZSPbS-psgr-ldv'!$A60),'State Map'!$A:$A,0))="Max Ambition",Schedules!Q$10,T60),T60)</f>
        <v>0</v>
      </c>
      <c r="V60" s="39">
        <f>IFERROR(IF(INDEX('State Map'!$C:$C,MATCH(TRIM('RZSPbS-psgr-ldv'!$A60),'State Map'!$A:$A,0))="Max Ambition",Schedules!R$10,U60),U60)</f>
        <v>0</v>
      </c>
      <c r="W60" s="39">
        <f>IFERROR(IF(INDEX('State Map'!$C:$C,MATCH(TRIM('RZSPbS-psgr-ldv'!$A60),'State Map'!$A:$A,0))="Max Ambition",Schedules!S$10,V60),V60)</f>
        <v>0</v>
      </c>
      <c r="X60" s="39">
        <f>IFERROR(IF(INDEX('State Map'!$C:$C,MATCH(TRIM('RZSPbS-psgr-ldv'!$A60),'State Map'!$A:$A,0))="Max Ambition",Schedules!T$10,W60),W60)</f>
        <v>0</v>
      </c>
      <c r="Y60" s="39">
        <f>IFERROR(IF(INDEX('State Map'!$C:$C,MATCH(TRIM('RZSPbS-psgr-ldv'!$A60),'State Map'!$A:$A,0))="Max Ambition",Schedules!U$10,X60),X60)</f>
        <v>0</v>
      </c>
      <c r="Z60" s="39">
        <f>IFERROR(IF(INDEX('State Map'!$C:$C,MATCH(TRIM('RZSPbS-psgr-ldv'!$A60),'State Map'!$A:$A,0))="Max Ambition",Schedules!V$10,Y60),Y60)</f>
        <v>0</v>
      </c>
      <c r="AA60" s="39">
        <f>IFERROR(IF(INDEX('State Map'!$C:$C,MATCH(TRIM('RZSPbS-psgr-ldv'!$A60),'State Map'!$A:$A,0))="Max Ambition",Schedules!W$10,Z60),Z60)</f>
        <v>0</v>
      </c>
      <c r="AB60" s="39">
        <f>IFERROR(IF(INDEX('State Map'!$C:$C,MATCH(TRIM('RZSPbS-psgr-ldv'!$A60),'State Map'!$A:$A,0))="Max Ambition",Schedules!X$10,AA60),AA60)</f>
        <v>0</v>
      </c>
      <c r="AC60" s="39">
        <f>IFERROR(IF(INDEX('State Map'!$C:$C,MATCH(TRIM('RZSPbS-psgr-ldv'!$A60),'State Map'!$A:$A,0))="Max Ambition",Schedules!Y$10,AB60),AB60)</f>
        <v>0</v>
      </c>
      <c r="AD60" s="39">
        <f>IFERROR(IF(INDEX('State Map'!$C:$C,MATCH(TRIM('RZSPbS-psgr-ldv'!$A60),'State Map'!$A:$A,0))="Max Ambition",Schedules!Z$10,AC60),AC60)</f>
        <v>0</v>
      </c>
      <c r="AE60" s="39">
        <f>IFERROR(IF(INDEX('State Map'!$C:$C,MATCH(TRIM('RZSPbS-psgr-ldv'!$A60),'State Map'!$A:$A,0))="Max Ambition",Schedules!AA$10,AD60),AD60)</f>
        <v>0</v>
      </c>
      <c r="AF60" s="39">
        <f>IFERROR(IF(INDEX('State Map'!$C:$C,MATCH(TRIM('RZSPbS-psgr-ldv'!$A60),'State Map'!$A:$A,0))="Max Ambition",Schedules!AB$10,AE60),AE60)</f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39">
        <f>IFERROR(IF(INDEX('State Map'!$C:$C,MATCH(TRIM('RZSPbS-psgr-ldv'!$A61),'State Map'!$A:$A,0))="Max Ambition",Schedules!G$10,J61),J61)</f>
        <v>0</v>
      </c>
      <c r="L61" s="39">
        <f>IFERROR(IF(INDEX('State Map'!$C:$C,MATCH(TRIM('RZSPbS-psgr-ldv'!$A61),'State Map'!$A:$A,0))="Max Ambition",Schedules!H$10,K61),K61)</f>
        <v>0</v>
      </c>
      <c r="M61" s="39">
        <f>IFERROR(IF(INDEX('State Map'!$C:$C,MATCH(TRIM('RZSPbS-psgr-ldv'!$A61),'State Map'!$A:$A,0))="Max Ambition",Schedules!I$10,L61),L61)</f>
        <v>0</v>
      </c>
      <c r="N61" s="39">
        <f>IFERROR(IF(INDEX('State Map'!$C:$C,MATCH(TRIM('RZSPbS-psgr-ldv'!$A61),'State Map'!$A:$A,0))="Max Ambition",Schedules!J$10,M61),M61)</f>
        <v>0</v>
      </c>
      <c r="O61" s="39">
        <f>IFERROR(IF(INDEX('State Map'!$C:$C,MATCH(TRIM('RZSPbS-psgr-ldv'!$A61),'State Map'!$A:$A,0))="Max Ambition",Schedules!K$10,N61),N61)</f>
        <v>0</v>
      </c>
      <c r="P61" s="39">
        <f>IFERROR(IF(INDEX('State Map'!$C:$C,MATCH(TRIM('RZSPbS-psgr-ldv'!$A61),'State Map'!$A:$A,0))="Max Ambition",Schedules!L$10,O61),O61)</f>
        <v>0</v>
      </c>
      <c r="Q61" s="39">
        <f>IFERROR(IF(INDEX('State Map'!$C:$C,MATCH(TRIM('RZSPbS-psgr-ldv'!$A61),'State Map'!$A:$A,0))="Max Ambition",Schedules!M$10,P61),P61)</f>
        <v>0</v>
      </c>
      <c r="R61" s="39">
        <f>IFERROR(IF(INDEX('State Map'!$C:$C,MATCH(TRIM('RZSPbS-psgr-ldv'!$A61),'State Map'!$A:$A,0))="Max Ambition",Schedules!N$10,Q61),Q61)</f>
        <v>0</v>
      </c>
      <c r="S61" s="39">
        <f>IFERROR(IF(INDEX('State Map'!$C:$C,MATCH(TRIM('RZSPbS-psgr-ldv'!$A61),'State Map'!$A:$A,0))="Max Ambition",Schedules!O$10,R61),R61)</f>
        <v>0</v>
      </c>
      <c r="T61" s="39">
        <f>IFERROR(IF(INDEX('State Map'!$C:$C,MATCH(TRIM('RZSPbS-psgr-ldv'!$A61),'State Map'!$A:$A,0))="Max Ambition",Schedules!P$10,S61),S61)</f>
        <v>0</v>
      </c>
      <c r="U61" s="39">
        <f>IFERROR(IF(INDEX('State Map'!$C:$C,MATCH(TRIM('RZSPbS-psgr-ldv'!$A61),'State Map'!$A:$A,0))="Max Ambition",Schedules!Q$10,T61),T61)</f>
        <v>0</v>
      </c>
      <c r="V61" s="39">
        <f>IFERROR(IF(INDEX('State Map'!$C:$C,MATCH(TRIM('RZSPbS-psgr-ldv'!$A61),'State Map'!$A:$A,0))="Max Ambition",Schedules!R$10,U61),U61)</f>
        <v>0</v>
      </c>
      <c r="W61" s="39">
        <f>IFERROR(IF(INDEX('State Map'!$C:$C,MATCH(TRIM('RZSPbS-psgr-ldv'!$A61),'State Map'!$A:$A,0))="Max Ambition",Schedules!S$10,V61),V61)</f>
        <v>0</v>
      </c>
      <c r="X61" s="39">
        <f>IFERROR(IF(INDEX('State Map'!$C:$C,MATCH(TRIM('RZSPbS-psgr-ldv'!$A61),'State Map'!$A:$A,0))="Max Ambition",Schedules!T$10,W61),W61)</f>
        <v>0</v>
      </c>
      <c r="Y61" s="39">
        <f>IFERROR(IF(INDEX('State Map'!$C:$C,MATCH(TRIM('RZSPbS-psgr-ldv'!$A61),'State Map'!$A:$A,0))="Max Ambition",Schedules!U$10,X61),X61)</f>
        <v>0</v>
      </c>
      <c r="Z61" s="39">
        <f>IFERROR(IF(INDEX('State Map'!$C:$C,MATCH(TRIM('RZSPbS-psgr-ldv'!$A61),'State Map'!$A:$A,0))="Max Ambition",Schedules!V$10,Y61),Y61)</f>
        <v>0</v>
      </c>
      <c r="AA61" s="39">
        <f>IFERROR(IF(INDEX('State Map'!$C:$C,MATCH(TRIM('RZSPbS-psgr-ldv'!$A61),'State Map'!$A:$A,0))="Max Ambition",Schedules!W$10,Z61),Z61)</f>
        <v>0</v>
      </c>
      <c r="AB61" s="39">
        <f>IFERROR(IF(INDEX('State Map'!$C:$C,MATCH(TRIM('RZSPbS-psgr-ldv'!$A61),'State Map'!$A:$A,0))="Max Ambition",Schedules!X$10,AA61),AA61)</f>
        <v>0</v>
      </c>
      <c r="AC61" s="39">
        <f>IFERROR(IF(INDEX('State Map'!$C:$C,MATCH(TRIM('RZSPbS-psgr-ldv'!$A61),'State Map'!$A:$A,0))="Max Ambition",Schedules!Y$10,AB61),AB61)</f>
        <v>0</v>
      </c>
      <c r="AD61" s="39">
        <f>IFERROR(IF(INDEX('State Map'!$C:$C,MATCH(TRIM('RZSPbS-psgr-ldv'!$A61),'State Map'!$A:$A,0))="Max Ambition",Schedules!Z$10,AC61),AC61)</f>
        <v>0</v>
      </c>
      <c r="AE61" s="39">
        <f>IFERROR(IF(INDEX('State Map'!$C:$C,MATCH(TRIM('RZSPbS-psgr-ldv'!$A61),'State Map'!$A:$A,0))="Max Ambition",Schedules!AA$10,AD61),AD61)</f>
        <v>0</v>
      </c>
      <c r="AF61" s="39">
        <f>IFERROR(IF(INDEX('State Map'!$C:$C,MATCH(TRIM('RZSPbS-psgr-ldv'!$A61),'State Map'!$A:$A,0))="Max Ambition",Schedules!AB$10,AE61),AE61)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39">
        <f>IFERROR(IF(INDEX('State Map'!$C:$C,MATCH(TRIM('RZSPbS-psgr-ldv'!$A2),'State Map'!$A:$A,0))="Max Ambition",Schedules!G$13,J2),J2)</f>
        <v>0</v>
      </c>
      <c r="L2" s="39">
        <f>IFERROR(IF(INDEX('State Map'!$C:$C,MATCH(TRIM('RZSPbS-psgr-ldv'!$A2),'State Map'!$A:$A,0))="Max Ambition",Schedules!H$13,K2),K2)</f>
        <v>0</v>
      </c>
      <c r="M2" s="39">
        <f>IFERROR(IF(INDEX('State Map'!$C:$C,MATCH(TRIM('RZSPbS-psgr-ldv'!$A2),'State Map'!$A:$A,0))="Max Ambition",Schedules!I$13,L2),L2)</f>
        <v>0</v>
      </c>
      <c r="N2" s="39">
        <f>IFERROR(IF(INDEX('State Map'!$C:$C,MATCH(TRIM('RZSPbS-psgr-ldv'!$A2),'State Map'!$A:$A,0))="Max Ambition",Schedules!J$13,M2),M2)</f>
        <v>0</v>
      </c>
      <c r="O2" s="39">
        <f>IFERROR(IF(INDEX('State Map'!$C:$C,MATCH(TRIM('RZSPbS-psgr-ldv'!$A2),'State Map'!$A:$A,0))="Max Ambition",Schedules!K$13,N2),N2)</f>
        <v>0</v>
      </c>
      <c r="P2" s="39">
        <f>IFERROR(IF(INDEX('State Map'!$C:$C,MATCH(TRIM('RZSPbS-psgr-ldv'!$A2),'State Map'!$A:$A,0))="Max Ambition",Schedules!L$13,O2),O2)</f>
        <v>0</v>
      </c>
      <c r="Q2" s="39">
        <f>IFERROR(IF(INDEX('State Map'!$C:$C,MATCH(TRIM('RZSPbS-psgr-ldv'!$A2),'State Map'!$A:$A,0))="Max Ambition",Schedules!M$13,P2),P2)</f>
        <v>0</v>
      </c>
      <c r="R2" s="39">
        <f>IFERROR(IF(INDEX('State Map'!$C:$C,MATCH(TRIM('RZSPbS-psgr-ldv'!$A2),'State Map'!$A:$A,0))="Max Ambition",Schedules!N$13,Q2),Q2)</f>
        <v>0</v>
      </c>
      <c r="S2" s="39">
        <f>IFERROR(IF(INDEX('State Map'!$C:$C,MATCH(TRIM('RZSPbS-psgr-ldv'!$A2),'State Map'!$A:$A,0))="Max Ambition",Schedules!O$13,R2),R2)</f>
        <v>0</v>
      </c>
      <c r="T2" s="39">
        <f>IFERROR(IF(INDEX('State Map'!$C:$C,MATCH(TRIM('RZSPbS-psgr-ldv'!$A2),'State Map'!$A:$A,0))="Max Ambition",Schedules!P$13,S2),S2)</f>
        <v>0</v>
      </c>
      <c r="U2" s="39">
        <f>IFERROR(IF(INDEX('State Map'!$C:$C,MATCH(TRIM('RZSPbS-psgr-ldv'!$A2),'State Map'!$A:$A,0))="Max Ambition",Schedules!Q$13,T2),T2)</f>
        <v>0</v>
      </c>
      <c r="V2" s="39">
        <f>IFERROR(IF(INDEX('State Map'!$C:$C,MATCH(TRIM('RZSPbS-psgr-ldv'!$A2),'State Map'!$A:$A,0))="Max Ambition",Schedules!R$13,U2),U2)</f>
        <v>0</v>
      </c>
      <c r="W2" s="39">
        <f>IFERROR(IF(INDEX('State Map'!$C:$C,MATCH(TRIM('RZSPbS-psgr-ldv'!$A2),'State Map'!$A:$A,0))="Max Ambition",Schedules!S$13,V2),V2)</f>
        <v>0</v>
      </c>
      <c r="X2" s="39">
        <f>IFERROR(IF(INDEX('State Map'!$C:$C,MATCH(TRIM('RZSPbS-psgr-ldv'!$A2),'State Map'!$A:$A,0))="Max Ambition",Schedules!T$13,W2),W2)</f>
        <v>0</v>
      </c>
      <c r="Y2" s="39">
        <f>IFERROR(IF(INDEX('State Map'!$C:$C,MATCH(TRIM('RZSPbS-psgr-ldv'!$A2),'State Map'!$A:$A,0))="Max Ambition",Schedules!U$13,X2),X2)</f>
        <v>0</v>
      </c>
      <c r="Z2" s="39">
        <f>IFERROR(IF(INDEX('State Map'!$C:$C,MATCH(TRIM('RZSPbS-psgr-ldv'!$A2),'State Map'!$A:$A,0))="Max Ambition",Schedules!V$13,Y2),Y2)</f>
        <v>0</v>
      </c>
      <c r="AA2" s="39">
        <f>IFERROR(IF(INDEX('State Map'!$C:$C,MATCH(TRIM('RZSPbS-psgr-ldv'!$A2),'State Map'!$A:$A,0))="Max Ambition",Schedules!W$13,Z2),Z2)</f>
        <v>0</v>
      </c>
      <c r="AB2" s="39">
        <f>IFERROR(IF(INDEX('State Map'!$C:$C,MATCH(TRIM('RZSPbS-psgr-ldv'!$A2),'State Map'!$A:$A,0))="Max Ambition",Schedules!X$13,AA2),AA2)</f>
        <v>0</v>
      </c>
      <c r="AC2" s="39">
        <f>IFERROR(IF(INDEX('State Map'!$C:$C,MATCH(TRIM('RZSPbS-psgr-ldv'!$A2),'State Map'!$A:$A,0))="Max Ambition",Schedules!Y$13,AB2),AB2)</f>
        <v>0</v>
      </c>
      <c r="AD2" s="39">
        <f>IFERROR(IF(INDEX('State Map'!$C:$C,MATCH(TRIM('RZSPbS-psgr-ldv'!$A2),'State Map'!$A:$A,0))="Max Ambition",Schedules!Z$13,AC2),AC2)</f>
        <v>0</v>
      </c>
      <c r="AE2" s="39">
        <f>IFERROR(IF(INDEX('State Map'!$C:$C,MATCH(TRIM('RZSPbS-psgr-ldv'!$A2),'State Map'!$A:$A,0))="Max Ambition",Schedules!AA$13,AD2),AD2)</f>
        <v>0</v>
      </c>
      <c r="AF2" s="39">
        <f>IFERROR(IF(INDEX('State Map'!$C:$C,MATCH(TRIM('RZSPbS-psgr-ldv'!$A2),'State Map'!$A:$A,0))="Max Ambition",Schedules!AB$13,AE2),AE2)</f>
        <v>0</v>
      </c>
    </row>
    <row r="3" spans="1:3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39">
        <f>IFERROR(IF(INDEX('State Map'!$C:$C,MATCH(TRIM('RZSPbS-psgr-ldv'!$A3),'State Map'!$A:$A,0))="Max Ambition",Schedules!G$13,J3),J3)</f>
        <v>0</v>
      </c>
      <c r="L3" s="39">
        <f>IFERROR(IF(INDEX('State Map'!$C:$C,MATCH(TRIM('RZSPbS-psgr-ldv'!$A3),'State Map'!$A:$A,0))="Max Ambition",Schedules!H$13,K3),K3)</f>
        <v>0</v>
      </c>
      <c r="M3" s="39">
        <f>IFERROR(IF(INDEX('State Map'!$C:$C,MATCH(TRIM('RZSPbS-psgr-ldv'!$A3),'State Map'!$A:$A,0))="Max Ambition",Schedules!I$13,L3),L3)</f>
        <v>0</v>
      </c>
      <c r="N3" s="39">
        <f>IFERROR(IF(INDEX('State Map'!$C:$C,MATCH(TRIM('RZSPbS-psgr-ldv'!$A3),'State Map'!$A:$A,0))="Max Ambition",Schedules!J$13,M3),M3)</f>
        <v>0</v>
      </c>
      <c r="O3" s="39">
        <f>IFERROR(IF(INDEX('State Map'!$C:$C,MATCH(TRIM('RZSPbS-psgr-ldv'!$A3),'State Map'!$A:$A,0))="Max Ambition",Schedules!K$13,N3),N3)</f>
        <v>0</v>
      </c>
      <c r="P3" s="39">
        <f>IFERROR(IF(INDEX('State Map'!$C:$C,MATCH(TRIM('RZSPbS-psgr-ldv'!$A3),'State Map'!$A:$A,0))="Max Ambition",Schedules!L$13,O3),O3)</f>
        <v>0</v>
      </c>
      <c r="Q3" s="39">
        <f>IFERROR(IF(INDEX('State Map'!$C:$C,MATCH(TRIM('RZSPbS-psgr-ldv'!$A3),'State Map'!$A:$A,0))="Max Ambition",Schedules!M$13,P3),P3)</f>
        <v>0</v>
      </c>
      <c r="R3" s="39">
        <f>IFERROR(IF(INDEX('State Map'!$C:$C,MATCH(TRIM('RZSPbS-psgr-ldv'!$A3),'State Map'!$A:$A,0))="Max Ambition",Schedules!N$13,Q3),Q3)</f>
        <v>0</v>
      </c>
      <c r="S3" s="39">
        <f>IFERROR(IF(INDEX('State Map'!$C:$C,MATCH(TRIM('RZSPbS-psgr-ldv'!$A3),'State Map'!$A:$A,0))="Max Ambition",Schedules!O$13,R3),R3)</f>
        <v>0</v>
      </c>
      <c r="T3" s="39">
        <f>IFERROR(IF(INDEX('State Map'!$C:$C,MATCH(TRIM('RZSPbS-psgr-ldv'!$A3),'State Map'!$A:$A,0))="Max Ambition",Schedules!P$13,S3),S3)</f>
        <v>0</v>
      </c>
      <c r="U3" s="39">
        <f>IFERROR(IF(INDEX('State Map'!$C:$C,MATCH(TRIM('RZSPbS-psgr-ldv'!$A3),'State Map'!$A:$A,0))="Max Ambition",Schedules!Q$13,T3),T3)</f>
        <v>0</v>
      </c>
      <c r="V3" s="39">
        <f>IFERROR(IF(INDEX('State Map'!$C:$C,MATCH(TRIM('RZSPbS-psgr-ldv'!$A3),'State Map'!$A:$A,0))="Max Ambition",Schedules!R$13,U3),U3)</f>
        <v>0</v>
      </c>
      <c r="W3" s="39">
        <f>IFERROR(IF(INDEX('State Map'!$C:$C,MATCH(TRIM('RZSPbS-psgr-ldv'!$A3),'State Map'!$A:$A,0))="Max Ambition",Schedules!S$13,V3),V3)</f>
        <v>0</v>
      </c>
      <c r="X3" s="39">
        <f>IFERROR(IF(INDEX('State Map'!$C:$C,MATCH(TRIM('RZSPbS-psgr-ldv'!$A3),'State Map'!$A:$A,0))="Max Ambition",Schedules!T$13,W3),W3)</f>
        <v>0</v>
      </c>
      <c r="Y3" s="39">
        <f>IFERROR(IF(INDEX('State Map'!$C:$C,MATCH(TRIM('RZSPbS-psgr-ldv'!$A3),'State Map'!$A:$A,0))="Max Ambition",Schedules!U$13,X3),X3)</f>
        <v>0</v>
      </c>
      <c r="Z3" s="39">
        <f>IFERROR(IF(INDEX('State Map'!$C:$C,MATCH(TRIM('RZSPbS-psgr-ldv'!$A3),'State Map'!$A:$A,0))="Max Ambition",Schedules!V$13,Y3),Y3)</f>
        <v>0</v>
      </c>
      <c r="AA3" s="39">
        <f>IFERROR(IF(INDEX('State Map'!$C:$C,MATCH(TRIM('RZSPbS-psgr-ldv'!$A3),'State Map'!$A:$A,0))="Max Ambition",Schedules!W$13,Z3),Z3)</f>
        <v>0</v>
      </c>
      <c r="AB3" s="39">
        <f>IFERROR(IF(INDEX('State Map'!$C:$C,MATCH(TRIM('RZSPbS-psgr-ldv'!$A3),'State Map'!$A:$A,0))="Max Ambition",Schedules!X$13,AA3),AA3)</f>
        <v>0</v>
      </c>
      <c r="AC3" s="39">
        <f>IFERROR(IF(INDEX('State Map'!$C:$C,MATCH(TRIM('RZSPbS-psgr-ldv'!$A3),'State Map'!$A:$A,0))="Max Ambition",Schedules!Y$13,AB3),AB3)</f>
        <v>0</v>
      </c>
      <c r="AD3" s="39">
        <f>IFERROR(IF(INDEX('State Map'!$C:$C,MATCH(TRIM('RZSPbS-psgr-ldv'!$A3),'State Map'!$A:$A,0))="Max Ambition",Schedules!Z$13,AC3),AC3)</f>
        <v>0</v>
      </c>
      <c r="AE3" s="39">
        <f>IFERROR(IF(INDEX('State Map'!$C:$C,MATCH(TRIM('RZSPbS-psgr-ldv'!$A3),'State Map'!$A:$A,0))="Max Ambition",Schedules!AA$13,AD3),AD3)</f>
        <v>0</v>
      </c>
      <c r="AF3" s="39">
        <f>IFERROR(IF(INDEX('State Map'!$C:$C,MATCH(TRIM('RZSPbS-psgr-ldv'!$A3),'State Map'!$A:$A,0))="Max Ambition",Schedules!AB$13,AE3),AE3)</f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39">
        <f>IFERROR(IF(INDEX('State Map'!$C:$C,MATCH(TRIM('RZSPbS-psgr-ldv'!$A4),'State Map'!$A:$A,0))="Max Ambition",Schedules!G$13,J4),J4)</f>
        <v>0</v>
      </c>
      <c r="L4" s="39">
        <f>IFERROR(IF(INDEX('State Map'!$C:$C,MATCH(TRIM('RZSPbS-psgr-ldv'!$A4),'State Map'!$A:$A,0))="Max Ambition",Schedules!H$13,K4),K4)</f>
        <v>0</v>
      </c>
      <c r="M4" s="39">
        <f>IFERROR(IF(INDEX('State Map'!$C:$C,MATCH(TRIM('RZSPbS-psgr-ldv'!$A4),'State Map'!$A:$A,0))="Max Ambition",Schedules!I$13,L4),L4)</f>
        <v>0</v>
      </c>
      <c r="N4" s="39">
        <f>IFERROR(IF(INDEX('State Map'!$C:$C,MATCH(TRIM('RZSPbS-psgr-ldv'!$A4),'State Map'!$A:$A,0))="Max Ambition",Schedules!J$13,M4),M4)</f>
        <v>0</v>
      </c>
      <c r="O4" s="39">
        <f>IFERROR(IF(INDEX('State Map'!$C:$C,MATCH(TRIM('RZSPbS-psgr-ldv'!$A4),'State Map'!$A:$A,0))="Max Ambition",Schedules!K$13,N4),N4)</f>
        <v>0</v>
      </c>
      <c r="P4" s="39">
        <f>IFERROR(IF(INDEX('State Map'!$C:$C,MATCH(TRIM('RZSPbS-psgr-ldv'!$A4),'State Map'!$A:$A,0))="Max Ambition",Schedules!L$13,O4),O4)</f>
        <v>0</v>
      </c>
      <c r="Q4" s="39">
        <f>IFERROR(IF(INDEX('State Map'!$C:$C,MATCH(TRIM('RZSPbS-psgr-ldv'!$A4),'State Map'!$A:$A,0))="Max Ambition",Schedules!M$13,P4),P4)</f>
        <v>0</v>
      </c>
      <c r="R4" s="39">
        <f>IFERROR(IF(INDEX('State Map'!$C:$C,MATCH(TRIM('RZSPbS-psgr-ldv'!$A4),'State Map'!$A:$A,0))="Max Ambition",Schedules!N$13,Q4),Q4)</f>
        <v>0</v>
      </c>
      <c r="S4" s="39">
        <f>IFERROR(IF(INDEX('State Map'!$C:$C,MATCH(TRIM('RZSPbS-psgr-ldv'!$A4),'State Map'!$A:$A,0))="Max Ambition",Schedules!O$13,R4),R4)</f>
        <v>0</v>
      </c>
      <c r="T4" s="39">
        <f>IFERROR(IF(INDEX('State Map'!$C:$C,MATCH(TRIM('RZSPbS-psgr-ldv'!$A4),'State Map'!$A:$A,0))="Max Ambition",Schedules!P$13,S4),S4)</f>
        <v>0</v>
      </c>
      <c r="U4" s="39">
        <f>IFERROR(IF(INDEX('State Map'!$C:$C,MATCH(TRIM('RZSPbS-psgr-ldv'!$A4),'State Map'!$A:$A,0))="Max Ambition",Schedules!Q$13,T4),T4)</f>
        <v>0</v>
      </c>
      <c r="V4" s="39">
        <f>IFERROR(IF(INDEX('State Map'!$C:$C,MATCH(TRIM('RZSPbS-psgr-ldv'!$A4),'State Map'!$A:$A,0))="Max Ambition",Schedules!R$13,U4),U4)</f>
        <v>0</v>
      </c>
      <c r="W4" s="39">
        <f>IFERROR(IF(INDEX('State Map'!$C:$C,MATCH(TRIM('RZSPbS-psgr-ldv'!$A4),'State Map'!$A:$A,0))="Max Ambition",Schedules!S$13,V4),V4)</f>
        <v>0</v>
      </c>
      <c r="X4" s="39">
        <f>IFERROR(IF(INDEX('State Map'!$C:$C,MATCH(TRIM('RZSPbS-psgr-ldv'!$A4),'State Map'!$A:$A,0))="Max Ambition",Schedules!T$13,W4),W4)</f>
        <v>0</v>
      </c>
      <c r="Y4" s="39">
        <f>IFERROR(IF(INDEX('State Map'!$C:$C,MATCH(TRIM('RZSPbS-psgr-ldv'!$A4),'State Map'!$A:$A,0))="Max Ambition",Schedules!U$13,X4),X4)</f>
        <v>0</v>
      </c>
      <c r="Z4" s="39">
        <f>IFERROR(IF(INDEX('State Map'!$C:$C,MATCH(TRIM('RZSPbS-psgr-ldv'!$A4),'State Map'!$A:$A,0))="Max Ambition",Schedules!V$13,Y4),Y4)</f>
        <v>0</v>
      </c>
      <c r="AA4" s="39">
        <f>IFERROR(IF(INDEX('State Map'!$C:$C,MATCH(TRIM('RZSPbS-psgr-ldv'!$A4),'State Map'!$A:$A,0))="Max Ambition",Schedules!W$13,Z4),Z4)</f>
        <v>0</v>
      </c>
      <c r="AB4" s="39">
        <f>IFERROR(IF(INDEX('State Map'!$C:$C,MATCH(TRIM('RZSPbS-psgr-ldv'!$A4),'State Map'!$A:$A,0))="Max Ambition",Schedules!X$13,AA4),AA4)</f>
        <v>0</v>
      </c>
      <c r="AC4" s="39">
        <f>IFERROR(IF(INDEX('State Map'!$C:$C,MATCH(TRIM('RZSPbS-psgr-ldv'!$A4),'State Map'!$A:$A,0))="Max Ambition",Schedules!Y$13,AB4),AB4)</f>
        <v>0</v>
      </c>
      <c r="AD4" s="39">
        <f>IFERROR(IF(INDEX('State Map'!$C:$C,MATCH(TRIM('RZSPbS-psgr-ldv'!$A4),'State Map'!$A:$A,0))="Max Ambition",Schedules!Z$13,AC4),AC4)</f>
        <v>0</v>
      </c>
      <c r="AE4" s="39">
        <f>IFERROR(IF(INDEX('State Map'!$C:$C,MATCH(TRIM('RZSPbS-psgr-ldv'!$A4),'State Map'!$A:$A,0))="Max Ambition",Schedules!AA$13,AD4),AD4)</f>
        <v>0</v>
      </c>
      <c r="AF4" s="39">
        <f>IFERROR(IF(INDEX('State Map'!$C:$C,MATCH(TRIM('RZSPbS-psgr-ldv'!$A4),'State Map'!$A:$A,0))="Max Ambition",Schedules!AB$13,AE4),AE4)</f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39">
        <f>IFERROR(IF(INDEX('State Map'!$C:$C,MATCH(TRIM('RZSPbS-psgr-ldv'!$A5),'State Map'!$A:$A,0))="Max Ambition",Schedules!G$13,J5),J5)</f>
        <v>0</v>
      </c>
      <c r="L5" s="39">
        <f>IFERROR(IF(INDEX('State Map'!$C:$C,MATCH(TRIM('RZSPbS-psgr-ldv'!$A5),'State Map'!$A:$A,0))="Max Ambition",Schedules!H$13,K5),K5)</f>
        <v>0</v>
      </c>
      <c r="M5" s="39">
        <f>IFERROR(IF(INDEX('State Map'!$C:$C,MATCH(TRIM('RZSPbS-psgr-ldv'!$A5),'State Map'!$A:$A,0))="Max Ambition",Schedules!I$13,L5),L5)</f>
        <v>0</v>
      </c>
      <c r="N5" s="39">
        <f>IFERROR(IF(INDEX('State Map'!$C:$C,MATCH(TRIM('RZSPbS-psgr-ldv'!$A5),'State Map'!$A:$A,0))="Max Ambition",Schedules!J$13,M5),M5)</f>
        <v>0</v>
      </c>
      <c r="O5" s="39">
        <f>IFERROR(IF(INDEX('State Map'!$C:$C,MATCH(TRIM('RZSPbS-psgr-ldv'!$A5),'State Map'!$A:$A,0))="Max Ambition",Schedules!K$13,N5),N5)</f>
        <v>0</v>
      </c>
      <c r="P5" s="39">
        <f>IFERROR(IF(INDEX('State Map'!$C:$C,MATCH(TRIM('RZSPbS-psgr-ldv'!$A5),'State Map'!$A:$A,0))="Max Ambition",Schedules!L$13,O5),O5)</f>
        <v>0</v>
      </c>
      <c r="Q5" s="39">
        <f>IFERROR(IF(INDEX('State Map'!$C:$C,MATCH(TRIM('RZSPbS-psgr-ldv'!$A5),'State Map'!$A:$A,0))="Max Ambition",Schedules!M$13,P5),P5)</f>
        <v>0</v>
      </c>
      <c r="R5" s="39">
        <f>IFERROR(IF(INDEX('State Map'!$C:$C,MATCH(TRIM('RZSPbS-psgr-ldv'!$A5),'State Map'!$A:$A,0))="Max Ambition",Schedules!N$13,Q5),Q5)</f>
        <v>0</v>
      </c>
      <c r="S5" s="39">
        <f>IFERROR(IF(INDEX('State Map'!$C:$C,MATCH(TRIM('RZSPbS-psgr-ldv'!$A5),'State Map'!$A:$A,0))="Max Ambition",Schedules!O$13,R5),R5)</f>
        <v>0</v>
      </c>
      <c r="T5" s="39">
        <f>IFERROR(IF(INDEX('State Map'!$C:$C,MATCH(TRIM('RZSPbS-psgr-ldv'!$A5),'State Map'!$A:$A,0))="Max Ambition",Schedules!P$13,S5),S5)</f>
        <v>0</v>
      </c>
      <c r="U5" s="39">
        <f>IFERROR(IF(INDEX('State Map'!$C:$C,MATCH(TRIM('RZSPbS-psgr-ldv'!$A5),'State Map'!$A:$A,0))="Max Ambition",Schedules!Q$13,T5),T5)</f>
        <v>0</v>
      </c>
      <c r="V5" s="39">
        <f>IFERROR(IF(INDEX('State Map'!$C:$C,MATCH(TRIM('RZSPbS-psgr-ldv'!$A5),'State Map'!$A:$A,0))="Max Ambition",Schedules!R$13,U5),U5)</f>
        <v>0</v>
      </c>
      <c r="W5" s="39">
        <f>IFERROR(IF(INDEX('State Map'!$C:$C,MATCH(TRIM('RZSPbS-psgr-ldv'!$A5),'State Map'!$A:$A,0))="Max Ambition",Schedules!S$13,V5),V5)</f>
        <v>0</v>
      </c>
      <c r="X5" s="39">
        <f>IFERROR(IF(INDEX('State Map'!$C:$C,MATCH(TRIM('RZSPbS-psgr-ldv'!$A5),'State Map'!$A:$A,0))="Max Ambition",Schedules!T$13,W5),W5)</f>
        <v>0</v>
      </c>
      <c r="Y5" s="39">
        <f>IFERROR(IF(INDEX('State Map'!$C:$C,MATCH(TRIM('RZSPbS-psgr-ldv'!$A5),'State Map'!$A:$A,0))="Max Ambition",Schedules!U$13,X5),X5)</f>
        <v>0</v>
      </c>
      <c r="Z5" s="39">
        <f>IFERROR(IF(INDEX('State Map'!$C:$C,MATCH(TRIM('RZSPbS-psgr-ldv'!$A5),'State Map'!$A:$A,0))="Max Ambition",Schedules!V$13,Y5),Y5)</f>
        <v>0</v>
      </c>
      <c r="AA5" s="39">
        <f>IFERROR(IF(INDEX('State Map'!$C:$C,MATCH(TRIM('RZSPbS-psgr-ldv'!$A5),'State Map'!$A:$A,0))="Max Ambition",Schedules!W$13,Z5),Z5)</f>
        <v>0</v>
      </c>
      <c r="AB5" s="39">
        <f>IFERROR(IF(INDEX('State Map'!$C:$C,MATCH(TRIM('RZSPbS-psgr-ldv'!$A5),'State Map'!$A:$A,0))="Max Ambition",Schedules!X$13,AA5),AA5)</f>
        <v>0</v>
      </c>
      <c r="AC5" s="39">
        <f>IFERROR(IF(INDEX('State Map'!$C:$C,MATCH(TRIM('RZSPbS-psgr-ldv'!$A5),'State Map'!$A:$A,0))="Max Ambition",Schedules!Y$13,AB5),AB5)</f>
        <v>0</v>
      </c>
      <c r="AD5" s="39">
        <f>IFERROR(IF(INDEX('State Map'!$C:$C,MATCH(TRIM('RZSPbS-psgr-ldv'!$A5),'State Map'!$A:$A,0))="Max Ambition",Schedules!Z$13,AC5),AC5)</f>
        <v>0</v>
      </c>
      <c r="AE5" s="39">
        <f>IFERROR(IF(INDEX('State Map'!$C:$C,MATCH(TRIM('RZSPbS-psgr-ldv'!$A5),'State Map'!$A:$A,0))="Max Ambition",Schedules!AA$13,AD5),AD5)</f>
        <v>0</v>
      </c>
      <c r="AF5" s="39">
        <f>IFERROR(IF(INDEX('State Map'!$C:$C,MATCH(TRIM('RZSPbS-psgr-ldv'!$A5),'State Map'!$A:$A,0))="Max Ambition",Schedules!AB$13,AE5),AE5)</f>
        <v>0</v>
      </c>
    </row>
    <row r="6" spans="1:32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39">
        <f>IFERROR(IF(INDEX('State Map'!$C:$C,MATCH(TRIM('RZSPbS-psgr-ldv'!$A6),'State Map'!$A:$A,0))="Max Ambition",Schedules!G$13,J6),J6)</f>
        <v>2.5999999999999999E-2</v>
      </c>
      <c r="L6" s="39">
        <f>IFERROR(IF(INDEX('State Map'!$C:$C,MATCH(TRIM('RZSPbS-psgr-ldv'!$A6),'State Map'!$A:$A,0))="Max Ambition",Schedules!H$13,K6),K6)</f>
        <v>0.03</v>
      </c>
      <c r="M6" s="39">
        <f>IFERROR(IF(INDEX('State Map'!$C:$C,MATCH(TRIM('RZSPbS-psgr-ldv'!$A6),'State Map'!$A:$A,0))="Max Ambition",Schedules!I$13,L6),L6)</f>
        <v>3.4000000000000002E-2</v>
      </c>
      <c r="N6" s="39">
        <f>IFERROR(IF(INDEX('State Map'!$C:$C,MATCH(TRIM('RZSPbS-psgr-ldv'!$A6),'State Map'!$A:$A,0))="Max Ambition",Schedules!J$13,M6),M6)</f>
        <v>0.05</v>
      </c>
      <c r="O6" s="39">
        <f>IFERROR(IF(INDEX('State Map'!$C:$C,MATCH(TRIM('RZSPbS-psgr-ldv'!$A6),'State Map'!$A:$A,0))="Max Ambition",Schedules!K$13,N6),N6)</f>
        <v>7.0000000000000007E-2</v>
      </c>
      <c r="P6" s="39">
        <f>IFERROR(IF(INDEX('State Map'!$C:$C,MATCH(TRIM('RZSPbS-psgr-ldv'!$A6),'State Map'!$A:$A,0))="Max Ambition",Schedules!L$13,O6),O6)</f>
        <v>0.1</v>
      </c>
      <c r="Q6" s="39">
        <f>IFERROR(IF(INDEX('State Map'!$C:$C,MATCH(TRIM('RZSPbS-psgr-ldv'!$A6),'State Map'!$A:$A,0))="Max Ambition",Schedules!M$13,P6),P6)</f>
        <v>0.15</v>
      </c>
      <c r="R6" s="39">
        <f>IFERROR(IF(INDEX('State Map'!$C:$C,MATCH(TRIM('RZSPbS-psgr-ldv'!$A6),'State Map'!$A:$A,0))="Max Ambition",Schedules!N$13,Q6),Q6)</f>
        <v>0.2</v>
      </c>
      <c r="S6" s="39">
        <f>IFERROR(IF(INDEX('State Map'!$C:$C,MATCH(TRIM('RZSPbS-psgr-ldv'!$A6),'State Map'!$A:$A,0))="Max Ambition",Schedules!O$13,R6),R6)</f>
        <v>0.25</v>
      </c>
      <c r="T6" s="39">
        <f>IFERROR(IF(INDEX('State Map'!$C:$C,MATCH(TRIM('RZSPbS-psgr-ldv'!$A6),'State Map'!$A:$A,0))="Max Ambition",Schedules!P$13,S6),S6)</f>
        <v>0.3</v>
      </c>
      <c r="U6" s="39">
        <f>IFERROR(IF(INDEX('State Map'!$C:$C,MATCH(TRIM('RZSPbS-psgr-ldv'!$A6),'State Map'!$A:$A,0))="Max Ambition",Schedules!Q$13,T6),T6)</f>
        <v>0.35</v>
      </c>
      <c r="V6" s="39">
        <f>IFERROR(IF(INDEX('State Map'!$C:$C,MATCH(TRIM('RZSPbS-psgr-ldv'!$A6),'State Map'!$A:$A,0))="Max Ambition",Schedules!R$13,U6),U6)</f>
        <v>0.4</v>
      </c>
      <c r="W6" s="39">
        <f>IFERROR(IF(INDEX('State Map'!$C:$C,MATCH(TRIM('RZSPbS-psgr-ldv'!$A6),'State Map'!$A:$A,0))="Max Ambition",Schedules!S$13,V6),V6)</f>
        <v>0.4</v>
      </c>
      <c r="X6" s="39">
        <f>IFERROR(IF(INDEX('State Map'!$C:$C,MATCH(TRIM('RZSPbS-psgr-ldv'!$A6),'State Map'!$A:$A,0))="Max Ambition",Schedules!T$13,W6),W6)</f>
        <v>0.4</v>
      </c>
      <c r="Y6" s="39">
        <f>IFERROR(IF(INDEX('State Map'!$C:$C,MATCH(TRIM('RZSPbS-psgr-ldv'!$A6),'State Map'!$A:$A,0))="Max Ambition",Schedules!U$13,X6),X6)</f>
        <v>0.4</v>
      </c>
      <c r="Z6" s="39">
        <f>IFERROR(IF(INDEX('State Map'!$C:$C,MATCH(TRIM('RZSPbS-psgr-ldv'!$A6),'State Map'!$A:$A,0))="Max Ambition",Schedules!V$13,Y6),Y6)</f>
        <v>0.45700000000000002</v>
      </c>
      <c r="AA6" s="39">
        <f>IFERROR(IF(INDEX('State Map'!$C:$C,MATCH(TRIM('RZSPbS-psgr-ldv'!$A6),'State Map'!$A:$A,0))="Max Ambition",Schedules!W$13,Z6),Z6)</f>
        <v>0.51400000000000001</v>
      </c>
      <c r="AB6" s="39">
        <f>IFERROR(IF(INDEX('State Map'!$C:$C,MATCH(TRIM('RZSPbS-psgr-ldv'!$A6),'State Map'!$A:$A,0))="Max Ambition",Schedules!X$13,AA6),AA6)</f>
        <v>0.57099999999999995</v>
      </c>
      <c r="AC6" s="39">
        <f>IFERROR(IF(INDEX('State Map'!$C:$C,MATCH(TRIM('RZSPbS-psgr-ldv'!$A6),'State Map'!$A:$A,0))="Max Ambition",Schedules!Y$13,AB6),AB6)</f>
        <v>0.628</v>
      </c>
      <c r="AD6" s="39">
        <f>IFERROR(IF(INDEX('State Map'!$C:$C,MATCH(TRIM('RZSPbS-psgr-ldv'!$A6),'State Map'!$A:$A,0))="Max Ambition",Schedules!Z$13,AC6),AC6)</f>
        <v>0.68500000000000005</v>
      </c>
      <c r="AE6" s="39">
        <f>IFERROR(IF(INDEX('State Map'!$C:$C,MATCH(TRIM('RZSPbS-psgr-ldv'!$A6),'State Map'!$A:$A,0))="Max Ambition",Schedules!AA$13,AD6),AD6)</f>
        <v>0.74199999999999999</v>
      </c>
      <c r="AF6" s="39">
        <f>IFERROR(IF(INDEX('State Map'!$C:$C,MATCH(TRIM('RZSPbS-psgr-ldv'!$A6),'State Map'!$A:$A,0))="Max Ambition",Schedules!AB$13,AE6),AE6)</f>
        <v>0.8</v>
      </c>
    </row>
    <row r="7" spans="1:32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39">
        <f>IFERROR(IF(INDEX('State Map'!$C:$C,MATCH(TRIM('RZSPbS-psgr-ldv'!$A7),'State Map'!$A:$A,0))="Max Ambition",Schedules!G$13,J7),J7)</f>
        <v>2.5999999999999999E-2</v>
      </c>
      <c r="L7" s="39">
        <f>IFERROR(IF(INDEX('State Map'!$C:$C,MATCH(TRIM('RZSPbS-psgr-ldv'!$A7),'State Map'!$A:$A,0))="Max Ambition",Schedules!H$13,K7),K7)</f>
        <v>0.03</v>
      </c>
      <c r="M7" s="39">
        <f>IFERROR(IF(INDEX('State Map'!$C:$C,MATCH(TRIM('RZSPbS-psgr-ldv'!$A7),'State Map'!$A:$A,0))="Max Ambition",Schedules!I$13,L7),L7)</f>
        <v>3.4000000000000002E-2</v>
      </c>
      <c r="N7" s="39">
        <f>IFERROR(IF(INDEX('State Map'!$C:$C,MATCH(TRIM('RZSPbS-psgr-ldv'!$A7),'State Map'!$A:$A,0))="Max Ambition",Schedules!J$13,M7),M7)</f>
        <v>0.05</v>
      </c>
      <c r="O7" s="39">
        <f>IFERROR(IF(INDEX('State Map'!$C:$C,MATCH(TRIM('RZSPbS-psgr-ldv'!$A7),'State Map'!$A:$A,0))="Max Ambition",Schedules!K$13,N7),N7)</f>
        <v>7.0000000000000007E-2</v>
      </c>
      <c r="P7" s="39">
        <f>IFERROR(IF(INDEX('State Map'!$C:$C,MATCH(TRIM('RZSPbS-psgr-ldv'!$A7),'State Map'!$A:$A,0))="Max Ambition",Schedules!L$13,O7),O7)</f>
        <v>0.1</v>
      </c>
      <c r="Q7" s="39">
        <f>IFERROR(IF(INDEX('State Map'!$C:$C,MATCH(TRIM('RZSPbS-psgr-ldv'!$A7),'State Map'!$A:$A,0))="Max Ambition",Schedules!M$13,P7),P7)</f>
        <v>0.15</v>
      </c>
      <c r="R7" s="39">
        <f>IFERROR(IF(INDEX('State Map'!$C:$C,MATCH(TRIM('RZSPbS-psgr-ldv'!$A7),'State Map'!$A:$A,0))="Max Ambition",Schedules!N$13,Q7),Q7)</f>
        <v>0.2</v>
      </c>
      <c r="S7" s="39">
        <f>IFERROR(IF(INDEX('State Map'!$C:$C,MATCH(TRIM('RZSPbS-psgr-ldv'!$A7),'State Map'!$A:$A,0))="Max Ambition",Schedules!O$13,R7),R7)</f>
        <v>0.25</v>
      </c>
      <c r="T7" s="39">
        <f>IFERROR(IF(INDEX('State Map'!$C:$C,MATCH(TRIM('RZSPbS-psgr-ldv'!$A7),'State Map'!$A:$A,0))="Max Ambition",Schedules!P$13,S7),S7)</f>
        <v>0.3</v>
      </c>
      <c r="U7" s="39">
        <f>IFERROR(IF(INDEX('State Map'!$C:$C,MATCH(TRIM('RZSPbS-psgr-ldv'!$A7),'State Map'!$A:$A,0))="Max Ambition",Schedules!Q$13,T7),T7)</f>
        <v>0.35</v>
      </c>
      <c r="V7" s="39">
        <f>IFERROR(IF(INDEX('State Map'!$C:$C,MATCH(TRIM('RZSPbS-psgr-ldv'!$A7),'State Map'!$A:$A,0))="Max Ambition",Schedules!R$13,U7),U7)</f>
        <v>0.4</v>
      </c>
      <c r="W7" s="39">
        <f>IFERROR(IF(INDEX('State Map'!$C:$C,MATCH(TRIM('RZSPbS-psgr-ldv'!$A7),'State Map'!$A:$A,0))="Max Ambition",Schedules!S$13,V7),V7)</f>
        <v>0.4</v>
      </c>
      <c r="X7" s="39">
        <f>IFERROR(IF(INDEX('State Map'!$C:$C,MATCH(TRIM('RZSPbS-psgr-ldv'!$A7),'State Map'!$A:$A,0))="Max Ambition",Schedules!T$13,W7),W7)</f>
        <v>0.4</v>
      </c>
      <c r="Y7" s="39">
        <f>IFERROR(IF(INDEX('State Map'!$C:$C,MATCH(TRIM('RZSPbS-psgr-ldv'!$A7),'State Map'!$A:$A,0))="Max Ambition",Schedules!U$13,X7),X7)</f>
        <v>0.4</v>
      </c>
      <c r="Z7" s="39">
        <f>IFERROR(IF(INDEX('State Map'!$C:$C,MATCH(TRIM('RZSPbS-psgr-ldv'!$A7),'State Map'!$A:$A,0))="Max Ambition",Schedules!V$13,Y7),Y7)</f>
        <v>0.45700000000000002</v>
      </c>
      <c r="AA7" s="39">
        <f>IFERROR(IF(INDEX('State Map'!$C:$C,MATCH(TRIM('RZSPbS-psgr-ldv'!$A7),'State Map'!$A:$A,0))="Max Ambition",Schedules!W$13,Z7),Z7)</f>
        <v>0.51400000000000001</v>
      </c>
      <c r="AB7" s="39">
        <f>IFERROR(IF(INDEX('State Map'!$C:$C,MATCH(TRIM('RZSPbS-psgr-ldv'!$A7),'State Map'!$A:$A,0))="Max Ambition",Schedules!X$13,AA7),AA7)</f>
        <v>0.57099999999999995</v>
      </c>
      <c r="AC7" s="39">
        <f>IFERROR(IF(INDEX('State Map'!$C:$C,MATCH(TRIM('RZSPbS-psgr-ldv'!$A7),'State Map'!$A:$A,0))="Max Ambition",Schedules!Y$13,AB7),AB7)</f>
        <v>0.628</v>
      </c>
      <c r="AD7" s="39">
        <f>IFERROR(IF(INDEX('State Map'!$C:$C,MATCH(TRIM('RZSPbS-psgr-ldv'!$A7),'State Map'!$A:$A,0))="Max Ambition",Schedules!Z$13,AC7),AC7)</f>
        <v>0.68500000000000005</v>
      </c>
      <c r="AE7" s="39">
        <f>IFERROR(IF(INDEX('State Map'!$C:$C,MATCH(TRIM('RZSPbS-psgr-ldv'!$A7),'State Map'!$A:$A,0))="Max Ambition",Schedules!AA$13,AD7),AD7)</f>
        <v>0.74199999999999999</v>
      </c>
      <c r="AF7" s="39">
        <f>IFERROR(IF(INDEX('State Map'!$C:$C,MATCH(TRIM('RZSPbS-psgr-ldv'!$A7),'State Map'!$A:$A,0))="Max Ambition",Schedules!AB$13,AE7),AE7)</f>
        <v>0.8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39">
        <f>IFERROR(IF(INDEX('State Map'!$C:$C,MATCH(TRIM('RZSPbS-psgr-ldv'!$A8),'State Map'!$A:$A,0))="Max Ambition",Schedules!G$13,J8),J8)</f>
        <v>0</v>
      </c>
      <c r="L8" s="39">
        <f>IFERROR(IF(INDEX('State Map'!$C:$C,MATCH(TRIM('RZSPbS-psgr-ldv'!$A8),'State Map'!$A:$A,0))="Max Ambition",Schedules!H$13,K8),K8)</f>
        <v>0</v>
      </c>
      <c r="M8" s="39">
        <f>IFERROR(IF(INDEX('State Map'!$C:$C,MATCH(TRIM('RZSPbS-psgr-ldv'!$A8),'State Map'!$A:$A,0))="Max Ambition",Schedules!I$13,L8),L8)</f>
        <v>0</v>
      </c>
      <c r="N8" s="39">
        <f>IFERROR(IF(INDEX('State Map'!$C:$C,MATCH(TRIM('RZSPbS-psgr-ldv'!$A8),'State Map'!$A:$A,0))="Max Ambition",Schedules!J$13,M8),M8)</f>
        <v>0</v>
      </c>
      <c r="O8" s="39">
        <f>IFERROR(IF(INDEX('State Map'!$C:$C,MATCH(TRIM('RZSPbS-psgr-ldv'!$A8),'State Map'!$A:$A,0))="Max Ambition",Schedules!K$13,N8),N8)</f>
        <v>0</v>
      </c>
      <c r="P8" s="39">
        <f>IFERROR(IF(INDEX('State Map'!$C:$C,MATCH(TRIM('RZSPbS-psgr-ldv'!$A8),'State Map'!$A:$A,0))="Max Ambition",Schedules!L$13,O8),O8)</f>
        <v>0</v>
      </c>
      <c r="Q8" s="39">
        <f>IFERROR(IF(INDEX('State Map'!$C:$C,MATCH(TRIM('RZSPbS-psgr-ldv'!$A8),'State Map'!$A:$A,0))="Max Ambition",Schedules!M$13,P8),P8)</f>
        <v>0</v>
      </c>
      <c r="R8" s="39">
        <f>IFERROR(IF(INDEX('State Map'!$C:$C,MATCH(TRIM('RZSPbS-psgr-ldv'!$A8),'State Map'!$A:$A,0))="Max Ambition",Schedules!N$13,Q8),Q8)</f>
        <v>0</v>
      </c>
      <c r="S8" s="39">
        <f>IFERROR(IF(INDEX('State Map'!$C:$C,MATCH(TRIM('RZSPbS-psgr-ldv'!$A8),'State Map'!$A:$A,0))="Max Ambition",Schedules!O$13,R8),R8)</f>
        <v>0</v>
      </c>
      <c r="T8" s="39">
        <f>IFERROR(IF(INDEX('State Map'!$C:$C,MATCH(TRIM('RZSPbS-psgr-ldv'!$A8),'State Map'!$A:$A,0))="Max Ambition",Schedules!P$13,S8),S8)</f>
        <v>0</v>
      </c>
      <c r="U8" s="39">
        <f>IFERROR(IF(INDEX('State Map'!$C:$C,MATCH(TRIM('RZSPbS-psgr-ldv'!$A8),'State Map'!$A:$A,0))="Max Ambition",Schedules!Q$13,T8),T8)</f>
        <v>0</v>
      </c>
      <c r="V8" s="39">
        <f>IFERROR(IF(INDEX('State Map'!$C:$C,MATCH(TRIM('RZSPbS-psgr-ldv'!$A8),'State Map'!$A:$A,0))="Max Ambition",Schedules!R$13,U8),U8)</f>
        <v>0</v>
      </c>
      <c r="W8" s="39">
        <f>IFERROR(IF(INDEX('State Map'!$C:$C,MATCH(TRIM('RZSPbS-psgr-ldv'!$A8),'State Map'!$A:$A,0))="Max Ambition",Schedules!S$13,V8),V8)</f>
        <v>0</v>
      </c>
      <c r="X8" s="39">
        <f>IFERROR(IF(INDEX('State Map'!$C:$C,MATCH(TRIM('RZSPbS-psgr-ldv'!$A8),'State Map'!$A:$A,0))="Max Ambition",Schedules!T$13,W8),W8)</f>
        <v>0</v>
      </c>
      <c r="Y8" s="39">
        <f>IFERROR(IF(INDEX('State Map'!$C:$C,MATCH(TRIM('RZSPbS-psgr-ldv'!$A8),'State Map'!$A:$A,0))="Max Ambition",Schedules!U$13,X8),X8)</f>
        <v>0</v>
      </c>
      <c r="Z8" s="39">
        <f>IFERROR(IF(INDEX('State Map'!$C:$C,MATCH(TRIM('RZSPbS-psgr-ldv'!$A8),'State Map'!$A:$A,0))="Max Ambition",Schedules!V$13,Y8),Y8)</f>
        <v>0</v>
      </c>
      <c r="AA8" s="39">
        <f>IFERROR(IF(INDEX('State Map'!$C:$C,MATCH(TRIM('RZSPbS-psgr-ldv'!$A8),'State Map'!$A:$A,0))="Max Ambition",Schedules!W$13,Z8),Z8)</f>
        <v>0</v>
      </c>
      <c r="AB8" s="39">
        <f>IFERROR(IF(INDEX('State Map'!$C:$C,MATCH(TRIM('RZSPbS-psgr-ldv'!$A8),'State Map'!$A:$A,0))="Max Ambition",Schedules!X$13,AA8),AA8)</f>
        <v>0</v>
      </c>
      <c r="AC8" s="39">
        <f>IFERROR(IF(INDEX('State Map'!$C:$C,MATCH(TRIM('RZSPbS-psgr-ldv'!$A8),'State Map'!$A:$A,0))="Max Ambition",Schedules!Y$13,AB8),AB8)</f>
        <v>0</v>
      </c>
      <c r="AD8" s="39">
        <f>IFERROR(IF(INDEX('State Map'!$C:$C,MATCH(TRIM('RZSPbS-psgr-ldv'!$A8),'State Map'!$A:$A,0))="Max Ambition",Schedules!Z$13,AC8),AC8)</f>
        <v>0</v>
      </c>
      <c r="AE8" s="39">
        <f>IFERROR(IF(INDEX('State Map'!$C:$C,MATCH(TRIM('RZSPbS-psgr-ldv'!$A8),'State Map'!$A:$A,0))="Max Ambition",Schedules!AA$13,AD8),AD8)</f>
        <v>0</v>
      </c>
      <c r="AF8" s="39">
        <f>IFERROR(IF(INDEX('State Map'!$C:$C,MATCH(TRIM('RZSPbS-psgr-ldv'!$A8),'State Map'!$A:$A,0))="Max Ambition",Schedules!AB$13,AE8),AE8)</f>
        <v>0</v>
      </c>
    </row>
    <row r="9" spans="1:32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39">
        <f>IFERROR(IF(INDEX('State Map'!$C:$C,MATCH(TRIM('RZSPbS-psgr-ldv'!$A9),'State Map'!$A:$A,0))="Max Ambition",Schedules!G$13,J9),J9)</f>
        <v>2.5999999999999999E-2</v>
      </c>
      <c r="L9" s="39">
        <f>IFERROR(IF(INDEX('State Map'!$C:$C,MATCH(TRIM('RZSPbS-psgr-ldv'!$A9),'State Map'!$A:$A,0))="Max Ambition",Schedules!H$13,K9),K9)</f>
        <v>0.03</v>
      </c>
      <c r="M9" s="39">
        <f>IFERROR(IF(INDEX('State Map'!$C:$C,MATCH(TRIM('RZSPbS-psgr-ldv'!$A9),'State Map'!$A:$A,0))="Max Ambition",Schedules!I$13,L9),L9)</f>
        <v>3.4000000000000002E-2</v>
      </c>
      <c r="N9" s="39">
        <f>IFERROR(IF(INDEX('State Map'!$C:$C,MATCH(TRIM('RZSPbS-psgr-ldv'!$A9),'State Map'!$A:$A,0))="Max Ambition",Schedules!J$13,M9),M9)</f>
        <v>0.05</v>
      </c>
      <c r="O9" s="39">
        <f>IFERROR(IF(INDEX('State Map'!$C:$C,MATCH(TRIM('RZSPbS-psgr-ldv'!$A9),'State Map'!$A:$A,0))="Max Ambition",Schedules!K$13,N9),N9)</f>
        <v>7.0000000000000007E-2</v>
      </c>
      <c r="P9" s="39">
        <f>IFERROR(IF(INDEX('State Map'!$C:$C,MATCH(TRIM('RZSPbS-psgr-ldv'!$A9),'State Map'!$A:$A,0))="Max Ambition",Schedules!L$13,O9),O9)</f>
        <v>0.1</v>
      </c>
      <c r="Q9" s="39">
        <f>IFERROR(IF(INDEX('State Map'!$C:$C,MATCH(TRIM('RZSPbS-psgr-ldv'!$A9),'State Map'!$A:$A,0))="Max Ambition",Schedules!M$13,P9),P9)</f>
        <v>0.15</v>
      </c>
      <c r="R9" s="39">
        <f>IFERROR(IF(INDEX('State Map'!$C:$C,MATCH(TRIM('RZSPbS-psgr-ldv'!$A9),'State Map'!$A:$A,0))="Max Ambition",Schedules!N$13,Q9),Q9)</f>
        <v>0.2</v>
      </c>
      <c r="S9" s="39">
        <f>IFERROR(IF(INDEX('State Map'!$C:$C,MATCH(TRIM('RZSPbS-psgr-ldv'!$A9),'State Map'!$A:$A,0))="Max Ambition",Schedules!O$13,R9),R9)</f>
        <v>0.25</v>
      </c>
      <c r="T9" s="39">
        <f>IFERROR(IF(INDEX('State Map'!$C:$C,MATCH(TRIM('RZSPbS-psgr-ldv'!$A9),'State Map'!$A:$A,0))="Max Ambition",Schedules!P$13,S9),S9)</f>
        <v>0.3</v>
      </c>
      <c r="U9" s="39">
        <f>IFERROR(IF(INDEX('State Map'!$C:$C,MATCH(TRIM('RZSPbS-psgr-ldv'!$A9),'State Map'!$A:$A,0))="Max Ambition",Schedules!Q$13,T9),T9)</f>
        <v>0.35</v>
      </c>
      <c r="V9" s="39">
        <f>IFERROR(IF(INDEX('State Map'!$C:$C,MATCH(TRIM('RZSPbS-psgr-ldv'!$A9),'State Map'!$A:$A,0))="Max Ambition",Schedules!R$13,U9),U9)</f>
        <v>0.4</v>
      </c>
      <c r="W9" s="39">
        <f>IFERROR(IF(INDEX('State Map'!$C:$C,MATCH(TRIM('RZSPbS-psgr-ldv'!$A9),'State Map'!$A:$A,0))="Max Ambition",Schedules!S$13,V9),V9)</f>
        <v>0.4</v>
      </c>
      <c r="X9" s="39">
        <f>IFERROR(IF(INDEX('State Map'!$C:$C,MATCH(TRIM('RZSPbS-psgr-ldv'!$A9),'State Map'!$A:$A,0))="Max Ambition",Schedules!T$13,W9),W9)</f>
        <v>0.4</v>
      </c>
      <c r="Y9" s="39">
        <f>IFERROR(IF(INDEX('State Map'!$C:$C,MATCH(TRIM('RZSPbS-psgr-ldv'!$A9),'State Map'!$A:$A,0))="Max Ambition",Schedules!U$13,X9),X9)</f>
        <v>0.4</v>
      </c>
      <c r="Z9" s="39">
        <f>IFERROR(IF(INDEX('State Map'!$C:$C,MATCH(TRIM('RZSPbS-psgr-ldv'!$A9),'State Map'!$A:$A,0))="Max Ambition",Schedules!V$13,Y9),Y9)</f>
        <v>0.45700000000000002</v>
      </c>
      <c r="AA9" s="39">
        <f>IFERROR(IF(INDEX('State Map'!$C:$C,MATCH(TRIM('RZSPbS-psgr-ldv'!$A9),'State Map'!$A:$A,0))="Max Ambition",Schedules!W$13,Z9),Z9)</f>
        <v>0.51400000000000001</v>
      </c>
      <c r="AB9" s="39">
        <f>IFERROR(IF(INDEX('State Map'!$C:$C,MATCH(TRIM('RZSPbS-psgr-ldv'!$A9),'State Map'!$A:$A,0))="Max Ambition",Schedules!X$13,AA9),AA9)</f>
        <v>0.57099999999999995</v>
      </c>
      <c r="AC9" s="39">
        <f>IFERROR(IF(INDEX('State Map'!$C:$C,MATCH(TRIM('RZSPbS-psgr-ldv'!$A9),'State Map'!$A:$A,0))="Max Ambition",Schedules!Y$13,AB9),AB9)</f>
        <v>0.628</v>
      </c>
      <c r="AD9" s="39">
        <f>IFERROR(IF(INDEX('State Map'!$C:$C,MATCH(TRIM('RZSPbS-psgr-ldv'!$A9),'State Map'!$A:$A,0))="Max Ambition",Schedules!Z$13,AC9),AC9)</f>
        <v>0.68500000000000005</v>
      </c>
      <c r="AE9" s="39">
        <f>IFERROR(IF(INDEX('State Map'!$C:$C,MATCH(TRIM('RZSPbS-psgr-ldv'!$A9),'State Map'!$A:$A,0))="Max Ambition",Schedules!AA$13,AD9),AD9)</f>
        <v>0.74199999999999999</v>
      </c>
      <c r="AF9" s="39">
        <f>IFERROR(IF(INDEX('State Map'!$C:$C,MATCH(TRIM('RZSPbS-psgr-ldv'!$A9),'State Map'!$A:$A,0))="Max Ambition",Schedules!AB$13,AE9),AE9)</f>
        <v>0.8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39">
        <f>IFERROR(IF(INDEX('State Map'!$C:$C,MATCH(TRIM('RZSPbS-psgr-ldv'!$A10),'State Map'!$A:$A,0))="Max Ambition",Schedules!G$13,J10),J10)</f>
        <v>0</v>
      </c>
      <c r="L10" s="39">
        <f>IFERROR(IF(INDEX('State Map'!$C:$C,MATCH(TRIM('RZSPbS-psgr-ldv'!$A10),'State Map'!$A:$A,0))="Max Ambition",Schedules!H$13,K10),K10)</f>
        <v>0</v>
      </c>
      <c r="M10" s="39">
        <f>IFERROR(IF(INDEX('State Map'!$C:$C,MATCH(TRIM('RZSPbS-psgr-ldv'!$A10),'State Map'!$A:$A,0))="Max Ambition",Schedules!I$13,L10),L10)</f>
        <v>0</v>
      </c>
      <c r="N10" s="39">
        <f>IFERROR(IF(INDEX('State Map'!$C:$C,MATCH(TRIM('RZSPbS-psgr-ldv'!$A10),'State Map'!$A:$A,0))="Max Ambition",Schedules!J$13,M10),M10)</f>
        <v>0</v>
      </c>
      <c r="O10" s="39">
        <f>IFERROR(IF(INDEX('State Map'!$C:$C,MATCH(TRIM('RZSPbS-psgr-ldv'!$A10),'State Map'!$A:$A,0))="Max Ambition",Schedules!K$13,N10),N10)</f>
        <v>0</v>
      </c>
      <c r="P10" s="39">
        <f>IFERROR(IF(INDEX('State Map'!$C:$C,MATCH(TRIM('RZSPbS-psgr-ldv'!$A10),'State Map'!$A:$A,0))="Max Ambition",Schedules!L$13,O10),O10)</f>
        <v>0</v>
      </c>
      <c r="Q10" s="39">
        <f>IFERROR(IF(INDEX('State Map'!$C:$C,MATCH(TRIM('RZSPbS-psgr-ldv'!$A10),'State Map'!$A:$A,0))="Max Ambition",Schedules!M$13,P10),P10)</f>
        <v>0</v>
      </c>
      <c r="R10" s="39">
        <f>IFERROR(IF(INDEX('State Map'!$C:$C,MATCH(TRIM('RZSPbS-psgr-ldv'!$A10),'State Map'!$A:$A,0))="Max Ambition",Schedules!N$13,Q10),Q10)</f>
        <v>0</v>
      </c>
      <c r="S10" s="39">
        <f>IFERROR(IF(INDEX('State Map'!$C:$C,MATCH(TRIM('RZSPbS-psgr-ldv'!$A10),'State Map'!$A:$A,0))="Max Ambition",Schedules!O$13,R10),R10)</f>
        <v>0</v>
      </c>
      <c r="T10" s="39">
        <f>IFERROR(IF(INDEX('State Map'!$C:$C,MATCH(TRIM('RZSPbS-psgr-ldv'!$A10),'State Map'!$A:$A,0))="Max Ambition",Schedules!P$13,S10),S10)</f>
        <v>0</v>
      </c>
      <c r="U10" s="39">
        <f>IFERROR(IF(INDEX('State Map'!$C:$C,MATCH(TRIM('RZSPbS-psgr-ldv'!$A10),'State Map'!$A:$A,0))="Max Ambition",Schedules!Q$13,T10),T10)</f>
        <v>0</v>
      </c>
      <c r="V10" s="39">
        <f>IFERROR(IF(INDEX('State Map'!$C:$C,MATCH(TRIM('RZSPbS-psgr-ldv'!$A10),'State Map'!$A:$A,0))="Max Ambition",Schedules!R$13,U10),U10)</f>
        <v>0</v>
      </c>
      <c r="W10" s="39">
        <f>IFERROR(IF(INDEX('State Map'!$C:$C,MATCH(TRIM('RZSPbS-psgr-ldv'!$A10),'State Map'!$A:$A,0))="Max Ambition",Schedules!S$13,V10),V10)</f>
        <v>0</v>
      </c>
      <c r="X10" s="39">
        <f>IFERROR(IF(INDEX('State Map'!$C:$C,MATCH(TRIM('RZSPbS-psgr-ldv'!$A10),'State Map'!$A:$A,0))="Max Ambition",Schedules!T$13,W10),W10)</f>
        <v>0</v>
      </c>
      <c r="Y10" s="39">
        <f>IFERROR(IF(INDEX('State Map'!$C:$C,MATCH(TRIM('RZSPbS-psgr-ldv'!$A10),'State Map'!$A:$A,0))="Max Ambition",Schedules!U$13,X10),X10)</f>
        <v>0</v>
      </c>
      <c r="Z10" s="39">
        <f>IFERROR(IF(INDEX('State Map'!$C:$C,MATCH(TRIM('RZSPbS-psgr-ldv'!$A10),'State Map'!$A:$A,0))="Max Ambition",Schedules!V$13,Y10),Y10)</f>
        <v>0</v>
      </c>
      <c r="AA10" s="39">
        <f>IFERROR(IF(INDEX('State Map'!$C:$C,MATCH(TRIM('RZSPbS-psgr-ldv'!$A10),'State Map'!$A:$A,0))="Max Ambition",Schedules!W$13,Z10),Z10)</f>
        <v>0</v>
      </c>
      <c r="AB10" s="39">
        <f>IFERROR(IF(INDEX('State Map'!$C:$C,MATCH(TRIM('RZSPbS-psgr-ldv'!$A10),'State Map'!$A:$A,0))="Max Ambition",Schedules!X$13,AA10),AA10)</f>
        <v>0</v>
      </c>
      <c r="AC10" s="39">
        <f>IFERROR(IF(INDEX('State Map'!$C:$C,MATCH(TRIM('RZSPbS-psgr-ldv'!$A10),'State Map'!$A:$A,0))="Max Ambition",Schedules!Y$13,AB10),AB10)</f>
        <v>0</v>
      </c>
      <c r="AD10" s="39">
        <f>IFERROR(IF(INDEX('State Map'!$C:$C,MATCH(TRIM('RZSPbS-psgr-ldv'!$A10),'State Map'!$A:$A,0))="Max Ambition",Schedules!Z$13,AC10),AC10)</f>
        <v>0</v>
      </c>
      <c r="AE10" s="39">
        <f>IFERROR(IF(INDEX('State Map'!$C:$C,MATCH(TRIM('RZSPbS-psgr-ldv'!$A10),'State Map'!$A:$A,0))="Max Ambition",Schedules!AA$13,AD10),AD10)</f>
        <v>0</v>
      </c>
      <c r="AF10" s="39">
        <f>IFERROR(IF(INDEX('State Map'!$C:$C,MATCH(TRIM('RZSPbS-psgr-ldv'!$A10),'State Map'!$A:$A,0))="Max Ambition",Schedules!AB$13,AE10),AE10)</f>
        <v>0</v>
      </c>
    </row>
    <row r="11" spans="1:3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39">
        <f>IFERROR(IF(INDEX('State Map'!$C:$C,MATCH(TRIM('RZSPbS-psgr-ldv'!$A11),'State Map'!$A:$A,0))="Max Ambition",Schedules!G$13,J11),J11)</f>
        <v>0</v>
      </c>
      <c r="L11" s="39">
        <f>IFERROR(IF(INDEX('State Map'!$C:$C,MATCH(TRIM('RZSPbS-psgr-ldv'!$A11),'State Map'!$A:$A,0))="Max Ambition",Schedules!H$13,K11),K11)</f>
        <v>0</v>
      </c>
      <c r="M11" s="39">
        <f>IFERROR(IF(INDEX('State Map'!$C:$C,MATCH(TRIM('RZSPbS-psgr-ldv'!$A11),'State Map'!$A:$A,0))="Max Ambition",Schedules!I$13,L11),L11)</f>
        <v>0</v>
      </c>
      <c r="N11" s="39">
        <f>IFERROR(IF(INDEX('State Map'!$C:$C,MATCH(TRIM('RZSPbS-psgr-ldv'!$A11),'State Map'!$A:$A,0))="Max Ambition",Schedules!J$13,M11),M11)</f>
        <v>0</v>
      </c>
      <c r="O11" s="39">
        <f>IFERROR(IF(INDEX('State Map'!$C:$C,MATCH(TRIM('RZSPbS-psgr-ldv'!$A11),'State Map'!$A:$A,0))="Max Ambition",Schedules!K$13,N11),N11)</f>
        <v>0</v>
      </c>
      <c r="P11" s="39">
        <f>IFERROR(IF(INDEX('State Map'!$C:$C,MATCH(TRIM('RZSPbS-psgr-ldv'!$A11),'State Map'!$A:$A,0))="Max Ambition",Schedules!L$13,O11),O11)</f>
        <v>0</v>
      </c>
      <c r="Q11" s="39">
        <f>IFERROR(IF(INDEX('State Map'!$C:$C,MATCH(TRIM('RZSPbS-psgr-ldv'!$A11),'State Map'!$A:$A,0))="Max Ambition",Schedules!M$13,P11),P11)</f>
        <v>0</v>
      </c>
      <c r="R11" s="39">
        <f>IFERROR(IF(INDEX('State Map'!$C:$C,MATCH(TRIM('RZSPbS-psgr-ldv'!$A11),'State Map'!$A:$A,0))="Max Ambition",Schedules!N$13,Q11),Q11)</f>
        <v>0</v>
      </c>
      <c r="S11" s="39">
        <f>IFERROR(IF(INDEX('State Map'!$C:$C,MATCH(TRIM('RZSPbS-psgr-ldv'!$A11),'State Map'!$A:$A,0))="Max Ambition",Schedules!O$13,R11),R11)</f>
        <v>0</v>
      </c>
      <c r="T11" s="39">
        <f>IFERROR(IF(INDEX('State Map'!$C:$C,MATCH(TRIM('RZSPbS-psgr-ldv'!$A11),'State Map'!$A:$A,0))="Max Ambition",Schedules!P$13,S11),S11)</f>
        <v>0</v>
      </c>
      <c r="U11" s="39">
        <f>IFERROR(IF(INDEX('State Map'!$C:$C,MATCH(TRIM('RZSPbS-psgr-ldv'!$A11),'State Map'!$A:$A,0))="Max Ambition",Schedules!Q$13,T11),T11)</f>
        <v>0</v>
      </c>
      <c r="V11" s="39">
        <f>IFERROR(IF(INDEX('State Map'!$C:$C,MATCH(TRIM('RZSPbS-psgr-ldv'!$A11),'State Map'!$A:$A,0))="Max Ambition",Schedules!R$13,U11),U11)</f>
        <v>0</v>
      </c>
      <c r="W11" s="39">
        <f>IFERROR(IF(INDEX('State Map'!$C:$C,MATCH(TRIM('RZSPbS-psgr-ldv'!$A11),'State Map'!$A:$A,0))="Max Ambition",Schedules!S$13,V11),V11)</f>
        <v>0</v>
      </c>
      <c r="X11" s="39">
        <f>IFERROR(IF(INDEX('State Map'!$C:$C,MATCH(TRIM('RZSPbS-psgr-ldv'!$A11),'State Map'!$A:$A,0))="Max Ambition",Schedules!T$13,W11),W11)</f>
        <v>0</v>
      </c>
      <c r="Y11" s="39">
        <f>IFERROR(IF(INDEX('State Map'!$C:$C,MATCH(TRIM('RZSPbS-psgr-ldv'!$A11),'State Map'!$A:$A,0))="Max Ambition",Schedules!U$13,X11),X11)</f>
        <v>0</v>
      </c>
      <c r="Z11" s="39">
        <f>IFERROR(IF(INDEX('State Map'!$C:$C,MATCH(TRIM('RZSPbS-psgr-ldv'!$A11),'State Map'!$A:$A,0))="Max Ambition",Schedules!V$13,Y11),Y11)</f>
        <v>0</v>
      </c>
      <c r="AA11" s="39">
        <f>IFERROR(IF(INDEX('State Map'!$C:$C,MATCH(TRIM('RZSPbS-psgr-ldv'!$A11),'State Map'!$A:$A,0))="Max Ambition",Schedules!W$13,Z11),Z11)</f>
        <v>0</v>
      </c>
      <c r="AB11" s="39">
        <f>IFERROR(IF(INDEX('State Map'!$C:$C,MATCH(TRIM('RZSPbS-psgr-ldv'!$A11),'State Map'!$A:$A,0))="Max Ambition",Schedules!X$13,AA11),AA11)</f>
        <v>0</v>
      </c>
      <c r="AC11" s="39">
        <f>IFERROR(IF(INDEX('State Map'!$C:$C,MATCH(TRIM('RZSPbS-psgr-ldv'!$A11),'State Map'!$A:$A,0))="Max Ambition",Schedules!Y$13,AB11),AB11)</f>
        <v>0</v>
      </c>
      <c r="AD11" s="39">
        <f>IFERROR(IF(INDEX('State Map'!$C:$C,MATCH(TRIM('RZSPbS-psgr-ldv'!$A11),'State Map'!$A:$A,0))="Max Ambition",Schedules!Z$13,AC11),AC11)</f>
        <v>0</v>
      </c>
      <c r="AE11" s="39">
        <f>IFERROR(IF(INDEX('State Map'!$C:$C,MATCH(TRIM('RZSPbS-psgr-ldv'!$A11),'State Map'!$A:$A,0))="Max Ambition",Schedules!AA$13,AD11),AD11)</f>
        <v>0</v>
      </c>
      <c r="AF11" s="39">
        <f>IFERROR(IF(INDEX('State Map'!$C:$C,MATCH(TRIM('RZSPbS-psgr-ldv'!$A11),'State Map'!$A:$A,0))="Max Ambition",Schedules!AB$13,AE11),AE11)</f>
        <v>0</v>
      </c>
    </row>
    <row r="12" spans="1:32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39">
        <f>IFERROR(IF(INDEX('State Map'!$C:$C,MATCH(TRIM('RZSPbS-psgr-ldv'!$A12),'State Map'!$A:$A,0))="Max Ambition",Schedules!G$13,J12),J12)</f>
        <v>0</v>
      </c>
      <c r="L12" s="39">
        <f>IFERROR(IF(INDEX('State Map'!$C:$C,MATCH(TRIM('RZSPbS-psgr-ldv'!$A12),'State Map'!$A:$A,0))="Max Ambition",Schedules!H$13,K12),K12)</f>
        <v>0</v>
      </c>
      <c r="M12" s="39">
        <f>IFERROR(IF(INDEX('State Map'!$C:$C,MATCH(TRIM('RZSPbS-psgr-ldv'!$A12),'State Map'!$A:$A,0))="Max Ambition",Schedules!I$13,L12),L12)</f>
        <v>0</v>
      </c>
      <c r="N12" s="39">
        <f>IFERROR(IF(INDEX('State Map'!$C:$C,MATCH(TRIM('RZSPbS-psgr-ldv'!$A12),'State Map'!$A:$A,0))="Max Ambition",Schedules!J$13,M12),M12)</f>
        <v>0</v>
      </c>
      <c r="O12" s="39">
        <f>IFERROR(IF(INDEX('State Map'!$C:$C,MATCH(TRIM('RZSPbS-psgr-ldv'!$A12),'State Map'!$A:$A,0))="Max Ambition",Schedules!K$13,N12),N12)</f>
        <v>0</v>
      </c>
      <c r="P12" s="39">
        <f>IFERROR(IF(INDEX('State Map'!$C:$C,MATCH(TRIM('RZSPbS-psgr-ldv'!$A12),'State Map'!$A:$A,0))="Max Ambition",Schedules!L$13,O12),O12)</f>
        <v>0</v>
      </c>
      <c r="Q12" s="39">
        <f>IFERROR(IF(INDEX('State Map'!$C:$C,MATCH(TRIM('RZSPbS-psgr-ldv'!$A12),'State Map'!$A:$A,0))="Max Ambition",Schedules!M$13,P12),P12)</f>
        <v>0</v>
      </c>
      <c r="R12" s="39">
        <f>IFERROR(IF(INDEX('State Map'!$C:$C,MATCH(TRIM('RZSPbS-psgr-ldv'!$A12),'State Map'!$A:$A,0))="Max Ambition",Schedules!N$13,Q12),Q12)</f>
        <v>0</v>
      </c>
      <c r="S12" s="39">
        <f>IFERROR(IF(INDEX('State Map'!$C:$C,MATCH(TRIM('RZSPbS-psgr-ldv'!$A12),'State Map'!$A:$A,0))="Max Ambition",Schedules!O$13,R12),R12)</f>
        <v>0</v>
      </c>
      <c r="T12" s="39">
        <f>IFERROR(IF(INDEX('State Map'!$C:$C,MATCH(TRIM('RZSPbS-psgr-ldv'!$A12),'State Map'!$A:$A,0))="Max Ambition",Schedules!P$13,S12),S12)</f>
        <v>0</v>
      </c>
      <c r="U12" s="39">
        <f>IFERROR(IF(INDEX('State Map'!$C:$C,MATCH(TRIM('RZSPbS-psgr-ldv'!$A12),'State Map'!$A:$A,0))="Max Ambition",Schedules!Q$13,T12),T12)</f>
        <v>0</v>
      </c>
      <c r="V12" s="39">
        <f>IFERROR(IF(INDEX('State Map'!$C:$C,MATCH(TRIM('RZSPbS-psgr-ldv'!$A12),'State Map'!$A:$A,0))="Max Ambition",Schedules!R$13,U12),U12)</f>
        <v>0</v>
      </c>
      <c r="W12" s="39">
        <f>IFERROR(IF(INDEX('State Map'!$C:$C,MATCH(TRIM('RZSPbS-psgr-ldv'!$A12),'State Map'!$A:$A,0))="Max Ambition",Schedules!S$13,V12),V12)</f>
        <v>0</v>
      </c>
      <c r="X12" s="39">
        <f>IFERROR(IF(INDEX('State Map'!$C:$C,MATCH(TRIM('RZSPbS-psgr-ldv'!$A12),'State Map'!$A:$A,0))="Max Ambition",Schedules!T$13,W12),W12)</f>
        <v>0</v>
      </c>
      <c r="Y12" s="39">
        <f>IFERROR(IF(INDEX('State Map'!$C:$C,MATCH(TRIM('RZSPbS-psgr-ldv'!$A12),'State Map'!$A:$A,0))="Max Ambition",Schedules!U$13,X12),X12)</f>
        <v>0</v>
      </c>
      <c r="Z12" s="39">
        <f>IFERROR(IF(INDEX('State Map'!$C:$C,MATCH(TRIM('RZSPbS-psgr-ldv'!$A12),'State Map'!$A:$A,0))="Max Ambition",Schedules!V$13,Y12),Y12)</f>
        <v>0</v>
      </c>
      <c r="AA12" s="39">
        <f>IFERROR(IF(INDEX('State Map'!$C:$C,MATCH(TRIM('RZSPbS-psgr-ldv'!$A12),'State Map'!$A:$A,0))="Max Ambition",Schedules!W$13,Z12),Z12)</f>
        <v>0</v>
      </c>
      <c r="AB12" s="39">
        <f>IFERROR(IF(INDEX('State Map'!$C:$C,MATCH(TRIM('RZSPbS-psgr-ldv'!$A12),'State Map'!$A:$A,0))="Max Ambition",Schedules!X$13,AA12),AA12)</f>
        <v>0</v>
      </c>
      <c r="AC12" s="39">
        <f>IFERROR(IF(INDEX('State Map'!$C:$C,MATCH(TRIM('RZSPbS-psgr-ldv'!$A12),'State Map'!$A:$A,0))="Max Ambition",Schedules!Y$13,AB12),AB12)</f>
        <v>0</v>
      </c>
      <c r="AD12" s="39">
        <f>IFERROR(IF(INDEX('State Map'!$C:$C,MATCH(TRIM('RZSPbS-psgr-ldv'!$A12),'State Map'!$A:$A,0))="Max Ambition",Schedules!Z$13,AC12),AC12)</f>
        <v>0</v>
      </c>
      <c r="AE12" s="39">
        <f>IFERROR(IF(INDEX('State Map'!$C:$C,MATCH(TRIM('RZSPbS-psgr-ldv'!$A12),'State Map'!$A:$A,0))="Max Ambition",Schedules!AA$13,AD12),AD12)</f>
        <v>0</v>
      </c>
      <c r="AF12" s="39">
        <f>IFERROR(IF(INDEX('State Map'!$C:$C,MATCH(TRIM('RZSPbS-psgr-ldv'!$A12),'State Map'!$A:$A,0))="Max Ambition",Schedules!AB$13,AE12),AE12)</f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39">
        <f>IFERROR(IF(INDEX('State Map'!$C:$C,MATCH(TRIM('RZSPbS-psgr-ldv'!$A13),'State Map'!$A:$A,0))="Max Ambition",Schedules!G$13,J13),J13)</f>
        <v>0</v>
      </c>
      <c r="L13" s="39">
        <f>IFERROR(IF(INDEX('State Map'!$C:$C,MATCH(TRIM('RZSPbS-psgr-ldv'!$A13),'State Map'!$A:$A,0))="Max Ambition",Schedules!H$13,K13),K13)</f>
        <v>0</v>
      </c>
      <c r="M13" s="39">
        <f>IFERROR(IF(INDEX('State Map'!$C:$C,MATCH(TRIM('RZSPbS-psgr-ldv'!$A13),'State Map'!$A:$A,0))="Max Ambition",Schedules!I$13,L13),L13)</f>
        <v>0</v>
      </c>
      <c r="N13" s="39">
        <f>IFERROR(IF(INDEX('State Map'!$C:$C,MATCH(TRIM('RZSPbS-psgr-ldv'!$A13),'State Map'!$A:$A,0))="Max Ambition",Schedules!J$13,M13),M13)</f>
        <v>0</v>
      </c>
      <c r="O13" s="39">
        <f>IFERROR(IF(INDEX('State Map'!$C:$C,MATCH(TRIM('RZSPbS-psgr-ldv'!$A13),'State Map'!$A:$A,0))="Max Ambition",Schedules!K$13,N13),N13)</f>
        <v>0</v>
      </c>
      <c r="P13" s="39">
        <f>IFERROR(IF(INDEX('State Map'!$C:$C,MATCH(TRIM('RZSPbS-psgr-ldv'!$A13),'State Map'!$A:$A,0))="Max Ambition",Schedules!L$13,O13),O13)</f>
        <v>0</v>
      </c>
      <c r="Q13" s="39">
        <f>IFERROR(IF(INDEX('State Map'!$C:$C,MATCH(TRIM('RZSPbS-psgr-ldv'!$A13),'State Map'!$A:$A,0))="Max Ambition",Schedules!M$13,P13),P13)</f>
        <v>0</v>
      </c>
      <c r="R13" s="39">
        <f>IFERROR(IF(INDEX('State Map'!$C:$C,MATCH(TRIM('RZSPbS-psgr-ldv'!$A13),'State Map'!$A:$A,0))="Max Ambition",Schedules!N$13,Q13),Q13)</f>
        <v>0</v>
      </c>
      <c r="S13" s="39">
        <f>IFERROR(IF(INDEX('State Map'!$C:$C,MATCH(TRIM('RZSPbS-psgr-ldv'!$A13),'State Map'!$A:$A,0))="Max Ambition",Schedules!O$13,R13),R13)</f>
        <v>0</v>
      </c>
      <c r="T13" s="39">
        <f>IFERROR(IF(INDEX('State Map'!$C:$C,MATCH(TRIM('RZSPbS-psgr-ldv'!$A13),'State Map'!$A:$A,0))="Max Ambition",Schedules!P$13,S13),S13)</f>
        <v>0</v>
      </c>
      <c r="U13" s="39">
        <f>IFERROR(IF(INDEX('State Map'!$C:$C,MATCH(TRIM('RZSPbS-psgr-ldv'!$A13),'State Map'!$A:$A,0))="Max Ambition",Schedules!Q$13,T13),T13)</f>
        <v>0</v>
      </c>
      <c r="V13" s="39">
        <f>IFERROR(IF(INDEX('State Map'!$C:$C,MATCH(TRIM('RZSPbS-psgr-ldv'!$A13),'State Map'!$A:$A,0))="Max Ambition",Schedules!R$13,U13),U13)</f>
        <v>0</v>
      </c>
      <c r="W13" s="39">
        <f>IFERROR(IF(INDEX('State Map'!$C:$C,MATCH(TRIM('RZSPbS-psgr-ldv'!$A13),'State Map'!$A:$A,0))="Max Ambition",Schedules!S$13,V13),V13)</f>
        <v>0</v>
      </c>
      <c r="X13" s="39">
        <f>IFERROR(IF(INDEX('State Map'!$C:$C,MATCH(TRIM('RZSPbS-psgr-ldv'!$A13),'State Map'!$A:$A,0))="Max Ambition",Schedules!T$13,W13),W13)</f>
        <v>0</v>
      </c>
      <c r="Y13" s="39">
        <f>IFERROR(IF(INDEX('State Map'!$C:$C,MATCH(TRIM('RZSPbS-psgr-ldv'!$A13),'State Map'!$A:$A,0))="Max Ambition",Schedules!U$13,X13),X13)</f>
        <v>0</v>
      </c>
      <c r="Z13" s="39">
        <f>IFERROR(IF(INDEX('State Map'!$C:$C,MATCH(TRIM('RZSPbS-psgr-ldv'!$A13),'State Map'!$A:$A,0))="Max Ambition",Schedules!V$13,Y13),Y13)</f>
        <v>0</v>
      </c>
      <c r="AA13" s="39">
        <f>IFERROR(IF(INDEX('State Map'!$C:$C,MATCH(TRIM('RZSPbS-psgr-ldv'!$A13),'State Map'!$A:$A,0))="Max Ambition",Schedules!W$13,Z13),Z13)</f>
        <v>0</v>
      </c>
      <c r="AB13" s="39">
        <f>IFERROR(IF(INDEX('State Map'!$C:$C,MATCH(TRIM('RZSPbS-psgr-ldv'!$A13),'State Map'!$A:$A,0))="Max Ambition",Schedules!X$13,AA13),AA13)</f>
        <v>0</v>
      </c>
      <c r="AC13" s="39">
        <f>IFERROR(IF(INDEX('State Map'!$C:$C,MATCH(TRIM('RZSPbS-psgr-ldv'!$A13),'State Map'!$A:$A,0))="Max Ambition",Schedules!Y$13,AB13),AB13)</f>
        <v>0</v>
      </c>
      <c r="AD13" s="39">
        <f>IFERROR(IF(INDEX('State Map'!$C:$C,MATCH(TRIM('RZSPbS-psgr-ldv'!$A13),'State Map'!$A:$A,0))="Max Ambition",Schedules!Z$13,AC13),AC13)</f>
        <v>0</v>
      </c>
      <c r="AE13" s="39">
        <f>IFERROR(IF(INDEX('State Map'!$C:$C,MATCH(TRIM('RZSPbS-psgr-ldv'!$A13),'State Map'!$A:$A,0))="Max Ambition",Schedules!AA$13,AD13),AD13)</f>
        <v>0</v>
      </c>
      <c r="AF13" s="39">
        <f>IFERROR(IF(INDEX('State Map'!$C:$C,MATCH(TRIM('RZSPbS-psgr-ldv'!$A13),'State Map'!$A:$A,0))="Max Ambition",Schedules!AB$13,AE13),AE13)</f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39">
        <f>IFERROR(IF(INDEX('State Map'!$C:$C,MATCH(TRIM('RZSPbS-psgr-ldv'!$A14),'State Map'!$A:$A,0))="Max Ambition",Schedules!G$13,J14),J14)</f>
        <v>0</v>
      </c>
      <c r="L14" s="39">
        <f>IFERROR(IF(INDEX('State Map'!$C:$C,MATCH(TRIM('RZSPbS-psgr-ldv'!$A14),'State Map'!$A:$A,0))="Max Ambition",Schedules!H$13,K14),K14)</f>
        <v>0</v>
      </c>
      <c r="M14" s="39">
        <f>IFERROR(IF(INDEX('State Map'!$C:$C,MATCH(TRIM('RZSPbS-psgr-ldv'!$A14),'State Map'!$A:$A,0))="Max Ambition",Schedules!I$13,L14),L14)</f>
        <v>0</v>
      </c>
      <c r="N14" s="39">
        <f>IFERROR(IF(INDEX('State Map'!$C:$C,MATCH(TRIM('RZSPbS-psgr-ldv'!$A14),'State Map'!$A:$A,0))="Max Ambition",Schedules!J$13,M14),M14)</f>
        <v>0</v>
      </c>
      <c r="O14" s="39">
        <f>IFERROR(IF(INDEX('State Map'!$C:$C,MATCH(TRIM('RZSPbS-psgr-ldv'!$A14),'State Map'!$A:$A,0))="Max Ambition",Schedules!K$13,N14),N14)</f>
        <v>0</v>
      </c>
      <c r="P14" s="39">
        <f>IFERROR(IF(INDEX('State Map'!$C:$C,MATCH(TRIM('RZSPbS-psgr-ldv'!$A14),'State Map'!$A:$A,0))="Max Ambition",Schedules!L$13,O14),O14)</f>
        <v>0</v>
      </c>
      <c r="Q14" s="39">
        <f>IFERROR(IF(INDEX('State Map'!$C:$C,MATCH(TRIM('RZSPbS-psgr-ldv'!$A14),'State Map'!$A:$A,0))="Max Ambition",Schedules!M$13,P14),P14)</f>
        <v>0</v>
      </c>
      <c r="R14" s="39">
        <f>IFERROR(IF(INDEX('State Map'!$C:$C,MATCH(TRIM('RZSPbS-psgr-ldv'!$A14),'State Map'!$A:$A,0))="Max Ambition",Schedules!N$13,Q14),Q14)</f>
        <v>0</v>
      </c>
      <c r="S14" s="39">
        <f>IFERROR(IF(INDEX('State Map'!$C:$C,MATCH(TRIM('RZSPbS-psgr-ldv'!$A14),'State Map'!$A:$A,0))="Max Ambition",Schedules!O$13,R14),R14)</f>
        <v>0</v>
      </c>
      <c r="T14" s="39">
        <f>IFERROR(IF(INDEX('State Map'!$C:$C,MATCH(TRIM('RZSPbS-psgr-ldv'!$A14),'State Map'!$A:$A,0))="Max Ambition",Schedules!P$13,S14),S14)</f>
        <v>0</v>
      </c>
      <c r="U14" s="39">
        <f>IFERROR(IF(INDEX('State Map'!$C:$C,MATCH(TRIM('RZSPbS-psgr-ldv'!$A14),'State Map'!$A:$A,0))="Max Ambition",Schedules!Q$13,T14),T14)</f>
        <v>0</v>
      </c>
      <c r="V14" s="39">
        <f>IFERROR(IF(INDEX('State Map'!$C:$C,MATCH(TRIM('RZSPbS-psgr-ldv'!$A14),'State Map'!$A:$A,0))="Max Ambition",Schedules!R$13,U14),U14)</f>
        <v>0</v>
      </c>
      <c r="W14" s="39">
        <f>IFERROR(IF(INDEX('State Map'!$C:$C,MATCH(TRIM('RZSPbS-psgr-ldv'!$A14),'State Map'!$A:$A,0))="Max Ambition",Schedules!S$13,V14),V14)</f>
        <v>0</v>
      </c>
      <c r="X14" s="39">
        <f>IFERROR(IF(INDEX('State Map'!$C:$C,MATCH(TRIM('RZSPbS-psgr-ldv'!$A14),'State Map'!$A:$A,0))="Max Ambition",Schedules!T$13,W14),W14)</f>
        <v>0</v>
      </c>
      <c r="Y14" s="39">
        <f>IFERROR(IF(INDEX('State Map'!$C:$C,MATCH(TRIM('RZSPbS-psgr-ldv'!$A14),'State Map'!$A:$A,0))="Max Ambition",Schedules!U$13,X14),X14)</f>
        <v>0</v>
      </c>
      <c r="Z14" s="39">
        <f>IFERROR(IF(INDEX('State Map'!$C:$C,MATCH(TRIM('RZSPbS-psgr-ldv'!$A14),'State Map'!$A:$A,0))="Max Ambition",Schedules!V$13,Y14),Y14)</f>
        <v>0</v>
      </c>
      <c r="AA14" s="39">
        <f>IFERROR(IF(INDEX('State Map'!$C:$C,MATCH(TRIM('RZSPbS-psgr-ldv'!$A14),'State Map'!$A:$A,0))="Max Ambition",Schedules!W$13,Z14),Z14)</f>
        <v>0</v>
      </c>
      <c r="AB14" s="39">
        <f>IFERROR(IF(INDEX('State Map'!$C:$C,MATCH(TRIM('RZSPbS-psgr-ldv'!$A14),'State Map'!$A:$A,0))="Max Ambition",Schedules!X$13,AA14),AA14)</f>
        <v>0</v>
      </c>
      <c r="AC14" s="39">
        <f>IFERROR(IF(INDEX('State Map'!$C:$C,MATCH(TRIM('RZSPbS-psgr-ldv'!$A14),'State Map'!$A:$A,0))="Max Ambition",Schedules!Y$13,AB14),AB14)</f>
        <v>0</v>
      </c>
      <c r="AD14" s="39">
        <f>IFERROR(IF(INDEX('State Map'!$C:$C,MATCH(TRIM('RZSPbS-psgr-ldv'!$A14),'State Map'!$A:$A,0))="Max Ambition",Schedules!Z$13,AC14),AC14)</f>
        <v>0</v>
      </c>
      <c r="AE14" s="39">
        <f>IFERROR(IF(INDEX('State Map'!$C:$C,MATCH(TRIM('RZSPbS-psgr-ldv'!$A14),'State Map'!$A:$A,0))="Max Ambition",Schedules!AA$13,AD14),AD14)</f>
        <v>0</v>
      </c>
      <c r="AF14" s="39">
        <f>IFERROR(IF(INDEX('State Map'!$C:$C,MATCH(TRIM('RZSPbS-psgr-ldv'!$A14),'State Map'!$A:$A,0))="Max Ambition",Schedules!AB$13,AE14),AE14)</f>
        <v>0</v>
      </c>
    </row>
    <row r="15" spans="1:32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39">
        <f>IFERROR(IF(INDEX('State Map'!$C:$C,MATCH(TRIM('RZSPbS-psgr-ldv'!$A15),'State Map'!$A:$A,0))="Max Ambition",Schedules!G$13,J15),J15)</f>
        <v>2.5999999999999999E-2</v>
      </c>
      <c r="L15" s="39">
        <f>IFERROR(IF(INDEX('State Map'!$C:$C,MATCH(TRIM('RZSPbS-psgr-ldv'!$A15),'State Map'!$A:$A,0))="Max Ambition",Schedules!H$13,K15),K15)</f>
        <v>0.03</v>
      </c>
      <c r="M15" s="39">
        <f>IFERROR(IF(INDEX('State Map'!$C:$C,MATCH(TRIM('RZSPbS-psgr-ldv'!$A15),'State Map'!$A:$A,0))="Max Ambition",Schedules!I$13,L15),L15)</f>
        <v>3.4000000000000002E-2</v>
      </c>
      <c r="N15" s="39">
        <f>IFERROR(IF(INDEX('State Map'!$C:$C,MATCH(TRIM('RZSPbS-psgr-ldv'!$A15),'State Map'!$A:$A,0))="Max Ambition",Schedules!J$13,M15),M15)</f>
        <v>0.05</v>
      </c>
      <c r="O15" s="39">
        <f>IFERROR(IF(INDEX('State Map'!$C:$C,MATCH(TRIM('RZSPbS-psgr-ldv'!$A15),'State Map'!$A:$A,0))="Max Ambition",Schedules!K$13,N15),N15)</f>
        <v>7.0000000000000007E-2</v>
      </c>
      <c r="P15" s="39">
        <f>IFERROR(IF(INDEX('State Map'!$C:$C,MATCH(TRIM('RZSPbS-psgr-ldv'!$A15),'State Map'!$A:$A,0))="Max Ambition",Schedules!L$13,O15),O15)</f>
        <v>0.1</v>
      </c>
      <c r="Q15" s="39">
        <f>IFERROR(IF(INDEX('State Map'!$C:$C,MATCH(TRIM('RZSPbS-psgr-ldv'!$A15),'State Map'!$A:$A,0))="Max Ambition",Schedules!M$13,P15),P15)</f>
        <v>0.15</v>
      </c>
      <c r="R15" s="39">
        <f>IFERROR(IF(INDEX('State Map'!$C:$C,MATCH(TRIM('RZSPbS-psgr-ldv'!$A15),'State Map'!$A:$A,0))="Max Ambition",Schedules!N$13,Q15),Q15)</f>
        <v>0.2</v>
      </c>
      <c r="S15" s="39">
        <f>IFERROR(IF(INDEX('State Map'!$C:$C,MATCH(TRIM('RZSPbS-psgr-ldv'!$A15),'State Map'!$A:$A,0))="Max Ambition",Schedules!O$13,R15),R15)</f>
        <v>0.25</v>
      </c>
      <c r="T15" s="39">
        <f>IFERROR(IF(INDEX('State Map'!$C:$C,MATCH(TRIM('RZSPbS-psgr-ldv'!$A15),'State Map'!$A:$A,0))="Max Ambition",Schedules!P$13,S15),S15)</f>
        <v>0.3</v>
      </c>
      <c r="U15" s="39">
        <f>IFERROR(IF(INDEX('State Map'!$C:$C,MATCH(TRIM('RZSPbS-psgr-ldv'!$A15),'State Map'!$A:$A,0))="Max Ambition",Schedules!Q$13,T15),T15)</f>
        <v>0.35</v>
      </c>
      <c r="V15" s="39">
        <f>IFERROR(IF(INDEX('State Map'!$C:$C,MATCH(TRIM('RZSPbS-psgr-ldv'!$A15),'State Map'!$A:$A,0))="Max Ambition",Schedules!R$13,U15),U15)</f>
        <v>0.4</v>
      </c>
      <c r="W15" s="39">
        <f>IFERROR(IF(INDEX('State Map'!$C:$C,MATCH(TRIM('RZSPbS-psgr-ldv'!$A15),'State Map'!$A:$A,0))="Max Ambition",Schedules!S$13,V15),V15)</f>
        <v>0.4</v>
      </c>
      <c r="X15" s="39">
        <f>IFERROR(IF(INDEX('State Map'!$C:$C,MATCH(TRIM('RZSPbS-psgr-ldv'!$A15),'State Map'!$A:$A,0))="Max Ambition",Schedules!T$13,W15),W15)</f>
        <v>0.4</v>
      </c>
      <c r="Y15" s="39">
        <f>IFERROR(IF(INDEX('State Map'!$C:$C,MATCH(TRIM('RZSPbS-psgr-ldv'!$A15),'State Map'!$A:$A,0))="Max Ambition",Schedules!U$13,X15),X15)</f>
        <v>0.4</v>
      </c>
      <c r="Z15" s="39">
        <f>IFERROR(IF(INDEX('State Map'!$C:$C,MATCH(TRIM('RZSPbS-psgr-ldv'!$A15),'State Map'!$A:$A,0))="Max Ambition",Schedules!V$13,Y15),Y15)</f>
        <v>0.45700000000000002</v>
      </c>
      <c r="AA15" s="39">
        <f>IFERROR(IF(INDEX('State Map'!$C:$C,MATCH(TRIM('RZSPbS-psgr-ldv'!$A15),'State Map'!$A:$A,0))="Max Ambition",Schedules!W$13,Z15),Z15)</f>
        <v>0.51400000000000001</v>
      </c>
      <c r="AB15" s="39">
        <f>IFERROR(IF(INDEX('State Map'!$C:$C,MATCH(TRIM('RZSPbS-psgr-ldv'!$A15),'State Map'!$A:$A,0))="Max Ambition",Schedules!X$13,AA15),AA15)</f>
        <v>0.57099999999999995</v>
      </c>
      <c r="AC15" s="39">
        <f>IFERROR(IF(INDEX('State Map'!$C:$C,MATCH(TRIM('RZSPbS-psgr-ldv'!$A15),'State Map'!$A:$A,0))="Max Ambition",Schedules!Y$13,AB15),AB15)</f>
        <v>0.628</v>
      </c>
      <c r="AD15" s="39">
        <f>IFERROR(IF(INDEX('State Map'!$C:$C,MATCH(TRIM('RZSPbS-psgr-ldv'!$A15),'State Map'!$A:$A,0))="Max Ambition",Schedules!Z$13,AC15),AC15)</f>
        <v>0.68500000000000005</v>
      </c>
      <c r="AE15" s="39">
        <f>IFERROR(IF(INDEX('State Map'!$C:$C,MATCH(TRIM('RZSPbS-psgr-ldv'!$A15),'State Map'!$A:$A,0))="Max Ambition",Schedules!AA$13,AD15),AD15)</f>
        <v>0.74199999999999999</v>
      </c>
      <c r="AF15" s="39">
        <f>IFERROR(IF(INDEX('State Map'!$C:$C,MATCH(TRIM('RZSPbS-psgr-ldv'!$A15),'State Map'!$A:$A,0))="Max Ambition",Schedules!AB$13,AE15),AE15)</f>
        <v>0.8</v>
      </c>
    </row>
    <row r="16" spans="1:3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39">
        <f>IFERROR(IF(INDEX('State Map'!$C:$C,MATCH(TRIM('RZSPbS-psgr-ldv'!$A16),'State Map'!$A:$A,0))="Max Ambition",Schedules!G$13,J16),J16)</f>
        <v>0</v>
      </c>
      <c r="L16" s="39">
        <f>IFERROR(IF(INDEX('State Map'!$C:$C,MATCH(TRIM('RZSPbS-psgr-ldv'!$A16),'State Map'!$A:$A,0))="Max Ambition",Schedules!H$13,K16),K16)</f>
        <v>0</v>
      </c>
      <c r="M16" s="39">
        <f>IFERROR(IF(INDEX('State Map'!$C:$C,MATCH(TRIM('RZSPbS-psgr-ldv'!$A16),'State Map'!$A:$A,0))="Max Ambition",Schedules!I$13,L16),L16)</f>
        <v>0</v>
      </c>
      <c r="N16" s="39">
        <f>IFERROR(IF(INDEX('State Map'!$C:$C,MATCH(TRIM('RZSPbS-psgr-ldv'!$A16),'State Map'!$A:$A,0))="Max Ambition",Schedules!J$13,M16),M16)</f>
        <v>0</v>
      </c>
      <c r="O16" s="39">
        <f>IFERROR(IF(INDEX('State Map'!$C:$C,MATCH(TRIM('RZSPbS-psgr-ldv'!$A16),'State Map'!$A:$A,0))="Max Ambition",Schedules!K$13,N16),N16)</f>
        <v>0</v>
      </c>
      <c r="P16" s="39">
        <f>IFERROR(IF(INDEX('State Map'!$C:$C,MATCH(TRIM('RZSPbS-psgr-ldv'!$A16),'State Map'!$A:$A,0))="Max Ambition",Schedules!L$13,O16),O16)</f>
        <v>0</v>
      </c>
      <c r="Q16" s="39">
        <f>IFERROR(IF(INDEX('State Map'!$C:$C,MATCH(TRIM('RZSPbS-psgr-ldv'!$A16),'State Map'!$A:$A,0))="Max Ambition",Schedules!M$13,P16),P16)</f>
        <v>0</v>
      </c>
      <c r="R16" s="39">
        <f>IFERROR(IF(INDEX('State Map'!$C:$C,MATCH(TRIM('RZSPbS-psgr-ldv'!$A16),'State Map'!$A:$A,0))="Max Ambition",Schedules!N$13,Q16),Q16)</f>
        <v>0</v>
      </c>
      <c r="S16" s="39">
        <f>IFERROR(IF(INDEX('State Map'!$C:$C,MATCH(TRIM('RZSPbS-psgr-ldv'!$A16),'State Map'!$A:$A,0))="Max Ambition",Schedules!O$13,R16),R16)</f>
        <v>0</v>
      </c>
      <c r="T16" s="39">
        <f>IFERROR(IF(INDEX('State Map'!$C:$C,MATCH(TRIM('RZSPbS-psgr-ldv'!$A16),'State Map'!$A:$A,0))="Max Ambition",Schedules!P$13,S16),S16)</f>
        <v>0</v>
      </c>
      <c r="U16" s="39">
        <f>IFERROR(IF(INDEX('State Map'!$C:$C,MATCH(TRIM('RZSPbS-psgr-ldv'!$A16),'State Map'!$A:$A,0))="Max Ambition",Schedules!Q$13,T16),T16)</f>
        <v>0</v>
      </c>
      <c r="V16" s="39">
        <f>IFERROR(IF(INDEX('State Map'!$C:$C,MATCH(TRIM('RZSPbS-psgr-ldv'!$A16),'State Map'!$A:$A,0))="Max Ambition",Schedules!R$13,U16),U16)</f>
        <v>0</v>
      </c>
      <c r="W16" s="39">
        <f>IFERROR(IF(INDEX('State Map'!$C:$C,MATCH(TRIM('RZSPbS-psgr-ldv'!$A16),'State Map'!$A:$A,0))="Max Ambition",Schedules!S$13,V16),V16)</f>
        <v>0</v>
      </c>
      <c r="X16" s="39">
        <f>IFERROR(IF(INDEX('State Map'!$C:$C,MATCH(TRIM('RZSPbS-psgr-ldv'!$A16),'State Map'!$A:$A,0))="Max Ambition",Schedules!T$13,W16),W16)</f>
        <v>0</v>
      </c>
      <c r="Y16" s="39">
        <f>IFERROR(IF(INDEX('State Map'!$C:$C,MATCH(TRIM('RZSPbS-psgr-ldv'!$A16),'State Map'!$A:$A,0))="Max Ambition",Schedules!U$13,X16),X16)</f>
        <v>0</v>
      </c>
      <c r="Z16" s="39">
        <f>IFERROR(IF(INDEX('State Map'!$C:$C,MATCH(TRIM('RZSPbS-psgr-ldv'!$A16),'State Map'!$A:$A,0))="Max Ambition",Schedules!V$13,Y16),Y16)</f>
        <v>0</v>
      </c>
      <c r="AA16" s="39">
        <f>IFERROR(IF(INDEX('State Map'!$C:$C,MATCH(TRIM('RZSPbS-psgr-ldv'!$A16),'State Map'!$A:$A,0))="Max Ambition",Schedules!W$13,Z16),Z16)</f>
        <v>0</v>
      </c>
      <c r="AB16" s="39">
        <f>IFERROR(IF(INDEX('State Map'!$C:$C,MATCH(TRIM('RZSPbS-psgr-ldv'!$A16),'State Map'!$A:$A,0))="Max Ambition",Schedules!X$13,AA16),AA16)</f>
        <v>0</v>
      </c>
      <c r="AC16" s="39">
        <f>IFERROR(IF(INDEX('State Map'!$C:$C,MATCH(TRIM('RZSPbS-psgr-ldv'!$A16),'State Map'!$A:$A,0))="Max Ambition",Schedules!Y$13,AB16),AB16)</f>
        <v>0</v>
      </c>
      <c r="AD16" s="39">
        <f>IFERROR(IF(INDEX('State Map'!$C:$C,MATCH(TRIM('RZSPbS-psgr-ldv'!$A16),'State Map'!$A:$A,0))="Max Ambition",Schedules!Z$13,AC16),AC16)</f>
        <v>0</v>
      </c>
      <c r="AE16" s="39">
        <f>IFERROR(IF(INDEX('State Map'!$C:$C,MATCH(TRIM('RZSPbS-psgr-ldv'!$A16),'State Map'!$A:$A,0))="Max Ambition",Schedules!AA$13,AD16),AD16)</f>
        <v>0</v>
      </c>
      <c r="AF16" s="39">
        <f>IFERROR(IF(INDEX('State Map'!$C:$C,MATCH(TRIM('RZSPbS-psgr-ldv'!$A16),'State Map'!$A:$A,0))="Max Ambition",Schedules!AB$13,AE16),AE16)</f>
        <v>0</v>
      </c>
    </row>
    <row r="17" spans="1:3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39">
        <f>IFERROR(IF(INDEX('State Map'!$C:$C,MATCH(TRIM('RZSPbS-psgr-ldv'!$A17),'State Map'!$A:$A,0))="Max Ambition",Schedules!G$13,J17),J17)</f>
        <v>0</v>
      </c>
      <c r="L17" s="39">
        <f>IFERROR(IF(INDEX('State Map'!$C:$C,MATCH(TRIM('RZSPbS-psgr-ldv'!$A17),'State Map'!$A:$A,0))="Max Ambition",Schedules!H$13,K17),K17)</f>
        <v>0</v>
      </c>
      <c r="M17" s="39">
        <f>IFERROR(IF(INDEX('State Map'!$C:$C,MATCH(TRIM('RZSPbS-psgr-ldv'!$A17),'State Map'!$A:$A,0))="Max Ambition",Schedules!I$13,L17),L17)</f>
        <v>0</v>
      </c>
      <c r="N17" s="39">
        <f>IFERROR(IF(INDEX('State Map'!$C:$C,MATCH(TRIM('RZSPbS-psgr-ldv'!$A17),'State Map'!$A:$A,0))="Max Ambition",Schedules!J$13,M17),M17)</f>
        <v>0</v>
      </c>
      <c r="O17" s="39">
        <f>IFERROR(IF(INDEX('State Map'!$C:$C,MATCH(TRIM('RZSPbS-psgr-ldv'!$A17),'State Map'!$A:$A,0))="Max Ambition",Schedules!K$13,N17),N17)</f>
        <v>0</v>
      </c>
      <c r="P17" s="39">
        <f>IFERROR(IF(INDEX('State Map'!$C:$C,MATCH(TRIM('RZSPbS-psgr-ldv'!$A17),'State Map'!$A:$A,0))="Max Ambition",Schedules!L$13,O17),O17)</f>
        <v>0</v>
      </c>
      <c r="Q17" s="39">
        <f>IFERROR(IF(INDEX('State Map'!$C:$C,MATCH(TRIM('RZSPbS-psgr-ldv'!$A17),'State Map'!$A:$A,0))="Max Ambition",Schedules!M$13,P17),P17)</f>
        <v>0</v>
      </c>
      <c r="R17" s="39">
        <f>IFERROR(IF(INDEX('State Map'!$C:$C,MATCH(TRIM('RZSPbS-psgr-ldv'!$A17),'State Map'!$A:$A,0))="Max Ambition",Schedules!N$13,Q17),Q17)</f>
        <v>0</v>
      </c>
      <c r="S17" s="39">
        <f>IFERROR(IF(INDEX('State Map'!$C:$C,MATCH(TRIM('RZSPbS-psgr-ldv'!$A17),'State Map'!$A:$A,0))="Max Ambition",Schedules!O$13,R17),R17)</f>
        <v>0</v>
      </c>
      <c r="T17" s="39">
        <f>IFERROR(IF(INDEX('State Map'!$C:$C,MATCH(TRIM('RZSPbS-psgr-ldv'!$A17),'State Map'!$A:$A,0))="Max Ambition",Schedules!P$13,S17),S17)</f>
        <v>0</v>
      </c>
      <c r="U17" s="39">
        <f>IFERROR(IF(INDEX('State Map'!$C:$C,MATCH(TRIM('RZSPbS-psgr-ldv'!$A17),'State Map'!$A:$A,0))="Max Ambition",Schedules!Q$13,T17),T17)</f>
        <v>0</v>
      </c>
      <c r="V17" s="39">
        <f>IFERROR(IF(INDEX('State Map'!$C:$C,MATCH(TRIM('RZSPbS-psgr-ldv'!$A17),'State Map'!$A:$A,0))="Max Ambition",Schedules!R$13,U17),U17)</f>
        <v>0</v>
      </c>
      <c r="W17" s="39">
        <f>IFERROR(IF(INDEX('State Map'!$C:$C,MATCH(TRIM('RZSPbS-psgr-ldv'!$A17),'State Map'!$A:$A,0))="Max Ambition",Schedules!S$13,V17),V17)</f>
        <v>0</v>
      </c>
      <c r="X17" s="39">
        <f>IFERROR(IF(INDEX('State Map'!$C:$C,MATCH(TRIM('RZSPbS-psgr-ldv'!$A17),'State Map'!$A:$A,0))="Max Ambition",Schedules!T$13,W17),W17)</f>
        <v>0</v>
      </c>
      <c r="Y17" s="39">
        <f>IFERROR(IF(INDEX('State Map'!$C:$C,MATCH(TRIM('RZSPbS-psgr-ldv'!$A17),'State Map'!$A:$A,0))="Max Ambition",Schedules!U$13,X17),X17)</f>
        <v>0</v>
      </c>
      <c r="Z17" s="39">
        <f>IFERROR(IF(INDEX('State Map'!$C:$C,MATCH(TRIM('RZSPbS-psgr-ldv'!$A17),'State Map'!$A:$A,0))="Max Ambition",Schedules!V$13,Y17),Y17)</f>
        <v>0</v>
      </c>
      <c r="AA17" s="39">
        <f>IFERROR(IF(INDEX('State Map'!$C:$C,MATCH(TRIM('RZSPbS-psgr-ldv'!$A17),'State Map'!$A:$A,0))="Max Ambition",Schedules!W$13,Z17),Z17)</f>
        <v>0</v>
      </c>
      <c r="AB17" s="39">
        <f>IFERROR(IF(INDEX('State Map'!$C:$C,MATCH(TRIM('RZSPbS-psgr-ldv'!$A17),'State Map'!$A:$A,0))="Max Ambition",Schedules!X$13,AA17),AA17)</f>
        <v>0</v>
      </c>
      <c r="AC17" s="39">
        <f>IFERROR(IF(INDEX('State Map'!$C:$C,MATCH(TRIM('RZSPbS-psgr-ldv'!$A17),'State Map'!$A:$A,0))="Max Ambition",Schedules!Y$13,AB17),AB17)</f>
        <v>0</v>
      </c>
      <c r="AD17" s="39">
        <f>IFERROR(IF(INDEX('State Map'!$C:$C,MATCH(TRIM('RZSPbS-psgr-ldv'!$A17),'State Map'!$A:$A,0))="Max Ambition",Schedules!Z$13,AC17),AC17)</f>
        <v>0</v>
      </c>
      <c r="AE17" s="39">
        <f>IFERROR(IF(INDEX('State Map'!$C:$C,MATCH(TRIM('RZSPbS-psgr-ldv'!$A17),'State Map'!$A:$A,0))="Max Ambition",Schedules!AA$13,AD17),AD17)</f>
        <v>0</v>
      </c>
      <c r="AF17" s="39">
        <f>IFERROR(IF(INDEX('State Map'!$C:$C,MATCH(TRIM('RZSPbS-psgr-ldv'!$A17),'State Map'!$A:$A,0))="Max Ambition",Schedules!AB$13,AE17),AE17)</f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39">
        <f>IFERROR(IF(INDEX('State Map'!$C:$C,MATCH(TRIM('RZSPbS-psgr-ldv'!$A18),'State Map'!$A:$A,0))="Max Ambition",Schedules!G$13,J18),J18)</f>
        <v>0</v>
      </c>
      <c r="L18" s="39">
        <f>IFERROR(IF(INDEX('State Map'!$C:$C,MATCH(TRIM('RZSPbS-psgr-ldv'!$A18),'State Map'!$A:$A,0))="Max Ambition",Schedules!H$13,K18),K18)</f>
        <v>0</v>
      </c>
      <c r="M18" s="39">
        <f>IFERROR(IF(INDEX('State Map'!$C:$C,MATCH(TRIM('RZSPbS-psgr-ldv'!$A18),'State Map'!$A:$A,0))="Max Ambition",Schedules!I$13,L18),L18)</f>
        <v>0</v>
      </c>
      <c r="N18" s="39">
        <f>IFERROR(IF(INDEX('State Map'!$C:$C,MATCH(TRIM('RZSPbS-psgr-ldv'!$A18),'State Map'!$A:$A,0))="Max Ambition",Schedules!J$13,M18),M18)</f>
        <v>0</v>
      </c>
      <c r="O18" s="39">
        <f>IFERROR(IF(INDEX('State Map'!$C:$C,MATCH(TRIM('RZSPbS-psgr-ldv'!$A18),'State Map'!$A:$A,0))="Max Ambition",Schedules!K$13,N18),N18)</f>
        <v>0</v>
      </c>
      <c r="P18" s="39">
        <f>IFERROR(IF(INDEX('State Map'!$C:$C,MATCH(TRIM('RZSPbS-psgr-ldv'!$A18),'State Map'!$A:$A,0))="Max Ambition",Schedules!L$13,O18),O18)</f>
        <v>0</v>
      </c>
      <c r="Q18" s="39">
        <f>IFERROR(IF(INDEX('State Map'!$C:$C,MATCH(TRIM('RZSPbS-psgr-ldv'!$A18),'State Map'!$A:$A,0))="Max Ambition",Schedules!M$13,P18),P18)</f>
        <v>0</v>
      </c>
      <c r="R18" s="39">
        <f>IFERROR(IF(INDEX('State Map'!$C:$C,MATCH(TRIM('RZSPbS-psgr-ldv'!$A18),'State Map'!$A:$A,0))="Max Ambition",Schedules!N$13,Q18),Q18)</f>
        <v>0</v>
      </c>
      <c r="S18" s="39">
        <f>IFERROR(IF(INDEX('State Map'!$C:$C,MATCH(TRIM('RZSPbS-psgr-ldv'!$A18),'State Map'!$A:$A,0))="Max Ambition",Schedules!O$13,R18),R18)</f>
        <v>0</v>
      </c>
      <c r="T18" s="39">
        <f>IFERROR(IF(INDEX('State Map'!$C:$C,MATCH(TRIM('RZSPbS-psgr-ldv'!$A18),'State Map'!$A:$A,0))="Max Ambition",Schedules!P$13,S18),S18)</f>
        <v>0</v>
      </c>
      <c r="U18" s="39">
        <f>IFERROR(IF(INDEX('State Map'!$C:$C,MATCH(TRIM('RZSPbS-psgr-ldv'!$A18),'State Map'!$A:$A,0))="Max Ambition",Schedules!Q$13,T18),T18)</f>
        <v>0</v>
      </c>
      <c r="V18" s="39">
        <f>IFERROR(IF(INDEX('State Map'!$C:$C,MATCH(TRIM('RZSPbS-psgr-ldv'!$A18),'State Map'!$A:$A,0))="Max Ambition",Schedules!R$13,U18),U18)</f>
        <v>0</v>
      </c>
      <c r="W18" s="39">
        <f>IFERROR(IF(INDEX('State Map'!$C:$C,MATCH(TRIM('RZSPbS-psgr-ldv'!$A18),'State Map'!$A:$A,0))="Max Ambition",Schedules!S$13,V18),V18)</f>
        <v>0</v>
      </c>
      <c r="X18" s="39">
        <f>IFERROR(IF(INDEX('State Map'!$C:$C,MATCH(TRIM('RZSPbS-psgr-ldv'!$A18),'State Map'!$A:$A,0))="Max Ambition",Schedules!T$13,W18),W18)</f>
        <v>0</v>
      </c>
      <c r="Y18" s="39">
        <f>IFERROR(IF(INDEX('State Map'!$C:$C,MATCH(TRIM('RZSPbS-psgr-ldv'!$A18),'State Map'!$A:$A,0))="Max Ambition",Schedules!U$13,X18),X18)</f>
        <v>0</v>
      </c>
      <c r="Z18" s="39">
        <f>IFERROR(IF(INDEX('State Map'!$C:$C,MATCH(TRIM('RZSPbS-psgr-ldv'!$A18),'State Map'!$A:$A,0))="Max Ambition",Schedules!V$13,Y18),Y18)</f>
        <v>0</v>
      </c>
      <c r="AA18" s="39">
        <f>IFERROR(IF(INDEX('State Map'!$C:$C,MATCH(TRIM('RZSPbS-psgr-ldv'!$A18),'State Map'!$A:$A,0))="Max Ambition",Schedules!W$13,Z18),Z18)</f>
        <v>0</v>
      </c>
      <c r="AB18" s="39">
        <f>IFERROR(IF(INDEX('State Map'!$C:$C,MATCH(TRIM('RZSPbS-psgr-ldv'!$A18),'State Map'!$A:$A,0))="Max Ambition",Schedules!X$13,AA18),AA18)</f>
        <v>0</v>
      </c>
      <c r="AC18" s="39">
        <f>IFERROR(IF(INDEX('State Map'!$C:$C,MATCH(TRIM('RZSPbS-psgr-ldv'!$A18),'State Map'!$A:$A,0))="Max Ambition",Schedules!Y$13,AB18),AB18)</f>
        <v>0</v>
      </c>
      <c r="AD18" s="39">
        <f>IFERROR(IF(INDEX('State Map'!$C:$C,MATCH(TRIM('RZSPbS-psgr-ldv'!$A18),'State Map'!$A:$A,0))="Max Ambition",Schedules!Z$13,AC18),AC18)</f>
        <v>0</v>
      </c>
      <c r="AE18" s="39">
        <f>IFERROR(IF(INDEX('State Map'!$C:$C,MATCH(TRIM('RZSPbS-psgr-ldv'!$A18),'State Map'!$A:$A,0))="Max Ambition",Schedules!AA$13,AD18),AD18)</f>
        <v>0</v>
      </c>
      <c r="AF18" s="39">
        <f>IFERROR(IF(INDEX('State Map'!$C:$C,MATCH(TRIM('RZSPbS-psgr-ldv'!$A18),'State Map'!$A:$A,0))="Max Ambition",Schedules!AB$13,AE18),AE18)</f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39">
        <f>IFERROR(IF(INDEX('State Map'!$C:$C,MATCH(TRIM('RZSPbS-psgr-ldv'!$A19),'State Map'!$A:$A,0))="Max Ambition",Schedules!G$13,J19),J19)</f>
        <v>0</v>
      </c>
      <c r="L19" s="39">
        <f>IFERROR(IF(INDEX('State Map'!$C:$C,MATCH(TRIM('RZSPbS-psgr-ldv'!$A19),'State Map'!$A:$A,0))="Max Ambition",Schedules!H$13,K19),K19)</f>
        <v>0</v>
      </c>
      <c r="M19" s="39">
        <f>IFERROR(IF(INDEX('State Map'!$C:$C,MATCH(TRIM('RZSPbS-psgr-ldv'!$A19),'State Map'!$A:$A,0))="Max Ambition",Schedules!I$13,L19),L19)</f>
        <v>0</v>
      </c>
      <c r="N19" s="39">
        <f>IFERROR(IF(INDEX('State Map'!$C:$C,MATCH(TRIM('RZSPbS-psgr-ldv'!$A19),'State Map'!$A:$A,0))="Max Ambition",Schedules!J$13,M19),M19)</f>
        <v>0</v>
      </c>
      <c r="O19" s="39">
        <f>IFERROR(IF(INDEX('State Map'!$C:$C,MATCH(TRIM('RZSPbS-psgr-ldv'!$A19),'State Map'!$A:$A,0))="Max Ambition",Schedules!K$13,N19),N19)</f>
        <v>0</v>
      </c>
      <c r="P19" s="39">
        <f>IFERROR(IF(INDEX('State Map'!$C:$C,MATCH(TRIM('RZSPbS-psgr-ldv'!$A19),'State Map'!$A:$A,0))="Max Ambition",Schedules!L$13,O19),O19)</f>
        <v>0</v>
      </c>
      <c r="Q19" s="39">
        <f>IFERROR(IF(INDEX('State Map'!$C:$C,MATCH(TRIM('RZSPbS-psgr-ldv'!$A19),'State Map'!$A:$A,0))="Max Ambition",Schedules!M$13,P19),P19)</f>
        <v>0</v>
      </c>
      <c r="R19" s="39">
        <f>IFERROR(IF(INDEX('State Map'!$C:$C,MATCH(TRIM('RZSPbS-psgr-ldv'!$A19),'State Map'!$A:$A,0))="Max Ambition",Schedules!N$13,Q19),Q19)</f>
        <v>0</v>
      </c>
      <c r="S19" s="39">
        <f>IFERROR(IF(INDEX('State Map'!$C:$C,MATCH(TRIM('RZSPbS-psgr-ldv'!$A19),'State Map'!$A:$A,0))="Max Ambition",Schedules!O$13,R19),R19)</f>
        <v>0</v>
      </c>
      <c r="T19" s="39">
        <f>IFERROR(IF(INDEX('State Map'!$C:$C,MATCH(TRIM('RZSPbS-psgr-ldv'!$A19),'State Map'!$A:$A,0))="Max Ambition",Schedules!P$13,S19),S19)</f>
        <v>0</v>
      </c>
      <c r="U19" s="39">
        <f>IFERROR(IF(INDEX('State Map'!$C:$C,MATCH(TRIM('RZSPbS-psgr-ldv'!$A19),'State Map'!$A:$A,0))="Max Ambition",Schedules!Q$13,T19),T19)</f>
        <v>0</v>
      </c>
      <c r="V19" s="39">
        <f>IFERROR(IF(INDEX('State Map'!$C:$C,MATCH(TRIM('RZSPbS-psgr-ldv'!$A19),'State Map'!$A:$A,0))="Max Ambition",Schedules!R$13,U19),U19)</f>
        <v>0</v>
      </c>
      <c r="W19" s="39">
        <f>IFERROR(IF(INDEX('State Map'!$C:$C,MATCH(TRIM('RZSPbS-psgr-ldv'!$A19),'State Map'!$A:$A,0))="Max Ambition",Schedules!S$13,V19),V19)</f>
        <v>0</v>
      </c>
      <c r="X19" s="39">
        <f>IFERROR(IF(INDEX('State Map'!$C:$C,MATCH(TRIM('RZSPbS-psgr-ldv'!$A19),'State Map'!$A:$A,0))="Max Ambition",Schedules!T$13,W19),W19)</f>
        <v>0</v>
      </c>
      <c r="Y19" s="39">
        <f>IFERROR(IF(INDEX('State Map'!$C:$C,MATCH(TRIM('RZSPbS-psgr-ldv'!$A19),'State Map'!$A:$A,0))="Max Ambition",Schedules!U$13,X19),X19)</f>
        <v>0</v>
      </c>
      <c r="Z19" s="39">
        <f>IFERROR(IF(INDEX('State Map'!$C:$C,MATCH(TRIM('RZSPbS-psgr-ldv'!$A19),'State Map'!$A:$A,0))="Max Ambition",Schedules!V$13,Y19),Y19)</f>
        <v>0</v>
      </c>
      <c r="AA19" s="39">
        <f>IFERROR(IF(INDEX('State Map'!$C:$C,MATCH(TRIM('RZSPbS-psgr-ldv'!$A19),'State Map'!$A:$A,0))="Max Ambition",Schedules!W$13,Z19),Z19)</f>
        <v>0</v>
      </c>
      <c r="AB19" s="39">
        <f>IFERROR(IF(INDEX('State Map'!$C:$C,MATCH(TRIM('RZSPbS-psgr-ldv'!$A19),'State Map'!$A:$A,0))="Max Ambition",Schedules!X$13,AA19),AA19)</f>
        <v>0</v>
      </c>
      <c r="AC19" s="39">
        <f>IFERROR(IF(INDEX('State Map'!$C:$C,MATCH(TRIM('RZSPbS-psgr-ldv'!$A19),'State Map'!$A:$A,0))="Max Ambition",Schedules!Y$13,AB19),AB19)</f>
        <v>0</v>
      </c>
      <c r="AD19" s="39">
        <f>IFERROR(IF(INDEX('State Map'!$C:$C,MATCH(TRIM('RZSPbS-psgr-ldv'!$A19),'State Map'!$A:$A,0))="Max Ambition",Schedules!Z$13,AC19),AC19)</f>
        <v>0</v>
      </c>
      <c r="AE19" s="39">
        <f>IFERROR(IF(INDEX('State Map'!$C:$C,MATCH(TRIM('RZSPbS-psgr-ldv'!$A19),'State Map'!$A:$A,0))="Max Ambition",Schedules!AA$13,AD19),AD19)</f>
        <v>0</v>
      </c>
      <c r="AF19" s="39">
        <f>IFERROR(IF(INDEX('State Map'!$C:$C,MATCH(TRIM('RZSPbS-psgr-ldv'!$A19),'State Map'!$A:$A,0))="Max Ambition",Schedules!AB$13,AE19),AE19)</f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39">
        <f>IFERROR(IF(INDEX('State Map'!$C:$C,MATCH(TRIM('RZSPbS-psgr-ldv'!$A20),'State Map'!$A:$A,0))="Max Ambition",Schedules!G$13,J20),J20)</f>
        <v>0</v>
      </c>
      <c r="L20" s="39">
        <f>IFERROR(IF(INDEX('State Map'!$C:$C,MATCH(TRIM('RZSPbS-psgr-ldv'!$A20),'State Map'!$A:$A,0))="Max Ambition",Schedules!H$13,K20),K20)</f>
        <v>0</v>
      </c>
      <c r="M20" s="39">
        <f>IFERROR(IF(INDEX('State Map'!$C:$C,MATCH(TRIM('RZSPbS-psgr-ldv'!$A20),'State Map'!$A:$A,0))="Max Ambition",Schedules!I$13,L20),L20)</f>
        <v>0</v>
      </c>
      <c r="N20" s="39">
        <f>IFERROR(IF(INDEX('State Map'!$C:$C,MATCH(TRIM('RZSPbS-psgr-ldv'!$A20),'State Map'!$A:$A,0))="Max Ambition",Schedules!J$13,M20),M20)</f>
        <v>0</v>
      </c>
      <c r="O20" s="39">
        <f>IFERROR(IF(INDEX('State Map'!$C:$C,MATCH(TRIM('RZSPbS-psgr-ldv'!$A20),'State Map'!$A:$A,0))="Max Ambition",Schedules!K$13,N20),N20)</f>
        <v>0</v>
      </c>
      <c r="P20" s="39">
        <f>IFERROR(IF(INDEX('State Map'!$C:$C,MATCH(TRIM('RZSPbS-psgr-ldv'!$A20),'State Map'!$A:$A,0))="Max Ambition",Schedules!L$13,O20),O20)</f>
        <v>0</v>
      </c>
      <c r="Q20" s="39">
        <f>IFERROR(IF(INDEX('State Map'!$C:$C,MATCH(TRIM('RZSPbS-psgr-ldv'!$A20),'State Map'!$A:$A,0))="Max Ambition",Schedules!M$13,P20),P20)</f>
        <v>0</v>
      </c>
      <c r="R20" s="39">
        <f>IFERROR(IF(INDEX('State Map'!$C:$C,MATCH(TRIM('RZSPbS-psgr-ldv'!$A20),'State Map'!$A:$A,0))="Max Ambition",Schedules!N$13,Q20),Q20)</f>
        <v>0</v>
      </c>
      <c r="S20" s="39">
        <f>IFERROR(IF(INDEX('State Map'!$C:$C,MATCH(TRIM('RZSPbS-psgr-ldv'!$A20),'State Map'!$A:$A,0))="Max Ambition",Schedules!O$13,R20),R20)</f>
        <v>0</v>
      </c>
      <c r="T20" s="39">
        <f>IFERROR(IF(INDEX('State Map'!$C:$C,MATCH(TRIM('RZSPbS-psgr-ldv'!$A20),'State Map'!$A:$A,0))="Max Ambition",Schedules!P$13,S20),S20)</f>
        <v>0</v>
      </c>
      <c r="U20" s="39">
        <f>IFERROR(IF(INDEX('State Map'!$C:$C,MATCH(TRIM('RZSPbS-psgr-ldv'!$A20),'State Map'!$A:$A,0))="Max Ambition",Schedules!Q$13,T20),T20)</f>
        <v>0</v>
      </c>
      <c r="V20" s="39">
        <f>IFERROR(IF(INDEX('State Map'!$C:$C,MATCH(TRIM('RZSPbS-psgr-ldv'!$A20),'State Map'!$A:$A,0))="Max Ambition",Schedules!R$13,U20),U20)</f>
        <v>0</v>
      </c>
      <c r="W20" s="39">
        <f>IFERROR(IF(INDEX('State Map'!$C:$C,MATCH(TRIM('RZSPbS-psgr-ldv'!$A20),'State Map'!$A:$A,0))="Max Ambition",Schedules!S$13,V20),V20)</f>
        <v>0</v>
      </c>
      <c r="X20" s="39">
        <f>IFERROR(IF(INDEX('State Map'!$C:$C,MATCH(TRIM('RZSPbS-psgr-ldv'!$A20),'State Map'!$A:$A,0))="Max Ambition",Schedules!T$13,W20),W20)</f>
        <v>0</v>
      </c>
      <c r="Y20" s="39">
        <f>IFERROR(IF(INDEX('State Map'!$C:$C,MATCH(TRIM('RZSPbS-psgr-ldv'!$A20),'State Map'!$A:$A,0))="Max Ambition",Schedules!U$13,X20),X20)</f>
        <v>0</v>
      </c>
      <c r="Z20" s="39">
        <f>IFERROR(IF(INDEX('State Map'!$C:$C,MATCH(TRIM('RZSPbS-psgr-ldv'!$A20),'State Map'!$A:$A,0))="Max Ambition",Schedules!V$13,Y20),Y20)</f>
        <v>0</v>
      </c>
      <c r="AA20" s="39">
        <f>IFERROR(IF(INDEX('State Map'!$C:$C,MATCH(TRIM('RZSPbS-psgr-ldv'!$A20),'State Map'!$A:$A,0))="Max Ambition",Schedules!W$13,Z20),Z20)</f>
        <v>0</v>
      </c>
      <c r="AB20" s="39">
        <f>IFERROR(IF(INDEX('State Map'!$C:$C,MATCH(TRIM('RZSPbS-psgr-ldv'!$A20),'State Map'!$A:$A,0))="Max Ambition",Schedules!X$13,AA20),AA20)</f>
        <v>0</v>
      </c>
      <c r="AC20" s="39">
        <f>IFERROR(IF(INDEX('State Map'!$C:$C,MATCH(TRIM('RZSPbS-psgr-ldv'!$A20),'State Map'!$A:$A,0))="Max Ambition",Schedules!Y$13,AB20),AB20)</f>
        <v>0</v>
      </c>
      <c r="AD20" s="39">
        <f>IFERROR(IF(INDEX('State Map'!$C:$C,MATCH(TRIM('RZSPbS-psgr-ldv'!$A20),'State Map'!$A:$A,0))="Max Ambition",Schedules!Z$13,AC20),AC20)</f>
        <v>0</v>
      </c>
      <c r="AE20" s="39">
        <f>IFERROR(IF(INDEX('State Map'!$C:$C,MATCH(TRIM('RZSPbS-psgr-ldv'!$A20),'State Map'!$A:$A,0))="Max Ambition",Schedules!AA$13,AD20),AD20)</f>
        <v>0</v>
      </c>
      <c r="AF20" s="39">
        <f>IFERROR(IF(INDEX('State Map'!$C:$C,MATCH(TRIM('RZSPbS-psgr-ldv'!$A20),'State Map'!$A:$A,0))="Max Ambition",Schedules!AB$13,AE20),AE20)</f>
        <v>0</v>
      </c>
    </row>
    <row r="21" spans="1:32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39">
        <f>IFERROR(IF(INDEX('State Map'!$C:$C,MATCH(TRIM('RZSPbS-psgr-ldv'!$A21),'State Map'!$A:$A,0))="Max Ambition",Schedules!G$13,J21),J21)</f>
        <v>2.5999999999999999E-2</v>
      </c>
      <c r="L21" s="39">
        <f>IFERROR(IF(INDEX('State Map'!$C:$C,MATCH(TRIM('RZSPbS-psgr-ldv'!$A21),'State Map'!$A:$A,0))="Max Ambition",Schedules!H$13,K21),K21)</f>
        <v>0.03</v>
      </c>
      <c r="M21" s="39">
        <f>IFERROR(IF(INDEX('State Map'!$C:$C,MATCH(TRIM('RZSPbS-psgr-ldv'!$A21),'State Map'!$A:$A,0))="Max Ambition",Schedules!I$13,L21),L21)</f>
        <v>3.4000000000000002E-2</v>
      </c>
      <c r="N21" s="39">
        <f>IFERROR(IF(INDEX('State Map'!$C:$C,MATCH(TRIM('RZSPbS-psgr-ldv'!$A21),'State Map'!$A:$A,0))="Max Ambition",Schedules!J$13,M21),M21)</f>
        <v>0.05</v>
      </c>
      <c r="O21" s="39">
        <f>IFERROR(IF(INDEX('State Map'!$C:$C,MATCH(TRIM('RZSPbS-psgr-ldv'!$A21),'State Map'!$A:$A,0))="Max Ambition",Schedules!K$13,N21),N21)</f>
        <v>7.0000000000000007E-2</v>
      </c>
      <c r="P21" s="39">
        <f>IFERROR(IF(INDEX('State Map'!$C:$C,MATCH(TRIM('RZSPbS-psgr-ldv'!$A21),'State Map'!$A:$A,0))="Max Ambition",Schedules!L$13,O21),O21)</f>
        <v>0.1</v>
      </c>
      <c r="Q21" s="39">
        <f>IFERROR(IF(INDEX('State Map'!$C:$C,MATCH(TRIM('RZSPbS-psgr-ldv'!$A21),'State Map'!$A:$A,0))="Max Ambition",Schedules!M$13,P21),P21)</f>
        <v>0.15</v>
      </c>
      <c r="R21" s="39">
        <f>IFERROR(IF(INDEX('State Map'!$C:$C,MATCH(TRIM('RZSPbS-psgr-ldv'!$A21),'State Map'!$A:$A,0))="Max Ambition",Schedules!N$13,Q21),Q21)</f>
        <v>0.2</v>
      </c>
      <c r="S21" s="39">
        <f>IFERROR(IF(INDEX('State Map'!$C:$C,MATCH(TRIM('RZSPbS-psgr-ldv'!$A21),'State Map'!$A:$A,0))="Max Ambition",Schedules!O$13,R21),R21)</f>
        <v>0.25</v>
      </c>
      <c r="T21" s="39">
        <f>IFERROR(IF(INDEX('State Map'!$C:$C,MATCH(TRIM('RZSPbS-psgr-ldv'!$A21),'State Map'!$A:$A,0))="Max Ambition",Schedules!P$13,S21),S21)</f>
        <v>0.3</v>
      </c>
      <c r="U21" s="39">
        <f>IFERROR(IF(INDEX('State Map'!$C:$C,MATCH(TRIM('RZSPbS-psgr-ldv'!$A21),'State Map'!$A:$A,0))="Max Ambition",Schedules!Q$13,T21),T21)</f>
        <v>0.35</v>
      </c>
      <c r="V21" s="39">
        <f>IFERROR(IF(INDEX('State Map'!$C:$C,MATCH(TRIM('RZSPbS-psgr-ldv'!$A21),'State Map'!$A:$A,0))="Max Ambition",Schedules!R$13,U21),U21)</f>
        <v>0.4</v>
      </c>
      <c r="W21" s="39">
        <f>IFERROR(IF(INDEX('State Map'!$C:$C,MATCH(TRIM('RZSPbS-psgr-ldv'!$A21),'State Map'!$A:$A,0))="Max Ambition",Schedules!S$13,V21),V21)</f>
        <v>0.4</v>
      </c>
      <c r="X21" s="39">
        <f>IFERROR(IF(INDEX('State Map'!$C:$C,MATCH(TRIM('RZSPbS-psgr-ldv'!$A21),'State Map'!$A:$A,0))="Max Ambition",Schedules!T$13,W21),W21)</f>
        <v>0.4</v>
      </c>
      <c r="Y21" s="39">
        <f>IFERROR(IF(INDEX('State Map'!$C:$C,MATCH(TRIM('RZSPbS-psgr-ldv'!$A21),'State Map'!$A:$A,0))="Max Ambition",Schedules!U$13,X21),X21)</f>
        <v>0.4</v>
      </c>
      <c r="Z21" s="39">
        <f>IFERROR(IF(INDEX('State Map'!$C:$C,MATCH(TRIM('RZSPbS-psgr-ldv'!$A21),'State Map'!$A:$A,0))="Max Ambition",Schedules!V$13,Y21),Y21)</f>
        <v>0.45700000000000002</v>
      </c>
      <c r="AA21" s="39">
        <f>IFERROR(IF(INDEX('State Map'!$C:$C,MATCH(TRIM('RZSPbS-psgr-ldv'!$A21),'State Map'!$A:$A,0))="Max Ambition",Schedules!W$13,Z21),Z21)</f>
        <v>0.51400000000000001</v>
      </c>
      <c r="AB21" s="39">
        <f>IFERROR(IF(INDEX('State Map'!$C:$C,MATCH(TRIM('RZSPbS-psgr-ldv'!$A21),'State Map'!$A:$A,0))="Max Ambition",Schedules!X$13,AA21),AA21)</f>
        <v>0.57099999999999995</v>
      </c>
      <c r="AC21" s="39">
        <f>IFERROR(IF(INDEX('State Map'!$C:$C,MATCH(TRIM('RZSPbS-psgr-ldv'!$A21),'State Map'!$A:$A,0))="Max Ambition",Schedules!Y$13,AB21),AB21)</f>
        <v>0.628</v>
      </c>
      <c r="AD21" s="39">
        <f>IFERROR(IF(INDEX('State Map'!$C:$C,MATCH(TRIM('RZSPbS-psgr-ldv'!$A21),'State Map'!$A:$A,0))="Max Ambition",Schedules!Z$13,AC21),AC21)</f>
        <v>0.68500000000000005</v>
      </c>
      <c r="AE21" s="39">
        <f>IFERROR(IF(INDEX('State Map'!$C:$C,MATCH(TRIM('RZSPbS-psgr-ldv'!$A21),'State Map'!$A:$A,0))="Max Ambition",Schedules!AA$13,AD21),AD21)</f>
        <v>0.74199999999999999</v>
      </c>
      <c r="AF21" s="39">
        <f>IFERROR(IF(INDEX('State Map'!$C:$C,MATCH(TRIM('RZSPbS-psgr-ldv'!$A21),'State Map'!$A:$A,0))="Max Ambition",Schedules!AB$13,AE21),AE21)</f>
        <v>0.8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39">
        <f>IFERROR(IF(INDEX('State Map'!$C:$C,MATCH(TRIM('RZSPbS-psgr-ldv'!$A22),'State Map'!$A:$A,0))="Max Ambition",Schedules!G$13,J22),J22)</f>
        <v>2.5999999999999999E-2</v>
      </c>
      <c r="L22" s="39">
        <f>IFERROR(IF(INDEX('State Map'!$C:$C,MATCH(TRIM('RZSPbS-psgr-ldv'!$A22),'State Map'!$A:$A,0))="Max Ambition",Schedules!H$13,K22),K22)</f>
        <v>0.03</v>
      </c>
      <c r="M22" s="39">
        <f>IFERROR(IF(INDEX('State Map'!$C:$C,MATCH(TRIM('RZSPbS-psgr-ldv'!$A22),'State Map'!$A:$A,0))="Max Ambition",Schedules!I$13,L22),L22)</f>
        <v>3.4000000000000002E-2</v>
      </c>
      <c r="N22" s="39">
        <f>IFERROR(IF(INDEX('State Map'!$C:$C,MATCH(TRIM('RZSPbS-psgr-ldv'!$A22),'State Map'!$A:$A,0))="Max Ambition",Schedules!J$13,M22),M22)</f>
        <v>0.05</v>
      </c>
      <c r="O22" s="39">
        <f>IFERROR(IF(INDEX('State Map'!$C:$C,MATCH(TRIM('RZSPbS-psgr-ldv'!$A22),'State Map'!$A:$A,0))="Max Ambition",Schedules!K$13,N22),N22)</f>
        <v>7.0000000000000007E-2</v>
      </c>
      <c r="P22" s="39">
        <f>IFERROR(IF(INDEX('State Map'!$C:$C,MATCH(TRIM('RZSPbS-psgr-ldv'!$A22),'State Map'!$A:$A,0))="Max Ambition",Schedules!L$13,O22),O22)</f>
        <v>0.1</v>
      </c>
      <c r="Q22" s="39">
        <f>IFERROR(IF(INDEX('State Map'!$C:$C,MATCH(TRIM('RZSPbS-psgr-ldv'!$A22),'State Map'!$A:$A,0))="Max Ambition",Schedules!M$13,P22),P22)</f>
        <v>0.15</v>
      </c>
      <c r="R22" s="39">
        <f>IFERROR(IF(INDEX('State Map'!$C:$C,MATCH(TRIM('RZSPbS-psgr-ldv'!$A22),'State Map'!$A:$A,0))="Max Ambition",Schedules!N$13,Q22),Q22)</f>
        <v>0.2</v>
      </c>
      <c r="S22" s="39">
        <f>IFERROR(IF(INDEX('State Map'!$C:$C,MATCH(TRIM('RZSPbS-psgr-ldv'!$A22),'State Map'!$A:$A,0))="Max Ambition",Schedules!O$13,R22),R22)</f>
        <v>0.25</v>
      </c>
      <c r="T22" s="39">
        <f>IFERROR(IF(INDEX('State Map'!$C:$C,MATCH(TRIM('RZSPbS-psgr-ldv'!$A22),'State Map'!$A:$A,0))="Max Ambition",Schedules!P$13,S22),S22)</f>
        <v>0.3</v>
      </c>
      <c r="U22" s="39">
        <f>IFERROR(IF(INDEX('State Map'!$C:$C,MATCH(TRIM('RZSPbS-psgr-ldv'!$A22),'State Map'!$A:$A,0))="Max Ambition",Schedules!Q$13,T22),T22)</f>
        <v>0.35</v>
      </c>
      <c r="V22" s="39">
        <f>IFERROR(IF(INDEX('State Map'!$C:$C,MATCH(TRIM('RZSPbS-psgr-ldv'!$A22),'State Map'!$A:$A,0))="Max Ambition",Schedules!R$13,U22),U22)</f>
        <v>0.4</v>
      </c>
      <c r="W22" s="39">
        <f>IFERROR(IF(INDEX('State Map'!$C:$C,MATCH(TRIM('RZSPbS-psgr-ldv'!$A22),'State Map'!$A:$A,0))="Max Ambition",Schedules!S$13,V22),V22)</f>
        <v>0.4</v>
      </c>
      <c r="X22" s="39">
        <f>IFERROR(IF(INDEX('State Map'!$C:$C,MATCH(TRIM('RZSPbS-psgr-ldv'!$A22),'State Map'!$A:$A,0))="Max Ambition",Schedules!T$13,W22),W22)</f>
        <v>0.4</v>
      </c>
      <c r="Y22" s="39">
        <f>IFERROR(IF(INDEX('State Map'!$C:$C,MATCH(TRIM('RZSPbS-psgr-ldv'!$A22),'State Map'!$A:$A,0))="Max Ambition",Schedules!U$13,X22),X22)</f>
        <v>0.4</v>
      </c>
      <c r="Z22" s="39">
        <f>IFERROR(IF(INDEX('State Map'!$C:$C,MATCH(TRIM('RZSPbS-psgr-ldv'!$A22),'State Map'!$A:$A,0))="Max Ambition",Schedules!V$13,Y22),Y22)</f>
        <v>0.45700000000000002</v>
      </c>
      <c r="AA22" s="39">
        <f>IFERROR(IF(INDEX('State Map'!$C:$C,MATCH(TRIM('RZSPbS-psgr-ldv'!$A22),'State Map'!$A:$A,0))="Max Ambition",Schedules!W$13,Z22),Z22)</f>
        <v>0.51400000000000001</v>
      </c>
      <c r="AB22" s="39">
        <f>IFERROR(IF(INDEX('State Map'!$C:$C,MATCH(TRIM('RZSPbS-psgr-ldv'!$A22),'State Map'!$A:$A,0))="Max Ambition",Schedules!X$13,AA22),AA22)</f>
        <v>0.57099999999999995</v>
      </c>
      <c r="AC22" s="39">
        <f>IFERROR(IF(INDEX('State Map'!$C:$C,MATCH(TRIM('RZSPbS-psgr-ldv'!$A22),'State Map'!$A:$A,0))="Max Ambition",Schedules!Y$13,AB22),AB22)</f>
        <v>0.628</v>
      </c>
      <c r="AD22" s="39">
        <f>IFERROR(IF(INDEX('State Map'!$C:$C,MATCH(TRIM('RZSPbS-psgr-ldv'!$A22),'State Map'!$A:$A,0))="Max Ambition",Schedules!Z$13,AC22),AC22)</f>
        <v>0.68500000000000005</v>
      </c>
      <c r="AE22" s="39">
        <f>IFERROR(IF(INDEX('State Map'!$C:$C,MATCH(TRIM('RZSPbS-psgr-ldv'!$A22),'State Map'!$A:$A,0))="Max Ambition",Schedules!AA$13,AD22),AD22)</f>
        <v>0.74199999999999999</v>
      </c>
      <c r="AF22" s="39">
        <f>IFERROR(IF(INDEX('State Map'!$C:$C,MATCH(TRIM('RZSPbS-psgr-ldv'!$A22),'State Map'!$A:$A,0))="Max Ambition",Schedules!AB$13,AE22),AE22)</f>
        <v>0.8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39">
        <f>IFERROR(IF(INDEX('State Map'!$C:$C,MATCH(TRIM('RZSPbS-psgr-ldv'!$A23),'State Map'!$A:$A,0))="Max Ambition",Schedules!G$13,J23),J23)</f>
        <v>2.5999999999999999E-2</v>
      </c>
      <c r="L23" s="39">
        <f>IFERROR(IF(INDEX('State Map'!$C:$C,MATCH(TRIM('RZSPbS-psgr-ldv'!$A23),'State Map'!$A:$A,0))="Max Ambition",Schedules!H$13,K23),K23)</f>
        <v>0.03</v>
      </c>
      <c r="M23" s="39">
        <f>IFERROR(IF(INDEX('State Map'!$C:$C,MATCH(TRIM('RZSPbS-psgr-ldv'!$A23),'State Map'!$A:$A,0))="Max Ambition",Schedules!I$13,L23),L23)</f>
        <v>3.4000000000000002E-2</v>
      </c>
      <c r="N23" s="39">
        <f>IFERROR(IF(INDEX('State Map'!$C:$C,MATCH(TRIM('RZSPbS-psgr-ldv'!$A23),'State Map'!$A:$A,0))="Max Ambition",Schedules!J$13,M23),M23)</f>
        <v>0.05</v>
      </c>
      <c r="O23" s="39">
        <f>IFERROR(IF(INDEX('State Map'!$C:$C,MATCH(TRIM('RZSPbS-psgr-ldv'!$A23),'State Map'!$A:$A,0))="Max Ambition",Schedules!K$13,N23),N23)</f>
        <v>7.0000000000000007E-2</v>
      </c>
      <c r="P23" s="39">
        <f>IFERROR(IF(INDEX('State Map'!$C:$C,MATCH(TRIM('RZSPbS-psgr-ldv'!$A23),'State Map'!$A:$A,0))="Max Ambition",Schedules!L$13,O23),O23)</f>
        <v>0.1</v>
      </c>
      <c r="Q23" s="39">
        <f>IFERROR(IF(INDEX('State Map'!$C:$C,MATCH(TRIM('RZSPbS-psgr-ldv'!$A23),'State Map'!$A:$A,0))="Max Ambition",Schedules!M$13,P23),P23)</f>
        <v>0.15</v>
      </c>
      <c r="R23" s="39">
        <f>IFERROR(IF(INDEX('State Map'!$C:$C,MATCH(TRIM('RZSPbS-psgr-ldv'!$A23),'State Map'!$A:$A,0))="Max Ambition",Schedules!N$13,Q23),Q23)</f>
        <v>0.2</v>
      </c>
      <c r="S23" s="39">
        <f>IFERROR(IF(INDEX('State Map'!$C:$C,MATCH(TRIM('RZSPbS-psgr-ldv'!$A23),'State Map'!$A:$A,0))="Max Ambition",Schedules!O$13,R23),R23)</f>
        <v>0.25</v>
      </c>
      <c r="T23" s="39">
        <f>IFERROR(IF(INDEX('State Map'!$C:$C,MATCH(TRIM('RZSPbS-psgr-ldv'!$A23),'State Map'!$A:$A,0))="Max Ambition",Schedules!P$13,S23),S23)</f>
        <v>0.3</v>
      </c>
      <c r="U23" s="39">
        <f>IFERROR(IF(INDEX('State Map'!$C:$C,MATCH(TRIM('RZSPbS-psgr-ldv'!$A23),'State Map'!$A:$A,0))="Max Ambition",Schedules!Q$13,T23),T23)</f>
        <v>0.35</v>
      </c>
      <c r="V23" s="39">
        <f>IFERROR(IF(INDEX('State Map'!$C:$C,MATCH(TRIM('RZSPbS-psgr-ldv'!$A23),'State Map'!$A:$A,0))="Max Ambition",Schedules!R$13,U23),U23)</f>
        <v>0.4</v>
      </c>
      <c r="W23" s="39">
        <f>IFERROR(IF(INDEX('State Map'!$C:$C,MATCH(TRIM('RZSPbS-psgr-ldv'!$A23),'State Map'!$A:$A,0))="Max Ambition",Schedules!S$13,V23),V23)</f>
        <v>0.4</v>
      </c>
      <c r="X23" s="39">
        <f>IFERROR(IF(INDEX('State Map'!$C:$C,MATCH(TRIM('RZSPbS-psgr-ldv'!$A23),'State Map'!$A:$A,0))="Max Ambition",Schedules!T$13,W23),W23)</f>
        <v>0.4</v>
      </c>
      <c r="Y23" s="39">
        <f>IFERROR(IF(INDEX('State Map'!$C:$C,MATCH(TRIM('RZSPbS-psgr-ldv'!$A23),'State Map'!$A:$A,0))="Max Ambition",Schedules!U$13,X23),X23)</f>
        <v>0.4</v>
      </c>
      <c r="Z23" s="39">
        <f>IFERROR(IF(INDEX('State Map'!$C:$C,MATCH(TRIM('RZSPbS-psgr-ldv'!$A23),'State Map'!$A:$A,0))="Max Ambition",Schedules!V$13,Y23),Y23)</f>
        <v>0.45700000000000002</v>
      </c>
      <c r="AA23" s="39">
        <f>IFERROR(IF(INDEX('State Map'!$C:$C,MATCH(TRIM('RZSPbS-psgr-ldv'!$A23),'State Map'!$A:$A,0))="Max Ambition",Schedules!W$13,Z23),Z23)</f>
        <v>0.51400000000000001</v>
      </c>
      <c r="AB23" s="39">
        <f>IFERROR(IF(INDEX('State Map'!$C:$C,MATCH(TRIM('RZSPbS-psgr-ldv'!$A23),'State Map'!$A:$A,0))="Max Ambition",Schedules!X$13,AA23),AA23)</f>
        <v>0.57099999999999995</v>
      </c>
      <c r="AC23" s="39">
        <f>IFERROR(IF(INDEX('State Map'!$C:$C,MATCH(TRIM('RZSPbS-psgr-ldv'!$A23),'State Map'!$A:$A,0))="Max Ambition",Schedules!Y$13,AB23),AB23)</f>
        <v>0.628</v>
      </c>
      <c r="AD23" s="39">
        <f>IFERROR(IF(INDEX('State Map'!$C:$C,MATCH(TRIM('RZSPbS-psgr-ldv'!$A23),'State Map'!$A:$A,0))="Max Ambition",Schedules!Z$13,AC23),AC23)</f>
        <v>0.68500000000000005</v>
      </c>
      <c r="AE23" s="39">
        <f>IFERROR(IF(INDEX('State Map'!$C:$C,MATCH(TRIM('RZSPbS-psgr-ldv'!$A23),'State Map'!$A:$A,0))="Max Ambition",Schedules!AA$13,AD23),AD23)</f>
        <v>0.74199999999999999</v>
      </c>
      <c r="AF23" s="39">
        <f>IFERROR(IF(INDEX('State Map'!$C:$C,MATCH(TRIM('RZSPbS-psgr-ldv'!$A23),'State Map'!$A:$A,0))="Max Ambition",Schedules!AB$13,AE23),AE23)</f>
        <v>0.8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39">
        <f>IFERROR(IF(INDEX('State Map'!$C:$C,MATCH(TRIM('RZSPbS-psgr-ldv'!$A24),'State Map'!$A:$A,0))="Max Ambition",Schedules!G$13,J24),J24)</f>
        <v>2.5999999999999999E-2</v>
      </c>
      <c r="L24" s="39">
        <f>IFERROR(IF(INDEX('State Map'!$C:$C,MATCH(TRIM('RZSPbS-psgr-ldv'!$A24),'State Map'!$A:$A,0))="Max Ambition",Schedules!H$13,K24),K24)</f>
        <v>0.03</v>
      </c>
      <c r="M24" s="39">
        <f>IFERROR(IF(INDEX('State Map'!$C:$C,MATCH(TRIM('RZSPbS-psgr-ldv'!$A24),'State Map'!$A:$A,0))="Max Ambition",Schedules!I$13,L24),L24)</f>
        <v>3.4000000000000002E-2</v>
      </c>
      <c r="N24" s="39">
        <f>IFERROR(IF(INDEX('State Map'!$C:$C,MATCH(TRIM('RZSPbS-psgr-ldv'!$A24),'State Map'!$A:$A,0))="Max Ambition",Schedules!J$13,M24),M24)</f>
        <v>0.05</v>
      </c>
      <c r="O24" s="39">
        <f>IFERROR(IF(INDEX('State Map'!$C:$C,MATCH(TRIM('RZSPbS-psgr-ldv'!$A24),'State Map'!$A:$A,0))="Max Ambition",Schedules!K$13,N24),N24)</f>
        <v>7.0000000000000007E-2</v>
      </c>
      <c r="P24" s="39">
        <f>IFERROR(IF(INDEX('State Map'!$C:$C,MATCH(TRIM('RZSPbS-psgr-ldv'!$A24),'State Map'!$A:$A,0))="Max Ambition",Schedules!L$13,O24),O24)</f>
        <v>0.1</v>
      </c>
      <c r="Q24" s="39">
        <f>IFERROR(IF(INDEX('State Map'!$C:$C,MATCH(TRIM('RZSPbS-psgr-ldv'!$A24),'State Map'!$A:$A,0))="Max Ambition",Schedules!M$13,P24),P24)</f>
        <v>0.15</v>
      </c>
      <c r="R24" s="39">
        <f>IFERROR(IF(INDEX('State Map'!$C:$C,MATCH(TRIM('RZSPbS-psgr-ldv'!$A24),'State Map'!$A:$A,0))="Max Ambition",Schedules!N$13,Q24),Q24)</f>
        <v>0.2</v>
      </c>
      <c r="S24" s="39">
        <f>IFERROR(IF(INDEX('State Map'!$C:$C,MATCH(TRIM('RZSPbS-psgr-ldv'!$A24),'State Map'!$A:$A,0))="Max Ambition",Schedules!O$13,R24),R24)</f>
        <v>0.25</v>
      </c>
      <c r="T24" s="39">
        <f>IFERROR(IF(INDEX('State Map'!$C:$C,MATCH(TRIM('RZSPbS-psgr-ldv'!$A24),'State Map'!$A:$A,0))="Max Ambition",Schedules!P$13,S24),S24)</f>
        <v>0.3</v>
      </c>
      <c r="U24" s="39">
        <f>IFERROR(IF(INDEX('State Map'!$C:$C,MATCH(TRIM('RZSPbS-psgr-ldv'!$A24),'State Map'!$A:$A,0))="Max Ambition",Schedules!Q$13,T24),T24)</f>
        <v>0.35</v>
      </c>
      <c r="V24" s="39">
        <f>IFERROR(IF(INDEX('State Map'!$C:$C,MATCH(TRIM('RZSPbS-psgr-ldv'!$A24),'State Map'!$A:$A,0))="Max Ambition",Schedules!R$13,U24),U24)</f>
        <v>0.4</v>
      </c>
      <c r="W24" s="39">
        <f>IFERROR(IF(INDEX('State Map'!$C:$C,MATCH(TRIM('RZSPbS-psgr-ldv'!$A24),'State Map'!$A:$A,0))="Max Ambition",Schedules!S$13,V24),V24)</f>
        <v>0.4</v>
      </c>
      <c r="X24" s="39">
        <f>IFERROR(IF(INDEX('State Map'!$C:$C,MATCH(TRIM('RZSPbS-psgr-ldv'!$A24),'State Map'!$A:$A,0))="Max Ambition",Schedules!T$13,W24),W24)</f>
        <v>0.4</v>
      </c>
      <c r="Y24" s="39">
        <f>IFERROR(IF(INDEX('State Map'!$C:$C,MATCH(TRIM('RZSPbS-psgr-ldv'!$A24),'State Map'!$A:$A,0))="Max Ambition",Schedules!U$13,X24),X24)</f>
        <v>0.4</v>
      </c>
      <c r="Z24" s="39">
        <f>IFERROR(IF(INDEX('State Map'!$C:$C,MATCH(TRIM('RZSPbS-psgr-ldv'!$A24),'State Map'!$A:$A,0))="Max Ambition",Schedules!V$13,Y24),Y24)</f>
        <v>0.45700000000000002</v>
      </c>
      <c r="AA24" s="39">
        <f>IFERROR(IF(INDEX('State Map'!$C:$C,MATCH(TRIM('RZSPbS-psgr-ldv'!$A24),'State Map'!$A:$A,0))="Max Ambition",Schedules!W$13,Z24),Z24)</f>
        <v>0.51400000000000001</v>
      </c>
      <c r="AB24" s="39">
        <f>IFERROR(IF(INDEX('State Map'!$C:$C,MATCH(TRIM('RZSPbS-psgr-ldv'!$A24),'State Map'!$A:$A,0))="Max Ambition",Schedules!X$13,AA24),AA24)</f>
        <v>0.57099999999999995</v>
      </c>
      <c r="AC24" s="39">
        <f>IFERROR(IF(INDEX('State Map'!$C:$C,MATCH(TRIM('RZSPbS-psgr-ldv'!$A24),'State Map'!$A:$A,0))="Max Ambition",Schedules!Y$13,AB24),AB24)</f>
        <v>0.628</v>
      </c>
      <c r="AD24" s="39">
        <f>IFERROR(IF(INDEX('State Map'!$C:$C,MATCH(TRIM('RZSPbS-psgr-ldv'!$A24),'State Map'!$A:$A,0))="Max Ambition",Schedules!Z$13,AC24),AC24)</f>
        <v>0.68500000000000005</v>
      </c>
      <c r="AE24" s="39">
        <f>IFERROR(IF(INDEX('State Map'!$C:$C,MATCH(TRIM('RZSPbS-psgr-ldv'!$A24),'State Map'!$A:$A,0))="Max Ambition",Schedules!AA$13,AD24),AD24)</f>
        <v>0.74199999999999999</v>
      </c>
      <c r="AF24" s="39">
        <f>IFERROR(IF(INDEX('State Map'!$C:$C,MATCH(TRIM('RZSPbS-psgr-ldv'!$A24),'State Map'!$A:$A,0))="Max Ambition",Schedules!AB$13,AE24),AE24)</f>
        <v>0.8</v>
      </c>
    </row>
    <row r="25" spans="1:32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39">
        <f>IFERROR(IF(INDEX('State Map'!$C:$C,MATCH(TRIM('RZSPbS-psgr-ldv'!$A25),'State Map'!$A:$A,0))="Max Ambition",Schedules!G$13,J25),J25)</f>
        <v>2.5999999999999999E-2</v>
      </c>
      <c r="L25" s="39">
        <f>IFERROR(IF(INDEX('State Map'!$C:$C,MATCH(TRIM('RZSPbS-psgr-ldv'!$A25),'State Map'!$A:$A,0))="Max Ambition",Schedules!H$13,K25),K25)</f>
        <v>0.03</v>
      </c>
      <c r="M25" s="39">
        <f>IFERROR(IF(INDEX('State Map'!$C:$C,MATCH(TRIM('RZSPbS-psgr-ldv'!$A25),'State Map'!$A:$A,0))="Max Ambition",Schedules!I$13,L25),L25)</f>
        <v>3.4000000000000002E-2</v>
      </c>
      <c r="N25" s="39">
        <f>IFERROR(IF(INDEX('State Map'!$C:$C,MATCH(TRIM('RZSPbS-psgr-ldv'!$A25),'State Map'!$A:$A,0))="Max Ambition",Schedules!J$13,M25),M25)</f>
        <v>0.05</v>
      </c>
      <c r="O25" s="39">
        <f>IFERROR(IF(INDEX('State Map'!$C:$C,MATCH(TRIM('RZSPbS-psgr-ldv'!$A25),'State Map'!$A:$A,0))="Max Ambition",Schedules!K$13,N25),N25)</f>
        <v>7.0000000000000007E-2</v>
      </c>
      <c r="P25" s="39">
        <f>IFERROR(IF(INDEX('State Map'!$C:$C,MATCH(TRIM('RZSPbS-psgr-ldv'!$A25),'State Map'!$A:$A,0))="Max Ambition",Schedules!L$13,O25),O25)</f>
        <v>0.1</v>
      </c>
      <c r="Q25" s="39">
        <f>IFERROR(IF(INDEX('State Map'!$C:$C,MATCH(TRIM('RZSPbS-psgr-ldv'!$A25),'State Map'!$A:$A,0))="Max Ambition",Schedules!M$13,P25),P25)</f>
        <v>0.15</v>
      </c>
      <c r="R25" s="39">
        <f>IFERROR(IF(INDEX('State Map'!$C:$C,MATCH(TRIM('RZSPbS-psgr-ldv'!$A25),'State Map'!$A:$A,0))="Max Ambition",Schedules!N$13,Q25),Q25)</f>
        <v>0.2</v>
      </c>
      <c r="S25" s="39">
        <f>IFERROR(IF(INDEX('State Map'!$C:$C,MATCH(TRIM('RZSPbS-psgr-ldv'!$A25),'State Map'!$A:$A,0))="Max Ambition",Schedules!O$13,R25),R25)</f>
        <v>0.25</v>
      </c>
      <c r="T25" s="39">
        <f>IFERROR(IF(INDEX('State Map'!$C:$C,MATCH(TRIM('RZSPbS-psgr-ldv'!$A25),'State Map'!$A:$A,0))="Max Ambition",Schedules!P$13,S25),S25)</f>
        <v>0.3</v>
      </c>
      <c r="U25" s="39">
        <f>IFERROR(IF(INDEX('State Map'!$C:$C,MATCH(TRIM('RZSPbS-psgr-ldv'!$A25),'State Map'!$A:$A,0))="Max Ambition",Schedules!Q$13,T25),T25)</f>
        <v>0.35</v>
      </c>
      <c r="V25" s="39">
        <f>IFERROR(IF(INDEX('State Map'!$C:$C,MATCH(TRIM('RZSPbS-psgr-ldv'!$A25),'State Map'!$A:$A,0))="Max Ambition",Schedules!R$13,U25),U25)</f>
        <v>0.4</v>
      </c>
      <c r="W25" s="39">
        <f>IFERROR(IF(INDEX('State Map'!$C:$C,MATCH(TRIM('RZSPbS-psgr-ldv'!$A25),'State Map'!$A:$A,0))="Max Ambition",Schedules!S$13,V25),V25)</f>
        <v>0.4</v>
      </c>
      <c r="X25" s="39">
        <f>IFERROR(IF(INDEX('State Map'!$C:$C,MATCH(TRIM('RZSPbS-psgr-ldv'!$A25),'State Map'!$A:$A,0))="Max Ambition",Schedules!T$13,W25),W25)</f>
        <v>0.4</v>
      </c>
      <c r="Y25" s="39">
        <f>IFERROR(IF(INDEX('State Map'!$C:$C,MATCH(TRIM('RZSPbS-psgr-ldv'!$A25),'State Map'!$A:$A,0))="Max Ambition",Schedules!U$13,X25),X25)</f>
        <v>0.4</v>
      </c>
      <c r="Z25" s="39">
        <f>IFERROR(IF(INDEX('State Map'!$C:$C,MATCH(TRIM('RZSPbS-psgr-ldv'!$A25),'State Map'!$A:$A,0))="Max Ambition",Schedules!V$13,Y25),Y25)</f>
        <v>0.45700000000000002</v>
      </c>
      <c r="AA25" s="39">
        <f>IFERROR(IF(INDEX('State Map'!$C:$C,MATCH(TRIM('RZSPbS-psgr-ldv'!$A25),'State Map'!$A:$A,0))="Max Ambition",Schedules!W$13,Z25),Z25)</f>
        <v>0.51400000000000001</v>
      </c>
      <c r="AB25" s="39">
        <f>IFERROR(IF(INDEX('State Map'!$C:$C,MATCH(TRIM('RZSPbS-psgr-ldv'!$A25),'State Map'!$A:$A,0))="Max Ambition",Schedules!X$13,AA25),AA25)</f>
        <v>0.57099999999999995</v>
      </c>
      <c r="AC25" s="39">
        <f>IFERROR(IF(INDEX('State Map'!$C:$C,MATCH(TRIM('RZSPbS-psgr-ldv'!$A25),'State Map'!$A:$A,0))="Max Ambition",Schedules!Y$13,AB25),AB25)</f>
        <v>0.628</v>
      </c>
      <c r="AD25" s="39">
        <f>IFERROR(IF(INDEX('State Map'!$C:$C,MATCH(TRIM('RZSPbS-psgr-ldv'!$A25),'State Map'!$A:$A,0))="Max Ambition",Schedules!Z$13,AC25),AC25)</f>
        <v>0.68500000000000005</v>
      </c>
      <c r="AE25" s="39">
        <f>IFERROR(IF(INDEX('State Map'!$C:$C,MATCH(TRIM('RZSPbS-psgr-ldv'!$A25),'State Map'!$A:$A,0))="Max Ambition",Schedules!AA$13,AD25),AD25)</f>
        <v>0.74199999999999999</v>
      </c>
      <c r="AF25" s="39">
        <f>IFERROR(IF(INDEX('State Map'!$C:$C,MATCH(TRIM('RZSPbS-psgr-ldv'!$A25),'State Map'!$A:$A,0))="Max Ambition",Schedules!AB$13,AE25),AE25)</f>
        <v>0.8</v>
      </c>
    </row>
    <row r="26" spans="1:32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39">
        <f>IFERROR(IF(INDEX('State Map'!$C:$C,MATCH(TRIM('RZSPbS-psgr-ldv'!$A26),'State Map'!$A:$A,0))="Max Ambition",Schedules!G$13,J26),J26)</f>
        <v>0</v>
      </c>
      <c r="L26" s="39">
        <f>IFERROR(IF(INDEX('State Map'!$C:$C,MATCH(TRIM('RZSPbS-psgr-ldv'!$A26),'State Map'!$A:$A,0))="Max Ambition",Schedules!H$13,K26),K26)</f>
        <v>0</v>
      </c>
      <c r="M26" s="39">
        <f>IFERROR(IF(INDEX('State Map'!$C:$C,MATCH(TRIM('RZSPbS-psgr-ldv'!$A26),'State Map'!$A:$A,0))="Max Ambition",Schedules!I$13,L26),L26)</f>
        <v>0</v>
      </c>
      <c r="N26" s="39">
        <f>IFERROR(IF(INDEX('State Map'!$C:$C,MATCH(TRIM('RZSPbS-psgr-ldv'!$A26),'State Map'!$A:$A,0))="Max Ambition",Schedules!J$13,M26),M26)</f>
        <v>0</v>
      </c>
      <c r="O26" s="39">
        <f>IFERROR(IF(INDEX('State Map'!$C:$C,MATCH(TRIM('RZSPbS-psgr-ldv'!$A26),'State Map'!$A:$A,0))="Max Ambition",Schedules!K$13,N26),N26)</f>
        <v>0</v>
      </c>
      <c r="P26" s="39">
        <f>IFERROR(IF(INDEX('State Map'!$C:$C,MATCH(TRIM('RZSPbS-psgr-ldv'!$A26),'State Map'!$A:$A,0))="Max Ambition",Schedules!L$13,O26),O26)</f>
        <v>0</v>
      </c>
      <c r="Q26" s="39">
        <f>IFERROR(IF(INDEX('State Map'!$C:$C,MATCH(TRIM('RZSPbS-psgr-ldv'!$A26),'State Map'!$A:$A,0))="Max Ambition",Schedules!M$13,P26),P26)</f>
        <v>0</v>
      </c>
      <c r="R26" s="39">
        <f>IFERROR(IF(INDEX('State Map'!$C:$C,MATCH(TRIM('RZSPbS-psgr-ldv'!$A26),'State Map'!$A:$A,0))="Max Ambition",Schedules!N$13,Q26),Q26)</f>
        <v>0</v>
      </c>
      <c r="S26" s="39">
        <f>IFERROR(IF(INDEX('State Map'!$C:$C,MATCH(TRIM('RZSPbS-psgr-ldv'!$A26),'State Map'!$A:$A,0))="Max Ambition",Schedules!O$13,R26),R26)</f>
        <v>0</v>
      </c>
      <c r="T26" s="39">
        <f>IFERROR(IF(INDEX('State Map'!$C:$C,MATCH(TRIM('RZSPbS-psgr-ldv'!$A26),'State Map'!$A:$A,0))="Max Ambition",Schedules!P$13,S26),S26)</f>
        <v>0</v>
      </c>
      <c r="U26" s="39">
        <f>IFERROR(IF(INDEX('State Map'!$C:$C,MATCH(TRIM('RZSPbS-psgr-ldv'!$A26),'State Map'!$A:$A,0))="Max Ambition",Schedules!Q$13,T26),T26)</f>
        <v>0</v>
      </c>
      <c r="V26" s="39">
        <f>IFERROR(IF(INDEX('State Map'!$C:$C,MATCH(TRIM('RZSPbS-psgr-ldv'!$A26),'State Map'!$A:$A,0))="Max Ambition",Schedules!R$13,U26),U26)</f>
        <v>0</v>
      </c>
      <c r="W26" s="39">
        <f>IFERROR(IF(INDEX('State Map'!$C:$C,MATCH(TRIM('RZSPbS-psgr-ldv'!$A26),'State Map'!$A:$A,0))="Max Ambition",Schedules!S$13,V26),V26)</f>
        <v>0</v>
      </c>
      <c r="X26" s="39">
        <f>IFERROR(IF(INDEX('State Map'!$C:$C,MATCH(TRIM('RZSPbS-psgr-ldv'!$A26),'State Map'!$A:$A,0))="Max Ambition",Schedules!T$13,W26),W26)</f>
        <v>0</v>
      </c>
      <c r="Y26" s="39">
        <f>IFERROR(IF(INDEX('State Map'!$C:$C,MATCH(TRIM('RZSPbS-psgr-ldv'!$A26),'State Map'!$A:$A,0))="Max Ambition",Schedules!U$13,X26),X26)</f>
        <v>0</v>
      </c>
      <c r="Z26" s="39">
        <f>IFERROR(IF(INDEX('State Map'!$C:$C,MATCH(TRIM('RZSPbS-psgr-ldv'!$A26),'State Map'!$A:$A,0))="Max Ambition",Schedules!V$13,Y26),Y26)</f>
        <v>0</v>
      </c>
      <c r="AA26" s="39">
        <f>IFERROR(IF(INDEX('State Map'!$C:$C,MATCH(TRIM('RZSPbS-psgr-ldv'!$A26),'State Map'!$A:$A,0))="Max Ambition",Schedules!W$13,Z26),Z26)</f>
        <v>0</v>
      </c>
      <c r="AB26" s="39">
        <f>IFERROR(IF(INDEX('State Map'!$C:$C,MATCH(TRIM('RZSPbS-psgr-ldv'!$A26),'State Map'!$A:$A,0))="Max Ambition",Schedules!X$13,AA26),AA26)</f>
        <v>0</v>
      </c>
      <c r="AC26" s="39">
        <f>IFERROR(IF(INDEX('State Map'!$C:$C,MATCH(TRIM('RZSPbS-psgr-ldv'!$A26),'State Map'!$A:$A,0))="Max Ambition",Schedules!Y$13,AB26),AB26)</f>
        <v>0</v>
      </c>
      <c r="AD26" s="39">
        <f>IFERROR(IF(INDEX('State Map'!$C:$C,MATCH(TRIM('RZSPbS-psgr-ldv'!$A26),'State Map'!$A:$A,0))="Max Ambition",Schedules!Z$13,AC26),AC26)</f>
        <v>0</v>
      </c>
      <c r="AE26" s="39">
        <f>IFERROR(IF(INDEX('State Map'!$C:$C,MATCH(TRIM('RZSPbS-psgr-ldv'!$A26),'State Map'!$A:$A,0))="Max Ambition",Schedules!AA$13,AD26),AD26)</f>
        <v>0</v>
      </c>
      <c r="AF26" s="39">
        <f>IFERROR(IF(INDEX('State Map'!$C:$C,MATCH(TRIM('RZSPbS-psgr-ldv'!$A26),'State Map'!$A:$A,0))="Max Ambition",Schedules!AB$13,AE26),AE26)</f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39">
        <f>IFERROR(IF(INDEX('State Map'!$C:$C,MATCH(TRIM('RZSPbS-psgr-ldv'!$A27),'State Map'!$A:$A,0))="Max Ambition",Schedules!G$13,J27),J27)</f>
        <v>0</v>
      </c>
      <c r="L27" s="39">
        <f>IFERROR(IF(INDEX('State Map'!$C:$C,MATCH(TRIM('RZSPbS-psgr-ldv'!$A27),'State Map'!$A:$A,0))="Max Ambition",Schedules!H$13,K27),K27)</f>
        <v>0</v>
      </c>
      <c r="M27" s="39">
        <f>IFERROR(IF(INDEX('State Map'!$C:$C,MATCH(TRIM('RZSPbS-psgr-ldv'!$A27),'State Map'!$A:$A,0))="Max Ambition",Schedules!I$13,L27),L27)</f>
        <v>0</v>
      </c>
      <c r="N27" s="39">
        <f>IFERROR(IF(INDEX('State Map'!$C:$C,MATCH(TRIM('RZSPbS-psgr-ldv'!$A27),'State Map'!$A:$A,0))="Max Ambition",Schedules!J$13,M27),M27)</f>
        <v>0</v>
      </c>
      <c r="O27" s="39">
        <f>IFERROR(IF(INDEX('State Map'!$C:$C,MATCH(TRIM('RZSPbS-psgr-ldv'!$A27),'State Map'!$A:$A,0))="Max Ambition",Schedules!K$13,N27),N27)</f>
        <v>0</v>
      </c>
      <c r="P27" s="39">
        <f>IFERROR(IF(INDEX('State Map'!$C:$C,MATCH(TRIM('RZSPbS-psgr-ldv'!$A27),'State Map'!$A:$A,0))="Max Ambition",Schedules!L$13,O27),O27)</f>
        <v>0</v>
      </c>
      <c r="Q27" s="39">
        <f>IFERROR(IF(INDEX('State Map'!$C:$C,MATCH(TRIM('RZSPbS-psgr-ldv'!$A27),'State Map'!$A:$A,0))="Max Ambition",Schedules!M$13,P27),P27)</f>
        <v>0</v>
      </c>
      <c r="R27" s="39">
        <f>IFERROR(IF(INDEX('State Map'!$C:$C,MATCH(TRIM('RZSPbS-psgr-ldv'!$A27),'State Map'!$A:$A,0))="Max Ambition",Schedules!N$13,Q27),Q27)</f>
        <v>0</v>
      </c>
      <c r="S27" s="39">
        <f>IFERROR(IF(INDEX('State Map'!$C:$C,MATCH(TRIM('RZSPbS-psgr-ldv'!$A27),'State Map'!$A:$A,0))="Max Ambition",Schedules!O$13,R27),R27)</f>
        <v>0</v>
      </c>
      <c r="T27" s="39">
        <f>IFERROR(IF(INDEX('State Map'!$C:$C,MATCH(TRIM('RZSPbS-psgr-ldv'!$A27),'State Map'!$A:$A,0))="Max Ambition",Schedules!P$13,S27),S27)</f>
        <v>0</v>
      </c>
      <c r="U27" s="39">
        <f>IFERROR(IF(INDEX('State Map'!$C:$C,MATCH(TRIM('RZSPbS-psgr-ldv'!$A27),'State Map'!$A:$A,0))="Max Ambition",Schedules!Q$13,T27),T27)</f>
        <v>0</v>
      </c>
      <c r="V27" s="39">
        <f>IFERROR(IF(INDEX('State Map'!$C:$C,MATCH(TRIM('RZSPbS-psgr-ldv'!$A27),'State Map'!$A:$A,0))="Max Ambition",Schedules!R$13,U27),U27)</f>
        <v>0</v>
      </c>
      <c r="W27" s="39">
        <f>IFERROR(IF(INDEX('State Map'!$C:$C,MATCH(TRIM('RZSPbS-psgr-ldv'!$A27),'State Map'!$A:$A,0))="Max Ambition",Schedules!S$13,V27),V27)</f>
        <v>0</v>
      </c>
      <c r="X27" s="39">
        <f>IFERROR(IF(INDEX('State Map'!$C:$C,MATCH(TRIM('RZSPbS-psgr-ldv'!$A27),'State Map'!$A:$A,0))="Max Ambition",Schedules!T$13,W27),W27)</f>
        <v>0</v>
      </c>
      <c r="Y27" s="39">
        <f>IFERROR(IF(INDEX('State Map'!$C:$C,MATCH(TRIM('RZSPbS-psgr-ldv'!$A27),'State Map'!$A:$A,0))="Max Ambition",Schedules!U$13,X27),X27)</f>
        <v>0</v>
      </c>
      <c r="Z27" s="39">
        <f>IFERROR(IF(INDEX('State Map'!$C:$C,MATCH(TRIM('RZSPbS-psgr-ldv'!$A27),'State Map'!$A:$A,0))="Max Ambition",Schedules!V$13,Y27),Y27)</f>
        <v>0</v>
      </c>
      <c r="AA27" s="39">
        <f>IFERROR(IF(INDEX('State Map'!$C:$C,MATCH(TRIM('RZSPbS-psgr-ldv'!$A27),'State Map'!$A:$A,0))="Max Ambition",Schedules!W$13,Z27),Z27)</f>
        <v>0</v>
      </c>
      <c r="AB27" s="39">
        <f>IFERROR(IF(INDEX('State Map'!$C:$C,MATCH(TRIM('RZSPbS-psgr-ldv'!$A27),'State Map'!$A:$A,0))="Max Ambition",Schedules!X$13,AA27),AA27)</f>
        <v>0</v>
      </c>
      <c r="AC27" s="39">
        <f>IFERROR(IF(INDEX('State Map'!$C:$C,MATCH(TRIM('RZSPbS-psgr-ldv'!$A27),'State Map'!$A:$A,0))="Max Ambition",Schedules!Y$13,AB27),AB27)</f>
        <v>0</v>
      </c>
      <c r="AD27" s="39">
        <f>IFERROR(IF(INDEX('State Map'!$C:$C,MATCH(TRIM('RZSPbS-psgr-ldv'!$A27),'State Map'!$A:$A,0))="Max Ambition",Schedules!Z$13,AC27),AC27)</f>
        <v>0</v>
      </c>
      <c r="AE27" s="39">
        <f>IFERROR(IF(INDEX('State Map'!$C:$C,MATCH(TRIM('RZSPbS-psgr-ldv'!$A27),'State Map'!$A:$A,0))="Max Ambition",Schedules!AA$13,AD27),AD27)</f>
        <v>0</v>
      </c>
      <c r="AF27" s="39">
        <f>IFERROR(IF(INDEX('State Map'!$C:$C,MATCH(TRIM('RZSPbS-psgr-ldv'!$A27),'State Map'!$A:$A,0))="Max Ambition",Schedules!AB$13,AE27),AE27)</f>
        <v>0</v>
      </c>
    </row>
    <row r="28" spans="1:32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39">
        <f>IFERROR(IF(INDEX('State Map'!$C:$C,MATCH(TRIM('RZSPbS-psgr-ldv'!$A28),'State Map'!$A:$A,0))="Max Ambition",Schedules!G$13,J28),J28)</f>
        <v>0</v>
      </c>
      <c r="L28" s="39">
        <f>IFERROR(IF(INDEX('State Map'!$C:$C,MATCH(TRIM('RZSPbS-psgr-ldv'!$A28),'State Map'!$A:$A,0))="Max Ambition",Schedules!H$13,K28),K28)</f>
        <v>0</v>
      </c>
      <c r="M28" s="39">
        <f>IFERROR(IF(INDEX('State Map'!$C:$C,MATCH(TRIM('RZSPbS-psgr-ldv'!$A28),'State Map'!$A:$A,0))="Max Ambition",Schedules!I$13,L28),L28)</f>
        <v>0</v>
      </c>
      <c r="N28" s="39">
        <f>IFERROR(IF(INDEX('State Map'!$C:$C,MATCH(TRIM('RZSPbS-psgr-ldv'!$A28),'State Map'!$A:$A,0))="Max Ambition",Schedules!J$13,M28),M28)</f>
        <v>0</v>
      </c>
      <c r="O28" s="39">
        <f>IFERROR(IF(INDEX('State Map'!$C:$C,MATCH(TRIM('RZSPbS-psgr-ldv'!$A28),'State Map'!$A:$A,0))="Max Ambition",Schedules!K$13,N28),N28)</f>
        <v>0</v>
      </c>
      <c r="P28" s="39">
        <f>IFERROR(IF(INDEX('State Map'!$C:$C,MATCH(TRIM('RZSPbS-psgr-ldv'!$A28),'State Map'!$A:$A,0))="Max Ambition",Schedules!L$13,O28),O28)</f>
        <v>0</v>
      </c>
      <c r="Q28" s="39">
        <f>IFERROR(IF(INDEX('State Map'!$C:$C,MATCH(TRIM('RZSPbS-psgr-ldv'!$A28),'State Map'!$A:$A,0))="Max Ambition",Schedules!M$13,P28),P28)</f>
        <v>0</v>
      </c>
      <c r="R28" s="39">
        <f>IFERROR(IF(INDEX('State Map'!$C:$C,MATCH(TRIM('RZSPbS-psgr-ldv'!$A28),'State Map'!$A:$A,0))="Max Ambition",Schedules!N$13,Q28),Q28)</f>
        <v>0</v>
      </c>
      <c r="S28" s="39">
        <f>IFERROR(IF(INDEX('State Map'!$C:$C,MATCH(TRIM('RZSPbS-psgr-ldv'!$A28),'State Map'!$A:$A,0))="Max Ambition",Schedules!O$13,R28),R28)</f>
        <v>0</v>
      </c>
      <c r="T28" s="39">
        <f>IFERROR(IF(INDEX('State Map'!$C:$C,MATCH(TRIM('RZSPbS-psgr-ldv'!$A28),'State Map'!$A:$A,0))="Max Ambition",Schedules!P$13,S28),S28)</f>
        <v>0</v>
      </c>
      <c r="U28" s="39">
        <f>IFERROR(IF(INDEX('State Map'!$C:$C,MATCH(TRIM('RZSPbS-psgr-ldv'!$A28),'State Map'!$A:$A,0))="Max Ambition",Schedules!Q$13,T28),T28)</f>
        <v>0</v>
      </c>
      <c r="V28" s="39">
        <f>IFERROR(IF(INDEX('State Map'!$C:$C,MATCH(TRIM('RZSPbS-psgr-ldv'!$A28),'State Map'!$A:$A,0))="Max Ambition",Schedules!R$13,U28),U28)</f>
        <v>0</v>
      </c>
      <c r="W28" s="39">
        <f>IFERROR(IF(INDEX('State Map'!$C:$C,MATCH(TRIM('RZSPbS-psgr-ldv'!$A28),'State Map'!$A:$A,0))="Max Ambition",Schedules!S$13,V28),V28)</f>
        <v>0</v>
      </c>
      <c r="X28" s="39">
        <f>IFERROR(IF(INDEX('State Map'!$C:$C,MATCH(TRIM('RZSPbS-psgr-ldv'!$A28),'State Map'!$A:$A,0))="Max Ambition",Schedules!T$13,W28),W28)</f>
        <v>0</v>
      </c>
      <c r="Y28" s="39">
        <f>IFERROR(IF(INDEX('State Map'!$C:$C,MATCH(TRIM('RZSPbS-psgr-ldv'!$A28),'State Map'!$A:$A,0))="Max Ambition",Schedules!U$13,X28),X28)</f>
        <v>0</v>
      </c>
      <c r="Z28" s="39">
        <f>IFERROR(IF(INDEX('State Map'!$C:$C,MATCH(TRIM('RZSPbS-psgr-ldv'!$A28),'State Map'!$A:$A,0))="Max Ambition",Schedules!V$13,Y28),Y28)</f>
        <v>0</v>
      </c>
      <c r="AA28" s="39">
        <f>IFERROR(IF(INDEX('State Map'!$C:$C,MATCH(TRIM('RZSPbS-psgr-ldv'!$A28),'State Map'!$A:$A,0))="Max Ambition",Schedules!W$13,Z28),Z28)</f>
        <v>0</v>
      </c>
      <c r="AB28" s="39">
        <f>IFERROR(IF(INDEX('State Map'!$C:$C,MATCH(TRIM('RZSPbS-psgr-ldv'!$A28),'State Map'!$A:$A,0))="Max Ambition",Schedules!X$13,AA28),AA28)</f>
        <v>0</v>
      </c>
      <c r="AC28" s="39">
        <f>IFERROR(IF(INDEX('State Map'!$C:$C,MATCH(TRIM('RZSPbS-psgr-ldv'!$A28),'State Map'!$A:$A,0))="Max Ambition",Schedules!Y$13,AB28),AB28)</f>
        <v>0</v>
      </c>
      <c r="AD28" s="39">
        <f>IFERROR(IF(INDEX('State Map'!$C:$C,MATCH(TRIM('RZSPbS-psgr-ldv'!$A28),'State Map'!$A:$A,0))="Max Ambition",Schedules!Z$13,AC28),AC28)</f>
        <v>0</v>
      </c>
      <c r="AE28" s="39">
        <f>IFERROR(IF(INDEX('State Map'!$C:$C,MATCH(TRIM('RZSPbS-psgr-ldv'!$A28),'State Map'!$A:$A,0))="Max Ambition",Schedules!AA$13,AD28),AD28)</f>
        <v>0</v>
      </c>
      <c r="AF28" s="39">
        <f>IFERROR(IF(INDEX('State Map'!$C:$C,MATCH(TRIM('RZSPbS-psgr-ldv'!$A28),'State Map'!$A:$A,0))="Max Ambition",Schedules!AB$13,AE28),AE28)</f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39">
        <f>IFERROR(IF(INDEX('State Map'!$C:$C,MATCH(TRIM('RZSPbS-psgr-ldv'!$A29),'State Map'!$A:$A,0))="Max Ambition",Schedules!G$13,J29),J29)</f>
        <v>0</v>
      </c>
      <c r="L29" s="39">
        <f>IFERROR(IF(INDEX('State Map'!$C:$C,MATCH(TRIM('RZSPbS-psgr-ldv'!$A29),'State Map'!$A:$A,0))="Max Ambition",Schedules!H$13,K29),K29)</f>
        <v>0</v>
      </c>
      <c r="M29" s="39">
        <f>IFERROR(IF(INDEX('State Map'!$C:$C,MATCH(TRIM('RZSPbS-psgr-ldv'!$A29),'State Map'!$A:$A,0))="Max Ambition",Schedules!I$13,L29),L29)</f>
        <v>0</v>
      </c>
      <c r="N29" s="39">
        <f>IFERROR(IF(INDEX('State Map'!$C:$C,MATCH(TRIM('RZSPbS-psgr-ldv'!$A29),'State Map'!$A:$A,0))="Max Ambition",Schedules!J$13,M29),M29)</f>
        <v>0</v>
      </c>
      <c r="O29" s="39">
        <f>IFERROR(IF(INDEX('State Map'!$C:$C,MATCH(TRIM('RZSPbS-psgr-ldv'!$A29),'State Map'!$A:$A,0))="Max Ambition",Schedules!K$13,N29),N29)</f>
        <v>0</v>
      </c>
      <c r="P29" s="39">
        <f>IFERROR(IF(INDEX('State Map'!$C:$C,MATCH(TRIM('RZSPbS-psgr-ldv'!$A29),'State Map'!$A:$A,0))="Max Ambition",Schedules!L$13,O29),O29)</f>
        <v>0</v>
      </c>
      <c r="Q29" s="39">
        <f>IFERROR(IF(INDEX('State Map'!$C:$C,MATCH(TRIM('RZSPbS-psgr-ldv'!$A29),'State Map'!$A:$A,0))="Max Ambition",Schedules!M$13,P29),P29)</f>
        <v>0</v>
      </c>
      <c r="R29" s="39">
        <f>IFERROR(IF(INDEX('State Map'!$C:$C,MATCH(TRIM('RZSPbS-psgr-ldv'!$A29),'State Map'!$A:$A,0))="Max Ambition",Schedules!N$13,Q29),Q29)</f>
        <v>0</v>
      </c>
      <c r="S29" s="39">
        <f>IFERROR(IF(INDEX('State Map'!$C:$C,MATCH(TRIM('RZSPbS-psgr-ldv'!$A29),'State Map'!$A:$A,0))="Max Ambition",Schedules!O$13,R29),R29)</f>
        <v>0</v>
      </c>
      <c r="T29" s="39">
        <f>IFERROR(IF(INDEX('State Map'!$C:$C,MATCH(TRIM('RZSPbS-psgr-ldv'!$A29),'State Map'!$A:$A,0))="Max Ambition",Schedules!P$13,S29),S29)</f>
        <v>0</v>
      </c>
      <c r="U29" s="39">
        <f>IFERROR(IF(INDEX('State Map'!$C:$C,MATCH(TRIM('RZSPbS-psgr-ldv'!$A29),'State Map'!$A:$A,0))="Max Ambition",Schedules!Q$13,T29),T29)</f>
        <v>0</v>
      </c>
      <c r="V29" s="39">
        <f>IFERROR(IF(INDEX('State Map'!$C:$C,MATCH(TRIM('RZSPbS-psgr-ldv'!$A29),'State Map'!$A:$A,0))="Max Ambition",Schedules!R$13,U29),U29)</f>
        <v>0</v>
      </c>
      <c r="W29" s="39">
        <f>IFERROR(IF(INDEX('State Map'!$C:$C,MATCH(TRIM('RZSPbS-psgr-ldv'!$A29),'State Map'!$A:$A,0))="Max Ambition",Schedules!S$13,V29),V29)</f>
        <v>0</v>
      </c>
      <c r="X29" s="39">
        <f>IFERROR(IF(INDEX('State Map'!$C:$C,MATCH(TRIM('RZSPbS-psgr-ldv'!$A29),'State Map'!$A:$A,0))="Max Ambition",Schedules!T$13,W29),W29)</f>
        <v>0</v>
      </c>
      <c r="Y29" s="39">
        <f>IFERROR(IF(INDEX('State Map'!$C:$C,MATCH(TRIM('RZSPbS-psgr-ldv'!$A29),'State Map'!$A:$A,0))="Max Ambition",Schedules!U$13,X29),X29)</f>
        <v>0</v>
      </c>
      <c r="Z29" s="39">
        <f>IFERROR(IF(INDEX('State Map'!$C:$C,MATCH(TRIM('RZSPbS-psgr-ldv'!$A29),'State Map'!$A:$A,0))="Max Ambition",Schedules!V$13,Y29),Y29)</f>
        <v>0</v>
      </c>
      <c r="AA29" s="39">
        <f>IFERROR(IF(INDEX('State Map'!$C:$C,MATCH(TRIM('RZSPbS-psgr-ldv'!$A29),'State Map'!$A:$A,0))="Max Ambition",Schedules!W$13,Z29),Z29)</f>
        <v>0</v>
      </c>
      <c r="AB29" s="39">
        <f>IFERROR(IF(INDEX('State Map'!$C:$C,MATCH(TRIM('RZSPbS-psgr-ldv'!$A29),'State Map'!$A:$A,0))="Max Ambition",Schedules!X$13,AA29),AA29)</f>
        <v>0</v>
      </c>
      <c r="AC29" s="39">
        <f>IFERROR(IF(INDEX('State Map'!$C:$C,MATCH(TRIM('RZSPbS-psgr-ldv'!$A29),'State Map'!$A:$A,0))="Max Ambition",Schedules!Y$13,AB29),AB29)</f>
        <v>0</v>
      </c>
      <c r="AD29" s="39">
        <f>IFERROR(IF(INDEX('State Map'!$C:$C,MATCH(TRIM('RZSPbS-psgr-ldv'!$A29),'State Map'!$A:$A,0))="Max Ambition",Schedules!Z$13,AC29),AC29)</f>
        <v>0</v>
      </c>
      <c r="AE29" s="39">
        <f>IFERROR(IF(INDEX('State Map'!$C:$C,MATCH(TRIM('RZSPbS-psgr-ldv'!$A29),'State Map'!$A:$A,0))="Max Ambition",Schedules!AA$13,AD29),AD29)</f>
        <v>0</v>
      </c>
      <c r="AF29" s="39">
        <f>IFERROR(IF(INDEX('State Map'!$C:$C,MATCH(TRIM('RZSPbS-psgr-ldv'!$A29),'State Map'!$A:$A,0))="Max Ambition",Schedules!AB$13,AE29),AE29)</f>
        <v>0</v>
      </c>
    </row>
    <row r="30" spans="1:32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39">
        <f>IFERROR(IF(INDEX('State Map'!$C:$C,MATCH(TRIM('RZSPbS-psgr-ldv'!$A30),'State Map'!$A:$A,0))="Max Ambition",Schedules!G$13,J30),J30)</f>
        <v>0</v>
      </c>
      <c r="L30" s="39">
        <f>IFERROR(IF(INDEX('State Map'!$C:$C,MATCH(TRIM('RZSPbS-psgr-ldv'!$A30),'State Map'!$A:$A,0))="Max Ambition",Schedules!H$13,K30),K30)</f>
        <v>0</v>
      </c>
      <c r="M30" s="39">
        <f>IFERROR(IF(INDEX('State Map'!$C:$C,MATCH(TRIM('RZSPbS-psgr-ldv'!$A30),'State Map'!$A:$A,0))="Max Ambition",Schedules!I$13,L30),L30)</f>
        <v>0</v>
      </c>
      <c r="N30" s="39">
        <f>IFERROR(IF(INDEX('State Map'!$C:$C,MATCH(TRIM('RZSPbS-psgr-ldv'!$A30),'State Map'!$A:$A,0))="Max Ambition",Schedules!J$13,M30),M30)</f>
        <v>0</v>
      </c>
      <c r="O30" s="39">
        <f>IFERROR(IF(INDEX('State Map'!$C:$C,MATCH(TRIM('RZSPbS-psgr-ldv'!$A30),'State Map'!$A:$A,0))="Max Ambition",Schedules!K$13,N30),N30)</f>
        <v>0</v>
      </c>
      <c r="P30" s="39">
        <f>IFERROR(IF(INDEX('State Map'!$C:$C,MATCH(TRIM('RZSPbS-psgr-ldv'!$A30),'State Map'!$A:$A,0))="Max Ambition",Schedules!L$13,O30),O30)</f>
        <v>0</v>
      </c>
      <c r="Q30" s="39">
        <f>IFERROR(IF(INDEX('State Map'!$C:$C,MATCH(TRIM('RZSPbS-psgr-ldv'!$A30),'State Map'!$A:$A,0))="Max Ambition",Schedules!M$13,P30),P30)</f>
        <v>0</v>
      </c>
      <c r="R30" s="39">
        <f>IFERROR(IF(INDEX('State Map'!$C:$C,MATCH(TRIM('RZSPbS-psgr-ldv'!$A30),'State Map'!$A:$A,0))="Max Ambition",Schedules!N$13,Q30),Q30)</f>
        <v>0</v>
      </c>
      <c r="S30" s="39">
        <f>IFERROR(IF(INDEX('State Map'!$C:$C,MATCH(TRIM('RZSPbS-psgr-ldv'!$A30),'State Map'!$A:$A,0))="Max Ambition",Schedules!O$13,R30),R30)</f>
        <v>0</v>
      </c>
      <c r="T30" s="39">
        <f>IFERROR(IF(INDEX('State Map'!$C:$C,MATCH(TRIM('RZSPbS-psgr-ldv'!$A30),'State Map'!$A:$A,0))="Max Ambition",Schedules!P$13,S30),S30)</f>
        <v>0</v>
      </c>
      <c r="U30" s="39">
        <f>IFERROR(IF(INDEX('State Map'!$C:$C,MATCH(TRIM('RZSPbS-psgr-ldv'!$A30),'State Map'!$A:$A,0))="Max Ambition",Schedules!Q$13,T30),T30)</f>
        <v>0</v>
      </c>
      <c r="V30" s="39">
        <f>IFERROR(IF(INDEX('State Map'!$C:$C,MATCH(TRIM('RZSPbS-psgr-ldv'!$A30),'State Map'!$A:$A,0))="Max Ambition",Schedules!R$13,U30),U30)</f>
        <v>0</v>
      </c>
      <c r="W30" s="39">
        <f>IFERROR(IF(INDEX('State Map'!$C:$C,MATCH(TRIM('RZSPbS-psgr-ldv'!$A30),'State Map'!$A:$A,0))="Max Ambition",Schedules!S$13,V30),V30)</f>
        <v>0</v>
      </c>
      <c r="X30" s="39">
        <f>IFERROR(IF(INDEX('State Map'!$C:$C,MATCH(TRIM('RZSPbS-psgr-ldv'!$A30),'State Map'!$A:$A,0))="Max Ambition",Schedules!T$13,W30),W30)</f>
        <v>0</v>
      </c>
      <c r="Y30" s="39">
        <f>IFERROR(IF(INDEX('State Map'!$C:$C,MATCH(TRIM('RZSPbS-psgr-ldv'!$A30),'State Map'!$A:$A,0))="Max Ambition",Schedules!U$13,X30),X30)</f>
        <v>0</v>
      </c>
      <c r="Z30" s="39">
        <f>IFERROR(IF(INDEX('State Map'!$C:$C,MATCH(TRIM('RZSPbS-psgr-ldv'!$A30),'State Map'!$A:$A,0))="Max Ambition",Schedules!V$13,Y30),Y30)</f>
        <v>0</v>
      </c>
      <c r="AA30" s="39">
        <f>IFERROR(IF(INDEX('State Map'!$C:$C,MATCH(TRIM('RZSPbS-psgr-ldv'!$A30),'State Map'!$A:$A,0))="Max Ambition",Schedules!W$13,Z30),Z30)</f>
        <v>0</v>
      </c>
      <c r="AB30" s="39">
        <f>IFERROR(IF(INDEX('State Map'!$C:$C,MATCH(TRIM('RZSPbS-psgr-ldv'!$A30),'State Map'!$A:$A,0))="Max Ambition",Schedules!X$13,AA30),AA30)</f>
        <v>0</v>
      </c>
      <c r="AC30" s="39">
        <f>IFERROR(IF(INDEX('State Map'!$C:$C,MATCH(TRIM('RZSPbS-psgr-ldv'!$A30),'State Map'!$A:$A,0))="Max Ambition",Schedules!Y$13,AB30),AB30)</f>
        <v>0</v>
      </c>
      <c r="AD30" s="39">
        <f>IFERROR(IF(INDEX('State Map'!$C:$C,MATCH(TRIM('RZSPbS-psgr-ldv'!$A30),'State Map'!$A:$A,0))="Max Ambition",Schedules!Z$13,AC30),AC30)</f>
        <v>0</v>
      </c>
      <c r="AE30" s="39">
        <f>IFERROR(IF(INDEX('State Map'!$C:$C,MATCH(TRIM('RZSPbS-psgr-ldv'!$A30),'State Map'!$A:$A,0))="Max Ambition",Schedules!AA$13,AD30),AD30)</f>
        <v>0</v>
      </c>
      <c r="AF30" s="39">
        <f>IFERROR(IF(INDEX('State Map'!$C:$C,MATCH(TRIM('RZSPbS-psgr-ldv'!$A30),'State Map'!$A:$A,0))="Max Ambition",Schedules!AB$13,AE30),AE30)</f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39">
        <f>IFERROR(IF(INDEX('State Map'!$C:$C,MATCH(TRIM('RZSPbS-psgr-ldv'!$A31),'State Map'!$A:$A,0))="Max Ambition",Schedules!G$13,J31),J31)</f>
        <v>0</v>
      </c>
      <c r="L31" s="39">
        <f>IFERROR(IF(INDEX('State Map'!$C:$C,MATCH(TRIM('RZSPbS-psgr-ldv'!$A31),'State Map'!$A:$A,0))="Max Ambition",Schedules!H$13,K31),K31)</f>
        <v>0</v>
      </c>
      <c r="M31" s="39">
        <f>IFERROR(IF(INDEX('State Map'!$C:$C,MATCH(TRIM('RZSPbS-psgr-ldv'!$A31),'State Map'!$A:$A,0))="Max Ambition",Schedules!I$13,L31),L31)</f>
        <v>0</v>
      </c>
      <c r="N31" s="39">
        <f>IFERROR(IF(INDEX('State Map'!$C:$C,MATCH(TRIM('RZSPbS-psgr-ldv'!$A31),'State Map'!$A:$A,0))="Max Ambition",Schedules!J$13,M31),M31)</f>
        <v>0</v>
      </c>
      <c r="O31" s="39">
        <f>IFERROR(IF(INDEX('State Map'!$C:$C,MATCH(TRIM('RZSPbS-psgr-ldv'!$A31),'State Map'!$A:$A,0))="Max Ambition",Schedules!K$13,N31),N31)</f>
        <v>0</v>
      </c>
      <c r="P31" s="39">
        <f>IFERROR(IF(INDEX('State Map'!$C:$C,MATCH(TRIM('RZSPbS-psgr-ldv'!$A31),'State Map'!$A:$A,0))="Max Ambition",Schedules!L$13,O31),O31)</f>
        <v>0</v>
      </c>
      <c r="Q31" s="39">
        <f>IFERROR(IF(INDEX('State Map'!$C:$C,MATCH(TRIM('RZSPbS-psgr-ldv'!$A31),'State Map'!$A:$A,0))="Max Ambition",Schedules!M$13,P31),P31)</f>
        <v>0</v>
      </c>
      <c r="R31" s="39">
        <f>IFERROR(IF(INDEX('State Map'!$C:$C,MATCH(TRIM('RZSPbS-psgr-ldv'!$A31),'State Map'!$A:$A,0))="Max Ambition",Schedules!N$13,Q31),Q31)</f>
        <v>0</v>
      </c>
      <c r="S31" s="39">
        <f>IFERROR(IF(INDEX('State Map'!$C:$C,MATCH(TRIM('RZSPbS-psgr-ldv'!$A31),'State Map'!$A:$A,0))="Max Ambition",Schedules!O$13,R31),R31)</f>
        <v>0</v>
      </c>
      <c r="T31" s="39">
        <f>IFERROR(IF(INDEX('State Map'!$C:$C,MATCH(TRIM('RZSPbS-psgr-ldv'!$A31),'State Map'!$A:$A,0))="Max Ambition",Schedules!P$13,S31),S31)</f>
        <v>0</v>
      </c>
      <c r="U31" s="39">
        <f>IFERROR(IF(INDEX('State Map'!$C:$C,MATCH(TRIM('RZSPbS-psgr-ldv'!$A31),'State Map'!$A:$A,0))="Max Ambition",Schedules!Q$13,T31),T31)</f>
        <v>0</v>
      </c>
      <c r="V31" s="39">
        <f>IFERROR(IF(INDEX('State Map'!$C:$C,MATCH(TRIM('RZSPbS-psgr-ldv'!$A31),'State Map'!$A:$A,0))="Max Ambition",Schedules!R$13,U31),U31)</f>
        <v>0</v>
      </c>
      <c r="W31" s="39">
        <f>IFERROR(IF(INDEX('State Map'!$C:$C,MATCH(TRIM('RZSPbS-psgr-ldv'!$A31),'State Map'!$A:$A,0))="Max Ambition",Schedules!S$13,V31),V31)</f>
        <v>0</v>
      </c>
      <c r="X31" s="39">
        <f>IFERROR(IF(INDEX('State Map'!$C:$C,MATCH(TRIM('RZSPbS-psgr-ldv'!$A31),'State Map'!$A:$A,0))="Max Ambition",Schedules!T$13,W31),W31)</f>
        <v>0</v>
      </c>
      <c r="Y31" s="39">
        <f>IFERROR(IF(INDEX('State Map'!$C:$C,MATCH(TRIM('RZSPbS-psgr-ldv'!$A31),'State Map'!$A:$A,0))="Max Ambition",Schedules!U$13,X31),X31)</f>
        <v>0</v>
      </c>
      <c r="Z31" s="39">
        <f>IFERROR(IF(INDEX('State Map'!$C:$C,MATCH(TRIM('RZSPbS-psgr-ldv'!$A31),'State Map'!$A:$A,0))="Max Ambition",Schedules!V$13,Y31),Y31)</f>
        <v>0</v>
      </c>
      <c r="AA31" s="39">
        <f>IFERROR(IF(INDEX('State Map'!$C:$C,MATCH(TRIM('RZSPbS-psgr-ldv'!$A31),'State Map'!$A:$A,0))="Max Ambition",Schedules!W$13,Z31),Z31)</f>
        <v>0</v>
      </c>
      <c r="AB31" s="39">
        <f>IFERROR(IF(INDEX('State Map'!$C:$C,MATCH(TRIM('RZSPbS-psgr-ldv'!$A31),'State Map'!$A:$A,0))="Max Ambition",Schedules!X$13,AA31),AA31)</f>
        <v>0</v>
      </c>
      <c r="AC31" s="39">
        <f>IFERROR(IF(INDEX('State Map'!$C:$C,MATCH(TRIM('RZSPbS-psgr-ldv'!$A31),'State Map'!$A:$A,0))="Max Ambition",Schedules!Y$13,AB31),AB31)</f>
        <v>0</v>
      </c>
      <c r="AD31" s="39">
        <f>IFERROR(IF(INDEX('State Map'!$C:$C,MATCH(TRIM('RZSPbS-psgr-ldv'!$A31),'State Map'!$A:$A,0))="Max Ambition",Schedules!Z$13,AC31),AC31)</f>
        <v>0</v>
      </c>
      <c r="AE31" s="39">
        <f>IFERROR(IF(INDEX('State Map'!$C:$C,MATCH(TRIM('RZSPbS-psgr-ldv'!$A31),'State Map'!$A:$A,0))="Max Ambition",Schedules!AA$13,AD31),AD31)</f>
        <v>0</v>
      </c>
      <c r="AF31" s="39">
        <f>IFERROR(IF(INDEX('State Map'!$C:$C,MATCH(TRIM('RZSPbS-psgr-ldv'!$A31),'State Map'!$A:$A,0))="Max Ambition",Schedules!AB$13,AE31),AE31)</f>
        <v>0</v>
      </c>
    </row>
    <row r="32" spans="1:32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39">
        <f>IFERROR(IF(INDEX('State Map'!$C:$C,MATCH(TRIM('RZSPbS-psgr-ldv'!$A32),'State Map'!$A:$A,0))="Max Ambition",Schedules!G$13,J32),J32)</f>
        <v>2.5999999999999999E-2</v>
      </c>
      <c r="L32" s="39">
        <f>IFERROR(IF(INDEX('State Map'!$C:$C,MATCH(TRIM('RZSPbS-psgr-ldv'!$A32),'State Map'!$A:$A,0))="Max Ambition",Schedules!H$13,K32),K32)</f>
        <v>0.03</v>
      </c>
      <c r="M32" s="39">
        <f>IFERROR(IF(INDEX('State Map'!$C:$C,MATCH(TRIM('RZSPbS-psgr-ldv'!$A32),'State Map'!$A:$A,0))="Max Ambition",Schedules!I$13,L32),L32)</f>
        <v>3.4000000000000002E-2</v>
      </c>
      <c r="N32" s="39">
        <f>IFERROR(IF(INDEX('State Map'!$C:$C,MATCH(TRIM('RZSPbS-psgr-ldv'!$A32),'State Map'!$A:$A,0))="Max Ambition",Schedules!J$13,M32),M32)</f>
        <v>0.05</v>
      </c>
      <c r="O32" s="39">
        <f>IFERROR(IF(INDEX('State Map'!$C:$C,MATCH(TRIM('RZSPbS-psgr-ldv'!$A32),'State Map'!$A:$A,0))="Max Ambition",Schedules!K$13,N32),N32)</f>
        <v>7.0000000000000007E-2</v>
      </c>
      <c r="P32" s="39">
        <f>IFERROR(IF(INDEX('State Map'!$C:$C,MATCH(TRIM('RZSPbS-psgr-ldv'!$A32),'State Map'!$A:$A,0))="Max Ambition",Schedules!L$13,O32),O32)</f>
        <v>0.1</v>
      </c>
      <c r="Q32" s="39">
        <f>IFERROR(IF(INDEX('State Map'!$C:$C,MATCH(TRIM('RZSPbS-psgr-ldv'!$A32),'State Map'!$A:$A,0))="Max Ambition",Schedules!M$13,P32),P32)</f>
        <v>0.15</v>
      </c>
      <c r="R32" s="39">
        <f>IFERROR(IF(INDEX('State Map'!$C:$C,MATCH(TRIM('RZSPbS-psgr-ldv'!$A32),'State Map'!$A:$A,0))="Max Ambition",Schedules!N$13,Q32),Q32)</f>
        <v>0.2</v>
      </c>
      <c r="S32" s="39">
        <f>IFERROR(IF(INDEX('State Map'!$C:$C,MATCH(TRIM('RZSPbS-psgr-ldv'!$A32),'State Map'!$A:$A,0))="Max Ambition",Schedules!O$13,R32),R32)</f>
        <v>0.25</v>
      </c>
      <c r="T32" s="39">
        <f>IFERROR(IF(INDEX('State Map'!$C:$C,MATCH(TRIM('RZSPbS-psgr-ldv'!$A32),'State Map'!$A:$A,0))="Max Ambition",Schedules!P$13,S32),S32)</f>
        <v>0.3</v>
      </c>
      <c r="U32" s="39">
        <f>IFERROR(IF(INDEX('State Map'!$C:$C,MATCH(TRIM('RZSPbS-psgr-ldv'!$A32),'State Map'!$A:$A,0))="Max Ambition",Schedules!Q$13,T32),T32)</f>
        <v>0.35</v>
      </c>
      <c r="V32" s="39">
        <f>IFERROR(IF(INDEX('State Map'!$C:$C,MATCH(TRIM('RZSPbS-psgr-ldv'!$A32),'State Map'!$A:$A,0))="Max Ambition",Schedules!R$13,U32),U32)</f>
        <v>0.4</v>
      </c>
      <c r="W32" s="39">
        <f>IFERROR(IF(INDEX('State Map'!$C:$C,MATCH(TRIM('RZSPbS-psgr-ldv'!$A32),'State Map'!$A:$A,0))="Max Ambition",Schedules!S$13,V32),V32)</f>
        <v>0.4</v>
      </c>
      <c r="X32" s="39">
        <f>IFERROR(IF(INDEX('State Map'!$C:$C,MATCH(TRIM('RZSPbS-psgr-ldv'!$A32),'State Map'!$A:$A,0))="Max Ambition",Schedules!T$13,W32),W32)</f>
        <v>0.4</v>
      </c>
      <c r="Y32" s="39">
        <f>IFERROR(IF(INDEX('State Map'!$C:$C,MATCH(TRIM('RZSPbS-psgr-ldv'!$A32),'State Map'!$A:$A,0))="Max Ambition",Schedules!U$13,X32),X32)</f>
        <v>0.4</v>
      </c>
      <c r="Z32" s="39">
        <f>IFERROR(IF(INDEX('State Map'!$C:$C,MATCH(TRIM('RZSPbS-psgr-ldv'!$A32),'State Map'!$A:$A,0))="Max Ambition",Schedules!V$13,Y32),Y32)</f>
        <v>0.45700000000000002</v>
      </c>
      <c r="AA32" s="39">
        <f>IFERROR(IF(INDEX('State Map'!$C:$C,MATCH(TRIM('RZSPbS-psgr-ldv'!$A32),'State Map'!$A:$A,0))="Max Ambition",Schedules!W$13,Z32),Z32)</f>
        <v>0.51400000000000001</v>
      </c>
      <c r="AB32" s="39">
        <f>IFERROR(IF(INDEX('State Map'!$C:$C,MATCH(TRIM('RZSPbS-psgr-ldv'!$A32),'State Map'!$A:$A,0))="Max Ambition",Schedules!X$13,AA32),AA32)</f>
        <v>0.57099999999999995</v>
      </c>
      <c r="AC32" s="39">
        <f>IFERROR(IF(INDEX('State Map'!$C:$C,MATCH(TRIM('RZSPbS-psgr-ldv'!$A32),'State Map'!$A:$A,0))="Max Ambition",Schedules!Y$13,AB32),AB32)</f>
        <v>0.628</v>
      </c>
      <c r="AD32" s="39">
        <f>IFERROR(IF(INDEX('State Map'!$C:$C,MATCH(TRIM('RZSPbS-psgr-ldv'!$A32),'State Map'!$A:$A,0))="Max Ambition",Schedules!Z$13,AC32),AC32)</f>
        <v>0.68500000000000005</v>
      </c>
      <c r="AE32" s="39">
        <f>IFERROR(IF(INDEX('State Map'!$C:$C,MATCH(TRIM('RZSPbS-psgr-ldv'!$A32),'State Map'!$A:$A,0))="Max Ambition",Schedules!AA$13,AD32),AD32)</f>
        <v>0.74199999999999999</v>
      </c>
      <c r="AF32" s="39">
        <f>IFERROR(IF(INDEX('State Map'!$C:$C,MATCH(TRIM('RZSPbS-psgr-ldv'!$A32),'State Map'!$A:$A,0))="Max Ambition",Schedules!AB$13,AE32),AE32)</f>
        <v>0.8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39">
        <f>IFERROR(IF(INDEX('State Map'!$C:$C,MATCH(TRIM('RZSPbS-psgr-ldv'!$A33),'State Map'!$A:$A,0))="Max Ambition",Schedules!G$13,J33),J33)</f>
        <v>2.5999999999999999E-2</v>
      </c>
      <c r="L33" s="39">
        <f>IFERROR(IF(INDEX('State Map'!$C:$C,MATCH(TRIM('RZSPbS-psgr-ldv'!$A33),'State Map'!$A:$A,0))="Max Ambition",Schedules!H$13,K33),K33)</f>
        <v>0.03</v>
      </c>
      <c r="M33" s="39">
        <f>IFERROR(IF(INDEX('State Map'!$C:$C,MATCH(TRIM('RZSPbS-psgr-ldv'!$A33),'State Map'!$A:$A,0))="Max Ambition",Schedules!I$13,L33),L33)</f>
        <v>3.4000000000000002E-2</v>
      </c>
      <c r="N33" s="39">
        <f>IFERROR(IF(INDEX('State Map'!$C:$C,MATCH(TRIM('RZSPbS-psgr-ldv'!$A33),'State Map'!$A:$A,0))="Max Ambition",Schedules!J$13,M33),M33)</f>
        <v>0.05</v>
      </c>
      <c r="O33" s="39">
        <f>IFERROR(IF(INDEX('State Map'!$C:$C,MATCH(TRIM('RZSPbS-psgr-ldv'!$A33),'State Map'!$A:$A,0))="Max Ambition",Schedules!K$13,N33),N33)</f>
        <v>7.0000000000000007E-2</v>
      </c>
      <c r="P33" s="39">
        <f>IFERROR(IF(INDEX('State Map'!$C:$C,MATCH(TRIM('RZSPbS-psgr-ldv'!$A33),'State Map'!$A:$A,0))="Max Ambition",Schedules!L$13,O33),O33)</f>
        <v>0.1</v>
      </c>
      <c r="Q33" s="39">
        <f>IFERROR(IF(INDEX('State Map'!$C:$C,MATCH(TRIM('RZSPbS-psgr-ldv'!$A33),'State Map'!$A:$A,0))="Max Ambition",Schedules!M$13,P33),P33)</f>
        <v>0.15</v>
      </c>
      <c r="R33" s="39">
        <f>IFERROR(IF(INDEX('State Map'!$C:$C,MATCH(TRIM('RZSPbS-psgr-ldv'!$A33),'State Map'!$A:$A,0))="Max Ambition",Schedules!N$13,Q33),Q33)</f>
        <v>0.2</v>
      </c>
      <c r="S33" s="39">
        <f>IFERROR(IF(INDEX('State Map'!$C:$C,MATCH(TRIM('RZSPbS-psgr-ldv'!$A33),'State Map'!$A:$A,0))="Max Ambition",Schedules!O$13,R33),R33)</f>
        <v>0.25</v>
      </c>
      <c r="T33" s="39">
        <f>IFERROR(IF(INDEX('State Map'!$C:$C,MATCH(TRIM('RZSPbS-psgr-ldv'!$A33),'State Map'!$A:$A,0))="Max Ambition",Schedules!P$13,S33),S33)</f>
        <v>0.3</v>
      </c>
      <c r="U33" s="39">
        <f>IFERROR(IF(INDEX('State Map'!$C:$C,MATCH(TRIM('RZSPbS-psgr-ldv'!$A33),'State Map'!$A:$A,0))="Max Ambition",Schedules!Q$13,T33),T33)</f>
        <v>0.35</v>
      </c>
      <c r="V33" s="39">
        <f>IFERROR(IF(INDEX('State Map'!$C:$C,MATCH(TRIM('RZSPbS-psgr-ldv'!$A33),'State Map'!$A:$A,0))="Max Ambition",Schedules!R$13,U33),U33)</f>
        <v>0.4</v>
      </c>
      <c r="W33" s="39">
        <f>IFERROR(IF(INDEX('State Map'!$C:$C,MATCH(TRIM('RZSPbS-psgr-ldv'!$A33),'State Map'!$A:$A,0))="Max Ambition",Schedules!S$13,V33),V33)</f>
        <v>0.4</v>
      </c>
      <c r="X33" s="39">
        <f>IFERROR(IF(INDEX('State Map'!$C:$C,MATCH(TRIM('RZSPbS-psgr-ldv'!$A33),'State Map'!$A:$A,0))="Max Ambition",Schedules!T$13,W33),W33)</f>
        <v>0.4</v>
      </c>
      <c r="Y33" s="39">
        <f>IFERROR(IF(INDEX('State Map'!$C:$C,MATCH(TRIM('RZSPbS-psgr-ldv'!$A33),'State Map'!$A:$A,0))="Max Ambition",Schedules!U$13,X33),X33)</f>
        <v>0.4</v>
      </c>
      <c r="Z33" s="39">
        <f>IFERROR(IF(INDEX('State Map'!$C:$C,MATCH(TRIM('RZSPbS-psgr-ldv'!$A33),'State Map'!$A:$A,0))="Max Ambition",Schedules!V$13,Y33),Y33)</f>
        <v>0.45700000000000002</v>
      </c>
      <c r="AA33" s="39">
        <f>IFERROR(IF(INDEX('State Map'!$C:$C,MATCH(TRIM('RZSPbS-psgr-ldv'!$A33),'State Map'!$A:$A,0))="Max Ambition",Schedules!W$13,Z33),Z33)</f>
        <v>0.51400000000000001</v>
      </c>
      <c r="AB33" s="39">
        <f>IFERROR(IF(INDEX('State Map'!$C:$C,MATCH(TRIM('RZSPbS-psgr-ldv'!$A33),'State Map'!$A:$A,0))="Max Ambition",Schedules!X$13,AA33),AA33)</f>
        <v>0.57099999999999995</v>
      </c>
      <c r="AC33" s="39">
        <f>IFERROR(IF(INDEX('State Map'!$C:$C,MATCH(TRIM('RZSPbS-psgr-ldv'!$A33),'State Map'!$A:$A,0))="Max Ambition",Schedules!Y$13,AB33),AB33)</f>
        <v>0.628</v>
      </c>
      <c r="AD33" s="39">
        <f>IFERROR(IF(INDEX('State Map'!$C:$C,MATCH(TRIM('RZSPbS-psgr-ldv'!$A33),'State Map'!$A:$A,0))="Max Ambition",Schedules!Z$13,AC33),AC33)</f>
        <v>0.68500000000000005</v>
      </c>
      <c r="AE33" s="39">
        <f>IFERROR(IF(INDEX('State Map'!$C:$C,MATCH(TRIM('RZSPbS-psgr-ldv'!$A33),'State Map'!$A:$A,0))="Max Ambition",Schedules!AA$13,AD33),AD33)</f>
        <v>0.74199999999999999</v>
      </c>
      <c r="AF33" s="39">
        <f>IFERROR(IF(INDEX('State Map'!$C:$C,MATCH(TRIM('RZSPbS-psgr-ldv'!$A33),'State Map'!$A:$A,0))="Max Ambition",Schedules!AB$13,AE33),AE33)</f>
        <v>0.8</v>
      </c>
    </row>
    <row r="34" spans="1:32" x14ac:dyDescent="0.2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39">
        <f>IFERROR(IF(INDEX('State Map'!$C:$C,MATCH(TRIM('RZSPbS-psgr-ldv'!$A34),'State Map'!$A:$A,0))="Max Ambition",Schedules!G$13,J34),J34)</f>
        <v>2.5999999999999999E-2</v>
      </c>
      <c r="L34" s="39">
        <f>IFERROR(IF(INDEX('State Map'!$C:$C,MATCH(TRIM('RZSPbS-psgr-ldv'!$A34),'State Map'!$A:$A,0))="Max Ambition",Schedules!H$13,K34),K34)</f>
        <v>0.03</v>
      </c>
      <c r="M34" s="39">
        <f>IFERROR(IF(INDEX('State Map'!$C:$C,MATCH(TRIM('RZSPbS-psgr-ldv'!$A34),'State Map'!$A:$A,0))="Max Ambition",Schedules!I$13,L34),L34)</f>
        <v>3.4000000000000002E-2</v>
      </c>
      <c r="N34" s="39">
        <f>IFERROR(IF(INDEX('State Map'!$C:$C,MATCH(TRIM('RZSPbS-psgr-ldv'!$A34),'State Map'!$A:$A,0))="Max Ambition",Schedules!J$13,M34),M34)</f>
        <v>0.05</v>
      </c>
      <c r="O34" s="39">
        <f>IFERROR(IF(INDEX('State Map'!$C:$C,MATCH(TRIM('RZSPbS-psgr-ldv'!$A34),'State Map'!$A:$A,0))="Max Ambition",Schedules!K$13,N34),N34)</f>
        <v>7.0000000000000007E-2</v>
      </c>
      <c r="P34" s="39">
        <f>IFERROR(IF(INDEX('State Map'!$C:$C,MATCH(TRIM('RZSPbS-psgr-ldv'!$A34),'State Map'!$A:$A,0))="Max Ambition",Schedules!L$13,O34),O34)</f>
        <v>0.1</v>
      </c>
      <c r="Q34" s="39">
        <f>IFERROR(IF(INDEX('State Map'!$C:$C,MATCH(TRIM('RZSPbS-psgr-ldv'!$A34),'State Map'!$A:$A,0))="Max Ambition",Schedules!M$13,P34),P34)</f>
        <v>0.15</v>
      </c>
      <c r="R34" s="39">
        <f>IFERROR(IF(INDEX('State Map'!$C:$C,MATCH(TRIM('RZSPbS-psgr-ldv'!$A34),'State Map'!$A:$A,0))="Max Ambition",Schedules!N$13,Q34),Q34)</f>
        <v>0.2</v>
      </c>
      <c r="S34" s="39">
        <f>IFERROR(IF(INDEX('State Map'!$C:$C,MATCH(TRIM('RZSPbS-psgr-ldv'!$A34),'State Map'!$A:$A,0))="Max Ambition",Schedules!O$13,R34),R34)</f>
        <v>0.25</v>
      </c>
      <c r="T34" s="39">
        <f>IFERROR(IF(INDEX('State Map'!$C:$C,MATCH(TRIM('RZSPbS-psgr-ldv'!$A34),'State Map'!$A:$A,0))="Max Ambition",Schedules!P$13,S34),S34)</f>
        <v>0.3</v>
      </c>
      <c r="U34" s="39">
        <f>IFERROR(IF(INDEX('State Map'!$C:$C,MATCH(TRIM('RZSPbS-psgr-ldv'!$A34),'State Map'!$A:$A,0))="Max Ambition",Schedules!Q$13,T34),T34)</f>
        <v>0.35</v>
      </c>
      <c r="V34" s="39">
        <f>IFERROR(IF(INDEX('State Map'!$C:$C,MATCH(TRIM('RZSPbS-psgr-ldv'!$A34),'State Map'!$A:$A,0))="Max Ambition",Schedules!R$13,U34),U34)</f>
        <v>0.4</v>
      </c>
      <c r="W34" s="39">
        <f>IFERROR(IF(INDEX('State Map'!$C:$C,MATCH(TRIM('RZSPbS-psgr-ldv'!$A34),'State Map'!$A:$A,0))="Max Ambition",Schedules!S$13,V34),V34)</f>
        <v>0.4</v>
      </c>
      <c r="X34" s="39">
        <f>IFERROR(IF(INDEX('State Map'!$C:$C,MATCH(TRIM('RZSPbS-psgr-ldv'!$A34),'State Map'!$A:$A,0))="Max Ambition",Schedules!T$13,W34),W34)</f>
        <v>0.4</v>
      </c>
      <c r="Y34" s="39">
        <f>IFERROR(IF(INDEX('State Map'!$C:$C,MATCH(TRIM('RZSPbS-psgr-ldv'!$A34),'State Map'!$A:$A,0))="Max Ambition",Schedules!U$13,X34),X34)</f>
        <v>0.4</v>
      </c>
      <c r="Z34" s="39">
        <f>IFERROR(IF(INDEX('State Map'!$C:$C,MATCH(TRIM('RZSPbS-psgr-ldv'!$A34),'State Map'!$A:$A,0))="Max Ambition",Schedules!V$13,Y34),Y34)</f>
        <v>0.45700000000000002</v>
      </c>
      <c r="AA34" s="39">
        <f>IFERROR(IF(INDEX('State Map'!$C:$C,MATCH(TRIM('RZSPbS-psgr-ldv'!$A34),'State Map'!$A:$A,0))="Max Ambition",Schedules!W$13,Z34),Z34)</f>
        <v>0.51400000000000001</v>
      </c>
      <c r="AB34" s="39">
        <f>IFERROR(IF(INDEX('State Map'!$C:$C,MATCH(TRIM('RZSPbS-psgr-ldv'!$A34),'State Map'!$A:$A,0))="Max Ambition",Schedules!X$13,AA34),AA34)</f>
        <v>0.57099999999999995</v>
      </c>
      <c r="AC34" s="39">
        <f>IFERROR(IF(INDEX('State Map'!$C:$C,MATCH(TRIM('RZSPbS-psgr-ldv'!$A34),'State Map'!$A:$A,0))="Max Ambition",Schedules!Y$13,AB34),AB34)</f>
        <v>0.628</v>
      </c>
      <c r="AD34" s="39">
        <f>IFERROR(IF(INDEX('State Map'!$C:$C,MATCH(TRIM('RZSPbS-psgr-ldv'!$A34),'State Map'!$A:$A,0))="Max Ambition",Schedules!Z$13,AC34),AC34)</f>
        <v>0.68500000000000005</v>
      </c>
      <c r="AE34" s="39">
        <f>IFERROR(IF(INDEX('State Map'!$C:$C,MATCH(TRIM('RZSPbS-psgr-ldv'!$A34),'State Map'!$A:$A,0))="Max Ambition",Schedules!AA$13,AD34),AD34)</f>
        <v>0.74199999999999999</v>
      </c>
      <c r="AF34" s="39">
        <f>IFERROR(IF(INDEX('State Map'!$C:$C,MATCH(TRIM('RZSPbS-psgr-ldv'!$A34),'State Map'!$A:$A,0))="Max Ambition",Schedules!AB$13,AE34),AE34)</f>
        <v>0.8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39">
        <f>IFERROR(IF(INDEX('State Map'!$C:$C,MATCH(TRIM('RZSPbS-psgr-ldv'!$A35),'State Map'!$A:$A,0))="Max Ambition",Schedules!G$13,J35),J35)</f>
        <v>0</v>
      </c>
      <c r="L35" s="39">
        <f>IFERROR(IF(INDEX('State Map'!$C:$C,MATCH(TRIM('RZSPbS-psgr-ldv'!$A35),'State Map'!$A:$A,0))="Max Ambition",Schedules!H$13,K35),K35)</f>
        <v>0</v>
      </c>
      <c r="M35" s="39">
        <f>IFERROR(IF(INDEX('State Map'!$C:$C,MATCH(TRIM('RZSPbS-psgr-ldv'!$A35),'State Map'!$A:$A,0))="Max Ambition",Schedules!I$13,L35),L35)</f>
        <v>0</v>
      </c>
      <c r="N35" s="39">
        <f>IFERROR(IF(INDEX('State Map'!$C:$C,MATCH(TRIM('RZSPbS-psgr-ldv'!$A35),'State Map'!$A:$A,0))="Max Ambition",Schedules!J$13,M35),M35)</f>
        <v>0</v>
      </c>
      <c r="O35" s="39">
        <f>IFERROR(IF(INDEX('State Map'!$C:$C,MATCH(TRIM('RZSPbS-psgr-ldv'!$A35),'State Map'!$A:$A,0))="Max Ambition",Schedules!K$13,N35),N35)</f>
        <v>0</v>
      </c>
      <c r="P35" s="39">
        <f>IFERROR(IF(INDEX('State Map'!$C:$C,MATCH(TRIM('RZSPbS-psgr-ldv'!$A35),'State Map'!$A:$A,0))="Max Ambition",Schedules!L$13,O35),O35)</f>
        <v>0</v>
      </c>
      <c r="Q35" s="39">
        <f>IFERROR(IF(INDEX('State Map'!$C:$C,MATCH(TRIM('RZSPbS-psgr-ldv'!$A35),'State Map'!$A:$A,0))="Max Ambition",Schedules!M$13,P35),P35)</f>
        <v>0</v>
      </c>
      <c r="R35" s="39">
        <f>IFERROR(IF(INDEX('State Map'!$C:$C,MATCH(TRIM('RZSPbS-psgr-ldv'!$A35),'State Map'!$A:$A,0))="Max Ambition",Schedules!N$13,Q35),Q35)</f>
        <v>0</v>
      </c>
      <c r="S35" s="39">
        <f>IFERROR(IF(INDEX('State Map'!$C:$C,MATCH(TRIM('RZSPbS-psgr-ldv'!$A35),'State Map'!$A:$A,0))="Max Ambition",Schedules!O$13,R35),R35)</f>
        <v>0</v>
      </c>
      <c r="T35" s="39">
        <f>IFERROR(IF(INDEX('State Map'!$C:$C,MATCH(TRIM('RZSPbS-psgr-ldv'!$A35),'State Map'!$A:$A,0))="Max Ambition",Schedules!P$13,S35),S35)</f>
        <v>0</v>
      </c>
      <c r="U35" s="39">
        <f>IFERROR(IF(INDEX('State Map'!$C:$C,MATCH(TRIM('RZSPbS-psgr-ldv'!$A35),'State Map'!$A:$A,0))="Max Ambition",Schedules!Q$13,T35),T35)</f>
        <v>0</v>
      </c>
      <c r="V35" s="39">
        <f>IFERROR(IF(INDEX('State Map'!$C:$C,MATCH(TRIM('RZSPbS-psgr-ldv'!$A35),'State Map'!$A:$A,0))="Max Ambition",Schedules!R$13,U35),U35)</f>
        <v>0</v>
      </c>
      <c r="W35" s="39">
        <f>IFERROR(IF(INDEX('State Map'!$C:$C,MATCH(TRIM('RZSPbS-psgr-ldv'!$A35),'State Map'!$A:$A,0))="Max Ambition",Schedules!S$13,V35),V35)</f>
        <v>0</v>
      </c>
      <c r="X35" s="39">
        <f>IFERROR(IF(INDEX('State Map'!$C:$C,MATCH(TRIM('RZSPbS-psgr-ldv'!$A35),'State Map'!$A:$A,0))="Max Ambition",Schedules!T$13,W35),W35)</f>
        <v>0</v>
      </c>
      <c r="Y35" s="39">
        <f>IFERROR(IF(INDEX('State Map'!$C:$C,MATCH(TRIM('RZSPbS-psgr-ldv'!$A35),'State Map'!$A:$A,0))="Max Ambition",Schedules!U$13,X35),X35)</f>
        <v>0</v>
      </c>
      <c r="Z35" s="39">
        <f>IFERROR(IF(INDEX('State Map'!$C:$C,MATCH(TRIM('RZSPbS-psgr-ldv'!$A35),'State Map'!$A:$A,0))="Max Ambition",Schedules!V$13,Y35),Y35)</f>
        <v>0</v>
      </c>
      <c r="AA35" s="39">
        <f>IFERROR(IF(INDEX('State Map'!$C:$C,MATCH(TRIM('RZSPbS-psgr-ldv'!$A35),'State Map'!$A:$A,0))="Max Ambition",Schedules!W$13,Z35),Z35)</f>
        <v>0</v>
      </c>
      <c r="AB35" s="39">
        <f>IFERROR(IF(INDEX('State Map'!$C:$C,MATCH(TRIM('RZSPbS-psgr-ldv'!$A35),'State Map'!$A:$A,0))="Max Ambition",Schedules!X$13,AA35),AA35)</f>
        <v>0</v>
      </c>
      <c r="AC35" s="39">
        <f>IFERROR(IF(INDEX('State Map'!$C:$C,MATCH(TRIM('RZSPbS-psgr-ldv'!$A35),'State Map'!$A:$A,0))="Max Ambition",Schedules!Y$13,AB35),AB35)</f>
        <v>0</v>
      </c>
      <c r="AD35" s="39">
        <f>IFERROR(IF(INDEX('State Map'!$C:$C,MATCH(TRIM('RZSPbS-psgr-ldv'!$A35),'State Map'!$A:$A,0))="Max Ambition",Schedules!Z$13,AC35),AC35)</f>
        <v>0</v>
      </c>
      <c r="AE35" s="39">
        <f>IFERROR(IF(INDEX('State Map'!$C:$C,MATCH(TRIM('RZSPbS-psgr-ldv'!$A35),'State Map'!$A:$A,0))="Max Ambition",Schedules!AA$13,AD35),AD35)</f>
        <v>0</v>
      </c>
      <c r="AF35" s="39">
        <f>IFERROR(IF(INDEX('State Map'!$C:$C,MATCH(TRIM('RZSPbS-psgr-ldv'!$A35),'State Map'!$A:$A,0))="Max Ambition",Schedules!AB$13,AE35),AE35)</f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39">
        <f>IFERROR(IF(INDEX('State Map'!$C:$C,MATCH(TRIM('RZSPbS-psgr-ldv'!$A36),'State Map'!$A:$A,0))="Max Ambition",Schedules!G$13,J36),J36)</f>
        <v>0</v>
      </c>
      <c r="L36" s="39">
        <f>IFERROR(IF(INDEX('State Map'!$C:$C,MATCH(TRIM('RZSPbS-psgr-ldv'!$A36),'State Map'!$A:$A,0))="Max Ambition",Schedules!H$13,K36),K36)</f>
        <v>0</v>
      </c>
      <c r="M36" s="39">
        <f>IFERROR(IF(INDEX('State Map'!$C:$C,MATCH(TRIM('RZSPbS-psgr-ldv'!$A36),'State Map'!$A:$A,0))="Max Ambition",Schedules!I$13,L36),L36)</f>
        <v>0</v>
      </c>
      <c r="N36" s="39">
        <f>IFERROR(IF(INDEX('State Map'!$C:$C,MATCH(TRIM('RZSPbS-psgr-ldv'!$A36),'State Map'!$A:$A,0))="Max Ambition",Schedules!J$13,M36),M36)</f>
        <v>0</v>
      </c>
      <c r="O36" s="39">
        <f>IFERROR(IF(INDEX('State Map'!$C:$C,MATCH(TRIM('RZSPbS-psgr-ldv'!$A36),'State Map'!$A:$A,0))="Max Ambition",Schedules!K$13,N36),N36)</f>
        <v>0</v>
      </c>
      <c r="P36" s="39">
        <f>IFERROR(IF(INDEX('State Map'!$C:$C,MATCH(TRIM('RZSPbS-psgr-ldv'!$A36),'State Map'!$A:$A,0))="Max Ambition",Schedules!L$13,O36),O36)</f>
        <v>0</v>
      </c>
      <c r="Q36" s="39">
        <f>IFERROR(IF(INDEX('State Map'!$C:$C,MATCH(TRIM('RZSPbS-psgr-ldv'!$A36),'State Map'!$A:$A,0))="Max Ambition",Schedules!M$13,P36),P36)</f>
        <v>0</v>
      </c>
      <c r="R36" s="39">
        <f>IFERROR(IF(INDEX('State Map'!$C:$C,MATCH(TRIM('RZSPbS-psgr-ldv'!$A36),'State Map'!$A:$A,0))="Max Ambition",Schedules!N$13,Q36),Q36)</f>
        <v>0</v>
      </c>
      <c r="S36" s="39">
        <f>IFERROR(IF(INDEX('State Map'!$C:$C,MATCH(TRIM('RZSPbS-psgr-ldv'!$A36),'State Map'!$A:$A,0))="Max Ambition",Schedules!O$13,R36),R36)</f>
        <v>0</v>
      </c>
      <c r="T36" s="39">
        <f>IFERROR(IF(INDEX('State Map'!$C:$C,MATCH(TRIM('RZSPbS-psgr-ldv'!$A36),'State Map'!$A:$A,0))="Max Ambition",Schedules!P$13,S36),S36)</f>
        <v>0</v>
      </c>
      <c r="U36" s="39">
        <f>IFERROR(IF(INDEX('State Map'!$C:$C,MATCH(TRIM('RZSPbS-psgr-ldv'!$A36),'State Map'!$A:$A,0))="Max Ambition",Schedules!Q$13,T36),T36)</f>
        <v>0</v>
      </c>
      <c r="V36" s="39">
        <f>IFERROR(IF(INDEX('State Map'!$C:$C,MATCH(TRIM('RZSPbS-psgr-ldv'!$A36),'State Map'!$A:$A,0))="Max Ambition",Schedules!R$13,U36),U36)</f>
        <v>0</v>
      </c>
      <c r="W36" s="39">
        <f>IFERROR(IF(INDEX('State Map'!$C:$C,MATCH(TRIM('RZSPbS-psgr-ldv'!$A36),'State Map'!$A:$A,0))="Max Ambition",Schedules!S$13,V36),V36)</f>
        <v>0</v>
      </c>
      <c r="X36" s="39">
        <f>IFERROR(IF(INDEX('State Map'!$C:$C,MATCH(TRIM('RZSPbS-psgr-ldv'!$A36),'State Map'!$A:$A,0))="Max Ambition",Schedules!T$13,W36),W36)</f>
        <v>0</v>
      </c>
      <c r="Y36" s="39">
        <f>IFERROR(IF(INDEX('State Map'!$C:$C,MATCH(TRIM('RZSPbS-psgr-ldv'!$A36),'State Map'!$A:$A,0))="Max Ambition",Schedules!U$13,X36),X36)</f>
        <v>0</v>
      </c>
      <c r="Z36" s="39">
        <f>IFERROR(IF(INDEX('State Map'!$C:$C,MATCH(TRIM('RZSPbS-psgr-ldv'!$A36),'State Map'!$A:$A,0))="Max Ambition",Schedules!V$13,Y36),Y36)</f>
        <v>0</v>
      </c>
      <c r="AA36" s="39">
        <f>IFERROR(IF(INDEX('State Map'!$C:$C,MATCH(TRIM('RZSPbS-psgr-ldv'!$A36),'State Map'!$A:$A,0))="Max Ambition",Schedules!W$13,Z36),Z36)</f>
        <v>0</v>
      </c>
      <c r="AB36" s="39">
        <f>IFERROR(IF(INDEX('State Map'!$C:$C,MATCH(TRIM('RZSPbS-psgr-ldv'!$A36),'State Map'!$A:$A,0))="Max Ambition",Schedules!X$13,AA36),AA36)</f>
        <v>0</v>
      </c>
      <c r="AC36" s="39">
        <f>IFERROR(IF(INDEX('State Map'!$C:$C,MATCH(TRIM('RZSPbS-psgr-ldv'!$A36),'State Map'!$A:$A,0))="Max Ambition",Schedules!Y$13,AB36),AB36)</f>
        <v>0</v>
      </c>
      <c r="AD36" s="39">
        <f>IFERROR(IF(INDEX('State Map'!$C:$C,MATCH(TRIM('RZSPbS-psgr-ldv'!$A36),'State Map'!$A:$A,0))="Max Ambition",Schedules!Z$13,AC36),AC36)</f>
        <v>0</v>
      </c>
      <c r="AE36" s="39">
        <f>IFERROR(IF(INDEX('State Map'!$C:$C,MATCH(TRIM('RZSPbS-psgr-ldv'!$A36),'State Map'!$A:$A,0))="Max Ambition",Schedules!AA$13,AD36),AD36)</f>
        <v>0</v>
      </c>
      <c r="AF36" s="39">
        <f>IFERROR(IF(INDEX('State Map'!$C:$C,MATCH(TRIM('RZSPbS-psgr-ldv'!$A36),'State Map'!$A:$A,0))="Max Ambition",Schedules!AB$13,AE36),AE36)</f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39">
        <f>IFERROR(IF(INDEX('State Map'!$C:$C,MATCH(TRIM('RZSPbS-psgr-ldv'!$A37),'State Map'!$A:$A,0))="Max Ambition",Schedules!G$13,J37),J37)</f>
        <v>0</v>
      </c>
      <c r="L37" s="39">
        <f>IFERROR(IF(INDEX('State Map'!$C:$C,MATCH(TRIM('RZSPbS-psgr-ldv'!$A37),'State Map'!$A:$A,0))="Max Ambition",Schedules!H$13,K37),K37)</f>
        <v>0</v>
      </c>
      <c r="M37" s="39">
        <f>IFERROR(IF(INDEX('State Map'!$C:$C,MATCH(TRIM('RZSPbS-psgr-ldv'!$A37),'State Map'!$A:$A,0))="Max Ambition",Schedules!I$13,L37),L37)</f>
        <v>0</v>
      </c>
      <c r="N37" s="39">
        <f>IFERROR(IF(INDEX('State Map'!$C:$C,MATCH(TRIM('RZSPbS-psgr-ldv'!$A37),'State Map'!$A:$A,0))="Max Ambition",Schedules!J$13,M37),M37)</f>
        <v>0</v>
      </c>
      <c r="O37" s="39">
        <f>IFERROR(IF(INDEX('State Map'!$C:$C,MATCH(TRIM('RZSPbS-psgr-ldv'!$A37),'State Map'!$A:$A,0))="Max Ambition",Schedules!K$13,N37),N37)</f>
        <v>0</v>
      </c>
      <c r="P37" s="39">
        <f>IFERROR(IF(INDEX('State Map'!$C:$C,MATCH(TRIM('RZSPbS-psgr-ldv'!$A37),'State Map'!$A:$A,0))="Max Ambition",Schedules!L$13,O37),O37)</f>
        <v>0</v>
      </c>
      <c r="Q37" s="39">
        <f>IFERROR(IF(INDEX('State Map'!$C:$C,MATCH(TRIM('RZSPbS-psgr-ldv'!$A37),'State Map'!$A:$A,0))="Max Ambition",Schedules!M$13,P37),P37)</f>
        <v>0</v>
      </c>
      <c r="R37" s="39">
        <f>IFERROR(IF(INDEX('State Map'!$C:$C,MATCH(TRIM('RZSPbS-psgr-ldv'!$A37),'State Map'!$A:$A,0))="Max Ambition",Schedules!N$13,Q37),Q37)</f>
        <v>0</v>
      </c>
      <c r="S37" s="39">
        <f>IFERROR(IF(INDEX('State Map'!$C:$C,MATCH(TRIM('RZSPbS-psgr-ldv'!$A37),'State Map'!$A:$A,0))="Max Ambition",Schedules!O$13,R37),R37)</f>
        <v>0</v>
      </c>
      <c r="T37" s="39">
        <f>IFERROR(IF(INDEX('State Map'!$C:$C,MATCH(TRIM('RZSPbS-psgr-ldv'!$A37),'State Map'!$A:$A,0))="Max Ambition",Schedules!P$13,S37),S37)</f>
        <v>0</v>
      </c>
      <c r="U37" s="39">
        <f>IFERROR(IF(INDEX('State Map'!$C:$C,MATCH(TRIM('RZSPbS-psgr-ldv'!$A37),'State Map'!$A:$A,0))="Max Ambition",Schedules!Q$13,T37),T37)</f>
        <v>0</v>
      </c>
      <c r="V37" s="39">
        <f>IFERROR(IF(INDEX('State Map'!$C:$C,MATCH(TRIM('RZSPbS-psgr-ldv'!$A37),'State Map'!$A:$A,0))="Max Ambition",Schedules!R$13,U37),U37)</f>
        <v>0</v>
      </c>
      <c r="W37" s="39">
        <f>IFERROR(IF(INDEX('State Map'!$C:$C,MATCH(TRIM('RZSPbS-psgr-ldv'!$A37),'State Map'!$A:$A,0))="Max Ambition",Schedules!S$13,V37),V37)</f>
        <v>0</v>
      </c>
      <c r="X37" s="39">
        <f>IFERROR(IF(INDEX('State Map'!$C:$C,MATCH(TRIM('RZSPbS-psgr-ldv'!$A37),'State Map'!$A:$A,0))="Max Ambition",Schedules!T$13,W37),W37)</f>
        <v>0</v>
      </c>
      <c r="Y37" s="39">
        <f>IFERROR(IF(INDEX('State Map'!$C:$C,MATCH(TRIM('RZSPbS-psgr-ldv'!$A37),'State Map'!$A:$A,0))="Max Ambition",Schedules!U$13,X37),X37)</f>
        <v>0</v>
      </c>
      <c r="Z37" s="39">
        <f>IFERROR(IF(INDEX('State Map'!$C:$C,MATCH(TRIM('RZSPbS-psgr-ldv'!$A37),'State Map'!$A:$A,0))="Max Ambition",Schedules!V$13,Y37),Y37)</f>
        <v>0</v>
      </c>
      <c r="AA37" s="39">
        <f>IFERROR(IF(INDEX('State Map'!$C:$C,MATCH(TRIM('RZSPbS-psgr-ldv'!$A37),'State Map'!$A:$A,0))="Max Ambition",Schedules!W$13,Z37),Z37)</f>
        <v>0</v>
      </c>
      <c r="AB37" s="39">
        <f>IFERROR(IF(INDEX('State Map'!$C:$C,MATCH(TRIM('RZSPbS-psgr-ldv'!$A37),'State Map'!$A:$A,0))="Max Ambition",Schedules!X$13,AA37),AA37)</f>
        <v>0</v>
      </c>
      <c r="AC37" s="39">
        <f>IFERROR(IF(INDEX('State Map'!$C:$C,MATCH(TRIM('RZSPbS-psgr-ldv'!$A37),'State Map'!$A:$A,0))="Max Ambition",Schedules!Y$13,AB37),AB37)</f>
        <v>0</v>
      </c>
      <c r="AD37" s="39">
        <f>IFERROR(IF(INDEX('State Map'!$C:$C,MATCH(TRIM('RZSPbS-psgr-ldv'!$A37),'State Map'!$A:$A,0))="Max Ambition",Schedules!Z$13,AC37),AC37)</f>
        <v>0</v>
      </c>
      <c r="AE37" s="39">
        <f>IFERROR(IF(INDEX('State Map'!$C:$C,MATCH(TRIM('RZSPbS-psgr-ldv'!$A37),'State Map'!$A:$A,0))="Max Ambition",Schedules!AA$13,AD37),AD37)</f>
        <v>0</v>
      </c>
      <c r="AF37" s="39">
        <f>IFERROR(IF(INDEX('State Map'!$C:$C,MATCH(TRIM('RZSPbS-psgr-ldv'!$A37),'State Map'!$A:$A,0))="Max Ambition",Schedules!AB$13,AE37),AE37)</f>
        <v>0</v>
      </c>
    </row>
    <row r="38" spans="1:32" x14ac:dyDescent="0.2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39">
        <f>IFERROR(IF(INDEX('State Map'!$C:$C,MATCH(TRIM('RZSPbS-psgr-ldv'!$A38),'State Map'!$A:$A,0))="Max Ambition",Schedules!G$13,J38),J38)</f>
        <v>0</v>
      </c>
      <c r="L38" s="39">
        <f>IFERROR(IF(INDEX('State Map'!$C:$C,MATCH(TRIM('RZSPbS-psgr-ldv'!$A38),'State Map'!$A:$A,0))="Max Ambition",Schedules!H$13,K38),K38)</f>
        <v>0</v>
      </c>
      <c r="M38" s="39">
        <f>IFERROR(IF(INDEX('State Map'!$C:$C,MATCH(TRIM('RZSPbS-psgr-ldv'!$A38),'State Map'!$A:$A,0))="Max Ambition",Schedules!I$13,L38),L38)</f>
        <v>0</v>
      </c>
      <c r="N38" s="39">
        <f>IFERROR(IF(INDEX('State Map'!$C:$C,MATCH(TRIM('RZSPbS-psgr-ldv'!$A38),'State Map'!$A:$A,0))="Max Ambition",Schedules!J$13,M38),M38)</f>
        <v>0</v>
      </c>
      <c r="O38" s="39">
        <f>IFERROR(IF(INDEX('State Map'!$C:$C,MATCH(TRIM('RZSPbS-psgr-ldv'!$A38),'State Map'!$A:$A,0))="Max Ambition",Schedules!K$13,N38),N38)</f>
        <v>0</v>
      </c>
      <c r="P38" s="39">
        <f>IFERROR(IF(INDEX('State Map'!$C:$C,MATCH(TRIM('RZSPbS-psgr-ldv'!$A38),'State Map'!$A:$A,0))="Max Ambition",Schedules!L$13,O38),O38)</f>
        <v>0</v>
      </c>
      <c r="Q38" s="39">
        <f>IFERROR(IF(INDEX('State Map'!$C:$C,MATCH(TRIM('RZSPbS-psgr-ldv'!$A38),'State Map'!$A:$A,0))="Max Ambition",Schedules!M$13,P38),P38)</f>
        <v>0</v>
      </c>
      <c r="R38" s="39">
        <f>IFERROR(IF(INDEX('State Map'!$C:$C,MATCH(TRIM('RZSPbS-psgr-ldv'!$A38),'State Map'!$A:$A,0))="Max Ambition",Schedules!N$13,Q38),Q38)</f>
        <v>0</v>
      </c>
      <c r="S38" s="39">
        <f>IFERROR(IF(INDEX('State Map'!$C:$C,MATCH(TRIM('RZSPbS-psgr-ldv'!$A38),'State Map'!$A:$A,0))="Max Ambition",Schedules!O$13,R38),R38)</f>
        <v>0</v>
      </c>
      <c r="T38" s="39">
        <f>IFERROR(IF(INDEX('State Map'!$C:$C,MATCH(TRIM('RZSPbS-psgr-ldv'!$A38),'State Map'!$A:$A,0))="Max Ambition",Schedules!P$13,S38),S38)</f>
        <v>0</v>
      </c>
      <c r="U38" s="39">
        <f>IFERROR(IF(INDEX('State Map'!$C:$C,MATCH(TRIM('RZSPbS-psgr-ldv'!$A38),'State Map'!$A:$A,0))="Max Ambition",Schedules!Q$13,T38),T38)</f>
        <v>0</v>
      </c>
      <c r="V38" s="39">
        <f>IFERROR(IF(INDEX('State Map'!$C:$C,MATCH(TRIM('RZSPbS-psgr-ldv'!$A38),'State Map'!$A:$A,0))="Max Ambition",Schedules!R$13,U38),U38)</f>
        <v>0</v>
      </c>
      <c r="W38" s="39">
        <f>IFERROR(IF(INDEX('State Map'!$C:$C,MATCH(TRIM('RZSPbS-psgr-ldv'!$A38),'State Map'!$A:$A,0))="Max Ambition",Schedules!S$13,V38),V38)</f>
        <v>0</v>
      </c>
      <c r="X38" s="39">
        <f>IFERROR(IF(INDEX('State Map'!$C:$C,MATCH(TRIM('RZSPbS-psgr-ldv'!$A38),'State Map'!$A:$A,0))="Max Ambition",Schedules!T$13,W38),W38)</f>
        <v>0</v>
      </c>
      <c r="Y38" s="39">
        <f>IFERROR(IF(INDEX('State Map'!$C:$C,MATCH(TRIM('RZSPbS-psgr-ldv'!$A38),'State Map'!$A:$A,0))="Max Ambition",Schedules!U$13,X38),X38)</f>
        <v>0</v>
      </c>
      <c r="Z38" s="39">
        <f>IFERROR(IF(INDEX('State Map'!$C:$C,MATCH(TRIM('RZSPbS-psgr-ldv'!$A38),'State Map'!$A:$A,0))="Max Ambition",Schedules!V$13,Y38),Y38)</f>
        <v>0</v>
      </c>
      <c r="AA38" s="39">
        <f>IFERROR(IF(INDEX('State Map'!$C:$C,MATCH(TRIM('RZSPbS-psgr-ldv'!$A38),'State Map'!$A:$A,0))="Max Ambition",Schedules!W$13,Z38),Z38)</f>
        <v>0</v>
      </c>
      <c r="AB38" s="39">
        <f>IFERROR(IF(INDEX('State Map'!$C:$C,MATCH(TRIM('RZSPbS-psgr-ldv'!$A38),'State Map'!$A:$A,0))="Max Ambition",Schedules!X$13,AA38),AA38)</f>
        <v>0</v>
      </c>
      <c r="AC38" s="39">
        <f>IFERROR(IF(INDEX('State Map'!$C:$C,MATCH(TRIM('RZSPbS-psgr-ldv'!$A38),'State Map'!$A:$A,0))="Max Ambition",Schedules!Y$13,AB38),AB38)</f>
        <v>0</v>
      </c>
      <c r="AD38" s="39">
        <f>IFERROR(IF(INDEX('State Map'!$C:$C,MATCH(TRIM('RZSPbS-psgr-ldv'!$A38),'State Map'!$A:$A,0))="Max Ambition",Schedules!Z$13,AC38),AC38)</f>
        <v>0</v>
      </c>
      <c r="AE38" s="39">
        <f>IFERROR(IF(INDEX('State Map'!$C:$C,MATCH(TRIM('RZSPbS-psgr-ldv'!$A38),'State Map'!$A:$A,0))="Max Ambition",Schedules!AA$13,AD38),AD38)</f>
        <v>0</v>
      </c>
      <c r="AF38" s="39">
        <f>IFERROR(IF(INDEX('State Map'!$C:$C,MATCH(TRIM('RZSPbS-psgr-ldv'!$A38),'State Map'!$A:$A,0))="Max Ambition",Schedules!AB$13,AE38),AE38)</f>
        <v>0</v>
      </c>
    </row>
    <row r="39" spans="1:32" x14ac:dyDescent="0.25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39">
        <f>IFERROR(IF(INDEX('State Map'!$C:$C,MATCH(TRIM('RZSPbS-psgr-ldv'!$A39),'State Map'!$A:$A,0))="Max Ambition",Schedules!G$13,J39),J39)</f>
        <v>2.5999999999999999E-2</v>
      </c>
      <c r="L39" s="39">
        <f>IFERROR(IF(INDEX('State Map'!$C:$C,MATCH(TRIM('RZSPbS-psgr-ldv'!$A39),'State Map'!$A:$A,0))="Max Ambition",Schedules!H$13,K39),K39)</f>
        <v>0.03</v>
      </c>
      <c r="M39" s="39">
        <f>IFERROR(IF(INDEX('State Map'!$C:$C,MATCH(TRIM('RZSPbS-psgr-ldv'!$A39),'State Map'!$A:$A,0))="Max Ambition",Schedules!I$13,L39),L39)</f>
        <v>3.4000000000000002E-2</v>
      </c>
      <c r="N39" s="39">
        <f>IFERROR(IF(INDEX('State Map'!$C:$C,MATCH(TRIM('RZSPbS-psgr-ldv'!$A39),'State Map'!$A:$A,0))="Max Ambition",Schedules!J$13,M39),M39)</f>
        <v>0.05</v>
      </c>
      <c r="O39" s="39">
        <f>IFERROR(IF(INDEX('State Map'!$C:$C,MATCH(TRIM('RZSPbS-psgr-ldv'!$A39),'State Map'!$A:$A,0))="Max Ambition",Schedules!K$13,N39),N39)</f>
        <v>7.0000000000000007E-2</v>
      </c>
      <c r="P39" s="39">
        <f>IFERROR(IF(INDEX('State Map'!$C:$C,MATCH(TRIM('RZSPbS-psgr-ldv'!$A39),'State Map'!$A:$A,0))="Max Ambition",Schedules!L$13,O39),O39)</f>
        <v>0.1</v>
      </c>
      <c r="Q39" s="39">
        <f>IFERROR(IF(INDEX('State Map'!$C:$C,MATCH(TRIM('RZSPbS-psgr-ldv'!$A39),'State Map'!$A:$A,0))="Max Ambition",Schedules!M$13,P39),P39)</f>
        <v>0.15</v>
      </c>
      <c r="R39" s="39">
        <f>IFERROR(IF(INDEX('State Map'!$C:$C,MATCH(TRIM('RZSPbS-psgr-ldv'!$A39),'State Map'!$A:$A,0))="Max Ambition",Schedules!N$13,Q39),Q39)</f>
        <v>0.2</v>
      </c>
      <c r="S39" s="39">
        <f>IFERROR(IF(INDEX('State Map'!$C:$C,MATCH(TRIM('RZSPbS-psgr-ldv'!$A39),'State Map'!$A:$A,0))="Max Ambition",Schedules!O$13,R39),R39)</f>
        <v>0.25</v>
      </c>
      <c r="T39" s="39">
        <f>IFERROR(IF(INDEX('State Map'!$C:$C,MATCH(TRIM('RZSPbS-psgr-ldv'!$A39),'State Map'!$A:$A,0))="Max Ambition",Schedules!P$13,S39),S39)</f>
        <v>0.3</v>
      </c>
      <c r="U39" s="39">
        <f>IFERROR(IF(INDEX('State Map'!$C:$C,MATCH(TRIM('RZSPbS-psgr-ldv'!$A39),'State Map'!$A:$A,0))="Max Ambition",Schedules!Q$13,T39),T39)</f>
        <v>0.35</v>
      </c>
      <c r="V39" s="39">
        <f>IFERROR(IF(INDEX('State Map'!$C:$C,MATCH(TRIM('RZSPbS-psgr-ldv'!$A39),'State Map'!$A:$A,0))="Max Ambition",Schedules!R$13,U39),U39)</f>
        <v>0.4</v>
      </c>
      <c r="W39" s="39">
        <f>IFERROR(IF(INDEX('State Map'!$C:$C,MATCH(TRIM('RZSPbS-psgr-ldv'!$A39),'State Map'!$A:$A,0))="Max Ambition",Schedules!S$13,V39),V39)</f>
        <v>0.4</v>
      </c>
      <c r="X39" s="39">
        <f>IFERROR(IF(INDEX('State Map'!$C:$C,MATCH(TRIM('RZSPbS-psgr-ldv'!$A39),'State Map'!$A:$A,0))="Max Ambition",Schedules!T$13,W39),W39)</f>
        <v>0.4</v>
      </c>
      <c r="Y39" s="39">
        <f>IFERROR(IF(INDEX('State Map'!$C:$C,MATCH(TRIM('RZSPbS-psgr-ldv'!$A39),'State Map'!$A:$A,0))="Max Ambition",Schedules!U$13,X39),X39)</f>
        <v>0.4</v>
      </c>
      <c r="Z39" s="39">
        <f>IFERROR(IF(INDEX('State Map'!$C:$C,MATCH(TRIM('RZSPbS-psgr-ldv'!$A39),'State Map'!$A:$A,0))="Max Ambition",Schedules!V$13,Y39),Y39)</f>
        <v>0.45700000000000002</v>
      </c>
      <c r="AA39" s="39">
        <f>IFERROR(IF(INDEX('State Map'!$C:$C,MATCH(TRIM('RZSPbS-psgr-ldv'!$A39),'State Map'!$A:$A,0))="Max Ambition",Schedules!W$13,Z39),Z39)</f>
        <v>0.51400000000000001</v>
      </c>
      <c r="AB39" s="39">
        <f>IFERROR(IF(INDEX('State Map'!$C:$C,MATCH(TRIM('RZSPbS-psgr-ldv'!$A39),'State Map'!$A:$A,0))="Max Ambition",Schedules!X$13,AA39),AA39)</f>
        <v>0.57099999999999995</v>
      </c>
      <c r="AC39" s="39">
        <f>IFERROR(IF(INDEX('State Map'!$C:$C,MATCH(TRIM('RZSPbS-psgr-ldv'!$A39),'State Map'!$A:$A,0))="Max Ambition",Schedules!Y$13,AB39),AB39)</f>
        <v>0.628</v>
      </c>
      <c r="AD39" s="39">
        <f>IFERROR(IF(INDEX('State Map'!$C:$C,MATCH(TRIM('RZSPbS-psgr-ldv'!$A39),'State Map'!$A:$A,0))="Max Ambition",Schedules!Z$13,AC39),AC39)</f>
        <v>0.68500000000000005</v>
      </c>
      <c r="AE39" s="39">
        <f>IFERROR(IF(INDEX('State Map'!$C:$C,MATCH(TRIM('RZSPbS-psgr-ldv'!$A39),'State Map'!$A:$A,0))="Max Ambition",Schedules!AA$13,AD39),AD39)</f>
        <v>0.74199999999999999</v>
      </c>
      <c r="AF39" s="39">
        <f>IFERROR(IF(INDEX('State Map'!$C:$C,MATCH(TRIM('RZSPbS-psgr-ldv'!$A39),'State Map'!$A:$A,0))="Max Ambition",Schedules!AB$13,AE39),AE39)</f>
        <v>0.8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39">
        <f>IFERROR(IF(INDEX('State Map'!$C:$C,MATCH(TRIM('RZSPbS-psgr-ldv'!$A40),'State Map'!$A:$A,0))="Max Ambition",Schedules!G$13,J40),J40)</f>
        <v>0</v>
      </c>
      <c r="L40" s="39">
        <f>IFERROR(IF(INDEX('State Map'!$C:$C,MATCH(TRIM('RZSPbS-psgr-ldv'!$A40),'State Map'!$A:$A,0))="Max Ambition",Schedules!H$13,K40),K40)</f>
        <v>0</v>
      </c>
      <c r="M40" s="39">
        <f>IFERROR(IF(INDEX('State Map'!$C:$C,MATCH(TRIM('RZSPbS-psgr-ldv'!$A40),'State Map'!$A:$A,0))="Max Ambition",Schedules!I$13,L40),L40)</f>
        <v>0</v>
      </c>
      <c r="N40" s="39">
        <f>IFERROR(IF(INDEX('State Map'!$C:$C,MATCH(TRIM('RZSPbS-psgr-ldv'!$A40),'State Map'!$A:$A,0))="Max Ambition",Schedules!J$13,M40),M40)</f>
        <v>0</v>
      </c>
      <c r="O40" s="39">
        <f>IFERROR(IF(INDEX('State Map'!$C:$C,MATCH(TRIM('RZSPbS-psgr-ldv'!$A40),'State Map'!$A:$A,0))="Max Ambition",Schedules!K$13,N40),N40)</f>
        <v>0</v>
      </c>
      <c r="P40" s="39">
        <f>IFERROR(IF(INDEX('State Map'!$C:$C,MATCH(TRIM('RZSPbS-psgr-ldv'!$A40),'State Map'!$A:$A,0))="Max Ambition",Schedules!L$13,O40),O40)</f>
        <v>0</v>
      </c>
      <c r="Q40" s="39">
        <f>IFERROR(IF(INDEX('State Map'!$C:$C,MATCH(TRIM('RZSPbS-psgr-ldv'!$A40),'State Map'!$A:$A,0))="Max Ambition",Schedules!M$13,P40),P40)</f>
        <v>0</v>
      </c>
      <c r="R40" s="39">
        <f>IFERROR(IF(INDEX('State Map'!$C:$C,MATCH(TRIM('RZSPbS-psgr-ldv'!$A40),'State Map'!$A:$A,0))="Max Ambition",Schedules!N$13,Q40),Q40)</f>
        <v>0</v>
      </c>
      <c r="S40" s="39">
        <f>IFERROR(IF(INDEX('State Map'!$C:$C,MATCH(TRIM('RZSPbS-psgr-ldv'!$A40),'State Map'!$A:$A,0))="Max Ambition",Schedules!O$13,R40),R40)</f>
        <v>0</v>
      </c>
      <c r="T40" s="39">
        <f>IFERROR(IF(INDEX('State Map'!$C:$C,MATCH(TRIM('RZSPbS-psgr-ldv'!$A40),'State Map'!$A:$A,0))="Max Ambition",Schedules!P$13,S40),S40)</f>
        <v>0</v>
      </c>
      <c r="U40" s="39">
        <f>IFERROR(IF(INDEX('State Map'!$C:$C,MATCH(TRIM('RZSPbS-psgr-ldv'!$A40),'State Map'!$A:$A,0))="Max Ambition",Schedules!Q$13,T40),T40)</f>
        <v>0</v>
      </c>
      <c r="V40" s="39">
        <f>IFERROR(IF(INDEX('State Map'!$C:$C,MATCH(TRIM('RZSPbS-psgr-ldv'!$A40),'State Map'!$A:$A,0))="Max Ambition",Schedules!R$13,U40),U40)</f>
        <v>0</v>
      </c>
      <c r="W40" s="39">
        <f>IFERROR(IF(INDEX('State Map'!$C:$C,MATCH(TRIM('RZSPbS-psgr-ldv'!$A40),'State Map'!$A:$A,0))="Max Ambition",Schedules!S$13,V40),V40)</f>
        <v>0</v>
      </c>
      <c r="X40" s="39">
        <f>IFERROR(IF(INDEX('State Map'!$C:$C,MATCH(TRIM('RZSPbS-psgr-ldv'!$A40),'State Map'!$A:$A,0))="Max Ambition",Schedules!T$13,W40),W40)</f>
        <v>0</v>
      </c>
      <c r="Y40" s="39">
        <f>IFERROR(IF(INDEX('State Map'!$C:$C,MATCH(TRIM('RZSPbS-psgr-ldv'!$A40),'State Map'!$A:$A,0))="Max Ambition",Schedules!U$13,X40),X40)</f>
        <v>0</v>
      </c>
      <c r="Z40" s="39">
        <f>IFERROR(IF(INDEX('State Map'!$C:$C,MATCH(TRIM('RZSPbS-psgr-ldv'!$A40),'State Map'!$A:$A,0))="Max Ambition",Schedules!V$13,Y40),Y40)</f>
        <v>0</v>
      </c>
      <c r="AA40" s="39">
        <f>IFERROR(IF(INDEX('State Map'!$C:$C,MATCH(TRIM('RZSPbS-psgr-ldv'!$A40),'State Map'!$A:$A,0))="Max Ambition",Schedules!W$13,Z40),Z40)</f>
        <v>0</v>
      </c>
      <c r="AB40" s="39">
        <f>IFERROR(IF(INDEX('State Map'!$C:$C,MATCH(TRIM('RZSPbS-psgr-ldv'!$A40),'State Map'!$A:$A,0))="Max Ambition",Schedules!X$13,AA40),AA40)</f>
        <v>0</v>
      </c>
      <c r="AC40" s="39">
        <f>IFERROR(IF(INDEX('State Map'!$C:$C,MATCH(TRIM('RZSPbS-psgr-ldv'!$A40),'State Map'!$A:$A,0))="Max Ambition",Schedules!Y$13,AB40),AB40)</f>
        <v>0</v>
      </c>
      <c r="AD40" s="39">
        <f>IFERROR(IF(INDEX('State Map'!$C:$C,MATCH(TRIM('RZSPbS-psgr-ldv'!$A40),'State Map'!$A:$A,0))="Max Ambition",Schedules!Z$13,AC40),AC40)</f>
        <v>0</v>
      </c>
      <c r="AE40" s="39">
        <f>IFERROR(IF(INDEX('State Map'!$C:$C,MATCH(TRIM('RZSPbS-psgr-ldv'!$A40),'State Map'!$A:$A,0))="Max Ambition",Schedules!AA$13,AD40),AD40)</f>
        <v>0</v>
      </c>
      <c r="AF40" s="39">
        <f>IFERROR(IF(INDEX('State Map'!$C:$C,MATCH(TRIM('RZSPbS-psgr-ldv'!$A40),'State Map'!$A:$A,0))="Max Ambition",Schedules!AB$13,AE40),AE40)</f>
        <v>0</v>
      </c>
    </row>
    <row r="41" spans="1:32" x14ac:dyDescent="0.2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39">
        <f>IFERROR(IF(INDEX('State Map'!$C:$C,MATCH(TRIM('RZSPbS-psgr-ldv'!$A41),'State Map'!$A:$A,0))="Max Ambition",Schedules!G$13,J41),J41)</f>
        <v>2.5999999999999999E-2</v>
      </c>
      <c r="L41" s="39">
        <f>IFERROR(IF(INDEX('State Map'!$C:$C,MATCH(TRIM('RZSPbS-psgr-ldv'!$A41),'State Map'!$A:$A,0))="Max Ambition",Schedules!H$13,K41),K41)</f>
        <v>0.03</v>
      </c>
      <c r="M41" s="39">
        <f>IFERROR(IF(INDEX('State Map'!$C:$C,MATCH(TRIM('RZSPbS-psgr-ldv'!$A41),'State Map'!$A:$A,0))="Max Ambition",Schedules!I$13,L41),L41)</f>
        <v>3.4000000000000002E-2</v>
      </c>
      <c r="N41" s="39">
        <f>IFERROR(IF(INDEX('State Map'!$C:$C,MATCH(TRIM('RZSPbS-psgr-ldv'!$A41),'State Map'!$A:$A,0))="Max Ambition",Schedules!J$13,M41),M41)</f>
        <v>0.05</v>
      </c>
      <c r="O41" s="39">
        <f>IFERROR(IF(INDEX('State Map'!$C:$C,MATCH(TRIM('RZSPbS-psgr-ldv'!$A41),'State Map'!$A:$A,0))="Max Ambition",Schedules!K$13,N41),N41)</f>
        <v>7.0000000000000007E-2</v>
      </c>
      <c r="P41" s="39">
        <f>IFERROR(IF(INDEX('State Map'!$C:$C,MATCH(TRIM('RZSPbS-psgr-ldv'!$A41),'State Map'!$A:$A,0))="Max Ambition",Schedules!L$13,O41),O41)</f>
        <v>0.1</v>
      </c>
      <c r="Q41" s="39">
        <f>IFERROR(IF(INDEX('State Map'!$C:$C,MATCH(TRIM('RZSPbS-psgr-ldv'!$A41),'State Map'!$A:$A,0))="Max Ambition",Schedules!M$13,P41),P41)</f>
        <v>0.15</v>
      </c>
      <c r="R41" s="39">
        <f>IFERROR(IF(INDEX('State Map'!$C:$C,MATCH(TRIM('RZSPbS-psgr-ldv'!$A41),'State Map'!$A:$A,0))="Max Ambition",Schedules!N$13,Q41),Q41)</f>
        <v>0.2</v>
      </c>
      <c r="S41" s="39">
        <f>IFERROR(IF(INDEX('State Map'!$C:$C,MATCH(TRIM('RZSPbS-psgr-ldv'!$A41),'State Map'!$A:$A,0))="Max Ambition",Schedules!O$13,R41),R41)</f>
        <v>0.25</v>
      </c>
      <c r="T41" s="39">
        <f>IFERROR(IF(INDEX('State Map'!$C:$C,MATCH(TRIM('RZSPbS-psgr-ldv'!$A41),'State Map'!$A:$A,0))="Max Ambition",Schedules!P$13,S41),S41)</f>
        <v>0.3</v>
      </c>
      <c r="U41" s="39">
        <f>IFERROR(IF(INDEX('State Map'!$C:$C,MATCH(TRIM('RZSPbS-psgr-ldv'!$A41),'State Map'!$A:$A,0))="Max Ambition",Schedules!Q$13,T41),T41)</f>
        <v>0.35</v>
      </c>
      <c r="V41" s="39">
        <f>IFERROR(IF(INDEX('State Map'!$C:$C,MATCH(TRIM('RZSPbS-psgr-ldv'!$A41),'State Map'!$A:$A,0))="Max Ambition",Schedules!R$13,U41),U41)</f>
        <v>0.4</v>
      </c>
      <c r="W41" s="39">
        <f>IFERROR(IF(INDEX('State Map'!$C:$C,MATCH(TRIM('RZSPbS-psgr-ldv'!$A41),'State Map'!$A:$A,0))="Max Ambition",Schedules!S$13,V41),V41)</f>
        <v>0.4</v>
      </c>
      <c r="X41" s="39">
        <f>IFERROR(IF(INDEX('State Map'!$C:$C,MATCH(TRIM('RZSPbS-psgr-ldv'!$A41),'State Map'!$A:$A,0))="Max Ambition",Schedules!T$13,W41),W41)</f>
        <v>0.4</v>
      </c>
      <c r="Y41" s="39">
        <f>IFERROR(IF(INDEX('State Map'!$C:$C,MATCH(TRIM('RZSPbS-psgr-ldv'!$A41),'State Map'!$A:$A,0))="Max Ambition",Schedules!U$13,X41),X41)</f>
        <v>0.4</v>
      </c>
      <c r="Z41" s="39">
        <f>IFERROR(IF(INDEX('State Map'!$C:$C,MATCH(TRIM('RZSPbS-psgr-ldv'!$A41),'State Map'!$A:$A,0))="Max Ambition",Schedules!V$13,Y41),Y41)</f>
        <v>0.45700000000000002</v>
      </c>
      <c r="AA41" s="39">
        <f>IFERROR(IF(INDEX('State Map'!$C:$C,MATCH(TRIM('RZSPbS-psgr-ldv'!$A41),'State Map'!$A:$A,0))="Max Ambition",Schedules!W$13,Z41),Z41)</f>
        <v>0.51400000000000001</v>
      </c>
      <c r="AB41" s="39">
        <f>IFERROR(IF(INDEX('State Map'!$C:$C,MATCH(TRIM('RZSPbS-psgr-ldv'!$A41),'State Map'!$A:$A,0))="Max Ambition",Schedules!X$13,AA41),AA41)</f>
        <v>0.57099999999999995</v>
      </c>
      <c r="AC41" s="39">
        <f>IFERROR(IF(INDEX('State Map'!$C:$C,MATCH(TRIM('RZSPbS-psgr-ldv'!$A41),'State Map'!$A:$A,0))="Max Ambition",Schedules!Y$13,AB41),AB41)</f>
        <v>0.628</v>
      </c>
      <c r="AD41" s="39">
        <f>IFERROR(IF(INDEX('State Map'!$C:$C,MATCH(TRIM('RZSPbS-psgr-ldv'!$A41),'State Map'!$A:$A,0))="Max Ambition",Schedules!Z$13,AC41),AC41)</f>
        <v>0.68500000000000005</v>
      </c>
      <c r="AE41" s="39">
        <f>IFERROR(IF(INDEX('State Map'!$C:$C,MATCH(TRIM('RZSPbS-psgr-ldv'!$A41),'State Map'!$A:$A,0))="Max Ambition",Schedules!AA$13,AD41),AD41)</f>
        <v>0.74199999999999999</v>
      </c>
      <c r="AF41" s="39">
        <f>IFERROR(IF(INDEX('State Map'!$C:$C,MATCH(TRIM('RZSPbS-psgr-ldv'!$A41),'State Map'!$A:$A,0))="Max Ambition",Schedules!AB$13,AE41),AE41)</f>
        <v>0.8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39">
        <f>IFERROR(IF(INDEX('State Map'!$C:$C,MATCH(TRIM('RZSPbS-psgr-ldv'!$A42),'State Map'!$A:$A,0))="Max Ambition",Schedules!G$13,J42),J42)</f>
        <v>0</v>
      </c>
      <c r="L42" s="39">
        <f>IFERROR(IF(INDEX('State Map'!$C:$C,MATCH(TRIM('RZSPbS-psgr-ldv'!$A42),'State Map'!$A:$A,0))="Max Ambition",Schedules!H$13,K42),K42)</f>
        <v>0</v>
      </c>
      <c r="M42" s="39">
        <f>IFERROR(IF(INDEX('State Map'!$C:$C,MATCH(TRIM('RZSPbS-psgr-ldv'!$A42),'State Map'!$A:$A,0))="Max Ambition",Schedules!I$13,L42),L42)</f>
        <v>0</v>
      </c>
      <c r="N42" s="39">
        <f>IFERROR(IF(INDEX('State Map'!$C:$C,MATCH(TRIM('RZSPbS-psgr-ldv'!$A42),'State Map'!$A:$A,0))="Max Ambition",Schedules!J$13,M42),M42)</f>
        <v>0</v>
      </c>
      <c r="O42" s="39">
        <f>IFERROR(IF(INDEX('State Map'!$C:$C,MATCH(TRIM('RZSPbS-psgr-ldv'!$A42),'State Map'!$A:$A,0))="Max Ambition",Schedules!K$13,N42),N42)</f>
        <v>0</v>
      </c>
      <c r="P42" s="39">
        <f>IFERROR(IF(INDEX('State Map'!$C:$C,MATCH(TRIM('RZSPbS-psgr-ldv'!$A42),'State Map'!$A:$A,0))="Max Ambition",Schedules!L$13,O42),O42)</f>
        <v>0</v>
      </c>
      <c r="Q42" s="39">
        <f>IFERROR(IF(INDEX('State Map'!$C:$C,MATCH(TRIM('RZSPbS-psgr-ldv'!$A42),'State Map'!$A:$A,0))="Max Ambition",Schedules!M$13,P42),P42)</f>
        <v>0</v>
      </c>
      <c r="R42" s="39">
        <f>IFERROR(IF(INDEX('State Map'!$C:$C,MATCH(TRIM('RZSPbS-psgr-ldv'!$A42),'State Map'!$A:$A,0))="Max Ambition",Schedules!N$13,Q42),Q42)</f>
        <v>0</v>
      </c>
      <c r="S42" s="39">
        <f>IFERROR(IF(INDEX('State Map'!$C:$C,MATCH(TRIM('RZSPbS-psgr-ldv'!$A42),'State Map'!$A:$A,0))="Max Ambition",Schedules!O$13,R42),R42)</f>
        <v>0</v>
      </c>
      <c r="T42" s="39">
        <f>IFERROR(IF(INDEX('State Map'!$C:$C,MATCH(TRIM('RZSPbS-psgr-ldv'!$A42),'State Map'!$A:$A,0))="Max Ambition",Schedules!P$13,S42),S42)</f>
        <v>0</v>
      </c>
      <c r="U42" s="39">
        <f>IFERROR(IF(INDEX('State Map'!$C:$C,MATCH(TRIM('RZSPbS-psgr-ldv'!$A42),'State Map'!$A:$A,0))="Max Ambition",Schedules!Q$13,T42),T42)</f>
        <v>0</v>
      </c>
      <c r="V42" s="39">
        <f>IFERROR(IF(INDEX('State Map'!$C:$C,MATCH(TRIM('RZSPbS-psgr-ldv'!$A42),'State Map'!$A:$A,0))="Max Ambition",Schedules!R$13,U42),U42)</f>
        <v>0</v>
      </c>
      <c r="W42" s="39">
        <f>IFERROR(IF(INDEX('State Map'!$C:$C,MATCH(TRIM('RZSPbS-psgr-ldv'!$A42),'State Map'!$A:$A,0))="Max Ambition",Schedules!S$13,V42),V42)</f>
        <v>0</v>
      </c>
      <c r="X42" s="39">
        <f>IFERROR(IF(INDEX('State Map'!$C:$C,MATCH(TRIM('RZSPbS-psgr-ldv'!$A42),'State Map'!$A:$A,0))="Max Ambition",Schedules!T$13,W42),W42)</f>
        <v>0</v>
      </c>
      <c r="Y42" s="39">
        <f>IFERROR(IF(INDEX('State Map'!$C:$C,MATCH(TRIM('RZSPbS-psgr-ldv'!$A42),'State Map'!$A:$A,0))="Max Ambition",Schedules!U$13,X42),X42)</f>
        <v>0</v>
      </c>
      <c r="Z42" s="39">
        <f>IFERROR(IF(INDEX('State Map'!$C:$C,MATCH(TRIM('RZSPbS-psgr-ldv'!$A42),'State Map'!$A:$A,0))="Max Ambition",Schedules!V$13,Y42),Y42)</f>
        <v>0</v>
      </c>
      <c r="AA42" s="39">
        <f>IFERROR(IF(INDEX('State Map'!$C:$C,MATCH(TRIM('RZSPbS-psgr-ldv'!$A42),'State Map'!$A:$A,0))="Max Ambition",Schedules!W$13,Z42),Z42)</f>
        <v>0</v>
      </c>
      <c r="AB42" s="39">
        <f>IFERROR(IF(INDEX('State Map'!$C:$C,MATCH(TRIM('RZSPbS-psgr-ldv'!$A42),'State Map'!$A:$A,0))="Max Ambition",Schedules!X$13,AA42),AA42)</f>
        <v>0</v>
      </c>
      <c r="AC42" s="39">
        <f>IFERROR(IF(INDEX('State Map'!$C:$C,MATCH(TRIM('RZSPbS-psgr-ldv'!$A42),'State Map'!$A:$A,0))="Max Ambition",Schedules!Y$13,AB42),AB42)</f>
        <v>0</v>
      </c>
      <c r="AD42" s="39">
        <f>IFERROR(IF(INDEX('State Map'!$C:$C,MATCH(TRIM('RZSPbS-psgr-ldv'!$A42),'State Map'!$A:$A,0))="Max Ambition",Schedules!Z$13,AC42),AC42)</f>
        <v>0</v>
      </c>
      <c r="AE42" s="39">
        <f>IFERROR(IF(INDEX('State Map'!$C:$C,MATCH(TRIM('RZSPbS-psgr-ldv'!$A42),'State Map'!$A:$A,0))="Max Ambition",Schedules!AA$13,AD42),AD42)</f>
        <v>0</v>
      </c>
      <c r="AF42" s="39">
        <f>IFERROR(IF(INDEX('State Map'!$C:$C,MATCH(TRIM('RZSPbS-psgr-ldv'!$A42),'State Map'!$A:$A,0))="Max Ambition",Schedules!AB$13,AE42),AE42)</f>
        <v>0</v>
      </c>
    </row>
    <row r="43" spans="1:32" x14ac:dyDescent="0.2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39">
        <f>IFERROR(IF(INDEX('State Map'!$C:$C,MATCH(TRIM('RZSPbS-psgr-ldv'!$A43),'State Map'!$A:$A,0))="Max Ambition",Schedules!G$13,J43),J43)</f>
        <v>0</v>
      </c>
      <c r="L43" s="39">
        <f>IFERROR(IF(INDEX('State Map'!$C:$C,MATCH(TRIM('RZSPbS-psgr-ldv'!$A43),'State Map'!$A:$A,0))="Max Ambition",Schedules!H$13,K43),K43)</f>
        <v>0</v>
      </c>
      <c r="M43" s="39">
        <f>IFERROR(IF(INDEX('State Map'!$C:$C,MATCH(TRIM('RZSPbS-psgr-ldv'!$A43),'State Map'!$A:$A,0))="Max Ambition",Schedules!I$13,L43),L43)</f>
        <v>0</v>
      </c>
      <c r="N43" s="39">
        <f>IFERROR(IF(INDEX('State Map'!$C:$C,MATCH(TRIM('RZSPbS-psgr-ldv'!$A43),'State Map'!$A:$A,0))="Max Ambition",Schedules!J$13,M43),M43)</f>
        <v>0</v>
      </c>
      <c r="O43" s="39">
        <f>IFERROR(IF(INDEX('State Map'!$C:$C,MATCH(TRIM('RZSPbS-psgr-ldv'!$A43),'State Map'!$A:$A,0))="Max Ambition",Schedules!K$13,N43),N43)</f>
        <v>0</v>
      </c>
      <c r="P43" s="39">
        <f>IFERROR(IF(INDEX('State Map'!$C:$C,MATCH(TRIM('RZSPbS-psgr-ldv'!$A43),'State Map'!$A:$A,0))="Max Ambition",Schedules!L$13,O43),O43)</f>
        <v>0</v>
      </c>
      <c r="Q43" s="39">
        <f>IFERROR(IF(INDEX('State Map'!$C:$C,MATCH(TRIM('RZSPbS-psgr-ldv'!$A43),'State Map'!$A:$A,0))="Max Ambition",Schedules!M$13,P43),P43)</f>
        <v>0</v>
      </c>
      <c r="R43" s="39">
        <f>IFERROR(IF(INDEX('State Map'!$C:$C,MATCH(TRIM('RZSPbS-psgr-ldv'!$A43),'State Map'!$A:$A,0))="Max Ambition",Schedules!N$13,Q43),Q43)</f>
        <v>0</v>
      </c>
      <c r="S43" s="39">
        <f>IFERROR(IF(INDEX('State Map'!$C:$C,MATCH(TRIM('RZSPbS-psgr-ldv'!$A43),'State Map'!$A:$A,0))="Max Ambition",Schedules!O$13,R43),R43)</f>
        <v>0</v>
      </c>
      <c r="T43" s="39">
        <f>IFERROR(IF(INDEX('State Map'!$C:$C,MATCH(TRIM('RZSPbS-psgr-ldv'!$A43),'State Map'!$A:$A,0))="Max Ambition",Schedules!P$13,S43),S43)</f>
        <v>0</v>
      </c>
      <c r="U43" s="39">
        <f>IFERROR(IF(INDEX('State Map'!$C:$C,MATCH(TRIM('RZSPbS-psgr-ldv'!$A43),'State Map'!$A:$A,0))="Max Ambition",Schedules!Q$13,T43),T43)</f>
        <v>0</v>
      </c>
      <c r="V43" s="39">
        <f>IFERROR(IF(INDEX('State Map'!$C:$C,MATCH(TRIM('RZSPbS-psgr-ldv'!$A43),'State Map'!$A:$A,0))="Max Ambition",Schedules!R$13,U43),U43)</f>
        <v>0</v>
      </c>
      <c r="W43" s="39">
        <f>IFERROR(IF(INDEX('State Map'!$C:$C,MATCH(TRIM('RZSPbS-psgr-ldv'!$A43),'State Map'!$A:$A,0))="Max Ambition",Schedules!S$13,V43),V43)</f>
        <v>0</v>
      </c>
      <c r="X43" s="39">
        <f>IFERROR(IF(INDEX('State Map'!$C:$C,MATCH(TRIM('RZSPbS-psgr-ldv'!$A43),'State Map'!$A:$A,0))="Max Ambition",Schedules!T$13,W43),W43)</f>
        <v>0</v>
      </c>
      <c r="Y43" s="39">
        <f>IFERROR(IF(INDEX('State Map'!$C:$C,MATCH(TRIM('RZSPbS-psgr-ldv'!$A43),'State Map'!$A:$A,0))="Max Ambition",Schedules!U$13,X43),X43)</f>
        <v>0</v>
      </c>
      <c r="Z43" s="39">
        <f>IFERROR(IF(INDEX('State Map'!$C:$C,MATCH(TRIM('RZSPbS-psgr-ldv'!$A43),'State Map'!$A:$A,0))="Max Ambition",Schedules!V$13,Y43),Y43)</f>
        <v>0</v>
      </c>
      <c r="AA43" s="39">
        <f>IFERROR(IF(INDEX('State Map'!$C:$C,MATCH(TRIM('RZSPbS-psgr-ldv'!$A43),'State Map'!$A:$A,0))="Max Ambition",Schedules!W$13,Z43),Z43)</f>
        <v>0</v>
      </c>
      <c r="AB43" s="39">
        <f>IFERROR(IF(INDEX('State Map'!$C:$C,MATCH(TRIM('RZSPbS-psgr-ldv'!$A43),'State Map'!$A:$A,0))="Max Ambition",Schedules!X$13,AA43),AA43)</f>
        <v>0</v>
      </c>
      <c r="AC43" s="39">
        <f>IFERROR(IF(INDEX('State Map'!$C:$C,MATCH(TRIM('RZSPbS-psgr-ldv'!$A43),'State Map'!$A:$A,0))="Max Ambition",Schedules!Y$13,AB43),AB43)</f>
        <v>0</v>
      </c>
      <c r="AD43" s="39">
        <f>IFERROR(IF(INDEX('State Map'!$C:$C,MATCH(TRIM('RZSPbS-psgr-ldv'!$A43),'State Map'!$A:$A,0))="Max Ambition",Schedules!Z$13,AC43),AC43)</f>
        <v>0</v>
      </c>
      <c r="AE43" s="39">
        <f>IFERROR(IF(INDEX('State Map'!$C:$C,MATCH(TRIM('RZSPbS-psgr-ldv'!$A43),'State Map'!$A:$A,0))="Max Ambition",Schedules!AA$13,AD43),AD43)</f>
        <v>0</v>
      </c>
      <c r="AF43" s="39">
        <f>IFERROR(IF(INDEX('State Map'!$C:$C,MATCH(TRIM('RZSPbS-psgr-ldv'!$A43),'State Map'!$A:$A,0))="Max Ambition",Schedules!AB$13,AE43),AE43)</f>
        <v>0</v>
      </c>
    </row>
    <row r="44" spans="1:32" x14ac:dyDescent="0.25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39">
        <f>IFERROR(IF(INDEX('State Map'!$C:$C,MATCH(TRIM('RZSPbS-psgr-ldv'!$A44),'State Map'!$A:$A,0))="Max Ambition",Schedules!G$13,J44),J44)</f>
        <v>0</v>
      </c>
      <c r="L44" s="39">
        <f>IFERROR(IF(INDEX('State Map'!$C:$C,MATCH(TRIM('RZSPbS-psgr-ldv'!$A44),'State Map'!$A:$A,0))="Max Ambition",Schedules!H$13,K44),K44)</f>
        <v>0</v>
      </c>
      <c r="M44" s="39">
        <f>IFERROR(IF(INDEX('State Map'!$C:$C,MATCH(TRIM('RZSPbS-psgr-ldv'!$A44),'State Map'!$A:$A,0))="Max Ambition",Schedules!I$13,L44),L44)</f>
        <v>0</v>
      </c>
      <c r="N44" s="39">
        <f>IFERROR(IF(INDEX('State Map'!$C:$C,MATCH(TRIM('RZSPbS-psgr-ldv'!$A44),'State Map'!$A:$A,0))="Max Ambition",Schedules!J$13,M44),M44)</f>
        <v>0</v>
      </c>
      <c r="O44" s="39">
        <f>IFERROR(IF(INDEX('State Map'!$C:$C,MATCH(TRIM('RZSPbS-psgr-ldv'!$A44),'State Map'!$A:$A,0))="Max Ambition",Schedules!K$13,N44),N44)</f>
        <v>0</v>
      </c>
      <c r="P44" s="39">
        <f>IFERROR(IF(INDEX('State Map'!$C:$C,MATCH(TRIM('RZSPbS-psgr-ldv'!$A44),'State Map'!$A:$A,0))="Max Ambition",Schedules!L$13,O44),O44)</f>
        <v>0</v>
      </c>
      <c r="Q44" s="39">
        <f>IFERROR(IF(INDEX('State Map'!$C:$C,MATCH(TRIM('RZSPbS-psgr-ldv'!$A44),'State Map'!$A:$A,0))="Max Ambition",Schedules!M$13,P44),P44)</f>
        <v>0</v>
      </c>
      <c r="R44" s="39">
        <f>IFERROR(IF(INDEX('State Map'!$C:$C,MATCH(TRIM('RZSPbS-psgr-ldv'!$A44),'State Map'!$A:$A,0))="Max Ambition",Schedules!N$13,Q44),Q44)</f>
        <v>0</v>
      </c>
      <c r="S44" s="39">
        <f>IFERROR(IF(INDEX('State Map'!$C:$C,MATCH(TRIM('RZSPbS-psgr-ldv'!$A44),'State Map'!$A:$A,0))="Max Ambition",Schedules!O$13,R44),R44)</f>
        <v>0</v>
      </c>
      <c r="T44" s="39">
        <f>IFERROR(IF(INDEX('State Map'!$C:$C,MATCH(TRIM('RZSPbS-psgr-ldv'!$A44),'State Map'!$A:$A,0))="Max Ambition",Schedules!P$13,S44),S44)</f>
        <v>0</v>
      </c>
      <c r="U44" s="39">
        <f>IFERROR(IF(INDEX('State Map'!$C:$C,MATCH(TRIM('RZSPbS-psgr-ldv'!$A44),'State Map'!$A:$A,0))="Max Ambition",Schedules!Q$13,T44),T44)</f>
        <v>0</v>
      </c>
      <c r="V44" s="39">
        <f>IFERROR(IF(INDEX('State Map'!$C:$C,MATCH(TRIM('RZSPbS-psgr-ldv'!$A44),'State Map'!$A:$A,0))="Max Ambition",Schedules!R$13,U44),U44)</f>
        <v>0</v>
      </c>
      <c r="W44" s="39">
        <f>IFERROR(IF(INDEX('State Map'!$C:$C,MATCH(TRIM('RZSPbS-psgr-ldv'!$A44),'State Map'!$A:$A,0))="Max Ambition",Schedules!S$13,V44),V44)</f>
        <v>0</v>
      </c>
      <c r="X44" s="39">
        <f>IFERROR(IF(INDEX('State Map'!$C:$C,MATCH(TRIM('RZSPbS-psgr-ldv'!$A44),'State Map'!$A:$A,0))="Max Ambition",Schedules!T$13,W44),W44)</f>
        <v>0</v>
      </c>
      <c r="Y44" s="39">
        <f>IFERROR(IF(INDEX('State Map'!$C:$C,MATCH(TRIM('RZSPbS-psgr-ldv'!$A44),'State Map'!$A:$A,0))="Max Ambition",Schedules!U$13,X44),X44)</f>
        <v>0</v>
      </c>
      <c r="Z44" s="39">
        <f>IFERROR(IF(INDEX('State Map'!$C:$C,MATCH(TRIM('RZSPbS-psgr-ldv'!$A44),'State Map'!$A:$A,0))="Max Ambition",Schedules!V$13,Y44),Y44)</f>
        <v>0</v>
      </c>
      <c r="AA44" s="39">
        <f>IFERROR(IF(INDEX('State Map'!$C:$C,MATCH(TRIM('RZSPbS-psgr-ldv'!$A44),'State Map'!$A:$A,0))="Max Ambition",Schedules!W$13,Z44),Z44)</f>
        <v>0</v>
      </c>
      <c r="AB44" s="39">
        <f>IFERROR(IF(INDEX('State Map'!$C:$C,MATCH(TRIM('RZSPbS-psgr-ldv'!$A44),'State Map'!$A:$A,0))="Max Ambition",Schedules!X$13,AA44),AA44)</f>
        <v>0</v>
      </c>
      <c r="AC44" s="39">
        <f>IFERROR(IF(INDEX('State Map'!$C:$C,MATCH(TRIM('RZSPbS-psgr-ldv'!$A44),'State Map'!$A:$A,0))="Max Ambition",Schedules!Y$13,AB44),AB44)</f>
        <v>0</v>
      </c>
      <c r="AD44" s="39">
        <f>IFERROR(IF(INDEX('State Map'!$C:$C,MATCH(TRIM('RZSPbS-psgr-ldv'!$A44),'State Map'!$A:$A,0))="Max Ambition",Schedules!Z$13,AC44),AC44)</f>
        <v>0</v>
      </c>
      <c r="AE44" s="39">
        <f>IFERROR(IF(INDEX('State Map'!$C:$C,MATCH(TRIM('RZSPbS-psgr-ldv'!$A44),'State Map'!$A:$A,0))="Max Ambition",Schedules!AA$13,AD44),AD44)</f>
        <v>0</v>
      </c>
      <c r="AF44" s="39">
        <f>IFERROR(IF(INDEX('State Map'!$C:$C,MATCH(TRIM('RZSPbS-psgr-ldv'!$A44),'State Map'!$A:$A,0))="Max Ambition",Schedules!AB$13,AE44),AE44)</f>
        <v>0</v>
      </c>
    </row>
    <row r="45" spans="1:32" x14ac:dyDescent="0.2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39">
        <f>IFERROR(IF(INDEX('State Map'!$C:$C,MATCH(TRIM('RZSPbS-psgr-ldv'!$A45),'State Map'!$A:$A,0))="Max Ambition",Schedules!G$13,J45),J45)</f>
        <v>0</v>
      </c>
      <c r="L45" s="39">
        <f>IFERROR(IF(INDEX('State Map'!$C:$C,MATCH(TRIM('RZSPbS-psgr-ldv'!$A45),'State Map'!$A:$A,0))="Max Ambition",Schedules!H$13,K45),K45)</f>
        <v>0</v>
      </c>
      <c r="M45" s="39">
        <f>IFERROR(IF(INDEX('State Map'!$C:$C,MATCH(TRIM('RZSPbS-psgr-ldv'!$A45),'State Map'!$A:$A,0))="Max Ambition",Schedules!I$13,L45),L45)</f>
        <v>0</v>
      </c>
      <c r="N45" s="39">
        <f>IFERROR(IF(INDEX('State Map'!$C:$C,MATCH(TRIM('RZSPbS-psgr-ldv'!$A45),'State Map'!$A:$A,0))="Max Ambition",Schedules!J$13,M45),M45)</f>
        <v>0</v>
      </c>
      <c r="O45" s="39">
        <f>IFERROR(IF(INDEX('State Map'!$C:$C,MATCH(TRIM('RZSPbS-psgr-ldv'!$A45),'State Map'!$A:$A,0))="Max Ambition",Schedules!K$13,N45),N45)</f>
        <v>0</v>
      </c>
      <c r="P45" s="39">
        <f>IFERROR(IF(INDEX('State Map'!$C:$C,MATCH(TRIM('RZSPbS-psgr-ldv'!$A45),'State Map'!$A:$A,0))="Max Ambition",Schedules!L$13,O45),O45)</f>
        <v>0</v>
      </c>
      <c r="Q45" s="39">
        <f>IFERROR(IF(INDEX('State Map'!$C:$C,MATCH(TRIM('RZSPbS-psgr-ldv'!$A45),'State Map'!$A:$A,0))="Max Ambition",Schedules!M$13,P45),P45)</f>
        <v>0</v>
      </c>
      <c r="R45" s="39">
        <f>IFERROR(IF(INDEX('State Map'!$C:$C,MATCH(TRIM('RZSPbS-psgr-ldv'!$A45),'State Map'!$A:$A,0))="Max Ambition",Schedules!N$13,Q45),Q45)</f>
        <v>0</v>
      </c>
      <c r="S45" s="39">
        <f>IFERROR(IF(INDEX('State Map'!$C:$C,MATCH(TRIM('RZSPbS-psgr-ldv'!$A45),'State Map'!$A:$A,0))="Max Ambition",Schedules!O$13,R45),R45)</f>
        <v>0</v>
      </c>
      <c r="T45" s="39">
        <f>IFERROR(IF(INDEX('State Map'!$C:$C,MATCH(TRIM('RZSPbS-psgr-ldv'!$A45),'State Map'!$A:$A,0))="Max Ambition",Schedules!P$13,S45),S45)</f>
        <v>0</v>
      </c>
      <c r="U45" s="39">
        <f>IFERROR(IF(INDEX('State Map'!$C:$C,MATCH(TRIM('RZSPbS-psgr-ldv'!$A45),'State Map'!$A:$A,0))="Max Ambition",Schedules!Q$13,T45),T45)</f>
        <v>0</v>
      </c>
      <c r="V45" s="39">
        <f>IFERROR(IF(INDEX('State Map'!$C:$C,MATCH(TRIM('RZSPbS-psgr-ldv'!$A45),'State Map'!$A:$A,0))="Max Ambition",Schedules!R$13,U45),U45)</f>
        <v>0</v>
      </c>
      <c r="W45" s="39">
        <f>IFERROR(IF(INDEX('State Map'!$C:$C,MATCH(TRIM('RZSPbS-psgr-ldv'!$A45),'State Map'!$A:$A,0))="Max Ambition",Schedules!S$13,V45),V45)</f>
        <v>0</v>
      </c>
      <c r="X45" s="39">
        <f>IFERROR(IF(INDEX('State Map'!$C:$C,MATCH(TRIM('RZSPbS-psgr-ldv'!$A45),'State Map'!$A:$A,0))="Max Ambition",Schedules!T$13,W45),W45)</f>
        <v>0</v>
      </c>
      <c r="Y45" s="39">
        <f>IFERROR(IF(INDEX('State Map'!$C:$C,MATCH(TRIM('RZSPbS-psgr-ldv'!$A45),'State Map'!$A:$A,0))="Max Ambition",Schedules!U$13,X45),X45)</f>
        <v>0</v>
      </c>
      <c r="Z45" s="39">
        <f>IFERROR(IF(INDEX('State Map'!$C:$C,MATCH(TRIM('RZSPbS-psgr-ldv'!$A45),'State Map'!$A:$A,0))="Max Ambition",Schedules!V$13,Y45),Y45)</f>
        <v>0</v>
      </c>
      <c r="AA45" s="39">
        <f>IFERROR(IF(INDEX('State Map'!$C:$C,MATCH(TRIM('RZSPbS-psgr-ldv'!$A45),'State Map'!$A:$A,0))="Max Ambition",Schedules!W$13,Z45),Z45)</f>
        <v>0</v>
      </c>
      <c r="AB45" s="39">
        <f>IFERROR(IF(INDEX('State Map'!$C:$C,MATCH(TRIM('RZSPbS-psgr-ldv'!$A45),'State Map'!$A:$A,0))="Max Ambition",Schedules!X$13,AA45),AA45)</f>
        <v>0</v>
      </c>
      <c r="AC45" s="39">
        <f>IFERROR(IF(INDEX('State Map'!$C:$C,MATCH(TRIM('RZSPbS-psgr-ldv'!$A45),'State Map'!$A:$A,0))="Max Ambition",Schedules!Y$13,AB45),AB45)</f>
        <v>0</v>
      </c>
      <c r="AD45" s="39">
        <f>IFERROR(IF(INDEX('State Map'!$C:$C,MATCH(TRIM('RZSPbS-psgr-ldv'!$A45),'State Map'!$A:$A,0))="Max Ambition",Schedules!Z$13,AC45),AC45)</f>
        <v>0</v>
      </c>
      <c r="AE45" s="39">
        <f>IFERROR(IF(INDEX('State Map'!$C:$C,MATCH(TRIM('RZSPbS-psgr-ldv'!$A45),'State Map'!$A:$A,0))="Max Ambition",Schedules!AA$13,AD45),AD45)</f>
        <v>0</v>
      </c>
      <c r="AF45" s="39">
        <f>IFERROR(IF(INDEX('State Map'!$C:$C,MATCH(TRIM('RZSPbS-psgr-ldv'!$A45),'State Map'!$A:$A,0))="Max Ambition",Schedules!AB$13,AE45),AE45)</f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39">
        <f>IFERROR(IF(INDEX('State Map'!$C:$C,MATCH(TRIM('RZSPbS-psgr-ldv'!$A46),'State Map'!$A:$A,0))="Max Ambition",Schedules!G$13,J46),J46)</f>
        <v>0</v>
      </c>
      <c r="L46" s="39">
        <f>IFERROR(IF(INDEX('State Map'!$C:$C,MATCH(TRIM('RZSPbS-psgr-ldv'!$A46),'State Map'!$A:$A,0))="Max Ambition",Schedules!H$13,K46),K46)</f>
        <v>0</v>
      </c>
      <c r="M46" s="39">
        <f>IFERROR(IF(INDEX('State Map'!$C:$C,MATCH(TRIM('RZSPbS-psgr-ldv'!$A46),'State Map'!$A:$A,0))="Max Ambition",Schedules!I$13,L46),L46)</f>
        <v>0</v>
      </c>
      <c r="N46" s="39">
        <f>IFERROR(IF(INDEX('State Map'!$C:$C,MATCH(TRIM('RZSPbS-psgr-ldv'!$A46),'State Map'!$A:$A,0))="Max Ambition",Schedules!J$13,M46),M46)</f>
        <v>0</v>
      </c>
      <c r="O46" s="39">
        <f>IFERROR(IF(INDEX('State Map'!$C:$C,MATCH(TRIM('RZSPbS-psgr-ldv'!$A46),'State Map'!$A:$A,0))="Max Ambition",Schedules!K$13,N46),N46)</f>
        <v>0</v>
      </c>
      <c r="P46" s="39">
        <f>IFERROR(IF(INDEX('State Map'!$C:$C,MATCH(TRIM('RZSPbS-psgr-ldv'!$A46),'State Map'!$A:$A,0))="Max Ambition",Schedules!L$13,O46),O46)</f>
        <v>0</v>
      </c>
      <c r="Q46" s="39">
        <f>IFERROR(IF(INDEX('State Map'!$C:$C,MATCH(TRIM('RZSPbS-psgr-ldv'!$A46),'State Map'!$A:$A,0))="Max Ambition",Schedules!M$13,P46),P46)</f>
        <v>0</v>
      </c>
      <c r="R46" s="39">
        <f>IFERROR(IF(INDEX('State Map'!$C:$C,MATCH(TRIM('RZSPbS-psgr-ldv'!$A46),'State Map'!$A:$A,0))="Max Ambition",Schedules!N$13,Q46),Q46)</f>
        <v>0</v>
      </c>
      <c r="S46" s="39">
        <f>IFERROR(IF(INDEX('State Map'!$C:$C,MATCH(TRIM('RZSPbS-psgr-ldv'!$A46),'State Map'!$A:$A,0))="Max Ambition",Schedules!O$13,R46),R46)</f>
        <v>0</v>
      </c>
      <c r="T46" s="39">
        <f>IFERROR(IF(INDEX('State Map'!$C:$C,MATCH(TRIM('RZSPbS-psgr-ldv'!$A46),'State Map'!$A:$A,0))="Max Ambition",Schedules!P$13,S46),S46)</f>
        <v>0</v>
      </c>
      <c r="U46" s="39">
        <f>IFERROR(IF(INDEX('State Map'!$C:$C,MATCH(TRIM('RZSPbS-psgr-ldv'!$A46),'State Map'!$A:$A,0))="Max Ambition",Schedules!Q$13,T46),T46)</f>
        <v>0</v>
      </c>
      <c r="V46" s="39">
        <f>IFERROR(IF(INDEX('State Map'!$C:$C,MATCH(TRIM('RZSPbS-psgr-ldv'!$A46),'State Map'!$A:$A,0))="Max Ambition",Schedules!R$13,U46),U46)</f>
        <v>0</v>
      </c>
      <c r="W46" s="39">
        <f>IFERROR(IF(INDEX('State Map'!$C:$C,MATCH(TRIM('RZSPbS-psgr-ldv'!$A46),'State Map'!$A:$A,0))="Max Ambition",Schedules!S$13,V46),V46)</f>
        <v>0</v>
      </c>
      <c r="X46" s="39">
        <f>IFERROR(IF(INDEX('State Map'!$C:$C,MATCH(TRIM('RZSPbS-psgr-ldv'!$A46),'State Map'!$A:$A,0))="Max Ambition",Schedules!T$13,W46),W46)</f>
        <v>0</v>
      </c>
      <c r="Y46" s="39">
        <f>IFERROR(IF(INDEX('State Map'!$C:$C,MATCH(TRIM('RZSPbS-psgr-ldv'!$A46),'State Map'!$A:$A,0))="Max Ambition",Schedules!U$13,X46),X46)</f>
        <v>0</v>
      </c>
      <c r="Z46" s="39">
        <f>IFERROR(IF(INDEX('State Map'!$C:$C,MATCH(TRIM('RZSPbS-psgr-ldv'!$A46),'State Map'!$A:$A,0))="Max Ambition",Schedules!V$13,Y46),Y46)</f>
        <v>0</v>
      </c>
      <c r="AA46" s="39">
        <f>IFERROR(IF(INDEX('State Map'!$C:$C,MATCH(TRIM('RZSPbS-psgr-ldv'!$A46),'State Map'!$A:$A,0))="Max Ambition",Schedules!W$13,Z46),Z46)</f>
        <v>0</v>
      </c>
      <c r="AB46" s="39">
        <f>IFERROR(IF(INDEX('State Map'!$C:$C,MATCH(TRIM('RZSPbS-psgr-ldv'!$A46),'State Map'!$A:$A,0))="Max Ambition",Schedules!X$13,AA46),AA46)</f>
        <v>0</v>
      </c>
      <c r="AC46" s="39">
        <f>IFERROR(IF(INDEX('State Map'!$C:$C,MATCH(TRIM('RZSPbS-psgr-ldv'!$A46),'State Map'!$A:$A,0))="Max Ambition",Schedules!Y$13,AB46),AB46)</f>
        <v>0</v>
      </c>
      <c r="AD46" s="39">
        <f>IFERROR(IF(INDEX('State Map'!$C:$C,MATCH(TRIM('RZSPbS-psgr-ldv'!$A46),'State Map'!$A:$A,0))="Max Ambition",Schedules!Z$13,AC46),AC46)</f>
        <v>0</v>
      </c>
      <c r="AE46" s="39">
        <f>IFERROR(IF(INDEX('State Map'!$C:$C,MATCH(TRIM('RZSPbS-psgr-ldv'!$A46),'State Map'!$A:$A,0))="Max Ambition",Schedules!AA$13,AD46),AD46)</f>
        <v>0</v>
      </c>
      <c r="AF46" s="39">
        <f>IFERROR(IF(INDEX('State Map'!$C:$C,MATCH(TRIM('RZSPbS-psgr-ldv'!$A46),'State Map'!$A:$A,0))="Max Ambition",Schedules!AB$13,AE46),AE46)</f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39">
        <f>IFERROR(IF(INDEX('State Map'!$C:$C,MATCH(TRIM('RZSPbS-psgr-ldv'!$A47),'State Map'!$A:$A,0))="Max Ambition",Schedules!G$13,J47),J47)</f>
        <v>2.5999999999999999E-2</v>
      </c>
      <c r="L47" s="39">
        <f>IFERROR(IF(INDEX('State Map'!$C:$C,MATCH(TRIM('RZSPbS-psgr-ldv'!$A47),'State Map'!$A:$A,0))="Max Ambition",Schedules!H$13,K47),K47)</f>
        <v>0.03</v>
      </c>
      <c r="M47" s="39">
        <f>IFERROR(IF(INDEX('State Map'!$C:$C,MATCH(TRIM('RZSPbS-psgr-ldv'!$A47),'State Map'!$A:$A,0))="Max Ambition",Schedules!I$13,L47),L47)</f>
        <v>3.4000000000000002E-2</v>
      </c>
      <c r="N47" s="39">
        <f>IFERROR(IF(INDEX('State Map'!$C:$C,MATCH(TRIM('RZSPbS-psgr-ldv'!$A47),'State Map'!$A:$A,0))="Max Ambition",Schedules!J$13,M47),M47)</f>
        <v>0.05</v>
      </c>
      <c r="O47" s="39">
        <f>IFERROR(IF(INDEX('State Map'!$C:$C,MATCH(TRIM('RZSPbS-psgr-ldv'!$A47),'State Map'!$A:$A,0))="Max Ambition",Schedules!K$13,N47),N47)</f>
        <v>7.0000000000000007E-2</v>
      </c>
      <c r="P47" s="39">
        <f>IFERROR(IF(INDEX('State Map'!$C:$C,MATCH(TRIM('RZSPbS-psgr-ldv'!$A47),'State Map'!$A:$A,0))="Max Ambition",Schedules!L$13,O47),O47)</f>
        <v>0.1</v>
      </c>
      <c r="Q47" s="39">
        <f>IFERROR(IF(INDEX('State Map'!$C:$C,MATCH(TRIM('RZSPbS-psgr-ldv'!$A47),'State Map'!$A:$A,0))="Max Ambition",Schedules!M$13,P47),P47)</f>
        <v>0.15</v>
      </c>
      <c r="R47" s="39">
        <f>IFERROR(IF(INDEX('State Map'!$C:$C,MATCH(TRIM('RZSPbS-psgr-ldv'!$A47),'State Map'!$A:$A,0))="Max Ambition",Schedules!N$13,Q47),Q47)</f>
        <v>0.2</v>
      </c>
      <c r="S47" s="39">
        <f>IFERROR(IF(INDEX('State Map'!$C:$C,MATCH(TRIM('RZSPbS-psgr-ldv'!$A47),'State Map'!$A:$A,0))="Max Ambition",Schedules!O$13,R47),R47)</f>
        <v>0.25</v>
      </c>
      <c r="T47" s="39">
        <f>IFERROR(IF(INDEX('State Map'!$C:$C,MATCH(TRIM('RZSPbS-psgr-ldv'!$A47),'State Map'!$A:$A,0))="Max Ambition",Schedules!P$13,S47),S47)</f>
        <v>0.3</v>
      </c>
      <c r="U47" s="39">
        <f>IFERROR(IF(INDEX('State Map'!$C:$C,MATCH(TRIM('RZSPbS-psgr-ldv'!$A47),'State Map'!$A:$A,0))="Max Ambition",Schedules!Q$13,T47),T47)</f>
        <v>0.35</v>
      </c>
      <c r="V47" s="39">
        <f>IFERROR(IF(INDEX('State Map'!$C:$C,MATCH(TRIM('RZSPbS-psgr-ldv'!$A47),'State Map'!$A:$A,0))="Max Ambition",Schedules!R$13,U47),U47)</f>
        <v>0.4</v>
      </c>
      <c r="W47" s="39">
        <f>IFERROR(IF(INDEX('State Map'!$C:$C,MATCH(TRIM('RZSPbS-psgr-ldv'!$A47),'State Map'!$A:$A,0))="Max Ambition",Schedules!S$13,V47),V47)</f>
        <v>0.4</v>
      </c>
      <c r="X47" s="39">
        <f>IFERROR(IF(INDEX('State Map'!$C:$C,MATCH(TRIM('RZSPbS-psgr-ldv'!$A47),'State Map'!$A:$A,0))="Max Ambition",Schedules!T$13,W47),W47)</f>
        <v>0.4</v>
      </c>
      <c r="Y47" s="39">
        <f>IFERROR(IF(INDEX('State Map'!$C:$C,MATCH(TRIM('RZSPbS-psgr-ldv'!$A47),'State Map'!$A:$A,0))="Max Ambition",Schedules!U$13,X47),X47)</f>
        <v>0.4</v>
      </c>
      <c r="Z47" s="39">
        <f>IFERROR(IF(INDEX('State Map'!$C:$C,MATCH(TRIM('RZSPbS-psgr-ldv'!$A47),'State Map'!$A:$A,0))="Max Ambition",Schedules!V$13,Y47),Y47)</f>
        <v>0.45700000000000002</v>
      </c>
      <c r="AA47" s="39">
        <f>IFERROR(IF(INDEX('State Map'!$C:$C,MATCH(TRIM('RZSPbS-psgr-ldv'!$A47),'State Map'!$A:$A,0))="Max Ambition",Schedules!W$13,Z47),Z47)</f>
        <v>0.51400000000000001</v>
      </c>
      <c r="AB47" s="39">
        <f>IFERROR(IF(INDEX('State Map'!$C:$C,MATCH(TRIM('RZSPbS-psgr-ldv'!$A47),'State Map'!$A:$A,0))="Max Ambition",Schedules!X$13,AA47),AA47)</f>
        <v>0.57099999999999995</v>
      </c>
      <c r="AC47" s="39">
        <f>IFERROR(IF(INDEX('State Map'!$C:$C,MATCH(TRIM('RZSPbS-psgr-ldv'!$A47),'State Map'!$A:$A,0))="Max Ambition",Schedules!Y$13,AB47),AB47)</f>
        <v>0.628</v>
      </c>
      <c r="AD47" s="39">
        <f>IFERROR(IF(INDEX('State Map'!$C:$C,MATCH(TRIM('RZSPbS-psgr-ldv'!$A47),'State Map'!$A:$A,0))="Max Ambition",Schedules!Z$13,AC47),AC47)</f>
        <v>0.68500000000000005</v>
      </c>
      <c r="AE47" s="39">
        <f>IFERROR(IF(INDEX('State Map'!$C:$C,MATCH(TRIM('RZSPbS-psgr-ldv'!$A47),'State Map'!$A:$A,0))="Max Ambition",Schedules!AA$13,AD47),AD47)</f>
        <v>0.74199999999999999</v>
      </c>
      <c r="AF47" s="39">
        <f>IFERROR(IF(INDEX('State Map'!$C:$C,MATCH(TRIM('RZSPbS-psgr-ldv'!$A47),'State Map'!$A:$A,0))="Max Ambition",Schedules!AB$13,AE47),AE47)</f>
        <v>0.8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39">
        <f>IFERROR(IF(INDEX('State Map'!$C:$C,MATCH(TRIM('RZSPbS-psgr-ldv'!$A48),'State Map'!$A:$A,0))="Max Ambition",Schedules!G$13,J48),J48)</f>
        <v>0</v>
      </c>
      <c r="L48" s="39">
        <f>IFERROR(IF(INDEX('State Map'!$C:$C,MATCH(TRIM('RZSPbS-psgr-ldv'!$A48),'State Map'!$A:$A,0))="Max Ambition",Schedules!H$13,K48),K48)</f>
        <v>0</v>
      </c>
      <c r="M48" s="39">
        <f>IFERROR(IF(INDEX('State Map'!$C:$C,MATCH(TRIM('RZSPbS-psgr-ldv'!$A48),'State Map'!$A:$A,0))="Max Ambition",Schedules!I$13,L48),L48)</f>
        <v>0</v>
      </c>
      <c r="N48" s="39">
        <f>IFERROR(IF(INDEX('State Map'!$C:$C,MATCH(TRIM('RZSPbS-psgr-ldv'!$A48),'State Map'!$A:$A,0))="Max Ambition",Schedules!J$13,M48),M48)</f>
        <v>0</v>
      </c>
      <c r="O48" s="39">
        <f>IFERROR(IF(INDEX('State Map'!$C:$C,MATCH(TRIM('RZSPbS-psgr-ldv'!$A48),'State Map'!$A:$A,0))="Max Ambition",Schedules!K$13,N48),N48)</f>
        <v>0</v>
      </c>
      <c r="P48" s="39">
        <f>IFERROR(IF(INDEX('State Map'!$C:$C,MATCH(TRIM('RZSPbS-psgr-ldv'!$A48),'State Map'!$A:$A,0))="Max Ambition",Schedules!L$13,O48),O48)</f>
        <v>0</v>
      </c>
      <c r="Q48" s="39">
        <f>IFERROR(IF(INDEX('State Map'!$C:$C,MATCH(TRIM('RZSPbS-psgr-ldv'!$A48),'State Map'!$A:$A,0))="Max Ambition",Schedules!M$13,P48),P48)</f>
        <v>0</v>
      </c>
      <c r="R48" s="39">
        <f>IFERROR(IF(INDEX('State Map'!$C:$C,MATCH(TRIM('RZSPbS-psgr-ldv'!$A48),'State Map'!$A:$A,0))="Max Ambition",Schedules!N$13,Q48),Q48)</f>
        <v>0</v>
      </c>
      <c r="S48" s="39">
        <f>IFERROR(IF(INDEX('State Map'!$C:$C,MATCH(TRIM('RZSPbS-psgr-ldv'!$A48),'State Map'!$A:$A,0))="Max Ambition",Schedules!O$13,R48),R48)</f>
        <v>0</v>
      </c>
      <c r="T48" s="39">
        <f>IFERROR(IF(INDEX('State Map'!$C:$C,MATCH(TRIM('RZSPbS-psgr-ldv'!$A48),'State Map'!$A:$A,0))="Max Ambition",Schedules!P$13,S48),S48)</f>
        <v>0</v>
      </c>
      <c r="U48" s="39">
        <f>IFERROR(IF(INDEX('State Map'!$C:$C,MATCH(TRIM('RZSPbS-psgr-ldv'!$A48),'State Map'!$A:$A,0))="Max Ambition",Schedules!Q$13,T48),T48)</f>
        <v>0</v>
      </c>
      <c r="V48" s="39">
        <f>IFERROR(IF(INDEX('State Map'!$C:$C,MATCH(TRIM('RZSPbS-psgr-ldv'!$A48),'State Map'!$A:$A,0))="Max Ambition",Schedules!R$13,U48),U48)</f>
        <v>0</v>
      </c>
      <c r="W48" s="39">
        <f>IFERROR(IF(INDEX('State Map'!$C:$C,MATCH(TRIM('RZSPbS-psgr-ldv'!$A48),'State Map'!$A:$A,0))="Max Ambition",Schedules!S$13,V48),V48)</f>
        <v>0</v>
      </c>
      <c r="X48" s="39">
        <f>IFERROR(IF(INDEX('State Map'!$C:$C,MATCH(TRIM('RZSPbS-psgr-ldv'!$A48),'State Map'!$A:$A,0))="Max Ambition",Schedules!T$13,W48),W48)</f>
        <v>0</v>
      </c>
      <c r="Y48" s="39">
        <f>IFERROR(IF(INDEX('State Map'!$C:$C,MATCH(TRIM('RZSPbS-psgr-ldv'!$A48),'State Map'!$A:$A,0))="Max Ambition",Schedules!U$13,X48),X48)</f>
        <v>0</v>
      </c>
      <c r="Z48" s="39">
        <f>IFERROR(IF(INDEX('State Map'!$C:$C,MATCH(TRIM('RZSPbS-psgr-ldv'!$A48),'State Map'!$A:$A,0))="Max Ambition",Schedules!V$13,Y48),Y48)</f>
        <v>0</v>
      </c>
      <c r="AA48" s="39">
        <f>IFERROR(IF(INDEX('State Map'!$C:$C,MATCH(TRIM('RZSPbS-psgr-ldv'!$A48),'State Map'!$A:$A,0))="Max Ambition",Schedules!W$13,Z48),Z48)</f>
        <v>0</v>
      </c>
      <c r="AB48" s="39">
        <f>IFERROR(IF(INDEX('State Map'!$C:$C,MATCH(TRIM('RZSPbS-psgr-ldv'!$A48),'State Map'!$A:$A,0))="Max Ambition",Schedules!X$13,AA48),AA48)</f>
        <v>0</v>
      </c>
      <c r="AC48" s="39">
        <f>IFERROR(IF(INDEX('State Map'!$C:$C,MATCH(TRIM('RZSPbS-psgr-ldv'!$A48),'State Map'!$A:$A,0))="Max Ambition",Schedules!Y$13,AB48),AB48)</f>
        <v>0</v>
      </c>
      <c r="AD48" s="39">
        <f>IFERROR(IF(INDEX('State Map'!$C:$C,MATCH(TRIM('RZSPbS-psgr-ldv'!$A48),'State Map'!$A:$A,0))="Max Ambition",Schedules!Z$13,AC48),AC48)</f>
        <v>0</v>
      </c>
      <c r="AE48" s="39">
        <f>IFERROR(IF(INDEX('State Map'!$C:$C,MATCH(TRIM('RZSPbS-psgr-ldv'!$A48),'State Map'!$A:$A,0))="Max Ambition",Schedules!AA$13,AD48),AD48)</f>
        <v>0</v>
      </c>
      <c r="AF48" s="39">
        <f>IFERROR(IF(INDEX('State Map'!$C:$C,MATCH(TRIM('RZSPbS-psgr-ldv'!$A48),'State Map'!$A:$A,0))="Max Ambition",Schedules!AB$13,AE48),AE48)</f>
        <v>0</v>
      </c>
    </row>
    <row r="49" spans="1:32" x14ac:dyDescent="0.25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39">
        <f>IFERROR(IF(INDEX('State Map'!$C:$C,MATCH(TRIM('RZSPbS-psgr-ldv'!$A49),'State Map'!$A:$A,0))="Max Ambition",Schedules!G$13,J49),J49)</f>
        <v>2.5999999999999999E-2</v>
      </c>
      <c r="L49" s="39">
        <f>IFERROR(IF(INDEX('State Map'!$C:$C,MATCH(TRIM('RZSPbS-psgr-ldv'!$A49),'State Map'!$A:$A,0))="Max Ambition",Schedules!H$13,K49),K49)</f>
        <v>0.03</v>
      </c>
      <c r="M49" s="39">
        <f>IFERROR(IF(INDEX('State Map'!$C:$C,MATCH(TRIM('RZSPbS-psgr-ldv'!$A49),'State Map'!$A:$A,0))="Max Ambition",Schedules!I$13,L49),L49)</f>
        <v>3.4000000000000002E-2</v>
      </c>
      <c r="N49" s="39">
        <f>IFERROR(IF(INDEX('State Map'!$C:$C,MATCH(TRIM('RZSPbS-psgr-ldv'!$A49),'State Map'!$A:$A,0))="Max Ambition",Schedules!J$13,M49),M49)</f>
        <v>0.05</v>
      </c>
      <c r="O49" s="39">
        <f>IFERROR(IF(INDEX('State Map'!$C:$C,MATCH(TRIM('RZSPbS-psgr-ldv'!$A49),'State Map'!$A:$A,0))="Max Ambition",Schedules!K$13,N49),N49)</f>
        <v>7.0000000000000007E-2</v>
      </c>
      <c r="P49" s="39">
        <f>IFERROR(IF(INDEX('State Map'!$C:$C,MATCH(TRIM('RZSPbS-psgr-ldv'!$A49),'State Map'!$A:$A,0))="Max Ambition",Schedules!L$13,O49),O49)</f>
        <v>0.1</v>
      </c>
      <c r="Q49" s="39">
        <f>IFERROR(IF(INDEX('State Map'!$C:$C,MATCH(TRIM('RZSPbS-psgr-ldv'!$A49),'State Map'!$A:$A,0))="Max Ambition",Schedules!M$13,P49),P49)</f>
        <v>0.15</v>
      </c>
      <c r="R49" s="39">
        <f>IFERROR(IF(INDEX('State Map'!$C:$C,MATCH(TRIM('RZSPbS-psgr-ldv'!$A49),'State Map'!$A:$A,0))="Max Ambition",Schedules!N$13,Q49),Q49)</f>
        <v>0.2</v>
      </c>
      <c r="S49" s="39">
        <f>IFERROR(IF(INDEX('State Map'!$C:$C,MATCH(TRIM('RZSPbS-psgr-ldv'!$A49),'State Map'!$A:$A,0))="Max Ambition",Schedules!O$13,R49),R49)</f>
        <v>0.25</v>
      </c>
      <c r="T49" s="39">
        <f>IFERROR(IF(INDEX('State Map'!$C:$C,MATCH(TRIM('RZSPbS-psgr-ldv'!$A49),'State Map'!$A:$A,0))="Max Ambition",Schedules!P$13,S49),S49)</f>
        <v>0.3</v>
      </c>
      <c r="U49" s="39">
        <f>IFERROR(IF(INDEX('State Map'!$C:$C,MATCH(TRIM('RZSPbS-psgr-ldv'!$A49),'State Map'!$A:$A,0))="Max Ambition",Schedules!Q$13,T49),T49)</f>
        <v>0.35</v>
      </c>
      <c r="V49" s="39">
        <f>IFERROR(IF(INDEX('State Map'!$C:$C,MATCH(TRIM('RZSPbS-psgr-ldv'!$A49),'State Map'!$A:$A,0))="Max Ambition",Schedules!R$13,U49),U49)</f>
        <v>0.4</v>
      </c>
      <c r="W49" s="39">
        <f>IFERROR(IF(INDEX('State Map'!$C:$C,MATCH(TRIM('RZSPbS-psgr-ldv'!$A49),'State Map'!$A:$A,0))="Max Ambition",Schedules!S$13,V49),V49)</f>
        <v>0.4</v>
      </c>
      <c r="X49" s="39">
        <f>IFERROR(IF(INDEX('State Map'!$C:$C,MATCH(TRIM('RZSPbS-psgr-ldv'!$A49),'State Map'!$A:$A,0))="Max Ambition",Schedules!T$13,W49),W49)</f>
        <v>0.4</v>
      </c>
      <c r="Y49" s="39">
        <f>IFERROR(IF(INDEX('State Map'!$C:$C,MATCH(TRIM('RZSPbS-psgr-ldv'!$A49),'State Map'!$A:$A,0))="Max Ambition",Schedules!U$13,X49),X49)</f>
        <v>0.4</v>
      </c>
      <c r="Z49" s="39">
        <f>IFERROR(IF(INDEX('State Map'!$C:$C,MATCH(TRIM('RZSPbS-psgr-ldv'!$A49),'State Map'!$A:$A,0))="Max Ambition",Schedules!V$13,Y49),Y49)</f>
        <v>0.45700000000000002</v>
      </c>
      <c r="AA49" s="39">
        <f>IFERROR(IF(INDEX('State Map'!$C:$C,MATCH(TRIM('RZSPbS-psgr-ldv'!$A49),'State Map'!$A:$A,0))="Max Ambition",Schedules!W$13,Z49),Z49)</f>
        <v>0.51400000000000001</v>
      </c>
      <c r="AB49" s="39">
        <f>IFERROR(IF(INDEX('State Map'!$C:$C,MATCH(TRIM('RZSPbS-psgr-ldv'!$A49),'State Map'!$A:$A,0))="Max Ambition",Schedules!X$13,AA49),AA49)</f>
        <v>0.57099999999999995</v>
      </c>
      <c r="AC49" s="39">
        <f>IFERROR(IF(INDEX('State Map'!$C:$C,MATCH(TRIM('RZSPbS-psgr-ldv'!$A49),'State Map'!$A:$A,0))="Max Ambition",Schedules!Y$13,AB49),AB49)</f>
        <v>0.628</v>
      </c>
      <c r="AD49" s="39">
        <f>IFERROR(IF(INDEX('State Map'!$C:$C,MATCH(TRIM('RZSPbS-psgr-ldv'!$A49),'State Map'!$A:$A,0))="Max Ambition",Schedules!Z$13,AC49),AC49)</f>
        <v>0.68500000000000005</v>
      </c>
      <c r="AE49" s="39">
        <f>IFERROR(IF(INDEX('State Map'!$C:$C,MATCH(TRIM('RZSPbS-psgr-ldv'!$A49),'State Map'!$A:$A,0))="Max Ambition",Schedules!AA$13,AD49),AD49)</f>
        <v>0.74199999999999999</v>
      </c>
      <c r="AF49" s="39">
        <f>IFERROR(IF(INDEX('State Map'!$C:$C,MATCH(TRIM('RZSPbS-psgr-ldv'!$A49),'State Map'!$A:$A,0))="Max Ambition",Schedules!AB$13,AE49),AE49)</f>
        <v>0.8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39">
        <f>IFERROR(IF(INDEX('State Map'!$C:$C,MATCH(TRIM('RZSPbS-psgr-ldv'!$A50),'State Map'!$A:$A,0))="Max Ambition",Schedules!G$13,J50),J50)</f>
        <v>0</v>
      </c>
      <c r="L50" s="39">
        <f>IFERROR(IF(INDEX('State Map'!$C:$C,MATCH(TRIM('RZSPbS-psgr-ldv'!$A50),'State Map'!$A:$A,0))="Max Ambition",Schedules!H$13,K50),K50)</f>
        <v>0</v>
      </c>
      <c r="M50" s="39">
        <f>IFERROR(IF(INDEX('State Map'!$C:$C,MATCH(TRIM('RZSPbS-psgr-ldv'!$A50),'State Map'!$A:$A,0))="Max Ambition",Schedules!I$13,L50),L50)</f>
        <v>0</v>
      </c>
      <c r="N50" s="39">
        <f>IFERROR(IF(INDEX('State Map'!$C:$C,MATCH(TRIM('RZSPbS-psgr-ldv'!$A50),'State Map'!$A:$A,0))="Max Ambition",Schedules!J$13,M50),M50)</f>
        <v>0</v>
      </c>
      <c r="O50" s="39">
        <f>IFERROR(IF(INDEX('State Map'!$C:$C,MATCH(TRIM('RZSPbS-psgr-ldv'!$A50),'State Map'!$A:$A,0))="Max Ambition",Schedules!K$13,N50),N50)</f>
        <v>0</v>
      </c>
      <c r="P50" s="39">
        <f>IFERROR(IF(INDEX('State Map'!$C:$C,MATCH(TRIM('RZSPbS-psgr-ldv'!$A50),'State Map'!$A:$A,0))="Max Ambition",Schedules!L$13,O50),O50)</f>
        <v>0</v>
      </c>
      <c r="Q50" s="39">
        <f>IFERROR(IF(INDEX('State Map'!$C:$C,MATCH(TRIM('RZSPbS-psgr-ldv'!$A50),'State Map'!$A:$A,0))="Max Ambition",Schedules!M$13,P50),P50)</f>
        <v>0</v>
      </c>
      <c r="R50" s="39">
        <f>IFERROR(IF(INDEX('State Map'!$C:$C,MATCH(TRIM('RZSPbS-psgr-ldv'!$A50),'State Map'!$A:$A,0))="Max Ambition",Schedules!N$13,Q50),Q50)</f>
        <v>0</v>
      </c>
      <c r="S50" s="39">
        <f>IFERROR(IF(INDEX('State Map'!$C:$C,MATCH(TRIM('RZSPbS-psgr-ldv'!$A50),'State Map'!$A:$A,0))="Max Ambition",Schedules!O$13,R50),R50)</f>
        <v>0</v>
      </c>
      <c r="T50" s="39">
        <f>IFERROR(IF(INDEX('State Map'!$C:$C,MATCH(TRIM('RZSPbS-psgr-ldv'!$A50),'State Map'!$A:$A,0))="Max Ambition",Schedules!P$13,S50),S50)</f>
        <v>0</v>
      </c>
      <c r="U50" s="39">
        <f>IFERROR(IF(INDEX('State Map'!$C:$C,MATCH(TRIM('RZSPbS-psgr-ldv'!$A50),'State Map'!$A:$A,0))="Max Ambition",Schedules!Q$13,T50),T50)</f>
        <v>0</v>
      </c>
      <c r="V50" s="39">
        <f>IFERROR(IF(INDEX('State Map'!$C:$C,MATCH(TRIM('RZSPbS-psgr-ldv'!$A50),'State Map'!$A:$A,0))="Max Ambition",Schedules!R$13,U50),U50)</f>
        <v>0</v>
      </c>
      <c r="W50" s="39">
        <f>IFERROR(IF(INDEX('State Map'!$C:$C,MATCH(TRIM('RZSPbS-psgr-ldv'!$A50),'State Map'!$A:$A,0))="Max Ambition",Schedules!S$13,V50),V50)</f>
        <v>0</v>
      </c>
      <c r="X50" s="39">
        <f>IFERROR(IF(INDEX('State Map'!$C:$C,MATCH(TRIM('RZSPbS-psgr-ldv'!$A50),'State Map'!$A:$A,0))="Max Ambition",Schedules!T$13,W50),W50)</f>
        <v>0</v>
      </c>
      <c r="Y50" s="39">
        <f>IFERROR(IF(INDEX('State Map'!$C:$C,MATCH(TRIM('RZSPbS-psgr-ldv'!$A50),'State Map'!$A:$A,0))="Max Ambition",Schedules!U$13,X50),X50)</f>
        <v>0</v>
      </c>
      <c r="Z50" s="39">
        <f>IFERROR(IF(INDEX('State Map'!$C:$C,MATCH(TRIM('RZSPbS-psgr-ldv'!$A50),'State Map'!$A:$A,0))="Max Ambition",Schedules!V$13,Y50),Y50)</f>
        <v>0</v>
      </c>
      <c r="AA50" s="39">
        <f>IFERROR(IF(INDEX('State Map'!$C:$C,MATCH(TRIM('RZSPbS-psgr-ldv'!$A50),'State Map'!$A:$A,0))="Max Ambition",Schedules!W$13,Z50),Z50)</f>
        <v>0</v>
      </c>
      <c r="AB50" s="39">
        <f>IFERROR(IF(INDEX('State Map'!$C:$C,MATCH(TRIM('RZSPbS-psgr-ldv'!$A50),'State Map'!$A:$A,0))="Max Ambition",Schedules!X$13,AA50),AA50)</f>
        <v>0</v>
      </c>
      <c r="AC50" s="39">
        <f>IFERROR(IF(INDEX('State Map'!$C:$C,MATCH(TRIM('RZSPbS-psgr-ldv'!$A50),'State Map'!$A:$A,0))="Max Ambition",Schedules!Y$13,AB50),AB50)</f>
        <v>0</v>
      </c>
      <c r="AD50" s="39">
        <f>IFERROR(IF(INDEX('State Map'!$C:$C,MATCH(TRIM('RZSPbS-psgr-ldv'!$A50),'State Map'!$A:$A,0))="Max Ambition",Schedules!Z$13,AC50),AC50)</f>
        <v>0</v>
      </c>
      <c r="AE50" s="39">
        <f>IFERROR(IF(INDEX('State Map'!$C:$C,MATCH(TRIM('RZSPbS-psgr-ldv'!$A50),'State Map'!$A:$A,0))="Max Ambition",Schedules!AA$13,AD50),AD50)</f>
        <v>0</v>
      </c>
      <c r="AF50" s="39">
        <f>IFERROR(IF(INDEX('State Map'!$C:$C,MATCH(TRIM('RZSPbS-psgr-ldv'!$A50),'State Map'!$A:$A,0))="Max Ambition",Schedules!AB$13,AE50),AE50)</f>
        <v>0</v>
      </c>
    </row>
    <row r="51" spans="1:32" x14ac:dyDescent="0.25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39">
        <f>IFERROR(IF(INDEX('State Map'!$C:$C,MATCH(TRIM('RZSPbS-psgr-ldv'!$A51),'State Map'!$A:$A,0))="Max Ambition",Schedules!G$13,J51),J51)</f>
        <v>0</v>
      </c>
      <c r="L51" s="39">
        <f>IFERROR(IF(INDEX('State Map'!$C:$C,MATCH(TRIM('RZSPbS-psgr-ldv'!$A51),'State Map'!$A:$A,0))="Max Ambition",Schedules!H$13,K51),K51)</f>
        <v>0</v>
      </c>
      <c r="M51" s="39">
        <f>IFERROR(IF(INDEX('State Map'!$C:$C,MATCH(TRIM('RZSPbS-psgr-ldv'!$A51),'State Map'!$A:$A,0))="Max Ambition",Schedules!I$13,L51),L51)</f>
        <v>0</v>
      </c>
      <c r="N51" s="39">
        <f>IFERROR(IF(INDEX('State Map'!$C:$C,MATCH(TRIM('RZSPbS-psgr-ldv'!$A51),'State Map'!$A:$A,0))="Max Ambition",Schedules!J$13,M51),M51)</f>
        <v>0</v>
      </c>
      <c r="O51" s="39">
        <f>IFERROR(IF(INDEX('State Map'!$C:$C,MATCH(TRIM('RZSPbS-psgr-ldv'!$A51),'State Map'!$A:$A,0))="Max Ambition",Schedules!K$13,N51),N51)</f>
        <v>0</v>
      </c>
      <c r="P51" s="39">
        <f>IFERROR(IF(INDEX('State Map'!$C:$C,MATCH(TRIM('RZSPbS-psgr-ldv'!$A51),'State Map'!$A:$A,0))="Max Ambition",Schedules!L$13,O51),O51)</f>
        <v>0</v>
      </c>
      <c r="Q51" s="39">
        <f>IFERROR(IF(INDEX('State Map'!$C:$C,MATCH(TRIM('RZSPbS-psgr-ldv'!$A51),'State Map'!$A:$A,0))="Max Ambition",Schedules!M$13,P51),P51)</f>
        <v>0</v>
      </c>
      <c r="R51" s="39">
        <f>IFERROR(IF(INDEX('State Map'!$C:$C,MATCH(TRIM('RZSPbS-psgr-ldv'!$A51),'State Map'!$A:$A,0))="Max Ambition",Schedules!N$13,Q51),Q51)</f>
        <v>0</v>
      </c>
      <c r="S51" s="39">
        <f>IFERROR(IF(INDEX('State Map'!$C:$C,MATCH(TRIM('RZSPbS-psgr-ldv'!$A51),'State Map'!$A:$A,0))="Max Ambition",Schedules!O$13,R51),R51)</f>
        <v>0</v>
      </c>
      <c r="T51" s="39">
        <f>IFERROR(IF(INDEX('State Map'!$C:$C,MATCH(TRIM('RZSPbS-psgr-ldv'!$A51),'State Map'!$A:$A,0))="Max Ambition",Schedules!P$13,S51),S51)</f>
        <v>0</v>
      </c>
      <c r="U51" s="39">
        <f>IFERROR(IF(INDEX('State Map'!$C:$C,MATCH(TRIM('RZSPbS-psgr-ldv'!$A51),'State Map'!$A:$A,0))="Max Ambition",Schedules!Q$13,T51),T51)</f>
        <v>0</v>
      </c>
      <c r="V51" s="39">
        <f>IFERROR(IF(INDEX('State Map'!$C:$C,MATCH(TRIM('RZSPbS-psgr-ldv'!$A51),'State Map'!$A:$A,0))="Max Ambition",Schedules!R$13,U51),U51)</f>
        <v>0</v>
      </c>
      <c r="W51" s="39">
        <f>IFERROR(IF(INDEX('State Map'!$C:$C,MATCH(TRIM('RZSPbS-psgr-ldv'!$A51),'State Map'!$A:$A,0))="Max Ambition",Schedules!S$13,V51),V51)</f>
        <v>0</v>
      </c>
      <c r="X51" s="39">
        <f>IFERROR(IF(INDEX('State Map'!$C:$C,MATCH(TRIM('RZSPbS-psgr-ldv'!$A51),'State Map'!$A:$A,0))="Max Ambition",Schedules!T$13,W51),W51)</f>
        <v>0</v>
      </c>
      <c r="Y51" s="39">
        <f>IFERROR(IF(INDEX('State Map'!$C:$C,MATCH(TRIM('RZSPbS-psgr-ldv'!$A51),'State Map'!$A:$A,0))="Max Ambition",Schedules!U$13,X51),X51)</f>
        <v>0</v>
      </c>
      <c r="Z51" s="39">
        <f>IFERROR(IF(INDEX('State Map'!$C:$C,MATCH(TRIM('RZSPbS-psgr-ldv'!$A51),'State Map'!$A:$A,0))="Max Ambition",Schedules!V$13,Y51),Y51)</f>
        <v>0</v>
      </c>
      <c r="AA51" s="39">
        <f>IFERROR(IF(INDEX('State Map'!$C:$C,MATCH(TRIM('RZSPbS-psgr-ldv'!$A51),'State Map'!$A:$A,0))="Max Ambition",Schedules!W$13,Z51),Z51)</f>
        <v>0</v>
      </c>
      <c r="AB51" s="39">
        <f>IFERROR(IF(INDEX('State Map'!$C:$C,MATCH(TRIM('RZSPbS-psgr-ldv'!$A51),'State Map'!$A:$A,0))="Max Ambition",Schedules!X$13,AA51),AA51)</f>
        <v>0</v>
      </c>
      <c r="AC51" s="39">
        <f>IFERROR(IF(INDEX('State Map'!$C:$C,MATCH(TRIM('RZSPbS-psgr-ldv'!$A51),'State Map'!$A:$A,0))="Max Ambition",Schedules!Y$13,AB51),AB51)</f>
        <v>0</v>
      </c>
      <c r="AD51" s="39">
        <f>IFERROR(IF(INDEX('State Map'!$C:$C,MATCH(TRIM('RZSPbS-psgr-ldv'!$A51),'State Map'!$A:$A,0))="Max Ambition",Schedules!Z$13,AC51),AC51)</f>
        <v>0</v>
      </c>
      <c r="AE51" s="39">
        <f>IFERROR(IF(INDEX('State Map'!$C:$C,MATCH(TRIM('RZSPbS-psgr-ldv'!$A51),'State Map'!$A:$A,0))="Max Ambition",Schedules!AA$13,AD51),AD51)</f>
        <v>0</v>
      </c>
      <c r="AF51" s="39">
        <f>IFERROR(IF(INDEX('State Map'!$C:$C,MATCH(TRIM('RZSPbS-psgr-ldv'!$A51),'State Map'!$A:$A,0))="Max Ambition",Schedules!AB$13,AE51),AE51)</f>
        <v>0</v>
      </c>
    </row>
    <row r="52" spans="1:32" x14ac:dyDescent="0.25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39">
        <f>IFERROR(IF(INDEX('State Map'!$C:$C,MATCH(TRIM('RZSPbS-psgr-ldv'!$A52),'State Map'!$A:$A,0))="Max Ambition",Schedules!G$13,J52),J52)</f>
        <v>0</v>
      </c>
      <c r="L52" s="39">
        <f>IFERROR(IF(INDEX('State Map'!$C:$C,MATCH(TRIM('RZSPbS-psgr-ldv'!$A52),'State Map'!$A:$A,0))="Max Ambition",Schedules!H$13,K52),K52)</f>
        <v>0</v>
      </c>
      <c r="M52" s="39">
        <f>IFERROR(IF(INDEX('State Map'!$C:$C,MATCH(TRIM('RZSPbS-psgr-ldv'!$A52),'State Map'!$A:$A,0))="Max Ambition",Schedules!I$13,L52),L52)</f>
        <v>0</v>
      </c>
      <c r="N52" s="39">
        <f>IFERROR(IF(INDEX('State Map'!$C:$C,MATCH(TRIM('RZSPbS-psgr-ldv'!$A52),'State Map'!$A:$A,0))="Max Ambition",Schedules!J$13,M52),M52)</f>
        <v>0</v>
      </c>
      <c r="O52" s="39">
        <f>IFERROR(IF(INDEX('State Map'!$C:$C,MATCH(TRIM('RZSPbS-psgr-ldv'!$A52),'State Map'!$A:$A,0))="Max Ambition",Schedules!K$13,N52),N52)</f>
        <v>0</v>
      </c>
      <c r="P52" s="39">
        <f>IFERROR(IF(INDEX('State Map'!$C:$C,MATCH(TRIM('RZSPbS-psgr-ldv'!$A52),'State Map'!$A:$A,0))="Max Ambition",Schedules!L$13,O52),O52)</f>
        <v>0</v>
      </c>
      <c r="Q52" s="39">
        <f>IFERROR(IF(INDEX('State Map'!$C:$C,MATCH(TRIM('RZSPbS-psgr-ldv'!$A52),'State Map'!$A:$A,0))="Max Ambition",Schedules!M$13,P52),P52)</f>
        <v>0</v>
      </c>
      <c r="R52" s="39">
        <f>IFERROR(IF(INDEX('State Map'!$C:$C,MATCH(TRIM('RZSPbS-psgr-ldv'!$A52),'State Map'!$A:$A,0))="Max Ambition",Schedules!N$13,Q52),Q52)</f>
        <v>0</v>
      </c>
      <c r="S52" s="39">
        <f>IFERROR(IF(INDEX('State Map'!$C:$C,MATCH(TRIM('RZSPbS-psgr-ldv'!$A52),'State Map'!$A:$A,0))="Max Ambition",Schedules!O$13,R52),R52)</f>
        <v>0</v>
      </c>
      <c r="T52" s="39">
        <f>IFERROR(IF(INDEX('State Map'!$C:$C,MATCH(TRIM('RZSPbS-psgr-ldv'!$A52),'State Map'!$A:$A,0))="Max Ambition",Schedules!P$13,S52),S52)</f>
        <v>0</v>
      </c>
      <c r="U52" s="39">
        <f>IFERROR(IF(INDEX('State Map'!$C:$C,MATCH(TRIM('RZSPbS-psgr-ldv'!$A52),'State Map'!$A:$A,0))="Max Ambition",Schedules!Q$13,T52),T52)</f>
        <v>0</v>
      </c>
      <c r="V52" s="39">
        <f>IFERROR(IF(INDEX('State Map'!$C:$C,MATCH(TRIM('RZSPbS-psgr-ldv'!$A52),'State Map'!$A:$A,0))="Max Ambition",Schedules!R$13,U52),U52)</f>
        <v>0</v>
      </c>
      <c r="W52" s="39">
        <f>IFERROR(IF(INDEX('State Map'!$C:$C,MATCH(TRIM('RZSPbS-psgr-ldv'!$A52),'State Map'!$A:$A,0))="Max Ambition",Schedules!S$13,V52),V52)</f>
        <v>0</v>
      </c>
      <c r="X52" s="39">
        <f>IFERROR(IF(INDEX('State Map'!$C:$C,MATCH(TRIM('RZSPbS-psgr-ldv'!$A52),'State Map'!$A:$A,0))="Max Ambition",Schedules!T$13,W52),W52)</f>
        <v>0</v>
      </c>
      <c r="Y52" s="39">
        <f>IFERROR(IF(INDEX('State Map'!$C:$C,MATCH(TRIM('RZSPbS-psgr-ldv'!$A52),'State Map'!$A:$A,0))="Max Ambition",Schedules!U$13,X52),X52)</f>
        <v>0</v>
      </c>
      <c r="Z52" s="39">
        <f>IFERROR(IF(INDEX('State Map'!$C:$C,MATCH(TRIM('RZSPbS-psgr-ldv'!$A52),'State Map'!$A:$A,0))="Max Ambition",Schedules!V$13,Y52),Y52)</f>
        <v>0</v>
      </c>
      <c r="AA52" s="39">
        <f>IFERROR(IF(INDEX('State Map'!$C:$C,MATCH(TRIM('RZSPbS-psgr-ldv'!$A52),'State Map'!$A:$A,0))="Max Ambition",Schedules!W$13,Z52),Z52)</f>
        <v>0</v>
      </c>
      <c r="AB52" s="39">
        <f>IFERROR(IF(INDEX('State Map'!$C:$C,MATCH(TRIM('RZSPbS-psgr-ldv'!$A52),'State Map'!$A:$A,0))="Max Ambition",Schedules!X$13,AA52),AA52)</f>
        <v>0</v>
      </c>
      <c r="AC52" s="39">
        <f>IFERROR(IF(INDEX('State Map'!$C:$C,MATCH(TRIM('RZSPbS-psgr-ldv'!$A52),'State Map'!$A:$A,0))="Max Ambition",Schedules!Y$13,AB52),AB52)</f>
        <v>0</v>
      </c>
      <c r="AD52" s="39">
        <f>IFERROR(IF(INDEX('State Map'!$C:$C,MATCH(TRIM('RZSPbS-psgr-ldv'!$A52),'State Map'!$A:$A,0))="Max Ambition",Schedules!Z$13,AC52),AC52)</f>
        <v>0</v>
      </c>
      <c r="AE52" s="39">
        <f>IFERROR(IF(INDEX('State Map'!$C:$C,MATCH(TRIM('RZSPbS-psgr-ldv'!$A52),'State Map'!$A:$A,0))="Max Ambition",Schedules!AA$13,AD52),AD52)</f>
        <v>0</v>
      </c>
      <c r="AF52" s="39">
        <f>IFERROR(IF(INDEX('State Map'!$C:$C,MATCH(TRIM('RZSPbS-psgr-ldv'!$A52),'State Map'!$A:$A,0))="Max Ambition",Schedules!AB$13,AE52),AE52)</f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39">
        <f>IFERROR(IF(INDEX('State Map'!$C:$C,MATCH(TRIM('RZSPbS-psgr-ldv'!$A53),'State Map'!$A:$A,0))="Max Ambition",Schedules!G$13,J53),J53)</f>
        <v>0</v>
      </c>
      <c r="L53" s="39">
        <f>IFERROR(IF(INDEX('State Map'!$C:$C,MATCH(TRIM('RZSPbS-psgr-ldv'!$A53),'State Map'!$A:$A,0))="Max Ambition",Schedules!H$13,K53),K53)</f>
        <v>0</v>
      </c>
      <c r="M53" s="39">
        <f>IFERROR(IF(INDEX('State Map'!$C:$C,MATCH(TRIM('RZSPbS-psgr-ldv'!$A53),'State Map'!$A:$A,0))="Max Ambition",Schedules!I$13,L53),L53)</f>
        <v>0</v>
      </c>
      <c r="N53" s="39">
        <f>IFERROR(IF(INDEX('State Map'!$C:$C,MATCH(TRIM('RZSPbS-psgr-ldv'!$A53),'State Map'!$A:$A,0))="Max Ambition",Schedules!J$13,M53),M53)</f>
        <v>0</v>
      </c>
      <c r="O53" s="39">
        <f>IFERROR(IF(INDEX('State Map'!$C:$C,MATCH(TRIM('RZSPbS-psgr-ldv'!$A53),'State Map'!$A:$A,0))="Max Ambition",Schedules!K$13,N53),N53)</f>
        <v>0</v>
      </c>
      <c r="P53" s="39">
        <f>IFERROR(IF(INDEX('State Map'!$C:$C,MATCH(TRIM('RZSPbS-psgr-ldv'!$A53),'State Map'!$A:$A,0))="Max Ambition",Schedules!L$13,O53),O53)</f>
        <v>0</v>
      </c>
      <c r="Q53" s="39">
        <f>IFERROR(IF(INDEX('State Map'!$C:$C,MATCH(TRIM('RZSPbS-psgr-ldv'!$A53),'State Map'!$A:$A,0))="Max Ambition",Schedules!M$13,P53),P53)</f>
        <v>0</v>
      </c>
      <c r="R53" s="39">
        <f>IFERROR(IF(INDEX('State Map'!$C:$C,MATCH(TRIM('RZSPbS-psgr-ldv'!$A53),'State Map'!$A:$A,0))="Max Ambition",Schedules!N$13,Q53),Q53)</f>
        <v>0</v>
      </c>
      <c r="S53" s="39">
        <f>IFERROR(IF(INDEX('State Map'!$C:$C,MATCH(TRIM('RZSPbS-psgr-ldv'!$A53),'State Map'!$A:$A,0))="Max Ambition",Schedules!O$13,R53),R53)</f>
        <v>0</v>
      </c>
      <c r="T53" s="39">
        <f>IFERROR(IF(INDEX('State Map'!$C:$C,MATCH(TRIM('RZSPbS-psgr-ldv'!$A53),'State Map'!$A:$A,0))="Max Ambition",Schedules!P$13,S53),S53)</f>
        <v>0</v>
      </c>
      <c r="U53" s="39">
        <f>IFERROR(IF(INDEX('State Map'!$C:$C,MATCH(TRIM('RZSPbS-psgr-ldv'!$A53),'State Map'!$A:$A,0))="Max Ambition",Schedules!Q$13,T53),T53)</f>
        <v>0</v>
      </c>
      <c r="V53" s="39">
        <f>IFERROR(IF(INDEX('State Map'!$C:$C,MATCH(TRIM('RZSPbS-psgr-ldv'!$A53),'State Map'!$A:$A,0))="Max Ambition",Schedules!R$13,U53),U53)</f>
        <v>0</v>
      </c>
      <c r="W53" s="39">
        <f>IFERROR(IF(INDEX('State Map'!$C:$C,MATCH(TRIM('RZSPbS-psgr-ldv'!$A53),'State Map'!$A:$A,0))="Max Ambition",Schedules!S$13,V53),V53)</f>
        <v>0</v>
      </c>
      <c r="X53" s="39">
        <f>IFERROR(IF(INDEX('State Map'!$C:$C,MATCH(TRIM('RZSPbS-psgr-ldv'!$A53),'State Map'!$A:$A,0))="Max Ambition",Schedules!T$13,W53),W53)</f>
        <v>0</v>
      </c>
      <c r="Y53" s="39">
        <f>IFERROR(IF(INDEX('State Map'!$C:$C,MATCH(TRIM('RZSPbS-psgr-ldv'!$A53),'State Map'!$A:$A,0))="Max Ambition",Schedules!U$13,X53),X53)</f>
        <v>0</v>
      </c>
      <c r="Z53" s="39">
        <f>IFERROR(IF(INDEX('State Map'!$C:$C,MATCH(TRIM('RZSPbS-psgr-ldv'!$A53),'State Map'!$A:$A,0))="Max Ambition",Schedules!V$13,Y53),Y53)</f>
        <v>0</v>
      </c>
      <c r="AA53" s="39">
        <f>IFERROR(IF(INDEX('State Map'!$C:$C,MATCH(TRIM('RZSPbS-psgr-ldv'!$A53),'State Map'!$A:$A,0))="Max Ambition",Schedules!W$13,Z53),Z53)</f>
        <v>0</v>
      </c>
      <c r="AB53" s="39">
        <f>IFERROR(IF(INDEX('State Map'!$C:$C,MATCH(TRIM('RZSPbS-psgr-ldv'!$A53),'State Map'!$A:$A,0))="Max Ambition",Schedules!X$13,AA53),AA53)</f>
        <v>0</v>
      </c>
      <c r="AC53" s="39">
        <f>IFERROR(IF(INDEX('State Map'!$C:$C,MATCH(TRIM('RZSPbS-psgr-ldv'!$A53),'State Map'!$A:$A,0))="Max Ambition",Schedules!Y$13,AB53),AB53)</f>
        <v>0</v>
      </c>
      <c r="AD53" s="39">
        <f>IFERROR(IF(INDEX('State Map'!$C:$C,MATCH(TRIM('RZSPbS-psgr-ldv'!$A53),'State Map'!$A:$A,0))="Max Ambition",Schedules!Z$13,AC53),AC53)</f>
        <v>0</v>
      </c>
      <c r="AE53" s="39">
        <f>IFERROR(IF(INDEX('State Map'!$C:$C,MATCH(TRIM('RZSPbS-psgr-ldv'!$A53),'State Map'!$A:$A,0))="Max Ambition",Schedules!AA$13,AD53),AD53)</f>
        <v>0</v>
      </c>
      <c r="AF53" s="39">
        <f>IFERROR(IF(INDEX('State Map'!$C:$C,MATCH(TRIM('RZSPbS-psgr-ldv'!$A53),'State Map'!$A:$A,0))="Max Ambition",Schedules!AB$13,AE53),AE53)</f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s="39">
        <f>IFERROR(IF(INDEX('State Map'!$C:$C,MATCH(TRIM('RZSPbS-psgr-ldv'!$A54),'State Map'!$A:$A,0))="Max Ambition",Schedules!G$13,J54),J54)</f>
        <v>0</v>
      </c>
      <c r="L54" s="39">
        <f>IFERROR(IF(INDEX('State Map'!$C:$C,MATCH(TRIM('RZSPbS-psgr-ldv'!$A54),'State Map'!$A:$A,0))="Max Ambition",Schedules!H$13,K54),K54)</f>
        <v>0</v>
      </c>
      <c r="M54" s="39">
        <f>IFERROR(IF(INDEX('State Map'!$C:$C,MATCH(TRIM('RZSPbS-psgr-ldv'!$A54),'State Map'!$A:$A,0))="Max Ambition",Schedules!I$13,L54),L54)</f>
        <v>0</v>
      </c>
      <c r="N54" s="39">
        <f>IFERROR(IF(INDEX('State Map'!$C:$C,MATCH(TRIM('RZSPbS-psgr-ldv'!$A54),'State Map'!$A:$A,0))="Max Ambition",Schedules!J$13,M54),M54)</f>
        <v>0</v>
      </c>
      <c r="O54" s="39">
        <f>IFERROR(IF(INDEX('State Map'!$C:$C,MATCH(TRIM('RZSPbS-psgr-ldv'!$A54),'State Map'!$A:$A,0))="Max Ambition",Schedules!K$13,N54),N54)</f>
        <v>0</v>
      </c>
      <c r="P54" s="39">
        <f>IFERROR(IF(INDEX('State Map'!$C:$C,MATCH(TRIM('RZSPbS-psgr-ldv'!$A54),'State Map'!$A:$A,0))="Max Ambition",Schedules!L$13,O54),O54)</f>
        <v>0</v>
      </c>
      <c r="Q54" s="39">
        <f>IFERROR(IF(INDEX('State Map'!$C:$C,MATCH(TRIM('RZSPbS-psgr-ldv'!$A54),'State Map'!$A:$A,0))="Max Ambition",Schedules!M$13,P54),P54)</f>
        <v>0</v>
      </c>
      <c r="R54" s="39">
        <f>IFERROR(IF(INDEX('State Map'!$C:$C,MATCH(TRIM('RZSPbS-psgr-ldv'!$A54),'State Map'!$A:$A,0))="Max Ambition",Schedules!N$13,Q54),Q54)</f>
        <v>0</v>
      </c>
      <c r="S54" s="39">
        <f>IFERROR(IF(INDEX('State Map'!$C:$C,MATCH(TRIM('RZSPbS-psgr-ldv'!$A54),'State Map'!$A:$A,0))="Max Ambition",Schedules!O$13,R54),R54)</f>
        <v>0</v>
      </c>
      <c r="T54" s="39">
        <f>IFERROR(IF(INDEX('State Map'!$C:$C,MATCH(TRIM('RZSPbS-psgr-ldv'!$A54),'State Map'!$A:$A,0))="Max Ambition",Schedules!P$13,S54),S54)</f>
        <v>0</v>
      </c>
      <c r="U54" s="39">
        <f>IFERROR(IF(INDEX('State Map'!$C:$C,MATCH(TRIM('RZSPbS-psgr-ldv'!$A54),'State Map'!$A:$A,0))="Max Ambition",Schedules!Q$13,T54),T54)</f>
        <v>0</v>
      </c>
      <c r="V54" s="39">
        <f>IFERROR(IF(INDEX('State Map'!$C:$C,MATCH(TRIM('RZSPbS-psgr-ldv'!$A54),'State Map'!$A:$A,0))="Max Ambition",Schedules!R$13,U54),U54)</f>
        <v>0</v>
      </c>
      <c r="W54" s="39">
        <f>IFERROR(IF(INDEX('State Map'!$C:$C,MATCH(TRIM('RZSPbS-psgr-ldv'!$A54),'State Map'!$A:$A,0))="Max Ambition",Schedules!S$13,V54),V54)</f>
        <v>0</v>
      </c>
      <c r="X54" s="39">
        <f>IFERROR(IF(INDEX('State Map'!$C:$C,MATCH(TRIM('RZSPbS-psgr-ldv'!$A54),'State Map'!$A:$A,0))="Max Ambition",Schedules!T$13,W54),W54)</f>
        <v>0</v>
      </c>
      <c r="Y54" s="39">
        <f>IFERROR(IF(INDEX('State Map'!$C:$C,MATCH(TRIM('RZSPbS-psgr-ldv'!$A54),'State Map'!$A:$A,0))="Max Ambition",Schedules!U$13,X54),X54)</f>
        <v>0</v>
      </c>
      <c r="Z54" s="39">
        <f>IFERROR(IF(INDEX('State Map'!$C:$C,MATCH(TRIM('RZSPbS-psgr-ldv'!$A54),'State Map'!$A:$A,0))="Max Ambition",Schedules!V$13,Y54),Y54)</f>
        <v>0</v>
      </c>
      <c r="AA54" s="39">
        <f>IFERROR(IF(INDEX('State Map'!$C:$C,MATCH(TRIM('RZSPbS-psgr-ldv'!$A54),'State Map'!$A:$A,0))="Max Ambition",Schedules!W$13,Z54),Z54)</f>
        <v>0</v>
      </c>
      <c r="AB54" s="39">
        <f>IFERROR(IF(INDEX('State Map'!$C:$C,MATCH(TRIM('RZSPbS-psgr-ldv'!$A54),'State Map'!$A:$A,0))="Max Ambition",Schedules!X$13,AA54),AA54)</f>
        <v>0</v>
      </c>
      <c r="AC54" s="39">
        <f>IFERROR(IF(INDEX('State Map'!$C:$C,MATCH(TRIM('RZSPbS-psgr-ldv'!$A54),'State Map'!$A:$A,0))="Max Ambition",Schedules!Y$13,AB54),AB54)</f>
        <v>0</v>
      </c>
      <c r="AD54" s="39">
        <f>IFERROR(IF(INDEX('State Map'!$C:$C,MATCH(TRIM('RZSPbS-psgr-ldv'!$A54),'State Map'!$A:$A,0))="Max Ambition",Schedules!Z$13,AC54),AC54)</f>
        <v>0</v>
      </c>
      <c r="AE54" s="39">
        <f>IFERROR(IF(INDEX('State Map'!$C:$C,MATCH(TRIM('RZSPbS-psgr-ldv'!$A54),'State Map'!$A:$A,0))="Max Ambition",Schedules!AA$13,AD54),AD54)</f>
        <v>0</v>
      </c>
      <c r="AF54" s="39">
        <f>IFERROR(IF(INDEX('State Map'!$C:$C,MATCH(TRIM('RZSPbS-psgr-ldv'!$A54),'State Map'!$A:$A,0))="Max Ambition",Schedules!AB$13,AE54),AE54)</f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39">
        <f>IFERROR(IF(INDEX('State Map'!$C:$C,MATCH(TRIM('RZSPbS-psgr-ldv'!$A55),'State Map'!$A:$A,0))="Max Ambition",Schedules!G$13,J55),J55)</f>
        <v>0</v>
      </c>
      <c r="L55" s="39">
        <f>IFERROR(IF(INDEX('State Map'!$C:$C,MATCH(TRIM('RZSPbS-psgr-ldv'!$A55),'State Map'!$A:$A,0))="Max Ambition",Schedules!H$13,K55),K55)</f>
        <v>0</v>
      </c>
      <c r="M55" s="39">
        <f>IFERROR(IF(INDEX('State Map'!$C:$C,MATCH(TRIM('RZSPbS-psgr-ldv'!$A55),'State Map'!$A:$A,0))="Max Ambition",Schedules!I$13,L55),L55)</f>
        <v>0</v>
      </c>
      <c r="N55" s="39">
        <f>IFERROR(IF(INDEX('State Map'!$C:$C,MATCH(TRIM('RZSPbS-psgr-ldv'!$A55),'State Map'!$A:$A,0))="Max Ambition",Schedules!J$13,M55),M55)</f>
        <v>0</v>
      </c>
      <c r="O55" s="39">
        <f>IFERROR(IF(INDEX('State Map'!$C:$C,MATCH(TRIM('RZSPbS-psgr-ldv'!$A55),'State Map'!$A:$A,0))="Max Ambition",Schedules!K$13,N55),N55)</f>
        <v>0</v>
      </c>
      <c r="P55" s="39">
        <f>IFERROR(IF(INDEX('State Map'!$C:$C,MATCH(TRIM('RZSPbS-psgr-ldv'!$A55),'State Map'!$A:$A,0))="Max Ambition",Schedules!L$13,O55),O55)</f>
        <v>0</v>
      </c>
      <c r="Q55" s="39">
        <f>IFERROR(IF(INDEX('State Map'!$C:$C,MATCH(TRIM('RZSPbS-psgr-ldv'!$A55),'State Map'!$A:$A,0))="Max Ambition",Schedules!M$13,P55),P55)</f>
        <v>0</v>
      </c>
      <c r="R55" s="39">
        <f>IFERROR(IF(INDEX('State Map'!$C:$C,MATCH(TRIM('RZSPbS-psgr-ldv'!$A55),'State Map'!$A:$A,0))="Max Ambition",Schedules!N$13,Q55),Q55)</f>
        <v>0</v>
      </c>
      <c r="S55" s="39">
        <f>IFERROR(IF(INDEX('State Map'!$C:$C,MATCH(TRIM('RZSPbS-psgr-ldv'!$A55),'State Map'!$A:$A,0))="Max Ambition",Schedules!O$13,R55),R55)</f>
        <v>0</v>
      </c>
      <c r="T55" s="39">
        <f>IFERROR(IF(INDEX('State Map'!$C:$C,MATCH(TRIM('RZSPbS-psgr-ldv'!$A55),'State Map'!$A:$A,0))="Max Ambition",Schedules!P$13,S55),S55)</f>
        <v>0</v>
      </c>
      <c r="U55" s="39">
        <f>IFERROR(IF(INDEX('State Map'!$C:$C,MATCH(TRIM('RZSPbS-psgr-ldv'!$A55),'State Map'!$A:$A,0))="Max Ambition",Schedules!Q$13,T55),T55)</f>
        <v>0</v>
      </c>
      <c r="V55" s="39">
        <f>IFERROR(IF(INDEX('State Map'!$C:$C,MATCH(TRIM('RZSPbS-psgr-ldv'!$A55),'State Map'!$A:$A,0))="Max Ambition",Schedules!R$13,U55),U55)</f>
        <v>0</v>
      </c>
      <c r="W55" s="39">
        <f>IFERROR(IF(INDEX('State Map'!$C:$C,MATCH(TRIM('RZSPbS-psgr-ldv'!$A55),'State Map'!$A:$A,0))="Max Ambition",Schedules!S$13,V55),V55)</f>
        <v>0</v>
      </c>
      <c r="X55" s="39">
        <f>IFERROR(IF(INDEX('State Map'!$C:$C,MATCH(TRIM('RZSPbS-psgr-ldv'!$A55),'State Map'!$A:$A,0))="Max Ambition",Schedules!T$13,W55),W55)</f>
        <v>0</v>
      </c>
      <c r="Y55" s="39">
        <f>IFERROR(IF(INDEX('State Map'!$C:$C,MATCH(TRIM('RZSPbS-psgr-ldv'!$A55),'State Map'!$A:$A,0))="Max Ambition",Schedules!U$13,X55),X55)</f>
        <v>0</v>
      </c>
      <c r="Z55" s="39">
        <f>IFERROR(IF(INDEX('State Map'!$C:$C,MATCH(TRIM('RZSPbS-psgr-ldv'!$A55),'State Map'!$A:$A,0))="Max Ambition",Schedules!V$13,Y55),Y55)</f>
        <v>0</v>
      </c>
      <c r="AA55" s="39">
        <f>IFERROR(IF(INDEX('State Map'!$C:$C,MATCH(TRIM('RZSPbS-psgr-ldv'!$A55),'State Map'!$A:$A,0))="Max Ambition",Schedules!W$13,Z55),Z55)</f>
        <v>0</v>
      </c>
      <c r="AB55" s="39">
        <f>IFERROR(IF(INDEX('State Map'!$C:$C,MATCH(TRIM('RZSPbS-psgr-ldv'!$A55),'State Map'!$A:$A,0))="Max Ambition",Schedules!X$13,AA55),AA55)</f>
        <v>0</v>
      </c>
      <c r="AC55" s="39">
        <f>IFERROR(IF(INDEX('State Map'!$C:$C,MATCH(TRIM('RZSPbS-psgr-ldv'!$A55),'State Map'!$A:$A,0))="Max Ambition",Schedules!Y$13,AB55),AB55)</f>
        <v>0</v>
      </c>
      <c r="AD55" s="39">
        <f>IFERROR(IF(INDEX('State Map'!$C:$C,MATCH(TRIM('RZSPbS-psgr-ldv'!$A55),'State Map'!$A:$A,0))="Max Ambition",Schedules!Z$13,AC55),AC55)</f>
        <v>0</v>
      </c>
      <c r="AE55" s="39">
        <f>IFERROR(IF(INDEX('State Map'!$C:$C,MATCH(TRIM('RZSPbS-psgr-ldv'!$A55),'State Map'!$A:$A,0))="Max Ambition",Schedules!AA$13,AD55),AD55)</f>
        <v>0</v>
      </c>
      <c r="AF55" s="39">
        <f>IFERROR(IF(INDEX('State Map'!$C:$C,MATCH(TRIM('RZSPbS-psgr-ldv'!$A55),'State Map'!$A:$A,0))="Max Ambition",Schedules!AB$13,AE55),AE55)</f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39">
        <f>IFERROR(IF(INDEX('State Map'!$C:$C,MATCH(TRIM('RZSPbS-psgr-ldv'!$A56),'State Map'!$A:$A,0))="Max Ambition",Schedules!G$13,J56),J56)</f>
        <v>0</v>
      </c>
      <c r="L56" s="39">
        <f>IFERROR(IF(INDEX('State Map'!$C:$C,MATCH(TRIM('RZSPbS-psgr-ldv'!$A56),'State Map'!$A:$A,0))="Max Ambition",Schedules!H$13,K56),K56)</f>
        <v>0</v>
      </c>
      <c r="M56" s="39">
        <f>IFERROR(IF(INDEX('State Map'!$C:$C,MATCH(TRIM('RZSPbS-psgr-ldv'!$A56),'State Map'!$A:$A,0))="Max Ambition",Schedules!I$13,L56),L56)</f>
        <v>0</v>
      </c>
      <c r="N56" s="39">
        <f>IFERROR(IF(INDEX('State Map'!$C:$C,MATCH(TRIM('RZSPbS-psgr-ldv'!$A56),'State Map'!$A:$A,0))="Max Ambition",Schedules!J$13,M56),M56)</f>
        <v>0</v>
      </c>
      <c r="O56" s="39">
        <f>IFERROR(IF(INDEX('State Map'!$C:$C,MATCH(TRIM('RZSPbS-psgr-ldv'!$A56),'State Map'!$A:$A,0))="Max Ambition",Schedules!K$13,N56),N56)</f>
        <v>0</v>
      </c>
      <c r="P56" s="39">
        <f>IFERROR(IF(INDEX('State Map'!$C:$C,MATCH(TRIM('RZSPbS-psgr-ldv'!$A56),'State Map'!$A:$A,0))="Max Ambition",Schedules!L$13,O56),O56)</f>
        <v>0</v>
      </c>
      <c r="Q56" s="39">
        <f>IFERROR(IF(INDEX('State Map'!$C:$C,MATCH(TRIM('RZSPbS-psgr-ldv'!$A56),'State Map'!$A:$A,0))="Max Ambition",Schedules!M$13,P56),P56)</f>
        <v>0</v>
      </c>
      <c r="R56" s="39">
        <f>IFERROR(IF(INDEX('State Map'!$C:$C,MATCH(TRIM('RZSPbS-psgr-ldv'!$A56),'State Map'!$A:$A,0))="Max Ambition",Schedules!N$13,Q56),Q56)</f>
        <v>0</v>
      </c>
      <c r="S56" s="39">
        <f>IFERROR(IF(INDEX('State Map'!$C:$C,MATCH(TRIM('RZSPbS-psgr-ldv'!$A56),'State Map'!$A:$A,0))="Max Ambition",Schedules!O$13,R56),R56)</f>
        <v>0</v>
      </c>
      <c r="T56" s="39">
        <f>IFERROR(IF(INDEX('State Map'!$C:$C,MATCH(TRIM('RZSPbS-psgr-ldv'!$A56),'State Map'!$A:$A,0))="Max Ambition",Schedules!P$13,S56),S56)</f>
        <v>0</v>
      </c>
      <c r="U56" s="39">
        <f>IFERROR(IF(INDEX('State Map'!$C:$C,MATCH(TRIM('RZSPbS-psgr-ldv'!$A56),'State Map'!$A:$A,0))="Max Ambition",Schedules!Q$13,T56),T56)</f>
        <v>0</v>
      </c>
      <c r="V56" s="39">
        <f>IFERROR(IF(INDEX('State Map'!$C:$C,MATCH(TRIM('RZSPbS-psgr-ldv'!$A56),'State Map'!$A:$A,0))="Max Ambition",Schedules!R$13,U56),U56)</f>
        <v>0</v>
      </c>
      <c r="W56" s="39">
        <f>IFERROR(IF(INDEX('State Map'!$C:$C,MATCH(TRIM('RZSPbS-psgr-ldv'!$A56),'State Map'!$A:$A,0))="Max Ambition",Schedules!S$13,V56),V56)</f>
        <v>0</v>
      </c>
      <c r="X56" s="39">
        <f>IFERROR(IF(INDEX('State Map'!$C:$C,MATCH(TRIM('RZSPbS-psgr-ldv'!$A56),'State Map'!$A:$A,0))="Max Ambition",Schedules!T$13,W56),W56)</f>
        <v>0</v>
      </c>
      <c r="Y56" s="39">
        <f>IFERROR(IF(INDEX('State Map'!$C:$C,MATCH(TRIM('RZSPbS-psgr-ldv'!$A56),'State Map'!$A:$A,0))="Max Ambition",Schedules!U$13,X56),X56)</f>
        <v>0</v>
      </c>
      <c r="Z56" s="39">
        <f>IFERROR(IF(INDEX('State Map'!$C:$C,MATCH(TRIM('RZSPbS-psgr-ldv'!$A56),'State Map'!$A:$A,0))="Max Ambition",Schedules!V$13,Y56),Y56)</f>
        <v>0</v>
      </c>
      <c r="AA56" s="39">
        <f>IFERROR(IF(INDEX('State Map'!$C:$C,MATCH(TRIM('RZSPbS-psgr-ldv'!$A56),'State Map'!$A:$A,0))="Max Ambition",Schedules!W$13,Z56),Z56)</f>
        <v>0</v>
      </c>
      <c r="AB56" s="39">
        <f>IFERROR(IF(INDEX('State Map'!$C:$C,MATCH(TRIM('RZSPbS-psgr-ldv'!$A56),'State Map'!$A:$A,0))="Max Ambition",Schedules!X$13,AA56),AA56)</f>
        <v>0</v>
      </c>
      <c r="AC56" s="39">
        <f>IFERROR(IF(INDEX('State Map'!$C:$C,MATCH(TRIM('RZSPbS-psgr-ldv'!$A56),'State Map'!$A:$A,0))="Max Ambition",Schedules!Y$13,AB56),AB56)</f>
        <v>0</v>
      </c>
      <c r="AD56" s="39">
        <f>IFERROR(IF(INDEX('State Map'!$C:$C,MATCH(TRIM('RZSPbS-psgr-ldv'!$A56),'State Map'!$A:$A,0))="Max Ambition",Schedules!Z$13,AC56),AC56)</f>
        <v>0</v>
      </c>
      <c r="AE56" s="39">
        <f>IFERROR(IF(INDEX('State Map'!$C:$C,MATCH(TRIM('RZSPbS-psgr-ldv'!$A56),'State Map'!$A:$A,0))="Max Ambition",Schedules!AA$13,AD56),AD56)</f>
        <v>0</v>
      </c>
      <c r="AF56" s="39">
        <f>IFERROR(IF(INDEX('State Map'!$C:$C,MATCH(TRIM('RZSPbS-psgr-ldv'!$A56),'State Map'!$A:$A,0))="Max Ambition",Schedules!AB$13,AE56),AE56)</f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39">
        <f>IFERROR(IF(INDEX('State Map'!$C:$C,MATCH(TRIM('RZSPbS-psgr-ldv'!$A57),'State Map'!$A:$A,0))="Max Ambition",Schedules!G$13,J57),J57)</f>
        <v>0</v>
      </c>
      <c r="L57" s="39">
        <f>IFERROR(IF(INDEX('State Map'!$C:$C,MATCH(TRIM('RZSPbS-psgr-ldv'!$A57),'State Map'!$A:$A,0))="Max Ambition",Schedules!H$13,K57),K57)</f>
        <v>0</v>
      </c>
      <c r="M57" s="39">
        <f>IFERROR(IF(INDEX('State Map'!$C:$C,MATCH(TRIM('RZSPbS-psgr-ldv'!$A57),'State Map'!$A:$A,0))="Max Ambition",Schedules!I$13,L57),L57)</f>
        <v>0</v>
      </c>
      <c r="N57" s="39">
        <f>IFERROR(IF(INDEX('State Map'!$C:$C,MATCH(TRIM('RZSPbS-psgr-ldv'!$A57),'State Map'!$A:$A,0))="Max Ambition",Schedules!J$13,M57),M57)</f>
        <v>0</v>
      </c>
      <c r="O57" s="39">
        <f>IFERROR(IF(INDEX('State Map'!$C:$C,MATCH(TRIM('RZSPbS-psgr-ldv'!$A57),'State Map'!$A:$A,0))="Max Ambition",Schedules!K$13,N57),N57)</f>
        <v>0</v>
      </c>
      <c r="P57" s="39">
        <f>IFERROR(IF(INDEX('State Map'!$C:$C,MATCH(TRIM('RZSPbS-psgr-ldv'!$A57),'State Map'!$A:$A,0))="Max Ambition",Schedules!L$13,O57),O57)</f>
        <v>0</v>
      </c>
      <c r="Q57" s="39">
        <f>IFERROR(IF(INDEX('State Map'!$C:$C,MATCH(TRIM('RZSPbS-psgr-ldv'!$A57),'State Map'!$A:$A,0))="Max Ambition",Schedules!M$13,P57),P57)</f>
        <v>0</v>
      </c>
      <c r="R57" s="39">
        <f>IFERROR(IF(INDEX('State Map'!$C:$C,MATCH(TRIM('RZSPbS-psgr-ldv'!$A57),'State Map'!$A:$A,0))="Max Ambition",Schedules!N$13,Q57),Q57)</f>
        <v>0</v>
      </c>
      <c r="S57" s="39">
        <f>IFERROR(IF(INDEX('State Map'!$C:$C,MATCH(TRIM('RZSPbS-psgr-ldv'!$A57),'State Map'!$A:$A,0))="Max Ambition",Schedules!O$13,R57),R57)</f>
        <v>0</v>
      </c>
      <c r="T57" s="39">
        <f>IFERROR(IF(INDEX('State Map'!$C:$C,MATCH(TRIM('RZSPbS-psgr-ldv'!$A57),'State Map'!$A:$A,0))="Max Ambition",Schedules!P$13,S57),S57)</f>
        <v>0</v>
      </c>
      <c r="U57" s="39">
        <f>IFERROR(IF(INDEX('State Map'!$C:$C,MATCH(TRIM('RZSPbS-psgr-ldv'!$A57),'State Map'!$A:$A,0))="Max Ambition",Schedules!Q$13,T57),T57)</f>
        <v>0</v>
      </c>
      <c r="V57" s="39">
        <f>IFERROR(IF(INDEX('State Map'!$C:$C,MATCH(TRIM('RZSPbS-psgr-ldv'!$A57),'State Map'!$A:$A,0))="Max Ambition",Schedules!R$13,U57),U57)</f>
        <v>0</v>
      </c>
      <c r="W57" s="39">
        <f>IFERROR(IF(INDEX('State Map'!$C:$C,MATCH(TRIM('RZSPbS-psgr-ldv'!$A57),'State Map'!$A:$A,0))="Max Ambition",Schedules!S$13,V57),V57)</f>
        <v>0</v>
      </c>
      <c r="X57" s="39">
        <f>IFERROR(IF(INDEX('State Map'!$C:$C,MATCH(TRIM('RZSPbS-psgr-ldv'!$A57),'State Map'!$A:$A,0))="Max Ambition",Schedules!T$13,W57),W57)</f>
        <v>0</v>
      </c>
      <c r="Y57" s="39">
        <f>IFERROR(IF(INDEX('State Map'!$C:$C,MATCH(TRIM('RZSPbS-psgr-ldv'!$A57),'State Map'!$A:$A,0))="Max Ambition",Schedules!U$13,X57),X57)</f>
        <v>0</v>
      </c>
      <c r="Z57" s="39">
        <f>IFERROR(IF(INDEX('State Map'!$C:$C,MATCH(TRIM('RZSPbS-psgr-ldv'!$A57),'State Map'!$A:$A,0))="Max Ambition",Schedules!V$13,Y57),Y57)</f>
        <v>0</v>
      </c>
      <c r="AA57" s="39">
        <f>IFERROR(IF(INDEX('State Map'!$C:$C,MATCH(TRIM('RZSPbS-psgr-ldv'!$A57),'State Map'!$A:$A,0))="Max Ambition",Schedules!W$13,Z57),Z57)</f>
        <v>0</v>
      </c>
      <c r="AB57" s="39">
        <f>IFERROR(IF(INDEX('State Map'!$C:$C,MATCH(TRIM('RZSPbS-psgr-ldv'!$A57),'State Map'!$A:$A,0))="Max Ambition",Schedules!X$13,AA57),AA57)</f>
        <v>0</v>
      </c>
      <c r="AC57" s="39">
        <f>IFERROR(IF(INDEX('State Map'!$C:$C,MATCH(TRIM('RZSPbS-psgr-ldv'!$A57),'State Map'!$A:$A,0))="Max Ambition",Schedules!Y$13,AB57),AB57)</f>
        <v>0</v>
      </c>
      <c r="AD57" s="39">
        <f>IFERROR(IF(INDEX('State Map'!$C:$C,MATCH(TRIM('RZSPbS-psgr-ldv'!$A57),'State Map'!$A:$A,0))="Max Ambition",Schedules!Z$13,AC57),AC57)</f>
        <v>0</v>
      </c>
      <c r="AE57" s="39">
        <f>IFERROR(IF(INDEX('State Map'!$C:$C,MATCH(TRIM('RZSPbS-psgr-ldv'!$A57),'State Map'!$A:$A,0))="Max Ambition",Schedules!AA$13,AD57),AD57)</f>
        <v>0</v>
      </c>
      <c r="AF57" s="39">
        <f>IFERROR(IF(INDEX('State Map'!$C:$C,MATCH(TRIM('RZSPbS-psgr-ldv'!$A57),'State Map'!$A:$A,0))="Max Ambition",Schedules!AB$13,AE57),AE57)</f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39">
        <f>IFERROR(IF(INDEX('State Map'!$C:$C,MATCH(TRIM('RZSPbS-psgr-ldv'!$A58),'State Map'!$A:$A,0))="Max Ambition",Schedules!G$13,J58),J58)</f>
        <v>0</v>
      </c>
      <c r="L58" s="39">
        <f>IFERROR(IF(INDEX('State Map'!$C:$C,MATCH(TRIM('RZSPbS-psgr-ldv'!$A58),'State Map'!$A:$A,0))="Max Ambition",Schedules!H$13,K58),K58)</f>
        <v>0</v>
      </c>
      <c r="M58" s="39">
        <f>IFERROR(IF(INDEX('State Map'!$C:$C,MATCH(TRIM('RZSPbS-psgr-ldv'!$A58),'State Map'!$A:$A,0))="Max Ambition",Schedules!I$13,L58),L58)</f>
        <v>0</v>
      </c>
      <c r="N58" s="39">
        <f>IFERROR(IF(INDEX('State Map'!$C:$C,MATCH(TRIM('RZSPbS-psgr-ldv'!$A58),'State Map'!$A:$A,0))="Max Ambition",Schedules!J$13,M58),M58)</f>
        <v>0</v>
      </c>
      <c r="O58" s="39">
        <f>IFERROR(IF(INDEX('State Map'!$C:$C,MATCH(TRIM('RZSPbS-psgr-ldv'!$A58),'State Map'!$A:$A,0))="Max Ambition",Schedules!K$13,N58),N58)</f>
        <v>0</v>
      </c>
      <c r="P58" s="39">
        <f>IFERROR(IF(INDEX('State Map'!$C:$C,MATCH(TRIM('RZSPbS-psgr-ldv'!$A58),'State Map'!$A:$A,0))="Max Ambition",Schedules!L$13,O58),O58)</f>
        <v>0</v>
      </c>
      <c r="Q58" s="39">
        <f>IFERROR(IF(INDEX('State Map'!$C:$C,MATCH(TRIM('RZSPbS-psgr-ldv'!$A58),'State Map'!$A:$A,0))="Max Ambition",Schedules!M$13,P58),P58)</f>
        <v>0</v>
      </c>
      <c r="R58" s="39">
        <f>IFERROR(IF(INDEX('State Map'!$C:$C,MATCH(TRIM('RZSPbS-psgr-ldv'!$A58),'State Map'!$A:$A,0))="Max Ambition",Schedules!N$13,Q58),Q58)</f>
        <v>0</v>
      </c>
      <c r="S58" s="39">
        <f>IFERROR(IF(INDEX('State Map'!$C:$C,MATCH(TRIM('RZSPbS-psgr-ldv'!$A58),'State Map'!$A:$A,0))="Max Ambition",Schedules!O$13,R58),R58)</f>
        <v>0</v>
      </c>
      <c r="T58" s="39">
        <f>IFERROR(IF(INDEX('State Map'!$C:$C,MATCH(TRIM('RZSPbS-psgr-ldv'!$A58),'State Map'!$A:$A,0))="Max Ambition",Schedules!P$13,S58),S58)</f>
        <v>0</v>
      </c>
      <c r="U58" s="39">
        <f>IFERROR(IF(INDEX('State Map'!$C:$C,MATCH(TRIM('RZSPbS-psgr-ldv'!$A58),'State Map'!$A:$A,0))="Max Ambition",Schedules!Q$13,T58),T58)</f>
        <v>0</v>
      </c>
      <c r="V58" s="39">
        <f>IFERROR(IF(INDEX('State Map'!$C:$C,MATCH(TRIM('RZSPbS-psgr-ldv'!$A58),'State Map'!$A:$A,0))="Max Ambition",Schedules!R$13,U58),U58)</f>
        <v>0</v>
      </c>
      <c r="W58" s="39">
        <f>IFERROR(IF(INDEX('State Map'!$C:$C,MATCH(TRIM('RZSPbS-psgr-ldv'!$A58),'State Map'!$A:$A,0))="Max Ambition",Schedules!S$13,V58),V58)</f>
        <v>0</v>
      </c>
      <c r="X58" s="39">
        <f>IFERROR(IF(INDEX('State Map'!$C:$C,MATCH(TRIM('RZSPbS-psgr-ldv'!$A58),'State Map'!$A:$A,0))="Max Ambition",Schedules!T$13,W58),W58)</f>
        <v>0</v>
      </c>
      <c r="Y58" s="39">
        <f>IFERROR(IF(INDEX('State Map'!$C:$C,MATCH(TRIM('RZSPbS-psgr-ldv'!$A58),'State Map'!$A:$A,0))="Max Ambition",Schedules!U$13,X58),X58)</f>
        <v>0</v>
      </c>
      <c r="Z58" s="39">
        <f>IFERROR(IF(INDEX('State Map'!$C:$C,MATCH(TRIM('RZSPbS-psgr-ldv'!$A58),'State Map'!$A:$A,0))="Max Ambition",Schedules!V$13,Y58),Y58)</f>
        <v>0</v>
      </c>
      <c r="AA58" s="39">
        <f>IFERROR(IF(INDEX('State Map'!$C:$C,MATCH(TRIM('RZSPbS-psgr-ldv'!$A58),'State Map'!$A:$A,0))="Max Ambition",Schedules!W$13,Z58),Z58)</f>
        <v>0</v>
      </c>
      <c r="AB58" s="39">
        <f>IFERROR(IF(INDEX('State Map'!$C:$C,MATCH(TRIM('RZSPbS-psgr-ldv'!$A58),'State Map'!$A:$A,0))="Max Ambition",Schedules!X$13,AA58),AA58)</f>
        <v>0</v>
      </c>
      <c r="AC58" s="39">
        <f>IFERROR(IF(INDEX('State Map'!$C:$C,MATCH(TRIM('RZSPbS-psgr-ldv'!$A58),'State Map'!$A:$A,0))="Max Ambition",Schedules!Y$13,AB58),AB58)</f>
        <v>0</v>
      </c>
      <c r="AD58" s="39">
        <f>IFERROR(IF(INDEX('State Map'!$C:$C,MATCH(TRIM('RZSPbS-psgr-ldv'!$A58),'State Map'!$A:$A,0))="Max Ambition",Schedules!Z$13,AC58),AC58)</f>
        <v>0</v>
      </c>
      <c r="AE58" s="39">
        <f>IFERROR(IF(INDEX('State Map'!$C:$C,MATCH(TRIM('RZSPbS-psgr-ldv'!$A58),'State Map'!$A:$A,0))="Max Ambition",Schedules!AA$13,AD58),AD58)</f>
        <v>0</v>
      </c>
      <c r="AF58" s="39">
        <f>IFERROR(IF(INDEX('State Map'!$C:$C,MATCH(TRIM('RZSPbS-psgr-ldv'!$A58),'State Map'!$A:$A,0))="Max Ambition",Schedules!AB$13,AE58),AE58)</f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39">
        <f>IFERROR(IF(INDEX('State Map'!$C:$C,MATCH(TRIM('RZSPbS-psgr-ldv'!$A59),'State Map'!$A:$A,0))="Max Ambition",Schedules!G$13,J59),J59)</f>
        <v>0</v>
      </c>
      <c r="L59" s="39">
        <f>IFERROR(IF(INDEX('State Map'!$C:$C,MATCH(TRIM('RZSPbS-psgr-ldv'!$A59),'State Map'!$A:$A,0))="Max Ambition",Schedules!H$13,K59),K59)</f>
        <v>0</v>
      </c>
      <c r="M59" s="39">
        <f>IFERROR(IF(INDEX('State Map'!$C:$C,MATCH(TRIM('RZSPbS-psgr-ldv'!$A59),'State Map'!$A:$A,0))="Max Ambition",Schedules!I$13,L59),L59)</f>
        <v>0</v>
      </c>
      <c r="N59" s="39">
        <f>IFERROR(IF(INDEX('State Map'!$C:$C,MATCH(TRIM('RZSPbS-psgr-ldv'!$A59),'State Map'!$A:$A,0))="Max Ambition",Schedules!J$13,M59),M59)</f>
        <v>0</v>
      </c>
      <c r="O59" s="39">
        <f>IFERROR(IF(INDEX('State Map'!$C:$C,MATCH(TRIM('RZSPbS-psgr-ldv'!$A59),'State Map'!$A:$A,0))="Max Ambition",Schedules!K$13,N59),N59)</f>
        <v>0</v>
      </c>
      <c r="P59" s="39">
        <f>IFERROR(IF(INDEX('State Map'!$C:$C,MATCH(TRIM('RZSPbS-psgr-ldv'!$A59),'State Map'!$A:$A,0))="Max Ambition",Schedules!L$13,O59),O59)</f>
        <v>0</v>
      </c>
      <c r="Q59" s="39">
        <f>IFERROR(IF(INDEX('State Map'!$C:$C,MATCH(TRIM('RZSPbS-psgr-ldv'!$A59),'State Map'!$A:$A,0))="Max Ambition",Schedules!M$13,P59),P59)</f>
        <v>0</v>
      </c>
      <c r="R59" s="39">
        <f>IFERROR(IF(INDEX('State Map'!$C:$C,MATCH(TRIM('RZSPbS-psgr-ldv'!$A59),'State Map'!$A:$A,0))="Max Ambition",Schedules!N$13,Q59),Q59)</f>
        <v>0</v>
      </c>
      <c r="S59" s="39">
        <f>IFERROR(IF(INDEX('State Map'!$C:$C,MATCH(TRIM('RZSPbS-psgr-ldv'!$A59),'State Map'!$A:$A,0))="Max Ambition",Schedules!O$13,R59),R59)</f>
        <v>0</v>
      </c>
      <c r="T59" s="39">
        <f>IFERROR(IF(INDEX('State Map'!$C:$C,MATCH(TRIM('RZSPbS-psgr-ldv'!$A59),'State Map'!$A:$A,0))="Max Ambition",Schedules!P$13,S59),S59)</f>
        <v>0</v>
      </c>
      <c r="U59" s="39">
        <f>IFERROR(IF(INDEX('State Map'!$C:$C,MATCH(TRIM('RZSPbS-psgr-ldv'!$A59),'State Map'!$A:$A,0))="Max Ambition",Schedules!Q$13,T59),T59)</f>
        <v>0</v>
      </c>
      <c r="V59" s="39">
        <f>IFERROR(IF(INDEX('State Map'!$C:$C,MATCH(TRIM('RZSPbS-psgr-ldv'!$A59),'State Map'!$A:$A,0))="Max Ambition",Schedules!R$13,U59),U59)</f>
        <v>0</v>
      </c>
      <c r="W59" s="39">
        <f>IFERROR(IF(INDEX('State Map'!$C:$C,MATCH(TRIM('RZSPbS-psgr-ldv'!$A59),'State Map'!$A:$A,0))="Max Ambition",Schedules!S$13,V59),V59)</f>
        <v>0</v>
      </c>
      <c r="X59" s="39">
        <f>IFERROR(IF(INDEX('State Map'!$C:$C,MATCH(TRIM('RZSPbS-psgr-ldv'!$A59),'State Map'!$A:$A,0))="Max Ambition",Schedules!T$13,W59),W59)</f>
        <v>0</v>
      </c>
      <c r="Y59" s="39">
        <f>IFERROR(IF(INDEX('State Map'!$C:$C,MATCH(TRIM('RZSPbS-psgr-ldv'!$A59),'State Map'!$A:$A,0))="Max Ambition",Schedules!U$13,X59),X59)</f>
        <v>0</v>
      </c>
      <c r="Z59" s="39">
        <f>IFERROR(IF(INDEX('State Map'!$C:$C,MATCH(TRIM('RZSPbS-psgr-ldv'!$A59),'State Map'!$A:$A,0))="Max Ambition",Schedules!V$13,Y59),Y59)</f>
        <v>0</v>
      </c>
      <c r="AA59" s="39">
        <f>IFERROR(IF(INDEX('State Map'!$C:$C,MATCH(TRIM('RZSPbS-psgr-ldv'!$A59),'State Map'!$A:$A,0))="Max Ambition",Schedules!W$13,Z59),Z59)</f>
        <v>0</v>
      </c>
      <c r="AB59" s="39">
        <f>IFERROR(IF(INDEX('State Map'!$C:$C,MATCH(TRIM('RZSPbS-psgr-ldv'!$A59),'State Map'!$A:$A,0))="Max Ambition",Schedules!X$13,AA59),AA59)</f>
        <v>0</v>
      </c>
      <c r="AC59" s="39">
        <f>IFERROR(IF(INDEX('State Map'!$C:$C,MATCH(TRIM('RZSPbS-psgr-ldv'!$A59),'State Map'!$A:$A,0))="Max Ambition",Schedules!Y$13,AB59),AB59)</f>
        <v>0</v>
      </c>
      <c r="AD59" s="39">
        <f>IFERROR(IF(INDEX('State Map'!$C:$C,MATCH(TRIM('RZSPbS-psgr-ldv'!$A59),'State Map'!$A:$A,0))="Max Ambition",Schedules!Z$13,AC59),AC59)</f>
        <v>0</v>
      </c>
      <c r="AE59" s="39">
        <f>IFERROR(IF(INDEX('State Map'!$C:$C,MATCH(TRIM('RZSPbS-psgr-ldv'!$A59),'State Map'!$A:$A,0))="Max Ambition",Schedules!AA$13,AD59),AD59)</f>
        <v>0</v>
      </c>
      <c r="AF59" s="39">
        <f>IFERROR(IF(INDEX('State Map'!$C:$C,MATCH(TRIM('RZSPbS-psgr-ldv'!$A59),'State Map'!$A:$A,0))="Max Ambition",Schedules!AB$13,AE59),AE59)</f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39">
        <f>IFERROR(IF(INDEX('State Map'!$C:$C,MATCH(TRIM('RZSPbS-psgr-ldv'!$A60),'State Map'!$A:$A,0))="Max Ambition",Schedules!G$13,J60),J60)</f>
        <v>0</v>
      </c>
      <c r="L60" s="39">
        <f>IFERROR(IF(INDEX('State Map'!$C:$C,MATCH(TRIM('RZSPbS-psgr-ldv'!$A60),'State Map'!$A:$A,0))="Max Ambition",Schedules!H$13,K60),K60)</f>
        <v>0</v>
      </c>
      <c r="M60" s="39">
        <f>IFERROR(IF(INDEX('State Map'!$C:$C,MATCH(TRIM('RZSPbS-psgr-ldv'!$A60),'State Map'!$A:$A,0))="Max Ambition",Schedules!I$13,L60),L60)</f>
        <v>0</v>
      </c>
      <c r="N60" s="39">
        <f>IFERROR(IF(INDEX('State Map'!$C:$C,MATCH(TRIM('RZSPbS-psgr-ldv'!$A60),'State Map'!$A:$A,0))="Max Ambition",Schedules!J$13,M60),M60)</f>
        <v>0</v>
      </c>
      <c r="O60" s="39">
        <f>IFERROR(IF(INDEX('State Map'!$C:$C,MATCH(TRIM('RZSPbS-psgr-ldv'!$A60),'State Map'!$A:$A,0))="Max Ambition",Schedules!K$13,N60),N60)</f>
        <v>0</v>
      </c>
      <c r="P60" s="39">
        <f>IFERROR(IF(INDEX('State Map'!$C:$C,MATCH(TRIM('RZSPbS-psgr-ldv'!$A60),'State Map'!$A:$A,0))="Max Ambition",Schedules!L$13,O60),O60)</f>
        <v>0</v>
      </c>
      <c r="Q60" s="39">
        <f>IFERROR(IF(INDEX('State Map'!$C:$C,MATCH(TRIM('RZSPbS-psgr-ldv'!$A60),'State Map'!$A:$A,0))="Max Ambition",Schedules!M$13,P60),P60)</f>
        <v>0</v>
      </c>
      <c r="R60" s="39">
        <f>IFERROR(IF(INDEX('State Map'!$C:$C,MATCH(TRIM('RZSPbS-psgr-ldv'!$A60),'State Map'!$A:$A,0))="Max Ambition",Schedules!N$13,Q60),Q60)</f>
        <v>0</v>
      </c>
      <c r="S60" s="39">
        <f>IFERROR(IF(INDEX('State Map'!$C:$C,MATCH(TRIM('RZSPbS-psgr-ldv'!$A60),'State Map'!$A:$A,0))="Max Ambition",Schedules!O$13,R60),R60)</f>
        <v>0</v>
      </c>
      <c r="T60" s="39">
        <f>IFERROR(IF(INDEX('State Map'!$C:$C,MATCH(TRIM('RZSPbS-psgr-ldv'!$A60),'State Map'!$A:$A,0))="Max Ambition",Schedules!P$13,S60),S60)</f>
        <v>0</v>
      </c>
      <c r="U60" s="39">
        <f>IFERROR(IF(INDEX('State Map'!$C:$C,MATCH(TRIM('RZSPbS-psgr-ldv'!$A60),'State Map'!$A:$A,0))="Max Ambition",Schedules!Q$13,T60),T60)</f>
        <v>0</v>
      </c>
      <c r="V60" s="39">
        <f>IFERROR(IF(INDEX('State Map'!$C:$C,MATCH(TRIM('RZSPbS-psgr-ldv'!$A60),'State Map'!$A:$A,0))="Max Ambition",Schedules!R$13,U60),U60)</f>
        <v>0</v>
      </c>
      <c r="W60" s="39">
        <f>IFERROR(IF(INDEX('State Map'!$C:$C,MATCH(TRIM('RZSPbS-psgr-ldv'!$A60),'State Map'!$A:$A,0))="Max Ambition",Schedules!S$13,V60),V60)</f>
        <v>0</v>
      </c>
      <c r="X60" s="39">
        <f>IFERROR(IF(INDEX('State Map'!$C:$C,MATCH(TRIM('RZSPbS-psgr-ldv'!$A60),'State Map'!$A:$A,0))="Max Ambition",Schedules!T$13,W60),W60)</f>
        <v>0</v>
      </c>
      <c r="Y60" s="39">
        <f>IFERROR(IF(INDEX('State Map'!$C:$C,MATCH(TRIM('RZSPbS-psgr-ldv'!$A60),'State Map'!$A:$A,0))="Max Ambition",Schedules!U$13,X60),X60)</f>
        <v>0</v>
      </c>
      <c r="Z60" s="39">
        <f>IFERROR(IF(INDEX('State Map'!$C:$C,MATCH(TRIM('RZSPbS-psgr-ldv'!$A60),'State Map'!$A:$A,0))="Max Ambition",Schedules!V$13,Y60),Y60)</f>
        <v>0</v>
      </c>
      <c r="AA60" s="39">
        <f>IFERROR(IF(INDEX('State Map'!$C:$C,MATCH(TRIM('RZSPbS-psgr-ldv'!$A60),'State Map'!$A:$A,0))="Max Ambition",Schedules!W$13,Z60),Z60)</f>
        <v>0</v>
      </c>
      <c r="AB60" s="39">
        <f>IFERROR(IF(INDEX('State Map'!$C:$C,MATCH(TRIM('RZSPbS-psgr-ldv'!$A60),'State Map'!$A:$A,0))="Max Ambition",Schedules!X$13,AA60),AA60)</f>
        <v>0</v>
      </c>
      <c r="AC60" s="39">
        <f>IFERROR(IF(INDEX('State Map'!$C:$C,MATCH(TRIM('RZSPbS-psgr-ldv'!$A60),'State Map'!$A:$A,0))="Max Ambition",Schedules!Y$13,AB60),AB60)</f>
        <v>0</v>
      </c>
      <c r="AD60" s="39">
        <f>IFERROR(IF(INDEX('State Map'!$C:$C,MATCH(TRIM('RZSPbS-psgr-ldv'!$A60),'State Map'!$A:$A,0))="Max Ambition",Schedules!Z$13,AC60),AC60)</f>
        <v>0</v>
      </c>
      <c r="AE60" s="39">
        <f>IFERROR(IF(INDEX('State Map'!$C:$C,MATCH(TRIM('RZSPbS-psgr-ldv'!$A60),'State Map'!$A:$A,0))="Max Ambition",Schedules!AA$13,AD60),AD60)</f>
        <v>0</v>
      </c>
      <c r="AF60" s="39">
        <f>IFERROR(IF(INDEX('State Map'!$C:$C,MATCH(TRIM('RZSPbS-psgr-ldv'!$A60),'State Map'!$A:$A,0))="Max Ambition",Schedules!AB$13,AE60),AE60)</f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39">
        <f>IFERROR(IF(INDEX('State Map'!$C:$C,MATCH(TRIM('RZSPbS-psgr-ldv'!$A61),'State Map'!$A:$A,0))="Max Ambition",Schedules!G$13,J61),J61)</f>
        <v>0</v>
      </c>
      <c r="L61" s="39">
        <f>IFERROR(IF(INDEX('State Map'!$C:$C,MATCH(TRIM('RZSPbS-psgr-ldv'!$A61),'State Map'!$A:$A,0))="Max Ambition",Schedules!H$13,K61),K61)</f>
        <v>0</v>
      </c>
      <c r="M61" s="39">
        <f>IFERROR(IF(INDEX('State Map'!$C:$C,MATCH(TRIM('RZSPbS-psgr-ldv'!$A61),'State Map'!$A:$A,0))="Max Ambition",Schedules!I$13,L61),L61)</f>
        <v>0</v>
      </c>
      <c r="N61" s="39">
        <f>IFERROR(IF(INDEX('State Map'!$C:$C,MATCH(TRIM('RZSPbS-psgr-ldv'!$A61),'State Map'!$A:$A,0))="Max Ambition",Schedules!J$13,M61),M61)</f>
        <v>0</v>
      </c>
      <c r="O61" s="39">
        <f>IFERROR(IF(INDEX('State Map'!$C:$C,MATCH(TRIM('RZSPbS-psgr-ldv'!$A61),'State Map'!$A:$A,0))="Max Ambition",Schedules!K$13,N61),N61)</f>
        <v>0</v>
      </c>
      <c r="P61" s="39">
        <f>IFERROR(IF(INDEX('State Map'!$C:$C,MATCH(TRIM('RZSPbS-psgr-ldv'!$A61),'State Map'!$A:$A,0))="Max Ambition",Schedules!L$13,O61),O61)</f>
        <v>0</v>
      </c>
      <c r="Q61" s="39">
        <f>IFERROR(IF(INDEX('State Map'!$C:$C,MATCH(TRIM('RZSPbS-psgr-ldv'!$A61),'State Map'!$A:$A,0))="Max Ambition",Schedules!M$13,P61),P61)</f>
        <v>0</v>
      </c>
      <c r="R61" s="39">
        <f>IFERROR(IF(INDEX('State Map'!$C:$C,MATCH(TRIM('RZSPbS-psgr-ldv'!$A61),'State Map'!$A:$A,0))="Max Ambition",Schedules!N$13,Q61),Q61)</f>
        <v>0</v>
      </c>
      <c r="S61" s="39">
        <f>IFERROR(IF(INDEX('State Map'!$C:$C,MATCH(TRIM('RZSPbS-psgr-ldv'!$A61),'State Map'!$A:$A,0))="Max Ambition",Schedules!O$13,R61),R61)</f>
        <v>0</v>
      </c>
      <c r="T61" s="39">
        <f>IFERROR(IF(INDEX('State Map'!$C:$C,MATCH(TRIM('RZSPbS-psgr-ldv'!$A61),'State Map'!$A:$A,0))="Max Ambition",Schedules!P$13,S61),S61)</f>
        <v>0</v>
      </c>
      <c r="U61" s="39">
        <f>IFERROR(IF(INDEX('State Map'!$C:$C,MATCH(TRIM('RZSPbS-psgr-ldv'!$A61),'State Map'!$A:$A,0))="Max Ambition",Schedules!Q$13,T61),T61)</f>
        <v>0</v>
      </c>
      <c r="V61" s="39">
        <f>IFERROR(IF(INDEX('State Map'!$C:$C,MATCH(TRIM('RZSPbS-psgr-ldv'!$A61),'State Map'!$A:$A,0))="Max Ambition",Schedules!R$13,U61),U61)</f>
        <v>0</v>
      </c>
      <c r="W61" s="39">
        <f>IFERROR(IF(INDEX('State Map'!$C:$C,MATCH(TRIM('RZSPbS-psgr-ldv'!$A61),'State Map'!$A:$A,0))="Max Ambition",Schedules!S$13,V61),V61)</f>
        <v>0</v>
      </c>
      <c r="X61" s="39">
        <f>IFERROR(IF(INDEX('State Map'!$C:$C,MATCH(TRIM('RZSPbS-psgr-ldv'!$A61),'State Map'!$A:$A,0))="Max Ambition",Schedules!T$13,W61),W61)</f>
        <v>0</v>
      </c>
      <c r="Y61" s="39">
        <f>IFERROR(IF(INDEX('State Map'!$C:$C,MATCH(TRIM('RZSPbS-psgr-ldv'!$A61),'State Map'!$A:$A,0))="Max Ambition",Schedules!U$13,X61),X61)</f>
        <v>0</v>
      </c>
      <c r="Z61" s="39">
        <f>IFERROR(IF(INDEX('State Map'!$C:$C,MATCH(TRIM('RZSPbS-psgr-ldv'!$A61),'State Map'!$A:$A,0))="Max Ambition",Schedules!V$13,Y61),Y61)</f>
        <v>0</v>
      </c>
      <c r="AA61" s="39">
        <f>IFERROR(IF(INDEX('State Map'!$C:$C,MATCH(TRIM('RZSPbS-psgr-ldv'!$A61),'State Map'!$A:$A,0))="Max Ambition",Schedules!W$13,Z61),Z61)</f>
        <v>0</v>
      </c>
      <c r="AB61" s="39">
        <f>IFERROR(IF(INDEX('State Map'!$C:$C,MATCH(TRIM('RZSPbS-psgr-ldv'!$A61),'State Map'!$A:$A,0))="Max Ambition",Schedules!X$13,AA61),AA61)</f>
        <v>0</v>
      </c>
      <c r="AC61" s="39">
        <f>IFERROR(IF(INDEX('State Map'!$C:$C,MATCH(TRIM('RZSPbS-psgr-ldv'!$A61),'State Map'!$A:$A,0))="Max Ambition",Schedules!Y$13,AB61),AB61)</f>
        <v>0</v>
      </c>
      <c r="AD61" s="39">
        <f>IFERROR(IF(INDEX('State Map'!$C:$C,MATCH(TRIM('RZSPbS-psgr-ldv'!$A61),'State Map'!$A:$A,0))="Max Ambition",Schedules!Z$13,AC61),AC61)</f>
        <v>0</v>
      </c>
      <c r="AE61" s="39">
        <f>IFERROR(IF(INDEX('State Map'!$C:$C,MATCH(TRIM('RZSPbS-psgr-ldv'!$A61),'State Map'!$A:$A,0))="Max Ambition",Schedules!AA$13,AD61),AD61)</f>
        <v>0</v>
      </c>
      <c r="AF61" s="39">
        <f>IFERROR(IF(INDEX('State Map'!$C:$C,MATCH(TRIM('RZSPbS-psgr-ldv'!$A61),'State Map'!$A:$A,0))="Max Ambition",Schedules!AB$13,AE61),AE61)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opLeftCell="E29" workbookViewId="0">
      <selection activeCell="S64" sqref="S6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F16B4832CC58469954CEE5069400E4" ma:contentTypeVersion="14" ma:contentTypeDescription="Create a new document." ma:contentTypeScope="" ma:versionID="9447f741000fd14621eb417043c5d7d6">
  <xsd:schema xmlns:xsd="http://www.w3.org/2001/XMLSchema" xmlns:xs="http://www.w3.org/2001/XMLSchema" xmlns:p="http://schemas.microsoft.com/office/2006/metadata/properties" xmlns:ns2="6b0ef528-9a6d-42b1-86a1-e81e012e779e" xmlns:ns3="6b977ca1-347c-4e5c-b615-211488016a57" targetNamespace="http://schemas.microsoft.com/office/2006/metadata/properties" ma:root="true" ma:fieldsID="0308ae177330ef1b459f320c40a7bdd1" ns2:_="" ns3:_="">
    <xsd:import namespace="6b0ef528-9a6d-42b1-86a1-e81e012e779e"/>
    <xsd:import namespace="6b977ca1-347c-4e5c-b615-211488016a5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ef528-9a6d-42b1-86a1-e81e012e779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b6d1926-1f8a-40b9-b8f2-9ef2d77db803}" ma:internalName="TaxCatchAll" ma:showField="CatchAllData" ma:web="6b0ef528-9a6d-42b1-86a1-e81e012e77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977ca1-347c-4e5c-b615-211488016a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ca5b831-c3dc-41cf-bd85-218b82cecb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0ef528-9a6d-42b1-86a1-e81e012e779e" xsi:nil="true"/>
    <lcf76f155ced4ddcb4097134ff3c332f xmlns="6b977ca1-347c-4e5c-b615-211488016a5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5A5E4D-654C-4744-82D1-6831257538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799807-665B-4F3D-B5E8-5D4DF02EFA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0ef528-9a6d-42b1-86a1-e81e012e779e"/>
    <ds:schemaRef ds:uri="6b977ca1-347c-4e5c-b615-211488016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948282-6CD8-46D4-992C-46597B0A5E7D}">
  <ds:schemaRefs>
    <ds:schemaRef ds:uri="http://schemas.microsoft.com/office/2006/metadata/properties"/>
    <ds:schemaRef ds:uri="http://schemas.microsoft.com/office/infopath/2007/PartnerControls"/>
    <ds:schemaRef ds:uri="6b0ef528-9a6d-42b1-86a1-e81e012e779e"/>
    <ds:schemaRef ds:uri="6b977ca1-347c-4e5c-b615-211488016a5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CA Standards and Followers</vt:lpstr>
      <vt:lpstr>Schedules</vt:lpstr>
      <vt:lpstr>State Map</vt:lpstr>
      <vt:lpstr>RZSPbS-psgr-ldv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Megan Mahajan</cp:lastModifiedBy>
  <dcterms:created xsi:type="dcterms:W3CDTF">2022-11-18T23:06:25Z</dcterms:created>
  <dcterms:modified xsi:type="dcterms:W3CDTF">2026-09-09T20:24:28Z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