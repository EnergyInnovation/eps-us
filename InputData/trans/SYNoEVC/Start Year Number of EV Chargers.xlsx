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Olivia Ashmoore\Documents\EPS_Models by Region\United States\us-eps\InputData\trans\SYNoEVC\"/>
    </mc:Choice>
  </mc:AlternateContent>
  <xr:revisionPtr revIDLastSave="0" documentId="13_ncr:1_{7032DC63-0E88-4A44-8C62-6CB6D4286CF7}" xr6:coauthVersionLast="47" xr6:coauthVersionMax="47" xr10:uidLastSave="{00000000-0000-0000-0000-000000000000}"/>
  <bookViews>
    <workbookView xWindow="-90" yWindow="-90" windowWidth="19380" windowHeight="10260" activeTab="3" xr2:uid="{00000000-000D-0000-FFFF-FFFF00000000}"/>
  </bookViews>
  <sheets>
    <sheet name="About" sheetId="1" r:id="rId1"/>
    <sheet name="IIJA" sheetId="5" r:id="rId2"/>
    <sheet name="Inflation Reduction Act" sheetId="6" r:id="rId3"/>
    <sheet name="Calculations" sheetId="4" r:id="rId4"/>
    <sheet name="SYNoEVC" sheetId="3" r:id="rId5"/>
  </sheets>
  <definedNames>
    <definedName name="income">Calculations!#REF!</definedName>
    <definedName name="Range_EV">Calculations!#REF!</definedName>
    <definedName name="range_ICE">Calculations!#REF!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F9" i="4"/>
  <c r="G9" i="4"/>
  <c r="H9" i="4"/>
  <c r="E9" i="4"/>
  <c r="B10" i="5"/>
  <c r="F10" i="4"/>
  <c r="G10" i="4"/>
  <c r="E10" i="4"/>
  <c r="B6" i="5"/>
  <c r="D8" i="4" l="1" a="1"/>
  <c r="D8" i="4" s="1"/>
  <c r="E8" i="4" a="1"/>
  <c r="E8" i="4"/>
  <c r="F8" i="4" a="1"/>
  <c r="F8" i="4" s="1"/>
  <c r="G8" i="4" a="1"/>
  <c r="G8" i="4" s="1"/>
  <c r="H8" i="4" a="1"/>
  <c r="H8" i="4" s="1"/>
  <c r="I8" i="4" a="1"/>
  <c r="I8" i="4" s="1"/>
  <c r="J8" i="4" a="1"/>
  <c r="J8" i="4" s="1"/>
  <c r="K8" i="4" a="1"/>
  <c r="K8" i="4" s="1"/>
  <c r="L8" i="4" a="1"/>
  <c r="L8" i="4" s="1"/>
  <c r="M8" i="4" a="1"/>
  <c r="M8" i="4" s="1"/>
  <c r="N8" i="4" a="1"/>
  <c r="N8" i="4" s="1"/>
  <c r="O8" i="4" a="1"/>
  <c r="O8" i="4" s="1"/>
  <c r="P8" i="4" a="1"/>
  <c r="P8" i="4" s="1"/>
  <c r="Q8" i="4" a="1"/>
  <c r="Q8" i="4" s="1"/>
  <c r="R8" i="4" a="1"/>
  <c r="R8" i="4" s="1"/>
  <c r="S8" i="4" a="1"/>
  <c r="S8" i="4" s="1"/>
  <c r="T8" i="4" a="1"/>
  <c r="T8" i="4" s="1"/>
  <c r="U8" i="4" a="1"/>
  <c r="U8" i="4" s="1"/>
  <c r="V8" i="4" a="1"/>
  <c r="V8" i="4" s="1"/>
  <c r="W8" i="4" a="1"/>
  <c r="W8" i="4" s="1"/>
  <c r="X8" i="4" a="1"/>
  <c r="X8" i="4" s="1"/>
  <c r="Y8" i="4" a="1"/>
  <c r="Y8" i="4" s="1"/>
  <c r="Z8" i="4" a="1"/>
  <c r="Z8" i="4" s="1"/>
  <c r="AA8" i="4" a="1"/>
  <c r="AA8" i="4" s="1"/>
  <c r="AB8" i="4" a="1"/>
  <c r="AB8" i="4" s="1"/>
  <c r="AC8" i="4" a="1"/>
  <c r="AC8" i="4" s="1"/>
  <c r="AD8" i="4" a="1"/>
  <c r="AD8" i="4" s="1"/>
  <c r="AE8" i="4" a="1"/>
  <c r="AE8" i="4" s="1"/>
  <c r="AF8" i="4" a="1"/>
  <c r="AF8" i="4" s="1"/>
  <c r="C8" i="4" l="1"/>
  <c r="C11" i="4" s="1"/>
  <c r="B8" i="4"/>
  <c r="B11" i="4" s="1"/>
  <c r="D11" i="4"/>
  <c r="B5" i="5"/>
  <c r="E11" i="4" l="1"/>
  <c r="F11" i="4" l="1"/>
  <c r="G11" i="4" l="1"/>
  <c r="H11" i="4" l="1"/>
  <c r="I11" i="4" l="1"/>
  <c r="J11" i="4" l="1"/>
  <c r="K11" i="4" l="1"/>
  <c r="L11" i="4" l="1"/>
  <c r="M11" i="4" l="1"/>
  <c r="N11" i="4" l="1"/>
  <c r="O11" i="4" l="1"/>
  <c r="P11" i="4" l="1"/>
  <c r="Q11" i="4" l="1"/>
  <c r="R11" i="4" l="1"/>
  <c r="S11" i="4" l="1"/>
  <c r="T11" i="4" l="1"/>
  <c r="U11" i="4" l="1"/>
  <c r="V11" i="4" l="1"/>
  <c r="W11" i="4" l="1"/>
  <c r="X11" i="4" l="1"/>
  <c r="Y11" i="4" l="1"/>
  <c r="Z11" i="4" l="1"/>
  <c r="AA11" i="4" l="1"/>
  <c r="AB11" i="4" l="1"/>
  <c r="AC11" i="4" l="1"/>
  <c r="AD11" i="4" l="1"/>
  <c r="AE11" i="4" l="1"/>
  <c r="AF11" i="4" l="1"/>
  <c r="C21" i="6" l="1"/>
  <c r="C18" i="6"/>
  <c r="B23" i="6"/>
  <c r="L18" i="6" l="1"/>
  <c r="L21" i="6" s="1"/>
  <c r="K18" i="6"/>
  <c r="K21" i="6" s="1"/>
  <c r="J18" i="6"/>
  <c r="J21" i="6" s="1"/>
  <c r="I18" i="6"/>
  <c r="I21" i="6" s="1"/>
  <c r="H18" i="6"/>
  <c r="H21" i="6" s="1"/>
  <c r="G18" i="6"/>
  <c r="G21" i="6" s="1"/>
  <c r="F18" i="6"/>
  <c r="F21" i="6" s="1"/>
  <c r="E18" i="6"/>
  <c r="E21" i="6" s="1"/>
  <c r="D18" i="6"/>
  <c r="D2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<sst xmlns="http://schemas.openxmlformats.org/spreadsheetml/2006/main" count="45" uniqueCount="45">
  <si>
    <t>Source:</t>
  </si>
  <si>
    <t>Notes</t>
  </si>
  <si>
    <t>2019 to 2012 USD</t>
  </si>
  <si>
    <t>Number of gas pumps</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</si>
  <si>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</si>
  <si>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</si>
  <si>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</si>
  <si>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</si>
  <si>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</si>
  <si>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</si>
  <si>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</si>
  <si>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</si>
  <si>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We assume EV charger additions based on investments in the Infrastructure Investment and Jobs Act</t>
  </si>
  <si>
    <t xml:space="preserve">Total government funding: </t>
  </si>
  <si>
    <t>($7.5 billion between 2022 and 2026), assuming 80% of the costs are paid for by the government.</t>
  </si>
  <si>
    <t>Total government + private funding:</t>
  </si>
  <si>
    <t>Average weighted charger cost (see trans/EVCC):</t>
  </si>
  <si>
    <t>Methodology:</t>
  </si>
  <si>
    <t>Calculations:</t>
  </si>
  <si>
    <t>Alternative fuel refueling property credit amount</t>
  </si>
  <si>
    <t>Assumed Amount of Spending Directed Toward Public LDV Chargers</t>
  </si>
  <si>
    <t>Number of Chargers Added</t>
  </si>
  <si>
    <t>Chargers Added by 2032</t>
  </si>
  <si>
    <t>We calculate an incremental number of chargers deployed based on funding in the Inflation Reduction Act and the model's weighted average charger cost. We take estimated funding from the released JCT scores and assume 80% of the spending is directed toward public chargers. We do not attempt to model the effects of private chargers. The number of additional chargers is then fed into the shadow price used to represent range/charging anxiety for passenger LDV owners, which is partially determined by the ratio of charging infrastructure to gasoline pumps. This adjustment helps to drop the shadow price in response to additional infrastructure and increase consumer adoption of electric vehicles.</t>
  </si>
  <si>
    <r>
      <rPr>
        <sz val="11"/>
        <color rgb="FF000000"/>
        <rFont val="Calibri, sans-serif"/>
      </rPr>
      <t xml:space="preserve">Source: </t>
    </r>
    <r>
      <rPr>
        <u/>
        <sz val="11"/>
        <color rgb="FF1155CC"/>
        <rFont val="Calibri, sans-serif"/>
      </rPr>
      <t>https://www.jct.gov/publications/2022/jcx-18-22/</t>
    </r>
  </si>
  <si>
    <t>EPS Weighted Avg Charger Cost (see trans/EVCC):</t>
  </si>
  <si>
    <t>2022 to 2012 $</t>
  </si>
  <si>
    <t>JCT Estimates for Alternative fuel refueling property credit (million 2022$)</t>
  </si>
  <si>
    <t>Assumed Number of EVSE ports</t>
  </si>
  <si>
    <t xml:space="preserve">We adjust our calculations by an estimated number of public charger additions from both the Infrastructure Investment and Jobs Act </t>
  </si>
  <si>
    <t>and the Inflation Reduction Act (see tabs for methodology).</t>
  </si>
  <si>
    <t>Government Outlays After Transferability Multiplier of 7.5%</t>
  </si>
  <si>
    <t>Number of chargers</t>
  </si>
  <si>
    <t>BAU EV Chargers</t>
  </si>
  <si>
    <t>Pre-IIJA and IRA Assumption, Number of Chargers</t>
  </si>
  <si>
    <t>IIJA Additional Chargers</t>
  </si>
  <si>
    <t>IRA Additional Chargers</t>
  </si>
  <si>
    <t>Total funding in 2012 $</t>
  </si>
  <si>
    <t>2022 to 2012 USD</t>
  </si>
  <si>
    <t>2021 to 2012 USD</t>
  </si>
  <si>
    <t>Number of Chargers with IIJA and IRA Additions</t>
  </si>
  <si>
    <t>BNoEVC BAU Number of EV Chargers</t>
  </si>
  <si>
    <t>https://afdc.energy.gov/fuels/electricity_locations.html#/analyze?fuel=ELEC&amp;country=US</t>
  </si>
  <si>
    <t>Annual chargers added through 2026</t>
  </si>
  <si>
    <t>We assume that prior to the IIJA or IRA, the number of EV ports would slowly grow with time to equal the number of gas pumps by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</si>
</sst>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0"/>
      <color theme="1"/>
      <name val="Calibri"/>
      <family val="2"/>
      <scheme val="minor"/>
    </font>
    <font>
      <sz val="11"/>
      <color rgb="FF000000"/>
      <name val="Calibri, sans-serif"/>
    </font>
    <font>
      <u/>
      <sz val="11"/>
      <color rgb="FF1155CC"/>
      <name val="Calibri, sans-serif"/>
    </font>
    <font>
      <b/>
      <sz val="10"/>
      <color theme="1"/>
      <name val="Calibri"/>
      <family val="2"/>
      <scheme val="minor"/>
    </font>
    <font>
      <u/>
      <sz val="11"/>
      <color rgb="FF000000"/>
      <name val="Calibri, sans-serif"/>
    </font>
  </fonts>
  <fills count="4">
    <fill>
      <patternFill patternType="none"/>
    </fill>
    <fill>
      <patternFill patternType="gray125"/>
    </fill>
    <fill>
      <patternFill patternType="solid">
        <fgColor theme="0" tint="-0.249977111117893"/>
        <bgColor indexed="64"/>
      </patternFill>
    </fill>
    <fill>
      <patternFill patternType="solid">
        <fgColor rgb="FFCFE2F3"/>
        <bgColor rgb="FFCFE2F3"/>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21">
    <xf numFmtId="0" fontId="0" fillId="0" borderId="0" xfId="0"/>
    <xf numFmtId="0" fontId="1" fillId="0" borderId="0" xfId="0" applyFont="1"/>
    <xf numFmtId="1" fontId="0" fillId="0" borderId="0" xfId="0" applyNumberForma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0" fillId="0" borderId="0" xfId="0" applyAlignment="1">
      <alignment wrapText="1"/>
    </xf>
    <xf numFmtId="0" fontId="4" fillId="3" borderId="0" xfId="2" applyFont="1" applyFill="1"/>
    <xf numFmtId="0" fontId="5" fillId="3" borderId="0" xfId="2" applyFont="1" applyFill="1" applyAlignment="1">
      <alignment horizontal="right"/>
    </xf>
    <xf numFmtId="0" fontId="3" fillId="0" borderId="0" xfId="2"/>
    <xf numFmtId="0" fontId="5" fillId="0" borderId="0" xfId="2" applyFont="1" applyAlignment="1">
      <alignment wrapText="1"/>
    </xf>
    <xf numFmtId="0" fontId="5" fillId="0" borderId="0" xfId="2" applyFont="1"/>
    <xf numFmtId="0" fontId="6" fillId="0" borderId="0" xfId="2" applyFont="1"/>
    <xf numFmtId="0" fontId="5" fillId="0" borderId="0" xfId="2" applyFont="1" applyAlignment="1">
      <alignment horizontal="right"/>
    </xf>
    <xf numFmtId="0" fontId="4" fillId="0" borderId="0" xfId="2" applyFont="1"/>
    <xf numFmtId="0" fontId="9" fillId="0" borderId="0" xfId="2" applyFont="1"/>
    <xf numFmtId="0" fontId="4" fillId="0" borderId="0" xfId="2" applyFont="1" applyAlignment="1">
      <alignment wrapText="1"/>
    </xf>
    <xf numFmtId="9" fontId="5" fillId="0" borderId="0" xfId="2" applyNumberFormat="1" applyFont="1"/>
    <xf numFmtId="1" fontId="5" fillId="0" borderId="0" xfId="2" applyNumberFormat="1" applyFont="1"/>
    <xf numFmtId="0" fontId="10" fillId="0" borderId="0" xfId="2" applyFont="1"/>
  </cellXfs>
  <cellStyles count="3">
    <cellStyle name="Hyperlink" xfId="1" builtinId="8"/>
    <cellStyle name="Normal" xfId="0" builtinId="0"/>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democrats.senate.gov/imo/media/doc/21-2093.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opLeftCell="A12" workbookViewId="0">
      <selection activeCell="A22" sqref="A22"/>
    </sheetView>
  </sheetViews>
  <sheetFormatPr defaultRowHeight="14.75"/>
  <cols>
    <col min="1" max="1" width="16.54296875" customWidth="1"/>
    <col min="2" max="2" width="31.86328125" customWidth="1"/>
  </cols>
  <sheetData>
    <row r="1" spans="1:2">
      <c r="A1" s="1" t="s">
        <v>41</v>
      </c>
    </row>
    <row r="3" spans="1:2">
      <c r="A3" s="1" t="s">
        <v>0</v>
      </c>
      <c r="B3" s="4" t="s">
        <v>4</v>
      </c>
    </row>
    <row r="4" spans="1:2">
      <c r="B4" t="s">
        <v>5</v>
      </c>
    </row>
    <row r="5" spans="1:2">
      <c r="B5" s="5">
        <v>2018</v>
      </c>
    </row>
    <row r="6" spans="1:2">
      <c r="B6" t="s">
        <v>6</v>
      </c>
    </row>
    <row r="7" spans="1:2">
      <c r="B7" t="s">
        <v>10</v>
      </c>
    </row>
    <row r="9" spans="1:2">
      <c r="B9" s="4" t="s">
        <v>7</v>
      </c>
    </row>
    <row r="10" spans="1:2">
      <c r="B10" t="s">
        <v>8</v>
      </c>
    </row>
    <row r="11" spans="1:2">
      <c r="B11" s="5">
        <v>2023</v>
      </c>
    </row>
    <row r="12" spans="1:2">
      <c r="B12" t="s">
        <v>9</v>
      </c>
    </row>
    <row r="13" spans="1:2">
      <c r="B13" s="6" t="s">
        <v>42</v>
      </c>
    </row>
    <row r="15" spans="1:2">
      <c r="A15" s="1" t="s">
        <v>1</v>
      </c>
    </row>
    <row r="16" spans="1:2">
      <c r="A16" t="s">
        <v>11</v>
      </c>
      <c r="B16">
        <v>0.89805481563188172</v>
      </c>
    </row>
    <row r="17" spans="1:2">
      <c r="A17" t="s">
        <v>2</v>
      </c>
      <c r="B17">
        <v>0.84730412960844359</v>
      </c>
    </row>
    <row r="18" spans="1:2">
      <c r="A18" t="s">
        <v>39</v>
      </c>
      <c r="B18" s="14">
        <v>0.78500000000000003</v>
      </c>
    </row>
    <row r="19" spans="1:2">
      <c r="A19" s="12" t="s">
        <v>38</v>
      </c>
      <c r="B19" s="14"/>
    </row>
    <row r="20" spans="1:2">
      <c r="A20" s="15"/>
    </row>
    <row r="21" spans="1:2">
      <c r="A21" t="s">
        <v>44</v>
      </c>
    </row>
    <row r="22" spans="1:2">
      <c r="A22" t="s">
        <v>29</v>
      </c>
    </row>
    <row r="23" spans="1:2">
      <c r="A23"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98A39-3A78-451F-9516-0CF8624C92E2}">
  <sheetPr>
    <tabColor rgb="FF92D050"/>
  </sheetPr>
  <dimension ref="A1:B10"/>
  <sheetViews>
    <sheetView workbookViewId="0">
      <selection activeCell="A11" sqref="A11"/>
    </sheetView>
  </sheetViews>
  <sheetFormatPr defaultRowHeight="14.75"/>
  <cols>
    <col min="1" max="1" width="29.1328125" customWidth="1"/>
    <col min="2" max="2" width="11" bestFit="1" customWidth="1"/>
  </cols>
  <sheetData>
    <row r="1" spans="1:2">
      <c r="A1" t="s">
        <v>12</v>
      </c>
    </row>
    <row r="2" spans="1:2">
      <c r="A2" t="s">
        <v>14</v>
      </c>
    </row>
    <row r="4" spans="1:2">
      <c r="A4" t="s">
        <v>13</v>
      </c>
      <c r="B4">
        <v>7500000000</v>
      </c>
    </row>
    <row r="5" spans="1:2" ht="29.5">
      <c r="A5" s="7" t="s">
        <v>15</v>
      </c>
      <c r="B5">
        <f>B4/0.8</f>
        <v>9375000000</v>
      </c>
    </row>
    <row r="6" spans="1:2">
      <c r="A6" s="7" t="s">
        <v>37</v>
      </c>
      <c r="B6">
        <f>B5*About!B17</f>
        <v>7943476215.0791588</v>
      </c>
    </row>
    <row r="8" spans="1:2" ht="29.5">
      <c r="A8" s="7" t="s">
        <v>16</v>
      </c>
      <c r="B8">
        <v>24443</v>
      </c>
    </row>
    <row r="10" spans="1:2" ht="29.5">
      <c r="A10" s="7" t="s">
        <v>43</v>
      </c>
      <c r="B10" s="2">
        <f>B6/B8/5</f>
        <v>64995.918791303513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47CE-ACDC-4498-BA24-2581FCABA72A}">
  <sheetPr>
    <tabColor rgb="FF92D050"/>
  </sheetPr>
  <dimension ref="A1:AL24"/>
  <sheetViews>
    <sheetView topLeftCell="A2" workbookViewId="0">
      <selection activeCell="A8" sqref="A8:B8"/>
    </sheetView>
  </sheetViews>
  <sheetFormatPr defaultColWidth="12.54296875" defaultRowHeight="15.75" customHeight="1"/>
  <cols>
    <col min="1" max="1" width="60.7265625" style="10" customWidth="1"/>
    <col min="2" max="2" width="27.40625" style="10" customWidth="1"/>
    <col min="3" max="3" width="17.86328125" style="10" customWidth="1"/>
    <col min="4" max="4" width="18.1328125" style="10" customWidth="1"/>
    <col min="5" max="6" width="16.1328125" style="10" customWidth="1"/>
    <col min="7" max="11" width="12.54296875" style="10"/>
    <col min="12" max="12" width="16.40625" style="10" customWidth="1"/>
    <col min="13" max="16384" width="12.54296875" style="10"/>
  </cols>
  <sheetData>
    <row r="1" spans="1:38" ht="14.25" customHeight="1">
      <c r="A1" s="8" t="s">
        <v>17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row>
    <row r="2" spans="1:38" ht="162.25">
      <c r="A2" s="11" t="s">
        <v>23</v>
      </c>
      <c r="B2" s="12"/>
      <c r="C2" s="12"/>
      <c r="D2" s="12"/>
      <c r="E2" s="12"/>
      <c r="F2" s="12"/>
      <c r="G2" s="13"/>
      <c r="H2" s="14"/>
      <c r="I2" s="12"/>
      <c r="J2" s="12"/>
      <c r="K2" s="12"/>
      <c r="L2" s="12"/>
    </row>
    <row r="3" spans="1:38" ht="14.25" customHeight="1">
      <c r="A3" s="12"/>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row>
    <row r="4" spans="1:38" ht="14.25" customHeight="1">
      <c r="A4" s="20" t="s">
        <v>24</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row>
    <row r="5" spans="1:38" ht="14.25" customHeight="1">
      <c r="A5" s="12"/>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row>
    <row r="6" spans="1:38" ht="14.25" customHeight="1">
      <c r="A6" s="8" t="s">
        <v>18</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ht="14.75">
      <c r="A7" s="15" t="s">
        <v>25</v>
      </c>
      <c r="B7" s="14">
        <v>24443</v>
      </c>
      <c r="C7" s="12"/>
      <c r="D7" s="12"/>
      <c r="E7" s="12"/>
      <c r="F7" s="12"/>
      <c r="G7" s="12"/>
      <c r="H7" s="12"/>
      <c r="I7" s="12"/>
      <c r="J7" s="12"/>
      <c r="K7" s="12"/>
      <c r="L7" s="12"/>
    </row>
    <row r="8" spans="1:38" ht="14.75">
      <c r="A8" s="15" t="s">
        <v>26</v>
      </c>
      <c r="B8" s="14">
        <v>0.78500000000000003</v>
      </c>
      <c r="C8" s="12"/>
      <c r="D8" s="12"/>
      <c r="E8" s="12"/>
      <c r="F8" s="12"/>
      <c r="G8" s="12"/>
      <c r="H8" s="12"/>
      <c r="I8" s="12"/>
      <c r="J8" s="12"/>
      <c r="K8" s="12"/>
      <c r="L8" s="12"/>
    </row>
    <row r="9" spans="1:38" ht="14.75">
      <c r="A9" s="12"/>
      <c r="B9" s="12"/>
      <c r="C9" s="12"/>
      <c r="D9" s="12"/>
      <c r="E9" s="12"/>
      <c r="F9" s="12"/>
      <c r="G9" s="12"/>
      <c r="H9" s="12"/>
      <c r="I9" s="12"/>
      <c r="J9" s="12"/>
      <c r="K9" s="12"/>
      <c r="L9" s="12"/>
    </row>
    <row r="10" spans="1:38" ht="14.75">
      <c r="A10" s="17" t="s">
        <v>19</v>
      </c>
      <c r="B10" s="18">
        <v>0.3</v>
      </c>
      <c r="C10" s="15"/>
      <c r="D10" s="15"/>
      <c r="E10" s="15"/>
      <c r="F10" s="15"/>
      <c r="G10" s="15"/>
      <c r="H10" s="15"/>
      <c r="I10" s="15"/>
      <c r="J10" s="15"/>
      <c r="K10" s="15"/>
      <c r="L10" s="1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1:38" ht="14.75">
      <c r="A11" s="15"/>
      <c r="B11" s="15"/>
      <c r="C11" s="15"/>
      <c r="D11" s="15"/>
      <c r="E11" s="15"/>
      <c r="F11" s="15"/>
      <c r="G11" s="15"/>
      <c r="H11" s="15"/>
      <c r="I11" s="15"/>
      <c r="J11" s="15"/>
      <c r="K11" s="15"/>
      <c r="L11" s="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row>
    <row r="12" spans="1:38" ht="14.75">
      <c r="A12" s="17" t="s">
        <v>20</v>
      </c>
      <c r="B12" s="18">
        <v>0.8</v>
      </c>
      <c r="C12" s="15"/>
      <c r="D12" s="15"/>
      <c r="E12" s="15"/>
      <c r="F12" s="15"/>
      <c r="G12" s="15"/>
      <c r="H12" s="15"/>
      <c r="I12" s="15"/>
      <c r="J12" s="15"/>
      <c r="K12" s="15"/>
      <c r="L12" s="15"/>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row>
    <row r="13" spans="1:38" ht="14.75">
      <c r="A13" s="15"/>
      <c r="B13" s="15"/>
      <c r="C13" s="15"/>
      <c r="D13" s="15"/>
      <c r="E13" s="15"/>
      <c r="F13" s="15"/>
      <c r="G13" s="15"/>
      <c r="H13" s="15"/>
      <c r="I13" s="15"/>
      <c r="J13" s="15"/>
      <c r="K13" s="15"/>
      <c r="L13" s="15"/>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row>
    <row r="14" spans="1:38" ht="14.75">
      <c r="B14" s="15"/>
      <c r="C14" s="15"/>
      <c r="D14" s="15"/>
      <c r="E14" s="15"/>
      <c r="F14" s="15"/>
      <c r="G14" s="15"/>
      <c r="H14" s="15"/>
      <c r="I14" s="15"/>
      <c r="J14" s="15"/>
      <c r="K14" s="15"/>
      <c r="L14" s="15"/>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row>
    <row r="15" spans="1:38" ht="14.75">
      <c r="A15" s="15"/>
      <c r="B15" s="12">
        <v>2022</v>
      </c>
      <c r="C15" s="12">
        <v>2023</v>
      </c>
      <c r="D15" s="12">
        <v>2024</v>
      </c>
      <c r="E15" s="12">
        <v>2025</v>
      </c>
      <c r="F15" s="12">
        <v>2026</v>
      </c>
      <c r="G15" s="12">
        <v>2027</v>
      </c>
      <c r="H15" s="12">
        <v>2028</v>
      </c>
      <c r="I15" s="12">
        <v>2029</v>
      </c>
      <c r="J15" s="12">
        <v>2030</v>
      </c>
      <c r="K15" s="12">
        <v>2031</v>
      </c>
      <c r="L15" s="12">
        <v>2032</v>
      </c>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row>
    <row r="16" spans="1:38" ht="14.75">
      <c r="A16" s="15" t="s">
        <v>27</v>
      </c>
      <c r="B16" s="12"/>
      <c r="C16" s="12">
        <v>138</v>
      </c>
      <c r="D16" s="12">
        <v>128</v>
      </c>
      <c r="E16" s="12">
        <v>145</v>
      </c>
      <c r="F16" s="12">
        <v>164</v>
      </c>
      <c r="G16" s="12">
        <v>184</v>
      </c>
      <c r="H16" s="12">
        <v>207</v>
      </c>
      <c r="I16" s="12">
        <v>231</v>
      </c>
      <c r="J16" s="12">
        <v>257</v>
      </c>
      <c r="K16" s="12">
        <v>284</v>
      </c>
      <c r="L16" s="12"/>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row>
    <row r="17" spans="1:38" ht="14.75">
      <c r="A17" s="12"/>
      <c r="B17" s="12"/>
      <c r="C17" s="12"/>
      <c r="D17" s="12"/>
      <c r="E17" s="12"/>
      <c r="F17" s="12"/>
      <c r="G17" s="12"/>
      <c r="H17" s="12"/>
      <c r="I17" s="12"/>
      <c r="J17" s="12"/>
      <c r="K17" s="12"/>
      <c r="L17" s="12"/>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row>
    <row r="18" spans="1:38" ht="14.75">
      <c r="A18" s="15" t="s">
        <v>31</v>
      </c>
      <c r="C18" s="19">
        <f>C16*0.925</f>
        <v>127.65</v>
      </c>
      <c r="D18" s="19">
        <f t="shared" ref="D18:L18" si="0">D16*0.925</f>
        <v>118.4</v>
      </c>
      <c r="E18" s="19">
        <f t="shared" si="0"/>
        <v>134.125</v>
      </c>
      <c r="F18" s="19">
        <f t="shared" si="0"/>
        <v>151.70000000000002</v>
      </c>
      <c r="G18" s="19">
        <f t="shared" si="0"/>
        <v>170.20000000000002</v>
      </c>
      <c r="H18" s="19">
        <f t="shared" si="0"/>
        <v>191.47500000000002</v>
      </c>
      <c r="I18" s="19">
        <f t="shared" si="0"/>
        <v>213.67500000000001</v>
      </c>
      <c r="J18" s="19">
        <f t="shared" si="0"/>
        <v>237.72500000000002</v>
      </c>
      <c r="K18" s="19">
        <f t="shared" si="0"/>
        <v>262.7</v>
      </c>
      <c r="L18" s="19">
        <f t="shared" si="0"/>
        <v>0</v>
      </c>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row>
    <row r="19" spans="1:38" ht="14.75">
      <c r="A19" s="15"/>
      <c r="B19" s="15"/>
      <c r="C19" s="15"/>
      <c r="D19" s="15"/>
      <c r="E19" s="15"/>
      <c r="F19" s="15"/>
      <c r="G19" s="15"/>
      <c r="H19" s="15"/>
      <c r="I19" s="15"/>
      <c r="J19" s="15"/>
      <c r="K19" s="15"/>
      <c r="L19" s="15"/>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row>
    <row r="20" spans="1:38" ht="14.75">
      <c r="B20" s="12">
        <v>2022</v>
      </c>
      <c r="C20" s="12">
        <v>2023</v>
      </c>
      <c r="D20" s="12">
        <v>2024</v>
      </c>
      <c r="E20" s="12">
        <v>2025</v>
      </c>
      <c r="F20" s="12">
        <v>2026</v>
      </c>
      <c r="G20" s="12">
        <v>2027</v>
      </c>
      <c r="H20" s="12">
        <v>2028</v>
      </c>
      <c r="I20" s="12">
        <v>2029</v>
      </c>
      <c r="J20" s="12">
        <v>2030</v>
      </c>
      <c r="K20" s="12">
        <v>2031</v>
      </c>
      <c r="L20" s="12">
        <v>2032</v>
      </c>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row>
    <row r="21" spans="1:38" ht="14.75">
      <c r="A21" s="15" t="s">
        <v>21</v>
      </c>
      <c r="B21" s="12">
        <v>0</v>
      </c>
      <c r="C21" s="19">
        <f>(C18*10^6)/$B$10/($B$7/$B$8)*$B$12</f>
        <v>10932.127807552264</v>
      </c>
      <c r="D21" s="19">
        <f t="shared" ref="D21:K21" si="1">(D18*10^6)/$B$10/($B$7/$B$8)*$B$12</f>
        <v>10139.944633091956</v>
      </c>
      <c r="E21" s="19">
        <f t="shared" si="1"/>
        <v>11486.656029674483</v>
      </c>
      <c r="F21" s="19">
        <f t="shared" si="1"/>
        <v>12991.804061149072</v>
      </c>
      <c r="G21" s="19">
        <f t="shared" si="1"/>
        <v>14576.17041006969</v>
      </c>
      <c r="H21" s="19">
        <f t="shared" si="1"/>
        <v>16398.1917113284</v>
      </c>
      <c r="I21" s="19">
        <f t="shared" si="1"/>
        <v>18299.431330033138</v>
      </c>
      <c r="J21" s="19">
        <f t="shared" si="1"/>
        <v>20359.107583629942</v>
      </c>
      <c r="K21" s="19">
        <f t="shared" si="1"/>
        <v>22498.00215467278</v>
      </c>
      <c r="L21" s="19">
        <f>(L18*10^6)/$B$10/$B$7*$B$12</f>
        <v>0</v>
      </c>
    </row>
    <row r="22" spans="1:38" ht="14.75">
      <c r="A22" s="15"/>
      <c r="B22" s="15"/>
      <c r="C22" s="15"/>
      <c r="D22" s="15"/>
      <c r="E22" s="15"/>
      <c r="F22" s="15"/>
      <c r="G22" s="15"/>
      <c r="H22" s="15"/>
      <c r="I22" s="15"/>
      <c r="J22" s="15"/>
      <c r="K22" s="15"/>
      <c r="L22" s="15"/>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row>
    <row r="23" spans="1:38" ht="14.75">
      <c r="A23" s="15" t="s">
        <v>22</v>
      </c>
      <c r="B23" s="19">
        <f>SUM(C21:K21)</f>
        <v>137681.43572120171</v>
      </c>
      <c r="C23" s="19"/>
      <c r="D23" s="19"/>
      <c r="E23" s="12"/>
      <c r="F23" s="12"/>
      <c r="G23" s="12"/>
      <c r="H23" s="12"/>
      <c r="I23" s="12"/>
      <c r="J23" s="12"/>
      <c r="K23" s="12"/>
      <c r="L23" s="12"/>
    </row>
    <row r="24" spans="1:38" ht="14.75">
      <c r="A24" s="15"/>
      <c r="B24" s="15"/>
      <c r="C24" s="15"/>
      <c r="D24" s="15"/>
      <c r="E24" s="15"/>
      <c r="F24" s="15"/>
      <c r="G24" s="15"/>
      <c r="H24" s="15"/>
      <c r="I24" s="15"/>
      <c r="J24" s="15"/>
      <c r="K24" s="15"/>
      <c r="L24" s="15"/>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row>
  </sheetData>
  <hyperlinks>
    <hyperlink ref="A4" r:id="rId1" display="Source: https://www.democrats.senate.gov/imo/media/doc/21-2093.pdf" xr:uid="{30969EEE-E72F-4B62-81B5-E66A5CDAAD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17B3-AFD9-42DA-AB68-E46FC6CF1D40}">
  <dimension ref="A1:AF11"/>
  <sheetViews>
    <sheetView tabSelected="1" topLeftCell="N1" workbookViewId="0">
      <selection activeCell="H10" sqref="H10:AF10"/>
    </sheetView>
  </sheetViews>
  <sheetFormatPr defaultRowHeight="14.75"/>
  <cols>
    <col min="1" max="1" width="45.1328125" customWidth="1"/>
    <col min="2" max="2" width="26.40625" customWidth="1"/>
    <col min="3" max="4" width="12" bestFit="1" customWidth="1"/>
  </cols>
  <sheetData>
    <row r="1" spans="1:32">
      <c r="A1" t="s">
        <v>3</v>
      </c>
      <c r="B1">
        <v>1200000</v>
      </c>
    </row>
    <row r="3" spans="1:32">
      <c r="A3" t="s">
        <v>28</v>
      </c>
    </row>
    <row r="4" spans="1:32">
      <c r="A4">
        <v>2022</v>
      </c>
      <c r="B4">
        <v>137902</v>
      </c>
    </row>
    <row r="5" spans="1:32">
      <c r="A5">
        <v>2050</v>
      </c>
      <c r="B5">
        <v>1200000</v>
      </c>
    </row>
    <row r="7" spans="1:32">
      <c r="B7">
        <v>2020</v>
      </c>
      <c r="C7">
        <v>2021</v>
      </c>
      <c r="D7">
        <v>2022</v>
      </c>
      <c r="E7">
        <v>2023</v>
      </c>
      <c r="F7">
        <v>2024</v>
      </c>
      <c r="G7">
        <v>2025</v>
      </c>
      <c r="H7">
        <v>2026</v>
      </c>
      <c r="I7">
        <v>2027</v>
      </c>
      <c r="J7">
        <v>2028</v>
      </c>
      <c r="K7">
        <v>2029</v>
      </c>
      <c r="L7">
        <v>2030</v>
      </c>
      <c r="M7">
        <v>2031</v>
      </c>
      <c r="N7">
        <v>2032</v>
      </c>
      <c r="O7">
        <v>2033</v>
      </c>
      <c r="P7">
        <v>2034</v>
      </c>
      <c r="Q7">
        <v>2035</v>
      </c>
      <c r="R7">
        <v>2036</v>
      </c>
      <c r="S7">
        <v>2037</v>
      </c>
      <c r="T7">
        <v>2038</v>
      </c>
      <c r="U7">
        <v>2039</v>
      </c>
      <c r="V7">
        <v>2040</v>
      </c>
      <c r="W7">
        <v>2041</v>
      </c>
      <c r="X7">
        <v>2042</v>
      </c>
      <c r="Y7">
        <v>2043</v>
      </c>
      <c r="Z7">
        <v>2044</v>
      </c>
      <c r="AA7">
        <v>2045</v>
      </c>
      <c r="AB7">
        <v>2046</v>
      </c>
      <c r="AC7">
        <v>2047</v>
      </c>
      <c r="AD7">
        <v>2048</v>
      </c>
      <c r="AE7">
        <v>2049</v>
      </c>
      <c r="AF7">
        <v>2050</v>
      </c>
    </row>
    <row r="8" spans="1:32">
      <c r="A8" t="s">
        <v>34</v>
      </c>
      <c r="B8">
        <f>D8</f>
        <v>137902</v>
      </c>
      <c r="C8">
        <f>D8</f>
        <v>137902</v>
      </c>
      <c r="D8" cm="1">
        <f t="array" ref="D8">TREND($B$4:$B$5,$A$4:$A$5,D7)</f>
        <v>137902</v>
      </c>
      <c r="E8" cm="1">
        <f t="array" ref="E8">TREND($B$4:$B$5,$A$4:$A$5,E7)</f>
        <v>175834.07142856717</v>
      </c>
      <c r="F8" cm="1">
        <f t="array" ref="F8">TREND($B$4:$B$5,$A$4:$A$5,F7)</f>
        <v>213766.14285713434</v>
      </c>
      <c r="G8" cm="1">
        <f t="array" ref="G8">TREND($B$4:$B$5,$A$4:$A$5,G7)</f>
        <v>251698.21428570151</v>
      </c>
      <c r="H8" cm="1">
        <f t="array" ref="H8">TREND($B$4:$B$5,$A$4:$A$5,H7)</f>
        <v>289630.28571428359</v>
      </c>
      <c r="I8" cm="1">
        <f t="array" ref="I8">TREND($B$4:$B$5,$A$4:$A$5,I7)</f>
        <v>327562.35714285076</v>
      </c>
      <c r="J8" cm="1">
        <f t="array" ref="J8">TREND($B$4:$B$5,$A$4:$A$5,J7)</f>
        <v>365494.42857141793</v>
      </c>
      <c r="K8" cm="1">
        <f t="array" ref="K8">TREND($B$4:$B$5,$A$4:$A$5,K7)</f>
        <v>403426.5</v>
      </c>
      <c r="L8" cm="1">
        <f t="array" ref="L8">TREND($B$4:$B$5,$A$4:$A$5,L7)</f>
        <v>441358.57142856717</v>
      </c>
      <c r="M8" cm="1">
        <f t="array" ref="M8">TREND($B$4:$B$5,$A$4:$A$5,M7)</f>
        <v>479290.64285713434</v>
      </c>
      <c r="N8" cm="1">
        <f t="array" ref="N8">TREND($B$4:$B$5,$A$4:$A$5,N7)</f>
        <v>517222.71428570151</v>
      </c>
      <c r="O8" cm="1">
        <f t="array" ref="O8">TREND($B$4:$B$5,$A$4:$A$5,O7)</f>
        <v>555154.78571428359</v>
      </c>
      <c r="P8" cm="1">
        <f t="array" ref="P8">TREND($B$4:$B$5,$A$4:$A$5,P7)</f>
        <v>593086.85714285076</v>
      </c>
      <c r="Q8" cm="1">
        <f t="array" ref="Q8">TREND($B$4:$B$5,$A$4:$A$5,Q7)</f>
        <v>631018.92857141793</v>
      </c>
      <c r="R8" cm="1">
        <f t="array" ref="R8">TREND($B$4:$B$5,$A$4:$A$5,R7)</f>
        <v>668951</v>
      </c>
      <c r="S8" cm="1">
        <f t="array" ref="S8">TREND($B$4:$B$5,$A$4:$A$5,S7)</f>
        <v>706883.07142856717</v>
      </c>
      <c r="T8" cm="1">
        <f t="array" ref="T8">TREND($B$4:$B$5,$A$4:$A$5,T7)</f>
        <v>744815.14285713434</v>
      </c>
      <c r="U8" cm="1">
        <f t="array" ref="U8">TREND($B$4:$B$5,$A$4:$A$5,U7)</f>
        <v>782747.21428570151</v>
      </c>
      <c r="V8" cm="1">
        <f t="array" ref="V8">TREND($B$4:$B$5,$A$4:$A$5,V7)</f>
        <v>820679.28571428359</v>
      </c>
      <c r="W8" cm="1">
        <f t="array" ref="W8">TREND($B$4:$B$5,$A$4:$A$5,W7)</f>
        <v>858611.35714285076</v>
      </c>
      <c r="X8" cm="1">
        <f t="array" ref="X8">TREND($B$4:$B$5,$A$4:$A$5,X7)</f>
        <v>896543.42857141793</v>
      </c>
      <c r="Y8" cm="1">
        <f t="array" ref="Y8">TREND($B$4:$B$5,$A$4:$A$5,Y7)</f>
        <v>934475.5</v>
      </c>
      <c r="Z8" cm="1">
        <f t="array" ref="Z8">TREND($B$4:$B$5,$A$4:$A$5,Z7)</f>
        <v>972407.57142856717</v>
      </c>
      <c r="AA8" cm="1">
        <f t="array" ref="AA8">TREND($B$4:$B$5,$A$4:$A$5,AA7)</f>
        <v>1010339.6428571343</v>
      </c>
      <c r="AB8" cm="1">
        <f t="array" ref="AB8">TREND($B$4:$B$5,$A$4:$A$5,AB7)</f>
        <v>1048271.7142857015</v>
      </c>
      <c r="AC8" cm="1">
        <f t="array" ref="AC8">TREND($B$4:$B$5,$A$4:$A$5,AC7)</f>
        <v>1086203.7857142836</v>
      </c>
      <c r="AD8" cm="1">
        <f t="array" ref="AD8">TREND($B$4:$B$5,$A$4:$A$5,AD7)</f>
        <v>1124135.8571428508</v>
      </c>
      <c r="AE8" cm="1">
        <f t="array" ref="AE8">TREND($B$4:$B$5,$A$4:$A$5,AE7)</f>
        <v>1162067.9285714179</v>
      </c>
      <c r="AF8" cm="1">
        <f t="array" ref="AF8">TREND($B$4:$B$5,$A$4:$A$5,AF7)</f>
        <v>1200000</v>
      </c>
    </row>
    <row r="9" spans="1:32">
      <c r="A9" t="s">
        <v>35</v>
      </c>
      <c r="B9">
        <v>0</v>
      </c>
      <c r="C9">
        <v>0</v>
      </c>
      <c r="E9" s="2">
        <f>IIJA!$B$10</f>
        <v>64995.918791303513</v>
      </c>
      <c r="F9" s="2">
        <f>IIJA!$B$10</f>
        <v>64995.918791303513</v>
      </c>
      <c r="G9" s="2">
        <f>IIJA!$B$10</f>
        <v>64995.918791303513</v>
      </c>
      <c r="H9" s="2">
        <f>IIJA!$B$10</f>
        <v>64995.918791303513</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36</v>
      </c>
      <c r="B10">
        <v>0</v>
      </c>
      <c r="C10">
        <v>0</v>
      </c>
      <c r="D10">
        <v>0</v>
      </c>
      <c r="E10" s="2">
        <f>'Inflation Reduction Act'!C21</f>
        <v>10932.127807552264</v>
      </c>
      <c r="F10" s="2">
        <f>'Inflation Reduction Act'!D21</f>
        <v>10139.944633091956</v>
      </c>
      <c r="G10" s="2">
        <f>'Inflation Reduction Act'!E21</f>
        <v>11486.656029674483</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row>
    <row r="11" spans="1:32">
      <c r="A11" t="s">
        <v>40</v>
      </c>
      <c r="B11">
        <f>SUM(B8:B10)</f>
        <v>137902</v>
      </c>
      <c r="C11">
        <f>SUM(C8:C10)</f>
        <v>137902</v>
      </c>
      <c r="D11">
        <f>C11+(D8-C8)+SUM(D9:D10)</f>
        <v>137902</v>
      </c>
      <c r="E11">
        <f t="shared" ref="E11:AF11" si="0">D11+(E8-D8)+SUM(E9:E10)</f>
        <v>251762.11802742296</v>
      </c>
      <c r="F11">
        <f t="shared" si="0"/>
        <v>364830.05288038554</v>
      </c>
      <c r="G11">
        <f t="shared" si="0"/>
        <v>479244.6991299307</v>
      </c>
      <c r="H11">
        <f t="shared" si="0"/>
        <v>582172.6893498163</v>
      </c>
      <c r="I11">
        <f t="shared" si="0"/>
        <v>620104.76077838347</v>
      </c>
      <c r="J11">
        <f t="shared" si="0"/>
        <v>658036.83220695064</v>
      </c>
      <c r="K11">
        <f t="shared" si="0"/>
        <v>695968.90363553271</v>
      </c>
      <c r="L11">
        <f t="shared" si="0"/>
        <v>733900.97506409988</v>
      </c>
      <c r="M11">
        <f t="shared" si="0"/>
        <v>771833.04649266705</v>
      </c>
      <c r="N11">
        <f t="shared" si="0"/>
        <v>809765.11792123422</v>
      </c>
      <c r="O11">
        <f t="shared" si="0"/>
        <v>847697.1893498163</v>
      </c>
      <c r="P11">
        <f t="shared" si="0"/>
        <v>885629.26077838347</v>
      </c>
      <c r="Q11">
        <f t="shared" si="0"/>
        <v>923561.33220695064</v>
      </c>
      <c r="R11">
        <f t="shared" si="0"/>
        <v>961493.40363553271</v>
      </c>
      <c r="S11">
        <f t="shared" si="0"/>
        <v>999425.47506409988</v>
      </c>
      <c r="T11">
        <f t="shared" si="0"/>
        <v>1037357.5464926671</v>
      </c>
      <c r="U11">
        <f t="shared" si="0"/>
        <v>1075289.6179212341</v>
      </c>
      <c r="V11">
        <f t="shared" si="0"/>
        <v>1113221.6893498162</v>
      </c>
      <c r="W11">
        <f t="shared" si="0"/>
        <v>1151153.7607783834</v>
      </c>
      <c r="X11">
        <f t="shared" si="0"/>
        <v>1189085.8322069505</v>
      </c>
      <c r="Y11">
        <f t="shared" si="0"/>
        <v>1227017.9036355326</v>
      </c>
      <c r="Z11">
        <f t="shared" si="0"/>
        <v>1264949.9750640998</v>
      </c>
      <c r="AA11">
        <f t="shared" si="0"/>
        <v>1302882.0464926669</v>
      </c>
      <c r="AB11">
        <f t="shared" si="0"/>
        <v>1340814.1179212341</v>
      </c>
      <c r="AC11">
        <f t="shared" si="0"/>
        <v>1378746.1893498162</v>
      </c>
      <c r="AD11">
        <f t="shared" si="0"/>
        <v>1416678.2607783834</v>
      </c>
      <c r="AE11">
        <f t="shared" si="0"/>
        <v>1454610.3322069505</v>
      </c>
      <c r="AF11">
        <f t="shared" si="0"/>
        <v>1492542.4036355326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F2"/>
  <sheetViews>
    <sheetView workbookViewId="0">
      <selection activeCell="B2" sqref="B2"/>
    </sheetView>
  </sheetViews>
  <sheetFormatPr defaultRowHeight="14.75"/>
  <cols>
    <col min="1" max="1" width="21" customWidth="1"/>
  </cols>
  <sheetData>
    <row r="1" spans="1:32">
      <c r="A1" t="s">
        <v>32</v>
      </c>
      <c r="B1">
        <v>2020</v>
      </c>
      <c r="C1" s="3"/>
      <c r="E1" s="3"/>
      <c r="G1" s="3"/>
      <c r="I1" s="3"/>
      <c r="K1" s="3"/>
      <c r="M1" s="3"/>
      <c r="O1" s="3"/>
      <c r="Q1" s="3"/>
      <c r="S1" s="3"/>
      <c r="U1" s="3"/>
      <c r="W1" s="3"/>
      <c r="Y1" s="3"/>
      <c r="AA1" s="3"/>
      <c r="AC1" s="3"/>
      <c r="AE1" s="3"/>
    </row>
    <row r="2" spans="1:32">
      <c r="A2" s="1" t="s">
        <v>33</v>
      </c>
      <c r="B2" s="2">
        <f>Calculations!B8</f>
        <v>137902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IIJA</vt:lpstr>
      <vt:lpstr>Inflation Reduction Act</vt:lpstr>
      <vt:lpstr>Calculations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2025-08-29T23:50:13Z</dcterms:modified>
</cp:coreProperties>
</file>