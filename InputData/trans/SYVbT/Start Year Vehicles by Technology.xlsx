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VbT\"/>
    </mc:Choice>
  </mc:AlternateContent>
  <xr:revisionPtr revIDLastSave="0" documentId="13_ncr:1_{151E5934-E7D5-49E6-9BA9-37ADF62B8E47}" xr6:coauthVersionLast="47" xr6:coauthVersionMax="47" xr10:uidLastSave="{00000000-0000-0000-0000-000000000000}"/>
  <bookViews>
    <workbookView xWindow="-120" yWindow="-120" windowWidth="29040" windowHeight="17520" firstSheet="14" activeTab="16" xr2:uid="{00000000-000D-0000-FFFF-FFFF00000000}"/>
  </bookViews>
  <sheets>
    <sheet name="About" sheetId="1" r:id="rId1"/>
    <sheet name="AEO 2023 7" sheetId="10" r:id="rId2"/>
    <sheet name="AEO 2023 36" sheetId="11" r:id="rId3"/>
    <sheet name="AEO 2023 39" sheetId="9" r:id="rId4"/>
    <sheet name="AEO 2023 45" sheetId="14" r:id="rId5"/>
    <sheet name="AEO 2023 48" sheetId="5" r:id="rId6"/>
    <sheet name="AEO 2023 49" sheetId="6" r:id="rId7"/>
    <sheet name="AEO 2023 47" sheetId="19" r:id="rId8"/>
    <sheet name="NTS 1-11" sheetId="7" r:id="rId9"/>
    <sheet name="NRBS 40" sheetId="15" r:id="rId10"/>
    <sheet name="FRA" sheetId="13" r:id="rId11"/>
    <sheet name="Misc" sheetId="8" r:id="rId12"/>
    <sheet name="Annual Service Data_rail only" sheetId="16" r:id="rId13"/>
    <sheet name="Fuel and Energy_rail only" sheetId="17" r:id="rId14"/>
    <sheet name="psgr rail calcs" sheetId="18" r:id="rId15"/>
    <sheet name="SYVbT-passenger" sheetId="2" r:id="rId16"/>
    <sheet name="SYVbT-freight" sheetId="4" r:id="rId17"/>
  </sheets>
  <definedNames>
    <definedName name="_xlnm._FilterDatabase" localSheetId="12" hidden="1">'Annual Service Data_rail only'!$A$1:$AX$1</definedName>
    <definedName name="Eno_TM">#REF!</definedName>
    <definedName name="Eno_Tons">#REF!</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#REF!</definedName>
    <definedName name="Sum_TTM">#REF!</definedName>
    <definedName name="ti_tbl_50">#REF!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 i="8" l="1"/>
  <c r="D7" i="2" l="1"/>
  <c r="E6" i="4" l="1"/>
  <c r="E4" i="4"/>
  <c r="E4" i="2"/>
  <c r="A17" i="8"/>
  <c r="B5" i="2" l="1"/>
  <c r="E5" i="2"/>
  <c r="R59" i="18"/>
  <c r="Q59" i="18"/>
  <c r="P59" i="18"/>
  <c r="I59" i="18"/>
  <c r="H59" i="18"/>
  <c r="G59" i="18"/>
  <c r="F59" i="18"/>
  <c r="E59" i="18"/>
  <c r="M59" i="18" s="1"/>
  <c r="R58" i="18"/>
  <c r="Q58" i="18"/>
  <c r="P58" i="18"/>
  <c r="I58" i="18"/>
  <c r="H58" i="18"/>
  <c r="G58" i="18"/>
  <c r="F58" i="18"/>
  <c r="E58" i="18"/>
  <c r="M58" i="18" s="1"/>
  <c r="R57" i="18"/>
  <c r="Q57" i="18"/>
  <c r="P57" i="18"/>
  <c r="I57" i="18"/>
  <c r="H57" i="18"/>
  <c r="G57" i="18"/>
  <c r="F57" i="18"/>
  <c r="E57" i="18"/>
  <c r="M57" i="18" s="1"/>
  <c r="R56" i="18"/>
  <c r="Q56" i="18"/>
  <c r="P56" i="18"/>
  <c r="I56" i="18"/>
  <c r="H56" i="18"/>
  <c r="G56" i="18"/>
  <c r="F56" i="18"/>
  <c r="E56" i="18"/>
  <c r="M56" i="18" s="1"/>
  <c r="R55" i="18"/>
  <c r="Q55" i="18"/>
  <c r="P55" i="18"/>
  <c r="I55" i="18"/>
  <c r="H55" i="18"/>
  <c r="G55" i="18"/>
  <c r="F55" i="18"/>
  <c r="E55" i="18"/>
  <c r="M55" i="18" s="1"/>
  <c r="R54" i="18"/>
  <c r="Q54" i="18"/>
  <c r="P54" i="18"/>
  <c r="I54" i="18"/>
  <c r="H54" i="18"/>
  <c r="G54" i="18"/>
  <c r="F54" i="18"/>
  <c r="E54" i="18"/>
  <c r="N54" i="18" s="1"/>
  <c r="R53" i="18"/>
  <c r="Q53" i="18"/>
  <c r="P53" i="18"/>
  <c r="I53" i="18"/>
  <c r="H53" i="18"/>
  <c r="G53" i="18"/>
  <c r="F53" i="18"/>
  <c r="E53" i="18"/>
  <c r="M53" i="18" s="1"/>
  <c r="R52" i="18"/>
  <c r="Q52" i="18"/>
  <c r="P52" i="18"/>
  <c r="I52" i="18"/>
  <c r="H52" i="18"/>
  <c r="G52" i="18"/>
  <c r="F52" i="18"/>
  <c r="E52" i="18"/>
  <c r="O52" i="18" s="1"/>
  <c r="R51" i="18"/>
  <c r="Q51" i="18"/>
  <c r="P51" i="18"/>
  <c r="I51" i="18"/>
  <c r="H51" i="18"/>
  <c r="G51" i="18"/>
  <c r="F51" i="18"/>
  <c r="E51" i="18"/>
  <c r="M51" i="18" s="1"/>
  <c r="R50" i="18"/>
  <c r="Q50" i="18"/>
  <c r="P50" i="18"/>
  <c r="I50" i="18"/>
  <c r="H50" i="18"/>
  <c r="G50" i="18"/>
  <c r="F50" i="18"/>
  <c r="E50" i="18"/>
  <c r="M50" i="18" s="1"/>
  <c r="R49" i="18"/>
  <c r="Q49" i="18"/>
  <c r="P49" i="18"/>
  <c r="I49" i="18"/>
  <c r="H49" i="18"/>
  <c r="G49" i="18"/>
  <c r="F49" i="18"/>
  <c r="E49" i="18"/>
  <c r="M49" i="18" s="1"/>
  <c r="R48" i="18"/>
  <c r="Q48" i="18"/>
  <c r="P48" i="18"/>
  <c r="I48" i="18"/>
  <c r="H48" i="18"/>
  <c r="G48" i="18"/>
  <c r="F48" i="18"/>
  <c r="E48" i="18"/>
  <c r="O48" i="18" s="1"/>
  <c r="R47" i="18"/>
  <c r="Q47" i="18"/>
  <c r="P47" i="18"/>
  <c r="I47" i="18"/>
  <c r="H47" i="18"/>
  <c r="G47" i="18"/>
  <c r="F47" i="18"/>
  <c r="E47" i="18"/>
  <c r="M47" i="18" s="1"/>
  <c r="R46" i="18"/>
  <c r="Q46" i="18"/>
  <c r="P46" i="18"/>
  <c r="I46" i="18"/>
  <c r="H46" i="18"/>
  <c r="G46" i="18"/>
  <c r="F46" i="18"/>
  <c r="E46" i="18"/>
  <c r="M46" i="18" s="1"/>
  <c r="R45" i="18"/>
  <c r="Q45" i="18"/>
  <c r="P45" i="18"/>
  <c r="I45" i="18"/>
  <c r="H45" i="18"/>
  <c r="G45" i="18"/>
  <c r="F45" i="18"/>
  <c r="E45" i="18"/>
  <c r="R44" i="18"/>
  <c r="Q44" i="18"/>
  <c r="P44" i="18"/>
  <c r="I44" i="18"/>
  <c r="H44" i="18"/>
  <c r="G44" i="18"/>
  <c r="F44" i="18"/>
  <c r="E44" i="18"/>
  <c r="M44" i="18" s="1"/>
  <c r="R43" i="18"/>
  <c r="Q43" i="18"/>
  <c r="P43" i="18"/>
  <c r="I43" i="18"/>
  <c r="H43" i="18"/>
  <c r="G43" i="18"/>
  <c r="F43" i="18"/>
  <c r="E43" i="18"/>
  <c r="N43" i="18" s="1"/>
  <c r="R42" i="18"/>
  <c r="Q42" i="18"/>
  <c r="P42" i="18"/>
  <c r="I42" i="18"/>
  <c r="H42" i="18"/>
  <c r="G42" i="18"/>
  <c r="F42" i="18"/>
  <c r="E42" i="18"/>
  <c r="M42" i="18" s="1"/>
  <c r="R41" i="18"/>
  <c r="Q41" i="18"/>
  <c r="P41" i="18"/>
  <c r="I41" i="18"/>
  <c r="H41" i="18"/>
  <c r="G41" i="18"/>
  <c r="F41" i="18"/>
  <c r="E41" i="18"/>
  <c r="M41" i="18" s="1"/>
  <c r="R40" i="18"/>
  <c r="Q40" i="18"/>
  <c r="P40" i="18"/>
  <c r="I40" i="18"/>
  <c r="H40" i="18"/>
  <c r="G40" i="18"/>
  <c r="F40" i="18"/>
  <c r="E40" i="18"/>
  <c r="M40" i="18" s="1"/>
  <c r="R39" i="18"/>
  <c r="Q39" i="18"/>
  <c r="P39" i="18"/>
  <c r="I39" i="18"/>
  <c r="H39" i="18"/>
  <c r="G39" i="18"/>
  <c r="F39" i="18"/>
  <c r="E39" i="18"/>
  <c r="R38" i="18"/>
  <c r="Q38" i="18"/>
  <c r="P38" i="18"/>
  <c r="I38" i="18"/>
  <c r="H38" i="18"/>
  <c r="G38" i="18"/>
  <c r="F38" i="18"/>
  <c r="E38" i="18"/>
  <c r="M38" i="18" s="1"/>
  <c r="R37" i="18"/>
  <c r="Q37" i="18"/>
  <c r="P37" i="18"/>
  <c r="I37" i="18"/>
  <c r="H37" i="18"/>
  <c r="G37" i="18"/>
  <c r="F37" i="18"/>
  <c r="E37" i="18"/>
  <c r="M37" i="18" s="1"/>
  <c r="R36" i="18"/>
  <c r="Q36" i="18"/>
  <c r="P36" i="18"/>
  <c r="I36" i="18"/>
  <c r="H36" i="18"/>
  <c r="G36" i="18"/>
  <c r="F36" i="18"/>
  <c r="E36" i="18"/>
  <c r="M36" i="18" s="1"/>
  <c r="R35" i="18"/>
  <c r="Q35" i="18"/>
  <c r="P35" i="18"/>
  <c r="I35" i="18"/>
  <c r="H35" i="18"/>
  <c r="G35" i="18"/>
  <c r="F35" i="18"/>
  <c r="E35" i="18"/>
  <c r="N35" i="18" s="1"/>
  <c r="R34" i="18"/>
  <c r="Q34" i="18"/>
  <c r="P34" i="18"/>
  <c r="I34" i="18"/>
  <c r="H34" i="18"/>
  <c r="G34" i="18"/>
  <c r="F34" i="18"/>
  <c r="E34" i="18"/>
  <c r="N34" i="18" s="1"/>
  <c r="R33" i="18"/>
  <c r="Q33" i="18"/>
  <c r="P33" i="18"/>
  <c r="I33" i="18"/>
  <c r="H33" i="18"/>
  <c r="G33" i="18"/>
  <c r="F33" i="18"/>
  <c r="E33" i="18"/>
  <c r="M33" i="18" s="1"/>
  <c r="R32" i="18"/>
  <c r="Q32" i="18"/>
  <c r="P32" i="18"/>
  <c r="I32" i="18"/>
  <c r="H32" i="18"/>
  <c r="G32" i="18"/>
  <c r="F32" i="18"/>
  <c r="E32" i="18"/>
  <c r="O32" i="18" s="1"/>
  <c r="R31" i="18"/>
  <c r="Q31" i="18"/>
  <c r="P31" i="18"/>
  <c r="I31" i="18"/>
  <c r="H31" i="18"/>
  <c r="G31" i="18"/>
  <c r="F31" i="18"/>
  <c r="E31" i="18"/>
  <c r="N31" i="18" s="1"/>
  <c r="R30" i="18"/>
  <c r="Q30" i="18"/>
  <c r="P30" i="18"/>
  <c r="I30" i="18"/>
  <c r="H30" i="18"/>
  <c r="G30" i="18"/>
  <c r="F30" i="18"/>
  <c r="E30" i="18"/>
  <c r="M30" i="18" s="1"/>
  <c r="R29" i="18"/>
  <c r="Q29" i="18"/>
  <c r="P29" i="18"/>
  <c r="I29" i="18"/>
  <c r="H29" i="18"/>
  <c r="G29" i="18"/>
  <c r="F29" i="18"/>
  <c r="E29" i="18"/>
  <c r="R28" i="18"/>
  <c r="Q28" i="18"/>
  <c r="P28" i="18"/>
  <c r="I28" i="18"/>
  <c r="H28" i="18"/>
  <c r="G28" i="18"/>
  <c r="F28" i="18"/>
  <c r="E28" i="18"/>
  <c r="M28" i="18" s="1"/>
  <c r="R27" i="18"/>
  <c r="Q27" i="18"/>
  <c r="P27" i="18"/>
  <c r="I27" i="18"/>
  <c r="H27" i="18"/>
  <c r="G27" i="18"/>
  <c r="F27" i="18"/>
  <c r="E27" i="18"/>
  <c r="N27" i="18" s="1"/>
  <c r="R26" i="18"/>
  <c r="Q26" i="18"/>
  <c r="P26" i="18"/>
  <c r="I26" i="18"/>
  <c r="H26" i="18"/>
  <c r="G26" i="18"/>
  <c r="F26" i="18"/>
  <c r="E26" i="18"/>
  <c r="M26" i="18" s="1"/>
  <c r="R25" i="18"/>
  <c r="Q25" i="18"/>
  <c r="P25" i="18"/>
  <c r="I25" i="18"/>
  <c r="H25" i="18"/>
  <c r="G25" i="18"/>
  <c r="F25" i="18"/>
  <c r="E25" i="18"/>
  <c r="M25" i="18" s="1"/>
  <c r="R24" i="18"/>
  <c r="Q24" i="18"/>
  <c r="P24" i="18"/>
  <c r="I24" i="18"/>
  <c r="H24" i="18"/>
  <c r="G24" i="18"/>
  <c r="F24" i="18"/>
  <c r="E24" i="18"/>
  <c r="M24" i="18" s="1"/>
  <c r="R23" i="18"/>
  <c r="Q23" i="18"/>
  <c r="P23" i="18"/>
  <c r="I23" i="18"/>
  <c r="H23" i="18"/>
  <c r="G23" i="18"/>
  <c r="F23" i="18"/>
  <c r="E23" i="18"/>
  <c r="R22" i="18"/>
  <c r="Q22" i="18"/>
  <c r="P22" i="18"/>
  <c r="I22" i="18"/>
  <c r="H22" i="18"/>
  <c r="G22" i="18"/>
  <c r="F22" i="18"/>
  <c r="E22" i="18"/>
  <c r="M22" i="18" s="1"/>
  <c r="R21" i="18"/>
  <c r="Q21" i="18"/>
  <c r="P21" i="18"/>
  <c r="I21" i="18"/>
  <c r="H21" i="18"/>
  <c r="G21" i="18"/>
  <c r="F21" i="18"/>
  <c r="E21" i="18"/>
  <c r="M21" i="18" s="1"/>
  <c r="R20" i="18"/>
  <c r="Q20" i="18"/>
  <c r="P20" i="18"/>
  <c r="I20" i="18"/>
  <c r="H20" i="18"/>
  <c r="G20" i="18"/>
  <c r="F20" i="18"/>
  <c r="E20" i="18"/>
  <c r="M20" i="18" s="1"/>
  <c r="R19" i="18"/>
  <c r="Q19" i="18"/>
  <c r="P19" i="18"/>
  <c r="I19" i="18"/>
  <c r="H19" i="18"/>
  <c r="G19" i="18"/>
  <c r="F19" i="18"/>
  <c r="E19" i="18"/>
  <c r="N19" i="18" s="1"/>
  <c r="R18" i="18"/>
  <c r="Q18" i="18"/>
  <c r="P18" i="18"/>
  <c r="I18" i="18"/>
  <c r="H18" i="18"/>
  <c r="G18" i="18"/>
  <c r="F18" i="18"/>
  <c r="E18" i="18"/>
  <c r="N18" i="18" s="1"/>
  <c r="R17" i="18"/>
  <c r="Q17" i="18"/>
  <c r="P17" i="18"/>
  <c r="I17" i="18"/>
  <c r="H17" i="18"/>
  <c r="G17" i="18"/>
  <c r="F17" i="18"/>
  <c r="E17" i="18"/>
  <c r="M17" i="18" s="1"/>
  <c r="R16" i="18"/>
  <c r="Q16" i="18"/>
  <c r="P16" i="18"/>
  <c r="I16" i="18"/>
  <c r="H16" i="18"/>
  <c r="G16" i="18"/>
  <c r="F16" i="18"/>
  <c r="E16" i="18"/>
  <c r="M16" i="18" s="1"/>
  <c r="R15" i="18"/>
  <c r="Q15" i="18"/>
  <c r="P15" i="18"/>
  <c r="I15" i="18"/>
  <c r="H15" i="18"/>
  <c r="G15" i="18"/>
  <c r="F15" i="18"/>
  <c r="E15" i="18"/>
  <c r="N15" i="18" s="1"/>
  <c r="R14" i="18"/>
  <c r="Q14" i="18"/>
  <c r="P14" i="18"/>
  <c r="I14" i="18"/>
  <c r="H14" i="18"/>
  <c r="G14" i="18"/>
  <c r="F14" i="18"/>
  <c r="E14" i="18"/>
  <c r="M14" i="18" s="1"/>
  <c r="R13" i="18"/>
  <c r="Q13" i="18"/>
  <c r="P13" i="18"/>
  <c r="I13" i="18"/>
  <c r="H13" i="18"/>
  <c r="G13" i="18"/>
  <c r="F13" i="18"/>
  <c r="E13" i="18"/>
  <c r="R12" i="18"/>
  <c r="Q12" i="18"/>
  <c r="P12" i="18"/>
  <c r="I12" i="18"/>
  <c r="H12" i="18"/>
  <c r="G12" i="18"/>
  <c r="F12" i="18"/>
  <c r="E12" i="18"/>
  <c r="N12" i="18" s="1"/>
  <c r="R11" i="18"/>
  <c r="Q11" i="18"/>
  <c r="P11" i="18"/>
  <c r="I11" i="18"/>
  <c r="H11" i="18"/>
  <c r="G11" i="18"/>
  <c r="F11" i="18"/>
  <c r="E11" i="18"/>
  <c r="N11" i="18" s="1"/>
  <c r="R10" i="18"/>
  <c r="Q10" i="18"/>
  <c r="P10" i="18"/>
  <c r="I10" i="18"/>
  <c r="H10" i="18"/>
  <c r="G10" i="18"/>
  <c r="F10" i="18"/>
  <c r="E10" i="18"/>
  <c r="M10" i="18" s="1"/>
  <c r="R9" i="18"/>
  <c r="Q9" i="18"/>
  <c r="P9" i="18"/>
  <c r="I9" i="18"/>
  <c r="H9" i="18"/>
  <c r="G9" i="18"/>
  <c r="F9" i="18"/>
  <c r="E9" i="18"/>
  <c r="E62" i="18" s="1"/>
  <c r="V61" i="18"/>
  <c r="U61" i="18"/>
  <c r="T61" i="18"/>
  <c r="S61" i="18"/>
  <c r="O61" i="18"/>
  <c r="N61" i="18"/>
  <c r="M61" i="18"/>
  <c r="L61" i="18"/>
  <c r="G61" i="18"/>
  <c r="F61" i="18"/>
  <c r="E61" i="18"/>
  <c r="T59" i="18"/>
  <c r="S59" i="18"/>
  <c r="K59" i="18"/>
  <c r="J59" i="18"/>
  <c r="L59" i="18"/>
  <c r="S58" i="18"/>
  <c r="T58" i="18"/>
  <c r="K58" i="18"/>
  <c r="J58" i="18"/>
  <c r="L58" i="18"/>
  <c r="N58" i="18"/>
  <c r="T57" i="18"/>
  <c r="S57" i="18"/>
  <c r="L57" i="18"/>
  <c r="K57" i="18"/>
  <c r="T56" i="18"/>
  <c r="S56" i="18"/>
  <c r="O56" i="18"/>
  <c r="K56" i="18"/>
  <c r="J56" i="18"/>
  <c r="L56" i="18"/>
  <c r="T55" i="18"/>
  <c r="S55" i="18"/>
  <c r="K55" i="18"/>
  <c r="J55" i="18"/>
  <c r="L55" i="18"/>
  <c r="S54" i="18"/>
  <c r="T54" i="18"/>
  <c r="K54" i="18"/>
  <c r="J54" i="18"/>
  <c r="L54" i="18"/>
  <c r="M54" i="18"/>
  <c r="T53" i="18"/>
  <c r="S53" i="18"/>
  <c r="L53" i="18"/>
  <c r="K53" i="18"/>
  <c r="T52" i="18"/>
  <c r="S52" i="18"/>
  <c r="K52" i="18"/>
  <c r="J52" i="18"/>
  <c r="L52" i="18"/>
  <c r="T51" i="18"/>
  <c r="S51" i="18"/>
  <c r="K51" i="18"/>
  <c r="O51" i="18" s="1"/>
  <c r="J51" i="18"/>
  <c r="L51" i="18"/>
  <c r="S50" i="18"/>
  <c r="T50" i="18"/>
  <c r="K50" i="18"/>
  <c r="J50" i="18"/>
  <c r="L50" i="18"/>
  <c r="T49" i="18"/>
  <c r="S49" i="18"/>
  <c r="L49" i="18"/>
  <c r="K49" i="18"/>
  <c r="T48" i="18"/>
  <c r="S48" i="18"/>
  <c r="K48" i="18"/>
  <c r="J48" i="18"/>
  <c r="L48" i="18"/>
  <c r="T47" i="18"/>
  <c r="S47" i="18"/>
  <c r="K47" i="18"/>
  <c r="J47" i="18"/>
  <c r="L47" i="18"/>
  <c r="S46" i="18"/>
  <c r="T46" i="18"/>
  <c r="K46" i="18"/>
  <c r="O46" i="18" s="1"/>
  <c r="J46" i="18"/>
  <c r="L46" i="18"/>
  <c r="T45" i="18"/>
  <c r="S45" i="18"/>
  <c r="L45" i="18"/>
  <c r="K45" i="18"/>
  <c r="M45" i="18"/>
  <c r="T44" i="18"/>
  <c r="S44" i="18"/>
  <c r="K44" i="18"/>
  <c r="O44" i="18" s="1"/>
  <c r="J44" i="18"/>
  <c r="L44" i="18"/>
  <c r="N44" i="18"/>
  <c r="T43" i="18"/>
  <c r="S43" i="18"/>
  <c r="K43" i="18"/>
  <c r="J43" i="18"/>
  <c r="L43" i="18"/>
  <c r="S42" i="18"/>
  <c r="T42" i="18"/>
  <c r="K42" i="18"/>
  <c r="J42" i="18"/>
  <c r="L42" i="18"/>
  <c r="T41" i="18"/>
  <c r="S41" i="18"/>
  <c r="L41" i="18"/>
  <c r="K41" i="18"/>
  <c r="T40" i="18"/>
  <c r="S40" i="18"/>
  <c r="K40" i="18"/>
  <c r="O40" i="18" s="1"/>
  <c r="J40" i="18"/>
  <c r="L40" i="18"/>
  <c r="T39" i="18"/>
  <c r="S39" i="18"/>
  <c r="K39" i="18"/>
  <c r="J39" i="18"/>
  <c r="L39" i="18"/>
  <c r="N39" i="18"/>
  <c r="S38" i="18"/>
  <c r="T38" i="18"/>
  <c r="K38" i="18"/>
  <c r="J38" i="18"/>
  <c r="L38" i="18"/>
  <c r="T37" i="18"/>
  <c r="S37" i="18"/>
  <c r="L37" i="18"/>
  <c r="K37" i="18"/>
  <c r="T36" i="18"/>
  <c r="S36" i="18"/>
  <c r="K36" i="18"/>
  <c r="O36" i="18" s="1"/>
  <c r="J36" i="18"/>
  <c r="L36" i="18"/>
  <c r="T35" i="18"/>
  <c r="S35" i="18"/>
  <c r="K35" i="18"/>
  <c r="J35" i="18"/>
  <c r="L35" i="18"/>
  <c r="S34" i="18"/>
  <c r="T34" i="18"/>
  <c r="K34" i="18"/>
  <c r="J34" i="18"/>
  <c r="L34" i="18"/>
  <c r="M34" i="18"/>
  <c r="T33" i="18"/>
  <c r="S33" i="18"/>
  <c r="L33" i="18"/>
  <c r="K33" i="18"/>
  <c r="T32" i="18"/>
  <c r="S32" i="18"/>
  <c r="K32" i="18"/>
  <c r="J32" i="18"/>
  <c r="L32" i="18"/>
  <c r="T31" i="18"/>
  <c r="S31" i="18"/>
  <c r="K31" i="18"/>
  <c r="J31" i="18"/>
  <c r="L31" i="18"/>
  <c r="S30" i="18"/>
  <c r="T30" i="18"/>
  <c r="K30" i="18"/>
  <c r="J30" i="18"/>
  <c r="L30" i="18"/>
  <c r="T29" i="18"/>
  <c r="S29" i="18"/>
  <c r="L29" i="18"/>
  <c r="K29" i="18"/>
  <c r="M29" i="18"/>
  <c r="T28" i="18"/>
  <c r="S28" i="18"/>
  <c r="K28" i="18"/>
  <c r="O28" i="18" s="1"/>
  <c r="J28" i="18"/>
  <c r="L28" i="18"/>
  <c r="N28" i="18"/>
  <c r="T27" i="18"/>
  <c r="S27" i="18"/>
  <c r="K27" i="18"/>
  <c r="J27" i="18"/>
  <c r="L27" i="18"/>
  <c r="S26" i="18"/>
  <c r="T26" i="18"/>
  <c r="K26" i="18"/>
  <c r="J26" i="18"/>
  <c r="L26" i="18"/>
  <c r="T25" i="18"/>
  <c r="S25" i="18"/>
  <c r="L25" i="18"/>
  <c r="K25" i="18"/>
  <c r="T24" i="18"/>
  <c r="S24" i="18"/>
  <c r="K24" i="18"/>
  <c r="O24" i="18" s="1"/>
  <c r="J24" i="18"/>
  <c r="L24" i="18"/>
  <c r="T23" i="18"/>
  <c r="S23" i="18"/>
  <c r="K23" i="18"/>
  <c r="J23" i="18"/>
  <c r="L23" i="18"/>
  <c r="N23" i="18"/>
  <c r="S22" i="18"/>
  <c r="T22" i="18"/>
  <c r="K22" i="18"/>
  <c r="J22" i="18"/>
  <c r="L22" i="18"/>
  <c r="T21" i="18"/>
  <c r="S21" i="18"/>
  <c r="L21" i="18"/>
  <c r="K21" i="18"/>
  <c r="T20" i="18"/>
  <c r="S20" i="18"/>
  <c r="K20" i="18"/>
  <c r="O20" i="18" s="1"/>
  <c r="J20" i="18"/>
  <c r="L20" i="18"/>
  <c r="T19" i="18"/>
  <c r="S19" i="18"/>
  <c r="K19" i="18"/>
  <c r="J19" i="18"/>
  <c r="L19" i="18"/>
  <c r="S18" i="18"/>
  <c r="T18" i="18"/>
  <c r="K18" i="18"/>
  <c r="J18" i="18"/>
  <c r="L18" i="18"/>
  <c r="M18" i="18"/>
  <c r="T17" i="18"/>
  <c r="S17" i="18"/>
  <c r="L17" i="18"/>
  <c r="K17" i="18"/>
  <c r="T16" i="18"/>
  <c r="S16" i="18"/>
  <c r="K16" i="18"/>
  <c r="O16" i="18" s="1"/>
  <c r="J16" i="18"/>
  <c r="L16" i="18"/>
  <c r="T15" i="18"/>
  <c r="S15" i="18"/>
  <c r="K15" i="18"/>
  <c r="J15" i="18"/>
  <c r="L15" i="18"/>
  <c r="S14" i="18"/>
  <c r="T14" i="18"/>
  <c r="K14" i="18"/>
  <c r="J14" i="18"/>
  <c r="L14" i="18"/>
  <c r="T13" i="18"/>
  <c r="S13" i="18"/>
  <c r="L13" i="18"/>
  <c r="K13" i="18"/>
  <c r="J13" i="18"/>
  <c r="N13" i="18"/>
  <c r="S12" i="18"/>
  <c r="T12" i="18"/>
  <c r="K12" i="18"/>
  <c r="O12" i="18" s="1"/>
  <c r="J12" i="18"/>
  <c r="L12" i="18"/>
  <c r="T11" i="18"/>
  <c r="S11" i="18"/>
  <c r="K11" i="18"/>
  <c r="J11" i="18"/>
  <c r="L11" i="18"/>
  <c r="S10" i="18"/>
  <c r="T10" i="18"/>
  <c r="K10" i="18"/>
  <c r="O10" i="18" s="1"/>
  <c r="J10" i="18"/>
  <c r="L10" i="18"/>
  <c r="T9" i="18"/>
  <c r="S9" i="18"/>
  <c r="L9" i="18"/>
  <c r="K9" i="18"/>
  <c r="J9" i="18"/>
  <c r="G62" i="18"/>
  <c r="L62" i="18" s="1"/>
  <c r="F62" i="18"/>
  <c r="AB70" i="17"/>
  <c r="AA70" i="17"/>
  <c r="Z70" i="17"/>
  <c r="Y70" i="17"/>
  <c r="X70" i="17"/>
  <c r="W70" i="17"/>
  <c r="V70" i="17"/>
  <c r="U70" i="17"/>
  <c r="T70" i="17"/>
  <c r="S70" i="17"/>
  <c r="R70" i="17"/>
  <c r="Q70" i="17"/>
  <c r="P70" i="17"/>
  <c r="O70" i="17"/>
  <c r="N70" i="17"/>
  <c r="M70" i="17"/>
  <c r="N71" i="16"/>
  <c r="C3" i="2"/>
  <c r="O9" i="18" l="1"/>
  <c r="O14" i="18"/>
  <c r="O19" i="18"/>
  <c r="N22" i="18"/>
  <c r="O29" i="18"/>
  <c r="O30" i="18"/>
  <c r="V30" i="18" s="1"/>
  <c r="O35" i="18"/>
  <c r="N38" i="18"/>
  <c r="O45" i="18"/>
  <c r="O55" i="18"/>
  <c r="O13" i="18"/>
  <c r="N16" i="18"/>
  <c r="N32" i="18"/>
  <c r="N48" i="18"/>
  <c r="O50" i="18"/>
  <c r="V50" i="18" s="1"/>
  <c r="O59" i="18"/>
  <c r="O17" i="18"/>
  <c r="O18" i="18"/>
  <c r="O23" i="18"/>
  <c r="N26" i="18"/>
  <c r="M32" i="18"/>
  <c r="O33" i="18"/>
  <c r="V33" i="18" s="1"/>
  <c r="O34" i="18"/>
  <c r="V34" i="18" s="1"/>
  <c r="O39" i="18"/>
  <c r="N42" i="18"/>
  <c r="N47" i="18"/>
  <c r="M48" i="18"/>
  <c r="V48" i="18" s="1"/>
  <c r="O49" i="18"/>
  <c r="M52" i="18"/>
  <c r="V52" i="18" s="1"/>
  <c r="O53" i="18"/>
  <c r="V53" i="18" s="1"/>
  <c r="O54" i="18"/>
  <c r="V54" i="18" s="1"/>
  <c r="N20" i="18"/>
  <c r="N36" i="18"/>
  <c r="O57" i="18"/>
  <c r="V57" i="18" s="1"/>
  <c r="O58" i="18"/>
  <c r="O21" i="18"/>
  <c r="O22" i="18"/>
  <c r="O27" i="18"/>
  <c r="N30" i="18"/>
  <c r="O37" i="18"/>
  <c r="O38" i="18"/>
  <c r="V38" i="18" s="1"/>
  <c r="O43" i="18"/>
  <c r="O11" i="18"/>
  <c r="N24" i="18"/>
  <c r="N40" i="18"/>
  <c r="U40" i="18" s="1"/>
  <c r="O15" i="18"/>
  <c r="O25" i="18"/>
  <c r="O26" i="18"/>
  <c r="V26" i="18" s="1"/>
  <c r="O31" i="18"/>
  <c r="O41" i="18"/>
  <c r="V41" i="18" s="1"/>
  <c r="O42" i="18"/>
  <c r="O47" i="18"/>
  <c r="V14" i="18"/>
  <c r="V49" i="18"/>
  <c r="V51" i="18"/>
  <c r="U52" i="18"/>
  <c r="V22" i="18"/>
  <c r="U22" i="18"/>
  <c r="U30" i="18"/>
  <c r="V21" i="18"/>
  <c r="V25" i="18"/>
  <c r="V29" i="18"/>
  <c r="V37" i="18"/>
  <c r="V45" i="18"/>
  <c r="V47" i="18"/>
  <c r="U47" i="18"/>
  <c r="V17" i="18"/>
  <c r="M62" i="18"/>
  <c r="V16" i="18"/>
  <c r="U16" i="18"/>
  <c r="V20" i="18"/>
  <c r="U20" i="18"/>
  <c r="V24" i="18"/>
  <c r="U24" i="18"/>
  <c r="V28" i="18"/>
  <c r="U28" i="18"/>
  <c r="V32" i="18"/>
  <c r="U32" i="18"/>
  <c r="V36" i="18"/>
  <c r="U36" i="18"/>
  <c r="V39" i="18"/>
  <c r="V40" i="18"/>
  <c r="V44" i="18"/>
  <c r="U44" i="18"/>
  <c r="V56" i="18"/>
  <c r="U26" i="18"/>
  <c r="U34" i="18"/>
  <c r="V42" i="18"/>
  <c r="U42" i="18"/>
  <c r="V46" i="18"/>
  <c r="V55" i="18"/>
  <c r="U55" i="18"/>
  <c r="N50" i="18"/>
  <c r="U50" i="18" s="1"/>
  <c r="V58" i="18"/>
  <c r="U58" i="18"/>
  <c r="N59" i="18"/>
  <c r="U59" i="18" s="1"/>
  <c r="V18" i="18"/>
  <c r="U18" i="18"/>
  <c r="N10" i="18"/>
  <c r="N46" i="18"/>
  <c r="U46" i="18" s="1"/>
  <c r="U54" i="18"/>
  <c r="N55" i="18"/>
  <c r="N56" i="18"/>
  <c r="U56" i="18" s="1"/>
  <c r="V10" i="18"/>
  <c r="U10" i="18"/>
  <c r="U38" i="18"/>
  <c r="T62" i="18"/>
  <c r="O62" i="18"/>
  <c r="S62" i="18"/>
  <c r="N14" i="18"/>
  <c r="U14" i="18" s="1"/>
  <c r="N51" i="18"/>
  <c r="U51" i="18" s="1"/>
  <c r="N52" i="18"/>
  <c r="V59" i="18"/>
  <c r="M9" i="18"/>
  <c r="U9" i="18" s="1"/>
  <c r="M13" i="18"/>
  <c r="U13" i="18" s="1"/>
  <c r="N9" i="18"/>
  <c r="M11" i="18"/>
  <c r="V11" i="18" s="1"/>
  <c r="M15" i="18"/>
  <c r="U15" i="18" s="1"/>
  <c r="M19" i="18"/>
  <c r="M23" i="18"/>
  <c r="U23" i="18" s="1"/>
  <c r="M27" i="18"/>
  <c r="M31" i="18"/>
  <c r="U31" i="18" s="1"/>
  <c r="M35" i="18"/>
  <c r="M39" i="18"/>
  <c r="U39" i="18" s="1"/>
  <c r="M43" i="18"/>
  <c r="J17" i="18"/>
  <c r="N17" i="18" s="1"/>
  <c r="U17" i="18" s="1"/>
  <c r="J21" i="18"/>
  <c r="N21" i="18" s="1"/>
  <c r="U21" i="18" s="1"/>
  <c r="J25" i="18"/>
  <c r="N25" i="18" s="1"/>
  <c r="U25" i="18" s="1"/>
  <c r="J29" i="18"/>
  <c r="N29" i="18" s="1"/>
  <c r="U29" i="18" s="1"/>
  <c r="J33" i="18"/>
  <c r="N33" i="18" s="1"/>
  <c r="U33" i="18" s="1"/>
  <c r="J37" i="18"/>
  <c r="N37" i="18" s="1"/>
  <c r="U37" i="18" s="1"/>
  <c r="J41" i="18"/>
  <c r="N41" i="18" s="1"/>
  <c r="U41" i="18" s="1"/>
  <c r="J45" i="18"/>
  <c r="N45" i="18" s="1"/>
  <c r="U45" i="18" s="1"/>
  <c r="J49" i="18"/>
  <c r="N49" i="18" s="1"/>
  <c r="U49" i="18" s="1"/>
  <c r="J53" i="18"/>
  <c r="N53" i="18" s="1"/>
  <c r="U53" i="18" s="1"/>
  <c r="J57" i="18"/>
  <c r="N57" i="18" s="1"/>
  <c r="U57" i="18" s="1"/>
  <c r="M12" i="18"/>
  <c r="V12" i="18" s="1"/>
  <c r="F2" i="4"/>
  <c r="V43" i="18" l="1"/>
  <c r="U48" i="18"/>
  <c r="V35" i="18"/>
  <c r="V27" i="18"/>
  <c r="V31" i="18"/>
  <c r="V19" i="18"/>
  <c r="V15" i="18"/>
  <c r="U11" i="18"/>
  <c r="U43" i="18"/>
  <c r="U35" i="18"/>
  <c r="U27" i="18"/>
  <c r="U19" i="18"/>
  <c r="U12" i="18"/>
  <c r="V13" i="18"/>
  <c r="V62" i="18"/>
  <c r="T64" i="18" s="1"/>
  <c r="V23" i="18"/>
  <c r="N62" i="18"/>
  <c r="V9" i="18"/>
  <c r="E64" i="18" l="1"/>
  <c r="U62" i="18"/>
  <c r="S64" i="18" s="1"/>
  <c r="G64" i="18"/>
  <c r="A8" i="8"/>
  <c r="D6" i="2" s="1"/>
  <c r="B2" i="2"/>
  <c r="B2" i="4"/>
  <c r="H2" i="4"/>
  <c r="H3" i="4"/>
  <c r="G2" i="4"/>
  <c r="G3" i="4"/>
  <c r="F3" i="4"/>
  <c r="B3" i="4"/>
  <c r="C2" i="4"/>
  <c r="C3" i="4"/>
  <c r="E2" i="4" l="1"/>
  <c r="E3" i="4"/>
  <c r="D2" i="4"/>
  <c r="D3" i="4"/>
  <c r="E2" i="2" l="1"/>
  <c r="D2" i="2"/>
  <c r="E5" i="4"/>
  <c r="H3" i="2"/>
  <c r="G3" i="2"/>
  <c r="E3" i="2"/>
  <c r="D3" i="2"/>
  <c r="A6" i="8" l="1"/>
  <c r="A9" i="8"/>
  <c r="E6" i="2" s="1"/>
  <c r="G2" i="2" l="1"/>
  <c r="H2" i="2"/>
  <c r="F2" i="2" l="1"/>
  <c r="C2" i="2"/>
  <c r="B3" i="2" l="1"/>
</calcChain>
</file>

<file path=xl/sharedStrings.xml><?xml version="1.0" encoding="utf-8"?>
<sst xmlns="http://schemas.openxmlformats.org/spreadsheetml/2006/main" count="4920" uniqueCount="2345">
  <si>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</si>
  <si>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</si>
  <si>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</si>
  <si>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</si>
  <si>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</si>
  <si>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</si>
  <si>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</si>
  <si>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</si>
  <si>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</si>
  <si>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</si>
  <si>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</si>
  <si>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</si>
  <si>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</si>
  <si>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</si>
  <si>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</si>
  <si>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Total World</t>
  </si>
  <si>
    <t>Aircraft Cargo Stock</t>
  </si>
  <si>
    <t>- -</t>
  </si>
  <si>
    <t>Aircraft Parked Stock</t>
  </si>
  <si>
    <t>Aircraft Active Stock</t>
  </si>
  <si>
    <t>Aircraft Stock</t>
  </si>
  <si>
    <t/>
  </si>
  <si>
    <t>Release Date</t>
  </si>
  <si>
    <t>Datekey</t>
  </si>
  <si>
    <t>Scenario</t>
  </si>
  <si>
    <t>Report</t>
  </si>
  <si>
    <t>EIA</t>
  </si>
  <si>
    <t>Table 49</t>
  </si>
  <si>
    <t>https://www.eia.gov/outlooks/aeo/supplement/excel/suptab_49.xlsx</t>
  </si>
  <si>
    <t>International Shipping</t>
  </si>
  <si>
    <t>Domestic Shipping</t>
  </si>
  <si>
    <t>Railroads</t>
  </si>
  <si>
    <t>New Trucks by Size Class</t>
  </si>
  <si>
    <t>Freight Truck Stock by Size Class</t>
  </si>
  <si>
    <t>freight HDVs</t>
  </si>
  <si>
    <t>https://www.eia.gov/outlooks/aeo/supplement/excel/suptab_50.xlsx</t>
  </si>
  <si>
    <t>Recreational boats:</t>
  </si>
  <si>
    <t>Oceangoing self-propelled vessels:</t>
  </si>
  <si>
    <t>Nonself-propelled vessels and self-propelled vessels:</t>
  </si>
  <si>
    <t>Water transportation:</t>
  </si>
  <si>
    <t>1975-80: Amtrak, State and Local Affairs Department, personal communication.</t>
  </si>
  <si>
    <t>Amtrak:</t>
  </si>
  <si>
    <t>Class I, locomotive</t>
  </si>
  <si>
    <t>Rail (all categories, except Amtrak):</t>
  </si>
  <si>
    <t>Transit:</t>
  </si>
  <si>
    <t>Highway:</t>
  </si>
  <si>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</si>
  <si>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t>General aviation:</t>
  </si>
  <si>
    <t>Air carrier:</t>
  </si>
  <si>
    <t>Air:</t>
  </si>
  <si>
    <t>SOURCES</t>
  </si>
  <si>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</si>
  <si>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r>
      <rPr>
        <i/>
        <sz val="9"/>
        <rFont val="Arial"/>
        <family val="2"/>
      </rPr>
      <t xml:space="preserve">Transit </t>
    </r>
    <r>
      <rPr>
        <sz val="9"/>
        <rFont val="Arial"/>
        <family val="2"/>
      </rPr>
      <t>data for 1996 and later years are obtained from the National Transit Database and cannot be compared with data for earlier years.</t>
    </r>
  </si>
  <si>
    <t xml:space="preserve">For more detail on oceangoing vessels, see table 1-23. </t>
  </si>
  <si>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</si>
  <si>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</si>
  <si>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t xml:space="preserve">NOTES </t>
    </r>
    <r>
      <rPr>
        <sz val="9"/>
        <rFont val="Arial"/>
        <family val="2"/>
      </rPr>
      <t xml:space="preserve"> </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</si>
  <si>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</si>
  <si>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</si>
  <si>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t>U</t>
  </si>
  <si>
    <t xml:space="preserve">Water </t>
  </si>
  <si>
    <t>Amtrak, locomotive</t>
  </si>
  <si>
    <t>Amtrak, passenger train car</t>
  </si>
  <si>
    <t>Car companies and shippers freight cars</t>
  </si>
  <si>
    <t>Nonclass I freight cars</t>
  </si>
  <si>
    <t>Class I, freight cars</t>
  </si>
  <si>
    <t>Rail</t>
  </si>
  <si>
    <t>Demand responsive</t>
  </si>
  <si>
    <t>Commuter rail cars and locomotives</t>
  </si>
  <si>
    <t>Trolley bus</t>
  </si>
  <si>
    <t>Heavy rail cars</t>
  </si>
  <si>
    <t>Bus</t>
  </si>
  <si>
    <r>
      <t>Light duty vehicle, long wheel base</t>
    </r>
    <r>
      <rPr>
        <vertAlign val="superscript"/>
        <sz val="11"/>
        <rFont val="Arial Narrow"/>
        <family val="2"/>
      </rPr>
      <t>c</t>
    </r>
  </si>
  <si>
    <t>Highway, total (registered vehicles)</t>
  </si>
  <si>
    <r>
      <t>General aviation</t>
    </r>
    <r>
      <rPr>
        <vertAlign val="superscript"/>
        <sz val="11"/>
        <rFont val="Arial Narrow"/>
        <family val="2"/>
      </rPr>
      <t xml:space="preserve">b </t>
    </r>
    <r>
      <rPr>
        <sz val="11"/>
        <rFont val="Arial Narrow"/>
        <family val="2"/>
      </rPr>
      <t>(active fleet)</t>
    </r>
  </si>
  <si>
    <r>
      <t>Air carrier</t>
    </r>
    <r>
      <rPr>
        <vertAlign val="superscript"/>
        <sz val="11"/>
        <rFont val="Arial Narrow"/>
        <family val="2"/>
      </rPr>
      <t>a</t>
    </r>
  </si>
  <si>
    <t>Air</t>
  </si>
  <si>
    <r>
      <t>Table 1-11:</t>
    </r>
    <r>
      <rPr>
        <b/>
        <sz val="14"/>
        <rFont val="Arial"/>
        <family val="2"/>
      </rPr>
      <t xml:space="preserve"> </t>
    </r>
    <r>
      <rPr>
        <b/>
        <sz val="12"/>
        <rFont val="Arial"/>
        <family val="2"/>
      </rPr>
      <t>Number of U.S. Aircraft, Vehicles, Vessels, and Other Conveyances</t>
    </r>
  </si>
  <si>
    <t>cars per commuter rail train</t>
  </si>
  <si>
    <t>Total Stock</t>
  </si>
  <si>
    <t>Total Light Truck Stock</t>
  </si>
  <si>
    <t>Total Car Stock</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</si>
  <si>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</si>
  <si>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</si>
  <si>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</si>
  <si>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</si>
  <si>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</si>
  <si>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</si>
  <si>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</si>
  <si>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</si>
  <si>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</si>
  <si>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</si>
  <si>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</si>
  <si>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</si>
  <si>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</si>
  <si>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</si>
  <si>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</si>
  <si>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</si>
  <si>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</si>
  <si>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</si>
  <si>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</si>
  <si>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</si>
  <si>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</si>
  <si>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</si>
  <si>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</si>
  <si>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</si>
  <si>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</si>
  <si>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</si>
  <si>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</si>
  <si>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</si>
  <si>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</si>
  <si>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</si>
  <si>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</si>
  <si>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</si>
  <si>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</si>
  <si>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</si>
  <si>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</si>
  <si>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</si>
  <si>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</si>
  <si>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</si>
  <si>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</si>
  <si>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</si>
  <si>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</si>
  <si>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</si>
  <si>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</si>
  <si>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</si>
  <si>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</si>
  <si>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</si>
  <si>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</si>
  <si>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</si>
  <si>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</si>
  <si>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</si>
  <si>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</si>
  <si>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</si>
  <si>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</si>
  <si>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</si>
  <si>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</si>
  <si>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</si>
  <si>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</si>
  <si>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</si>
  <si>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</si>
  <si>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</si>
  <si>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</si>
  <si>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</si>
  <si>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</si>
  <si>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</si>
  <si>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</si>
  <si>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</si>
  <si>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</si>
  <si>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</si>
  <si>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</si>
  <si>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</si>
  <si>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</si>
  <si>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</si>
  <si>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</si>
  <si>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</si>
  <si>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</si>
  <si>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</si>
  <si>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</si>
  <si>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</si>
  <si>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</si>
  <si>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</si>
  <si>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</si>
  <si>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</si>
  <si>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</si>
  <si>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</si>
  <si>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</si>
  <si>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</si>
  <si>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</si>
  <si>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</si>
  <si>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</si>
  <si>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</si>
  <si>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</si>
  <si>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</si>
  <si>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</si>
  <si>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</si>
  <si>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</si>
  <si>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</si>
  <si>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</si>
  <si>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</si>
  <si>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</si>
  <si>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</si>
  <si>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</si>
  <si>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</si>
  <si>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</si>
  <si>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</si>
  <si>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DoT</t>
  </si>
  <si>
    <t>Table 1-11</t>
  </si>
  <si>
    <t>Total Consumption</t>
  </si>
  <si>
    <t>Pipeline Fuel Natural Gas</t>
  </si>
  <si>
    <t>Lubricants</t>
  </si>
  <si>
    <t>Recreational Boats</t>
  </si>
  <si>
    <t>Rail Transportation</t>
  </si>
  <si>
    <t>Bus Transportation</t>
  </si>
  <si>
    <t>Military Use</t>
  </si>
  <si>
    <t>Air Transportation</t>
  </si>
  <si>
    <t>Light-Duty Vehicle</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</si>
  <si>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</si>
  <si>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</si>
  <si>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</si>
  <si>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</si>
  <si>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</si>
  <si>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Railroad Type</t>
  </si>
  <si>
    <t>Number of Companies</t>
  </si>
  <si>
    <t>Miles of Track</t>
  </si>
  <si>
    <t>Employees</t>
  </si>
  <si>
    <t>Revenues (bil)</t>
  </si>
  <si>
    <t>Class I</t>
  </si>
  <si>
    <t>Class II (Regional)</t>
  </si>
  <si>
    <t>Class III (Local)</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</si>
  <si>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</si>
  <si>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</si>
  <si>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</si>
  <si>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</si>
  <si>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</si>
  <si>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</si>
  <si>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</si>
  <si>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</si>
  <si>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</si>
  <si>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</si>
  <si>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</si>
  <si>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</si>
  <si>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</si>
  <si>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</si>
  <si>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electric buses in the U.S.</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</si>
  <si>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</si>
  <si>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</si>
  <si>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</si>
  <si>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</si>
  <si>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TKI000:buspassmiles</t>
  </si>
  <si>
    <t xml:space="preserve">   Bus Transportation</t>
  </si>
  <si>
    <t>TKI000:railpassmiles</t>
  </si>
  <si>
    <t xml:space="preserve">   Passenger Rail</t>
  </si>
  <si>
    <t>http://www.infrastructurereportcard.org/wp-content/uploads/2018/05/C1-140212-001_D1-FRA-Report-on-RRs-Report-9-30.pdf</t>
  </si>
  <si>
    <t xml:space="preserve"> (billion passenger miles traveled)</t>
  </si>
  <si>
    <t xml:space="preserve">    Pipeline Fuel</t>
  </si>
  <si>
    <t>https://www.bts.gov/content/number-us-aircraft-vehicles-vessels-and-other-conveyances</t>
  </si>
  <si>
    <t>National Transportation Statistics 2018 Q4</t>
  </si>
  <si>
    <t>Start Year</t>
  </si>
  <si>
    <t>Total Fleet Vehicles</t>
  </si>
  <si>
    <t>LPG vehicle</t>
  </si>
  <si>
    <t>hydrogen vehicle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</si>
  <si>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</si>
  <si>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</si>
  <si>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</si>
  <si>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</si>
  <si>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</si>
  <si>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</si>
  <si>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</si>
  <si>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</si>
  <si>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</si>
  <si>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</si>
  <si>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</si>
  <si>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</si>
  <si>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</si>
  <si>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</si>
  <si>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</si>
  <si>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</si>
  <si>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</si>
  <si>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</si>
  <si>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</si>
  <si>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</si>
  <si>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</si>
  <si>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</si>
  <si>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</si>
  <si>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share of passenger rail that is electric</t>
  </si>
  <si>
    <t>share of passenger rail that is diesel</t>
  </si>
  <si>
    <t>share of passenger ships that is diesel</t>
  </si>
  <si>
    <t>share of passenger ships that is gasoline</t>
  </si>
  <si>
    <t>Efficiency electric</t>
  </si>
  <si>
    <t>Efficiency diesel</t>
  </si>
  <si>
    <t>Electric BTUs * efficiency</t>
  </si>
  <si>
    <t>Diesel BTUs * efficiency</t>
  </si>
  <si>
    <t>Annual Energy Outlook 2020</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</si>
  <si>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</si>
  <si>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</si>
  <si>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</si>
  <si>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</si>
  <si>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</si>
  <si>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</si>
  <si>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</si>
  <si>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</si>
  <si>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</si>
  <si>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</si>
  <si>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</si>
  <si>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</si>
  <si>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</si>
  <si>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</si>
  <si>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</si>
  <si>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</si>
  <si>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</si>
  <si>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</si>
  <si>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</si>
  <si>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</si>
  <si>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</si>
  <si>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</si>
  <si>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</si>
  <si>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</si>
  <si>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</si>
  <si>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</si>
  <si>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</si>
  <si>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36.  Transportation Sector Energy Use by Fuel Type Within a Mode</t>
  </si>
  <si>
    <t>Source: U.S. Energy Information Administration</t>
  </si>
  <si>
    <t>full name</t>
  </si>
  <si>
    <t>api key</t>
  </si>
  <si>
    <t>units</t>
  </si>
  <si>
    <t>trillion Btu</t>
  </si>
  <si>
    <t>Table 39.  Light-Duty Vehicle Stock by Technology Type</t>
  </si>
  <si>
    <t>Car Stock</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</si>
  <si>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</si>
  <si>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</si>
  <si>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</si>
  <si>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</si>
  <si>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</si>
  <si>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</si>
  <si>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</si>
  <si>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</si>
  <si>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</si>
  <si>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</si>
  <si>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</si>
  <si>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</si>
  <si>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</si>
  <si>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</si>
  <si>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</si>
  <si>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Light Truck Stock</t>
  </si>
  <si>
    <t>Conventional Light Trucks</t>
  </si>
  <si>
    <t>Total Conventional Light Trucks</t>
  </si>
  <si>
    <t>Alternative-Fuel Light Trucks</t>
  </si>
  <si>
    <t>Total Alternative Light Trucks</t>
  </si>
  <si>
    <t>millions</t>
  </si>
  <si>
    <t>Table 45.  Transportation Fleet Car and Truck Stock by Type and Technology</t>
  </si>
  <si>
    <t>thousands</t>
  </si>
  <si>
    <t>Commercial Light Truck Stock</t>
  </si>
  <si>
    <t>Ethanol-Flex Fuel</t>
  </si>
  <si>
    <t>Electric</t>
  </si>
  <si>
    <t>Plug-in Gasoline Hybrid</t>
  </si>
  <si>
    <t>Plug-in Diesel Hybrid</t>
  </si>
  <si>
    <t>Fuel Cell</t>
  </si>
  <si>
    <t>Total Commercial Light Truck Stock</t>
  </si>
  <si>
    <t>Table 48.  Aircraft Stock</t>
  </si>
  <si>
    <t>United States</t>
  </si>
  <si>
    <t>Narrow Body Aircraft</t>
  </si>
  <si>
    <t>Wide Body Aircraft</t>
  </si>
  <si>
    <t>Regional Jets</t>
  </si>
  <si>
    <t>Canada</t>
  </si>
  <si>
    <t>Central America</t>
  </si>
  <si>
    <t>South America</t>
  </si>
  <si>
    <t>Europe</t>
  </si>
  <si>
    <t>Africa</t>
  </si>
  <si>
    <t>Mideast</t>
  </si>
  <si>
    <t>Commonwealth of Independent States</t>
  </si>
  <si>
    <t>China</t>
  </si>
  <si>
    <t>Northeast Asia</t>
  </si>
  <si>
    <t>Southeast Asia</t>
  </si>
  <si>
    <t>Southwest Asia</t>
  </si>
  <si>
    <t>Oceania</t>
  </si>
  <si>
    <t>Table 49.  Freight Transportation Energy Use</t>
  </si>
  <si>
    <t>Vehicle Miles Traveled (billion miles)</t>
  </si>
  <si>
    <t>Light Medium</t>
  </si>
  <si>
    <t>billion miles</t>
  </si>
  <si>
    <t>Light Medium Subtotal</t>
  </si>
  <si>
    <t>Medium</t>
  </si>
  <si>
    <t>Medium Subtotal</t>
  </si>
  <si>
    <t>Heavy</t>
  </si>
  <si>
    <t>Heavy Subtotal</t>
  </si>
  <si>
    <t>Total Vehicle Miles Traveled</t>
  </si>
  <si>
    <t>Consumption (trillion Btu)</t>
  </si>
  <si>
    <t xml:space="preserve"> Medium</t>
  </si>
  <si>
    <t xml:space="preserve"> and Heavy Total</t>
  </si>
  <si>
    <t>Fuel Efficiency (miles per gallon)</t>
  </si>
  <si>
    <t>mpg diesel equiv</t>
  </si>
  <si>
    <t>mpg gas equiv</t>
  </si>
  <si>
    <t>Light Medium Average</t>
  </si>
  <si>
    <t>mpg</t>
  </si>
  <si>
    <t>Medium Average</t>
  </si>
  <si>
    <t>Heavy Average</t>
  </si>
  <si>
    <t>Average Fuel Efficiency</t>
  </si>
  <si>
    <t>Stock (millions)</t>
  </si>
  <si>
    <t>Sales (thousands)</t>
  </si>
  <si>
    <t>Total Sales</t>
  </si>
  <si>
    <t>Ton Miles by Rail (billion)</t>
  </si>
  <si>
    <t>billions</t>
  </si>
  <si>
    <t>Fuel Efficiency (ton miles per thousand Btu)</t>
  </si>
  <si>
    <t>ton miles/thousand B</t>
  </si>
  <si>
    <t>Fuel Consumption (trillion Btu)</t>
  </si>
  <si>
    <t>Ton Miles Shipping (billion)</t>
  </si>
  <si>
    <t>Gross Trade (billion 2012 dollars)</t>
  </si>
  <si>
    <t>billion 2012 $</t>
  </si>
  <si>
    <t>Exports (billion 2012 dollars)</t>
  </si>
  <si>
    <t>Imports (billion 2012 dollars)</t>
  </si>
  <si>
    <r>
      <t>Light duty vehicle, short wheel base</t>
    </r>
    <r>
      <rPr>
        <vertAlign val="superscript"/>
        <sz val="11"/>
        <rFont val="Arial Narrow"/>
        <family val="2"/>
      </rPr>
      <t>c,d</t>
    </r>
  </si>
  <si>
    <r>
      <t>Motorcycle</t>
    </r>
    <r>
      <rPr>
        <vertAlign val="superscript"/>
        <sz val="11"/>
        <rFont val="Arial Narrow"/>
        <family val="2"/>
      </rPr>
      <t>d</t>
    </r>
  </si>
  <si>
    <r>
      <t>Truck, combination</t>
    </r>
    <r>
      <rPr>
        <vertAlign val="superscript"/>
        <sz val="11"/>
        <rFont val="Arial Narrow"/>
        <family val="2"/>
      </rPr>
      <t>e,f</t>
    </r>
  </si>
  <si>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</si>
  <si>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</si>
  <si>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</si>
  <si>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r>
      <t>Other</t>
    </r>
    <r>
      <rPr>
        <vertAlign val="superscript"/>
        <sz val="11"/>
        <rFont val="Arial Narrow"/>
        <family val="2"/>
      </rPr>
      <t>j</t>
    </r>
  </si>
  <si>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</si>
  <si>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</si>
  <si>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</si>
  <si>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</si>
  <si>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</si>
  <si>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</si>
  <si>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</si>
  <si>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</si>
  <si>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</si>
  <si>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</si>
  <si>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</si>
  <si>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</si>
  <si>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</si>
  <si>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</si>
  <si>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</si>
  <si>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</si>
  <si>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</si>
  <si>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</si>
  <si>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</si>
  <si>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</si>
  <si>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</si>
  <si>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</si>
  <si>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</si>
  <si>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</si>
  <si>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</si>
  <si>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</si>
  <si>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</si>
  <si>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</si>
  <si>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</si>
  <si>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</si>
  <si>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</si>
  <si>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</si>
  <si>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</si>
  <si>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</si>
  <si>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</si>
  <si>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</si>
  <si>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</si>
  <si>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</si>
  <si>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Annual Energy Outlook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</si>
  <si>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</si>
  <si>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</si>
  <si>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</si>
  <si>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</si>
  <si>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</si>
  <si>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</si>
  <si>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</si>
  <si>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r>
      <t>Truck, single-unit 2-axle 6-tire or more</t>
    </r>
    <r>
      <rPr>
        <vertAlign val="superscript"/>
        <sz val="11"/>
        <rFont val="Arial Narrow"/>
        <family val="2"/>
      </rPr>
      <t>f</t>
    </r>
  </si>
  <si>
    <t>N</t>
  </si>
  <si>
    <r>
      <t xml:space="preserve">d </t>
    </r>
    <r>
      <rPr>
        <sz val="9"/>
        <rFont val="Arial"/>
        <family val="2"/>
      </rPr>
      <t>1960-1993 Motorcycle data is included in Light duty vehicle, short wheel base.</t>
    </r>
  </si>
  <si>
    <r>
      <t xml:space="preserve">p </t>
    </r>
    <r>
      <rPr>
        <i/>
        <sz val="9"/>
        <rFont val="Arial"/>
        <family val="2"/>
      </rPr>
      <t xml:space="preserve">Fleet </t>
    </r>
    <r>
      <rPr>
        <sz val="9"/>
        <rFont val="Arial"/>
        <family val="2"/>
      </rPr>
      <t>is as of January of each year except for 2020, the data is as of December 2019.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</si>
  <si>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</si>
  <si>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Association of American Railroads, </t>
    </r>
    <r>
      <rPr>
        <i/>
        <sz val="9"/>
        <rFont val="Arial"/>
        <family val="2"/>
      </rPr>
      <t xml:space="preserve">Railroad Facts </t>
    </r>
    <r>
      <rPr>
        <sz val="9"/>
        <rFont val="Arial"/>
        <family val="2"/>
      </rPr>
      <t>(Washington, DC: Annual Issues), p. 65, and similar pages in earlier editions.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</si>
  <si>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</si>
  <si>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NEED TO UPDATE THESE ALONG WITH AEO UPDATES</t>
  </si>
  <si>
    <t>Rail-passenger data</t>
  </si>
  <si>
    <t>National Transit Database Tables</t>
  </si>
  <si>
    <t>American Public Transportation Association</t>
  </si>
  <si>
    <t>https://www.apta.com/research-technical-resources/transit-statistics/ntd-data-tables/</t>
  </si>
  <si>
    <t xml:space="preserve">For passenger rail, we use data on number of vehicles from APTA. </t>
  </si>
  <si>
    <t>We filtered by vehicle mode to only include passenger rail (HR, LR, CR)</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</si>
  <si>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</si>
  <si>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</si>
  <si>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</si>
  <si>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</si>
  <si>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</si>
  <si>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</si>
  <si>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</si>
  <si>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</si>
  <si>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</si>
  <si>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</si>
  <si>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</si>
  <si>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</si>
  <si>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</si>
  <si>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</si>
  <si>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</si>
  <si>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</si>
  <si>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</si>
  <si>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</si>
  <si>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</si>
  <si>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</si>
  <si>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</si>
  <si>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</si>
  <si>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</si>
  <si>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</si>
  <si>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</si>
  <si>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</si>
  <si>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</si>
  <si>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</si>
  <si>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</si>
  <si>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</si>
  <si>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</si>
  <si>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</si>
  <si>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</si>
  <si>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</si>
  <si>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</si>
  <si>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</si>
  <si>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</si>
  <si>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</si>
  <si>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</si>
  <si>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</si>
  <si>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</si>
  <si>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</si>
  <si>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</si>
  <si>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</si>
  <si>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</si>
  <si>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</si>
  <si>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</si>
  <si>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</si>
  <si>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</si>
  <si>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</si>
  <si>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</si>
  <si>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</si>
  <si>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</si>
  <si>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</si>
  <si>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</si>
  <si>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</si>
  <si>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</si>
  <si>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</si>
  <si>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</si>
  <si>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</si>
  <si>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</si>
  <si>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</si>
  <si>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</si>
  <si>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</si>
  <si>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</si>
  <si>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</si>
  <si>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</si>
  <si>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</si>
  <si>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</si>
  <si>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</si>
  <si>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</si>
  <si>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</si>
  <si>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</si>
  <si>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</si>
  <si>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</si>
  <si>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</si>
  <si>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</si>
  <si>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</si>
  <si>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</si>
  <si>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</si>
  <si>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</si>
  <si>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</si>
  <si>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</si>
  <si>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</si>
  <si>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</si>
  <si>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</si>
  <si>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</si>
  <si>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</si>
  <si>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</si>
  <si>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</si>
  <si>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</si>
  <si>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</si>
  <si>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</si>
  <si>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</si>
  <si>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</si>
  <si>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</si>
  <si>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</si>
  <si>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</si>
  <si>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</si>
  <si>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</si>
  <si>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</si>
  <si>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</si>
  <si>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</si>
  <si>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</si>
  <si>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</si>
  <si>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</si>
  <si>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</si>
  <si>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</si>
  <si>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</si>
  <si>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</si>
  <si>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</si>
  <si>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</si>
  <si>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</si>
  <si>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</si>
  <si>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</si>
  <si>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</si>
  <si>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</si>
  <si>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</si>
  <si>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</si>
  <si>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</si>
  <si>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</si>
  <si>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</si>
  <si>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</si>
  <si>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</si>
  <si>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</si>
  <si>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</si>
  <si>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</si>
  <si>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</si>
  <si>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</si>
  <si>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</si>
  <si>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</si>
  <si>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</si>
  <si>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</si>
  <si>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</si>
  <si>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</si>
  <si>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</si>
  <si>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</si>
  <si>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</si>
  <si>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</si>
  <si>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</si>
  <si>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</si>
  <si>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</si>
  <si>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</si>
  <si>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</si>
  <si>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</si>
  <si>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</si>
  <si>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</si>
  <si>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</si>
  <si>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</si>
  <si>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</si>
  <si>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</si>
  <si>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</si>
  <si>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</si>
  <si>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</si>
  <si>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</si>
  <si>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</si>
  <si>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</si>
  <si>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</si>
  <si>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</si>
  <si>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</si>
  <si>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</si>
  <si>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</si>
  <si>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</si>
  <si>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</si>
  <si>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</si>
  <si>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</si>
  <si>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</si>
  <si>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</si>
  <si>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</si>
  <si>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</si>
  <si>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</si>
  <si>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</si>
  <si>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</si>
  <si>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</si>
  <si>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</si>
  <si>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</si>
  <si>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</si>
  <si>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</si>
  <si>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</si>
  <si>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</si>
  <si>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</si>
  <si>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</si>
  <si>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</si>
  <si>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</si>
  <si>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</si>
  <si>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</si>
  <si>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</si>
  <si>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</si>
  <si>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</si>
  <si>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</si>
  <si>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</si>
  <si>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</si>
  <si>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</si>
  <si>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</si>
  <si>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</si>
  <si>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</si>
  <si>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</si>
  <si>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</si>
  <si>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</si>
  <si>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</si>
  <si>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</si>
  <si>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</si>
  <si>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</si>
  <si>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</si>
  <si>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</si>
  <si>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</si>
  <si>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</si>
  <si>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</si>
  <si>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</si>
  <si>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</si>
  <si>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</si>
  <si>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</si>
  <si>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</si>
  <si>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</si>
  <si>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</si>
  <si>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</si>
  <si>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</si>
  <si>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</si>
  <si>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</si>
  <si>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</si>
  <si>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</si>
  <si>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</si>
  <si>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</si>
  <si>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</si>
  <si>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</si>
  <si>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</si>
  <si>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</si>
  <si>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</si>
  <si>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</si>
  <si>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</si>
  <si>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</si>
  <si>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</si>
  <si>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</si>
  <si>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</si>
  <si>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</si>
  <si>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</si>
  <si>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</si>
  <si>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</si>
  <si>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</si>
  <si>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</si>
  <si>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</si>
  <si>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</si>
  <si>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</si>
  <si>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</si>
  <si>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</si>
  <si>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</si>
  <si>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</si>
  <si>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</si>
  <si>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</si>
  <si>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</si>
  <si>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</si>
  <si>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</si>
  <si>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</si>
  <si>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</si>
  <si>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</si>
  <si>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</si>
  <si>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</si>
  <si>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</si>
  <si>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</si>
  <si>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</si>
  <si>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</si>
  <si>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</si>
  <si>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</si>
  <si>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</si>
  <si>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</si>
  <si>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</si>
  <si>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</si>
  <si>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</si>
  <si>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</si>
  <si>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</si>
  <si>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</si>
  <si>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</si>
  <si>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</si>
  <si>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</si>
  <si>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</si>
  <si>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</si>
  <si>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</si>
  <si>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</si>
  <si>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</si>
  <si>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</si>
  <si>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</si>
  <si>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</si>
  <si>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</si>
  <si>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</si>
  <si>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</si>
  <si>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</si>
  <si>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</si>
  <si>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</si>
  <si>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</si>
  <si>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</si>
  <si>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</si>
  <si>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</si>
  <si>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</si>
  <si>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</si>
  <si>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</si>
  <si>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</si>
  <si>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</si>
  <si>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</si>
  <si>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</si>
  <si>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</si>
  <si>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</si>
  <si>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</si>
  <si>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</si>
  <si>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</si>
  <si>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</si>
  <si>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</si>
  <si>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</si>
  <si>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</si>
  <si>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</si>
  <si>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</si>
  <si>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</si>
  <si>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</si>
  <si>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</si>
  <si>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</si>
  <si>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</si>
  <si>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</si>
  <si>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</si>
  <si>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</si>
  <si>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</si>
  <si>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</si>
  <si>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</si>
  <si>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</si>
  <si>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</si>
  <si>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</si>
  <si>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</si>
  <si>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</si>
  <si>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</si>
  <si>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</si>
  <si>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</si>
  <si>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</si>
  <si>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</si>
  <si>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</si>
  <si>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</si>
  <si>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</si>
  <si>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</si>
  <si>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</si>
  <si>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</si>
  <si>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</si>
  <si>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</si>
  <si>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</si>
  <si>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</si>
  <si>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</si>
  <si>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</si>
  <si>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</si>
  <si>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</si>
  <si>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</si>
  <si>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</si>
  <si>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</si>
  <si>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</si>
  <si>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</si>
  <si>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</si>
  <si>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</si>
  <si>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</si>
  <si>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</si>
  <si>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</si>
  <si>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</si>
  <si>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</si>
  <si>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</si>
  <si>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</si>
  <si>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</si>
  <si>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</si>
  <si>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</si>
  <si>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</si>
  <si>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</si>
  <si>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</si>
  <si>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</si>
  <si>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</si>
  <si>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</si>
  <si>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</si>
  <si>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</si>
  <si>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</si>
  <si>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</si>
  <si>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</si>
  <si>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</si>
  <si>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</si>
  <si>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</si>
  <si>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</si>
  <si>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</si>
  <si>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ref2023.d020623a</t>
  </si>
  <si>
    <t>Annual Energy Outlook 2023</t>
  </si>
  <si>
    <t>ref2023</t>
  </si>
  <si>
    <t>Reference</t>
  </si>
  <si>
    <t>d020623a</t>
  </si>
  <si>
    <t xml:space="preserve"> March 2023</t>
  </si>
  <si>
    <t>ATE000</t>
  </si>
  <si>
    <t>47. Air Travel Energy Use</t>
  </si>
  <si>
    <t>Annual</t>
  </si>
  <si>
    <t>Change</t>
  </si>
  <si>
    <t>2022–2050</t>
  </si>
  <si>
    <t xml:space="preserve"> Indicators</t>
  </si>
  <si>
    <t>ATE000:ba_FuelCost(1987</t>
  </si>
  <si>
    <t>Fuel Cost (1987 dollars per million Btu)</t>
  </si>
  <si>
    <t>Load Factor (fraction of seats filled)</t>
  </si>
  <si>
    <t>ATE000:loadfact-domesti</t>
  </si>
  <si>
    <t xml:space="preserve">  U.S. Domestic</t>
  </si>
  <si>
    <t>ATE000:loadfact-interna</t>
  </si>
  <si>
    <t xml:space="preserve">  U.S. International</t>
  </si>
  <si>
    <t>Driver Variables</t>
  </si>
  <si>
    <t xml:space="preserve">  Population (millions)</t>
  </si>
  <si>
    <t>ATE000:pop_JF_USA</t>
  </si>
  <si>
    <t xml:space="preserve">    United States</t>
  </si>
  <si>
    <t>ATE000:pop_JF_CAN</t>
  </si>
  <si>
    <t xml:space="preserve">    Canada</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</si>
  <si>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</si>
  <si>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</si>
  <si>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</si>
  <si>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</si>
  <si>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</si>
  <si>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</si>
  <si>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</si>
  <si>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</si>
  <si>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</si>
  <si>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</si>
  <si>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</si>
  <si>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</si>
  <si>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</si>
  <si>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</si>
  <si>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</si>
  <si>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 xml:space="preserve">    China</t>
  </si>
  <si>
    <t>ATE000:pop_JF_IND</t>
  </si>
  <si>
    <t xml:space="preserve">    India</t>
  </si>
  <si>
    <t>ATE000:pop_JF_OAS</t>
  </si>
  <si>
    <t xml:space="preserve">    Other Non-OECD Asia</t>
  </si>
  <si>
    <t>ATE000:pop_JF_MID</t>
  </si>
  <si>
    <t xml:space="preserve">    Middle East</t>
  </si>
  <si>
    <t>ATE000:pop_JF_AFR</t>
  </si>
  <si>
    <t xml:space="preserve">    Africa</t>
  </si>
  <si>
    <t>ATE000:pop_JF_BRZ</t>
  </si>
  <si>
    <t xml:space="preserve">    Brazil</t>
  </si>
  <si>
    <t>ATE000:pop_JF_CSA</t>
  </si>
  <si>
    <t xml:space="preserve">    Other Non-OECD Americas</t>
  </si>
  <si>
    <t>Travel Demand</t>
  </si>
  <si>
    <t xml:space="preserve">  Revenue Passenger Miles (billion miles)</t>
  </si>
  <si>
    <t xml:space="preserve">    Domestic 1/</t>
  </si>
  <si>
    <t>ATE000:rpm_dom_USA</t>
  </si>
  <si>
    <t xml:space="preserve">      United States</t>
  </si>
  <si>
    <t>ATE000:rpm_dom_CAN</t>
  </si>
  <si>
    <t xml:space="preserve">      Canada</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</si>
  <si>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</si>
  <si>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</si>
  <si>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</si>
  <si>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</si>
  <si>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</si>
  <si>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</si>
  <si>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</si>
  <si>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</si>
  <si>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</si>
  <si>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</si>
  <si>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</si>
  <si>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</si>
  <si>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</si>
  <si>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</si>
  <si>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</si>
  <si>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 xml:space="preserve">      China</t>
  </si>
  <si>
    <t>ATE000:rpm_dom_IND</t>
  </si>
  <si>
    <t xml:space="preserve">      India</t>
  </si>
  <si>
    <t>ATE000:rpm_dom_OAS</t>
  </si>
  <si>
    <t xml:space="preserve">      Other Non-OECD Asia</t>
  </si>
  <si>
    <t>ATE000:rpm_dom_MID</t>
  </si>
  <si>
    <t xml:space="preserve">      Middle East</t>
  </si>
  <si>
    <t>ATE000:rpm_dom_AFR</t>
  </si>
  <si>
    <t xml:space="preserve">      Africa</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</si>
  <si>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</si>
  <si>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</si>
  <si>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</si>
  <si>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</si>
  <si>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</si>
  <si>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</si>
  <si>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</si>
  <si>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</si>
  <si>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</si>
  <si>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</si>
  <si>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</si>
  <si>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</si>
  <si>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</si>
  <si>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</si>
  <si>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</si>
  <si>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</si>
  <si>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</si>
  <si>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</si>
  <si>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</si>
  <si>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</si>
  <si>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</si>
  <si>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</si>
  <si>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</si>
  <si>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</si>
  <si>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</si>
  <si>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</si>
  <si>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Total 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</si>
  <si>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</si>
  <si>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</si>
  <si>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</si>
  <si>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</si>
  <si>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</si>
  <si>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</si>
  <si>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</si>
  <si>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</si>
  <si>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</si>
  <si>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</si>
  <si>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</si>
  <si>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</si>
  <si>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</si>
  <si>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</si>
  <si>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</si>
  <si>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</si>
  <si>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</si>
  <si>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</si>
  <si>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</si>
  <si>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</si>
  <si>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</si>
  <si>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</si>
  <si>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Seat Miles Demanded (billion miles)</t>
  </si>
  <si>
    <t>ATE000:fa_USATotal</t>
  </si>
  <si>
    <t xml:space="preserve">  United States</t>
  </si>
  <si>
    <t>ATE000:fa_USANarrowBody</t>
  </si>
  <si>
    <t xml:space="preserve">    Narrow Body Aircraft</t>
  </si>
  <si>
    <t>ATE000:fa_USAWideBody</t>
  </si>
  <si>
    <t xml:space="preserve">    Wide Body Aircraft</t>
  </si>
  <si>
    <t>ATE000:fa_USARegional</t>
  </si>
  <si>
    <t xml:space="preserve">    Regional Jets</t>
  </si>
  <si>
    <t>ATE000:fa_CANTotal</t>
  </si>
  <si>
    <t xml:space="preserve">  Canada</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</si>
  <si>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</si>
  <si>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</si>
  <si>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</si>
  <si>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</si>
  <si>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</si>
  <si>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</si>
  <si>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</si>
  <si>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</si>
  <si>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</si>
  <si>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</si>
  <si>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</si>
  <si>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</si>
  <si>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</si>
  <si>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</si>
  <si>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</si>
  <si>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</si>
  <si>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</si>
  <si>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</si>
  <si>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</si>
  <si>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</si>
  <si>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</si>
  <si>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</si>
  <si>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</si>
  <si>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</si>
  <si>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</si>
  <si>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</si>
  <si>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</si>
  <si>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</si>
  <si>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</si>
  <si>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</si>
  <si>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</si>
  <si>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</si>
  <si>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</si>
  <si>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</si>
  <si>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</si>
  <si>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</si>
  <si>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</si>
  <si>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</si>
  <si>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</si>
  <si>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 xml:space="preserve">  China</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</si>
  <si>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</si>
  <si>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</si>
  <si>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</si>
  <si>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</si>
  <si>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</si>
  <si>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</si>
  <si>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</si>
  <si>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</si>
  <si>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</si>
  <si>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</si>
  <si>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</si>
  <si>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</si>
  <si>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</si>
  <si>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</si>
  <si>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</si>
  <si>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</si>
  <si>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</si>
  <si>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</si>
  <si>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</si>
  <si>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 xml:space="preserve">  Africa</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</si>
  <si>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</si>
  <si>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</si>
  <si>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</si>
  <si>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</si>
  <si>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</si>
  <si>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</si>
  <si>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</si>
  <si>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</si>
  <si>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</si>
  <si>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</si>
  <si>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</si>
  <si>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</si>
  <si>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</si>
  <si>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</si>
  <si>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</si>
  <si>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</si>
  <si>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</si>
  <si>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</si>
  <si>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</si>
  <si>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ATE000:fa_WorldTotal</t>
  </si>
  <si>
    <t xml:space="preserve">  Total World</t>
  </si>
  <si>
    <t>Aircraft Deliveries</t>
  </si>
  <si>
    <t>ATE000:sal_USATotal</t>
  </si>
  <si>
    <t>ATE000:sal_USANarrowBod</t>
  </si>
  <si>
    <t>ATE000:sal_USAWideBody</t>
  </si>
  <si>
    <t>--</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</si>
  <si>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</si>
  <si>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</si>
  <si>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</si>
  <si>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</si>
  <si>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</si>
  <si>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</si>
  <si>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</si>
  <si>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</si>
  <si>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</si>
  <si>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</si>
  <si>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</si>
  <si>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</si>
  <si>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</si>
  <si>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</si>
  <si>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</si>
  <si>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</si>
  <si>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</si>
  <si>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</si>
  <si>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</si>
  <si>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</si>
  <si>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</si>
  <si>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</si>
  <si>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</si>
  <si>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</si>
  <si>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</si>
  <si>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</si>
  <si>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</si>
  <si>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</si>
  <si>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</si>
  <si>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</si>
  <si>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</si>
  <si>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</si>
  <si>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</si>
  <si>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</si>
  <si>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</si>
  <si>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</si>
  <si>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</si>
  <si>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</si>
  <si>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</si>
  <si>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</si>
  <si>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</si>
  <si>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</si>
  <si>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</si>
  <si>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</si>
  <si>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</si>
  <si>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</si>
  <si>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</si>
  <si>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</si>
  <si>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</si>
  <si>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</si>
  <si>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</si>
  <si>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</si>
  <si>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</si>
  <si>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</si>
  <si>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</si>
  <si>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</si>
  <si>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</si>
  <si>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</si>
  <si>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</si>
  <si>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</si>
  <si>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</si>
  <si>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</si>
  <si>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</si>
  <si>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</si>
  <si>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ATE000:sal_WorldTotal</t>
  </si>
  <si>
    <t>Aircraft Efficiency (seat miles per gallon) 3/</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</si>
  <si>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</si>
  <si>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</si>
  <si>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</si>
  <si>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</si>
  <si>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</si>
  <si>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</si>
  <si>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</si>
  <si>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</si>
  <si>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</si>
  <si>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</si>
  <si>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</si>
  <si>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</si>
  <si>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</si>
  <si>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</si>
  <si>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</si>
  <si>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</si>
  <si>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</si>
  <si>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</si>
  <si>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</si>
  <si>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</si>
  <si>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</si>
  <si>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</si>
  <si>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</si>
  <si>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</si>
  <si>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</si>
  <si>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</si>
  <si>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</si>
  <si>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</si>
  <si>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ATE000:oa_JF_World</t>
  </si>
  <si>
    <t xml:space="preserve">      Total World</t>
  </si>
  <si>
    <t>ATE000:oa_AviationGasol</t>
  </si>
  <si>
    <t xml:space="preserve">  Commercial Aviation Gasoline, U.S.</t>
  </si>
  <si>
    <t>ATE000:pa_JetFuelUS</t>
  </si>
  <si>
    <t xml:space="preserve">  Military Jet Fuel, U.S.</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</si>
  <si>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</si>
  <si>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</si>
  <si>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</si>
  <si>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 xml:space="preserve">  (converted to seats using an average weight of 200 pounds for each passenger, including luggage).</t>
  </si>
  <si>
    <t>- - = Not applicable.</t>
  </si>
  <si>
    <t>Data source: 2022:  U.S. Energy Information Administration (EIA), Short-Term Energy Outlook, November 2022 and EIA, AEO2023</t>
  </si>
  <si>
    <t>National Energy Modeling System run ref2023.d020623a.  Projections:  EIA AEO2023 National Energy Modeling System run ref2023.d020623a.</t>
  </si>
  <si>
    <t>Average</t>
  </si>
  <si>
    <t>share of air travel demand that is domestic</t>
  </si>
  <si>
    <t xml:space="preserve">For freight shipping and all aviation, we adjust by the share of total demand that is domestic, </t>
  </si>
  <si>
    <t>according to AEO.</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</si>
  <si>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</si>
  <si>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</si>
  <si>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</si>
  <si>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</si>
  <si>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</si>
  <si>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</si>
  <si>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</si>
  <si>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</si>
  <si>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</si>
  <si>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AEO.2023.REF2023.CNSM_NA_TRN_NA_NA_NA_NA_TRLBTU.A</t>
  </si>
  <si>
    <t>Transportation Energy Use: Total Use: Reference case</t>
  </si>
  <si>
    <t>AEO.2023.REF2023.CNSM_NA_NMFG_LQFCT_DELE_NA_NA_TRLBTU.A</t>
  </si>
  <si>
    <t>Transportation Energy Use: Natural Gas for Liquefaction: Reference case</t>
  </si>
  <si>
    <t>Natural Gas Liquefaction for Export</t>
  </si>
  <si>
    <t>AEO.2023.REF2023.CNSM_NA_TRN_PIPL_NG_NA_NA_TRLBTU.A</t>
  </si>
  <si>
    <t>Transportation Energy Use: Pipeline Fuel Natural Gas: Reference case</t>
  </si>
  <si>
    <t>AEO.2023.REF2023.CNSM_NA_TRN_NA_LBC_NA_NA_TRLBTU.A</t>
  </si>
  <si>
    <t>Transportation Energy Use: Lubricants: Reference case</t>
  </si>
  <si>
    <t>AEO.2023.REF2023.CNSM_NA_TRN_RCB_DFO_NA_NA_TRLBTU.A</t>
  </si>
  <si>
    <t>Transportation Energy Use: Recreation Boats: Distillate Fuel Oil: Reference case</t>
  </si>
  <si>
    <t>AEO.2023.REF2023.CNSM_NA_TRN_RCB_GSL_NA_NA_TRLBTU.A</t>
  </si>
  <si>
    <t>Transportation Energy Use: Recreation Boats: Motor Gasoline: Reference case</t>
  </si>
  <si>
    <t>AEO.2023.REF2023.CNSM_NA_TRN_RCB_NA_NA_NA_TRLBTU.A</t>
  </si>
  <si>
    <t>Transportation Energy Use: Recreation Boats: Reference case</t>
  </si>
  <si>
    <t>AEO.2023.REF2023.CNSM_NA_TRN_CRAIL_LNG_NA_NA_TRLBTU.A</t>
  </si>
  <si>
    <t>Transportation Energy Use: Rail: Commuter Rail: LNG: Reference case</t>
  </si>
  <si>
    <t>AEO.2023.REF2023.CNSM_NA_TRN_CRAIL_CNG_NA_NA_TRLBTU.A</t>
  </si>
  <si>
    <t>Transportation Energy Use: Rail: Commuter Rail: CNG: Reference case</t>
  </si>
  <si>
    <t>AEO.2023.REF2023.CNSM_NA_TRN_CRAIL_DSL_NA_NA_TRLBTU.A</t>
  </si>
  <si>
    <t>Transportation Energy Use: Rail: Commuter Rail: Diesel: Reference case</t>
  </si>
  <si>
    <t>AEO.2023.REF2023.CNSM_NA_TRN_CRAIL_ELC_NA_NA_TRLBTU.A</t>
  </si>
  <si>
    <t>Transportation Energy Use: Rail: Commuter Rail: Electricity: Reference case</t>
  </si>
  <si>
    <t>AEO.2023.REF2023.CNSM_NA_TRN_CRAIL_NA_NA_NA_TRLBTU.A</t>
  </si>
  <si>
    <t>Transportation Energy Use: Rail: Commuter Rail: Reference case</t>
  </si>
  <si>
    <t>AEO.2023.REF2023.CNSM_NA_TRN_TRAIL_ELC_NA_NA_TRLBTU.A</t>
  </si>
  <si>
    <t>Transportation Energy Use: Rail: Transit Rail: Electricity: Reference case</t>
  </si>
  <si>
    <t>AEO.2023.REF2023.CNSM_NA_TRN_TRAIL_NA_NA_NA_TRLBTU.A</t>
  </si>
  <si>
    <t>Transportation Energy Use: Rail: Transit Rail: Reference case</t>
  </si>
  <si>
    <t>AEO.2023.REF2023.CNSM_NA_TRN_IRAIL_LNG_NA_NA_TRLBTU.A</t>
  </si>
  <si>
    <t>Transportation Energy Use: Rail: Intercity Rail: LNG: Reference case</t>
  </si>
  <si>
    <t>AEO.2023.REF2023.CNSM_NA_TRN_IRAIL_CNG_NA_NA_TRLBTU.A</t>
  </si>
  <si>
    <t>Transportation Energy Use: Rail: Intercity Rail: CNG: Reference case</t>
  </si>
  <si>
    <t>AEO.2023.REF2023.CNSM_NA_TRN_IRAIL_DSL_NA_NA_TRLBTU.A</t>
  </si>
  <si>
    <t>Transportation Energy Use: Rail: Intercity Rail: Diesel: Reference case</t>
  </si>
  <si>
    <t>AEO.2023.REF2023.CNSM_NA_TRN_IRAIL_ELC_NA_NA_TRLBTU.A</t>
  </si>
  <si>
    <t>Transportation Energy Use: Rail: Intercity Rail: Electricity: Reference case</t>
  </si>
  <si>
    <t>AEO.2023.REF2023.CNSM_NA_TRN_IRAIL_NA_NA_NA_TRLBTU.A</t>
  </si>
  <si>
    <t>Transportation Energy Use: Rail: Intercity Rail: Reference case</t>
  </si>
  <si>
    <t>AEO.2023.REF2023.CNSM_NA_TRN_RAIL_NA_NA_NA_TRLBTU.A</t>
  </si>
  <si>
    <t>Transportation Energy Use: Rail: Reference case</t>
  </si>
  <si>
    <t>AEO.2023.REF2023.CNSM_NA_TRN_LSRC_HDG_NA_NA_TRLBTU.A</t>
  </si>
  <si>
    <t>Transportation Energy Use: Bus: School Bus: Hydrogen: Reference case</t>
  </si>
  <si>
    <t>AEO.2023.REF2023.CNSM_NA_TRN_LSRC_ELC_NA_NA_TRLBTU.A</t>
  </si>
  <si>
    <t>Transportation Energy Use: Bus: School Bus: Electricity: Reference case</t>
  </si>
  <si>
    <t>AEO.2023.REF2023.CNSM_NA_TRN_LSRC_LPG_NA_NA_TRLBTU.A</t>
  </si>
  <si>
    <t>Transportation Energy Use: Bus: School Bus: Propane: Reference case</t>
  </si>
  <si>
    <t>AEO.2023.REF2023.CNSM_NA_TRN_LSRC_NG_NA_NA_TRLBTU.A</t>
  </si>
  <si>
    <t>Transportation Energy Use: Bus: School Bus: Natural Gas: Reference case</t>
  </si>
  <si>
    <t>AEO.2023.REF2023.CNSM_NA_TRN_LSRC_DFO_NA_NA_TRLBTU.A</t>
  </si>
  <si>
    <t>Transportation Energy Use: Bus: School Bus: Distillate Fuel Oil: Reference case</t>
  </si>
  <si>
    <t>AEO.2023.REF2023.CNSM_NA_TRN_LSRC_E85_NA_NA_TRLBTU.A</t>
  </si>
  <si>
    <t>Transportation Energy Use: Bus: School Bus: E85: Reference case</t>
  </si>
  <si>
    <t>AEO.2023.REF2023.CNSM_NA_TRN_LSRC_MGS_NA_NA_TRLBTU.A</t>
  </si>
  <si>
    <t>Transportation Energy Use: Bus: School Bus: Motor Gasoline: Reference case</t>
  </si>
  <si>
    <t>AEO.2023.REF2023.CNSM_NA_TRN_LSRC_NA_NA_NA_TRLBTU.A</t>
  </si>
  <si>
    <t>Transportation Energy Use: Bus: School Bus: Reference case</t>
  </si>
  <si>
    <t>AEO.2023.REF2023.CNSM_NA_TRN_IBUS_HDG_NA_NA_TRLBTU.A</t>
  </si>
  <si>
    <t>Transportation Energy Use: Bus: Intercity Bus: Hydrogen: Reference case</t>
  </si>
  <si>
    <t>AEO.2023.REF2023.CNSM_NA_TRN_IBUS_ELC_NA_NA_TRLBTU.A</t>
  </si>
  <si>
    <t>Transportation Energy Use: Bus: Intercity Bus: Electricity: Reference case</t>
  </si>
  <si>
    <t>AEO.2023.REF2023.CNSM_NA_TRN_IBUS_LPG_NA_NA_TRLBTU.A</t>
  </si>
  <si>
    <t>Transportation Energy Use: Bus: Intercity Bus: Propane: Reference case</t>
  </si>
  <si>
    <t>AEO.2023.REF2023.CNSM_NA_TRN_IBUS_NG_NA_NA_TRLBTU.A</t>
  </si>
  <si>
    <t>Transportation Energy Use: Bus: Intercity Bus: Natural Gas: Reference case</t>
  </si>
  <si>
    <t>AEO.2023.REF2023.CNSM_NA_TRN_IBUS_DFO_NA_NA_TRLBTU.A</t>
  </si>
  <si>
    <t>Transportation Energy Use: Bus: Intercity Bus: Distillate Fuel Oil: Reference case</t>
  </si>
  <si>
    <t>AEO.2023.REF2023.CNSM_NA_TRN_IBUS_E85_NA_NA_TRLBTU.A</t>
  </si>
  <si>
    <t>Transportation Energy Use: Bus: Intercity Bus: E85: Reference case</t>
  </si>
  <si>
    <t>AEO.2023.REF2023.CNSM_NA_TRN_IBUS_MGS_NA_NA_TRLBTU.A</t>
  </si>
  <si>
    <t>Transportation Energy Use: Bus: Intercity Bus: Motor Gasoline: Reference case</t>
  </si>
  <si>
    <t>AEO.2023.REF2023.CNSM_NA_TRN_IBUS_NA_NA_NA_TRLBTU.A</t>
  </si>
  <si>
    <t>Transportation Energy Use: Bus: Intercity Bus: Reference case</t>
  </si>
  <si>
    <t>AEO.2023.REF2023.CNSM_NA_TRN_TBUS_HDG_NA_NA_TRLBTU.A</t>
  </si>
  <si>
    <t>Transportation Energy Use: Bus: Transit Bus: Hydrogen: Reference case</t>
  </si>
  <si>
    <t>AEO.2023.REF2023.CNSM_NA_TRN_TBUS_ELC_NA_NA_TRLBTU.A</t>
  </si>
  <si>
    <t>Transportation Energy Use: Bus: Transit Bus: Electricity: Reference case</t>
  </si>
  <si>
    <t>AEO.2023.REF2023.CNSM_NA_TRN_TBUS_LPG_NA_NA_TRLBTU.A</t>
  </si>
  <si>
    <t>Transportation Energy Use: Bus: Transit Bus: Propane: Reference case</t>
  </si>
  <si>
    <t>AEO.2023.REF2023.CNSM_NA_TRN_TBUS_NG_NA_NA_TRLBTU.A</t>
  </si>
  <si>
    <t>Transportation Energy Use: Bus: Transit Bus: Natural Gas: Reference case</t>
  </si>
  <si>
    <t>AEO.2023.REF2023.CNSM_NA_TRN_TBUS_DFO_NA_NA_TRLBTU.A</t>
  </si>
  <si>
    <t>Transportation Energy Use: Bus: Transit Bus: Distillate Fuel Oil: Reference case</t>
  </si>
  <si>
    <t>AEO.2023.REF2023.CNSM_NA_TRN_TBUS_E85_NA_NA_TRLBTU.A</t>
  </si>
  <si>
    <t>Transportation Energy Use: Bus: Transit Bus: E85: Reference case</t>
  </si>
  <si>
    <t>AEO.2023.REF2023.CNSM_NA_TRN_TBUS_MGS_NA_NA_TRLBTU.A</t>
  </si>
  <si>
    <t>Transportation Energy Use: Bus: Transit Bus: Motor Gasoline: Reference case</t>
  </si>
  <si>
    <t>AEO.2023.REF2023.CNSM_NA_TRN_TBUS_NA_NA_NA_TRLBTU.A</t>
  </si>
  <si>
    <t>Transportation Energy Use: Bus: Transit Bus: Reference case</t>
  </si>
  <si>
    <t>AEO.2023.REF2023.CNSM_NA_TRN_BUS_NA_NA_NA_TRLBTU.A</t>
  </si>
  <si>
    <t>Transportation Energy Use: Bus: Reference case</t>
  </si>
  <si>
    <t>AEO.2023.REF2023.CNSM_NA_TRN_MILT_DFO_NA_NA_TRLBTU.A</t>
  </si>
  <si>
    <t>Transportation Energy Use: Military: Distillate Fuel Oil: Reference case</t>
  </si>
  <si>
    <t>AEO.2023.REF2023.CNSM_NA_TRN_MILT_RFO_NA_NA_TRLBTU.A</t>
  </si>
  <si>
    <t>Transportation Energy Use: Military: Residual Fuel Oil: Reference case</t>
  </si>
  <si>
    <t>AEO.2023.REF2023.CNSM_NA_TRN_MILT_JFL_NA_NA_TRLBTU.A</t>
  </si>
  <si>
    <t>Transportation Energy Use: Military: Jet Fuel: Reference case</t>
  </si>
  <si>
    <t>AEO.2023.REF2023.CNSM_NA_TRN_MILT_NA_NA_NA_TRLBTU.A</t>
  </si>
  <si>
    <t>Transportation Energy Use: Military: Total: Reference case</t>
  </si>
  <si>
    <t>AEO.2023.REF2023.CNSM_NA_TRN_AIR_AVGA_NA_NA_TRLBTU.A</t>
  </si>
  <si>
    <t>Transportation Energy Use: Air: Aviation Gasoline: Reference case</t>
  </si>
  <si>
    <t>AEO.2023.REF2023.CNSM_NA_TRN_AIR_JFL_NA_NA_TRLBTU.A</t>
  </si>
  <si>
    <t>Transportation Energy Use: Air: Jet Fuel: Reference case</t>
  </si>
  <si>
    <t>AEO.2023.REF2023.CNSM_NA_TRN_AIR_NA_NA_NA_TRLBTU.A</t>
  </si>
  <si>
    <t>Transportation Energy Use: Air: Total: Reference case</t>
  </si>
  <si>
    <t>AEO.2023.REF2023.CNSM_NA_TRN_INTS_LNG_NA_NA_TRLBTU.A</t>
  </si>
  <si>
    <t>Transportation Energy Use: International Shipping: LNG: Reference case</t>
  </si>
  <si>
    <t>AEO.2023.REF2023.CNSM_NA_TRN_INTS_CNG_NA_NA_TRLBTU.A</t>
  </si>
  <si>
    <t>Transportation Energy Use: International Shipping: CNG: Reference case</t>
  </si>
  <si>
    <t>AEO.2023.REF2023.CNSM_NA_TRN_INTS_RFO_NA_NA_TRLBTU.A</t>
  </si>
  <si>
    <t>Transportation Energy Use: International Shipping: Residual Oil: Reference case</t>
  </si>
  <si>
    <t>AEO.2023.REF2023.CNSM_NA_TRN_INTS_DFO_NA_NA_TRLBTU.A</t>
  </si>
  <si>
    <t>Transportation Energy Use: International Shipping: Distillate Fuel Oil: Reference case</t>
  </si>
  <si>
    <t>AEO.2023.REF2023.CNSM_NA_TRN_INTS_NA_NA_NA_TRLBTU.A</t>
  </si>
  <si>
    <t>Transportation Energy Use: International Shipping: Total: Reference case</t>
  </si>
  <si>
    <t>AEO.2023.REF2023.CNSM_NA_TRN_DMT_LNG_NA_NA_TRLBTU.A</t>
  </si>
  <si>
    <t>Transportation Energy Use: Domestic Shipping: LNG: Reference case</t>
  </si>
  <si>
    <t>AEO.2023.REF2023.CNSM_NA_TRN_DMT_CNG_NA_NA_TRLBTU.A</t>
  </si>
  <si>
    <t>Transportation Energy Use: Domestic Shipping: CNG: Reference case</t>
  </si>
  <si>
    <t>AEO.2023.REF2023.CNSM_NA_TRN_DMT_RFO_NA_NA_TRLBTU.A</t>
  </si>
  <si>
    <t>Transportation Energy Use: Domestic Shipping: Residual Oil: Reference case</t>
  </si>
  <si>
    <t>AEO.2023.REF2023.CNSM_NA_TRN_DMT_DFO_NA_NA_TRLBTU.A</t>
  </si>
  <si>
    <t>Transportation Energy Use: Domestic Shipping: Distillate Fuel Oil: Reference case</t>
  </si>
  <si>
    <t>AEO.2023.REF2023.CNSM_NA_TRN_DMT_NA_NA_NA_TRLBTU.A</t>
  </si>
  <si>
    <t>Transportation Energy Use: Domestic Shipping: Total: Reference case</t>
  </si>
  <si>
    <t>AEO.2023.REF2023.CNSM_NA_TRN_FRAIL_LNG_NA_NA_TRLBTU.A</t>
  </si>
  <si>
    <t>Transportation Energy Use: Freight Rail: LNG: Reference case</t>
  </si>
  <si>
    <t>AEO.2023.REF2023.CNSM_NA_TRN_FRAIL_CNG_NA_NA_TRLBTU.A</t>
  </si>
  <si>
    <t>Transportation Energy Use: Freight Rail: CNG: Reference case</t>
  </si>
  <si>
    <t>AEO.2023.REF2023.CNSM_NA_TRN_FRAIL_RFO_NA_NA_TRLBTU.A</t>
  </si>
  <si>
    <t>Transportation Energy Use: Freight Rail: Residual Fuel Oil: Reference case</t>
  </si>
  <si>
    <t>AEO.2023.REF2023.CNSM_NA_TRN_FRAIL_DFO_NA_NA_TRLBTU.A</t>
  </si>
  <si>
    <t>Transportation Energy Use: Freight Rail: Distillate Fuel Oil: Reference case</t>
  </si>
  <si>
    <t>AEO.2023.REF2023.CNSM_NA_TRN_FRAIL_NA_NA_NA_TRLBTU.A</t>
  </si>
  <si>
    <t>Transportation Energy Use: Freight Rail: Total: Reference case</t>
  </si>
  <si>
    <t>AEO.2023.REF2023.CNSM_NA_TRN_FRTT_HDG_NA_NA_TRLBTU.A</t>
  </si>
  <si>
    <t>Transportation Energy Use: Freight Trucks: Hydrogen: Reference case</t>
  </si>
  <si>
    <t>AEO.2023.REF2023.CNSM_NA_TRN_FRTT_ELC_NA_NA_TRLBTU.A</t>
  </si>
  <si>
    <t>Transportation Energy Use: Freight Trucks: Electricity: Reference case</t>
  </si>
  <si>
    <t>AEO.2023.REF2023.CNSM_NA_TRN_FRTT_E85_NA_NA_TRLBTU.A</t>
  </si>
  <si>
    <t>Transportation Energy Use: Freight Trucks: E85: Reference case</t>
  </si>
  <si>
    <t>AEO.2023.REF2023.CNSM_NA_TRN_FRTT_LPG_NA_NA_TRLBTU.A</t>
  </si>
  <si>
    <t>Transportation Energy Use: Freight Trucks: Propane: Reference case</t>
  </si>
  <si>
    <t>AEO.2023.REF2023.CNSM_NA_TRN_FRTT_NG_NA_NA_TRLBTU.A</t>
  </si>
  <si>
    <t>Transportation Energy Use: Freight Trucks: Natural Gas: Reference case</t>
  </si>
  <si>
    <t>AEO.2023.REF2023.CNSM_NA_TRN_FRTT_DFO_NA_NA_TRLBTU.A</t>
  </si>
  <si>
    <t>Transportation Energy Use: Freight Trucks: Distillate Fuel Oil: Reference case</t>
  </si>
  <si>
    <t>AEO.2023.REF2023.CNSM_NA_TRN_FRTT_MGS_NA_NA_TRLBTU.A</t>
  </si>
  <si>
    <t>Transportation Energy Use: Freight Trucks: Motor Gasoline: Reference case</t>
  </si>
  <si>
    <t>AEO.2023.REF2023.CNSM_NA_TRN_FRTT_NA_NA_NA_TRLBTU.A</t>
  </si>
  <si>
    <t>Transportation Energy Use: Freight Trucks: Total: Reference case</t>
  </si>
  <si>
    <t>AEO.2023.REF2023.CNSM_NA_TRN_CLTR_HDG_NA_NA_TRLBTU.A</t>
  </si>
  <si>
    <t>Transportation Energy Use: Commercial Light Trucks: Hydrogen: Reference case</t>
  </si>
  <si>
    <t>AEO.2023.REF2023.CNSM_NA_TRN_CLTR_ELC_NA_NA_TRLBTU.A</t>
  </si>
  <si>
    <t>Transportation Energy Use: Commercial Light Trucks: Electricity: Reference case</t>
  </si>
  <si>
    <t>AEO.2023.REF2023.CNSM_NA_TRN_CLTR_NG_NA_NA_TRLBTU.A</t>
  </si>
  <si>
    <t>Transportation Energy Use: Commercial Light Trucks: Natural Gas: Reference case</t>
  </si>
  <si>
    <t>AEO.2023.REF2023.CNSM_NA_TRN_CLTR_PROP_NA_NA_TRLBTU.A</t>
  </si>
  <si>
    <t>Transportation Energy Use: Commercial Light Trucks: Propane: Reference case</t>
  </si>
  <si>
    <t>AEO.2023.REF2023.CNSM_NA_TRN_CLTR_DFO_NA_NA_TRLBTU.A</t>
  </si>
  <si>
    <t>Transportation Energy Use: Commercial Light Trucks: Distillate Fuel Oil: Reference case</t>
  </si>
  <si>
    <t>AEO.2023.REF2023.CNSM_NA_TRN_CLTR_E85_NA_NA_TRLBTU.A</t>
  </si>
  <si>
    <t>Transportation Energy Use: Commercial Light Trucks: E85: Reference case</t>
  </si>
  <si>
    <t>AEO.2023.REF2023.CNSM_NA_TRN_CLTR_MGS_NA_NA_TRLBTU.A</t>
  </si>
  <si>
    <t>Transportation Energy Use: Commercial Light Trucks: Motor Gasoline: Reference case</t>
  </si>
  <si>
    <t>AEO.2023.REF2023.CNSM_NA_TRN_CLTR_NA_NA_NA_TRLBTU.A</t>
  </si>
  <si>
    <t>Transportation Energy Use: Commercial Light Trucks: Total: Reference case</t>
  </si>
  <si>
    <t>AEO.2023.REF2023.CNSM_NA_TRN_LDTY_HDG_NA_NA_TRLBTU.A</t>
  </si>
  <si>
    <t>Transportation Energy Use: Light-Duty Vehicle: Hydrogen: Reference case</t>
  </si>
  <si>
    <t>AEO.2023.REF2023.CNSM_NA_TRN_LDTY_ELC_NA_NA_TRLBTU.A</t>
  </si>
  <si>
    <t>Transportation Energy Use: Light-Duty Vehicle: Electricity: Reference case</t>
  </si>
  <si>
    <t>AEO.2023.REF2023.CNSM_NA_TRN_LDTY_PROP_NA_NA_TRLBTU.A</t>
  </si>
  <si>
    <t>Transportation Energy Use: Light-Duty Vehicle: Propane: Reference case</t>
  </si>
  <si>
    <t>AEO.2023.REF2023.CNSM_NA_TRN_LDTY_NG_NA_NA_TRLBTU.A</t>
  </si>
  <si>
    <t>Transportation Energy Use: Light-Duty Vehicle: Natural Gas: Reference case</t>
  </si>
  <si>
    <t>AEO.2023.REF2023.CNSM_NA_TRN_LDTY_DFO_NA_NA_TRLBTU.A</t>
  </si>
  <si>
    <t>Transportation Energy Use: Light-Duty Vehicle: Distillate Fuel Oil: Reference case</t>
  </si>
  <si>
    <t>AEO.2023.REF2023.CNSM_NA_TRN_LDTY_ETH_NA_NA_TRLBTU.A</t>
  </si>
  <si>
    <t>Transportation Energy Use: Light-Duty Vehicle: Ethanol: Reference case</t>
  </si>
  <si>
    <t>AEO.2023.REF2023.CNSM_NA_TRN_LDTY_MGS_NA_NA_TRLBTU.A</t>
  </si>
  <si>
    <t>Transportation Energy Use: Light-Duty Vehicle: Motor Gasoline: Reference case</t>
  </si>
  <si>
    <t>AEO.2023.REF2023.CNSM_NA_TRN_LDTY_NA_NA_NA_TRLBTU.A</t>
  </si>
  <si>
    <t>Transportation Energy Use: Light-Duty Vehicle: Total: Reference case</t>
  </si>
  <si>
    <t>Growth (2022-2050)</t>
  </si>
  <si>
    <t>https://www.eia.gov/outlooks/aeo/data/browser/#/?id=46-AEO2023&amp;cases=ref2023&amp;sourcekey=0</t>
  </si>
  <si>
    <t>AEO.2023.REF2023.ECI_STK_NA_CLTR_NA_NA_NA_TH.A</t>
  </si>
  <si>
    <t>Fleet Stock: Commercial Light Trucks: Total: Reference case</t>
  </si>
  <si>
    <t>AEO.2023.REF2023.ECI_STK_NA_CLTR_FUC_NA_NA_TH.A</t>
  </si>
  <si>
    <t>Fleet Stock: Commercial Light Trucks: Fuel Cell: Reference case</t>
  </si>
  <si>
    <t>AEO.2023.REF2023.ECI_STK_NA_CLTR_EDH_NA_NA_TH.A</t>
  </si>
  <si>
    <t>Fleet Stock: Commercial Light Trucks: Plug-in Diesel: Reference case</t>
  </si>
  <si>
    <t>AEO.2023.REF2023.ECI_STK_NA_CLTR_EGH_NA_NA_TH.A</t>
  </si>
  <si>
    <t>Fleet Stock: Commercial Light Trucks: Plug-in Gas: Reference case</t>
  </si>
  <si>
    <t>AEO.2023.REF2023.ECI_STK_NA_CLTR_ELE_NA_NA_TH.A</t>
  </si>
  <si>
    <t>Fleet Stock: Commercial Light Trucks: Electric: Reference case</t>
  </si>
  <si>
    <t>AEO.2023.REF2023.ECI_STK_NA_CLTR_EFFI_NA_NA_TH.A</t>
  </si>
  <si>
    <t>Fleet Stock: Commercial Light Trucks: Ethanol Flex: Reference case</t>
  </si>
  <si>
    <t>AEO.2023.REF2023.ECI_STK_NA_CLTR_NG_NA_NA_TH.A</t>
  </si>
  <si>
    <t>Fleet Stock: Commercial Light Trucks: CNG/LNG: Reference case</t>
  </si>
  <si>
    <t>AEO.2023.REF2023.ECI_STK_NA_CLTR_PROP_NA_NA_TH.A</t>
  </si>
  <si>
    <t>Fleet Stock: Commercial Light Trucks: Propane: Reference case</t>
  </si>
  <si>
    <t>AEO.2023.REF2023.ECI_STK_NA_CLTR_TDS_NA_NA_TH.A</t>
  </si>
  <si>
    <t>Fleet Stock: Commercial Light Trucks: TDI Diesel: Reference case</t>
  </si>
  <si>
    <t>AEO.2023.REF2023.ECI_STK_NA_CLTR_GSL_NA_NA_TH.A</t>
  </si>
  <si>
    <t>Fleet Stock: Commercial Light Trucks: Gasoline: Reference case</t>
  </si>
  <si>
    <t>AEO.2023.REF2023.ECI_STK_NA_NA_NA_NA_NA_TH.A</t>
  </si>
  <si>
    <t>Fleet Stock: Total Fleet Vehicles: Reference case</t>
  </si>
  <si>
    <t>AEO.2023.REF2023.ECI_STK_NA_FLTR_NA_NA_NA_TH.A</t>
  </si>
  <si>
    <t>Fleet Vehicle Stock: Light Trucks: Total: Reference case</t>
  </si>
  <si>
    <t>AEO.2023.REF2023.ECI_STK_ALF1_FLTR_NA_NA_NA_TH.A</t>
  </si>
  <si>
    <t>Fleet Vehicle Stock: Alternative-Fuel Light Trucks: Total: Reference case</t>
  </si>
  <si>
    <t>AEO.2023.REF2023.ECI_STK_ALF1_FLTR_FCH_NA_NA_TH.A</t>
  </si>
  <si>
    <t>Fleet Vehicle Stock: Alternative-Fuel Light Trucks: Fuel Cell Hydrogen: Reference case</t>
  </si>
  <si>
    <t>AEO.2023.REF2023.ECI_STK_ALF1_FLTR_FCLMTH_NA_NA_TH.A</t>
  </si>
  <si>
    <t>Fleet Vehicle Stock: Alternative-Fuel Light Trucks: Fuel Cell Methanol: Reference case</t>
  </si>
  <si>
    <t>AEO.2023.REF2023.ECI_STK_ALF1_FLTR_PBF_NA_NA_TH.A</t>
  </si>
  <si>
    <t>Fleet Vehicle Stock: Alternative-Fuel Light Trucks: Propane Bi-fuel: Reference case</t>
  </si>
  <si>
    <t>AEO.2023.REF2023.ECI_STK_ALF1_FLTR_PROP_NA_NA_TH.A</t>
  </si>
  <si>
    <t>Fleet Vehicle Stock: Alternative-Fuel Light Trucks: Propane ICE: Reference case</t>
  </si>
  <si>
    <t>AEO.2023.REF2023.ECI_STK_ALF1_FLTR_NBF_NA_NA_TH.A</t>
  </si>
  <si>
    <t>Fleet Vehicle Stock: Alternative-Fuel Light Trucks: Natural Gas Bi-fuel: Reference case</t>
  </si>
  <si>
    <t>AEO.2023.REF2023.ECI_STK_ALF1_FLTR_NGI_NA_NA_TH.A</t>
  </si>
  <si>
    <t>Fleet Vehicle Stock: Alternative-Fuel Light Trucks: Natural Gas ICE: Reference case</t>
  </si>
  <si>
    <t>AEO.2023.REF2023.ECI_STK_ALF1_FLTR_EGH_NA_NA_TH.A</t>
  </si>
  <si>
    <t>Fleet Vehicle Stock: Alternative-Fuel Light Trucks: Electric-Gasoline Hybrid: Reference case</t>
  </si>
  <si>
    <t>AEO.2023.REF2023.ECI_STK_ALF1_FLTR_EDH_NA_NA_TH.A</t>
  </si>
  <si>
    <t>Fleet Vehicle Stock: Alternative-Fuel Light Trucks: Electric-Diesel Hybrid: Reference case</t>
  </si>
  <si>
    <t>AEO.2023.REF2023.ECI_STK_ALF1_FLTR_PI50GH_NA_NA_TH.A</t>
  </si>
  <si>
    <t>Fleet Vehicle Stock: Alternative-Fuel Light Trucks: Plug-in 50 Gasoline Hybrid: Reference case</t>
  </si>
  <si>
    <t>Plug-in 50 Gasoline Hybrid</t>
  </si>
  <si>
    <t>AEO.2023.REF2023.ECI_STK_ALF1_FLTR_PI20GH_NA_NA_TH.A</t>
  </si>
  <si>
    <t>Fleet Vehicle Stock: Alternative-Fuel Light Trucks: Plug-in 20 Gasoline Hybrid: Reference case</t>
  </si>
  <si>
    <t>Plug-in 20 Gasoline Hybrid</t>
  </si>
  <si>
    <t>AEO.2023.REF2023.#N/A.A</t>
  </si>
  <si>
    <t>Fleet Vehicle Stock: Alternative-Fuel Light Trucks: 300-Mile Electric Vehicle: Reference case</t>
  </si>
  <si>
    <t>300-Mile Electric Vehicle</t>
  </si>
  <si>
    <t>Fleet Vehicle Stock: Alternative-Fuel Light Trucks: 200-Mile Electric Vehicle: Reference case</t>
  </si>
  <si>
    <t>200-Mile Electric Vehicle</t>
  </si>
  <si>
    <t>Fleet Vehicle Stock: Alternative-Fuel Light Trucks: 100-Mile Electric Vehicle: Reference case</t>
  </si>
  <si>
    <t>100-Mile Electric Vehicle</t>
  </si>
  <si>
    <t>AEO.2023.REF2023.ECI_STK_ALF1_FLTR_EFFI_NA_NA_TH.A</t>
  </si>
  <si>
    <t>Fleet Vehicle Stock: Alternative-Fuel Light Trucks: Ethanol-Flex Fuel ICE: Reference case</t>
  </si>
  <si>
    <t>AEO.2023.REF2023.ECI_STK_CNV_FLTR_NA_NA_NA_TH.A</t>
  </si>
  <si>
    <t>Fleet Vehicle Stock: Conventional Light Trucks: Total: Reference case</t>
  </si>
  <si>
    <t>AEO.2023.REF2023.ECI_STK_CNV_FLTR_TDS_NA_NA_TH.A</t>
  </si>
  <si>
    <t>Fleet Vehicle Stock: Conventional Light Trucks: TDI Diesel: Reference case</t>
  </si>
  <si>
    <t>AEO.2023.REF2023.ECI_STK_CNV_FLTR_GSL_NA_NA_TH.A</t>
  </si>
  <si>
    <t>Fleet Vehicle Stock: Conventional Light Trucks: Gasoline: Reference case</t>
  </si>
  <si>
    <t>AEO.2023.REF2023.ECI_STK_NA_FLC_NA_NA_NA_TH.A</t>
  </si>
  <si>
    <t>Fleet Vehicle Stock: Cars: Total: Reference case</t>
  </si>
  <si>
    <t>AEO.2023.REF2023.ECI_STK_ALF1_FLC_NA_NA_NA_TH.A</t>
  </si>
  <si>
    <t>Fleet Vehicle Stock: Alternative-Fuel Cars: Total: Reference case</t>
  </si>
  <si>
    <t>AEO.2023.REF2023.ECI_STK_ALF1_FLC_FCH_NA_NA_TH.A</t>
  </si>
  <si>
    <t>Fleet Vehicle Stock: Alternative-Fuel Cars: Fuel Cell Hydrogen: Reference case</t>
  </si>
  <si>
    <t>AEO.2023.REF2023.ECI_STK_ALF1_FLC_FCLMTH_NA_NA_TH.A</t>
  </si>
  <si>
    <t>Fleet Vehicle Stock: Alternative-Fuel Cars: Fuel Cell Methanol: Reference case</t>
  </si>
  <si>
    <t>AEO.2023.REF2023.ECI_STK_ALF1_FLC_PBF_NA_NA_TH.A</t>
  </si>
  <si>
    <t>Fleet Vehicle Stock: Alternative-Fuel Cars: Propane Bi-fuel: Reference case</t>
  </si>
  <si>
    <t>AEO.2023.REF2023.ECI_STK_ALF1_FLC_PROP_NA_NA_TH.A</t>
  </si>
  <si>
    <t>Fleet Vehicle Stock: Alternative-Fuel Cars: Propane ICE: Reference case</t>
  </si>
  <si>
    <t>AEO.2023.REF2023.ECI_STK_ALF1_FLC_NBF_NA_NA_TH.A</t>
  </si>
  <si>
    <t>Fleet Vehicle Stock: Alternative-Fuel Cars: Natural Gas Bi-fuel: Reference case</t>
  </si>
  <si>
    <t>AEO.2023.REF2023.ECI_STK_ALF1_FLC_NGI_NA_NA_TH.A</t>
  </si>
  <si>
    <t>Fleet Vehicle Stock: Alternative-Fuel Cars: Natural Gas ICE: Reference case</t>
  </si>
  <si>
    <t>AEO.2023.REF2023.ECI_STK_ALF1_FLC_EGH_NA_NA_TH.A</t>
  </si>
  <si>
    <t>Fleet Vehicle Stock: Alternative-Fuel Cars: Electric-Gasoline Hybrid: Reference case</t>
  </si>
  <si>
    <t>AEO.2023.REF2023.ECI_STK_ALF1_FLC_EDH_NA_NA_TH.A</t>
  </si>
  <si>
    <t>Fleet Vehicle Stock: Alternative-Fuel Cars: Electric-Diesel Hybrid: Reference case</t>
  </si>
  <si>
    <t>AEO.2023.REF2023.ECI_STK_ALF1_FLC_PI50GH_NA_NA_TH.A</t>
  </si>
  <si>
    <t>Fleet Vehicle Stock: Alternative-Fuel Cars: Plug-in 50 Gasoline Hybrid: Reference case</t>
  </si>
  <si>
    <t>AEO.2023.REF2023.ECI_STK_ALF1_FLC_PI20GH_NA_NA_TH.A</t>
  </si>
  <si>
    <t>Fleet Vehicle Stock: Alternative-Fuel Cars: Plug-in 20 Gasoline Hybrid: Reference case</t>
  </si>
  <si>
    <t>Fleet Vehicle Stock: Alternative-Fuel Cars: 300-Mile Electric Vehicle: Reference case</t>
  </si>
  <si>
    <t>Fleet Vehicle Stock: Alternative-Fuel Cars: 200-Mile Electric Vehicle: Reference case</t>
  </si>
  <si>
    <t>Fleet Vehicle Stock: Alternative-Fuel Cars: 100-Mile Electric Vehicle: Reference case</t>
  </si>
  <si>
    <t>AEO.2023.REF2023.ECI_STK_ALF1_FLC_EFFI_NA_NA_TH.A</t>
  </si>
  <si>
    <t>Fleet Vehicle Stock: Alternative-Fuel Cars: Ethanol-Flex Fuel ICE: Reference case</t>
  </si>
  <si>
    <t>AEO.2023.REF2023.ECI_STK_CNV_FLC_NA_NA_NA_TH.A</t>
  </si>
  <si>
    <t>Fleet Vehicle Stock: Conventional Cars: Total: Reference case</t>
  </si>
  <si>
    <t>AEO.2023.REF2023.ECI_STK_CNV_FLC_TDS_NA_NA_TH.A</t>
  </si>
  <si>
    <t>Fleet Vehicle Stock: Conventional Cars: TDI Diesel: Reference case</t>
  </si>
  <si>
    <t>AEO.2023.REF2023.ECI_STK_CNV_FLC_GSL_NA_NA_TH.A</t>
  </si>
  <si>
    <t>Fleet Vehicle Stock: Conventional Cars: Gasoline: Reference case</t>
  </si>
  <si>
    <t>https://www.eia.gov/outlooks/aeo/data/browser/#/?id=55-AEO2023&amp;cases=ref2023&amp;sourcekey=0</t>
  </si>
  <si>
    <t>AEO.2023.REF2023.ECI_STK_TRN_LDV_FUC_NA_NA_MILL.A</t>
  </si>
  <si>
    <t>Light-Duty Vehicle Sales: Total Vehicle Stock: Fuel Cell: Reference case</t>
  </si>
  <si>
    <t>AEO.2023.REF2023.ECI_STK_TRN_LDV_GSU_NA_NA_MILL.A</t>
  </si>
  <si>
    <t>Light-Duty Vehicle Sales: Total Vehicle Stock: Gaseous: Reference case</t>
  </si>
  <si>
    <t>Gaseous (Propane and Natural Gas)</t>
  </si>
  <si>
    <t>AEO.2023.REF2023.ECI_STK_TRN_LDV_EHY_NA_NA_MILL.A</t>
  </si>
  <si>
    <t>Light-Duty Vehicle Sales: Total Vehicle Stock: Electric Hybrid: Reference case</t>
  </si>
  <si>
    <t>Electric Hybrid</t>
  </si>
  <si>
    <t>AEO.2023.REF2023.ECI_STK_TRN_LDV_PIE_NA_NA_MILL.A</t>
  </si>
  <si>
    <t>Light-Duty Vehicle Sales: Total Vehicle Stock: Plug-in Electric Hybrid: Reference case</t>
  </si>
  <si>
    <t>Plug-in Electric Hybrid</t>
  </si>
  <si>
    <t>AEO.2023.REF2023.ECI_STK_TRN_LDV_ELE_NA_NA_MILL.A</t>
  </si>
  <si>
    <t>Light-Duty Vehicle Sales: Total Vehicle Stock: Electric: Reference case</t>
  </si>
  <si>
    <t>AEO.2023.REF2023.ECI_STK_TRN_LDV_FXF_NA_NA_MILL.A</t>
  </si>
  <si>
    <t>Light-Duty Vehicle Sales: Total Vehicle Stock: Flex-Fuel: Reference case</t>
  </si>
  <si>
    <t>Flex-Fuel</t>
  </si>
  <si>
    <t>AEO.2023.REF2023.ECI_STK_TRN_LDV_TDS_NA_NA_MILL.A</t>
  </si>
  <si>
    <t>Light-Duty Vehicle Sales: Total Vehicle Stock: TDI Diesel: Reference case</t>
  </si>
  <si>
    <t>TDI Diesel</t>
  </si>
  <si>
    <t>AEO.2023.REF2023.ECI_STK_TRN_LDV_CVG_NA_NA_MILL.A</t>
  </si>
  <si>
    <t>Light-Duty Vehicle Sales: Total Vehicle Stock: Conventional Gasoline: Reference case</t>
  </si>
  <si>
    <t>Conventional Gasoline</t>
  </si>
  <si>
    <t>AEO.2023.REF2023.ECI_STK_TRN_LDV_NA_NA_NA_MILL.A</t>
  </si>
  <si>
    <t>Light-Duty Vehicle Stock: Total Vehicle Stock: Reference case</t>
  </si>
  <si>
    <t xml:space="preserve"> Cars and Light Trucks</t>
  </si>
  <si>
    <t>AEO.2023.REF2023.ECI_STK_TRN_LTK_NA_NA_NA_MILL.A</t>
  </si>
  <si>
    <t>Light-Duty Vehicle Stock: Light Truck Stock: Total: Reference case</t>
  </si>
  <si>
    <t>AEO.2023.REF2023.ECI_STK_TRN_LTK_ALT_NA_NA_MILL.A</t>
  </si>
  <si>
    <t>Light-Duty Vehicle Stock: Alternative-Fuel Light Trucks: Total: Reference case</t>
  </si>
  <si>
    <t>AEO.2023.REF2023.ECI_STK_TRN_LTK_FCH_NA_NA_MILL.A</t>
  </si>
  <si>
    <t>Light-Duty Vehicle Stock: Alternative-Fuel Light Trucks: Fuel Cell Hydrogen: Reference case</t>
  </si>
  <si>
    <t>AEO.2023.REF2023.ECI_STK_TRN_LTK_FCLMTH_NA_NA_MILL.A</t>
  </si>
  <si>
    <t>Light-Duty Vehicle Stock: Alternative-Fuel Light Trucks: Fuel Cell Methanol: Reference case</t>
  </si>
  <si>
    <t>AEO.2023.REF2023.ECI_STK_TRN_LTK_PBF_NA_NA_MILL.A</t>
  </si>
  <si>
    <t>Light-Duty Vehicle Stock: Alternative-Fuel Light Trucks: Propane Bi-fuel: Reference case</t>
  </si>
  <si>
    <t>AEO.2023.REF2023.ECI_STK_TRN_LTK_PROP_NA_NA_MILL.A</t>
  </si>
  <si>
    <t>Light-Duty Vehicle Stock: Alternative-Fuel Light Trucks: Propane ICE: Reference case</t>
  </si>
  <si>
    <t>AEO.2023.REF2023.ECI_STK_TRN_LTK_NBF_NA_NA_MILL.A</t>
  </si>
  <si>
    <t>Light-Duty Vehicle Stock: Alternative-Fuel Light Trucks: Natural Gas Bi-fuel: Reference case</t>
  </si>
  <si>
    <t>AEO.2023.REF2023.ECI_STK_TRN_LTK_NGI_NA_NA_MILL.A</t>
  </si>
  <si>
    <t>Light-Duty Vehicle Stock: Alternative-Fuel Light Trucks: Natural Gas ICE: Reference case</t>
  </si>
  <si>
    <t>AEO.2023.REF2023.ECI_STK_TRN_LTK_EGH_NA_NA_MILL.A</t>
  </si>
  <si>
    <t>Light-Duty Vehicle Stock: Alternative-Fuel Light Trucks: Electric-Gasoline Hybrid: Reference case</t>
  </si>
  <si>
    <t>AEO.2023.REF2023.ECI_STK_TRN_LTK_EDH_NA_NA_MILL.A</t>
  </si>
  <si>
    <t>Light-Duty Vehicle Stock: Alternative-Fuel Light Trucks: Electric-Diesel Hybrid: Reference case</t>
  </si>
  <si>
    <t>AEO.2023.REF2023.ECI_STK_TRN_LTK_PI50GH_NA_NA_MILL.A</t>
  </si>
  <si>
    <t>Light-Duty Vehicle Stock: Alternative-Fuel Light Trucks: Plug-in 50 Gasoline Hybrid: Reference case</t>
  </si>
  <si>
    <t>AEO.2023.REF2023.ECI_STK_TRN_LTK_PI20GH_NA_NA_MILL.A</t>
  </si>
  <si>
    <t>Light-Duty Vehicle Stock: Alternative-Fuel Light Trucks: Plug-in 20 Gasoline Hybrid: Reference case</t>
  </si>
  <si>
    <t>Light-Duty Vehicle Stock: Alternative-Fuel Light Trucks: 300-Mile Electric Vehicle: Reference case</t>
  </si>
  <si>
    <t>Light-Duty Vehicle Stock: Alternative-Fuel Light Trucks: 200-Mile Electric Vehicle: Reference case</t>
  </si>
  <si>
    <t>Light-Duty Vehicle Stock: Alternative-Fuel Light Trucks: 100-Mile Electric Vehicle: Reference case</t>
  </si>
  <si>
    <t>AEO.2023.REF2023.ECI_STK_TRN_LTK_EFFI_NA_NA_MILL.A</t>
  </si>
  <si>
    <t>Light-Duty Vehicle Stock: Alternative-Fuel Light Trucks: Ethanol-Flex Fuel ICE: Reference case</t>
  </si>
  <si>
    <t>AEO.2023.REF2023.ECI_STK_TRN_LTK_CNV_NA_NA_MILL.A</t>
  </si>
  <si>
    <t>Light-Duty Vehicle Stock: Conventional Light Trucks: Total: Reference case</t>
  </si>
  <si>
    <t>AEO.2023.REF2023.ECI_STK_TRN_LTK_TDS_NA_NA_MILL.A</t>
  </si>
  <si>
    <t>Light-Duty Vehicle Stock: Conventional Light Trucks: TDI Diesel: Reference case</t>
  </si>
  <si>
    <t>AEO.2023.REF2023.ECI_STK_TRN_LTK_GSL_NA_NA_MILL.A</t>
  </si>
  <si>
    <t>Light-Duty Vehicle Stock: Conventional Light Trucks: Gasoline: Reference case</t>
  </si>
  <si>
    <t>AEO.2023.REF2023.ECI_STK_TRN_CAR_NA_NA_NA_MILL.A</t>
  </si>
  <si>
    <t>Light-Duty Vehicle Stock: Car Stock: Total: Reference case</t>
  </si>
  <si>
    <t>AEO.2023.REF2023.ECI_STK_TRN_CAR_ALT_NA_NA_MILL.A</t>
  </si>
  <si>
    <t>Light-Duty Vehicle Stock: Alternative-Fuel Cars: Total: Reference case</t>
  </si>
  <si>
    <t>AEO.2023.REF2023.ECI_STK_TRN_CAR_FCH_NA_NA_MILL.A</t>
  </si>
  <si>
    <t>Light-Duty Vehicle Stock: Alternative-Fuel Cars: Fuel Cell Hydrogen: Reference case</t>
  </si>
  <si>
    <t>AEO.2023.REF2023.ECI_STK_TRN_CAR_FCLMTH_NA_NA_MILL.A</t>
  </si>
  <si>
    <t>Light-Duty Vehicle Stock: Alternative-Fuel Cars: Fuel Cell Methanol: Reference case</t>
  </si>
  <si>
    <t>AEO.2023.REF2023.ECI_STK_TRN_CAR_PBF_NA_NA_MILL.A</t>
  </si>
  <si>
    <t>Light-Duty Vehicle Stock: Alternative-Fuel Cars: Propane Bi-fuel: Reference case</t>
  </si>
  <si>
    <t>AEO.2023.REF2023.ECI_STK_TRN_CAR_PROP_NA_NA_MILL.A</t>
  </si>
  <si>
    <t>Light-Duty Vehicle Stock: Alternative-Fuel Cars: Propane ICE: Reference case</t>
  </si>
  <si>
    <t>AEO.2023.REF2023.ECI_STK_TRN_CAR_NBF_NA_NA_MILL.A</t>
  </si>
  <si>
    <t>Light-Duty Vehicle Stock: Alternative-Fuel Cars: Natural Gas Bi-fuel: Reference case</t>
  </si>
  <si>
    <t>AEO.2023.REF2023.ECI_STK_TRN_CAR_NGI_NA_NA_MILL.A</t>
  </si>
  <si>
    <t>Light-Duty Vehicle Stock: Alternative-Fuel Cars: Natural Gas ICE: Reference case</t>
  </si>
  <si>
    <t>AEO.2023.REF2023.ECI_STK_TRN_CAR_EGH_NA_NA_MILL.A</t>
  </si>
  <si>
    <t>Light-Duty Vehicle Stock: Alternative-Fuel Cars: Electric-Gasoline Hybrid: Reference case</t>
  </si>
  <si>
    <t>AEO.2023.REF2023.ECI_STK_TRN_CAR_EDH_NA_NA_MILL.A</t>
  </si>
  <si>
    <t>Light-Duty Vehicle Stock: Alternative-Fuel Cars: Electric-Diesel Hybrid: Reference case</t>
  </si>
  <si>
    <t>AEO.2023.REF2023.ECI_STK_TRN_CAR_PI50GH_NA_NA_MILL.A</t>
  </si>
  <si>
    <t>Light-Duty Vehicle Stock: Alternative-Fuel Cars: Plug-in 50 Gasoline Hybrid: Reference case</t>
  </si>
  <si>
    <t>AEO.2023.REF2023.ECI_STK_TRN_CAR_PI20GH_NA_NA_MILL.A</t>
  </si>
  <si>
    <t>Light-Duty Vehicle Stock: Alternative-Fuel Cars: Plug-in 20 Gasoline Hybrid: Reference case</t>
  </si>
  <si>
    <t>Light-Duty Vehicle Stock: Alternative-Fuel Cars: 300-Mile Electric Vehicle: Reference case</t>
  </si>
  <si>
    <t>Light-Duty Vehicle Stock: Alternative-Fuel Cars: 200-Mile Electric Vehicle: Reference case</t>
  </si>
  <si>
    <t>Light-Duty Vehicle Stock: Alternative-Fuel Cars: 100-Mile Electric Vehicle: Reference case</t>
  </si>
  <si>
    <t>AEO.2023.REF2023.ECI_STK_TRN_CAR_EFFI_NA_NA_MILL.A</t>
  </si>
  <si>
    <t>Light-Duty Vehicle Stock: Alternative-Fuel Cars: Ethanol-Flex Fuel ICE: Reference case</t>
  </si>
  <si>
    <t>AEO.2023.REF2023.ECI_STK_TRN_CAR_CNV_NA_NA_MILL.A</t>
  </si>
  <si>
    <t>Light-Duty Vehicle Stock: Conventional Cars: Total: Reference case</t>
  </si>
  <si>
    <t>AEO.2023.REF2023.ECI_STK_TRN_CAR_TDS_NA_NA_MILL.A</t>
  </si>
  <si>
    <t>Light-Duty Vehicle Stock: Conventional Cars: TDI Diesel: Reference case</t>
  </si>
  <si>
    <t>AEO.2023.REF2023.ECI_STK_TRN_CAR_GSL_NA_NA_MILL.A</t>
  </si>
  <si>
    <t>Light-Duty Vehicle Stock: Conventional Cars: Gasoline: Reference case</t>
  </si>
  <si>
    <t>https://www.eia.gov/outlooks/aeo/data/browser/#/?id=49-AEO2023&amp;cases=ref2023&amp;sourcekey=0</t>
  </si>
  <si>
    <t>Freight: International Shipping: Fuel Use: LNG: Reference case</t>
  </si>
  <si>
    <t>Freight: International Shipping: Fuel Use: CNG: Reference case</t>
  </si>
  <si>
    <t>Freight: International Shipping: Fuel Use: Residual Fuel Oil: Reference case</t>
  </si>
  <si>
    <t>Freight: International Shipping: Fuel Use: Distillate Fuel Oil: Reference case</t>
  </si>
  <si>
    <t>AEO.2023.REF2023.ECI_IMP_TRN_INTS_NA_NA_NA_BLNY09DLR.A</t>
  </si>
  <si>
    <t>Freight: International Shipping: Imports: Reference case</t>
  </si>
  <si>
    <t>AEO.2023.REF2023.ECI_EXPT_TRN_INTS_NA_NA_NA_BLNY09DLR.A</t>
  </si>
  <si>
    <t>Freight: International Shipping: Exports: Reference case</t>
  </si>
  <si>
    <t>AEO.2023.REF2023.ECI_UGHT_TRN_INTS_NA_NA_NA_BLNY09DLR.A</t>
  </si>
  <si>
    <t>Freight: International Shipping: Gross Trade: Reference case</t>
  </si>
  <si>
    <t>Freight: Domestic Shipping: Fuel Use: LNG: Reference case</t>
  </si>
  <si>
    <t>Freight: Domestic Shipping: Fuel Use: CNG: Reference case</t>
  </si>
  <si>
    <t>Freight: Domestic Shipping: Fuel Use: Residual Fuel Oil: Reference case</t>
  </si>
  <si>
    <t>Freight: Domestic Shipping: Fuel Use: Distillate Fuel Oil: Reference case</t>
  </si>
  <si>
    <t>AEO.2023.REF2023.EFI_NA_TRN_DMT_NA_NA_NA_TONMLPTHBTU.A</t>
  </si>
  <si>
    <t>Freight: Domestic Shipping: Fuel Efficiency: Reference case</t>
  </si>
  <si>
    <t>AEO.2023.REF2023.ECI_FTM_TRN_DMT_NA_NA_NA_BLN.A</t>
  </si>
  <si>
    <t>Freight: Domestic Shipping: Ton Miles Shipping: Reference case</t>
  </si>
  <si>
    <t>AEO.2023.REF2023.CNSM_NA_TRN_RAIL_LNG_NA_NA_TRLBTU.A</t>
  </si>
  <si>
    <t>Freight: Railroads: Fuel Use: LNG: Reference case</t>
  </si>
  <si>
    <t>AEO.2023.REF2023.CNSM_NA_TRN_RAIL_CNG_NA_NA_TRLBTU.A</t>
  </si>
  <si>
    <t>Freight: Railroads: Fuel Use: CNG: Reference case</t>
  </si>
  <si>
    <t>AEO.2023.REF2023.CNSM_NA_TRN_RAIL_RFO_NA_NA_TRLBTU.A</t>
  </si>
  <si>
    <t>Freight: Railroads: Fuel Use: Residual Fuel Oil: Reference case</t>
  </si>
  <si>
    <t>AEO.2023.REF2023.CNSM_NA_TRN_RAIL_DFO_NA_NA_TRLBTU.A</t>
  </si>
  <si>
    <t>Freight: Railroads: Fuel Use: Distillate Fuel Oil: Reference case</t>
  </si>
  <si>
    <t>AEO.2023.REF2023.EFI_NA_TRN_RAIL_NA_NA_NA_TONMLPTHBTU.A</t>
  </si>
  <si>
    <t>Freight: Railroads: Fuel Efficiency: Reference case</t>
  </si>
  <si>
    <t>AEO.2023.REF2023.ECI_FTM_TRN_RAIL_NA_NA_NA_BLN.A</t>
  </si>
  <si>
    <t>Freight: Railroads: Ton Miles by Rail: Reference case</t>
  </si>
  <si>
    <t>AEO.2023.REF2023.ECI_SAL_FGHT_NA_NA_NA_NA_TH.A</t>
  </si>
  <si>
    <t>Freight: New Trucks: Sales: Reference case</t>
  </si>
  <si>
    <t>AEO.2023.REF2023.ECI_SAL_FGHT_RAD_NA_NA_NA_TH.A</t>
  </si>
  <si>
    <t>Freight: New Trucks: Sales: Heavy: Reference case</t>
  </si>
  <si>
    <t>AEO.2023.REF2023.ECI_SAL_FGHT_RAD_FUC_NA_NA_TH.A</t>
  </si>
  <si>
    <t>Freight: New Trucks: Sales: Heavy: Fuel Cell: Reference case</t>
  </si>
  <si>
    <t>AEO.2023.REF2023.ECI_SAL_FGHT_RAD_EGH_NA_NA_TH.A</t>
  </si>
  <si>
    <t>Freight: New Trucks: Sales: Heavy: Plug-in Gasoline Hybrid: Reference case</t>
  </si>
  <si>
    <t>AEO.2023.REF2023.ECI_SAL_FGHT_RAD_EDH_NA_NA_TH.A</t>
  </si>
  <si>
    <t>Freight: New Trucks: Sales: Heavy: Plug-in Diesel Hybrid: Reference case</t>
  </si>
  <si>
    <t>AEO.2023.REF2023.ECI_SAL_FGHT_RAD_ELE_NA_NA_TH.A</t>
  </si>
  <si>
    <t>Freight: New Trucks: Sales: Heavy: Electric: Reference case</t>
  </si>
  <si>
    <t>AEO.2023.REF2023.ECI_SAL_FGHT_RAD_EFFI_NA_NA_TH.A</t>
  </si>
  <si>
    <t>Freight: New Trucks: Sales: Heavy: Ethanol-Flex Fuel: Reference case</t>
  </si>
  <si>
    <t>AEO.2023.REF2023.ECI_SAL_FGHT_RAD_NG_NA_NA_TH.A</t>
  </si>
  <si>
    <t>Freight: New Trucks: Sales: Heavy: Natural Gas: Reference case</t>
  </si>
  <si>
    <t>AEO.2023.REF2023.ECI_SAL_FGHT_RAD_PROP_NA_NA_TH.A</t>
  </si>
  <si>
    <t>Freight: New Trucks: Sales: Heavy: Propane: Reference case</t>
  </si>
  <si>
    <t>AEO.2023.REF2023.ECI_SAL_FGHT_RAD_MGS_NA_NA_TH.A</t>
  </si>
  <si>
    <t>Freight: New Trucks: Sales: Heavy: Motor Gasoline: Reference case</t>
  </si>
  <si>
    <t>AEO.2023.REF2023.ECI_SAL_FGHT_RAD_DSL_NA_NA_TH.A</t>
  </si>
  <si>
    <t>Freight: New Trucks: Sales: Heavy: Diesel: Reference case</t>
  </si>
  <si>
    <t>AEO.2023.REF2023.ECI_SAL_FGHT_SOSO_NA_NA_NA_TH.A</t>
  </si>
  <si>
    <t>Freight: New Trucks: Sales: Medium: Reference case</t>
  </si>
  <si>
    <t>AEO.2023.REF2023.ECI_SAL_FGHT_SOSO_FUC_NA_NA_TH.A</t>
  </si>
  <si>
    <t>Freight: New Trucks: Sales: Medium: Fuel Cell: Reference case</t>
  </si>
  <si>
    <t>AEO.2023.REF2023.ECI_SAL_FGHT_SOSO_EGH_NA_NA_TH.A</t>
  </si>
  <si>
    <t>Freight: New Trucks: Sales: Medium: Plug-in Gasoline Hybrid: Reference case</t>
  </si>
  <si>
    <t>AEO.2023.REF2023.ECI_SAL_FGHT_SOSO_EDH_NA_NA_TH.A</t>
  </si>
  <si>
    <t>Freight: New Trucks: Sales: Medium: Plug-in Diesel Hybrid: Reference case</t>
  </si>
  <si>
    <t>AEO.2023.REF2023.ECI_SAL_FGHT_SOSO_ELE_NA_NA_TH.A</t>
  </si>
  <si>
    <t>Freight: New Trucks: Sales: Medium: Electric: Reference case</t>
  </si>
  <si>
    <t>AEO.2023.REF2023.ECI_SAL_FGHT_SOSO_EFFI_NA_NA_TH.A</t>
  </si>
  <si>
    <t>Freight: New Trucks: Sales: Medium: Ethanol-Flex Fuel: Reference case</t>
  </si>
  <si>
    <t>AEO.2023.REF2023.ECI_SAL_FGHT_SOSO_NG_NA_NA_TH.A</t>
  </si>
  <si>
    <t>Freight: New Trucks: Sales: Medium: Natural Gas: Reference case</t>
  </si>
  <si>
    <t>AEO.2023.REF2023.ECI_SAL_FGHT_SOSO_PROP_NA_NA_TH.A</t>
  </si>
  <si>
    <t>Freight: New Trucks: Sales: Medium: Propane: Reference case</t>
  </si>
  <si>
    <t>AEO.2023.REF2023.ECI_SAL_FGHT_SOSO_MGS_NA_NA_TH.A</t>
  </si>
  <si>
    <t>Freight: New Trucks: Sales: Medium: Motor Gasoline: Reference case</t>
  </si>
  <si>
    <t>AEO.2023.REF2023.ECI_SAL_FGHT_SOSO_DSL_NA_NA_TH.A</t>
  </si>
  <si>
    <t>Freight: New Trucks: Sales: Medium: Diesel: Reference case</t>
  </si>
  <si>
    <t>AEO.2023.REF2023.ECI_SAL_FGHT_LITEMED_NA_NA_NA_TH.A</t>
  </si>
  <si>
    <t>Freight: New Trucks: Sales: Light Medium: Reference case</t>
  </si>
  <si>
    <t>AEO.2023.REF2023.ECI_SAL_FGHT_LITEMED_FUC_NA_NA_TH.A</t>
  </si>
  <si>
    <t>Freight: New Trucks: Sales: Light Medium: Fuel Cell: Reference case</t>
  </si>
  <si>
    <t>AEO.2023.REF2023.ECI_SAL_FGHT_LITEMED_EGH_NA_NA_TH.A</t>
  </si>
  <si>
    <t>Freight: New Trucks: Sales: Light Medium: Plug-in Gasoline Hybrid: Reference case</t>
  </si>
  <si>
    <t>AEO.2023.REF2023.ECI_SAL_FGHT_LITEMED_EDH_NA_NA_TH.A</t>
  </si>
  <si>
    <t>Freight: New Trucks: Sales: Light Medium: Plug-in Diesel Hybrid: Reference case</t>
  </si>
  <si>
    <t>AEO.2023.REF2023.ECI_SAL_FGHT_LITEMED_ELE_NA_NA_TH.A</t>
  </si>
  <si>
    <t>Freight: New Trucks: Sales: Light Medium: Electric: Reference case</t>
  </si>
  <si>
    <t>AEO.2023.REF2023.ECI_SAL_FGHT_LITEMED_EFFI_NA_NA_TH.A</t>
  </si>
  <si>
    <t>Freight: New Trucks: Sales: Light Medium: Ethanol-Flex Fuel: Reference case</t>
  </si>
  <si>
    <t>AEO.2023.REF2023.ECI_SAL_FGHT_LITEMED_NG_NA_NA_TH.A</t>
  </si>
  <si>
    <t>Freight: New Trucks: Sales: Light Medium: Natural Gas: Reference case</t>
  </si>
  <si>
    <t>AEO.2023.REF2023.ECI_SAL_FGHT_LITEMED_PROP_NA_NA_TH.A</t>
  </si>
  <si>
    <t>Freight: New Trucks: Sales: Light Medium: Propane: Reference case</t>
  </si>
  <si>
    <t>AEO.2023.REF2023.ECI_SAL_FGHT_LITEMED_MGS_NA_NA_TH.A</t>
  </si>
  <si>
    <t>Freight: New Trucks: Sales: Light Medium: Motor Gasoline: Reference case</t>
  </si>
  <si>
    <t>AEO.2023.REF2023.ECI_SAL_FGHT_LITEMED_DSL_NA_NA_TH.A</t>
  </si>
  <si>
    <t>Freight: New Trucks: Sales: Light Medium: Diesel: Reference case</t>
  </si>
  <si>
    <t>AEO.2023.REF2023.EFI_NA_FGHT_NEW_NA_NA_NA_NA.A</t>
  </si>
  <si>
    <t>Freight: New Trucks: Fuel Efficiency: Reference case</t>
  </si>
  <si>
    <t>AEO.2023.REF2023.EFI_NA_FGHT_RADN_NA_NA_NA_NA.A</t>
  </si>
  <si>
    <t>Freight: New Trucks: Fuel Efficiency: Heavy: Average: Reference case</t>
  </si>
  <si>
    <t>AEO.2023.REF2023.EFI_NA_FGHT_RADN_FUC_NA_NA_MPGDSEQ.A</t>
  </si>
  <si>
    <t>Freight: New Trucks: Fuel Efficiency: Heavy: Fuel Cell: Reference case</t>
  </si>
  <si>
    <t>AEO.2023.REF2023.EFI_NA_FGHT_RADN_EGH_NA_NA_MPGGASEQ.A</t>
  </si>
  <si>
    <t>Freight: New Trucks: Fuel Efficiency: Heavy: Plug-in Gasoline Hybrid: Reference case</t>
  </si>
  <si>
    <t>AEO.2023.REF2023.EFI_NA_FGHT_RADN_EDH_NA_NA_MPGDSEQ.A</t>
  </si>
  <si>
    <t>Freight: New Trucks: Fuel Efficiency: Heavy: Plug-in Diesel Hybrid: Reference case</t>
  </si>
  <si>
    <t>AEO.2023.REF2023.EFI_NA_FGHT_RADN_ELE_NA_NA_MPGDSEQ.A</t>
  </si>
  <si>
    <t>Freight: New Trucks: Fuel Efficiency: Heavy: Electric: Reference case</t>
  </si>
  <si>
    <t>AEO.2023.REF2023.EFI_NA_FGHT_RADN_EFFI_NA_NA_MPGGASEQ.A</t>
  </si>
  <si>
    <t>Freight: New Trucks: Fuel Efficiency: Heavy: Ethanol-Flex Fuel: Reference case</t>
  </si>
  <si>
    <t>AEO.2023.REF2023.EFI_NA_FGHT_RADN_NG_NA_NA_MPGDSEQ.A</t>
  </si>
  <si>
    <t>Freight: New Trucks: Fuel Efficiency: Heavy: Natural Gas: Reference case</t>
  </si>
  <si>
    <t>AEO.2023.REF2023.EFI_NA_FGHT_RADN_PROP_NA_NA_MPGGASEQ.A</t>
  </si>
  <si>
    <t>Freight: New Trucks: Fuel Efficiency: Heavy: Propane: Reference case</t>
  </si>
  <si>
    <t>AEO.2023.REF2023.EFI_NA_FGHT_RADN_MGS_NA_NA_MPGGASEQ.A</t>
  </si>
  <si>
    <t>Freight: New Trucks: Fuel Efficiency: Heavy: Motor Gasoline: Reference case</t>
  </si>
  <si>
    <t>AEO.2023.REF2023.EFI_NA_FGHT_RADN_DSL_NA_NA_MPGDSEQ.A</t>
  </si>
  <si>
    <t>Freight: New Trucks: Fuel Efficiency: Heavy: Diesel: Reference case</t>
  </si>
  <si>
    <t>AEO.2023.REF2023.EFI_NA_FGHT_SOSON_NA_NA_NA_NA.A</t>
  </si>
  <si>
    <t>Freight: New Trucks: Fuel Efficiency: Medium: Average: Reference case</t>
  </si>
  <si>
    <t>AEO.2023.REF2023.EFI_NA_FGHT_SOSON_FUC_NA_NA_MPGGASEQ.A</t>
  </si>
  <si>
    <t>Freight: New Trucks: Fuel Efficiency: Medium: Fuel Cell: Reference case</t>
  </si>
  <si>
    <t>AEO.2023.REF2023.EFI_NA_FGHT_SOSON_EGH_NA_NA_MPGGASEQ.A</t>
  </si>
  <si>
    <t>Freight: New Trucks: Fuel Efficiency: Medium: Plug-in Gasoline Hybrid: Reference case</t>
  </si>
  <si>
    <t>AEO.2023.REF2023.EFI_NA_FGHT_SOSON_EDH_NA_NA_MPGGASEQ.A</t>
  </si>
  <si>
    <t>Freight: New Trucks: Fuel Efficiency: Medium: Plug-in Diesel Hybrid: Reference case</t>
  </si>
  <si>
    <t>AEO.2023.REF2023.EFI_NA_FGHT_SOSON_ELE_NA_NA_MPGGASEQ.A</t>
  </si>
  <si>
    <t>Freight: New Trucks: Fuel Efficiency: Medium: Electric: Reference case</t>
  </si>
  <si>
    <t>AEO.2023.REF2023.EFI_NA_FGHT_SOSON_EFFI_NA_NA_MPG.A</t>
  </si>
  <si>
    <t>Freight: New Trucks: Fuel Efficiency: Medium: Ethanol-Flex Fuel: Reference case</t>
  </si>
  <si>
    <t>AEO.2023.REF2023.EFI_NA_FGHT_SOSON_NG_NA_NA_MPGGASEQ.A</t>
  </si>
  <si>
    <t>Freight: New Trucks: Fuel Efficiency: Medium: Natural Gas: Reference case</t>
  </si>
  <si>
    <t>AEO.2023.REF2023.EFI_NA_FGHT_SOSON_PROP_NA_NA_MPGGASEQ.A</t>
  </si>
  <si>
    <t>Freight: New Trucks: Fuel Efficiency: Medium: Propane: Reference case</t>
  </si>
  <si>
    <t>AEO.2023.REF2023.EFI_NA_FGHT_SOSON_MGS_NA_NA_MPGGASEQ.A</t>
  </si>
  <si>
    <t>Freight: New Trucks: Fuel Efficiency: Medium: Motor Gasoline: Reference case</t>
  </si>
  <si>
    <t>AEO.2023.REF2023.EFI_NA_FGHT_SOSON_DSL_NA_NA_MPGDSEQ.A</t>
  </si>
  <si>
    <t>Freight: New Trucks: Fuel Efficiency: Medium: Diesel: Reference case</t>
  </si>
  <si>
    <t>AEO.2023.REF2023.EFI_NA_FGHT_LITEMEDN_NA_NA_NA_NA.A</t>
  </si>
  <si>
    <t>Freight: New Trucks: Fuel Efficiency: Light Medium: Average: Reference case</t>
  </si>
  <si>
    <t>AEO.2023.REF2023.EFI_NA_FGHT_LITEMEDN_FUC_NA_NA_MPGDSEQ.A</t>
  </si>
  <si>
    <t>Freight: New Trucks: Fuel Efficiency: Light Medium: Fuel Cell: Reference case</t>
  </si>
  <si>
    <t>AEO.2023.REF2023.EFI_NA_FGHT_LITEMEDN_EGH_NA_NA_MPGGASEQ.A</t>
  </si>
  <si>
    <t>Freight: New Trucks: Fuel Efficiency: Light Medium: Plug-in Gasoline Hybrid: Reference case</t>
  </si>
  <si>
    <t>AEO.2023.REF2023.EFI_NA_FGHT_LITEMEDN_EDH_NA_NA_MPGDSEQ.A</t>
  </si>
  <si>
    <t>Freight: New Trucks: Fuel Efficiency: Light Medium: Plug-in Diesel Hybrid: Reference case</t>
  </si>
  <si>
    <t>AEO.2023.REF2023.EFI_NA_FGHT_LITEMEDN_ELE_NA_NA_MPGDSEQ.A</t>
  </si>
  <si>
    <t>Freight: New Trucks: Fuel Efficiency: Light Medium: Electric: Reference case</t>
  </si>
  <si>
    <t>AEO.2023.REF2023.EFI_NA_FGHT_LITEMEDN_EFFI_NA_NA_MPGGASEQ.A</t>
  </si>
  <si>
    <t>Freight: New Trucks: Fuel Efficiency: Light Medium: Ethanol-Flex Fuel: Reference case</t>
  </si>
  <si>
    <t>AEO.2023.REF2023.EFI_NA_FGHT_LITEMEDN_NG_NA_NA_MPGGASEQ.A</t>
  </si>
  <si>
    <t>Freight: New Trucks: Fuel Efficiency: Light Medium: Natural Gas: Reference case</t>
  </si>
  <si>
    <t>AEO.2023.REF2023.EFI_NA_FGHT_LITEMEDN_PROP_NA_NA_MPGGASEQ.A</t>
  </si>
  <si>
    <t>Freight: New Trucks: Fuel Efficiency: Light Medium: Propane: Reference case</t>
  </si>
  <si>
    <t>AEO.2023.REF2023.EFI_NA_FGHT_LITEMEDN_MGS_NA_NA_MPGGASEQ.A</t>
  </si>
  <si>
    <t>Freight: New Trucks: Fuel Efficiency: Light Medium: Motor Gasoline: Reference case</t>
  </si>
  <si>
    <t>AEO.2023.REF2023.EFI_NA_FGHT_LITEMEDN_DSL_NA_NA_MPGDSEQ.A</t>
  </si>
  <si>
    <t>Freight: New Trucks: Fuel Efficiency: Light Medium: Diesel: Reference case</t>
  </si>
  <si>
    <t>AEO.2023.REF2023.ECI_STK_FGHT_STK_NA_NA_NA_MILL.A</t>
  </si>
  <si>
    <t>Freight: Truck Stock: Reference case</t>
  </si>
  <si>
    <t>AEO.2023.REF2023.ECI_STK_FGHT_RADS_NA_NA_NA_MILL.A</t>
  </si>
  <si>
    <t>Freight: Truck Stock: Heavy: Reference case</t>
  </si>
  <si>
    <t>AEO.2023.REF2023.ECI_STK_FGHT_RADS_FUC_NA_NA_MILL.A</t>
  </si>
  <si>
    <t>Freight: Truck Stock: Heavy: Fuel Cell: Reference case</t>
  </si>
  <si>
    <t>AEO.2023.REF2023.ECI_STK_FGHT_RADS_EGH_NA_NA_MILL.A</t>
  </si>
  <si>
    <t>Freight: Truck Stock: Heavy: Plug-in Gasoline Hybrid: Reference case</t>
  </si>
  <si>
    <t>AEO.2023.REF2023.ECI_STK_FGHT_RADS_EDH_NA_NA_MILL.A</t>
  </si>
  <si>
    <t>Freight: Truck Stock: Heavy: Plug-in Diesel Hybrid: Reference case</t>
  </si>
  <si>
    <t>AEO.2023.REF2023.ECI_STK_FGHT_RADS_ELE_NA_NA_MILL.A</t>
  </si>
  <si>
    <t>Freight: Truck Stock: Heavy: Electric: Reference case</t>
  </si>
  <si>
    <t>AEO.2023.REF2023.ECI_STK_FGHT_RADS_EFFI_NA_NA_MILL.A</t>
  </si>
  <si>
    <t>Freight: Truck Stock: Heavy: Ethanol-Flex Fuel: Reference case</t>
  </si>
  <si>
    <t>AEO.2023.REF2023.ECI_STK_FGHT_RADS_NG_NA_NA_MILL.A</t>
  </si>
  <si>
    <t>Freight: Truck Stock: Heavy: Natural Gas: Reference case</t>
  </si>
  <si>
    <t>AEO.2023.REF2023.ECI_STK_FGHT_RADS_PROP_NA_NA_MILL.A</t>
  </si>
  <si>
    <t>Freight: Truck Stock: Heavy: Propane: Reference case</t>
  </si>
  <si>
    <t>AEO.2023.REF2023.ECI_STK_FGHT_RADS_MGS_NA_NA_MILL.A</t>
  </si>
  <si>
    <t>Freight: Truck Stock: Heavy: Motor Gasoline: Reference case</t>
  </si>
  <si>
    <t>AEO.2023.REF2023.ECI_STK_FGHT_RADS_DSL_NA_NA_MILL.A</t>
  </si>
  <si>
    <t>Freight: Truck Stock: Heavy: Diesel: Reference case</t>
  </si>
  <si>
    <t>AEO.2023.REF2023.ECI_STK_FGHT_SOSOS_NA_NA_NA_MILL.A</t>
  </si>
  <si>
    <t>Freight: Truck Stock: Medium: Reference case</t>
  </si>
  <si>
    <t>AEO.2023.REF2023.ECI_STK_FGHT_SOSOS_FUC_NA_NA_MILL.A</t>
  </si>
  <si>
    <t>Freight: Truck Stock: Medium: Fuel Cell: Reference case</t>
  </si>
  <si>
    <t>AEO.2023.REF2023.ECI_STK_FGHT_SOSOS_EGH_NA_NA_MILL.A</t>
  </si>
  <si>
    <t>Freight: Truck Stock: Medium: Plug-in Gasoline Hybrid: Reference case</t>
  </si>
  <si>
    <t>AEO.2023.REF2023.ECI_STK_FGHT_SOSOS_EDH_NA_NA_MILL.A</t>
  </si>
  <si>
    <t>Freight: Truck Stock: Medium: Plug-in Diesel Hybrid: Reference case</t>
  </si>
  <si>
    <t>AEO.2023.REF2023.ECI_STK_FGHT_SOSOS_ELE_NA_NA_MILL.A</t>
  </si>
  <si>
    <t>Freight: Truck Stock: Medium: Electric: Reference case</t>
  </si>
  <si>
    <t>AEO.2023.REF2023.ECI_STK_FGHT_SOSOS_EFFI_NA_NA_MILL.A</t>
  </si>
  <si>
    <t>Freight: Truck Stock: Medium: Ethanol-Flex Fuel: Reference case</t>
  </si>
  <si>
    <t>AEO.2023.REF2023.ECI_STK_FGHT_SOSOS_NG_NA_NA_MILL.A</t>
  </si>
  <si>
    <t>Freight: Truck Stock: Medium: Natural Gas: Reference case</t>
  </si>
  <si>
    <t>AEO.2023.REF2023.ECI_STK_FGHT_SOSOS_PROP_NA_NA_MILL.A</t>
  </si>
  <si>
    <t>Freight: Truck Stock: Medium: Propane: Reference case</t>
  </si>
  <si>
    <t>AEO.2023.REF2023.ECI_STK_FGHT_SOSOS_MGS_NA_NA_MILL.A</t>
  </si>
  <si>
    <t>Freight: Truck Stock: Medium: Motor Gasoline: Reference case</t>
  </si>
  <si>
    <t>AEO.2023.REF2023.ECI_STK_FGHT_SOSOS_DSL_NA_NA_MILL.A</t>
  </si>
  <si>
    <t>Freight: Truck Stock: Medium: Diesel: Reference case</t>
  </si>
  <si>
    <t>AEO.2023.REF2023.ECI_STK_FGHT_LITEMEDS_NA_NA_NA_MILL.A</t>
  </si>
  <si>
    <t>Freight: Truck Stock: Light Medium: Reference case</t>
  </si>
  <si>
    <t>AEO.2023.REF2023.ECI_STK_FGHT_LITEMEDS_FUC_NA_NA_MILL.A</t>
  </si>
  <si>
    <t>Freight: Truck Stock: Light Medium: Fuel Cell: Reference case</t>
  </si>
  <si>
    <t>AEO.2023.REF2023.ECI_STK_FGHT_LITEMEDS_EGH_NA_NA_MILL.A</t>
  </si>
  <si>
    <t>Freight: Truck Stock: Light Medium: Plug-in Gasoline Hybrid: Reference case</t>
  </si>
  <si>
    <t>AEO.2023.REF2023.ECI_STK_FGHT_LITEMEDS_EDH_NA_NA_MILL.A</t>
  </si>
  <si>
    <t>Freight: Truck Stock: Light Medium: Plug-in Diesel Hybrid: Reference case</t>
  </si>
  <si>
    <t>AEO.2023.REF2023.ECI_STK_FGHT_LITEMEDS_ELE_NA_NA_MILL.A</t>
  </si>
  <si>
    <t>Freight: Truck Stock: Light Medium: Electric: Reference case</t>
  </si>
  <si>
    <t>AEO.2023.REF2023.ECI_STK_FGHT_LITEMEDS_EFFI_NA_NA_MILL.A</t>
  </si>
  <si>
    <t>Freight: Truck Stock: Light Medium: Ethanol-Flex Fuel: Reference case</t>
  </si>
  <si>
    <t>AEO.2023.REF2023.ECI_STK_FGHT_LITEMEDS_NG_NA_NA_MILL.A</t>
  </si>
  <si>
    <t>Freight: Truck Stock: Light Medium: Natural Gas: Reference case</t>
  </si>
  <si>
    <t>AEO.2023.REF2023.ECI_STK_FGHT_LITEMEDS_PROP_NA_NA_MILL.A</t>
  </si>
  <si>
    <t>Freight: Truck Stock: Light Medium: Propane: Reference case</t>
  </si>
  <si>
    <t>AEO.2023.REF2023.ECI_STK_FGHT_LITEMEDS_MGS_NA_NA_MILL.A</t>
  </si>
  <si>
    <t>Freight: Truck Stock: Light Medium: Motor Gasoline: Reference case</t>
  </si>
  <si>
    <t>AEO.2023.REF2023.ECI_STK_FGHT_LITEMEDS_DSL_NA_NA_MILL.A</t>
  </si>
  <si>
    <t>Freight: Truck Stock: Light Medium: Diesel: Reference case</t>
  </si>
  <si>
    <t>AEO.2023.REF2023.EFI_NA_FGHT_STK_NA_NA_NA_NA.A</t>
  </si>
  <si>
    <t>Freight: Truck Stock: Fuel Efficiency: Reference case</t>
  </si>
  <si>
    <t>AEO.2023.REF2023.EFI_NA_FGHT_RADS_NA_NA_NA_NA.A</t>
  </si>
  <si>
    <t>Freight: Truck Stock: Fuel Efficiency: Heavy: Average: Reference case</t>
  </si>
  <si>
    <t>AEO.2023.REF2023.EFI_NA_FGHT_RADS_FUC_NA_NA_MPGDSEQ.A</t>
  </si>
  <si>
    <t>Freight: Truck Stock: Fuel Efficiency: Heavy: Fuel Cell: Reference case</t>
  </si>
  <si>
    <t>AEO.2023.REF2023.EFI_NA_FGHT_RADS_EGH_NA_NA_MPGGASEQ.A</t>
  </si>
  <si>
    <t>Freight: Truck Stock: Fuel Efficiency: Heavy: Plug-in Gasoline Hybrid: Reference case</t>
  </si>
  <si>
    <t>AEO.2023.REF2023.EFI_NA_FGHT_RADS_EDH_NA_NA_MPGDSEQ.A</t>
  </si>
  <si>
    <t>Freight: Truck Stock: Fuel Efficiency: Heavy: Plug-in Diesel Hybrid: Reference case</t>
  </si>
  <si>
    <t>AEO.2023.REF2023.EFI_NA_FGHT_RADS_ELE_NA_NA_MPGDSEQ.A</t>
  </si>
  <si>
    <t>Freight: Truck Stock: Fuel Efficiency: Heavy: Electric: Reference case</t>
  </si>
  <si>
    <t>AEO.2023.REF2023.EFI_NA_FGHT_RADS_EFFI_NA_NA_MPGGASEQ.A</t>
  </si>
  <si>
    <t>Freight: Truck Stock: Fuel Efficiency: Heavy: Ethanol-Flex Fuel: Reference case</t>
  </si>
  <si>
    <t>AEO.2023.REF2023.EFI_NA_FGHT_RADS_NG_NA_NA_MPGDSEQ.A</t>
  </si>
  <si>
    <t>Freight: Truck Stock: Fuel Efficiency: Heavy: Natural Gas: Reference case</t>
  </si>
  <si>
    <t>AEO.2023.REF2023.EFI_NA_FGHT_RADS_PROP_NA_NA_MPGGASEQ.A</t>
  </si>
  <si>
    <t>Freight: Truck Stock: Fuel Efficiency: Heavy: Propane: Reference case</t>
  </si>
  <si>
    <t>AEO.2023.REF2023.EFI_NA_FGHT_RADS_MGS_NA_NA_MPGGASEQ.A</t>
  </si>
  <si>
    <t>Freight: Truck Stock: Fuel Efficiency: Heavy: Motor Gasoline: Reference case</t>
  </si>
  <si>
    <t>AEO.2023.REF2023.EFI_NA_FGHT_RADS_DSL_NA_NA_MPGDSEQ.A</t>
  </si>
  <si>
    <t>Freight: Truck Stock: Fuel Efficiency: Heavy: Diesel: Reference case</t>
  </si>
  <si>
    <t>AEO.2023.REF2023.EFI_NA_FGHT_SOSOS_NA_NA_NA_NA.A</t>
  </si>
  <si>
    <t>Freight: Truck Stock: Fuel Efficiency: Medium: Average: Reference case</t>
  </si>
  <si>
    <t>AEO.2023.REF2023.EFI_NA_FGHT_SOSOS_FUC_NA_NA_MPGGASEQ.A</t>
  </si>
  <si>
    <t>Freight: Truck Stock: Fuel Efficiency: Medium: Fuel Cell: Reference case</t>
  </si>
  <si>
    <t>AEO.2023.REF2023.EFI_NA_FGHT_SOSOS_EGH_NA_NA_MPGGASEQ.A</t>
  </si>
  <si>
    <t>Freight: Truck Stock: Fuel Efficiency: Medium: Plug-in Gasoline Hybrid: Reference case</t>
  </si>
  <si>
    <t>AEO.2023.REF2023.EFI_NA_FGHT_SOSOS_EDH_NA_NA_MPGGASEQ.A</t>
  </si>
  <si>
    <t>Freight: Truck Stock: Fuel Efficiency: Medium: Plug-in Diesel Hybrid: Reference case</t>
  </si>
  <si>
    <t>AEO.2023.REF2023.EFI_NA_FGHT_SOSOS_ELE_NA_NA_MPGGASEQ.A</t>
  </si>
  <si>
    <t>Freight: Truck Stock: Fuel Efficiency: Medium: Electric: Reference case</t>
  </si>
  <si>
    <t>AEO.2023.REF2023.EFI_NA_FGHT_SOSOS_EFFI_NA_NA_MPG.A</t>
  </si>
  <si>
    <t>Freight: Truck Stock: Fuel Efficiency: Medium: Ethanol-Flex Fuel: Reference case</t>
  </si>
  <si>
    <t>AEO.2023.REF2023.EFI_NA_FGHT_SOSOS_NG_NA_NA_MPGGASEQ.A</t>
  </si>
  <si>
    <t>Freight: Truck Stock: Fuel Efficiency: Medium: Natural Gas: Reference case</t>
  </si>
  <si>
    <t>AEO.2023.REF2023.EFI_NA_FGHT_SOSOS_PROP_NA_NA_MPGGASEQ.A</t>
  </si>
  <si>
    <t>Freight: Truck Stock: Fuel Efficiency: Medium: Propane: Reference case</t>
  </si>
  <si>
    <t>AEO.2023.REF2023.EFI_NA_FGHT_SOSOS_MGS_NA_NA_MPGGASEQ.A</t>
  </si>
  <si>
    <t>Freight: Truck Stock: Fuel Efficiency: Medium: Motor Gasoline: Reference case</t>
  </si>
  <si>
    <t>AEO.2023.REF2023.EFI_NA_FGHT_SOSOS_DSL_NA_NA_MPGDSEQ.A</t>
  </si>
  <si>
    <t>Freight: Truck Stock: Fuel Efficiency: Medium: Diesel: Reference case</t>
  </si>
  <si>
    <t>AEO.2023.REF2023.EFI_NA_FGHT_LITEMEDS_NA_NA_NA_NA.A</t>
  </si>
  <si>
    <t>Freight: Truck Stock: Fuel Efficiency: Light Medium: Average: Reference case</t>
  </si>
  <si>
    <t>AEO.2023.REF2023.EFI_NA_FGHT_LITEMEDS_FUC_NA_NA_MPGDSEQ.A</t>
  </si>
  <si>
    <t>Freight: Truck Stock: Fuel Efficiency: Light Medium: Fuel Cell: Reference case</t>
  </si>
  <si>
    <t>AEO.2023.REF2023.EFI_NA_FGHT_LITEMEDS_EGH_NA_NA_MPGGASEQ.A</t>
  </si>
  <si>
    <t>Freight: Truck Stock: Fuel Efficiency: Light Medium: Plug-in Gasoline Hybrid: Reference case</t>
  </si>
  <si>
    <t>AEO.2023.REF2023.EFI_NA_FGHT_LITEMEDS_EDH_NA_NA_MPGDSEQ.A</t>
  </si>
  <si>
    <t>Freight: Truck Stock: Fuel Efficiency: Light Medium: Plug-in Diesel Hybrid: Reference case</t>
  </si>
  <si>
    <t>AEO.2023.REF2023.EFI_NA_FGHT_LITEMEDS_ELE_NA_NA_MPGDSEQ.A</t>
  </si>
  <si>
    <t>Freight: Truck Stock: Fuel Efficiency: Light Medium: Electric: Reference case</t>
  </si>
  <si>
    <t>AEO.2023.REF2023.EFI_NA_FGHT_LITEMEDS_EFFI_NA_NA_MPGGASEQ.A</t>
  </si>
  <si>
    <t>Freight: Truck Stock: Fuel Efficiency: Light Medium: Ethanol-Flex Fuel: Reference case</t>
  </si>
  <si>
    <t>AEO.2023.REF2023.EFI_NA_FGHT_LITEMEDS_NG_NA_NA_MPGGASEQ.A</t>
  </si>
  <si>
    <t>Freight: Truck Stock: Fuel Efficiency: Light Medium: Natural Gas: Reference case</t>
  </si>
  <si>
    <t>AEO.2023.REF2023.EFI_NA_FGHT_LITEMEDS_PROP_NA_NA_MPGGASEQ.A</t>
  </si>
  <si>
    <t>Freight: Truck Stock: Fuel Efficiency: Light Medium: Propane: Reference case</t>
  </si>
  <si>
    <t>AEO.2023.REF2023.EFI_NA_FGHT_LITEMEDS_MGS_NA_NA_MPGGASEQ.A</t>
  </si>
  <si>
    <t>Freight: Truck Stock: Fuel Efficiency: Light Medium: Motor Gasoline: Reference case</t>
  </si>
  <si>
    <t>AEO.2023.REF2023.EFI_NA_FGHT_LITEMEDS_DSL_NA_NA_MPGDSEQ.A</t>
  </si>
  <si>
    <t>Freight: Truck Stock: Fuel Efficiency: Light Medium: Diesel: Reference case</t>
  </si>
  <si>
    <t>AEO.2023.REF2023.CNSM_NA_FGHT_STK_NA_NA_NA_TRLBTU.A</t>
  </si>
  <si>
    <t>Freight: Truck Stock: Use: Light Medium, Medium, and Heavy: Reference case</t>
  </si>
  <si>
    <t>AEO.2023.REF2023.CNSM_NA_FGHT_STK_FUC_NA_NA_TRLBTU.A</t>
  </si>
  <si>
    <t>Freight: Truck Stock: Use: Light Medium, Medium, and Heavy: Fuel Cell: Reference case</t>
  </si>
  <si>
    <t>AEO.2023.REF2023.CNSM_NA_FGHT_STK_EGH_NA_NA_TRLBTU.A</t>
  </si>
  <si>
    <t>Freight: Truck Stock: Use: Light Medium, Medium, and Heavy: Plug-in Gasoline Hybrid: Reference case</t>
  </si>
  <si>
    <t>AEO.2023.REF2023.CNSM_NA_FGHT_STK_EDH_NA_NA_TRLBTU.A</t>
  </si>
  <si>
    <t>Freight: Truck Stock: Use: Light Medium, Medium, and Heavy: Plug-in Diesel Hybrid: Reference case</t>
  </si>
  <si>
    <t>AEO.2023.REF2023.CNSM_NA_FGHT_STK_ELE_NA_NA_TRLBTU.A</t>
  </si>
  <si>
    <t>Freight: Truck Stock: Use: Light Medium, Medium, and Heavy: Electric: Reference case</t>
  </si>
  <si>
    <t>AEO.2023.REF2023.CNSM_NA_FGHT_STK_EFFI_NA_NA_TRLBTU.A</t>
  </si>
  <si>
    <t>Freight: Truck Stock: Use: Light Medium, Medium, and Heavy: Ethanol-Flex Fuel: Reference case</t>
  </si>
  <si>
    <t>AEO.2023.REF2023.CNSM_NA_FGHT_STK_NG_NA_NA_TRLBTU.A</t>
  </si>
  <si>
    <t>Freight: Truck Stock: Use: Light Medium, Medium, and Heavy: Natural Gas: Reference case</t>
  </si>
  <si>
    <t>AEO.2023.REF2023.CNSM_NA_FGHT_STK_PROP_NA_NA_TRLBTU.A</t>
  </si>
  <si>
    <t>Freight: Truck Stock: Use: Light Medium, Medium, and Heavy: Propane: Reference case</t>
  </si>
  <si>
    <t>AEO.2023.REF2023.CNSM_NA_FGHT_STK_MGS_NA_NA_TRLBTU.A</t>
  </si>
  <si>
    <t>Freight: Truck Stock: Use: Light Medium, Medium, and Heavy: Motor Gasoline: Reference case</t>
  </si>
  <si>
    <t>AEO.2023.REF2023.CNSM_NA_FGHT_STK_DSL_NA_NA_TRLBTU.A</t>
  </si>
  <si>
    <t>Freight: Truck Stock: Use: Light Medium, Medium, and Heavy: Diesel: Reference case</t>
  </si>
  <si>
    <t>AEO.2023.REF2023.CNSM_NA_FGHT_RADS_NA_NA_NA_TRLBTU.A</t>
  </si>
  <si>
    <t>Freight: Truck Stock: Use: Heavy: Reference case</t>
  </si>
  <si>
    <t>AEO.2023.REF2023.CNSM_NA_FGHT_RADS_FUC_NA_NA_TRLBTU.A</t>
  </si>
  <si>
    <t>Freight: Truck Stock: Use: Heavy: Fuel Cell: Reference case</t>
  </si>
  <si>
    <t>AEO.2023.REF2023.CNSM_NA_FGHT_RADS_EGH_NA_NA_TRLBTU.A</t>
  </si>
  <si>
    <t>Freight: Truck Stock: Use: Heavy: Plug-in Gasoline Hybrid: Reference case</t>
  </si>
  <si>
    <t>AEO.2023.REF2023.CNSM_NA_FGHT_RADS_EDH_NA_NA_TRLBTU.A</t>
  </si>
  <si>
    <t>Freight: Truck Stock: Use: Heavy: Plug-in Diesel Hybrid: Reference case</t>
  </si>
  <si>
    <t>AEO.2023.REF2023.CNSM_NA_FGHT_RADS_ELE_NA_NA_TRLBTU.A</t>
  </si>
  <si>
    <t>Freight: Truck Stock: Use: Heavy: Electric: Reference case</t>
  </si>
  <si>
    <t>AEO.2023.REF2023.CNSM_NA_FGHT_RADS_EFFI_NA_NA_TRLBTU.A</t>
  </si>
  <si>
    <t>Freight: Truck Stock: Use: Heavy: Ethanol-Flex Fuel: Reference case</t>
  </si>
  <si>
    <t>AEO.2023.REF2023.CNSM_NA_FGHT_RADS_NG_NA_NA_TRLBTU.A</t>
  </si>
  <si>
    <t>Freight: Truck Stock: Use: Heavy: Natural Gas: Reference case</t>
  </si>
  <si>
    <t>AEO.2023.REF2023.CNSM_NA_FGHT_RADS_PROP_NA_NA_TRLBTU.A</t>
  </si>
  <si>
    <t>Freight: Truck Stock: Use: Heavy: Propane: Reference case</t>
  </si>
  <si>
    <t>AEO.2023.REF2023.CNSM_NA_FGHT_RADS_MGS_NA_NA_TRLBTU.A</t>
  </si>
  <si>
    <t>Freight: Truck Stock: Use: Heavy: Motor Gasoline: Reference case</t>
  </si>
  <si>
    <t>AEO.2023.REF2023.CNSM_NA_FGHT_RADS_DSL_NA_NA_TRLBTU.A</t>
  </si>
  <si>
    <t>Freight: Truck Stock: Use: Heavy: Diesel: Reference case</t>
  </si>
  <si>
    <t>AEO.2023.REF2023.CNSM_NA_FGHT_SOSOS_NA_NA_NA_TRLBTU.A</t>
  </si>
  <si>
    <t>Freight: Truck Stock: Use: Medium: Reference case</t>
  </si>
  <si>
    <t>AEO.2023.REF2023.CNSM_NA_FGHT_SOSOS_FUC_NA_NA_TRLBTU.A</t>
  </si>
  <si>
    <t>Freight: Truck Stock: Use: Medium: Fuel Cell: Reference case</t>
  </si>
  <si>
    <t>AEO.2023.REF2023.CNSM_NA_FGHT_SOSOS_EGH_NA_NA_TRLBTU.A</t>
  </si>
  <si>
    <t>Freight: Truck Stock: Use: Medium: Plug-in Gasoline Hybrid: Reference case</t>
  </si>
  <si>
    <t>AEO.2023.REF2023.CNSM_NA_FGHT_SOSOS_EDH_NA_NA_TRLBTU.A</t>
  </si>
  <si>
    <t>Freight: Truck Stock: Use: Medium: Plug-in Diesel Hybrid: Reference case</t>
  </si>
  <si>
    <t>AEO.2023.REF2023.CNSM_NA_FGHT_SOSOS_ELE_NA_NA_TRLBTU.A</t>
  </si>
  <si>
    <t>Freight: Truck Stock: Use: Medium: Electric: Reference case</t>
  </si>
  <si>
    <t>AEO.2023.REF2023.CNSM_NA_FGHT_SOSOS_EFFI_NA_NA_TRLBTU.A</t>
  </si>
  <si>
    <t>Freight: Truck Stock: Use: Medium: Ethanol-Flex Fuel: Reference case</t>
  </si>
  <si>
    <t>AEO.2023.REF2023.CNSM_NA_FGHT_SOSOS_NG_NA_NA_TRLBTU.A</t>
  </si>
  <si>
    <t>Freight: Truck Stock: Use: Medium: Natural Gas: Reference case</t>
  </si>
  <si>
    <t>AEO.2023.REF2023.CNSM_NA_FGHT_SOSOS_PROP_NA_NA_TRLBTU.A</t>
  </si>
  <si>
    <t>Freight: Truck Stock: Use: Medium: Propane: Reference case</t>
  </si>
  <si>
    <t>AEO.2023.REF2023.CNSM_NA_FGHT_SOSOS_MGS_NA_NA_TRLBTU.A</t>
  </si>
  <si>
    <t>Freight: Truck Stock: Use: Medium: Motor Gasoline: Reference case</t>
  </si>
  <si>
    <t>AEO.2023.REF2023.CNSM_NA_FGHT_SOSOS_DSL_NA_NA_TRLBTU.A</t>
  </si>
  <si>
    <t>Freight: Truck Stock: Use: Medium: Diesel: Reference case</t>
  </si>
  <si>
    <t>AEO.2023.REF2023.CNSM_NA_FGHT_LITEMEDS_NA_NA_NA_TRLBTU.A</t>
  </si>
  <si>
    <t>Freight: Truck Stock: Use: Light Medium: Reference case</t>
  </si>
  <si>
    <t>AEO.2023.REF2023.CNSM_NA_FGHT_LITEMEDS_FUC_NA_NA_TRLBTU.A</t>
  </si>
  <si>
    <t>Freight: Truck Stock: Use: Light Medium: Fuel Cell: Reference case</t>
  </si>
  <si>
    <t>AEO.2023.REF2023.CNSM_NA_FGHT_LITEMEDS_EGH_NA_NA_TRLBTU.A</t>
  </si>
  <si>
    <t>Freight: Truck Stock: Use: Light Medium: Plug-in Gasoline Hybrid: Reference case</t>
  </si>
  <si>
    <t>AEO.2023.REF2023.CNSM_NA_FGHT_LITEMEDS_EDH_NA_NA_TRLBTU.A</t>
  </si>
  <si>
    <t>Freight: Truck Stock: Use: Light Medium: Plug-in Diesel Hybrid: Reference case</t>
  </si>
  <si>
    <t>AEO.2023.REF2023.CNSM_NA_FGHT_LITEMEDS_ELE_NA_NA_TRLBTU.A</t>
  </si>
  <si>
    <t>Freight: Truck Stock: Use: Light Medium: Electric: Reference case</t>
  </si>
  <si>
    <t>AEO.2023.REF2023.CNSM_NA_FGHT_LITEMEDS_EFFI_NA_NA_TRLBTU.A</t>
  </si>
  <si>
    <t>Freight: Truck Stock: Use: Light Medium: Ethanol-Flex Fuel: Reference case</t>
  </si>
  <si>
    <t>AEO.2023.REF2023.CNSM_NA_FGHT_LITEMEDS_NG_NA_NA_TRLBTU.A</t>
  </si>
  <si>
    <t>Freight: Truck Stock: Use: Light Medium: Natural Gas: Reference case</t>
  </si>
  <si>
    <t>AEO.2023.REF2023.CNSM_NA_FGHT_LITEMEDS_PROP_NA_NA_TRLBTU.A</t>
  </si>
  <si>
    <t>Freight: Truck Stock: Use: Light Medium: Propane: Reference case</t>
  </si>
  <si>
    <t>AEO.2023.REF2023.CNSM_NA_FGHT_LITEMEDS_MGS_NA_NA_TRLBTU.A</t>
  </si>
  <si>
    <t>Freight: Truck Stock: Use: Light Medium: Motor Gasoline: Reference case</t>
  </si>
  <si>
    <t>AEO.2023.REF2023.CNSM_NA_FGHT_LITEMEDS_DSL_NA_NA_TRLBTU.A</t>
  </si>
  <si>
    <t>Freight: Truck Stock: Use: Light Medium: Diesel: Reference case</t>
  </si>
  <si>
    <t>AEO.2023.REF2023.ECI_VMT_FGHT_STK_NA_NA_NA_BLNMLS.A</t>
  </si>
  <si>
    <t>Freight: Truck Stock: Vehicle Miles Traveled: Reference case</t>
  </si>
  <si>
    <t>AEO.2023.REF2023.ECI_VMT_FGHT_RADS_NA_NA_NA_BLNMLS.A</t>
  </si>
  <si>
    <t>Freight: Truck Stock: Vehicle Miles Traveled: Heavy: Reference case</t>
  </si>
  <si>
    <t>AEO.2023.REF2023.ECI_VMT_FGHT_RADS_FUC_NA_NA_BLNMLS.A</t>
  </si>
  <si>
    <t>Freight: Truck Stock: Vehicle Miles Traveled: Heavy: Fuel Cell: Reference case</t>
  </si>
  <si>
    <t>AEO.2023.REF2023.ECI_VMT_FGHT_RADS_EGH_NA_NA_BLNMLS.A</t>
  </si>
  <si>
    <t>Freight: Truck Stock: Vehicle Miles Traveled: Heavy: Plug-in Gasoline Hybrid: Reference case</t>
  </si>
  <si>
    <t>AEO.2023.REF2023.ECI_VMT_FGHT_RADS_EDH_NA_NA_BLNMLS.A</t>
  </si>
  <si>
    <t>Freight: Truck Stock: Vehicle Miles Traveled: Heavy: Plug-in Diesel Hybrid: Reference case</t>
  </si>
  <si>
    <t>AEO.2023.REF2023.ECI_VMT_FGHT_RADS_ELE_NA_NA_BLNMLS.A</t>
  </si>
  <si>
    <t>Freight: Truck Stock: Vehicle Miles Traveled: Heavy: Electric: Reference case</t>
  </si>
  <si>
    <t>AEO.2023.REF2023.ECI_VMT_FGHT_RADS_EFFI_NA_NA_BLNMLS.A</t>
  </si>
  <si>
    <t>Freight: Truck Stock: Vehicle Miles Traveled: Heavy: Ethanol-Flex Fuel: Reference case</t>
  </si>
  <si>
    <t>AEO.2023.REF2023.ECI_VMT_FGHT_RADS_NG_NA_NA_BLNMLS.A</t>
  </si>
  <si>
    <t>Freight: Truck Stock: Vehicle Miles Traveled: Heavy: Natural Gas: Reference case</t>
  </si>
  <si>
    <t>AEO.2023.REF2023.ECI_VMT_FGHT_RADS_PROP_NA_NA_BLNMLS.A</t>
  </si>
  <si>
    <t>Freight: Truck Stock: Vehicle Miles Traveled: Heavy: Propane: Reference case</t>
  </si>
  <si>
    <t>AEO.2023.REF2023.ECI_VMT_FGHT_RADS_MGS_NA_NA_BLNMLS.A</t>
  </si>
  <si>
    <t>Freight: Truck Stock: Vehicle Miles Traveled: Heavy: Motor Gasoline: Reference case</t>
  </si>
  <si>
    <t>AEO.2023.REF2023.ECI_VMT_FGHT_RADS_DSL_NA_NA_BLNMLS.A</t>
  </si>
  <si>
    <t>Freight: Truck Stock: Vehicle Miles Traveled: Heavy: Diesel: Reference case</t>
  </si>
  <si>
    <t>AEO.2023.REF2023.ECI_VMT_FGHT_SOSOS_NA_NA_NA_BLNMLS.A</t>
  </si>
  <si>
    <t>Freight: Truck Stock: Vehicle Miles Traveled: Medium: Reference case</t>
  </si>
  <si>
    <t>AEO.2023.REF2023.ECI_VMT_FGHT_SOSOS_FUC_NA_NA_BLNMLS.A</t>
  </si>
  <si>
    <t>Freight: Truck Stock: Vehicle Miles Traveled: Medium: Fuel Cell: Reference case</t>
  </si>
  <si>
    <t>AEO.2023.REF2023.ECI_VMT_FGHT_SOSOS_EGH_NA_NA_BLNMLS.A</t>
  </si>
  <si>
    <t>Freight: Truck Stock: Vehicle Miles Traveled: Medium: Plug-in Gasoline Hybrid: Reference case</t>
  </si>
  <si>
    <t>AEO.2023.REF2023.ECI_VMT_FGHT_SOSOS_EDH_NA_NA_BLNMLS.A</t>
  </si>
  <si>
    <t>Freight: Truck Stock: Vehicle Miles Traveled: Medium: Plug-in Diesel Hybrid: Reference case</t>
  </si>
  <si>
    <t>AEO.2023.REF2023.ECI_VMT_FGHT_SOSOS_ELE_NA_NA_BLNMLS.A</t>
  </si>
  <si>
    <t>Freight: Truck Stock: Vehicle Miles Traveled: Medium: Electric: Reference case</t>
  </si>
  <si>
    <t>AEO.2023.REF2023.ECI_VMT_FGHT_SOSOS_EFFI_NA_NA_BLNMLS.A</t>
  </si>
  <si>
    <t>Freight: Truck Stock: Vehicle Miles Traveled: Medium: Ethanol-Flex Fuel: Reference case</t>
  </si>
  <si>
    <t>AEO.2023.REF2023.ECI_VMT_FGHT_SOSOS_NG_NA_NA_BLNMLS.A</t>
  </si>
  <si>
    <t>Freight: Truck Stock: Vehicle Miles Traveled: Medium: Natural Gas: Reference case</t>
  </si>
  <si>
    <t>AEO.2023.REF2023.ECI_VMT_FGHT_SOSOS_PROP_NA_NA_BLNMLS.A</t>
  </si>
  <si>
    <t>Freight: Truck Stock: Vehicle Miles Traveled: Medium: Propane: Reference case</t>
  </si>
  <si>
    <t>AEO.2023.REF2023.ECI_VMT_FGHT_SOSOS_MGS_NA_NA_BLNMLS.A</t>
  </si>
  <si>
    <t>Freight: Truck Stock: Vehicle Miles Traveled: Medium: Motor Gasoline: Reference case</t>
  </si>
  <si>
    <t>AEO.2023.REF2023.ECI_VMT_FGHT_SOSOS_DSL_NA_NA_BLNMLS.A</t>
  </si>
  <si>
    <t>Freight: Truck Stock: Vehicle Miles Traveled: Medium: Diesel: Reference case</t>
  </si>
  <si>
    <t>AEO.2023.REF2023.ECI_VMT_FGHT_LITEMEDS_NA_NA_NA_BLNMLS.A</t>
  </si>
  <si>
    <t>Freight: Truck Stock: Vehicle Miles Traveled: Light Medium: Reference case</t>
  </si>
  <si>
    <t>AEO.2023.REF2023.ECI_VMT_FGHT_LITEMEDS_FUC_NA_NA_BLNMLS.A</t>
  </si>
  <si>
    <t>Freight: Truck Stock: Vehicle Miles Traveled: Light Medium: Fuel Cell: Reference case</t>
  </si>
  <si>
    <t>AEO.2023.REF2023.ECI_VMT_FGHT_LITEMEDS_EGH_NA_NA_BLNMLS.A</t>
  </si>
  <si>
    <t>Freight: Truck Stock: Vehicle Miles Traveled: Light Medium: Plug-in Gasoline Hybrid: Reference case</t>
  </si>
  <si>
    <t>AEO.2023.REF2023.ECI_VMT_FGHT_LITEMEDS_EDH_NA_NA_BLNMLS.A</t>
  </si>
  <si>
    <t>Freight: Truck Stock: Vehicle Miles Traveled: Light Medium: Plug-in Diesel Hybrid: Reference case</t>
  </si>
  <si>
    <t>AEO.2023.REF2023.ECI_VMT_FGHT_LITEMEDS_ELE_NA_NA_BLNMLS.A</t>
  </si>
  <si>
    <t>Freight: Truck Stock: Vehicle Miles Traveled: Light Medium: Electric: Reference case</t>
  </si>
  <si>
    <t>AEO.2023.REF2023.ECI_VMT_FGHT_LITEMEDS_EFFI_NA_NA_BLNMLS.A</t>
  </si>
  <si>
    <t>Freight: Truck Stock: Vehicle Miles Traveled: Light Medium: Ethanol-Flex Fuel: Reference case</t>
  </si>
  <si>
    <t>AEO.2023.REF2023.ECI_VMT_FGHT_LITEMEDS_NG_NA_NA_BLNMLS.A</t>
  </si>
  <si>
    <t>Freight: Truck Stock: Vehicle Miles Traveled: Light Medium: Natural Gas: Reference case</t>
  </si>
  <si>
    <t>AEO.2023.REF2023.ECI_VMT_FGHT_LITEMEDS_PROP_NA_NA_BLNMLS.A</t>
  </si>
  <si>
    <t>Freight: Truck Stock: Vehicle Miles Traveled: Light Medium: Propane: Reference case</t>
  </si>
  <si>
    <t>AEO.2023.REF2023.ECI_VMT_FGHT_LITEMEDS_MGS_NA_NA_BLNMLS.A</t>
  </si>
  <si>
    <t>Freight: Truck Stock: Vehicle Miles Traveled: Light Medium: Motor Gasoline: Reference case</t>
  </si>
  <si>
    <t>AEO.2023.REF2023.ECI_VMT_FGHT_LITEMEDS_DSL_NA_NA_BLNMLS.A</t>
  </si>
  <si>
    <t>Freight: Truck Stock: Vehicle Miles Traveled: Light Medium: Diesel: Reference case</t>
  </si>
  <si>
    <t>https://www.eia.gov/outlooks/aeo/data/browser/#/?id=58-AEO2023&amp;cases=ref2023&amp;sourcekey=0</t>
  </si>
  <si>
    <t>AEO.2023.REF2023.STK_AIRC_CARG_NA_NA_NA_WRLD_UNIT.A</t>
  </si>
  <si>
    <t>Aircraft Stock: Cargo: World: Reference case</t>
  </si>
  <si>
    <t>AEO.2023.REF2023.STK_AIRC_CARG_NA_NA_NA_OCN_UNIT.A</t>
  </si>
  <si>
    <t>Aircraft Stock: Cargo: Oceania: Reference case</t>
  </si>
  <si>
    <t>AEO.2023.REF2023.STK_AIRC_CARG_NA_NA_NA_SWASIA_UNIT.A</t>
  </si>
  <si>
    <t>Aircraft Stock: Cargo: Southwest Asia: Reference case</t>
  </si>
  <si>
    <t>AEO.2023.REF2023.STK_AIRC_CARG_NA_NA_NA_SEAS_UNIT.A</t>
  </si>
  <si>
    <t>Aircraft Stock: Cargo: Southeast Asia: Reference case</t>
  </si>
  <si>
    <t>AEO.2023.REF2023.STK_AIRC_CARG_NA_NA_NA_NEAS_UNIT.A</t>
  </si>
  <si>
    <t>Aircraft Stock: Cargo: Northeast Asia: Reference case</t>
  </si>
  <si>
    <t>AEO.2023.REF2023.STK_AIRC_CARG_NA_NA_NA_CHN_UNIT.A</t>
  </si>
  <si>
    <t>Aircraft Stock: Cargo: China: Reference case</t>
  </si>
  <si>
    <t>AEO.2023.REF2023.STK_AIRC_CARG_NA_NA_NA_CWIS_UNIT.A</t>
  </si>
  <si>
    <t>Aircraft Stock: Cargo: CIS: Reference case</t>
  </si>
  <si>
    <t>AEO.2023.REF2023.STK_AIRC_CARG_NA_NA_NA_MDE_UNIT.A</t>
  </si>
  <si>
    <t>Aircraft Stock: Cargo: Mideast: Reference case</t>
  </si>
  <si>
    <t>AEO.2023.REF2023.STK_AIRC_CARG_NA_NA_NA_AFR_UNIT.A</t>
  </si>
  <si>
    <t>Aircraft Stock: Cargo: Africa: Reference case</t>
  </si>
  <si>
    <t>AEO.2023.REF2023.STK_AIRC_CARG_NA_NA_NA_EUR_UNIT.A</t>
  </si>
  <si>
    <t>Aircraft Stock: Cargo: Europe: Reference case</t>
  </si>
  <si>
    <t>AEO.2023.REF2023.STK_AIRC_CARG_NA_NA_NA_SOAM_UNIT.A</t>
  </si>
  <si>
    <t>Aircraft Stock: Cargo: South America: Reference case</t>
  </si>
  <si>
    <t>AEO.2023.REF2023.STK_AIRC_CARG_NA_NA_NA_CNTA_UNIT.A</t>
  </si>
  <si>
    <t>Aircraft Stock: Cargo: Central America: Reference case</t>
  </si>
  <si>
    <t>AEO.2023.REF2023.STK_AIRC_CARG_NA_NA_NA_CAN_UNIT.A</t>
  </si>
  <si>
    <t>Aircraft Stock: Cargo: Canada: Reference case</t>
  </si>
  <si>
    <t>AEO.2023.REF2023.STK_AIRC_CARG_NA_NA_NA_USA_UNIT.A</t>
  </si>
  <si>
    <t>Aircraft Stock: Cargo: United States: Reference case</t>
  </si>
  <si>
    <t>AEO.2023.REF2023.STK_AIRC_PRKD_NA_NA_NA_WRLD_UNIT.A</t>
  </si>
  <si>
    <t>Aircraft Stock: Parked: World: Reference case</t>
  </si>
  <si>
    <t>AEO.2023.REF2023.STK_AIRC_PRKD_REGJ_NA_NA_OCN_UNIT.A</t>
  </si>
  <si>
    <t>Aircraft Stock: Parked: Oceania: Regional: Reference case</t>
  </si>
  <si>
    <t>AEO.2023.REF2023.STK_AIRC_PRKD_WBE_NA_NA_OCN_UNIT.A</t>
  </si>
  <si>
    <t>Aircraft Stock: Parked: Oceania: Wide Body: Reference case</t>
  </si>
  <si>
    <t>AEO.2023.REF2023.STK_AIRC_PRKD_NBTR_NA_NA_OCN_UNIT.A</t>
  </si>
  <si>
    <t>Aircraft Stock: Parked: Oceania: Narrow Body: Reference case</t>
  </si>
  <si>
    <t>AEO.2023.REF2023.STK_AIRC_PRKD_NA_NA_NA_OCN_UNIT.A</t>
  </si>
  <si>
    <t>Aircraft Stock: Parked: Oceania: Reference case</t>
  </si>
  <si>
    <t>AEO.2023.REF2023.STK_AIRC_PRKD_REGJ_NA_NA_SWASIA_UNIT.A</t>
  </si>
  <si>
    <t>Aircraft Stock: Parked: Southwest Asia: Regional: Reference case</t>
  </si>
  <si>
    <t>AEO.2023.REF2023.STK_AIRC_PRKD_WBE_NA_NA_SWASIA_UNIT.A</t>
  </si>
  <si>
    <t>Aircraft Stock: Parked: Southwest Asia: Wide Body: Reference case</t>
  </si>
  <si>
    <t>AEO.2023.REF2023.STK_AIRC_PRKD_NBTR_NA_NA_SWASIA_UNIT.A</t>
  </si>
  <si>
    <t>Aircraft Stock: Parked: Southwest Asia: Narrow Body: Reference case</t>
  </si>
  <si>
    <t>AEO.2023.REF2023.STK_AIRC_PRKD_NA_NA_NA_SWASIA_UNIT.A</t>
  </si>
  <si>
    <t>Aircraft Stock: Parked: Southwest Asia: Reference case</t>
  </si>
  <si>
    <t>AEO.2023.REF2023.STK_AIRC_PRKD_REGJ_NA_NA_SEAS_UNIT.A</t>
  </si>
  <si>
    <t>Aircraft Stock: Parked: Southeast Asia: Regional: Reference case</t>
  </si>
  <si>
    <t>AEO.2023.REF2023.STK_AIRC_PRKD_WBE_NA_NA_SEAS_UNIT.A</t>
  </si>
  <si>
    <t>Aircraft Stock: Parked: Southeast Asia: Wide Body: Reference case</t>
  </si>
  <si>
    <t>AEO.2023.REF2023.STK_AIRC_PRKD_NBTR_NA_NA_SEAS_UNIT.A</t>
  </si>
  <si>
    <t>Aircraft Stock: Parked: Southeast Asia: Narrow Body: Reference case</t>
  </si>
  <si>
    <t>AEO.2023.REF2023.STK_AIRC_PRKD_NA_NA_NA_SEAS_UNIT.A</t>
  </si>
  <si>
    <t>Aircraft Stock: Parked: Southeast Asia: Reference case</t>
  </si>
  <si>
    <t>AEO.2023.REF2023.STK_AIRC_PRKD_REGJ_NA_NA_NEAS_UNIT.A</t>
  </si>
  <si>
    <t>Aircraft Stock: Parked: Northeast Asia: Regional: Reference case</t>
  </si>
  <si>
    <t>AEO.2023.REF2023.STK_AIRC_PRKD_WBE_NA_NA_NEAS_UNIT.A</t>
  </si>
  <si>
    <t>Aircraft Stock: Parked: Northeast Asia: Wide Body: Reference case</t>
  </si>
  <si>
    <t>AEO.2023.REF2023.STK_AIRC_PRKD_NBTR_NA_NA_NEAS_UNIT.A</t>
  </si>
  <si>
    <t>Aircraft Stock: Parked: Northeast Asia: Narrow Body: Reference case</t>
  </si>
  <si>
    <t>AEO.2023.REF2023.STK_AIRC_PRKD_NA_NA_NA_NEAS_UNIT.A</t>
  </si>
  <si>
    <t>Aircraft Stock: Parked: Northeast Asia: Reference case</t>
  </si>
  <si>
    <t>AEO.2023.REF2023.STK_AIRC_PRKD_REGJ_NA_NA_CHN_UNIT.A</t>
  </si>
  <si>
    <t>Aircraft Stock: Parked: China: Regional: Reference case</t>
  </si>
  <si>
    <t>AEO.2023.REF2023.STK_AIRC_PRKD_WBE_NA_NA_CHN_UNIT.A</t>
  </si>
  <si>
    <t>Aircraft Stock: Parked: China: Wide Body: Reference case</t>
  </si>
  <si>
    <t>AEO.2023.REF2023.STK_AIRC_PRKD_NBTR_NA_NA_CHN_UNIT.A</t>
  </si>
  <si>
    <t>Aircraft Stock: Parked: China: Narrow Body: Reference case</t>
  </si>
  <si>
    <t>AEO.2023.REF2023.STK_AIRC_PRKD_NA_NA_NA_CHN_UNIT.A</t>
  </si>
  <si>
    <t>Aircraft Stock: Parked: China: Reference case</t>
  </si>
  <si>
    <t>AEO.2023.REF2023.STK_AIRC_PRKD_REGJ_NA_NA_CWIS_UNIT.A</t>
  </si>
  <si>
    <t>Aircraft Stock: Parked: CIS: Regional: Reference case</t>
  </si>
  <si>
    <t>AEO.2023.REF2023.STK_AIRC_PRKD_WBE_NA_NA_CWIS_UNIT.A</t>
  </si>
  <si>
    <t>Aircraft Stock: Parked: CIS: Wide Body: Reference case</t>
  </si>
  <si>
    <t>AEO.2023.REF2023.STK_AIRC_PRKD_NBTR_NA_NA_CWIS_UNIT.A</t>
  </si>
  <si>
    <t>Aircraft Stock: Parked: CIS: Narrow Body: Reference case</t>
  </si>
  <si>
    <t>AEO.2023.REF2023.STK_AIRC_PRKD_NA_NA_NA_CWIS_UNIT.A</t>
  </si>
  <si>
    <t>Aircraft Stock: Parked: CIS: Reference case</t>
  </si>
  <si>
    <t>AEO.2023.REF2023.STK_AIRC_PRKD_REGJ_NA_NA_MDE_UNIT.A</t>
  </si>
  <si>
    <t>Aircraft Stock: Parked: Mideast: Regional: Reference case</t>
  </si>
  <si>
    <t>AEO.2023.REF2023.STK_AIRC_PRKD_WBE_NA_NA_MDE_UNIT.A</t>
  </si>
  <si>
    <t>Aircraft Stock: Parked: Mideast: Wide Body: Reference case</t>
  </si>
  <si>
    <t>AEO.2023.REF2023.STK_AIRC_PRKD_NBTR_NA_NA_MDE_UNIT.A</t>
  </si>
  <si>
    <t>Aircraft Stock: Parked: Mideast: Narrow Body: Reference case</t>
  </si>
  <si>
    <t>AEO.2023.REF2023.STK_AIRC_PRKD_NA_NA_NA_MDE_UNIT.A</t>
  </si>
  <si>
    <t>Aircraft Stock: Parked: Mideast: Reference case</t>
  </si>
  <si>
    <t>AEO.2023.REF2023.STK_AIRC_PRKD_REGJ_NA_NA_AFR_UNIT.A</t>
  </si>
  <si>
    <t>Aircraft Stock: Parked: Africa: Regional: Reference case</t>
  </si>
  <si>
    <t>AEO.2023.REF2023.STK_AIRC_PRKD_WBE_NA_NA_AFR_UNIT.A</t>
  </si>
  <si>
    <t>Aircraft Stock: Parked: Africa: Wide Body: Reference case</t>
  </si>
  <si>
    <t>AEO.2023.REF2023.STK_AIRC_PRKD_NBTR_NA_NA_AFR_UNIT.A</t>
  </si>
  <si>
    <t>Aircraft Stock: Parked: Africa: Narrow Body: Reference case</t>
  </si>
  <si>
    <t>AEO.2023.REF2023.STK_AIRC_PRKD_NA_NA_NA_AFR_UNIT.A</t>
  </si>
  <si>
    <t>Aircraft Stock: Parked: Africa: Reference case</t>
  </si>
  <si>
    <t>AEO.2023.REF2023.STK_AIRC_PRKD_REGJ_NA_NA_EUR_UNIT.A</t>
  </si>
  <si>
    <t>Aircraft Stock: Parked: Europe: Regional: Reference case</t>
  </si>
  <si>
    <t>AEO.2023.REF2023.STK_AIRC_PRKD_WBE_NA_NA_EUR_UNIT.A</t>
  </si>
  <si>
    <t>Aircraft Stock: Parked: Europe: Wide Body: Reference case</t>
  </si>
  <si>
    <t>AEO.2023.REF2023.STK_AIRC_PRKD_NBTR_NA_NA_EUR_UNIT.A</t>
  </si>
  <si>
    <t>Aircraft Stock: Parked: Europe: Narrow Body: Reference case</t>
  </si>
  <si>
    <t>AEO.2023.REF2023.STK_AIRC_PRKD_NA_NA_NA_EUR_UNIT.A</t>
  </si>
  <si>
    <t>Aircraft Stock: Parked: Europe: Reference case</t>
  </si>
  <si>
    <t>AEO.2023.REF2023.STK_AIRC_PRKD_REGJ_NA_NA_SOAM_UNIT.A</t>
  </si>
  <si>
    <t>Aircraft Stock: Parked: South America: Regional: Reference case</t>
  </si>
  <si>
    <t>AEO.2023.REF2023.STK_AIRC_PRKD_WBE_NA_NA_SOAM_UNIT.A</t>
  </si>
  <si>
    <t>Aircraft Stock: Parked: South America: Wide Body: Reference case</t>
  </si>
  <si>
    <t>AEO.2023.REF2023.STK_AIRC_PRKD_NBTR_NA_NA_SOAM_UNIT.A</t>
  </si>
  <si>
    <t>Aircraft Stock: Parked: South America: Narrow Body: Reference case</t>
  </si>
  <si>
    <t>AEO.2023.REF2023.STK_AIRC_PRKD_NA_NA_NA_SOAM_UNIT.A</t>
  </si>
  <si>
    <t>Aircraft Stock: Parked: South America: Reference case</t>
  </si>
  <si>
    <t>AEO.2023.REF2023.STK_AIRC_PRKD_REGJ_NA_NA_CNTA_UNIT.A</t>
  </si>
  <si>
    <t>Aircraft Stock: Parked: Central America: Regional: Reference case</t>
  </si>
  <si>
    <t>AEO.2023.REF2023.STK_AIRC_PRKD_WBE_NA_NA_CNTA_UNIT.A</t>
  </si>
  <si>
    <t>Aircraft Stock: Parked: Central America: Wide Body: Reference case</t>
  </si>
  <si>
    <t>AEO.2023.REF2023.STK_AIRC_PRKD_NBTR_NA_NA_CNTA_UNIT.A</t>
  </si>
  <si>
    <t>Aircraft Stock: Parked: Central America: Narrow Body: Reference case</t>
  </si>
  <si>
    <t>AEO.2023.REF2023.STK_AIRC_PRKD_NA_NA_NA_CNTA_UNIT.A</t>
  </si>
  <si>
    <t>Aircraft Stock: Parked: Central America: Reference case</t>
  </si>
  <si>
    <t>AEO.2023.REF2023.STK_AIRC_PRKD_REGJ_NA_NA_CAN_UNIT.A</t>
  </si>
  <si>
    <t>Aircraft Stock: Parked: Canada: Regional: Reference case</t>
  </si>
  <si>
    <t>AEO.2023.REF2023.STK_AIRC_PRKD_WBE_NA_NA_CAN_UNIT.A</t>
  </si>
  <si>
    <t>Aircraft Stock: Parked: Canada: Wide Body: Reference case</t>
  </si>
  <si>
    <t>AEO.2023.REF2023.STK_AIRC_PRKD_NBTR_NA_NA_CAN_UNIT.A</t>
  </si>
  <si>
    <t>Aircraft Stock: Parked: Canada: Narrow Body: Reference case</t>
  </si>
  <si>
    <t>AEO.2023.REF2023.STK_AIRC_PRKD_NA_NA_NA_CAN_UNIT.A</t>
  </si>
  <si>
    <t>Aircraft Stock: Parked: Canada: Reference case</t>
  </si>
  <si>
    <t>AEO.2023.REF2023.STK_AIRC_PRKD_REGJ_NA_NA_USA_UNIT.A</t>
  </si>
  <si>
    <t>Aircraft Stock: Parked: U.S.: Regional: Reference case</t>
  </si>
  <si>
    <t>AEO.2023.REF2023.STK_AIRC_PRKD_WBE_NA_NA_USA_UNIT.A</t>
  </si>
  <si>
    <t>Aircraft Stock: Parked: U.S.: Wide Body: Reference case</t>
  </si>
  <si>
    <t>AEO.2023.REF2023.STK_AIRC_PRKD_NBTR_NA_NA_USA_UNIT.A</t>
  </si>
  <si>
    <t>Aircraft Stock: Parked: U.S.: Narrow Body: Reference case</t>
  </si>
  <si>
    <t>AEO.2023.REF2023.STK_AIRC_PRKD_NA_NA_NA_USA_UNIT.A</t>
  </si>
  <si>
    <t>Aircraft Stock: Parked: United States: Reference case</t>
  </si>
  <si>
    <t>AEO.2023.REF2023.STK_AIRC_ACTV_NA_NA_NA_WRLD_UNIT.A</t>
  </si>
  <si>
    <t>Aircraft Stock: Active: World: Reference case</t>
  </si>
  <si>
    <t>AEO.2023.REF2023.STK_AIRC_ACTV_REGJ_NA_NA_OCN_UNIT.A</t>
  </si>
  <si>
    <t>Aircraft Stock: Active: Oceania: Regional: Reference case</t>
  </si>
  <si>
    <t>AEO.2023.REF2023.STK_AIRC_ACTV_WBE_NA_NA_OCN_UNIT.A</t>
  </si>
  <si>
    <t>Aircraft Stock: Active: Oceania: Wide Body: Reference case</t>
  </si>
  <si>
    <t>AEO.2023.REF2023.STK_AIRC_ACTV_NBTR_NA_NA_OCN_UNIT.A</t>
  </si>
  <si>
    <t>Aircraft Stock: Active: Oceania: Narrow Body: Reference case</t>
  </si>
  <si>
    <t>AEO.2023.REF2023.STK_AIRC_ACTV_NA_NA_NA_OCN_UNIT.A</t>
  </si>
  <si>
    <t>Aircraft Stock: Active: Oceania: Reference case</t>
  </si>
  <si>
    <t>AEO.2023.REF2023.STK_AIRC_ACTV_REGJ_NA_NA_SWASIA_UNIT.A</t>
  </si>
  <si>
    <t>Aircraft Stock: Active: Southwest Asia: Regional: Reference case</t>
  </si>
  <si>
    <t>AEO.2023.REF2023.STK_AIRC_ACTV_WBE_NA_NA_SWASIA_UNIT.A</t>
  </si>
  <si>
    <t>Aircraft Stock: Active: Southwest Asia: Wide Body: Reference case</t>
  </si>
  <si>
    <t>AEO.2023.REF2023.STK_AIRC_ACTV_NBTR_NA_NA_SWASIA_UNIT.A</t>
  </si>
  <si>
    <t>Aircraft Stock: Active: Southwest Asia: Narrow Body: Reference case</t>
  </si>
  <si>
    <t>AEO.2023.REF2023.STK_AIRC_ACTV_NA_NA_NA_SWASIA_UNIT.A</t>
  </si>
  <si>
    <t>Aircraft Stock: Active: Southwest Asia: Reference case</t>
  </si>
  <si>
    <t>AEO.2023.REF2023.STK_AIRC_ACTV_REGJ_NA_NA_SEAS_UNIT.A</t>
  </si>
  <si>
    <t>Aircraft Stock: Active: Southeast Asia: Regional: Reference case</t>
  </si>
  <si>
    <t>AEO.2023.REF2023.STK_AIRC_ACTV_WBE_NA_NA_SEAS_UNIT.A</t>
  </si>
  <si>
    <t>Aircraft Stock: Active: Southeast Asia: Wide Body: Reference case</t>
  </si>
  <si>
    <t>AEO.2023.REF2023.STK_AIRC_ACTV_NBTR_NA_NA_SEAS_UNIT.A</t>
  </si>
  <si>
    <t>Aircraft Stock: Active: Southeast Asia: Narrow Body: Reference case</t>
  </si>
  <si>
    <t>AEO.2023.REF2023.STK_AIRC_ACTV_NA_NA_NA_SEAS_UNIT.A</t>
  </si>
  <si>
    <t>Aircraft Stock: Active: Southeast Asia: Reference case</t>
  </si>
  <si>
    <t>AEO.2023.REF2023.STK_AIRC_ACTV_REGJ_NA_NA_NEAS_UNIT.A</t>
  </si>
  <si>
    <t>Aircraft Stock: Active: Northeast Asia: Regional: Reference case</t>
  </si>
  <si>
    <t>AEO.2023.REF2023.STK_AIRC_ACTV_WBE_NA_NA_NEAS_UNIT.A</t>
  </si>
  <si>
    <t>Aircraft Stock: Active: Northeast Asia: Wide Body: Reference case</t>
  </si>
  <si>
    <t>AEO.2023.REF2023.STK_AIRC_ACTV_NBTR_NA_NA_NEAS_UNIT.A</t>
  </si>
  <si>
    <t>Aircraft Stock: Active: Northeast Asia: Narrow Body: Reference case</t>
  </si>
  <si>
    <t>AEO.2023.REF2023.STK_AIRC_ACTV_NA_NA_NA_NEAS_UNIT.A</t>
  </si>
  <si>
    <t>Aircraft Stock: Active: Northeast Asia: Reference case</t>
  </si>
  <si>
    <t>AEO.2023.REF2023.STK_AIRC_ACTV_REGJ_NA_NA_CHN_UNIT.A</t>
  </si>
  <si>
    <t>Aircraft Stock: Active: China: Regional: Reference case</t>
  </si>
  <si>
    <t>AEO.2023.REF2023.STK_AIRC_ACTV_WBE_NA_NA_CHN_UNIT.A</t>
  </si>
  <si>
    <t>Aircraft Stock: Active: China: Wide Body: Reference case</t>
  </si>
  <si>
    <t>AEO.2023.REF2023.STK_AIRC_ACTV_NBTR_NA_NA_CHN_UNIT.A</t>
  </si>
  <si>
    <t>Aircraft Stock: Active: China: Narrow Body: Reference case</t>
  </si>
  <si>
    <t>AEO.2023.REF2023.STK_AIRC_ACTV_NA_NA_NA_CHN_UNIT.A</t>
  </si>
  <si>
    <t>Aircraft Stock: Active: China: Reference case</t>
  </si>
  <si>
    <t>AEO.2023.REF2023.STK_AIRC_ACTV_REGJ_NA_NA_CWIS_UNIT.A</t>
  </si>
  <si>
    <t>Aircraft Stock: Active: CIS: Regional: Reference case</t>
  </si>
  <si>
    <t>AEO.2023.REF2023.STK_AIRC_ACTV_WBE_NA_NA_CWIS_UNIT.A</t>
  </si>
  <si>
    <t>Aircraft Stock: Active: CIS: Wide Body: Reference case</t>
  </si>
  <si>
    <t>AEO.2023.REF2023.STK_AIRC_ACTV_NBTR_NA_NA_CWIS_UNIT.A</t>
  </si>
  <si>
    <t>Aircraft Stock: Active: CIS: Narrow Body: Reference case</t>
  </si>
  <si>
    <t>AEO.2023.REF2023.STK_AIRC_ACTV_NA_NA_NA_CWIS_UNIT.A</t>
  </si>
  <si>
    <t>Aircraft Stock: Active: CIS: Reference case</t>
  </si>
  <si>
    <t>AEO.2023.REF2023.STK_AIRC_ACTV_REGJ_NA_NA_MDE_UNIT.A</t>
  </si>
  <si>
    <t>Aircraft Stock: Active: Mideast: Regional: Reference case</t>
  </si>
  <si>
    <t>AEO.2023.REF2023.STK_AIRC_ACTV_WBE_NA_NA_MDE_UNIT.A</t>
  </si>
  <si>
    <t>Aircraft Stock: Active: Mideast: Wide Body: Reference case</t>
  </si>
  <si>
    <t>AEO.2023.REF2023.STK_AIRC_ACTV_NBTR_NA_NA_MDE_UNIT.A</t>
  </si>
  <si>
    <t>Aircraft Stock: Active: Mideast: Narrow Body: Reference case</t>
  </si>
  <si>
    <t>AEO.2023.REF2023.STK_AIRC_ACTV_NA_NA_NA_MDE_UNIT.A</t>
  </si>
  <si>
    <t>Aircraft Stock: Active: Mideast: Reference case</t>
  </si>
  <si>
    <t>AEO.2023.REF2023.STK_AIRC_ACTV_REGJ_NA_NA_AFR_UNIT.A</t>
  </si>
  <si>
    <t>Aircraft Stock: Active: Africa: Regional: Reference case</t>
  </si>
  <si>
    <t>AEO.2023.REF2023.STK_AIRC_ACTV_WBE_NA_NA_AFR_UNIT.A</t>
  </si>
  <si>
    <t>Aircraft Stock: Active: Africa: Wide Body: Reference case</t>
  </si>
  <si>
    <t>AEO.2023.REF2023.STK_AIRC_ACTV_NBTR_NA_NA_AFR_UNIT.A</t>
  </si>
  <si>
    <t>Aircraft Stock: Active: Africa: Narrow Body: Reference case</t>
  </si>
  <si>
    <t>AEO.2023.REF2023.STK_AIRC_ACTV_NA_NA_NA_AFR_UNIT.A</t>
  </si>
  <si>
    <t>Aircraft Stock: Active: Africa: Reference case</t>
  </si>
  <si>
    <t>AEO.2023.REF2023.STK_AIRC_ACTV_REGJ_NA_NA_EUR_UNIT.A</t>
  </si>
  <si>
    <t>Aircraft Stock: Active: Europe: Regional: Reference case</t>
  </si>
  <si>
    <t>AEO.2023.REF2023.STK_AIRC_ACTV_WBE_NA_NA_EUR_UNIT.A</t>
  </si>
  <si>
    <t>Aircraft Stock: Active: Europe: Wide Body: Reference case</t>
  </si>
  <si>
    <t>AEO.2023.REF2023.STK_AIRC_ACTV_NBTR_NA_NA_EUR_UNIT.A</t>
  </si>
  <si>
    <t>Aircraft Stock: Active: Europe: Narrow Body: Reference case</t>
  </si>
  <si>
    <t>AEO.2023.REF2023.STK_AIRC_ACTV_NA_NA_NA_EUR_UNIT.A</t>
  </si>
  <si>
    <t>Aircraft Stock: Active: Europe: Reference case</t>
  </si>
  <si>
    <t>AEO.2023.REF2023.STK_AIRC_ACTV_REGJ_NA_NA_SOAM_UNIT.A</t>
  </si>
  <si>
    <t>Aircraft Stock: Active: South America: Regional: Reference case</t>
  </si>
  <si>
    <t>AEO.2023.REF2023.STK_AIRC_ACTV_WBE_NA_NA_SOAM_UNIT.A</t>
  </si>
  <si>
    <t>Aircraft Stock: Active: South America: Wide Body: Reference case</t>
  </si>
  <si>
    <t>AEO.2023.REF2023.STK_AIRC_ACTV_NBTR_NA_NA_SOAM_UNIT.A</t>
  </si>
  <si>
    <t>Aircraft Stock: Active: South America: Narrow Body: Reference case</t>
  </si>
  <si>
    <t>AEO.2023.REF2023.STK_AIRC_ACTV_NA_NA_NA_SOAM_UNIT.A</t>
  </si>
  <si>
    <t>Aircraft Stock: Active: South America: Reference case</t>
  </si>
  <si>
    <t>AEO.2023.REF2023.STK_AIRC_ACTV_REGJ_NA_NA_CNTA_UNIT.A</t>
  </si>
  <si>
    <t>Aircraft Stock: Active: Central America: Regional: Reference case</t>
  </si>
  <si>
    <t>AEO.2023.REF2023.STK_AIRC_ACTV_WBE_NA_NA_CNTA_UNIT.A</t>
  </si>
  <si>
    <t>Aircraft Stock: Active: Central America: Wide Body: Reference case</t>
  </si>
  <si>
    <t>AEO.2023.REF2023.STK_AIRC_ACTV_NBTR_NA_NA_CNTA_UNIT.A</t>
  </si>
  <si>
    <t>Aircraft Stock: Active: Central America: Narrow Body: Reference case</t>
  </si>
  <si>
    <t>AEO.2023.REF2023.STK_AIRC_ACTV_NA_NA_NA_CNTA_UNIT.A</t>
  </si>
  <si>
    <t>Aircraft Stock: Active: Central America: Reference case</t>
  </si>
  <si>
    <t>AEO.2023.REF2023.STK_AIRC_ACTV_REGJ_NA_NA_CAN_UNIT.A</t>
  </si>
  <si>
    <t>Aircraft Stock: Active: Canada: Regional: Reference case</t>
  </si>
  <si>
    <t>AEO.2023.REF2023.STK_AIRC_ACTV_WBE_NA_NA_CAN_UNIT.A</t>
  </si>
  <si>
    <t>Aircraft Stock: Active: Canada: Wide Body: Reference case</t>
  </si>
  <si>
    <t>AEO.2023.REF2023.STK_AIRC_ACTV_NBTR_NA_NA_CAN_UNIT.A</t>
  </si>
  <si>
    <t>Aircraft Stock: Active: Canada: Narrow Body: Reference case</t>
  </si>
  <si>
    <t>AEO.2023.REF2023.STK_AIRC_ACTV_NA_NA_NA_CAN_UNIT.A</t>
  </si>
  <si>
    <t>Aircraft Stock: Active: Canada: Reference case</t>
  </si>
  <si>
    <t>AEO.2023.REF2023.STK_AIRC_ACTV_REGJ_NA_NA_USA_UNIT.A</t>
  </si>
  <si>
    <t>Aircraft Stock: Active: U.S.: Regional: Reference case</t>
  </si>
  <si>
    <t>AEO.2023.REF2023.STK_AIRC_ACTV_WBE_NA_NA_USA_UNIT.A</t>
  </si>
  <si>
    <t>Aircraft Stock: Active: U.S.: Wide Body: Reference case</t>
  </si>
  <si>
    <t>AEO.2023.REF2023.STK_AIRC_ACTV_NBTR_NA_NA_USA_UNIT.A</t>
  </si>
  <si>
    <t>Aircraft Stock: Active: U.S.: Narrow Body: Reference case</t>
  </si>
  <si>
    <t>AEO.2023.REF2023.STK_AIRC_ACTV_NA_NA_NA_USA_UNIT.A</t>
  </si>
  <si>
    <t>Aircraft Stock: Active: United States: Reference case</t>
  </si>
  <si>
    <t>AEO.2023.REF2023.STK_AIRC_NA_NA_NA_NA_WRLD_UNIT.A</t>
  </si>
  <si>
    <t>Aircraft Stock: Total: World: Reference case</t>
  </si>
  <si>
    <t>AEO.2023.REF2023.STK_AIRC_NA_REGJ_NA_NA_OCN_UNIT.A</t>
  </si>
  <si>
    <t>Aircraft Stock: Total: Oceania: Regional: Reference case</t>
  </si>
  <si>
    <t>AEO.2023.REF2023.STK_AIRC_NA_WBE_NA_NA_OCN_UNIT.A</t>
  </si>
  <si>
    <t>Aircraft Stock: Total: Oceania: Wide Body: Reference case</t>
  </si>
  <si>
    <t>AEO.2023.REF2023.STK_AIRC_NA_NBTR_NA_NA_OCN_UNIT.A</t>
  </si>
  <si>
    <t>Aircraft Stock: Total: Oceania: Narrow Body: Reference case</t>
  </si>
  <si>
    <t>AEO.2023.REF2023.STK_AIRC_NA_NA_NA_NA_OCN_UNIT.A</t>
  </si>
  <si>
    <t>Aircraft Stock: Total: Oceania: Reference case</t>
  </si>
  <si>
    <t>AEO.2023.REF2023.STK_AIRC_NA_REGJ_NA_NA_SWASIA_UNIT.A</t>
  </si>
  <si>
    <t>Aircraft Stock: Total: Southwest Asia: Regional: Reference case</t>
  </si>
  <si>
    <t>AEO.2023.REF2023.STK_AIRC_NA_WBE_NA_NA_SWASIA_UNIT.A</t>
  </si>
  <si>
    <t>Aircraft Stock: Total: Southwest Asia: Wide Body: Reference case</t>
  </si>
  <si>
    <t>AEO.2023.REF2023.STK_AIRC_NA_NBTR_NA_NA_SWASIA_UNIT.A</t>
  </si>
  <si>
    <t>Aircraft Stock: Total: Southwest Asia: Narrow Body: Reference case</t>
  </si>
  <si>
    <t>AEO.2023.REF2023.STK_AIRC_NA_NA_NA_NA_SWASIA_UNIT.A</t>
  </si>
  <si>
    <t>Aircraft Stock: Total: Southwest Asia: Reference case</t>
  </si>
  <si>
    <t>AEO.2023.REF2023.STK_AIRC_NA_REGJ_NA_NA_SEAS_UNIT.A</t>
  </si>
  <si>
    <t>Aircraft Stock: Total: Southeast Asia: Regional: Reference case</t>
  </si>
  <si>
    <t>AEO.2023.REF2023.STK_AIRC_NA_WBE_NA_NA_SEAS_UNIT.A</t>
  </si>
  <si>
    <t>Aircraft Stock: Total: Southeast Asia: Wide Body: Reference case</t>
  </si>
  <si>
    <t>AEO.2023.REF2023.STK_AIRC_NA_NBTR_NA_NA_SEAS_UNIT.A</t>
  </si>
  <si>
    <t>Aircraft Stock: Total: Southeast Asia: Narrow Body: Reference case</t>
  </si>
  <si>
    <t>AEO.2023.REF2023.STK_AIRC_NA_NA_NA_NA_SEAS_UNIT.A</t>
  </si>
  <si>
    <t>Aircraft Stock: Total: Southeast Asia: Reference case</t>
  </si>
  <si>
    <t>AEO.2023.REF2023.STK_AIRC_NA_REGJ_NA_NA_NEAS_UNIT.A</t>
  </si>
  <si>
    <t>Aircraft Stock: Total: Northeast Asia: Regional: Reference case</t>
  </si>
  <si>
    <t>AEO.2023.REF2023.STK_AIRC_NA_WBE_NA_NA_NEAS_UNIT.A</t>
  </si>
  <si>
    <t>Aircraft Stock: Total: Northeast Asia: Wide Body: Reference case</t>
  </si>
  <si>
    <t>AEO.2023.REF2023.STK_AIRC_NA_NBTR_NA_NA_NEAS_UNIT.A</t>
  </si>
  <si>
    <t>Aircraft Stock: Total: Northeast Asia: Narrow Body: Reference case</t>
  </si>
  <si>
    <t>AEO.2023.REF2023.STK_AIRC_NA_NA_NA_NA_NEAS_UNIT.A</t>
  </si>
  <si>
    <t>Aircraft Stock: Total: Northeast Asia: Reference case</t>
  </si>
  <si>
    <t>AEO.2023.REF2023.STK_AIRC_NA_REGJ_NA_NA_CHN_UNIT.A</t>
  </si>
  <si>
    <t>Aircraft Stock: Total: China: Regional: Reference case</t>
  </si>
  <si>
    <t>AEO.2023.REF2023.STK_AIRC_NA_WBE_NA_NA_CHN_UNIT.A</t>
  </si>
  <si>
    <t>Aircraft Stock: Total: China: Wide Body: Reference case</t>
  </si>
  <si>
    <t>AEO.2023.REF2023.STK_AIRC_NA_NBTR_NA_NA_CHN_UNIT.A</t>
  </si>
  <si>
    <t>Aircraft Stock: Total: China: Narrow Body: Reference case</t>
  </si>
  <si>
    <t>AEO.2023.REF2023.STK_AIRC_NA_NA_NA_NA_CHN_UNIT.A</t>
  </si>
  <si>
    <t>Aircraft Stock: Total: China: Reference case</t>
  </si>
  <si>
    <t>AEO.2023.REF2023.STK_AIRC_NA_REGJ_NA_NA_CWIS_UNIT.A</t>
  </si>
  <si>
    <t>Aircraft Stock: Total: CIS: Regional: Reference case</t>
  </si>
  <si>
    <t>AEO.2023.REF2023.STK_AIRC_NA_WBE_NA_NA_CWIS_UNIT.A</t>
  </si>
  <si>
    <t>Aircraft Stock: Total: CIS: Wide Body: Reference case</t>
  </si>
  <si>
    <t>AEO.2023.REF2023.STK_AIRC_NA_NBTR_NA_NA_CWIS_UNIT.A</t>
  </si>
  <si>
    <t>Aircraft Stock: Total: CIS: Narrow Body: Reference case</t>
  </si>
  <si>
    <t>AEO.2023.REF2023.STK_AIRC_NA_NA_NA_NA_CWIS_UNIT.A</t>
  </si>
  <si>
    <t>Aircraft Stock: Total: CIS: Reference case</t>
  </si>
  <si>
    <t>AEO.2023.REF2023.STK_AIRC_NA_REGJ_NA_NA_MDE_UNIT.A</t>
  </si>
  <si>
    <t>Aircraft Stock: Total: Mideast: Regional: Reference case</t>
  </si>
  <si>
    <t>AEO.2023.REF2023.STK_AIRC_NA_WBE_NA_NA_MDE_UNIT.A</t>
  </si>
  <si>
    <t>Aircraft Stock: Total: Mideast: Wide Body: Reference case</t>
  </si>
  <si>
    <t>AEO.2023.REF2023.STK_AIRC_NA_NBTR_NA_NA_MDE_UNIT.A</t>
  </si>
  <si>
    <t>Aircraft Stock: Total: Mideast: Narrow Body: Reference case</t>
  </si>
  <si>
    <t>AEO.2023.REF2023.STK_AIRC_NA_NA_NA_NA_MDE_UNIT.A</t>
  </si>
  <si>
    <t>Aircraft Stock: Total: Mideast: Reference case</t>
  </si>
  <si>
    <t>AEO.2023.REF2023.STK_AIRC_NA_REGJ_NA_NA_AFR_UNIT.A</t>
  </si>
  <si>
    <t>Aircraft Stock: Total: Africa: Regional: Reference case</t>
  </si>
  <si>
    <t>AEO.2023.REF2023.STK_AIRC_NA_WBE_NA_NA_AFR_UNIT.A</t>
  </si>
  <si>
    <t>Aircraft Stock: Total: Africa: Wide Body: Reference case</t>
  </si>
  <si>
    <t>AEO.2023.REF2023.STK_AIRC_NA_NBTR_NA_NA_AFR_UNIT.A</t>
  </si>
  <si>
    <t>Aircraft Stock: Total: Africa: Narrow Body: Reference case</t>
  </si>
  <si>
    <t>AEO.2023.REF2023.STK_AIRC_NA_NA_NA_NA_AFR_UNIT.A</t>
  </si>
  <si>
    <t>Aircraft Stock: Total: Africa: Reference case</t>
  </si>
  <si>
    <t>AEO.2023.REF2023.STK_AIRC_NA_REGJ_NA_NA_EUR_UNIT.A</t>
  </si>
  <si>
    <t>Aircraft Stock: Total: Europe: Regional: Reference case</t>
  </si>
  <si>
    <t>AEO.2023.REF2023.STK_AIRC_NA_WBE_NA_NA_EUR_UNIT.A</t>
  </si>
  <si>
    <t>Aircraft Stock: Total: Europe: Wide Body: Reference case</t>
  </si>
  <si>
    <t>AEO.2023.REF2023.STK_AIRC_NA_NBTR_NA_NA_EUR_UNIT.A</t>
  </si>
  <si>
    <t>Aircraft Stock: Total: Europe: Narrow Body: Reference case</t>
  </si>
  <si>
    <t>AEO.2023.REF2023.STK_AIRC_NA_NA_NA_NA_EUR_UNIT.A</t>
  </si>
  <si>
    <t>Aircraft Stock: Total: Europe: Reference case</t>
  </si>
  <si>
    <t>AEO.2023.REF2023.STK_AIRC_NA_REGJ_NA_NA_SOAM_UNIT.A</t>
  </si>
  <si>
    <t>Aircraft Stock: Total: South America: Regional: Reference case</t>
  </si>
  <si>
    <t>AEO.2023.REF2023.STK_AIRC_NA_WBE_NA_NA_SOAM_UNIT.A</t>
  </si>
  <si>
    <t>Aircraft Stock: Total: South America: Wide Body: Reference case</t>
  </si>
  <si>
    <t>AEO.2023.REF2023.STK_AIRC_NA_NBTR_NA_NA_SOAM_UNIT.A</t>
  </si>
  <si>
    <t>Aircraft Stock: Total: South America: Narrow Body: Reference case</t>
  </si>
  <si>
    <t>AEO.2023.REF2023.STK_AIRC_NA_NA_NA_NA_SOAM_UNIT.A</t>
  </si>
  <si>
    <t>Aircraft Stock: Total: South America: Reference case</t>
  </si>
  <si>
    <t>AEO.2023.REF2023.STK_AIRC_NA_REGJ_NA_NA_CNTA_UNIT.A</t>
  </si>
  <si>
    <t>Aircraft Stock: Total: Central America: Regional: Reference case</t>
  </si>
  <si>
    <t>AEO.2023.REF2023.STK_AIRC_NA_WBE_NA_NA_CNTA_UNIT.A</t>
  </si>
  <si>
    <t>Aircraft Stock: Total: Central America: Wide Body: Reference case</t>
  </si>
  <si>
    <t>AEO.2023.REF2023.STK_AIRC_NA_NBTR_NA_NA_CNTA_UNIT.A</t>
  </si>
  <si>
    <t>Aircraft Stock: Total: Central America: Narrow Body: Reference case</t>
  </si>
  <si>
    <t>AEO.2023.REF2023.STK_AIRC_NA_NA_NA_NA_CNTA_UNIT.A</t>
  </si>
  <si>
    <t>Aircraft Stock: Total: Central America: Reference case</t>
  </si>
  <si>
    <t>AEO.2023.REF2023.STK_AIRC_NA_REGJ_NA_NA_CAN_UNIT.A</t>
  </si>
  <si>
    <t>Aircraft Stock: Total: Canada: Regional: Reference case</t>
  </si>
  <si>
    <t>AEO.2023.REF2023.STK_AIRC_NA_WBE_NA_NA_CAN_UNIT.A</t>
  </si>
  <si>
    <t>Aircraft Stock: Total: Canada: Wide Body: Reference case</t>
  </si>
  <si>
    <t>AEO.2023.REF2023.STK_AIRC_NA_NBTR_NA_NA_CAN_UNIT.A</t>
  </si>
  <si>
    <t>Aircraft Stock: Total: Canada: Narrow Body: Reference case</t>
  </si>
  <si>
    <t>AEO.2023.REF2023.STK_AIRC_NA_NA_NA_NA_CAN_UNIT.A</t>
  </si>
  <si>
    <t>Aircraft Stock: Total: Canada: Reference case</t>
  </si>
  <si>
    <t>AEO.2023.REF2023.STK_AIRC_NA_REGJ_NA_NA_USA_UNIT.A</t>
  </si>
  <si>
    <t>Aircraft Stock: Total: U.S.: Regional: Reference case</t>
  </si>
  <si>
    <t>AEO.2023.REF2023.STK_AIRC_NA_WBE_NA_NA_USA_UNIT.A</t>
  </si>
  <si>
    <t>Aircraft Stock: Total: U.S.: Wide Body: Reference case</t>
  </si>
  <si>
    <t>AEO.2023.REF2023.STK_AIRC_NA_NBTR_NA_NA_USA_UNIT.A</t>
  </si>
  <si>
    <t>Aircraft Stock: Total: U.S.: Narrow Body: Reference case</t>
  </si>
  <si>
    <t>AEO.2023.REF2023.STK_AIRC_NA_NA_NA_NA_USA_UNIT.A</t>
  </si>
  <si>
    <t>Aircraft Stock: Total: United States: Reference case</t>
  </si>
  <si>
    <t>https://www.eia.gov/outlooks/aeo/data/browser/#/?id=148-AEO2023&amp;cases=ref2023&amp;sourcekey=0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</si>
  <si>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</si>
  <si>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</si>
  <si>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</si>
  <si>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</si>
  <si>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</si>
  <si>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</si>
  <si>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AEO2023 National Energy Modeling System run ref2023.d020623a. Projections:  EIA, AEO2023 National Energy Modeling System run ref2023.d020623a.</t>
  </si>
  <si>
    <t>Tue Dec 09 2025 15:55:31 GMT-0800 (Pacific Standard Time)</t>
  </si>
  <si>
    <t>Tue Dec 09 2025 15:57:42 GMT-0800 (Pacific Standard Time)</t>
  </si>
  <si>
    <t>Tue Dec 09 2025 16:00:15 GMT-0800 (Pacific Standard Time)</t>
  </si>
  <si>
    <t>Tue Dec 09 2025 16:03:18 GMT-0800 (Pacific Standard Time)</t>
  </si>
  <si>
    <t>Tue Dec 09 2025 16:04:37 GMT-0800 (Pacific Standard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</si>
</sst>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0.0%"/>
    <numFmt numFmtId="165" formatCode="#,##0.0"/>
    <numFmt numFmtId="166" formatCode="&quot;(R)&quot;\ #,##0;&quot;(R) -&quot;#,##0;&quot;(R) &quot;\ 0"/>
    <numFmt numFmtId="167" formatCode="###0.00_)"/>
    <numFmt numFmtId="168" formatCode="#,##0_)"/>
    <numFmt numFmtId="169" formatCode="#,##0.000000"/>
    <numFmt numFmtId="170" formatCode="\ #,##0"/>
    <numFmt numFmtId="171" formatCode="_(* #,##0_);_(* \(#,##0\);_(* &quot;-&quot;??_);_(@_)"/>
    <numFmt numFmtId="172" formatCode="000#"/>
    <numFmt numFmtId="173" formatCode="0000#"/>
    <numFmt numFmtId="174" formatCode="_(* #,##0.0_);_(* \(#,##0.0\);_(* &quot;-&quot;??_);_(@_)"/>
  </numFmts>
  <fonts count="64">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10"/>
      <name val="Arial Narrow"/>
      <family val="2"/>
    </font>
    <font>
      <b/>
      <sz val="9"/>
      <name val="Arial"/>
      <family val="2"/>
    </font>
    <font>
      <sz val="9"/>
      <name val="Arial"/>
      <family val="2"/>
    </font>
    <font>
      <i/>
      <sz val="9"/>
      <name val="Arial"/>
      <family val="2"/>
    </font>
    <font>
      <sz val="8"/>
      <name val="Helv"/>
    </font>
    <font>
      <vertAlign val="superscript"/>
      <sz val="9"/>
      <name val="Arial"/>
      <family val="2"/>
    </font>
    <font>
      <i/>
      <vertAlign val="superscript"/>
      <sz val="9"/>
      <name val="Arial"/>
      <family val="2"/>
    </font>
    <font>
      <b/>
      <sz val="10"/>
      <name val="Helv"/>
    </font>
    <font>
      <sz val="11"/>
      <name val="Arial Narrow"/>
      <family val="2"/>
    </font>
    <font>
      <vertAlign val="superscript"/>
      <sz val="11"/>
      <name val="Arial Narrow"/>
      <family val="2"/>
    </font>
    <font>
      <b/>
      <sz val="11"/>
      <name val="Arial Narrow"/>
      <family val="2"/>
    </font>
    <font>
      <b/>
      <vertAlign val="superscript"/>
      <sz val="11"/>
      <name val="Arial Narrow"/>
      <family val="2"/>
    </font>
    <font>
      <b/>
      <sz val="14"/>
      <name val="Helv"/>
    </font>
    <font>
      <b/>
      <sz val="12"/>
      <name val="Arial"/>
      <family val="2"/>
    </font>
    <font>
      <b/>
      <sz val="14"/>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10"/>
      <color indexed="8"/>
      <name val="Verdana"/>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b/>
      <sz val="12"/>
      <name val="Calibri"/>
      <family val="2"/>
    </font>
    <font>
      <b/>
      <sz val="9"/>
      <name val="Calibri"/>
      <family val="2"/>
    </font>
    <font>
      <sz val="10"/>
      <name val="Calibri"/>
      <family val="2"/>
    </font>
    <font>
      <sz val="8"/>
      <name val="Arial Narrow"/>
      <family val="2"/>
    </font>
    <font>
      <sz val="10"/>
      <name val="Calibri"/>
      <family val="2"/>
    </font>
    <font>
      <sz val="9"/>
      <name val="Calibri"/>
      <family val="2"/>
    </font>
  </fonts>
  <fills count="35">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rgb="FFFFFF00"/>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s>
  <borders count="23">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auto="1"/>
      </left>
      <right/>
      <top/>
      <bottom/>
      <diagonal/>
    </border>
  </borders>
  <cellStyleXfs count="166">
    <xf numFmtId="0" fontId="0" fillId="0" borderId="0"/>
    <xf numFmtId="0" fontId="2" fillId="0" borderId="0"/>
    <xf numFmtId="0" fontId="2" fillId="0" borderId="1" applyNumberFormat="0" applyProtection="0">
      <alignment wrapText="1"/>
    </xf>
    <xf numFmtId="0" fontId="4" fillId="0" borderId="2" applyNumberFormat="0" applyProtection="0">
      <alignment wrapText="1"/>
    </xf>
    <xf numFmtId="0" fontId="2" fillId="0" borderId="3" applyNumberFormat="0" applyFont="0" applyProtection="0">
      <alignment wrapText="1"/>
    </xf>
    <xf numFmtId="0" fontId="4" fillId="0" borderId="4" applyNumberFormat="0" applyProtection="0">
      <alignment wrapText="1"/>
    </xf>
    <xf numFmtId="0" fontId="2" fillId="0" borderId="0" applyNumberFormat="0" applyFill="0" applyBorder="0" applyAlignment="0" applyProtection="0"/>
    <xf numFmtId="0" fontId="6" fillId="0" borderId="0" applyNumberFormat="0" applyProtection="0">
      <alignment horizontal="left"/>
    </xf>
    <xf numFmtId="0" fontId="9" fillId="0" borderId="0"/>
    <xf numFmtId="0" fontId="14" fillId="0" borderId="0">
      <alignment horizontal="left"/>
    </xf>
    <xf numFmtId="0" fontId="17" fillId="0" borderId="6">
      <alignment horizontal="left" vertical="center"/>
    </xf>
    <xf numFmtId="3" fontId="14" fillId="0" borderId="6">
      <alignment horizontal="right" vertical="center"/>
    </xf>
    <xf numFmtId="0" fontId="8" fillId="0" borderId="0"/>
    <xf numFmtId="43" fontId="9" fillId="0" borderId="0" applyFont="0" applyFill="0" applyBorder="0" applyAlignment="0" applyProtection="0"/>
    <xf numFmtId="0" fontId="8" fillId="0" borderId="0"/>
    <xf numFmtId="0" fontId="17" fillId="0" borderId="6">
      <alignment horizontal="left"/>
    </xf>
    <xf numFmtId="0" fontId="22" fillId="0" borderId="0">
      <alignment horizontal="left" vertical="top"/>
    </xf>
    <xf numFmtId="0" fontId="25" fillId="4" borderId="0" applyNumberFormat="0" applyBorder="0" applyAlignment="0" applyProtection="0"/>
    <xf numFmtId="0" fontId="25" fillId="5" borderId="0" applyNumberFormat="0" applyBorder="0" applyAlignment="0" applyProtection="0"/>
    <xf numFmtId="0" fontId="25" fillId="6" borderId="0" applyNumberFormat="0" applyBorder="0" applyAlignment="0" applyProtection="0"/>
    <xf numFmtId="0" fontId="25" fillId="7" borderId="0" applyNumberFormat="0" applyBorder="0" applyAlignment="0" applyProtection="0"/>
    <xf numFmtId="0" fontId="25" fillId="8" borderId="0" applyNumberFormat="0" applyBorder="0" applyAlignment="0" applyProtection="0"/>
    <xf numFmtId="0" fontId="25" fillId="9" borderId="0" applyNumberFormat="0" applyBorder="0" applyAlignment="0" applyProtection="0"/>
    <xf numFmtId="0" fontId="25" fillId="10" borderId="0" applyNumberFormat="0" applyBorder="0" applyAlignment="0" applyProtection="0"/>
    <xf numFmtId="0" fontId="25" fillId="11" borderId="0" applyNumberFormat="0" applyBorder="0" applyAlignment="0" applyProtection="0"/>
    <xf numFmtId="0" fontId="25" fillId="12" borderId="0" applyNumberFormat="0" applyBorder="0" applyAlignment="0" applyProtection="0"/>
    <xf numFmtId="0" fontId="25" fillId="7" borderId="0" applyNumberFormat="0" applyBorder="0" applyAlignment="0" applyProtection="0"/>
    <xf numFmtId="0" fontId="25" fillId="10" borderId="0" applyNumberFormat="0" applyBorder="0" applyAlignment="0" applyProtection="0"/>
    <xf numFmtId="0" fontId="25" fillId="13" borderId="0" applyNumberFormat="0" applyBorder="0" applyAlignment="0" applyProtection="0"/>
    <xf numFmtId="0" fontId="26" fillId="14" borderId="0" applyNumberFormat="0" applyBorder="0" applyAlignment="0" applyProtection="0"/>
    <xf numFmtId="0" fontId="26" fillId="11" borderId="0" applyNumberFormat="0" applyBorder="0" applyAlignment="0" applyProtection="0"/>
    <xf numFmtId="0" fontId="26" fillId="12"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17" borderId="0" applyNumberFormat="0" applyBorder="0" applyAlignment="0" applyProtection="0"/>
    <xf numFmtId="0" fontId="26" fillId="18" borderId="0" applyNumberFormat="0" applyBorder="0" applyAlignment="0" applyProtection="0"/>
    <xf numFmtId="0" fontId="26" fillId="19" borderId="0" applyNumberFormat="0" applyBorder="0" applyAlignment="0" applyProtection="0"/>
    <xf numFmtId="0" fontId="26" fillId="20" borderId="0" applyNumberFormat="0" applyBorder="0" applyAlignment="0" applyProtection="0"/>
    <xf numFmtId="0" fontId="26" fillId="15" borderId="0" applyNumberFormat="0" applyBorder="0" applyAlignment="0" applyProtection="0"/>
    <xf numFmtId="0" fontId="26" fillId="16" borderId="0" applyNumberFormat="0" applyBorder="0" applyAlignment="0" applyProtection="0"/>
    <xf numFmtId="0" fontId="26" fillId="21" borderId="0" applyNumberFormat="0" applyBorder="0" applyAlignment="0" applyProtection="0"/>
    <xf numFmtId="0" fontId="27" fillId="5" borderId="0" applyNumberFormat="0" applyBorder="0" applyAlignment="0" applyProtection="0"/>
    <xf numFmtId="0" fontId="28" fillId="22" borderId="11" applyNumberFormat="0" applyAlignment="0" applyProtection="0"/>
    <xf numFmtId="0" fontId="29" fillId="23" borderId="12" applyNumberFormat="0" applyAlignment="0" applyProtection="0"/>
    <xf numFmtId="43" fontId="8"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30" fillId="0" borderId="0" applyFont="0" applyFill="0" applyBorder="0" applyAlignment="0" applyProtection="0"/>
    <xf numFmtId="43" fontId="25" fillId="0" borderId="0" applyFont="0" applyFill="0" applyBorder="0" applyAlignment="0" applyProtection="0"/>
    <xf numFmtId="43" fontId="9" fillId="0" borderId="0" applyFont="0" applyFill="0" applyBorder="0" applyAlignment="0" applyProtection="0"/>
    <xf numFmtId="43" fontId="25"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4" fontId="9" fillId="0" borderId="0" applyFont="0" applyFill="0" applyBorder="0" applyAlignment="0" applyProtection="0"/>
    <xf numFmtId="44" fontId="8" fillId="0" borderId="0" applyFont="0" applyFill="0" applyBorder="0" applyAlignment="0" applyProtection="0"/>
    <xf numFmtId="44" fontId="9" fillId="0" borderId="0" applyFont="0" applyFill="0" applyBorder="0" applyAlignment="0" applyProtection="0"/>
    <xf numFmtId="167" fontId="31" fillId="0" borderId="6" applyNumberFormat="0" applyFill="0">
      <alignment horizontal="right"/>
    </xf>
    <xf numFmtId="168" fontId="32" fillId="0" borderId="6">
      <alignment horizontal="right" vertical="center"/>
    </xf>
    <xf numFmtId="49" fontId="33" fillId="0" borderId="6">
      <alignment horizontal="left" vertical="center"/>
    </xf>
    <xf numFmtId="167" fontId="31" fillId="0" borderId="6" applyNumberFormat="0" applyFill="0">
      <alignment horizontal="right"/>
    </xf>
    <xf numFmtId="0" fontId="34" fillId="0" borderId="0" applyNumberFormat="0" applyFill="0" applyBorder="0" applyAlignment="0" applyProtection="0"/>
    <xf numFmtId="0" fontId="35" fillId="6" borderId="0" applyNumberFormat="0" applyBorder="0" applyAlignment="0" applyProtection="0"/>
    <xf numFmtId="0" fontId="36" fillId="0" borderId="13" applyNumberFormat="0" applyFill="0" applyAlignment="0" applyProtection="0"/>
    <xf numFmtId="0" fontId="37" fillId="0" borderId="14" applyNumberFormat="0" applyFill="0" applyAlignment="0" applyProtection="0"/>
    <xf numFmtId="0" fontId="38" fillId="0" borderId="15" applyNumberFormat="0" applyFill="0" applyAlignment="0" applyProtection="0"/>
    <xf numFmtId="0" fontId="38" fillId="0" borderId="0" applyNumberFormat="0" applyFill="0" applyBorder="0" applyAlignment="0" applyProtection="0"/>
    <xf numFmtId="0" fontId="39" fillId="0" borderId="16">
      <alignment horizontal="right" vertical="center"/>
    </xf>
    <xf numFmtId="0" fontId="40" fillId="0" borderId="6">
      <alignment horizontal="left" vertical="center"/>
    </xf>
    <xf numFmtId="0" fontId="31" fillId="0" borderId="6">
      <alignment horizontal="left" vertical="center"/>
    </xf>
    <xf numFmtId="0" fontId="17" fillId="0" borderId="6">
      <alignment horizontal="left"/>
    </xf>
    <xf numFmtId="0" fontId="17" fillId="24" borderId="0">
      <alignment horizontal="centerContinuous" wrapText="1"/>
    </xf>
    <xf numFmtId="0" fontId="41" fillId="9" borderId="11" applyNumberFormat="0" applyAlignment="0" applyProtection="0"/>
    <xf numFmtId="0" fontId="42" fillId="0" borderId="17" applyNumberFormat="0" applyFill="0" applyAlignment="0" applyProtection="0"/>
    <xf numFmtId="0" fontId="43" fillId="25" borderId="0" applyNumberFormat="0" applyBorder="0" applyAlignment="0" applyProtection="0"/>
    <xf numFmtId="0" fontId="8"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9" fillId="0" borderId="0"/>
    <xf numFmtId="0" fontId="30" fillId="0" borderId="0"/>
    <xf numFmtId="0" fontId="9"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7" fillId="0" borderId="0"/>
    <xf numFmtId="0" fontId="9" fillId="0" borderId="0"/>
    <xf numFmtId="37" fontId="44" fillId="0" borderId="0"/>
    <xf numFmtId="0" fontId="8" fillId="0" borderId="0"/>
    <xf numFmtId="37" fontId="45" fillId="0" borderId="0"/>
    <xf numFmtId="0" fontId="9" fillId="0" borderId="0"/>
    <xf numFmtId="0" fontId="8" fillId="0" borderId="0"/>
    <xf numFmtId="0" fontId="8" fillId="0" borderId="0"/>
    <xf numFmtId="0" fontId="8" fillId="0" borderId="0"/>
    <xf numFmtId="0" fontId="8" fillId="3" borderId="5" applyNumberFormat="0" applyFont="0" applyAlignment="0" applyProtection="0"/>
    <xf numFmtId="0" fontId="9" fillId="26" borderId="18" applyNumberFormat="0" applyFont="0" applyAlignment="0" applyProtection="0"/>
    <xf numFmtId="0" fontId="46" fillId="22" borderId="19" applyNumberFormat="0" applyAlignment="0" applyProtection="0"/>
    <xf numFmtId="9" fontId="9" fillId="0" borderId="0" applyFont="0" applyFill="0" applyBorder="0" applyAlignment="0" applyProtection="0"/>
    <xf numFmtId="9" fontId="8" fillId="0" borderId="0" applyFont="0" applyFill="0" applyBorder="0" applyAlignment="0" applyProtection="0"/>
    <xf numFmtId="9" fontId="8" fillId="0" borderId="0" applyFont="0" applyFill="0" applyBorder="0" applyAlignment="0" applyProtection="0"/>
    <xf numFmtId="9" fontId="9" fillId="0" borderId="0" applyFont="0" applyFill="0" applyBorder="0" applyAlignment="0" applyProtection="0"/>
    <xf numFmtId="0" fontId="14" fillId="0" borderId="0">
      <alignment horizontal="right"/>
    </xf>
    <xf numFmtId="0" fontId="33" fillId="0" borderId="0">
      <alignment horizontal="right"/>
    </xf>
    <xf numFmtId="49" fontId="32" fillId="0" borderId="0">
      <alignment horizontal="left" vertical="center"/>
    </xf>
    <xf numFmtId="49" fontId="33" fillId="0" borderId="6">
      <alignment horizontal="left"/>
    </xf>
    <xf numFmtId="167" fontId="32" fillId="0" borderId="0" applyNumberFormat="0">
      <alignment horizontal="right"/>
    </xf>
    <xf numFmtId="0" fontId="39" fillId="27" borderId="0">
      <alignment horizontal="centerContinuous" vertical="center" wrapText="1"/>
    </xf>
    <xf numFmtId="0" fontId="39" fillId="0" borderId="20">
      <alignment horizontal="left" vertical="center"/>
    </xf>
    <xf numFmtId="0" fontId="47" fillId="0" borderId="0" applyNumberFormat="0" applyFill="0" applyBorder="0" applyAlignment="0" applyProtection="0"/>
    <xf numFmtId="0" fontId="17" fillId="0" borderId="0">
      <alignment horizontal="left"/>
    </xf>
    <xf numFmtId="0" fontId="48" fillId="0" borderId="0">
      <alignment horizontal="left"/>
    </xf>
    <xf numFmtId="0" fontId="31" fillId="0" borderId="0">
      <alignment horizontal="left"/>
    </xf>
    <xf numFmtId="0" fontId="48" fillId="0" borderId="0">
      <alignment horizontal="left"/>
    </xf>
    <xf numFmtId="0" fontId="31" fillId="0" borderId="0">
      <alignment horizontal="left"/>
    </xf>
    <xf numFmtId="0" fontId="49" fillId="0" borderId="21" applyNumberFormat="0" applyFill="0" applyAlignment="0" applyProtection="0"/>
    <xf numFmtId="0" fontId="50" fillId="0" borderId="0" applyNumberFormat="0" applyFill="0" applyBorder="0" applyAlignment="0" applyProtection="0"/>
    <xf numFmtId="49" fontId="32" fillId="0" borderId="6">
      <alignment horizontal="left"/>
    </xf>
    <xf numFmtId="0" fontId="39" fillId="0" borderId="16">
      <alignment horizontal="left"/>
    </xf>
    <xf numFmtId="0" fontId="17" fillId="0" borderId="0">
      <alignment horizontal="left" vertical="center"/>
    </xf>
    <xf numFmtId="43" fontId="8" fillId="0" borderId="0" applyFont="0" applyFill="0" applyBorder="0" applyAlignment="0" applyProtection="0"/>
    <xf numFmtId="9" fontId="8" fillId="0" borderId="0" applyFont="0" applyFill="0" applyBorder="0" applyAlignment="0" applyProtection="0"/>
    <xf numFmtId="0" fontId="51" fillId="0" borderId="0" applyNumberFormat="0" applyFill="0" applyBorder="0" applyAlignment="0" applyProtection="0"/>
    <xf numFmtId="0" fontId="52" fillId="0" borderId="0" applyNumberFormat="0">
      <alignment readingOrder="1"/>
      <protection locked="0"/>
    </xf>
    <xf numFmtId="43" fontId="9"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0"/>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xf numFmtId="0" fontId="2" fillId="0" borderId="3">
      <alignment wrapText="1"/>
    </xf>
    <xf numFmtId="0" fontId="2" fillId="0" borderId="0"/>
    <xf numFmtId="0" fontId="2" fillId="0" borderId="1">
      <alignment wrapText="1"/>
    </xf>
    <xf numFmtId="0" fontId="4" fillId="0" borderId="4">
      <alignment wrapText="1"/>
    </xf>
    <xf numFmtId="0" fontId="4" fillId="0" borderId="2">
      <alignment wrapText="1"/>
    </xf>
    <xf numFmtId="0" fontId="6" fillId="0" borderId="0">
      <alignment horizontal="left"/>
    </xf>
  </cellStyleXfs>
  <cellXfs count="178">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9" fillId="0" borderId="0" xfId="0" applyFont="1"/>
    <xf numFmtId="0" fontId="20" fillId="0" borderId="0" xfId="0" applyFont="1"/>
    <xf numFmtId="3" fontId="18" fillId="0" borderId="0" xfId="0" applyNumberFormat="1" applyFont="1"/>
    <xf numFmtId="0" fontId="18" fillId="0" borderId="0" xfId="0" applyFont="1"/>
    <xf numFmtId="0" fontId="12" fillId="0" borderId="0" xfId="0" applyFont="1" applyAlignment="1">
      <alignment vertical="center"/>
    </xf>
    <xf numFmtId="0" fontId="12" fillId="0" borderId="0" xfId="0" applyFont="1"/>
    <xf numFmtId="0" fontId="12" fillId="0" borderId="0" xfId="0" applyFont="1" applyAlignment="1">
      <alignment horizontal="left" vertical="center"/>
    </xf>
    <xf numFmtId="0" fontId="5" fillId="0" borderId="0" xfId="0" applyFont="1" applyAlignment="1">
      <alignment horizontal="left"/>
    </xf>
    <xf numFmtId="0" fontId="5" fillId="0" borderId="0" xfId="0" applyFont="1"/>
    <xf numFmtId="0" fontId="10" fillId="0" borderId="0" xfId="0" applyFont="1"/>
    <xf numFmtId="0" fontId="3" fillId="0" borderId="0" xfId="0" applyFont="1"/>
    <xf numFmtId="0" fontId="1" fillId="0" borderId="0" xfId="0" applyFont="1" applyAlignment="1">
      <alignment wrapText="1"/>
    </xf>
    <xf numFmtId="169" fontId="0" fillId="0" borderId="0" xfId="0" applyNumberFormat="1"/>
    <xf numFmtId="0" fontId="0" fillId="0" borderId="0" xfId="142" applyNumberFormat="1" applyFont="1"/>
    <xf numFmtId="10" fontId="0" fillId="0" borderId="0" xfId="0" applyNumberFormat="1"/>
    <xf numFmtId="0" fontId="51" fillId="0" borderId="0" xfId="144"/>
    <xf numFmtId="0" fontId="18" fillId="0" borderId="10" xfId="0" applyFont="1" applyBorder="1" applyAlignment="1">
      <alignment horizontal="center"/>
    </xf>
    <xf numFmtId="0" fontId="20" fillId="0" borderId="10" xfId="15" applyFont="1" applyBorder="1" applyAlignment="1">
      <alignment horizontal="center"/>
    </xf>
    <xf numFmtId="0" fontId="20" fillId="0" borderId="9" xfId="0" applyFont="1" applyBorder="1" applyAlignment="1">
      <alignment horizontal="center"/>
    </xf>
    <xf numFmtId="0" fontId="20" fillId="0" borderId="0" xfId="10" quotePrefix="1" applyFont="1" applyBorder="1" applyAlignment="1">
      <alignment horizontal="left"/>
    </xf>
    <xf numFmtId="3" fontId="18" fillId="0" borderId="0" xfId="11" applyFont="1" applyBorder="1" applyAlignment="1">
      <alignment horizontal="right"/>
    </xf>
    <xf numFmtId="3" fontId="18" fillId="0" borderId="0" xfId="0" applyNumberFormat="1" applyFont="1" applyAlignment="1">
      <alignment horizontal="right"/>
    </xf>
    <xf numFmtId="3" fontId="20" fillId="0" borderId="0" xfId="11" applyFont="1" applyBorder="1" applyAlignment="1">
      <alignment horizontal="right"/>
    </xf>
    <xf numFmtId="0" fontId="20" fillId="0" borderId="0" xfId="10" applyFont="1" applyBorder="1" applyAlignment="1">
      <alignment horizontal="left"/>
    </xf>
    <xf numFmtId="3" fontId="18" fillId="0" borderId="0" xfId="10" applyNumberFormat="1" applyFont="1" applyBorder="1" applyAlignment="1">
      <alignment horizontal="right"/>
    </xf>
    <xf numFmtId="170" fontId="18" fillId="0" borderId="0" xfId="0" applyNumberFormat="1" applyFont="1"/>
    <xf numFmtId="3" fontId="18" fillId="0" borderId="8" xfId="11" applyFont="1" applyBorder="1" applyAlignment="1">
      <alignment horizontal="right"/>
    </xf>
    <xf numFmtId="3" fontId="18" fillId="0" borderId="8" xfId="10" applyNumberFormat="1" applyFont="1" applyBorder="1" applyAlignment="1">
      <alignment horizontal="right"/>
    </xf>
    <xf numFmtId="3" fontId="18" fillId="0" borderId="8" xfId="0" applyNumberFormat="1" applyFont="1" applyBorder="1"/>
    <xf numFmtId="3" fontId="12" fillId="0" borderId="0" xfId="0" applyNumberFormat="1" applyFont="1" applyAlignment="1">
      <alignment horizontal="left" vertical="center"/>
    </xf>
    <xf numFmtId="9" fontId="0" fillId="0" borderId="0" xfId="143" applyFont="1"/>
    <xf numFmtId="3" fontId="18" fillId="0" borderId="0" xfId="145" applyNumberFormat="1" applyFont="1" applyAlignment="1">
      <alignment horizontal="right" readingOrder="1"/>
      <protection locked="0"/>
    </xf>
    <xf numFmtId="3" fontId="20" fillId="0" borderId="0" xfId="145" applyNumberFormat="1" applyFont="1" applyAlignment="1">
      <alignment horizontal="right" readingOrder="1"/>
      <protection locked="0"/>
    </xf>
    <xf numFmtId="0" fontId="12" fillId="0" borderId="0" xfId="0" applyFont="1" applyAlignment="1">
      <alignment horizontal="left"/>
    </xf>
    <xf numFmtId="0" fontId="1" fillId="2" borderId="0" xfId="0" applyFont="1" applyFill="1" applyAlignment="1">
      <alignment horizontal="left"/>
    </xf>
    <xf numFmtId="0" fontId="51" fillId="0" borderId="0" xfId="144" applyAlignment="1">
      <alignment horizontal="left"/>
    </xf>
    <xf numFmtId="0" fontId="53" fillId="28" borderId="0" xfId="0" applyFont="1" applyFill="1" applyAlignment="1">
      <alignment wrapText="1"/>
    </xf>
    <xf numFmtId="3" fontId="53" fillId="29" borderId="0" xfId="0" applyNumberFormat="1" applyFont="1" applyFill="1" applyAlignment="1">
      <alignment wrapText="1"/>
    </xf>
    <xf numFmtId="0" fontId="53" fillId="29" borderId="0" xfId="0" applyFont="1" applyFill="1" applyAlignment="1">
      <alignment wrapText="1"/>
    </xf>
    <xf numFmtId="171" fontId="53" fillId="28" borderId="0" xfId="142" applyNumberFormat="1" applyFont="1" applyFill="1" applyBorder="1" applyAlignment="1">
      <alignment wrapText="1"/>
    </xf>
    <xf numFmtId="37" fontId="53" fillId="28" borderId="0" xfId="142" applyNumberFormat="1" applyFont="1" applyFill="1" applyBorder="1" applyAlignment="1">
      <alignment wrapText="1"/>
    </xf>
    <xf numFmtId="37" fontId="53" fillId="29" borderId="0" xfId="142" applyNumberFormat="1" applyFont="1" applyFill="1" applyBorder="1" applyAlignment="1">
      <alignment wrapText="1"/>
    </xf>
    <xf numFmtId="3" fontId="53" fillId="28" borderId="0" xfId="0" applyNumberFormat="1" applyFont="1" applyFill="1" applyAlignment="1">
      <alignment wrapText="1"/>
    </xf>
    <xf numFmtId="165" fontId="53" fillId="28" borderId="0" xfId="0" applyNumberFormat="1" applyFont="1" applyFill="1" applyAlignment="1">
      <alignment wrapText="1"/>
    </xf>
    <xf numFmtId="0" fontId="54" fillId="0" borderId="0" xfId="0" applyFont="1"/>
    <xf numFmtId="172" fontId="54" fillId="0" borderId="0" xfId="0" applyNumberFormat="1" applyFont="1" applyAlignment="1">
      <alignment horizontal="left"/>
    </xf>
    <xf numFmtId="173" fontId="54" fillId="0" borderId="0" xfId="0" applyNumberFormat="1" applyFont="1" applyAlignment="1">
      <alignment horizontal="left"/>
    </xf>
    <xf numFmtId="37" fontId="54" fillId="0" borderId="0" xfId="142" applyNumberFormat="1" applyFont="1"/>
    <xf numFmtId="171" fontId="54" fillId="0" borderId="0" xfId="142" applyNumberFormat="1" applyFont="1"/>
    <xf numFmtId="3" fontId="54" fillId="0" borderId="0" xfId="0" applyNumberFormat="1" applyFont="1"/>
    <xf numFmtId="3" fontId="54" fillId="29" borderId="0" xfId="142" applyNumberFormat="1" applyFont="1" applyFill="1"/>
    <xf numFmtId="43" fontId="54" fillId="0" borderId="0" xfId="142" applyFont="1"/>
    <xf numFmtId="37" fontId="54" fillId="29" borderId="0" xfId="142" applyNumberFormat="1" applyFont="1" applyFill="1"/>
    <xf numFmtId="37" fontId="54" fillId="0" borderId="0" xfId="142" applyNumberFormat="1" applyFont="1" applyBorder="1"/>
    <xf numFmtId="165" fontId="54" fillId="0" borderId="0" xfId="0" applyNumberFormat="1" applyFont="1"/>
    <xf numFmtId="3" fontId="0" fillId="29" borderId="0" xfId="0" applyNumberFormat="1" applyFill="1"/>
    <xf numFmtId="0" fontId="0" fillId="29" borderId="0" xfId="0" applyFill="1"/>
    <xf numFmtId="0" fontId="53" fillId="30" borderId="0" xfId="75" applyFont="1" applyFill="1"/>
    <xf numFmtId="0" fontId="53" fillId="30" borderId="0" xfId="75" applyFont="1" applyFill="1" applyAlignment="1">
      <alignment horizontal="left" wrapText="1"/>
    </xf>
    <xf numFmtId="172" fontId="53" fillId="30" borderId="0" xfId="75" applyNumberFormat="1" applyFont="1" applyFill="1" applyAlignment="1">
      <alignment horizontal="left" wrapText="1"/>
    </xf>
    <xf numFmtId="173" fontId="53" fillId="30" borderId="0" xfId="75" applyNumberFormat="1" applyFont="1" applyFill="1" applyAlignment="1">
      <alignment horizontal="left" wrapText="1"/>
    </xf>
    <xf numFmtId="0" fontId="53" fillId="30" borderId="0" xfId="75" applyFont="1" applyFill="1" applyAlignment="1">
      <alignment wrapText="1"/>
    </xf>
    <xf numFmtId="3" fontId="53" fillId="30" borderId="0" xfId="75" applyNumberFormat="1" applyFont="1" applyFill="1" applyAlignment="1">
      <alignment wrapText="1"/>
    </xf>
    <xf numFmtId="3" fontId="55" fillId="31" borderId="22" xfId="75" applyNumberFormat="1" applyFont="1" applyFill="1" applyBorder="1" applyAlignment="1">
      <alignment wrapText="1"/>
    </xf>
    <xf numFmtId="3" fontId="55" fillId="31" borderId="0" xfId="75" applyNumberFormat="1" applyFont="1" applyFill="1" applyAlignment="1">
      <alignment wrapText="1"/>
    </xf>
    <xf numFmtId="0" fontId="53" fillId="30" borderId="22" xfId="75" applyFont="1" applyFill="1" applyBorder="1" applyAlignment="1">
      <alignment wrapText="1"/>
    </xf>
    <xf numFmtId="2" fontId="53" fillId="30" borderId="0" xfId="75" applyNumberFormat="1" applyFont="1" applyFill="1" applyAlignment="1">
      <alignment wrapText="1"/>
    </xf>
    <xf numFmtId="0" fontId="5" fillId="0" borderId="0" xfId="75" applyFont="1"/>
    <xf numFmtId="0" fontId="5" fillId="0" borderId="0" xfId="75" applyFont="1" applyAlignment="1">
      <alignment horizontal="left"/>
    </xf>
    <xf numFmtId="172" fontId="5" fillId="0" borderId="0" xfId="75" quotePrefix="1" applyNumberFormat="1" applyFont="1" applyAlignment="1">
      <alignment horizontal="left"/>
    </xf>
    <xf numFmtId="173" fontId="5" fillId="0" borderId="0" xfId="75" quotePrefix="1" applyNumberFormat="1" applyFont="1" applyAlignment="1">
      <alignment horizontal="left"/>
    </xf>
    <xf numFmtId="3" fontId="5" fillId="0" borderId="0" xfId="75" applyNumberFormat="1" applyFont="1" applyAlignment="1">
      <alignment horizontal="right" wrapText="1"/>
    </xf>
    <xf numFmtId="3" fontId="5" fillId="0" borderId="0" xfId="75" applyNumberFormat="1" applyFont="1" applyAlignment="1">
      <alignment horizontal="right"/>
    </xf>
    <xf numFmtId="171" fontId="5" fillId="0" borderId="0" xfId="146" applyNumberFormat="1" applyFont="1"/>
    <xf numFmtId="165" fontId="5" fillId="0" borderId="0" xfId="146" applyNumberFormat="1" applyFont="1"/>
    <xf numFmtId="3" fontId="5" fillId="0" borderId="0" xfId="146" applyNumberFormat="1" applyFont="1" applyAlignment="1">
      <alignment horizontal="right"/>
    </xf>
    <xf numFmtId="3" fontId="5" fillId="0" borderId="0" xfId="75" applyNumberFormat="1" applyFont="1"/>
    <xf numFmtId="3" fontId="5" fillId="0" borderId="22" xfId="75" applyNumberFormat="1" applyFont="1" applyBorder="1"/>
    <xf numFmtId="0" fontId="5" fillId="0" borderId="22" xfId="75" applyFont="1" applyBorder="1"/>
    <xf numFmtId="2" fontId="5" fillId="0" borderId="0" xfId="75" applyNumberFormat="1" applyFont="1"/>
    <xf numFmtId="0" fontId="1" fillId="29"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42" applyNumberFormat="1" applyFont="1"/>
    <xf numFmtId="0" fontId="56" fillId="0" borderId="0" xfId="0" applyFont="1" applyAlignment="1">
      <alignment vertical="center"/>
    </xf>
    <xf numFmtId="0" fontId="1" fillId="34" borderId="0" xfId="0" applyFont="1" applyFill="1"/>
    <xf numFmtId="0" fontId="57" fillId="0" borderId="0" xfId="0" applyFont="1"/>
    <xf numFmtId="174" fontId="0" fillId="34" borderId="0" xfId="142" applyNumberFormat="1" applyFont="1" applyFill="1"/>
    <xf numFmtId="171" fontId="0" fillId="34" borderId="0" xfId="142" applyNumberFormat="1" applyFont="1" applyFill="1"/>
    <xf numFmtId="0" fontId="0" fillId="34" borderId="0" xfId="0" applyFill="1"/>
    <xf numFmtId="174" fontId="1" fillId="2" borderId="0" xfId="142" applyNumberFormat="1" applyFont="1" applyFill="1"/>
    <xf numFmtId="171" fontId="1" fillId="2" borderId="0" xfId="142" applyNumberFormat="1" applyFont="1" applyFill="1"/>
    <xf numFmtId="171" fontId="8" fillId="2" borderId="0" xfId="142" applyNumberFormat="1" applyFont="1" applyFill="1"/>
    <xf numFmtId="11" fontId="1" fillId="2" borderId="0" xfId="0" applyNumberFormat="1" applyFont="1" applyFill="1"/>
    <xf numFmtId="0" fontId="0" fillId="2" borderId="0" xfId="0" applyFill="1"/>
    <xf numFmtId="43" fontId="0" fillId="0" borderId="0" xfId="142" applyFont="1"/>
    <xf numFmtId="0" fontId="7" fillId="0" borderId="0" xfId="1" applyFont="1"/>
    <xf numFmtId="0" fontId="59" fillId="0" borderId="0" xfId="1" applyFont="1" applyAlignment="1">
      <alignment horizontal="right"/>
    </xf>
    <xf numFmtId="0" fontId="3" fillId="0" borderId="0" xfId="1" applyFont="1" applyAlignment="1">
      <alignment horizontal="left"/>
    </xf>
    <xf numFmtId="0" fontId="59" fillId="0" borderId="4" xfId="150" applyFont="1" applyAlignment="1">
      <alignment horizontal="right"/>
    </xf>
    <xf numFmtId="9" fontId="1" fillId="0" borderId="0" xfId="143" applyFont="1"/>
    <xf numFmtId="0" fontId="23" fillId="0" borderId="8" xfId="16" applyFont="1" applyBorder="1" applyAlignment="1"/>
    <xf numFmtId="0" fontId="18" fillId="0" borderId="0" xfId="10" applyFont="1" applyBorder="1" applyAlignment="1">
      <alignment horizontal="left"/>
    </xf>
    <xf numFmtId="0" fontId="18" fillId="0" borderId="0" xfId="0" applyFont="1" applyAlignment="1">
      <alignment horizontal="left"/>
    </xf>
    <xf numFmtId="166" fontId="18" fillId="0" borderId="0" xfId="10" applyNumberFormat="1" applyFont="1" applyBorder="1" applyAlignment="1">
      <alignment horizontal="left"/>
    </xf>
    <xf numFmtId="0" fontId="18" fillId="0" borderId="8" xfId="10" applyFont="1" applyBorder="1" applyAlignment="1">
      <alignment horizontal="left"/>
    </xf>
    <xf numFmtId="0" fontId="11" fillId="0" borderId="0" xfId="0" applyFont="1" applyAlignment="1">
      <alignment vertical="center"/>
    </xf>
    <xf numFmtId="0" fontId="15" fillId="0" borderId="0" xfId="10" applyFont="1" applyBorder="1" applyAlignment="1"/>
    <xf numFmtId="0" fontId="15" fillId="0" borderId="0" xfId="9" applyFont="1" applyAlignment="1"/>
    <xf numFmtId="0" fontId="12" fillId="0" borderId="0" xfId="9" applyFont="1" applyAlignment="1"/>
    <xf numFmtId="0" fontId="11" fillId="0" borderId="0" xfId="9" applyFont="1" applyAlignment="1"/>
    <xf numFmtId="0" fontId="11" fillId="0" borderId="7" xfId="0" applyFont="1" applyBorder="1"/>
    <xf numFmtId="2" fontId="12" fillId="0" borderId="0" xfId="0" applyNumberFormat="1" applyFont="1"/>
    <xf numFmtId="0" fontId="11" fillId="0" borderId="0" xfId="0" applyFont="1"/>
    <xf numFmtId="49" fontId="13" fillId="0" borderId="0" xfId="0" applyNumberFormat="1" applyFont="1"/>
    <xf numFmtId="49" fontId="12" fillId="0" borderId="0" xfId="0" applyNumberFormat="1" applyFont="1"/>
    <xf numFmtId="49" fontId="11" fillId="0" borderId="0" xfId="0" applyNumberFormat="1" applyFont="1"/>
    <xf numFmtId="49" fontId="11" fillId="0" borderId="0" xfId="0" applyNumberFormat="1" applyFont="1" applyAlignment="1">
      <alignment horizontal="left"/>
    </xf>
    <xf numFmtId="49" fontId="5" fillId="0" borderId="0" xfId="0" applyNumberFormat="1" applyFont="1" applyAlignment="1">
      <alignment horizontal="left"/>
    </xf>
    <xf numFmtId="0" fontId="61" fillId="0" borderId="0" xfId="0" applyFont="1" applyAlignment="1">
      <alignment horizontal="left"/>
    </xf>
    <xf numFmtId="0" fontId="61" fillId="0" borderId="0" xfId="0" applyFont="1"/>
    <xf numFmtId="0" fontId="2" fillId="0" borderId="0" xfId="161"/>
    <xf numFmtId="0" fontId="4" fillId="0" borderId="4" xfId="163">
      <alignment wrapText="1"/>
    </xf>
    <xf numFmtId="0" fontId="62" fillId="0" borderId="0" xfId="1" applyFont="1"/>
    <xf numFmtId="0" fontId="58" fillId="0" borderId="0" xfId="165" applyFont="1">
      <alignment horizontal="left"/>
    </xf>
    <xf numFmtId="0" fontId="59" fillId="0" borderId="0" xfId="0" applyFont="1" applyAlignment="1">
      <alignment horizontal="right"/>
    </xf>
    <xf numFmtId="0" fontId="3" fillId="0" borderId="0" xfId="161" applyFont="1"/>
    <xf numFmtId="0" fontId="3" fillId="0" borderId="0" xfId="0" applyFont="1" applyAlignment="1">
      <alignment horizontal="left"/>
    </xf>
    <xf numFmtId="0" fontId="59" fillId="0" borderId="4" xfId="163" applyFont="1">
      <alignment wrapText="1"/>
    </xf>
    <xf numFmtId="0" fontId="59" fillId="0" borderId="4" xfId="163" applyFont="1" applyAlignment="1">
      <alignment horizontal="right"/>
    </xf>
    <xf numFmtId="0" fontId="59" fillId="0" borderId="2" xfId="164" applyFont="1">
      <alignment wrapText="1"/>
    </xf>
    <xf numFmtId="0" fontId="3" fillId="0" borderId="3" xfId="160" applyFont="1">
      <alignment wrapText="1"/>
    </xf>
    <xf numFmtId="3" fontId="3" fillId="0" borderId="3" xfId="160" applyNumberFormat="1" applyFont="1" applyAlignment="1">
      <alignment horizontal="right" wrapText="1"/>
    </xf>
    <xf numFmtId="164" fontId="3" fillId="0" borderId="3" xfId="160" applyNumberFormat="1" applyFont="1" applyAlignment="1">
      <alignment horizontal="right" wrapText="1"/>
    </xf>
    <xf numFmtId="165" fontId="3" fillId="0" borderId="3" xfId="160" applyNumberFormat="1" applyFont="1" applyAlignment="1">
      <alignment horizontal="right" wrapText="1"/>
    </xf>
    <xf numFmtId="4" fontId="3" fillId="0" borderId="3" xfId="160" applyNumberFormat="1" applyFont="1" applyAlignment="1">
      <alignment horizontal="right" wrapText="1"/>
    </xf>
    <xf numFmtId="4" fontId="59" fillId="0" borderId="2" xfId="164" applyNumberFormat="1" applyFont="1" applyAlignment="1">
      <alignment horizontal="right" wrapText="1"/>
    </xf>
    <xf numFmtId="164" fontId="59" fillId="0" borderId="2" xfId="164" applyNumberFormat="1" applyFont="1" applyAlignment="1">
      <alignment horizontal="right" wrapText="1"/>
    </xf>
    <xf numFmtId="0" fontId="0" fillId="0" borderId="1" xfId="0" applyBorder="1"/>
    <xf numFmtId="0" fontId="2" fillId="0" borderId="0" xfId="1"/>
    <xf numFmtId="0" fontId="2" fillId="0" borderId="1" xfId="1" applyBorder="1"/>
    <xf numFmtId="0" fontId="2" fillId="0" borderId="0" xfId="148"/>
    <xf numFmtId="0" fontId="4" fillId="0" borderId="4" xfId="150" applyAlignment="1"/>
    <xf numFmtId="0" fontId="60" fillId="0" borderId="0" xfId="1" applyFont="1"/>
    <xf numFmtId="0" fontId="5" fillId="0" borderId="0" xfId="1" applyFont="1"/>
    <xf numFmtId="0" fontId="58" fillId="0" borderId="0" xfId="152" applyFont="1">
      <alignment horizontal="left"/>
    </xf>
    <xf numFmtId="0" fontId="3" fillId="0" borderId="0" xfId="1" applyFont="1"/>
    <xf numFmtId="0" fontId="3" fillId="0" borderId="0" xfId="148" applyFont="1"/>
    <xf numFmtId="0" fontId="59" fillId="0" borderId="4" xfId="150" applyFont="1" applyAlignment="1"/>
    <xf numFmtId="0" fontId="59" fillId="0" borderId="2" xfId="151" applyFont="1" applyAlignment="1"/>
    <xf numFmtId="165" fontId="59" fillId="0" borderId="2" xfId="151" applyNumberFormat="1" applyFont="1" applyAlignment="1">
      <alignment horizontal="right"/>
    </xf>
    <xf numFmtId="164" fontId="59" fillId="0" borderId="2" xfId="151" applyNumberFormat="1" applyFont="1" applyAlignment="1">
      <alignment horizontal="right"/>
    </xf>
    <xf numFmtId="0" fontId="3" fillId="0" borderId="3" xfId="147" applyFont="1" applyAlignment="1"/>
    <xf numFmtId="165" fontId="3" fillId="0" borderId="3" xfId="147" applyNumberFormat="1" applyFont="1" applyAlignment="1">
      <alignment horizontal="right"/>
    </xf>
    <xf numFmtId="164" fontId="3" fillId="0" borderId="3" xfId="147" applyNumberFormat="1" applyFont="1" applyAlignment="1">
      <alignment horizontal="right"/>
    </xf>
    <xf numFmtId="3" fontId="3" fillId="0" borderId="3" xfId="147" applyNumberFormat="1" applyFont="1" applyAlignment="1">
      <alignment horizontal="right"/>
    </xf>
    <xf numFmtId="3" fontId="3" fillId="0" borderId="3" xfId="147" applyNumberFormat="1" applyFont="1" applyAlignment="1"/>
    <xf numFmtId="164" fontId="3" fillId="0" borderId="3" xfId="147" applyNumberFormat="1" applyFont="1" applyAlignment="1"/>
    <xf numFmtId="3" fontId="59" fillId="0" borderId="2" xfId="151" applyNumberFormat="1" applyFont="1" applyAlignment="1">
      <alignment horizontal="right"/>
    </xf>
    <xf numFmtId="0" fontId="3" fillId="0" borderId="1" xfId="149" applyFont="1" applyAlignment="1"/>
    <xf numFmtId="0" fontId="63" fillId="0" borderId="1" xfId="162" applyFont="1">
      <alignment wrapText="1"/>
    </xf>
    <xf numFmtId="0" fontId="0" fillId="0" borderId="1" xfId="0" applyBorder="1"/>
    <xf numFmtId="0" fontId="3" fillId="0" borderId="0" xfId="0" applyFont="1"/>
    <xf numFmtId="0" fontId="0" fillId="0" borderId="0" xfId="0"/>
    <xf numFmtId="0" fontId="1" fillId="0" borderId="0" xfId="0" applyNumberFormat="1" applyFont="1" applyAlignment="1">
      <alignment wrapText="1"/>
    </xf>
    <xf numFmtId="0" fontId="1" fillId="0" borderId="0" xfId="0" applyNumberFormat="1" applyFont="1" applyAlignment="1">
      <alignment horizontal="right"/>
    </xf>
    <xf numFmtId="0" fontId="0" fillId="0" borderId="0" xfId="0" applyNumberFormat="1"/>
    <xf numFmtId="0" fontId="1" fillId="0" borderId="0" xfId="0" applyNumberFormat="1" applyFont="1"/>
    <xf numFmtId="0" fontId="0" fillId="0" borderId="0" xfId="143" applyNumberFormat="1" applyFont="1"/>
  </cellXfs>
  <cellStyles count="166">
    <cellStyle name="_Normal" xfId="145" xr:uid="{789658FE-13DF-464B-96F6-C87D7C584B79}"/>
    <cellStyle name="20% - Accent1 2" xfId="17" xr:uid="{00000000-0005-0000-0000-000000000000}"/>
    <cellStyle name="20% - Accent2 2" xfId="18" xr:uid="{00000000-0005-0000-0000-000001000000}"/>
    <cellStyle name="20% - Accent3 2" xfId="19" xr:uid="{00000000-0005-0000-0000-000002000000}"/>
    <cellStyle name="20% - Accent4 2" xfId="20" xr:uid="{00000000-0005-0000-0000-000003000000}"/>
    <cellStyle name="20% - Accent5 2" xfId="21" xr:uid="{00000000-0005-0000-0000-000004000000}"/>
    <cellStyle name="20% - Accent6 2" xfId="22" xr:uid="{00000000-0005-0000-0000-000005000000}"/>
    <cellStyle name="40% - Accent1 2" xfId="23" xr:uid="{00000000-0005-0000-0000-000006000000}"/>
    <cellStyle name="40% - Accent2 2" xfId="24" xr:uid="{00000000-0005-0000-0000-000007000000}"/>
    <cellStyle name="40% - Accent3 2" xfId="25" xr:uid="{00000000-0005-0000-0000-000008000000}"/>
    <cellStyle name="40% - Accent4 2" xfId="26" xr:uid="{00000000-0005-0000-0000-000009000000}"/>
    <cellStyle name="40% - Accent5 2" xfId="27" xr:uid="{00000000-0005-0000-0000-00000A000000}"/>
    <cellStyle name="40% - Accent6 2" xfId="28" xr:uid="{00000000-0005-0000-0000-00000B000000}"/>
    <cellStyle name="60% - Accent1 2" xfId="29" xr:uid="{00000000-0005-0000-0000-00000C000000}"/>
    <cellStyle name="60% - Accent2 2" xfId="30" xr:uid="{00000000-0005-0000-0000-00000D000000}"/>
    <cellStyle name="60% - Accent3 2" xfId="31" xr:uid="{00000000-0005-0000-0000-00000E000000}"/>
    <cellStyle name="60% - Accent4 2" xfId="32" xr:uid="{00000000-0005-0000-0000-00000F000000}"/>
    <cellStyle name="60% - Accent5 2" xfId="33" xr:uid="{00000000-0005-0000-0000-000010000000}"/>
    <cellStyle name="60% - Accent6 2" xfId="34" xr:uid="{00000000-0005-0000-0000-000011000000}"/>
    <cellStyle name="Accent1 2" xfId="35" xr:uid="{00000000-0005-0000-0000-000012000000}"/>
    <cellStyle name="Accent2 2" xfId="36" xr:uid="{00000000-0005-0000-0000-000013000000}"/>
    <cellStyle name="Accent3 2" xfId="37" xr:uid="{00000000-0005-0000-0000-000014000000}"/>
    <cellStyle name="Accent4 2" xfId="38" xr:uid="{00000000-0005-0000-0000-000015000000}"/>
    <cellStyle name="Accent5 2" xfId="39" xr:uid="{00000000-0005-0000-0000-000016000000}"/>
    <cellStyle name="Accent6 2" xfId="40" xr:uid="{00000000-0005-0000-0000-000017000000}"/>
    <cellStyle name="Bad 2" xfId="41" xr:uid="{00000000-0005-0000-0000-000018000000}"/>
    <cellStyle name="Body: normal cell" xfId="4" xr:uid="{00000000-0005-0000-0000-000019000000}"/>
    <cellStyle name="Body: normal cell 2" xfId="160" xr:uid="{CB5DBB3B-471E-4D37-BD9C-125D6BE8FCD4}"/>
    <cellStyle name="Body: normal cell 3" xfId="154" xr:uid="{EFC471A7-DF81-4A92-B231-77315CFA3027}"/>
    <cellStyle name="Body: normal cell 4" xfId="147" xr:uid="{FB75AB18-CC82-4E68-93EE-937A3240DFCF}"/>
    <cellStyle name="Calculation 2" xfId="42" xr:uid="{00000000-0005-0000-0000-00001A000000}"/>
    <cellStyle name="Check Cell 2" xfId="43" xr:uid="{00000000-0005-0000-0000-00001B000000}"/>
    <cellStyle name="Comma" xfId="142" builtinId="3"/>
    <cellStyle name="Comma 2" xfId="44" xr:uid="{00000000-0005-0000-0000-00001D000000}"/>
    <cellStyle name="Comma 2 2" xfId="13" xr:uid="{00000000-0005-0000-0000-00001E000000}"/>
    <cellStyle name="Comma 2 2 2" xfId="45" xr:uid="{00000000-0005-0000-0000-00001F000000}"/>
    <cellStyle name="Comma 2 2 3" xfId="46" xr:uid="{00000000-0005-0000-0000-000020000000}"/>
    <cellStyle name="Comma 2 3" xfId="47" xr:uid="{00000000-0005-0000-0000-000021000000}"/>
    <cellStyle name="Comma 2 4" xfId="146" xr:uid="{2395395A-1206-4548-A2F5-6E18C265DB1C}"/>
    <cellStyle name="Comma 3" xfId="48" xr:uid="{00000000-0005-0000-0000-000022000000}"/>
    <cellStyle name="Comma 4" xfId="49" xr:uid="{00000000-0005-0000-0000-000023000000}"/>
    <cellStyle name="Comma 5" xfId="50" xr:uid="{00000000-0005-0000-0000-000024000000}"/>
    <cellStyle name="Comma 6" xfId="51" xr:uid="{00000000-0005-0000-0000-000025000000}"/>
    <cellStyle name="Comma 7" xfId="52" xr:uid="{00000000-0005-0000-0000-000026000000}"/>
    <cellStyle name="Currency 2" xfId="53" xr:uid="{00000000-0005-0000-0000-000027000000}"/>
    <cellStyle name="Currency 3" xfId="54" xr:uid="{00000000-0005-0000-0000-000028000000}"/>
    <cellStyle name="Currency 3 2" xfId="55" xr:uid="{00000000-0005-0000-0000-000029000000}"/>
    <cellStyle name="Data" xfId="56" xr:uid="{00000000-0005-0000-0000-00002A000000}"/>
    <cellStyle name="Data no deci" xfId="57" xr:uid="{00000000-0005-0000-0000-00002B000000}"/>
    <cellStyle name="Data Superscript" xfId="58" xr:uid="{00000000-0005-0000-0000-00002C000000}"/>
    <cellStyle name="Data_1-1A-Regular" xfId="59" xr:uid="{00000000-0005-0000-0000-00002D000000}"/>
    <cellStyle name="Data_Sheet1 (2)_1" xfId="11" xr:uid="{00000000-0005-0000-0000-00002E000000}"/>
    <cellStyle name="Explanatory Text 2" xfId="60" xr:uid="{00000000-0005-0000-0000-00002F000000}"/>
    <cellStyle name="Font: Calibri, 9pt regular" xfId="6" xr:uid="{00000000-0005-0000-0000-000030000000}"/>
    <cellStyle name="Font: Calibri, 9pt regular 2" xfId="161" xr:uid="{165951B0-C4F7-40CC-B64E-33E3EDD3C4E7}"/>
    <cellStyle name="Font: Calibri, 9pt regular 3" xfId="155" xr:uid="{D3B95771-22FC-4EBE-991F-44747A1BACE7}"/>
    <cellStyle name="Font: Calibri, 9pt regular 4" xfId="148" xr:uid="{5DABB863-281B-445F-A65B-7D989E813E69}"/>
    <cellStyle name="Footnotes: top row" xfId="2" xr:uid="{00000000-0005-0000-0000-000031000000}"/>
    <cellStyle name="Footnotes: top row 2" xfId="162" xr:uid="{7DB3E857-1276-4CD4-9549-15A23504E352}"/>
    <cellStyle name="Footnotes: top row 3" xfId="156" xr:uid="{BD77C261-0274-46FA-A8D4-BBBDB7A77D49}"/>
    <cellStyle name="Footnotes: top row 4" xfId="149" xr:uid="{D9A17164-F399-4316-A228-A576E9682B2D}"/>
    <cellStyle name="Good 2" xfId="61" xr:uid="{00000000-0005-0000-0000-000032000000}"/>
    <cellStyle name="Header: bottom row" xfId="5" xr:uid="{00000000-0005-0000-0000-000033000000}"/>
    <cellStyle name="Header: bottom row 2" xfId="163" xr:uid="{E059B323-6F29-42F9-BBF8-469DB538F6A5}"/>
    <cellStyle name="Header: bottom row 3" xfId="157" xr:uid="{D5D168B8-48EE-4423-80B6-F874573EC431}"/>
    <cellStyle name="Header: bottom row 4" xfId="150" xr:uid="{4C6D829A-AAA1-4191-BEEE-C65D4194956B}"/>
    <cellStyle name="Heading 1 2" xfId="62" xr:uid="{00000000-0005-0000-0000-000034000000}"/>
    <cellStyle name="Heading 2 2" xfId="63" xr:uid="{00000000-0005-0000-0000-000035000000}"/>
    <cellStyle name="Heading 3 2" xfId="64" xr:uid="{00000000-0005-0000-0000-000036000000}"/>
    <cellStyle name="Heading 4 2" xfId="65" xr:uid="{00000000-0005-0000-0000-000037000000}"/>
    <cellStyle name="Hed Side" xfId="15" xr:uid="{00000000-0005-0000-0000-000038000000}"/>
    <cellStyle name="Hed Side bold" xfId="66" xr:uid="{00000000-0005-0000-0000-000039000000}"/>
    <cellStyle name="Hed Side Indent" xfId="67" xr:uid="{00000000-0005-0000-0000-00003A000000}"/>
    <cellStyle name="Hed Side Regular" xfId="68" xr:uid="{00000000-0005-0000-0000-00003B000000}"/>
    <cellStyle name="Hed Side_1-1A-Regular" xfId="69" xr:uid="{00000000-0005-0000-0000-00003C000000}"/>
    <cellStyle name="Hed Side_Sheet1 (2)_1" xfId="10" xr:uid="{00000000-0005-0000-0000-00003D000000}"/>
    <cellStyle name="Hed Top" xfId="70" xr:uid="{00000000-0005-0000-0000-00003E000000}"/>
    <cellStyle name="Hyperlink" xfId="144" builtinId="8"/>
    <cellStyle name="Input 2" xfId="71" xr:uid="{00000000-0005-0000-0000-000040000000}"/>
    <cellStyle name="Linked Cell 2" xfId="72" xr:uid="{00000000-0005-0000-0000-000041000000}"/>
    <cellStyle name="Neutral 2" xfId="73" xr:uid="{00000000-0005-0000-0000-000042000000}"/>
    <cellStyle name="Normal" xfId="0" builtinId="0"/>
    <cellStyle name="Normal 10" xfId="74" xr:uid="{00000000-0005-0000-0000-000044000000}"/>
    <cellStyle name="Normal 11" xfId="12" xr:uid="{00000000-0005-0000-0000-000045000000}"/>
    <cellStyle name="Normal 2" xfId="1" xr:uid="{00000000-0005-0000-0000-000046000000}"/>
    <cellStyle name="Normal 2 2" xfId="75" xr:uid="{00000000-0005-0000-0000-000047000000}"/>
    <cellStyle name="Normal 2 2 2" xfId="76" xr:uid="{00000000-0005-0000-0000-000048000000}"/>
    <cellStyle name="Normal 2 2 3" xfId="77" xr:uid="{00000000-0005-0000-0000-000049000000}"/>
    <cellStyle name="Normal 2 3" xfId="78" xr:uid="{00000000-0005-0000-0000-00004A000000}"/>
    <cellStyle name="Normal 2 4" xfId="79" xr:uid="{00000000-0005-0000-0000-00004B000000}"/>
    <cellStyle name="Normal 3" xfId="8" xr:uid="{00000000-0005-0000-0000-00004C000000}"/>
    <cellStyle name="Normal 3 2" xfId="80" xr:uid="{00000000-0005-0000-0000-00004D000000}"/>
    <cellStyle name="Normal 3 2 2" xfId="81" xr:uid="{00000000-0005-0000-0000-00004E000000}"/>
    <cellStyle name="Normal 3 2 2 2" xfId="82" xr:uid="{00000000-0005-0000-0000-00004F000000}"/>
    <cellStyle name="Normal 3 2 3" xfId="83" xr:uid="{00000000-0005-0000-0000-000050000000}"/>
    <cellStyle name="Normal 3 3" xfId="84" xr:uid="{00000000-0005-0000-0000-000051000000}"/>
    <cellStyle name="Normal 3 3 2" xfId="85" xr:uid="{00000000-0005-0000-0000-000052000000}"/>
    <cellStyle name="Normal 3 3 2 2" xfId="86" xr:uid="{00000000-0005-0000-0000-000053000000}"/>
    <cellStyle name="Normal 3 3 3" xfId="87" xr:uid="{00000000-0005-0000-0000-000054000000}"/>
    <cellStyle name="Normal 3 4" xfId="88" xr:uid="{00000000-0005-0000-0000-000055000000}"/>
    <cellStyle name="Normal 3 4 2" xfId="89" xr:uid="{00000000-0005-0000-0000-000056000000}"/>
    <cellStyle name="Normal 3 5" xfId="90" xr:uid="{00000000-0005-0000-0000-000057000000}"/>
    <cellStyle name="Normal 3 6" xfId="91" xr:uid="{00000000-0005-0000-0000-000058000000}"/>
    <cellStyle name="Normal 3 7" xfId="92" xr:uid="{00000000-0005-0000-0000-000059000000}"/>
    <cellStyle name="Normal 3 8" xfId="93" xr:uid="{00000000-0005-0000-0000-00005A000000}"/>
    <cellStyle name="Normal 3 9" xfId="14" xr:uid="{00000000-0005-0000-0000-00005B000000}"/>
    <cellStyle name="Normal 4" xfId="94" xr:uid="{00000000-0005-0000-0000-00005C000000}"/>
    <cellStyle name="Normal 4 2" xfId="95" xr:uid="{00000000-0005-0000-0000-00005D000000}"/>
    <cellStyle name="Normal 4 2 2" xfId="96" xr:uid="{00000000-0005-0000-0000-00005E000000}"/>
    <cellStyle name="Normal 4 2 2 2" xfId="97" xr:uid="{00000000-0005-0000-0000-00005F000000}"/>
    <cellStyle name="Normal 4 2 3" xfId="98" xr:uid="{00000000-0005-0000-0000-000060000000}"/>
    <cellStyle name="Normal 4 3" xfId="99" xr:uid="{00000000-0005-0000-0000-000061000000}"/>
    <cellStyle name="Normal 4 3 2" xfId="100" xr:uid="{00000000-0005-0000-0000-000062000000}"/>
    <cellStyle name="Normal 4 3 2 2" xfId="101" xr:uid="{00000000-0005-0000-0000-000063000000}"/>
    <cellStyle name="Normal 4 3 3" xfId="102" xr:uid="{00000000-0005-0000-0000-000064000000}"/>
    <cellStyle name="Normal 4 4" xfId="103" xr:uid="{00000000-0005-0000-0000-000065000000}"/>
    <cellStyle name="Normal 4 4 2" xfId="104" xr:uid="{00000000-0005-0000-0000-000066000000}"/>
    <cellStyle name="Normal 4 5" xfId="105" xr:uid="{00000000-0005-0000-0000-000067000000}"/>
    <cellStyle name="Normal 4 6" xfId="106" xr:uid="{00000000-0005-0000-0000-000068000000}"/>
    <cellStyle name="Normal 4 7" xfId="107" xr:uid="{00000000-0005-0000-0000-000069000000}"/>
    <cellStyle name="Normal 4 8" xfId="108" xr:uid="{00000000-0005-0000-0000-00006A000000}"/>
    <cellStyle name="Normal 4 9" xfId="153" xr:uid="{A2E96EDB-E3B0-42D1-8519-13069A213F96}"/>
    <cellStyle name="Normal 5" xfId="109" xr:uid="{00000000-0005-0000-0000-00006B000000}"/>
    <cellStyle name="Normal 5 2" xfId="110" xr:uid="{00000000-0005-0000-0000-00006C000000}"/>
    <cellStyle name="Normal 5 3" xfId="111" xr:uid="{00000000-0005-0000-0000-00006D000000}"/>
    <cellStyle name="Normal 6" xfId="112" xr:uid="{00000000-0005-0000-0000-00006E000000}"/>
    <cellStyle name="Normal 6 2" xfId="113" xr:uid="{00000000-0005-0000-0000-00006F000000}"/>
    <cellStyle name="Normal 7" xfId="114" xr:uid="{00000000-0005-0000-0000-000070000000}"/>
    <cellStyle name="Normal 8" xfId="115" xr:uid="{00000000-0005-0000-0000-000071000000}"/>
    <cellStyle name="Normal 9" xfId="116" xr:uid="{00000000-0005-0000-0000-000072000000}"/>
    <cellStyle name="Note 2" xfId="117" xr:uid="{00000000-0005-0000-0000-000073000000}"/>
    <cellStyle name="Note 2 2" xfId="118" xr:uid="{00000000-0005-0000-0000-000074000000}"/>
    <cellStyle name="Output 2" xfId="119" xr:uid="{00000000-0005-0000-0000-000075000000}"/>
    <cellStyle name="Parent row" xfId="3" xr:uid="{00000000-0005-0000-0000-000076000000}"/>
    <cellStyle name="Parent row 2" xfId="164" xr:uid="{E2CE74C3-472B-4843-A23F-D36F9BE33843}"/>
    <cellStyle name="Parent row 3" xfId="158" xr:uid="{27000447-EA48-4C1C-84E0-8A2AED0C1D72}"/>
    <cellStyle name="Parent row 4" xfId="151" xr:uid="{E59285E4-2D4C-49D0-BEF8-31FFEFAFD432}"/>
    <cellStyle name="Percent" xfId="143" builtinId="5"/>
    <cellStyle name="Percent 2" xfId="120" xr:uid="{00000000-0005-0000-0000-000078000000}"/>
    <cellStyle name="Percent 2 2" xfId="121" xr:uid="{00000000-0005-0000-0000-000079000000}"/>
    <cellStyle name="Percent 3" xfId="122" xr:uid="{00000000-0005-0000-0000-00007A000000}"/>
    <cellStyle name="Percent 3 2" xfId="123" xr:uid="{00000000-0005-0000-0000-00007B000000}"/>
    <cellStyle name="Source Hed" xfId="124" xr:uid="{00000000-0005-0000-0000-00007C000000}"/>
    <cellStyle name="Source Superscript" xfId="125" xr:uid="{00000000-0005-0000-0000-00007D000000}"/>
    <cellStyle name="Source Text" xfId="9" xr:uid="{00000000-0005-0000-0000-00007E000000}"/>
    <cellStyle name="State" xfId="126" xr:uid="{00000000-0005-0000-0000-00007F000000}"/>
    <cellStyle name="Superscript" xfId="127" xr:uid="{00000000-0005-0000-0000-000080000000}"/>
    <cellStyle name="Table Data" xfId="128" xr:uid="{00000000-0005-0000-0000-000081000000}"/>
    <cellStyle name="Table Head Top" xfId="129" xr:uid="{00000000-0005-0000-0000-000082000000}"/>
    <cellStyle name="Table Hed Side" xfId="130" xr:uid="{00000000-0005-0000-0000-000083000000}"/>
    <cellStyle name="Table title" xfId="7" xr:uid="{00000000-0005-0000-0000-000084000000}"/>
    <cellStyle name="Table title 2" xfId="165" xr:uid="{4A9B4A06-1190-4D01-AAC6-01F2750F2DF8}"/>
    <cellStyle name="Table title 3" xfId="159" xr:uid="{638929BF-116A-4B59-BB51-999F55F279E6}"/>
    <cellStyle name="Table title 4" xfId="152" xr:uid="{FF60225D-2D45-4484-B509-4539D96809D5}"/>
    <cellStyle name="Title 2" xfId="131" xr:uid="{00000000-0005-0000-0000-000085000000}"/>
    <cellStyle name="Title Text" xfId="132" xr:uid="{00000000-0005-0000-0000-000086000000}"/>
    <cellStyle name="Title Text 1" xfId="133" xr:uid="{00000000-0005-0000-0000-000087000000}"/>
    <cellStyle name="Title Text 2" xfId="134" xr:uid="{00000000-0005-0000-0000-000088000000}"/>
    <cellStyle name="Title-1" xfId="16" xr:uid="{00000000-0005-0000-0000-000089000000}"/>
    <cellStyle name="Title-2" xfId="135" xr:uid="{00000000-0005-0000-0000-00008A000000}"/>
    <cellStyle name="Title-3" xfId="136" xr:uid="{00000000-0005-0000-0000-00008B000000}"/>
    <cellStyle name="Total 2" xfId="137" xr:uid="{00000000-0005-0000-0000-00008C000000}"/>
    <cellStyle name="Warning Text 2" xfId="138" xr:uid="{00000000-0005-0000-0000-00008D000000}"/>
    <cellStyle name="Wrap" xfId="139" xr:uid="{00000000-0005-0000-0000-00008E000000}"/>
    <cellStyle name="Wrap Bold" xfId="140" xr:uid="{00000000-0005-0000-0000-00008F000000}"/>
    <cellStyle name="Wrap Title" xfId="141" xr:uid="{00000000-0005-0000-0000-000090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colors>
    <mruColors>
      <color rgb="FFEBF1DE"/>
      <color rgb="FFE4DFEC"/>
      <color rgb="FFC5D9F1"/>
      <color rgb="FFB8CCE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bts.gov/content/number-us-aircraft-vehicles-vessels-and-other-conveyances"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8"/>
  <sheetViews>
    <sheetView workbookViewId="0">
      <selection activeCell="B5" sqref="B5"/>
    </sheetView>
  </sheetViews>
  <sheetFormatPr defaultRowHeight="15"/>
  <cols>
    <col min="2" max="2" width="73.140625" customWidth="1"/>
  </cols>
  <sheetData>
    <row r="1" spans="1:2">
      <c r="A1" s="1" t="s">
        <v>0</v>
      </c>
    </row>
    <row r="3" spans="1:2">
      <c r="A3" s="1" t="s">
        <v>1</v>
      </c>
      <c r="B3" s="2" t="s">
        <v>431</v>
      </c>
    </row>
    <row r="4" spans="1:2">
      <c r="B4" t="s">
        <v>26</v>
      </c>
    </row>
    <row r="5" spans="1:2">
      <c r="B5" s="3">
        <v>2021</v>
      </c>
    </row>
    <row r="6" spans="1:2">
      <c r="B6" t="s">
        <v>435</v>
      </c>
    </row>
    <row r="7" spans="1:2">
      <c r="B7" t="s">
        <v>201</v>
      </c>
    </row>
    <row r="8" spans="1:2">
      <c r="B8" t="s">
        <v>434</v>
      </c>
    </row>
    <row r="10" spans="1:2">
      <c r="B10" s="2" t="s">
        <v>432</v>
      </c>
    </row>
    <row r="11" spans="1:2">
      <c r="B11" t="s">
        <v>26</v>
      </c>
    </row>
    <row r="12" spans="1:2">
      <c r="B12" s="3">
        <v>2021</v>
      </c>
    </row>
    <row r="13" spans="1:2">
      <c r="B13" t="s">
        <v>435</v>
      </c>
    </row>
    <row r="14" spans="1:2">
      <c r="B14" t="s">
        <v>201</v>
      </c>
    </row>
    <row r="15" spans="1:2">
      <c r="B15" t="s">
        <v>433</v>
      </c>
    </row>
    <row r="17" spans="2:3">
      <c r="B17" s="2" t="s">
        <v>258</v>
      </c>
      <c r="C17" t="s">
        <v>450</v>
      </c>
    </row>
    <row r="18" spans="2:3">
      <c r="B18" t="s">
        <v>186</v>
      </c>
    </row>
    <row r="19" spans="2:3">
      <c r="B19" s="3">
        <v>2019</v>
      </c>
    </row>
    <row r="20" spans="2:3">
      <c r="B20" t="s">
        <v>237</v>
      </c>
    </row>
    <row r="21" spans="2:3">
      <c r="B21" s="22" t="s">
        <v>236</v>
      </c>
    </row>
    <row r="22" spans="2:3">
      <c r="B22" t="s">
        <v>187</v>
      </c>
    </row>
    <row r="24" spans="2:3">
      <c r="B24" s="2" t="s">
        <v>263</v>
      </c>
    </row>
    <row r="25" spans="2:3">
      <c r="B25" t="s">
        <v>259</v>
      </c>
    </row>
    <row r="26" spans="2:3">
      <c r="B26" s="3">
        <v>2013</v>
      </c>
    </row>
    <row r="27" spans="2:3">
      <c r="B27" t="s">
        <v>260</v>
      </c>
    </row>
    <row r="28" spans="2:3">
      <c r="B28" t="s">
        <v>261</v>
      </c>
    </row>
    <row r="29" spans="2:3">
      <c r="B29" t="s">
        <v>262</v>
      </c>
    </row>
    <row r="31" spans="2:3">
      <c r="B31" s="2" t="s">
        <v>217</v>
      </c>
    </row>
    <row r="32" spans="2:3">
      <c r="B32" t="s">
        <v>186</v>
      </c>
    </row>
    <row r="33" spans="2:2">
      <c r="B33" s="3">
        <v>2016</v>
      </c>
    </row>
    <row r="34" spans="2:2">
      <c r="B34" t="s">
        <v>218</v>
      </c>
    </row>
    <row r="35" spans="2:2">
      <c r="B35" t="s">
        <v>219</v>
      </c>
    </row>
    <row r="36" spans="2:2">
      <c r="B36" t="s">
        <v>220</v>
      </c>
    </row>
    <row r="38" spans="2:2">
      <c r="B38" s="2" t="s">
        <v>34</v>
      </c>
    </row>
    <row r="39" spans="2:2">
      <c r="B39" t="s">
        <v>26</v>
      </c>
    </row>
    <row r="40" spans="2:2">
      <c r="B40" s="3">
        <v>2020</v>
      </c>
    </row>
    <row r="41" spans="2:2">
      <c r="B41" t="s">
        <v>273</v>
      </c>
    </row>
    <row r="42" spans="2:2">
      <c r="B42" t="s">
        <v>35</v>
      </c>
    </row>
    <row r="43" spans="2:2">
      <c r="B43" t="s">
        <v>27</v>
      </c>
    </row>
    <row r="45" spans="2:2">
      <c r="B45" s="2" t="s">
        <v>210</v>
      </c>
    </row>
    <row r="46" spans="2:2">
      <c r="B46" t="s">
        <v>212</v>
      </c>
    </row>
    <row r="47" spans="2:2">
      <c r="B47" s="3">
        <v>2014</v>
      </c>
    </row>
    <row r="48" spans="2:2">
      <c r="B48" t="s">
        <v>213</v>
      </c>
    </row>
    <row r="49" spans="2:2">
      <c r="B49" t="s">
        <v>233</v>
      </c>
    </row>
    <row r="50" spans="2:2">
      <c r="B50" t="s">
        <v>211</v>
      </c>
    </row>
    <row r="52" spans="2:2">
      <c r="B52" s="2" t="s">
        <v>6</v>
      </c>
    </row>
    <row r="53" spans="2:2">
      <c r="B53" t="s">
        <v>26</v>
      </c>
    </row>
    <row r="54" spans="2:2">
      <c r="B54" s="3">
        <v>2021</v>
      </c>
    </row>
    <row r="55" spans="2:2">
      <c r="B55" t="s">
        <v>435</v>
      </c>
    </row>
    <row r="56" spans="2:2">
      <c r="B56" t="s">
        <v>28</v>
      </c>
    </row>
    <row r="57" spans="2:2">
      <c r="B57" t="s">
        <v>430</v>
      </c>
    </row>
    <row r="59" spans="2:2">
      <c r="B59" s="41" t="s">
        <v>451</v>
      </c>
    </row>
    <row r="60" spans="2:2">
      <c r="B60" s="3" t="s">
        <v>452</v>
      </c>
    </row>
    <row r="61" spans="2:2">
      <c r="B61" s="3" t="s">
        <v>453</v>
      </c>
    </row>
    <row r="62" spans="2:2">
      <c r="B62" s="3">
        <v>2020</v>
      </c>
    </row>
    <row r="63" spans="2:2">
      <c r="B63" s="42" t="s">
        <v>454</v>
      </c>
    </row>
    <row r="66" spans="1:1">
      <c r="A66" s="1" t="s">
        <v>2</v>
      </c>
    </row>
    <row r="67" spans="1:1">
      <c r="A67" t="s">
        <v>3</v>
      </c>
    </row>
    <row r="68" spans="1:1">
      <c r="A68" t="s">
        <v>426</v>
      </c>
    </row>
    <row r="69" spans="1:1">
      <c r="A69" t="s">
        <v>427</v>
      </c>
    </row>
    <row r="71" spans="1:1">
      <c r="A71" t="s">
        <v>428</v>
      </c>
    </row>
    <row r="72" spans="1:1">
      <c r="A72" t="s">
        <v>429</v>
      </c>
    </row>
    <row r="74" spans="1:1">
      <c r="A74" t="s">
        <v>197</v>
      </c>
    </row>
    <row r="75" spans="1:1">
      <c r="A75" t="s">
        <v>221</v>
      </c>
    </row>
    <row r="76" spans="1:1">
      <c r="A76" t="s">
        <v>222</v>
      </c>
    </row>
    <row r="77" spans="1:1">
      <c r="A77" t="s">
        <v>223</v>
      </c>
    </row>
    <row r="79" spans="1:1">
      <c r="A79" t="s">
        <v>455</v>
      </c>
    </row>
    <row r="80" spans="1:1">
      <c r="A80" t="s">
        <v>456</v>
      </c>
    </row>
    <row r="82" spans="1:1">
      <c r="A82" t="s">
        <v>215</v>
      </c>
    </row>
    <row r="83" spans="1:1">
      <c r="A83" t="s">
        <v>216</v>
      </c>
    </row>
    <row r="84" spans="1:1">
      <c r="A84" t="s">
        <v>214</v>
      </c>
    </row>
    <row r="86" spans="1:1">
      <c r="A86" t="s">
        <v>225</v>
      </c>
    </row>
    <row r="87" spans="1:1">
      <c r="A87" t="s">
        <v>226</v>
      </c>
    </row>
    <row r="88" spans="1:1">
      <c r="A88" t="s">
        <v>227</v>
      </c>
    </row>
    <row r="89" spans="1:1">
      <c r="A89" t="s">
        <v>228</v>
      </c>
    </row>
    <row r="91" spans="1:1">
      <c r="A91" t="s">
        <v>1174</v>
      </c>
    </row>
    <row r="92" spans="1:1">
      <c r="A92" t="s">
        <v>1175</v>
      </c>
    </row>
    <row r="94" spans="1:1">
      <c r="A94" t="s">
        <v>198</v>
      </c>
    </row>
    <row r="95" spans="1:1">
      <c r="A95" t="s">
        <v>199</v>
      </c>
    </row>
    <row r="96" spans="1:1">
      <c r="A96" t="s">
        <v>200</v>
      </c>
    </row>
    <row r="98" spans="1:2">
      <c r="A98" t="s">
        <v>238</v>
      </c>
      <c r="B98">
        <v>2023</v>
      </c>
    </row>
  </sheetData>
  <hyperlinks>
    <hyperlink ref="B21" r:id="rId1" xr:uid="{00000000-0004-0000-0000-000000000000}"/>
    <hyperlink ref="B63" r:id="rId2" xr:uid="{956E7496-C2A5-4FC3-829B-E5DFF299CF26}"/>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election activeCell="B8" sqref="B8"/>
    </sheetView>
  </sheetViews>
  <sheetFormatPr defaultRowHeight="15" customHeight="1"/>
  <cols>
    <col min="1" max="1" width="29.42578125" customWidth="1"/>
    <col min="2" max="2" width="45.7109375" customWidth="1"/>
  </cols>
  <sheetData>
    <row r="1" spans="1:33" ht="15" customHeight="1" thickBot="1">
      <c r="B1" s="130" t="s">
        <v>835</v>
      </c>
      <c r="C1" s="131">
        <v>2022</v>
      </c>
      <c r="D1" s="131">
        <v>2023</v>
      </c>
      <c r="E1" s="131">
        <v>2024</v>
      </c>
      <c r="F1" s="131">
        <v>2025</v>
      </c>
      <c r="G1" s="131">
        <v>2026</v>
      </c>
      <c r="H1" s="131">
        <v>2027</v>
      </c>
      <c r="I1" s="131">
        <v>2028</v>
      </c>
      <c r="J1" s="131">
        <v>2029</v>
      </c>
      <c r="K1" s="131">
        <v>2030</v>
      </c>
      <c r="L1" s="131">
        <v>2031</v>
      </c>
      <c r="M1" s="131">
        <v>2032</v>
      </c>
      <c r="N1" s="131">
        <v>2033</v>
      </c>
      <c r="O1" s="131">
        <v>2034</v>
      </c>
      <c r="P1" s="131">
        <v>2035</v>
      </c>
      <c r="Q1" s="131">
        <v>2036</v>
      </c>
      <c r="R1" s="131">
        <v>2037</v>
      </c>
      <c r="S1" s="131">
        <v>2038</v>
      </c>
      <c r="T1" s="131">
        <v>2039</v>
      </c>
      <c r="U1" s="131">
        <v>2040</v>
      </c>
      <c r="V1" s="131">
        <v>2041</v>
      </c>
      <c r="W1" s="131">
        <v>2042</v>
      </c>
      <c r="X1" s="131">
        <v>2043</v>
      </c>
      <c r="Y1" s="131">
        <v>2044</v>
      </c>
      <c r="Z1" s="131">
        <v>2045</v>
      </c>
      <c r="AA1" s="131">
        <v>2046</v>
      </c>
      <c r="AB1" s="131">
        <v>2047</v>
      </c>
      <c r="AC1" s="131">
        <v>2048</v>
      </c>
      <c r="AD1" s="131">
        <v>2049</v>
      </c>
      <c r="AE1" s="131">
        <v>2050</v>
      </c>
    </row>
    <row r="2" spans="1:33" ht="15" customHeight="1" thickTop="1"/>
    <row r="3" spans="1:33" ht="15" customHeight="1">
      <c r="C3" s="132" t="s">
        <v>25</v>
      </c>
      <c r="D3" s="132" t="s">
        <v>836</v>
      </c>
      <c r="E3" s="105"/>
      <c r="F3" s="105"/>
      <c r="G3" s="105"/>
    </row>
    <row r="4" spans="1:33" ht="15" customHeight="1">
      <c r="C4" s="132" t="s">
        <v>24</v>
      </c>
      <c r="D4" s="132" t="s">
        <v>837</v>
      </c>
      <c r="E4" s="105"/>
      <c r="F4" s="105"/>
      <c r="G4" s="132" t="s">
        <v>838</v>
      </c>
    </row>
    <row r="5" spans="1:33" ht="15" customHeight="1">
      <c r="C5" s="132" t="s">
        <v>23</v>
      </c>
      <c r="D5" s="132" t="s">
        <v>839</v>
      </c>
      <c r="E5" s="105"/>
      <c r="F5" s="105"/>
      <c r="G5" s="105"/>
    </row>
    <row r="6" spans="1:33" ht="15" customHeight="1">
      <c r="C6" s="132" t="s">
        <v>22</v>
      </c>
      <c r="D6" s="105"/>
      <c r="E6" s="132" t="s">
        <v>840</v>
      </c>
      <c r="F6" s="105"/>
      <c r="G6" s="105"/>
    </row>
    <row r="7" spans="1:33" ht="12" customHeight="1"/>
    <row r="8" spans="1:33" ht="12" customHeight="1"/>
    <row r="9" spans="1:33" ht="12" customHeight="1">
      <c r="B9" s="17"/>
      <c r="C9" s="17"/>
      <c r="D9" s="17"/>
      <c r="E9" s="17"/>
      <c r="F9" s="17"/>
      <c r="G9" s="17"/>
      <c r="H9" s="17"/>
      <c r="I9" s="17"/>
      <c r="J9" s="17"/>
      <c r="K9" s="17"/>
      <c r="L9" s="17"/>
      <c r="M9" s="17"/>
      <c r="N9" s="17"/>
      <c r="O9" s="17"/>
      <c r="P9" s="17"/>
      <c r="Q9" s="17"/>
      <c r="R9" s="17"/>
      <c r="S9" s="17"/>
      <c r="T9" s="17"/>
      <c r="U9" s="17"/>
      <c r="V9" s="17"/>
      <c r="W9" s="17"/>
      <c r="X9" s="17"/>
      <c r="Y9" s="17"/>
      <c r="Z9" s="17"/>
      <c r="AA9" s="17"/>
      <c r="AB9" s="17"/>
      <c r="AC9" s="17"/>
      <c r="AD9" s="17"/>
      <c r="AE9" s="17"/>
      <c r="AF9" s="17"/>
      <c r="AG9" s="17"/>
    </row>
    <row r="10" spans="1:33" ht="15" customHeight="1">
      <c r="A10" s="15" t="s">
        <v>185</v>
      </c>
      <c r="B10" s="133" t="s">
        <v>184</v>
      </c>
      <c r="C10" s="17"/>
      <c r="D10" s="17"/>
      <c r="E10" s="17"/>
      <c r="F10" s="17"/>
      <c r="G10" s="17"/>
      <c r="H10" s="17"/>
      <c r="I10" s="17"/>
      <c r="J10" s="17"/>
      <c r="K10" s="17"/>
      <c r="L10" s="17"/>
      <c r="M10" s="17"/>
      <c r="N10" s="17"/>
      <c r="O10" s="17"/>
      <c r="P10" s="17"/>
      <c r="Q10" s="17"/>
      <c r="R10" s="17"/>
      <c r="S10" s="17"/>
      <c r="T10" s="17"/>
      <c r="U10" s="17"/>
      <c r="V10" s="17"/>
      <c r="W10" s="17"/>
      <c r="X10" s="17"/>
      <c r="Y10" s="17"/>
      <c r="Z10" s="17"/>
      <c r="AA10" s="17"/>
      <c r="AB10" s="17"/>
      <c r="AC10" s="17"/>
      <c r="AD10" s="17"/>
      <c r="AE10" s="17"/>
      <c r="AF10" s="134" t="s">
        <v>1172</v>
      </c>
      <c r="AG10" s="17"/>
    </row>
    <row r="11" spans="1:33" ht="15" customHeight="1">
      <c r="B11" s="135"/>
      <c r="C11" s="17"/>
      <c r="D11" s="17"/>
      <c r="E11" s="17"/>
      <c r="F11" s="17"/>
      <c r="G11" s="17"/>
      <c r="H11" s="17"/>
      <c r="I11" s="17"/>
      <c r="J11" s="17"/>
      <c r="K11" s="17"/>
      <c r="L11" s="17"/>
      <c r="M11" s="17"/>
      <c r="N11" s="17"/>
      <c r="O11" s="17"/>
      <c r="P11" s="17"/>
      <c r="Q11" s="17"/>
      <c r="R11" s="17"/>
      <c r="S11" s="17"/>
      <c r="T11" s="17"/>
      <c r="U11" s="17"/>
      <c r="V11" s="17"/>
      <c r="W11" s="17"/>
      <c r="X11" s="17"/>
      <c r="Y11" s="17"/>
      <c r="Z11" s="17"/>
      <c r="AA11" s="17"/>
      <c r="AB11" s="17"/>
      <c r="AC11" s="17"/>
      <c r="AD11" s="17"/>
      <c r="AE11" s="17"/>
      <c r="AF11" s="134" t="s">
        <v>843</v>
      </c>
      <c r="AG11" s="17"/>
    </row>
    <row r="12" spans="1:33" ht="15" customHeight="1">
      <c r="B12" s="135"/>
      <c r="C12" s="136"/>
      <c r="D12" s="136"/>
      <c r="E12" s="136"/>
      <c r="F12" s="136"/>
      <c r="G12" s="136"/>
      <c r="H12" s="136"/>
      <c r="I12" s="136"/>
      <c r="J12" s="136"/>
      <c r="K12" s="136"/>
      <c r="L12" s="136"/>
      <c r="M12" s="136"/>
      <c r="N12" s="136"/>
      <c r="O12" s="136"/>
      <c r="P12" s="136"/>
      <c r="Q12" s="136"/>
      <c r="R12" s="136"/>
      <c r="S12" s="136"/>
      <c r="T12" s="136"/>
      <c r="U12" s="136"/>
      <c r="V12" s="136"/>
      <c r="W12" s="136"/>
      <c r="X12" s="136"/>
      <c r="Y12" s="136"/>
      <c r="Z12" s="136"/>
      <c r="AA12" s="136"/>
      <c r="AB12" s="136"/>
      <c r="AC12" s="136"/>
      <c r="AD12" s="136"/>
      <c r="AE12" s="136"/>
      <c r="AF12" s="134" t="s">
        <v>844</v>
      </c>
      <c r="AG12" s="17"/>
    </row>
    <row r="13" spans="1:33" ht="15" customHeight="1" thickBot="1">
      <c r="B13" s="137" t="s">
        <v>183</v>
      </c>
      <c r="C13" s="137">
        <v>2022</v>
      </c>
      <c r="D13" s="137">
        <v>2023</v>
      </c>
      <c r="E13" s="137">
        <v>2024</v>
      </c>
      <c r="F13" s="137">
        <v>2025</v>
      </c>
      <c r="G13" s="137">
        <v>2026</v>
      </c>
      <c r="H13" s="137">
        <v>2027</v>
      </c>
      <c r="I13" s="137">
        <v>2028</v>
      </c>
      <c r="J13" s="137">
        <v>2029</v>
      </c>
      <c r="K13" s="137">
        <v>2030</v>
      </c>
      <c r="L13" s="137">
        <v>2031</v>
      </c>
      <c r="M13" s="137">
        <v>2032</v>
      </c>
      <c r="N13" s="137">
        <v>2033</v>
      </c>
      <c r="O13" s="137">
        <v>2034</v>
      </c>
      <c r="P13" s="137">
        <v>2035</v>
      </c>
      <c r="Q13" s="137">
        <v>2036</v>
      </c>
      <c r="R13" s="137">
        <v>2037</v>
      </c>
      <c r="S13" s="137">
        <v>2038</v>
      </c>
      <c r="T13" s="137">
        <v>2039</v>
      </c>
      <c r="U13" s="137">
        <v>2040</v>
      </c>
      <c r="V13" s="137">
        <v>2041</v>
      </c>
      <c r="W13" s="137">
        <v>2042</v>
      </c>
      <c r="X13" s="137">
        <v>2043</v>
      </c>
      <c r="Y13" s="137">
        <v>2044</v>
      </c>
      <c r="Z13" s="137">
        <v>2045</v>
      </c>
      <c r="AA13" s="137">
        <v>2046</v>
      </c>
      <c r="AB13" s="137">
        <v>2047</v>
      </c>
      <c r="AC13" s="137">
        <v>2048</v>
      </c>
      <c r="AD13" s="137">
        <v>2049</v>
      </c>
      <c r="AE13" s="137">
        <v>2050</v>
      </c>
      <c r="AF13" s="138" t="s">
        <v>845</v>
      </c>
      <c r="AG13" s="17"/>
    </row>
    <row r="14" spans="1:33" ht="15" customHeight="1" thickTop="1">
      <c r="B14" s="17"/>
      <c r="C14" s="17"/>
      <c r="D14" s="17"/>
      <c r="E14" s="17"/>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c r="AE14" s="17"/>
      <c r="AF14" s="17"/>
      <c r="AG14" s="17"/>
    </row>
    <row r="15" spans="1:33" ht="15" customHeight="1">
      <c r="B15" s="139" t="s">
        <v>182</v>
      </c>
      <c r="C15" s="17"/>
      <c r="D15" s="17"/>
      <c r="E15" s="17"/>
      <c r="F15" s="17"/>
      <c r="G15" s="17"/>
      <c r="H15" s="17"/>
      <c r="I15" s="17"/>
      <c r="J15" s="17"/>
      <c r="K15" s="17"/>
      <c r="L15" s="17"/>
      <c r="M15" s="17"/>
      <c r="N15" s="17"/>
      <c r="O15" s="17"/>
      <c r="P15" s="17"/>
      <c r="Q15" s="17"/>
      <c r="R15" s="17"/>
      <c r="S15" s="17"/>
      <c r="T15" s="17"/>
      <c r="U15" s="17"/>
      <c r="V15" s="17"/>
      <c r="W15" s="17"/>
      <c r="X15" s="17"/>
      <c r="Y15" s="17"/>
      <c r="Z15" s="17"/>
      <c r="AA15" s="17"/>
      <c r="AB15" s="17"/>
      <c r="AC15" s="17"/>
      <c r="AD15" s="17"/>
      <c r="AE15" s="17"/>
      <c r="AF15" s="17"/>
      <c r="AG15" s="17"/>
    </row>
    <row r="16" spans="1:33" ht="15" customHeight="1">
      <c r="B16" s="139" t="s">
        <v>181</v>
      </c>
      <c r="C16" s="17"/>
      <c r="D16" s="17"/>
      <c r="E16" s="17"/>
      <c r="F16" s="17"/>
      <c r="G16" s="17"/>
      <c r="H16" s="17"/>
      <c r="I16" s="17"/>
      <c r="J16" s="17"/>
      <c r="K16" s="17"/>
      <c r="L16" s="17"/>
      <c r="M16" s="17"/>
      <c r="N16" s="17"/>
      <c r="O16" s="17"/>
      <c r="P16" s="17"/>
      <c r="Q16" s="17"/>
      <c r="R16" s="17"/>
      <c r="S16" s="17"/>
      <c r="T16" s="17"/>
      <c r="U16" s="17"/>
      <c r="V16" s="17"/>
      <c r="W16" s="17"/>
      <c r="X16" s="17"/>
      <c r="Y16" s="17"/>
      <c r="Z16" s="17"/>
      <c r="AA16" s="17"/>
      <c r="AB16" s="17"/>
      <c r="AC16" s="17"/>
      <c r="AD16" s="17"/>
      <c r="AE16" s="17"/>
      <c r="AF16" s="17"/>
      <c r="AG16" s="17"/>
    </row>
    <row r="17" spans="1:33" ht="15" customHeight="1">
      <c r="B17" s="139" t="s">
        <v>180</v>
      </c>
      <c r="C17" s="17"/>
      <c r="D17" s="17"/>
      <c r="E17" s="17"/>
      <c r="F17" s="17"/>
      <c r="G17" s="17"/>
      <c r="H17" s="17"/>
      <c r="I17" s="17"/>
      <c r="J17" s="17"/>
      <c r="K17" s="17"/>
      <c r="L17" s="17"/>
      <c r="M17" s="17"/>
      <c r="N17" s="17"/>
      <c r="O17" s="17"/>
      <c r="P17" s="17"/>
      <c r="Q17" s="17"/>
      <c r="R17" s="17"/>
      <c r="S17" s="17"/>
      <c r="T17" s="17"/>
      <c r="U17" s="17"/>
      <c r="V17" s="17"/>
      <c r="W17" s="17"/>
      <c r="X17" s="17"/>
      <c r="Y17" s="17"/>
      <c r="Z17" s="17"/>
      <c r="AA17" s="17"/>
      <c r="AB17" s="17"/>
      <c r="AC17" s="17"/>
      <c r="AD17" s="17"/>
      <c r="AE17" s="17"/>
      <c r="AF17" s="17"/>
      <c r="AG17" s="17"/>
    </row>
    <row r="18" spans="1:33" ht="15" customHeight="1">
      <c r="A18" s="15" t="s">
        <v>179</v>
      </c>
      <c r="B18" s="140" t="s">
        <v>178</v>
      </c>
      <c r="C18" s="141">
        <v>2843.298096</v>
      </c>
      <c r="D18" s="141">
        <v>2901.3588869999999</v>
      </c>
      <c r="E18" s="141">
        <v>2922.5065920000002</v>
      </c>
      <c r="F18" s="141">
        <v>2933.360107</v>
      </c>
      <c r="G18" s="141">
        <v>2954.2380370000001</v>
      </c>
      <c r="H18" s="141">
        <v>2981.9343260000001</v>
      </c>
      <c r="I18" s="141">
        <v>3007.5581050000001</v>
      </c>
      <c r="J18" s="141">
        <v>3027.5729980000001</v>
      </c>
      <c r="K18" s="141">
        <v>3042.8432619999999</v>
      </c>
      <c r="L18" s="141">
        <v>3055.7746579999998</v>
      </c>
      <c r="M18" s="141">
        <v>3066.6516109999998</v>
      </c>
      <c r="N18" s="141">
        <v>3082.359375</v>
      </c>
      <c r="O18" s="141">
        <v>3102.4182129999999</v>
      </c>
      <c r="P18" s="141">
        <v>3120.7375489999999</v>
      </c>
      <c r="Q18" s="141">
        <v>3135.6208499999998</v>
      </c>
      <c r="R18" s="141">
        <v>3152.9177249999998</v>
      </c>
      <c r="S18" s="141">
        <v>3172.435547</v>
      </c>
      <c r="T18" s="141">
        <v>3192.100586</v>
      </c>
      <c r="U18" s="141">
        <v>3214.5629880000001</v>
      </c>
      <c r="V18" s="141">
        <v>3237.5805660000001</v>
      </c>
      <c r="W18" s="141">
        <v>3261.5847170000002</v>
      </c>
      <c r="X18" s="141">
        <v>3284.897461</v>
      </c>
      <c r="Y18" s="141">
        <v>3309.0390619999998</v>
      </c>
      <c r="Z18" s="141">
        <v>3334.7033689999998</v>
      </c>
      <c r="AA18" s="141">
        <v>3364.522461</v>
      </c>
      <c r="AB18" s="141">
        <v>3396.5351559999999</v>
      </c>
      <c r="AC18" s="141">
        <v>3429.5627439999998</v>
      </c>
      <c r="AD18" s="141">
        <v>3463.0249020000001</v>
      </c>
      <c r="AE18" s="141">
        <v>3499.5429690000001</v>
      </c>
      <c r="AF18" s="142">
        <v>7.4440000000000001E-3</v>
      </c>
      <c r="AG18" s="17"/>
    </row>
    <row r="19" spans="1:33" ht="15" customHeight="1">
      <c r="A19" s="15" t="s">
        <v>177</v>
      </c>
      <c r="B19" s="140" t="s">
        <v>176</v>
      </c>
      <c r="C19" s="141">
        <v>102.214951</v>
      </c>
      <c r="D19" s="141">
        <v>103.34345999999999</v>
      </c>
      <c r="E19" s="141">
        <v>103.55378</v>
      </c>
      <c r="F19" s="141">
        <v>104.36998699999999</v>
      </c>
      <c r="G19" s="141">
        <v>105.656265</v>
      </c>
      <c r="H19" s="141">
        <v>107.002548</v>
      </c>
      <c r="I19" s="141">
        <v>108.204063</v>
      </c>
      <c r="J19" s="141">
        <v>109.329842</v>
      </c>
      <c r="K19" s="141">
        <v>110.214569</v>
      </c>
      <c r="L19" s="141">
        <v>111.063705</v>
      </c>
      <c r="M19" s="141">
        <v>112.175911</v>
      </c>
      <c r="N19" s="141">
        <v>113.26731100000001</v>
      </c>
      <c r="O19" s="141">
        <v>114.361328</v>
      </c>
      <c r="P19" s="141">
        <v>115.539856</v>
      </c>
      <c r="Q19" s="141">
        <v>116.693398</v>
      </c>
      <c r="R19" s="141">
        <v>117.934776</v>
      </c>
      <c r="S19" s="141">
        <v>119.26325199999999</v>
      </c>
      <c r="T19" s="141">
        <v>120.517143</v>
      </c>
      <c r="U19" s="141">
        <v>121.965698</v>
      </c>
      <c r="V19" s="141">
        <v>123.543205</v>
      </c>
      <c r="W19" s="141">
        <v>125.055435</v>
      </c>
      <c r="X19" s="141">
        <v>126.490196</v>
      </c>
      <c r="Y19" s="141">
        <v>127.831902</v>
      </c>
      <c r="Z19" s="141">
        <v>129.14802599999999</v>
      </c>
      <c r="AA19" s="141">
        <v>130.647919</v>
      </c>
      <c r="AB19" s="141">
        <v>132.25534099999999</v>
      </c>
      <c r="AC19" s="141">
        <v>133.71923799999999</v>
      </c>
      <c r="AD19" s="141">
        <v>135.16911300000001</v>
      </c>
      <c r="AE19" s="141">
        <v>137.065033</v>
      </c>
      <c r="AF19" s="142">
        <v>1.0533000000000001E-2</v>
      </c>
      <c r="AG19" s="17"/>
    </row>
    <row r="20" spans="1:33" ht="15" customHeight="1">
      <c r="A20" s="15" t="s">
        <v>175</v>
      </c>
      <c r="B20" s="140" t="s">
        <v>174</v>
      </c>
      <c r="C20" s="141">
        <v>321.95498700000002</v>
      </c>
      <c r="D20" s="141">
        <v>320.72061200000002</v>
      </c>
      <c r="E20" s="141">
        <v>321.15664700000002</v>
      </c>
      <c r="F20" s="141">
        <v>324.03918499999997</v>
      </c>
      <c r="G20" s="141">
        <v>328.45147700000001</v>
      </c>
      <c r="H20" s="141">
        <v>332.319275</v>
      </c>
      <c r="I20" s="141">
        <v>335.87875400000001</v>
      </c>
      <c r="J20" s="141">
        <v>338.62100199999998</v>
      </c>
      <c r="K20" s="141">
        <v>341.15325899999999</v>
      </c>
      <c r="L20" s="141">
        <v>344.16229199999998</v>
      </c>
      <c r="M20" s="141">
        <v>348.16583300000002</v>
      </c>
      <c r="N20" s="141">
        <v>351.54122899999999</v>
      </c>
      <c r="O20" s="141">
        <v>354.83010899999999</v>
      </c>
      <c r="P20" s="141">
        <v>358.344696</v>
      </c>
      <c r="Q20" s="141">
        <v>361.39355499999999</v>
      </c>
      <c r="R20" s="141">
        <v>364.92678799999999</v>
      </c>
      <c r="S20" s="141">
        <v>368.38064600000001</v>
      </c>
      <c r="T20" s="141">
        <v>371.81143200000002</v>
      </c>
      <c r="U20" s="141">
        <v>375.58807400000001</v>
      </c>
      <c r="V20" s="141">
        <v>379.58752399999997</v>
      </c>
      <c r="W20" s="141">
        <v>383.51464800000002</v>
      </c>
      <c r="X20" s="141">
        <v>387.20883199999997</v>
      </c>
      <c r="Y20" s="141">
        <v>390.63339200000001</v>
      </c>
      <c r="Z20" s="141">
        <v>393.83795199999997</v>
      </c>
      <c r="AA20" s="141">
        <v>397.54263300000002</v>
      </c>
      <c r="AB20" s="141">
        <v>401.35467499999999</v>
      </c>
      <c r="AC20" s="141">
        <v>404.65982100000002</v>
      </c>
      <c r="AD20" s="141">
        <v>408.22445699999997</v>
      </c>
      <c r="AE20" s="141">
        <v>413.08251999999999</v>
      </c>
      <c r="AF20" s="142">
        <v>8.9409999999999993E-3</v>
      </c>
      <c r="AG20" s="17"/>
    </row>
    <row r="21" spans="1:33" ht="15" customHeight="1">
      <c r="B21" s="139" t="s">
        <v>234</v>
      </c>
      <c r="C21" s="17"/>
      <c r="D21" s="17"/>
      <c r="E21" s="17"/>
      <c r="F21" s="17"/>
      <c r="G21" s="17"/>
      <c r="H21" s="17"/>
      <c r="I21" s="17"/>
      <c r="J21" s="17"/>
      <c r="K21" s="17"/>
      <c r="L21" s="17"/>
      <c r="M21" s="17"/>
      <c r="N21" s="17"/>
      <c r="O21" s="17"/>
      <c r="P21" s="17"/>
      <c r="Q21" s="17"/>
      <c r="R21" s="17"/>
      <c r="S21" s="17"/>
      <c r="T21" s="17"/>
      <c r="U21" s="17"/>
      <c r="V21" s="17"/>
      <c r="W21" s="17"/>
      <c r="X21" s="17"/>
      <c r="Y21" s="17"/>
      <c r="Z21" s="17"/>
      <c r="AA21" s="17"/>
      <c r="AB21" s="17"/>
      <c r="AC21" s="17"/>
      <c r="AD21" s="17"/>
      <c r="AE21" s="17"/>
      <c r="AF21" s="17"/>
      <c r="AG21" s="17"/>
    </row>
    <row r="22" spans="1:33" ht="15" customHeight="1">
      <c r="A22" s="15" t="s">
        <v>229</v>
      </c>
      <c r="B22" s="140" t="s">
        <v>230</v>
      </c>
      <c r="C22" s="141">
        <v>175.473648</v>
      </c>
      <c r="D22" s="141">
        <v>186.883286</v>
      </c>
      <c r="E22" s="141">
        <v>193.369202</v>
      </c>
      <c r="F22" s="141">
        <v>197.39228800000001</v>
      </c>
      <c r="G22" s="141">
        <v>200.32751500000001</v>
      </c>
      <c r="H22" s="141">
        <v>202.52967799999999</v>
      </c>
      <c r="I22" s="141">
        <v>204.211411</v>
      </c>
      <c r="J22" s="141">
        <v>205.46838399999999</v>
      </c>
      <c r="K22" s="141">
        <v>206.39357000000001</v>
      </c>
      <c r="L22" s="141">
        <v>207.029404</v>
      </c>
      <c r="M22" s="141">
        <v>207.54084800000001</v>
      </c>
      <c r="N22" s="141">
        <v>207.99565100000001</v>
      </c>
      <c r="O22" s="141">
        <v>208.43975800000001</v>
      </c>
      <c r="P22" s="141">
        <v>208.79684399999999</v>
      </c>
      <c r="Q22" s="141">
        <v>209.10339400000001</v>
      </c>
      <c r="R22" s="141">
        <v>209.37013200000001</v>
      </c>
      <c r="S22" s="141">
        <v>209.49378999999999</v>
      </c>
      <c r="T22" s="141">
        <v>209.54415900000001</v>
      </c>
      <c r="U22" s="141">
        <v>209.54357899999999</v>
      </c>
      <c r="V22" s="141">
        <v>209.49118000000001</v>
      </c>
      <c r="W22" s="141">
        <v>209.41184999999999</v>
      </c>
      <c r="X22" s="141">
        <v>209.25843800000001</v>
      </c>
      <c r="Y22" s="141">
        <v>209.10913099999999</v>
      </c>
      <c r="Z22" s="141">
        <v>208.931015</v>
      </c>
      <c r="AA22" s="141">
        <v>208.81189000000001</v>
      </c>
      <c r="AB22" s="141">
        <v>208.60612499999999</v>
      </c>
      <c r="AC22" s="141">
        <v>208.41769400000001</v>
      </c>
      <c r="AD22" s="141">
        <v>208.192352</v>
      </c>
      <c r="AE22" s="141">
        <v>207.995926</v>
      </c>
      <c r="AF22" s="142">
        <v>6.0910000000000001E-3</v>
      </c>
      <c r="AG22" s="17"/>
    </row>
    <row r="23" spans="1:33" ht="15" customHeight="1">
      <c r="A23" s="15" t="s">
        <v>231</v>
      </c>
      <c r="B23" s="140" t="s">
        <v>232</v>
      </c>
      <c r="C23" s="141">
        <v>30.144946999999998</v>
      </c>
      <c r="D23" s="141">
        <v>32.030231000000001</v>
      </c>
      <c r="E23" s="141">
        <v>33.064109999999999</v>
      </c>
      <c r="F23" s="141">
        <v>33.706195999999998</v>
      </c>
      <c r="G23" s="141">
        <v>34.620327000000003</v>
      </c>
      <c r="H23" s="141">
        <v>35.443916000000002</v>
      </c>
      <c r="I23" s="141">
        <v>36.137473999999997</v>
      </c>
      <c r="J23" s="141">
        <v>36.650322000000003</v>
      </c>
      <c r="K23" s="141">
        <v>37.00806</v>
      </c>
      <c r="L23" s="141">
        <v>37.264552999999999</v>
      </c>
      <c r="M23" s="141">
        <v>37.633518000000002</v>
      </c>
      <c r="N23" s="141">
        <v>38.067889999999998</v>
      </c>
      <c r="O23" s="141">
        <v>38.564194000000001</v>
      </c>
      <c r="P23" s="141">
        <v>38.985652999999999</v>
      </c>
      <c r="Q23" s="141">
        <v>39.398944999999998</v>
      </c>
      <c r="R23" s="141">
        <v>39.809189000000003</v>
      </c>
      <c r="S23" s="141">
        <v>40.237045000000002</v>
      </c>
      <c r="T23" s="141">
        <v>40.652228999999998</v>
      </c>
      <c r="U23" s="141">
        <v>41.127974999999999</v>
      </c>
      <c r="V23" s="141">
        <v>41.567630999999999</v>
      </c>
      <c r="W23" s="141">
        <v>42.019573000000001</v>
      </c>
      <c r="X23" s="141">
        <v>42.407310000000003</v>
      </c>
      <c r="Y23" s="141">
        <v>42.842342000000002</v>
      </c>
      <c r="Z23" s="141">
        <v>43.266334999999998</v>
      </c>
      <c r="AA23" s="141">
        <v>43.867863</v>
      </c>
      <c r="AB23" s="141">
        <v>44.361511</v>
      </c>
      <c r="AC23" s="141">
        <v>44.905074999999997</v>
      </c>
      <c r="AD23" s="141">
        <v>45.395485000000001</v>
      </c>
      <c r="AE23" s="141">
        <v>46.002594000000002</v>
      </c>
      <c r="AF23" s="142">
        <v>1.521E-2</v>
      </c>
      <c r="AG23" s="17"/>
    </row>
    <row r="24" spans="1:33" ht="15" customHeight="1">
      <c r="B24" s="139" t="s">
        <v>173</v>
      </c>
      <c r="C24" s="17"/>
      <c r="D24" s="17"/>
      <c r="E24" s="17"/>
      <c r="F24" s="17"/>
      <c r="G24" s="17"/>
      <c r="H24" s="17"/>
      <c r="I24" s="17"/>
      <c r="J24" s="17"/>
      <c r="K24" s="17"/>
      <c r="L24" s="17"/>
      <c r="M24" s="17"/>
      <c r="N24" s="17"/>
      <c r="O24" s="17"/>
      <c r="P24" s="17"/>
      <c r="Q24" s="17"/>
      <c r="R24" s="17"/>
      <c r="S24" s="17"/>
      <c r="T24" s="17"/>
      <c r="U24" s="17"/>
      <c r="V24" s="17"/>
      <c r="W24" s="17"/>
      <c r="X24" s="17"/>
      <c r="Y24" s="17"/>
      <c r="Z24" s="17"/>
      <c r="AA24" s="17"/>
      <c r="AB24" s="17"/>
      <c r="AC24" s="17"/>
      <c r="AD24" s="17"/>
      <c r="AE24" s="17"/>
      <c r="AF24" s="17"/>
      <c r="AG24" s="17"/>
    </row>
    <row r="25" spans="1:33" ht="15" customHeight="1">
      <c r="A25" s="15" t="s">
        <v>172</v>
      </c>
      <c r="B25" s="140" t="s">
        <v>171</v>
      </c>
      <c r="C25" s="141">
        <v>1173.034668</v>
      </c>
      <c r="D25" s="141">
        <v>1318.6945800000001</v>
      </c>
      <c r="E25" s="141">
        <v>1361.6110839999999</v>
      </c>
      <c r="F25" s="141">
        <v>1371.6551509999999</v>
      </c>
      <c r="G25" s="141">
        <v>1402.9279790000001</v>
      </c>
      <c r="H25" s="141">
        <v>1433.8398440000001</v>
      </c>
      <c r="I25" s="141">
        <v>1461.472168</v>
      </c>
      <c r="J25" s="141">
        <v>1484.8291019999999</v>
      </c>
      <c r="K25" s="141">
        <v>1504.2687989999999</v>
      </c>
      <c r="L25" s="141">
        <v>1524.7269289999999</v>
      </c>
      <c r="M25" s="141">
        <v>1552.256836</v>
      </c>
      <c r="N25" s="141">
        <v>1583.9248050000001</v>
      </c>
      <c r="O25" s="141">
        <v>1615.380249</v>
      </c>
      <c r="P25" s="141">
        <v>1647.3461910000001</v>
      </c>
      <c r="Q25" s="141">
        <v>1682.5896</v>
      </c>
      <c r="R25" s="141">
        <v>1721.046875</v>
      </c>
      <c r="S25" s="141">
        <v>1761.139038</v>
      </c>
      <c r="T25" s="141">
        <v>1801.9410399999999</v>
      </c>
      <c r="U25" s="141">
        <v>1848.0720209999999</v>
      </c>
      <c r="V25" s="141">
        <v>1894.2041019999999</v>
      </c>
      <c r="W25" s="141">
        <v>1941.463013</v>
      </c>
      <c r="X25" s="141">
        <v>1990.3642580000001</v>
      </c>
      <c r="Y25" s="141">
        <v>2038.4373780000001</v>
      </c>
      <c r="Z25" s="141">
        <v>2085.6875</v>
      </c>
      <c r="AA25" s="141">
        <v>2134.0048830000001</v>
      </c>
      <c r="AB25" s="141">
        <v>2185.8969729999999</v>
      </c>
      <c r="AC25" s="141">
        <v>2238.836182</v>
      </c>
      <c r="AD25" s="141">
        <v>2292.3554690000001</v>
      </c>
      <c r="AE25" s="141">
        <v>2350.2690429999998</v>
      </c>
      <c r="AF25" s="142">
        <v>2.513E-2</v>
      </c>
      <c r="AG25" s="17"/>
    </row>
    <row r="26" spans="1:33" ht="15" customHeight="1">
      <c r="B26" s="139" t="s">
        <v>170</v>
      </c>
      <c r="C26" s="17"/>
      <c r="D26" s="17"/>
      <c r="E26" s="17"/>
      <c r="F26" s="17"/>
      <c r="G26" s="17"/>
      <c r="H26" s="17"/>
      <c r="I26" s="17"/>
      <c r="J26" s="17"/>
      <c r="K26" s="17"/>
      <c r="L26" s="17"/>
      <c r="M26" s="17"/>
      <c r="N26" s="17"/>
      <c r="O26" s="17"/>
      <c r="P26" s="17"/>
      <c r="Q26" s="17"/>
      <c r="R26" s="17"/>
      <c r="S26" s="17"/>
      <c r="T26" s="17"/>
      <c r="U26" s="17"/>
      <c r="V26" s="17"/>
      <c r="W26" s="17"/>
      <c r="X26" s="17"/>
      <c r="Y26" s="17"/>
      <c r="Z26" s="17"/>
      <c r="AA26" s="17"/>
      <c r="AB26" s="17"/>
      <c r="AC26" s="17"/>
      <c r="AD26" s="17"/>
      <c r="AE26" s="17"/>
      <c r="AF26" s="17"/>
      <c r="AG26" s="17"/>
    </row>
    <row r="27" spans="1:33" ht="15" customHeight="1">
      <c r="A27" s="15" t="s">
        <v>169</v>
      </c>
      <c r="B27" s="140" t="s">
        <v>128</v>
      </c>
      <c r="C27" s="141">
        <v>1620.4948730000001</v>
      </c>
      <c r="D27" s="141">
        <v>1600.1008300000001</v>
      </c>
      <c r="E27" s="141">
        <v>1666.9197999999999</v>
      </c>
      <c r="F27" s="141">
        <v>1628.408447</v>
      </c>
      <c r="G27" s="141">
        <v>1561.420654</v>
      </c>
      <c r="H27" s="141">
        <v>1509.649414</v>
      </c>
      <c r="I27" s="141">
        <v>1489.7312010000001</v>
      </c>
      <c r="J27" s="141">
        <v>1507.5151370000001</v>
      </c>
      <c r="K27" s="141">
        <v>1500.1649170000001</v>
      </c>
      <c r="L27" s="141">
        <v>1506.952393</v>
      </c>
      <c r="M27" s="141">
        <v>1522.1982419999999</v>
      </c>
      <c r="N27" s="141">
        <v>1534.73938</v>
      </c>
      <c r="O27" s="141">
        <v>1543.237427</v>
      </c>
      <c r="P27" s="141">
        <v>1554.590698</v>
      </c>
      <c r="Q27" s="141">
        <v>1557.5253909999999</v>
      </c>
      <c r="R27" s="141">
        <v>1562.481567</v>
      </c>
      <c r="S27" s="141">
        <v>1568.966064</v>
      </c>
      <c r="T27" s="141">
        <v>1568.3394780000001</v>
      </c>
      <c r="U27" s="141">
        <v>1571.777466</v>
      </c>
      <c r="V27" s="141">
        <v>1585.611206</v>
      </c>
      <c r="W27" s="141">
        <v>1597.3070070000001</v>
      </c>
      <c r="X27" s="141">
        <v>1600.190918</v>
      </c>
      <c r="Y27" s="141">
        <v>1601.832764</v>
      </c>
      <c r="Z27" s="141">
        <v>1602.998779</v>
      </c>
      <c r="AA27" s="141">
        <v>1608.1293949999999</v>
      </c>
      <c r="AB27" s="141">
        <v>1618.0823969999999</v>
      </c>
      <c r="AC27" s="141">
        <v>1630.8079829999999</v>
      </c>
      <c r="AD27" s="141">
        <v>1636.8905030000001</v>
      </c>
      <c r="AE27" s="141">
        <v>1649.469482</v>
      </c>
      <c r="AF27" s="142">
        <v>6.3299999999999999E-4</v>
      </c>
      <c r="AG27" s="17"/>
    </row>
    <row r="28" spans="1:33" ht="15" customHeight="1">
      <c r="A28" s="15" t="s">
        <v>168</v>
      </c>
      <c r="B28" s="140" t="s">
        <v>126</v>
      </c>
      <c r="C28" s="141">
        <v>444.898865</v>
      </c>
      <c r="D28" s="141">
        <v>450.42761200000001</v>
      </c>
      <c r="E28" s="141">
        <v>448.61004600000001</v>
      </c>
      <c r="F28" s="141">
        <v>446.74627700000002</v>
      </c>
      <c r="G28" s="141">
        <v>445.22772200000003</v>
      </c>
      <c r="H28" s="141">
        <v>442.84777800000001</v>
      </c>
      <c r="I28" s="141">
        <v>440.43005399999998</v>
      </c>
      <c r="J28" s="141">
        <v>437.02459700000003</v>
      </c>
      <c r="K28" s="141">
        <v>434.036407</v>
      </c>
      <c r="L28" s="141">
        <v>431.39211999999998</v>
      </c>
      <c r="M28" s="141">
        <v>429.99737499999998</v>
      </c>
      <c r="N28" s="141">
        <v>428.16067500000003</v>
      </c>
      <c r="O28" s="141">
        <v>426.27862499999998</v>
      </c>
      <c r="P28" s="141">
        <v>424.17816199999999</v>
      </c>
      <c r="Q28" s="141">
        <v>421.71697999999998</v>
      </c>
      <c r="R28" s="141">
        <v>419.81463600000001</v>
      </c>
      <c r="S28" s="141">
        <v>417.567047</v>
      </c>
      <c r="T28" s="141">
        <v>415.80767800000001</v>
      </c>
      <c r="U28" s="141">
        <v>414.04513500000002</v>
      </c>
      <c r="V28" s="141">
        <v>412.52209499999998</v>
      </c>
      <c r="W28" s="141">
        <v>411.24774200000002</v>
      </c>
      <c r="X28" s="141">
        <v>409.97735599999999</v>
      </c>
      <c r="Y28" s="141">
        <v>408.52224699999999</v>
      </c>
      <c r="Z28" s="141">
        <v>406.63034099999999</v>
      </c>
      <c r="AA28" s="141">
        <v>405.358521</v>
      </c>
      <c r="AB28" s="141">
        <v>403.865906</v>
      </c>
      <c r="AC28" s="141">
        <v>401.97906499999999</v>
      </c>
      <c r="AD28" s="141">
        <v>400.55664100000001</v>
      </c>
      <c r="AE28" s="141">
        <v>400.09832799999998</v>
      </c>
      <c r="AF28" s="142">
        <v>-3.7829999999999999E-3</v>
      </c>
      <c r="AG28" s="17"/>
    </row>
    <row r="29" spans="1:33" ht="15" customHeight="1">
      <c r="B29" s="17"/>
      <c r="C29" s="17"/>
      <c r="D29" s="17"/>
      <c r="E29" s="17"/>
      <c r="F29" s="17"/>
      <c r="G29" s="17"/>
      <c r="H29" s="17"/>
      <c r="I29" s="17"/>
      <c r="J29" s="17"/>
      <c r="K29" s="17"/>
      <c r="L29" s="17"/>
      <c r="M29" s="17"/>
      <c r="N29" s="17"/>
      <c r="O29" s="17"/>
      <c r="P29" s="17"/>
      <c r="Q29" s="17"/>
      <c r="R29" s="17"/>
      <c r="S29" s="17"/>
      <c r="T29" s="17"/>
      <c r="U29" s="17"/>
      <c r="V29" s="17"/>
      <c r="W29" s="17"/>
      <c r="X29" s="17"/>
      <c r="Y29" s="17"/>
      <c r="Z29" s="17"/>
      <c r="AA29" s="17"/>
      <c r="AB29" s="17"/>
      <c r="AC29" s="17"/>
      <c r="AD29" s="17"/>
      <c r="AE29" s="17"/>
      <c r="AF29" s="17"/>
      <c r="AG29" s="17"/>
    </row>
    <row r="30" spans="1:33" ht="15" customHeight="1">
      <c r="B30" s="139" t="s">
        <v>167</v>
      </c>
      <c r="C30" s="17"/>
      <c r="D30" s="17"/>
      <c r="E30" s="17"/>
      <c r="F30" s="17"/>
      <c r="G30" s="17"/>
      <c r="H30" s="17"/>
      <c r="I30" s="17"/>
      <c r="J30" s="17"/>
      <c r="K30" s="17"/>
      <c r="L30" s="17"/>
      <c r="M30" s="17"/>
      <c r="N30" s="17"/>
      <c r="O30" s="17"/>
      <c r="P30" s="17"/>
      <c r="Q30" s="17"/>
      <c r="R30" s="17"/>
      <c r="S30" s="17"/>
      <c r="T30" s="17"/>
      <c r="U30" s="17"/>
      <c r="V30" s="17"/>
      <c r="W30" s="17"/>
      <c r="X30" s="17"/>
      <c r="Y30" s="17"/>
      <c r="Z30" s="17"/>
      <c r="AA30" s="17"/>
      <c r="AB30" s="17"/>
      <c r="AC30" s="17"/>
      <c r="AD30" s="17"/>
      <c r="AE30" s="17"/>
      <c r="AF30" s="17"/>
      <c r="AG30" s="17"/>
    </row>
    <row r="31" spans="1:33" ht="12" customHeight="1">
      <c r="B31" s="139" t="s">
        <v>166</v>
      </c>
      <c r="C31" s="17"/>
      <c r="D31" s="17"/>
      <c r="E31" s="17"/>
      <c r="F31" s="17"/>
      <c r="G31" s="17"/>
      <c r="H31" s="17"/>
      <c r="I31" s="17"/>
      <c r="J31" s="17"/>
      <c r="K31" s="17"/>
      <c r="L31" s="17"/>
      <c r="M31" s="17"/>
      <c r="N31" s="17"/>
      <c r="O31" s="17"/>
      <c r="P31" s="17"/>
      <c r="Q31" s="17"/>
      <c r="R31" s="17"/>
      <c r="S31" s="17"/>
      <c r="T31" s="17"/>
      <c r="U31" s="17"/>
      <c r="V31" s="17"/>
      <c r="W31" s="17"/>
      <c r="X31" s="17"/>
      <c r="Y31" s="17"/>
      <c r="Z31" s="17"/>
      <c r="AA31" s="17"/>
      <c r="AB31" s="17"/>
      <c r="AC31" s="17"/>
      <c r="AD31" s="17"/>
      <c r="AE31" s="17"/>
      <c r="AF31" s="17"/>
      <c r="AG31" s="17"/>
    </row>
    <row r="32" spans="1:33" ht="12" customHeight="1">
      <c r="A32" s="15" t="s">
        <v>165</v>
      </c>
      <c r="B32" s="140" t="s">
        <v>164</v>
      </c>
      <c r="C32" s="143">
        <v>35.855949000000003</v>
      </c>
      <c r="D32" s="143">
        <v>36.277985000000001</v>
      </c>
      <c r="E32" s="143">
        <v>39.337012999999999</v>
      </c>
      <c r="F32" s="143">
        <v>42.578201</v>
      </c>
      <c r="G32" s="143">
        <v>47.262627000000002</v>
      </c>
      <c r="H32" s="143">
        <v>47.227249</v>
      </c>
      <c r="I32" s="143">
        <v>47.18121</v>
      </c>
      <c r="J32" s="143">
        <v>47.168773999999999</v>
      </c>
      <c r="K32" s="143">
        <v>47.163848999999999</v>
      </c>
      <c r="L32" s="143">
        <v>47.152081000000003</v>
      </c>
      <c r="M32" s="143">
        <v>47.159278999999998</v>
      </c>
      <c r="N32" s="143">
        <v>47.152672000000003</v>
      </c>
      <c r="O32" s="143">
        <v>47.146118000000001</v>
      </c>
      <c r="P32" s="143">
        <v>47.131686999999999</v>
      </c>
      <c r="Q32" s="143">
        <v>47.138325000000002</v>
      </c>
      <c r="R32" s="143">
        <v>47.119869000000001</v>
      </c>
      <c r="S32" s="143">
        <v>47.100937000000002</v>
      </c>
      <c r="T32" s="143">
        <v>47.084251000000002</v>
      </c>
      <c r="U32" s="143">
        <v>47.059879000000002</v>
      </c>
      <c r="V32" s="143">
        <v>47.032314</v>
      </c>
      <c r="W32" s="143">
        <v>47.004074000000003</v>
      </c>
      <c r="X32" s="143">
        <v>46.960155</v>
      </c>
      <c r="Y32" s="143">
        <v>46.939563999999997</v>
      </c>
      <c r="Z32" s="143">
        <v>46.910690000000002</v>
      </c>
      <c r="AA32" s="143">
        <v>46.948238000000003</v>
      </c>
      <c r="AB32" s="143">
        <v>46.913113000000003</v>
      </c>
      <c r="AC32" s="143">
        <v>46.906829999999999</v>
      </c>
      <c r="AD32" s="143">
        <v>46.880138000000002</v>
      </c>
      <c r="AE32" s="143">
        <v>46.870857000000001</v>
      </c>
      <c r="AF32" s="142">
        <v>9.613E-3</v>
      </c>
      <c r="AG32" s="17"/>
    </row>
    <row r="33" spans="1:33" ht="12" customHeight="1">
      <c r="A33" s="15" t="s">
        <v>163</v>
      </c>
      <c r="B33" s="140" t="s">
        <v>162</v>
      </c>
      <c r="C33" s="143">
        <v>45.004654000000002</v>
      </c>
      <c r="D33" s="143">
        <v>45.471119000000002</v>
      </c>
      <c r="E33" s="143">
        <v>49.460312000000002</v>
      </c>
      <c r="F33" s="143">
        <v>53.789036000000003</v>
      </c>
      <c r="G33" s="143">
        <v>59.791530999999999</v>
      </c>
      <c r="H33" s="143">
        <v>59.803519999999999</v>
      </c>
      <c r="I33" s="143">
        <v>59.817413000000002</v>
      </c>
      <c r="J33" s="143">
        <v>59.819332000000003</v>
      </c>
      <c r="K33" s="143">
        <v>59.821598000000002</v>
      </c>
      <c r="L33" s="143">
        <v>59.822445000000002</v>
      </c>
      <c r="M33" s="143">
        <v>59.827472999999998</v>
      </c>
      <c r="N33" s="143">
        <v>59.828792999999997</v>
      </c>
      <c r="O33" s="143">
        <v>59.830779999999997</v>
      </c>
      <c r="P33" s="143">
        <v>59.831119999999999</v>
      </c>
      <c r="Q33" s="143">
        <v>59.842136000000004</v>
      </c>
      <c r="R33" s="143">
        <v>59.842136000000004</v>
      </c>
      <c r="S33" s="143">
        <v>59.842136000000004</v>
      </c>
      <c r="T33" s="143">
        <v>59.843197000000004</v>
      </c>
      <c r="U33" s="143">
        <v>59.843197000000004</v>
      </c>
      <c r="V33" s="143">
        <v>59.843231000000003</v>
      </c>
      <c r="W33" s="143">
        <v>59.845177</v>
      </c>
      <c r="X33" s="143">
        <v>59.845177</v>
      </c>
      <c r="Y33" s="143">
        <v>59.848227999999999</v>
      </c>
      <c r="Z33" s="143">
        <v>59.848227999999999</v>
      </c>
      <c r="AA33" s="143">
        <v>59.867775000000002</v>
      </c>
      <c r="AB33" s="143">
        <v>59.867775000000002</v>
      </c>
      <c r="AC33" s="143">
        <v>59.867775000000002</v>
      </c>
      <c r="AD33" s="143">
        <v>59.867775000000002</v>
      </c>
      <c r="AE33" s="143">
        <v>59.867775000000002</v>
      </c>
      <c r="AF33" s="142">
        <v>1.0244E-2</v>
      </c>
      <c r="AG33" s="17"/>
    </row>
    <row r="34" spans="1:33" ht="12" customHeight="1">
      <c r="A34" s="15" t="s">
        <v>161</v>
      </c>
      <c r="B34" s="140" t="s">
        <v>160</v>
      </c>
      <c r="C34" s="143">
        <v>32.047302000000002</v>
      </c>
      <c r="D34" s="143">
        <v>32.608868000000001</v>
      </c>
      <c r="E34" s="143">
        <v>35.403008</v>
      </c>
      <c r="F34" s="143">
        <v>38.46349</v>
      </c>
      <c r="G34" s="143">
        <v>42.755749000000002</v>
      </c>
      <c r="H34" s="143">
        <v>42.75658</v>
      </c>
      <c r="I34" s="143">
        <v>42.76173</v>
      </c>
      <c r="J34" s="143">
        <v>42.76173</v>
      </c>
      <c r="K34" s="143">
        <v>42.761840999999997</v>
      </c>
      <c r="L34" s="143">
        <v>42.762084999999999</v>
      </c>
      <c r="M34" s="143">
        <v>42.762169</v>
      </c>
      <c r="N34" s="143">
        <v>42.762360000000001</v>
      </c>
      <c r="O34" s="143">
        <v>42.762390000000003</v>
      </c>
      <c r="P34" s="143">
        <v>42.762520000000002</v>
      </c>
      <c r="Q34" s="143">
        <v>42.762554000000002</v>
      </c>
      <c r="R34" s="143">
        <v>42.762698999999998</v>
      </c>
      <c r="S34" s="143">
        <v>42.762756000000003</v>
      </c>
      <c r="T34" s="143">
        <v>42.762824999999999</v>
      </c>
      <c r="U34" s="143">
        <v>42.762897000000002</v>
      </c>
      <c r="V34" s="143">
        <v>42.762962000000002</v>
      </c>
      <c r="W34" s="143">
        <v>42.763016</v>
      </c>
      <c r="X34" s="143">
        <v>42.763103000000001</v>
      </c>
      <c r="Y34" s="143">
        <v>42.763103000000001</v>
      </c>
      <c r="Z34" s="143">
        <v>42.763184000000003</v>
      </c>
      <c r="AA34" s="143">
        <v>42.763184000000003</v>
      </c>
      <c r="AB34" s="143">
        <v>42.763294000000002</v>
      </c>
      <c r="AC34" s="143">
        <v>42.763294000000002</v>
      </c>
      <c r="AD34" s="143">
        <v>42.763393000000001</v>
      </c>
      <c r="AE34" s="143">
        <v>42.763393000000001</v>
      </c>
      <c r="AF34" s="142">
        <v>1.0356000000000001E-2</v>
      </c>
      <c r="AG34" s="17"/>
    </row>
    <row r="35" spans="1:33" ht="12" customHeight="1">
      <c r="A35" s="15" t="s">
        <v>159</v>
      </c>
      <c r="B35" s="140" t="s">
        <v>158</v>
      </c>
      <c r="C35" s="143">
        <v>41.802036000000001</v>
      </c>
      <c r="D35" s="143">
        <v>43.267200000000003</v>
      </c>
      <c r="E35" s="143">
        <v>44.448151000000003</v>
      </c>
      <c r="F35" s="143">
        <v>47.052714999999999</v>
      </c>
      <c r="G35" s="143">
        <v>48.571758000000003</v>
      </c>
      <c r="H35" s="143">
        <v>49.792529999999999</v>
      </c>
      <c r="I35" s="143">
        <v>52.281478999999997</v>
      </c>
      <c r="J35" s="143">
        <v>53.248958999999999</v>
      </c>
      <c r="K35" s="143">
        <v>53.962006000000002</v>
      </c>
      <c r="L35" s="143">
        <v>54.332034999999998</v>
      </c>
      <c r="M35" s="143">
        <v>54.872646000000003</v>
      </c>
      <c r="N35" s="143">
        <v>55.329352999999998</v>
      </c>
      <c r="O35" s="143">
        <v>55.771633000000001</v>
      </c>
      <c r="P35" s="143">
        <v>56.242725</v>
      </c>
      <c r="Q35" s="143">
        <v>56.632603000000003</v>
      </c>
      <c r="R35" s="143">
        <v>56.856194000000002</v>
      </c>
      <c r="S35" s="143">
        <v>57.030456999999998</v>
      </c>
      <c r="T35" s="143">
        <v>57.310715000000002</v>
      </c>
      <c r="U35" s="143">
        <v>57.240420999999998</v>
      </c>
      <c r="V35" s="143">
        <v>57.306023000000003</v>
      </c>
      <c r="W35" s="143">
        <v>57.371867999999999</v>
      </c>
      <c r="X35" s="143">
        <v>57.326743999999998</v>
      </c>
      <c r="Y35" s="143">
        <v>57.237999000000002</v>
      </c>
      <c r="Z35" s="143">
        <v>57.125121999999998</v>
      </c>
      <c r="AA35" s="143">
        <v>57.475963999999998</v>
      </c>
      <c r="AB35" s="143">
        <v>57.327747000000002</v>
      </c>
      <c r="AC35" s="143">
        <v>57.273457000000001</v>
      </c>
      <c r="AD35" s="143">
        <v>57.524818000000003</v>
      </c>
      <c r="AE35" s="143">
        <v>57.479156000000003</v>
      </c>
      <c r="AF35" s="142">
        <v>1.1439E-2</v>
      </c>
      <c r="AG35" s="17"/>
    </row>
    <row r="36" spans="1:33" ht="12" customHeight="1">
      <c r="A36" s="15" t="s">
        <v>157</v>
      </c>
      <c r="B36" s="140" t="s">
        <v>156</v>
      </c>
      <c r="C36" s="143">
        <v>56.582644999999999</v>
      </c>
      <c r="D36" s="143">
        <v>58.322226999999998</v>
      </c>
      <c r="E36" s="143">
        <v>59.783313999999997</v>
      </c>
      <c r="F36" s="143">
        <v>64.222374000000002</v>
      </c>
      <c r="G36" s="143">
        <v>65.997482000000005</v>
      </c>
      <c r="H36" s="143">
        <v>68.148635999999996</v>
      </c>
      <c r="I36" s="143">
        <v>72.759444999999999</v>
      </c>
      <c r="J36" s="143">
        <v>74.876166999999995</v>
      </c>
      <c r="K36" s="143">
        <v>76.446303999999998</v>
      </c>
      <c r="L36" s="143">
        <v>77.157302999999999</v>
      </c>
      <c r="M36" s="143">
        <v>78.145363000000003</v>
      </c>
      <c r="N36" s="143">
        <v>78.735664</v>
      </c>
      <c r="O36" s="143">
        <v>79.269256999999996</v>
      </c>
      <c r="P36" s="143">
        <v>79.864814999999993</v>
      </c>
      <c r="Q36" s="143">
        <v>80.311751999999998</v>
      </c>
      <c r="R36" s="143">
        <v>80.510566999999995</v>
      </c>
      <c r="S36" s="143">
        <v>80.643073999999999</v>
      </c>
      <c r="T36" s="143">
        <v>81.042243999999997</v>
      </c>
      <c r="U36" s="143">
        <v>80.790893999999994</v>
      </c>
      <c r="V36" s="143">
        <v>80.999863000000005</v>
      </c>
      <c r="W36" s="143">
        <v>81.213393999999994</v>
      </c>
      <c r="X36" s="143">
        <v>81.251564000000002</v>
      </c>
      <c r="Y36" s="143">
        <v>81.126784999999998</v>
      </c>
      <c r="Z36" s="143">
        <v>80.963654000000005</v>
      </c>
      <c r="AA36" s="143">
        <v>81.962256999999994</v>
      </c>
      <c r="AB36" s="143">
        <v>81.685669000000004</v>
      </c>
      <c r="AC36" s="143">
        <v>81.574020000000004</v>
      </c>
      <c r="AD36" s="143">
        <v>82.338425000000001</v>
      </c>
      <c r="AE36" s="143">
        <v>82.243483999999995</v>
      </c>
      <c r="AF36" s="142">
        <v>1.3446E-2</v>
      </c>
      <c r="AG36" s="17"/>
    </row>
    <row r="37" spans="1:33" ht="12" customHeight="1">
      <c r="A37" s="15" t="s">
        <v>155</v>
      </c>
      <c r="B37" s="140" t="s">
        <v>154</v>
      </c>
      <c r="C37" s="143">
        <v>36.263930999999999</v>
      </c>
      <c r="D37" s="143">
        <v>37.832123000000003</v>
      </c>
      <c r="E37" s="143">
        <v>39.014805000000003</v>
      </c>
      <c r="F37" s="143">
        <v>41.375152999999997</v>
      </c>
      <c r="G37" s="143">
        <v>42.876761999999999</v>
      </c>
      <c r="H37" s="143">
        <v>43.911583</v>
      </c>
      <c r="I37" s="143">
        <v>45.953789</v>
      </c>
      <c r="J37" s="143">
        <v>46.678477999999998</v>
      </c>
      <c r="K37" s="143">
        <v>47.207011999999999</v>
      </c>
      <c r="L37" s="143">
        <v>47.518374999999999</v>
      </c>
      <c r="M37" s="143">
        <v>47.939487</v>
      </c>
      <c r="N37" s="143">
        <v>48.362620999999997</v>
      </c>
      <c r="O37" s="143">
        <v>48.779860999999997</v>
      </c>
      <c r="P37" s="143">
        <v>49.233046999999999</v>
      </c>
      <c r="Q37" s="143">
        <v>49.585566999999998</v>
      </c>
      <c r="R37" s="143">
        <v>49.838344999999997</v>
      </c>
      <c r="S37" s="143">
        <v>50.048076999999999</v>
      </c>
      <c r="T37" s="143">
        <v>50.325744999999998</v>
      </c>
      <c r="U37" s="143">
        <v>50.338009</v>
      </c>
      <c r="V37" s="143">
        <v>50.426777000000001</v>
      </c>
      <c r="W37" s="143">
        <v>50.517310999999999</v>
      </c>
      <c r="X37" s="143">
        <v>50.542614</v>
      </c>
      <c r="Y37" s="143">
        <v>50.50412</v>
      </c>
      <c r="Z37" s="143">
        <v>50.459384999999997</v>
      </c>
      <c r="AA37" s="143">
        <v>50.618049999999997</v>
      </c>
      <c r="AB37" s="143">
        <v>50.565734999999997</v>
      </c>
      <c r="AC37" s="143">
        <v>50.535651999999999</v>
      </c>
      <c r="AD37" s="143">
        <v>50.739390999999998</v>
      </c>
      <c r="AE37" s="143">
        <v>50.721836000000003</v>
      </c>
      <c r="AF37" s="142">
        <v>1.2055E-2</v>
      </c>
      <c r="AG37" s="17"/>
    </row>
    <row r="38" spans="1:33" ht="12" customHeight="1">
      <c r="A38" s="15" t="s">
        <v>153</v>
      </c>
      <c r="B38" s="140" t="s">
        <v>152</v>
      </c>
      <c r="C38" s="143">
        <v>37.621077999999997</v>
      </c>
      <c r="D38" s="143">
        <v>38.382415999999999</v>
      </c>
      <c r="E38" s="143">
        <v>39.075671999999997</v>
      </c>
      <c r="F38" s="143">
        <v>40.794502000000001</v>
      </c>
      <c r="G38" s="143">
        <v>41.684994000000003</v>
      </c>
      <c r="H38" s="143">
        <v>42.387779000000002</v>
      </c>
      <c r="I38" s="143">
        <v>43.992404999999998</v>
      </c>
      <c r="J38" s="143">
        <v>44.482399000000001</v>
      </c>
      <c r="K38" s="143">
        <v>44.828845999999999</v>
      </c>
      <c r="L38" s="143">
        <v>45.012852000000002</v>
      </c>
      <c r="M38" s="143">
        <v>45.295108999999997</v>
      </c>
      <c r="N38" s="143">
        <v>45.549660000000003</v>
      </c>
      <c r="O38" s="143">
        <v>45.800465000000003</v>
      </c>
      <c r="P38" s="143">
        <v>46.072913999999997</v>
      </c>
      <c r="Q38" s="143">
        <v>46.308185999999999</v>
      </c>
      <c r="R38" s="143">
        <v>46.454895</v>
      </c>
      <c r="S38" s="143">
        <v>46.573441000000003</v>
      </c>
      <c r="T38" s="143">
        <v>46.763412000000002</v>
      </c>
      <c r="U38" s="143">
        <v>46.743324000000001</v>
      </c>
      <c r="V38" s="143">
        <v>46.781216000000001</v>
      </c>
      <c r="W38" s="143">
        <v>46.812752000000003</v>
      </c>
      <c r="X38" s="143">
        <v>46.781078000000001</v>
      </c>
      <c r="Y38" s="143">
        <v>46.720787000000001</v>
      </c>
      <c r="Z38" s="143">
        <v>46.649310999999997</v>
      </c>
      <c r="AA38" s="143">
        <v>46.812587999999998</v>
      </c>
      <c r="AB38" s="143">
        <v>46.721981</v>
      </c>
      <c r="AC38" s="143">
        <v>46.686661000000001</v>
      </c>
      <c r="AD38" s="143">
        <v>46.844208000000002</v>
      </c>
      <c r="AE38" s="143">
        <v>46.809134999999998</v>
      </c>
      <c r="AF38" s="142">
        <v>7.835E-3</v>
      </c>
      <c r="AG38" s="17"/>
    </row>
    <row r="39" spans="1:33" ht="12" customHeight="1">
      <c r="A39" s="15" t="s">
        <v>151</v>
      </c>
      <c r="B39" s="140" t="s">
        <v>150</v>
      </c>
      <c r="C39" s="143">
        <v>49.658656999999998</v>
      </c>
      <c r="D39" s="143">
        <v>50.63982</v>
      </c>
      <c r="E39" s="143">
        <v>51.418788999999997</v>
      </c>
      <c r="F39" s="143">
        <v>54.041266999999998</v>
      </c>
      <c r="G39" s="143">
        <v>54.808311000000003</v>
      </c>
      <c r="H39" s="143">
        <v>55.812793999999997</v>
      </c>
      <c r="I39" s="143">
        <v>58.414130999999998</v>
      </c>
      <c r="J39" s="143">
        <v>59.295653999999999</v>
      </c>
      <c r="K39" s="143">
        <v>59.885936999999998</v>
      </c>
      <c r="L39" s="143">
        <v>60.128425999999997</v>
      </c>
      <c r="M39" s="143">
        <v>60.482559000000002</v>
      </c>
      <c r="N39" s="143">
        <v>60.696911</v>
      </c>
      <c r="O39" s="143">
        <v>60.896141</v>
      </c>
      <c r="P39" s="143">
        <v>61.139969000000001</v>
      </c>
      <c r="Q39" s="143">
        <v>61.342109999999998</v>
      </c>
      <c r="R39" s="143">
        <v>61.456459000000002</v>
      </c>
      <c r="S39" s="143">
        <v>61.545490000000001</v>
      </c>
      <c r="T39" s="143">
        <v>61.791069</v>
      </c>
      <c r="U39" s="143">
        <v>61.720492999999998</v>
      </c>
      <c r="V39" s="143">
        <v>61.820892000000001</v>
      </c>
      <c r="W39" s="143">
        <v>61.909644999999998</v>
      </c>
      <c r="X39" s="143">
        <v>61.923454</v>
      </c>
      <c r="Y39" s="143">
        <v>61.848678999999997</v>
      </c>
      <c r="Z39" s="143">
        <v>61.762374999999999</v>
      </c>
      <c r="AA39" s="143">
        <v>62.120818999999997</v>
      </c>
      <c r="AB39" s="143">
        <v>61.989952000000002</v>
      </c>
      <c r="AC39" s="143">
        <v>61.932670999999999</v>
      </c>
      <c r="AD39" s="143">
        <v>62.331699</v>
      </c>
      <c r="AE39" s="143">
        <v>62.272804000000001</v>
      </c>
      <c r="AF39" s="142">
        <v>8.1169999999999992E-3</v>
      </c>
      <c r="AG39" s="17"/>
    </row>
    <row r="40" spans="1:33" ht="12" customHeight="1">
      <c r="A40" s="15" t="s">
        <v>149</v>
      </c>
      <c r="B40" s="140" t="s">
        <v>148</v>
      </c>
      <c r="C40" s="143">
        <v>32.951321</v>
      </c>
      <c r="D40" s="143">
        <v>33.825710000000001</v>
      </c>
      <c r="E40" s="143">
        <v>34.570250999999999</v>
      </c>
      <c r="F40" s="143">
        <v>36.235542000000002</v>
      </c>
      <c r="G40" s="143">
        <v>37.203814999999999</v>
      </c>
      <c r="H40" s="143">
        <v>37.859802000000002</v>
      </c>
      <c r="I40" s="143">
        <v>39.251300999999998</v>
      </c>
      <c r="J40" s="143">
        <v>39.654640000000001</v>
      </c>
      <c r="K40" s="143">
        <v>39.942870999999997</v>
      </c>
      <c r="L40" s="143">
        <v>40.123778999999999</v>
      </c>
      <c r="M40" s="143">
        <v>40.372107999999997</v>
      </c>
      <c r="N40" s="143">
        <v>40.635685000000002</v>
      </c>
      <c r="O40" s="143">
        <v>40.898228000000003</v>
      </c>
      <c r="P40" s="143">
        <v>41.187041999999998</v>
      </c>
      <c r="Q40" s="143">
        <v>41.415565000000001</v>
      </c>
      <c r="R40" s="143">
        <v>41.589336000000003</v>
      </c>
      <c r="S40" s="143">
        <v>41.735809000000003</v>
      </c>
      <c r="T40" s="143">
        <v>41.930031</v>
      </c>
      <c r="U40" s="143">
        <v>41.954326999999999</v>
      </c>
      <c r="V40" s="143">
        <v>42.014381</v>
      </c>
      <c r="W40" s="143">
        <v>42.070942000000002</v>
      </c>
      <c r="X40" s="143">
        <v>42.089371</v>
      </c>
      <c r="Y40" s="143">
        <v>42.062252000000001</v>
      </c>
      <c r="Z40" s="143">
        <v>42.034523</v>
      </c>
      <c r="AA40" s="143">
        <v>42.106945000000003</v>
      </c>
      <c r="AB40" s="143">
        <v>42.074627</v>
      </c>
      <c r="AC40" s="143">
        <v>42.053328999999998</v>
      </c>
      <c r="AD40" s="143">
        <v>42.192115999999999</v>
      </c>
      <c r="AE40" s="143">
        <v>42.175429999999999</v>
      </c>
      <c r="AF40" s="142">
        <v>8.8529999999999998E-3</v>
      </c>
      <c r="AG40" s="17"/>
    </row>
    <row r="41" spans="1:33" ht="12" customHeight="1">
      <c r="A41" s="15" t="s">
        <v>147</v>
      </c>
      <c r="B41" s="140" t="s">
        <v>146</v>
      </c>
      <c r="C41" s="143">
        <v>30.687853</v>
      </c>
      <c r="D41" s="143">
        <v>31.308468000000001</v>
      </c>
      <c r="E41" s="143">
        <v>31.873774999999998</v>
      </c>
      <c r="F41" s="143">
        <v>33.275241999999999</v>
      </c>
      <c r="G41" s="143">
        <v>34.001517999999997</v>
      </c>
      <c r="H41" s="143">
        <v>34.574638</v>
      </c>
      <c r="I41" s="143">
        <v>35.883228000000003</v>
      </c>
      <c r="J41" s="143">
        <v>36.282809999999998</v>
      </c>
      <c r="K41" s="143">
        <v>36.565350000000002</v>
      </c>
      <c r="L41" s="143">
        <v>36.715401</v>
      </c>
      <c r="M41" s="143">
        <v>36.945652000000003</v>
      </c>
      <c r="N41" s="143">
        <v>37.153278</v>
      </c>
      <c r="O41" s="143">
        <v>37.357868000000003</v>
      </c>
      <c r="P41" s="143">
        <v>37.580081999999997</v>
      </c>
      <c r="Q41" s="143">
        <v>37.772025999999997</v>
      </c>
      <c r="R41" s="143">
        <v>37.891651000000003</v>
      </c>
      <c r="S41" s="143">
        <v>37.988308000000004</v>
      </c>
      <c r="T41" s="143">
        <v>38.143211000000001</v>
      </c>
      <c r="U41" s="143">
        <v>38.126759</v>
      </c>
      <c r="V41" s="143">
        <v>38.157573999999997</v>
      </c>
      <c r="W41" s="143">
        <v>38.183200999999997</v>
      </c>
      <c r="X41" s="143">
        <v>38.157218999999998</v>
      </c>
      <c r="Y41" s="143">
        <v>38.107975000000003</v>
      </c>
      <c r="Z41" s="143">
        <v>38.049587000000002</v>
      </c>
      <c r="AA41" s="143">
        <v>38.182837999999997</v>
      </c>
      <c r="AB41" s="143">
        <v>38.108822000000004</v>
      </c>
      <c r="AC41" s="143">
        <v>38.080002</v>
      </c>
      <c r="AD41" s="143">
        <v>38.208388999999997</v>
      </c>
      <c r="AE41" s="143">
        <v>38.179749000000001</v>
      </c>
      <c r="AF41" s="142">
        <v>7.8320000000000004E-3</v>
      </c>
      <c r="AG41" s="17"/>
    </row>
    <row r="42" spans="1:33" ht="12" customHeight="1">
      <c r="A42" s="15" t="s">
        <v>145</v>
      </c>
      <c r="B42" s="140" t="s">
        <v>144</v>
      </c>
      <c r="C42" s="143">
        <v>40.552002000000002</v>
      </c>
      <c r="D42" s="143">
        <v>41.353237</v>
      </c>
      <c r="E42" s="143">
        <v>41.989353000000001</v>
      </c>
      <c r="F42" s="143">
        <v>44.130909000000003</v>
      </c>
      <c r="G42" s="143">
        <v>44.757289999999998</v>
      </c>
      <c r="H42" s="143">
        <v>45.577564000000002</v>
      </c>
      <c r="I42" s="143">
        <v>47.701855000000002</v>
      </c>
      <c r="J42" s="143">
        <v>48.421719000000003</v>
      </c>
      <c r="K42" s="143">
        <v>48.903754999999997</v>
      </c>
      <c r="L42" s="143">
        <v>49.101771999999997</v>
      </c>
      <c r="M42" s="143">
        <v>49.390965000000001</v>
      </c>
      <c r="N42" s="143">
        <v>49.566006000000002</v>
      </c>
      <c r="O42" s="143">
        <v>49.728703000000003</v>
      </c>
      <c r="P42" s="143">
        <v>49.927813999999998</v>
      </c>
      <c r="Q42" s="143">
        <v>50.092888000000002</v>
      </c>
      <c r="R42" s="143">
        <v>50.186264000000001</v>
      </c>
      <c r="S42" s="143">
        <v>50.258968000000003</v>
      </c>
      <c r="T42" s="143">
        <v>50.459515000000003</v>
      </c>
      <c r="U42" s="143">
        <v>50.401878000000004</v>
      </c>
      <c r="V42" s="143">
        <v>50.483868000000001</v>
      </c>
      <c r="W42" s="143">
        <v>50.556342999999998</v>
      </c>
      <c r="X42" s="143">
        <v>50.567619000000001</v>
      </c>
      <c r="Y42" s="143">
        <v>50.506557000000001</v>
      </c>
      <c r="Z42" s="143">
        <v>50.436081000000001</v>
      </c>
      <c r="AA42" s="143">
        <v>50.728789999999996</v>
      </c>
      <c r="AB42" s="143">
        <v>50.621924999999997</v>
      </c>
      <c r="AC42" s="143">
        <v>50.575145999999997</v>
      </c>
      <c r="AD42" s="143">
        <v>50.901001000000001</v>
      </c>
      <c r="AE42" s="143">
        <v>50.852905</v>
      </c>
      <c r="AF42" s="142">
        <v>8.1169999999999992E-3</v>
      </c>
      <c r="AG42" s="17"/>
    </row>
    <row r="43" spans="1:33" ht="12" customHeight="1">
      <c r="A43" s="15" t="s">
        <v>143</v>
      </c>
      <c r="B43" s="140" t="s">
        <v>142</v>
      </c>
      <c r="C43" s="143">
        <v>26.867122999999999</v>
      </c>
      <c r="D43" s="143">
        <v>27.580062999999999</v>
      </c>
      <c r="E43" s="143">
        <v>28.18713</v>
      </c>
      <c r="F43" s="143">
        <v>29.544938999999999</v>
      </c>
      <c r="G43" s="143">
        <v>30.334429</v>
      </c>
      <c r="H43" s="143">
        <v>30.869291</v>
      </c>
      <c r="I43" s="143">
        <v>32.003860000000003</v>
      </c>
      <c r="J43" s="143">
        <v>32.332729</v>
      </c>
      <c r="K43" s="143">
        <v>32.567737999999999</v>
      </c>
      <c r="L43" s="143">
        <v>32.715243999999998</v>
      </c>
      <c r="M43" s="143">
        <v>32.917721</v>
      </c>
      <c r="N43" s="143">
        <v>33.132629000000001</v>
      </c>
      <c r="O43" s="143">
        <v>33.346694999999997</v>
      </c>
      <c r="P43" s="143">
        <v>33.582183999999998</v>
      </c>
      <c r="Q43" s="143">
        <v>33.768512999999999</v>
      </c>
      <c r="R43" s="143">
        <v>33.910198000000001</v>
      </c>
      <c r="S43" s="143">
        <v>34.029625000000003</v>
      </c>
      <c r="T43" s="143">
        <v>34.187984</v>
      </c>
      <c r="U43" s="143">
        <v>34.207794</v>
      </c>
      <c r="V43" s="143">
        <v>34.25676</v>
      </c>
      <c r="W43" s="143">
        <v>34.302878999999997</v>
      </c>
      <c r="X43" s="143">
        <v>34.317905000000003</v>
      </c>
      <c r="Y43" s="143">
        <v>34.295791999999999</v>
      </c>
      <c r="Z43" s="143">
        <v>34.273186000000003</v>
      </c>
      <c r="AA43" s="143">
        <v>34.332233000000002</v>
      </c>
      <c r="AB43" s="143">
        <v>34.305881999999997</v>
      </c>
      <c r="AC43" s="143">
        <v>34.288516999999999</v>
      </c>
      <c r="AD43" s="143">
        <v>34.401679999999999</v>
      </c>
      <c r="AE43" s="143">
        <v>34.388072999999999</v>
      </c>
      <c r="AF43" s="142">
        <v>8.8529999999999998E-3</v>
      </c>
      <c r="AG43" s="17"/>
    </row>
    <row r="44" spans="1:33" ht="12" customHeight="1">
      <c r="A44" s="15" t="s">
        <v>141</v>
      </c>
      <c r="B44" s="140" t="s">
        <v>140</v>
      </c>
      <c r="C44" s="143">
        <v>24.416388999999999</v>
      </c>
      <c r="D44" s="143">
        <v>24.836956000000001</v>
      </c>
      <c r="E44" s="143">
        <v>25.286928</v>
      </c>
      <c r="F44" s="143">
        <v>25.785551000000002</v>
      </c>
      <c r="G44" s="143">
        <v>26.309719000000001</v>
      </c>
      <c r="H44" s="143">
        <v>26.853071</v>
      </c>
      <c r="I44" s="143">
        <v>27.439551999999999</v>
      </c>
      <c r="J44" s="143">
        <v>28.039261</v>
      </c>
      <c r="K44" s="143">
        <v>28.645572999999999</v>
      </c>
      <c r="L44" s="143">
        <v>29.223606</v>
      </c>
      <c r="M44" s="143">
        <v>29.795773000000001</v>
      </c>
      <c r="N44" s="143">
        <v>30.329742</v>
      </c>
      <c r="O44" s="143">
        <v>30.858115999999999</v>
      </c>
      <c r="P44" s="143">
        <v>31.383734</v>
      </c>
      <c r="Q44" s="143">
        <v>31.896933000000001</v>
      </c>
      <c r="R44" s="143">
        <v>32.386234000000002</v>
      </c>
      <c r="S44" s="143">
        <v>32.857269000000002</v>
      </c>
      <c r="T44" s="143">
        <v>33.317824999999999</v>
      </c>
      <c r="U44" s="143">
        <v>33.744926</v>
      </c>
      <c r="V44" s="143">
        <v>34.150565999999998</v>
      </c>
      <c r="W44" s="143">
        <v>34.526347999999999</v>
      </c>
      <c r="X44" s="143">
        <v>34.855293000000003</v>
      </c>
      <c r="Y44" s="143">
        <v>35.133709000000003</v>
      </c>
      <c r="Z44" s="143">
        <v>35.376598000000001</v>
      </c>
      <c r="AA44" s="143">
        <v>35.587673000000002</v>
      </c>
      <c r="AB44" s="143">
        <v>35.763168</v>
      </c>
      <c r="AC44" s="143">
        <v>35.911662999999997</v>
      </c>
      <c r="AD44" s="143">
        <v>36.041504000000003</v>
      </c>
      <c r="AE44" s="143">
        <v>36.145099999999999</v>
      </c>
      <c r="AF44" s="142">
        <v>1.4109E-2</v>
      </c>
      <c r="AG44" s="17"/>
    </row>
    <row r="45" spans="1:33" ht="12" customHeight="1">
      <c r="A45" s="15" t="s">
        <v>139</v>
      </c>
      <c r="B45" s="140" t="s">
        <v>138</v>
      </c>
      <c r="C45" s="143">
        <v>15.821263</v>
      </c>
      <c r="D45" s="143">
        <v>16.131247999999999</v>
      </c>
      <c r="E45" s="143">
        <v>16.678804</v>
      </c>
      <c r="F45" s="143">
        <v>17.193453000000002</v>
      </c>
      <c r="G45" s="143">
        <v>17.382670999999998</v>
      </c>
      <c r="H45" s="143">
        <v>17.655719999999999</v>
      </c>
      <c r="I45" s="143">
        <v>17.641428000000001</v>
      </c>
      <c r="J45" s="143">
        <v>17.714843999999999</v>
      </c>
      <c r="K45" s="143">
        <v>17.746100999999999</v>
      </c>
      <c r="L45" s="143">
        <v>17.752108</v>
      </c>
      <c r="M45" s="143">
        <v>17.726762999999998</v>
      </c>
      <c r="N45" s="143">
        <v>17.703925999999999</v>
      </c>
      <c r="O45" s="143">
        <v>17.685976</v>
      </c>
      <c r="P45" s="143">
        <v>17.669809000000001</v>
      </c>
      <c r="Q45" s="143">
        <v>17.656127999999999</v>
      </c>
      <c r="R45" s="143">
        <v>17.644224000000001</v>
      </c>
      <c r="S45" s="143">
        <v>17.635103000000001</v>
      </c>
      <c r="T45" s="143">
        <v>17.627134000000002</v>
      </c>
      <c r="U45" s="143">
        <v>17.621216</v>
      </c>
      <c r="V45" s="143">
        <v>17.615825999999998</v>
      </c>
      <c r="W45" s="143">
        <v>17.612106000000001</v>
      </c>
      <c r="X45" s="143">
        <v>17.608646</v>
      </c>
      <c r="Y45" s="143">
        <v>17.607035</v>
      </c>
      <c r="Z45" s="143">
        <v>17.606117000000001</v>
      </c>
      <c r="AA45" s="143">
        <v>17.607099999999999</v>
      </c>
      <c r="AB45" s="143">
        <v>17.455801000000001</v>
      </c>
      <c r="AC45" s="143">
        <v>17.469227</v>
      </c>
      <c r="AD45" s="143">
        <v>17.484673999999998</v>
      </c>
      <c r="AE45" s="143">
        <v>17.514999</v>
      </c>
      <c r="AF45" s="142">
        <v>3.6389999999999999E-3</v>
      </c>
      <c r="AG45" s="17"/>
    </row>
    <row r="46" spans="1:33" ht="12" customHeight="1">
      <c r="A46" s="15" t="s">
        <v>137</v>
      </c>
      <c r="B46" s="140" t="s">
        <v>136</v>
      </c>
      <c r="C46" s="143">
        <v>13.428094</v>
      </c>
      <c r="D46" s="143">
        <v>13.70518</v>
      </c>
      <c r="E46" s="143">
        <v>13.988607999999999</v>
      </c>
      <c r="F46" s="143">
        <v>14.298017</v>
      </c>
      <c r="G46" s="143">
        <v>14.623931000000001</v>
      </c>
      <c r="H46" s="143">
        <v>14.947717000000001</v>
      </c>
      <c r="I46" s="143">
        <v>15.224836</v>
      </c>
      <c r="J46" s="143">
        <v>15.477124999999999</v>
      </c>
      <c r="K46" s="143">
        <v>15.708449999999999</v>
      </c>
      <c r="L46" s="143">
        <v>15.906402999999999</v>
      </c>
      <c r="M46" s="143">
        <v>16.084123999999999</v>
      </c>
      <c r="N46" s="143">
        <v>16.239180000000001</v>
      </c>
      <c r="O46" s="143">
        <v>16.374127999999999</v>
      </c>
      <c r="P46" s="143">
        <v>16.504307000000001</v>
      </c>
      <c r="Q46" s="143">
        <v>16.623000999999999</v>
      </c>
      <c r="R46" s="143">
        <v>16.732641000000001</v>
      </c>
      <c r="S46" s="143">
        <v>16.834803000000001</v>
      </c>
      <c r="T46" s="143">
        <v>16.930444999999999</v>
      </c>
      <c r="U46" s="143">
        <v>17.012526000000001</v>
      </c>
      <c r="V46" s="143">
        <v>17.084282000000002</v>
      </c>
      <c r="W46" s="143">
        <v>17.141766000000001</v>
      </c>
      <c r="X46" s="143">
        <v>17.21096</v>
      </c>
      <c r="Y46" s="143">
        <v>17.279800000000002</v>
      </c>
      <c r="Z46" s="143">
        <v>17.324511999999999</v>
      </c>
      <c r="AA46" s="143">
        <v>17.374506</v>
      </c>
      <c r="AB46" s="143">
        <v>17.402925</v>
      </c>
      <c r="AC46" s="143">
        <v>17.441884999999999</v>
      </c>
      <c r="AD46" s="143">
        <v>17.468942999999999</v>
      </c>
      <c r="AE46" s="143">
        <v>17.502464</v>
      </c>
      <c r="AF46" s="142">
        <v>9.5090000000000001E-3</v>
      </c>
      <c r="AG46" s="17"/>
    </row>
    <row r="47" spans="1:33" ht="12" customHeight="1">
      <c r="A47" s="15" t="s">
        <v>135</v>
      </c>
      <c r="B47" s="140" t="s">
        <v>134</v>
      </c>
      <c r="C47" s="143">
        <v>7.4724060000000003</v>
      </c>
      <c r="D47" s="143">
        <v>7.5785289999999996</v>
      </c>
      <c r="E47" s="143">
        <v>7.7053229999999999</v>
      </c>
      <c r="F47" s="143">
        <v>7.8485899999999997</v>
      </c>
      <c r="G47" s="143">
        <v>8.002383</v>
      </c>
      <c r="H47" s="143">
        <v>8.1636769999999999</v>
      </c>
      <c r="I47" s="143">
        <v>8.3212849999999996</v>
      </c>
      <c r="J47" s="143">
        <v>8.4797550000000008</v>
      </c>
      <c r="K47" s="143">
        <v>8.6382940000000001</v>
      </c>
      <c r="L47" s="143">
        <v>8.7959300000000002</v>
      </c>
      <c r="M47" s="143">
        <v>8.9485489999999999</v>
      </c>
      <c r="N47" s="143">
        <v>9.0909969999999998</v>
      </c>
      <c r="O47" s="143">
        <v>9.2225160000000006</v>
      </c>
      <c r="P47" s="143">
        <v>9.3430680000000006</v>
      </c>
      <c r="Q47" s="143">
        <v>9.4533149999999999</v>
      </c>
      <c r="R47" s="143">
        <v>9.5530629999999999</v>
      </c>
      <c r="S47" s="143">
        <v>9.6434440000000006</v>
      </c>
      <c r="T47" s="143">
        <v>9.7267100000000006</v>
      </c>
      <c r="U47" s="143">
        <v>9.8045930000000006</v>
      </c>
      <c r="V47" s="143">
        <v>9.8772749999999991</v>
      </c>
      <c r="W47" s="143">
        <v>9.9424309999999991</v>
      </c>
      <c r="X47" s="143">
        <v>10.001567</v>
      </c>
      <c r="Y47" s="143">
        <v>10.055840999999999</v>
      </c>
      <c r="Z47" s="143">
        <v>10.108454</v>
      </c>
      <c r="AA47" s="143">
        <v>10.161227999999999</v>
      </c>
      <c r="AB47" s="143">
        <v>10.213310999999999</v>
      </c>
      <c r="AC47" s="143">
        <v>10.263764</v>
      </c>
      <c r="AD47" s="143">
        <v>10.314513</v>
      </c>
      <c r="AE47" s="143">
        <v>10.365861000000001</v>
      </c>
      <c r="AF47" s="142">
        <v>1.1757999999999999E-2</v>
      </c>
      <c r="AG47" s="17"/>
    </row>
    <row r="48" spans="1:33" ht="12" customHeight="1">
      <c r="B48" s="139" t="s">
        <v>133</v>
      </c>
      <c r="C48" s="17"/>
      <c r="D48" s="17"/>
      <c r="E48" s="17"/>
      <c r="F48" s="17"/>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row>
    <row r="49" spans="1:33" ht="12" customHeight="1">
      <c r="A49" s="15" t="s">
        <v>132</v>
      </c>
      <c r="B49" s="140" t="s">
        <v>131</v>
      </c>
      <c r="C49" s="143">
        <v>72.717087000000006</v>
      </c>
      <c r="D49" s="143">
        <v>73.091971999999998</v>
      </c>
      <c r="E49" s="143">
        <v>73.492531</v>
      </c>
      <c r="F49" s="143">
        <v>74.018456</v>
      </c>
      <c r="G49" s="143">
        <v>74.683121</v>
      </c>
      <c r="H49" s="143">
        <v>75.131766999999996</v>
      </c>
      <c r="I49" s="143">
        <v>75.592140000000001</v>
      </c>
      <c r="J49" s="143">
        <v>76.024017000000001</v>
      </c>
      <c r="K49" s="143">
        <v>76.492362999999997</v>
      </c>
      <c r="L49" s="143">
        <v>77.014213999999996</v>
      </c>
      <c r="M49" s="143">
        <v>77.600960000000001</v>
      </c>
      <c r="N49" s="143">
        <v>78.266677999999999</v>
      </c>
      <c r="O49" s="143">
        <v>78.981505999999996</v>
      </c>
      <c r="P49" s="143">
        <v>79.730591000000004</v>
      </c>
      <c r="Q49" s="143">
        <v>80.489220000000003</v>
      </c>
      <c r="R49" s="143">
        <v>81.260979000000006</v>
      </c>
      <c r="S49" s="143">
        <v>82.048454000000007</v>
      </c>
      <c r="T49" s="143">
        <v>82.814575000000005</v>
      </c>
      <c r="U49" s="143">
        <v>83.594772000000006</v>
      </c>
      <c r="V49" s="143">
        <v>84.382309000000006</v>
      </c>
      <c r="W49" s="143">
        <v>85.171204000000003</v>
      </c>
      <c r="X49" s="143">
        <v>85.974022000000005</v>
      </c>
      <c r="Y49" s="143">
        <v>86.764037999999999</v>
      </c>
      <c r="Z49" s="143">
        <v>87.549926999999997</v>
      </c>
      <c r="AA49" s="143">
        <v>88.321090999999996</v>
      </c>
      <c r="AB49" s="143">
        <v>89.091155999999998</v>
      </c>
      <c r="AC49" s="143">
        <v>89.849761999999998</v>
      </c>
      <c r="AD49" s="143">
        <v>90.593376000000006</v>
      </c>
      <c r="AE49" s="143">
        <v>91.328147999999999</v>
      </c>
      <c r="AF49" s="142">
        <v>8.1720000000000004E-3</v>
      </c>
      <c r="AG49" s="17"/>
    </row>
    <row r="50" spans="1:33" ht="15" customHeight="1">
      <c r="B50" s="139" t="s">
        <v>130</v>
      </c>
      <c r="C50" s="17"/>
      <c r="D50" s="17"/>
      <c r="E50" s="17"/>
      <c r="F50" s="17"/>
      <c r="G50" s="17"/>
      <c r="H50" s="17"/>
      <c r="I50" s="17"/>
      <c r="J50" s="17"/>
      <c r="K50" s="17"/>
      <c r="L50" s="17"/>
      <c r="M50" s="17"/>
      <c r="N50" s="17"/>
      <c r="O50" s="17"/>
      <c r="P50" s="17"/>
      <c r="Q50" s="17"/>
      <c r="R50" s="17"/>
      <c r="S50" s="17"/>
      <c r="T50" s="17"/>
      <c r="U50" s="17"/>
      <c r="V50" s="17"/>
      <c r="W50" s="17"/>
      <c r="X50" s="17"/>
      <c r="Y50" s="17"/>
      <c r="Z50" s="17"/>
      <c r="AA50" s="17"/>
      <c r="AB50" s="17"/>
      <c r="AC50" s="17"/>
      <c r="AD50" s="17"/>
      <c r="AE50" s="17"/>
      <c r="AF50" s="17"/>
      <c r="AG50" s="17"/>
    </row>
    <row r="51" spans="1:33" ht="15" customHeight="1">
      <c r="A51" s="15" t="s">
        <v>129</v>
      </c>
      <c r="B51" s="140" t="s">
        <v>128</v>
      </c>
      <c r="C51" s="143">
        <v>3.3663400000000001</v>
      </c>
      <c r="D51" s="143">
        <v>3.3698929999999998</v>
      </c>
      <c r="E51" s="143">
        <v>3.3734500000000001</v>
      </c>
      <c r="F51" s="143">
        <v>3.3770099999999998</v>
      </c>
      <c r="G51" s="143">
        <v>3.3805740000000002</v>
      </c>
      <c r="H51" s="143">
        <v>3.3841420000000002</v>
      </c>
      <c r="I51" s="143">
        <v>3.3877130000000002</v>
      </c>
      <c r="J51" s="143">
        <v>3.391289</v>
      </c>
      <c r="K51" s="143">
        <v>3.3948680000000002</v>
      </c>
      <c r="L51" s="143">
        <v>3.3984510000000001</v>
      </c>
      <c r="M51" s="143">
        <v>3.402037</v>
      </c>
      <c r="N51" s="143">
        <v>3.4056280000000001</v>
      </c>
      <c r="O51" s="143">
        <v>3.4092220000000002</v>
      </c>
      <c r="P51" s="143">
        <v>3.41282</v>
      </c>
      <c r="Q51" s="143">
        <v>3.4164219999999998</v>
      </c>
      <c r="R51" s="143">
        <v>3.4200270000000002</v>
      </c>
      <c r="S51" s="143">
        <v>3.4236369999999998</v>
      </c>
      <c r="T51" s="143">
        <v>3.4272499999999999</v>
      </c>
      <c r="U51" s="143">
        <v>3.4308670000000001</v>
      </c>
      <c r="V51" s="143">
        <v>3.434488</v>
      </c>
      <c r="W51" s="143">
        <v>3.438113</v>
      </c>
      <c r="X51" s="143">
        <v>3.4417409999999999</v>
      </c>
      <c r="Y51" s="143">
        <v>3.445373</v>
      </c>
      <c r="Z51" s="143">
        <v>3.4490099999999999</v>
      </c>
      <c r="AA51" s="143">
        <v>3.4526490000000001</v>
      </c>
      <c r="AB51" s="143">
        <v>3.4562930000000001</v>
      </c>
      <c r="AC51" s="143">
        <v>3.4599410000000002</v>
      </c>
      <c r="AD51" s="143">
        <v>3.4635929999999999</v>
      </c>
      <c r="AE51" s="143">
        <v>3.4672480000000001</v>
      </c>
      <c r="AF51" s="142">
        <v>1.0549999999999999E-3</v>
      </c>
      <c r="AG51" s="17"/>
    </row>
    <row r="52" spans="1:33" ht="15" customHeight="1">
      <c r="A52" s="15" t="s">
        <v>127</v>
      </c>
      <c r="B52" s="140" t="s">
        <v>126</v>
      </c>
      <c r="C52" s="143">
        <v>4.8202259999999999</v>
      </c>
      <c r="D52" s="143">
        <v>4.8389660000000001</v>
      </c>
      <c r="E52" s="143">
        <v>4.8577789999999998</v>
      </c>
      <c r="F52" s="143">
        <v>4.876665</v>
      </c>
      <c r="G52" s="143">
        <v>4.8956239999999998</v>
      </c>
      <c r="H52" s="143">
        <v>4.9146570000000001</v>
      </c>
      <c r="I52" s="143">
        <v>4.933764</v>
      </c>
      <c r="J52" s="143">
        <v>4.9529449999999997</v>
      </c>
      <c r="K52" s="143">
        <v>4.9722</v>
      </c>
      <c r="L52" s="143">
        <v>4.9915310000000002</v>
      </c>
      <c r="M52" s="143">
        <v>5.0109370000000002</v>
      </c>
      <c r="N52" s="143">
        <v>5.0304180000000001</v>
      </c>
      <c r="O52" s="143">
        <v>5.0499749999999999</v>
      </c>
      <c r="P52" s="143">
        <v>5.0696079999999997</v>
      </c>
      <c r="Q52" s="143">
        <v>5.0893170000000003</v>
      </c>
      <c r="R52" s="143">
        <v>5.1091030000000002</v>
      </c>
      <c r="S52" s="143">
        <v>5.1289660000000001</v>
      </c>
      <c r="T52" s="143">
        <v>5.1489060000000002</v>
      </c>
      <c r="U52" s="143">
        <v>5.1689230000000004</v>
      </c>
      <c r="V52" s="143">
        <v>5.189019</v>
      </c>
      <c r="W52" s="143">
        <v>5.2091919999999998</v>
      </c>
      <c r="X52" s="143">
        <v>5.2294450000000001</v>
      </c>
      <c r="Y52" s="143">
        <v>5.2497749999999996</v>
      </c>
      <c r="Z52" s="143">
        <v>5.2701849999999997</v>
      </c>
      <c r="AA52" s="143">
        <v>5.2906740000000001</v>
      </c>
      <c r="AB52" s="143">
        <v>5.3112430000000002</v>
      </c>
      <c r="AC52" s="143">
        <v>5.3318919999999999</v>
      </c>
      <c r="AD52" s="143">
        <v>5.3526210000000001</v>
      </c>
      <c r="AE52" s="143">
        <v>5.3734299999999999</v>
      </c>
      <c r="AF52" s="142">
        <v>3.888E-3</v>
      </c>
      <c r="AG52" s="17"/>
    </row>
    <row r="53" spans="1:33" ht="15" customHeight="1">
      <c r="B53" s="17"/>
      <c r="C53" s="17"/>
      <c r="D53" s="17"/>
      <c r="E53" s="17"/>
      <c r="F53" s="17"/>
      <c r="G53" s="17"/>
      <c r="H53" s="17"/>
      <c r="I53" s="17"/>
      <c r="J53" s="17"/>
      <c r="K53" s="17"/>
      <c r="L53" s="17"/>
      <c r="M53" s="17"/>
      <c r="N53" s="17"/>
      <c r="O53" s="17"/>
      <c r="P53" s="17"/>
      <c r="Q53" s="17"/>
      <c r="R53" s="17"/>
      <c r="S53" s="17"/>
      <c r="T53" s="17"/>
      <c r="U53" s="17"/>
      <c r="V53" s="17"/>
      <c r="W53" s="17"/>
      <c r="X53" s="17"/>
      <c r="Y53" s="17"/>
      <c r="Z53" s="17"/>
      <c r="AA53" s="17"/>
      <c r="AB53" s="17"/>
      <c r="AC53" s="17"/>
      <c r="AD53" s="17"/>
      <c r="AE53" s="17"/>
      <c r="AF53" s="17"/>
      <c r="AG53" s="17"/>
    </row>
    <row r="54" spans="1:33" ht="15" customHeight="1">
      <c r="B54" s="139" t="s">
        <v>125</v>
      </c>
      <c r="C54" s="17"/>
      <c r="D54" s="17"/>
      <c r="E54" s="17"/>
      <c r="F54" s="17"/>
      <c r="G54" s="17"/>
      <c r="H54" s="17"/>
      <c r="I54" s="17"/>
      <c r="J54" s="17"/>
      <c r="K54" s="17"/>
      <c r="L54" s="17"/>
      <c r="M54" s="17"/>
      <c r="N54" s="17"/>
      <c r="O54" s="17"/>
      <c r="P54" s="17"/>
      <c r="Q54" s="17"/>
      <c r="R54" s="17"/>
      <c r="S54" s="17"/>
      <c r="T54" s="17"/>
      <c r="U54" s="17"/>
      <c r="V54" s="17"/>
      <c r="W54" s="17"/>
      <c r="X54" s="17"/>
      <c r="Y54" s="17"/>
      <c r="Z54" s="17"/>
      <c r="AA54" s="17"/>
      <c r="AB54" s="17"/>
      <c r="AC54" s="17"/>
      <c r="AD54" s="17"/>
      <c r="AE54" s="17"/>
      <c r="AF54" s="17"/>
      <c r="AG54" s="17"/>
    </row>
    <row r="55" spans="1:33" ht="15" customHeight="1">
      <c r="B55" s="139" t="s">
        <v>124</v>
      </c>
      <c r="C55" s="17"/>
      <c r="D55" s="17"/>
      <c r="E55" s="17"/>
      <c r="F55" s="17"/>
      <c r="G55" s="17"/>
      <c r="H55" s="17"/>
      <c r="I55" s="17"/>
      <c r="J55" s="17"/>
      <c r="K55" s="17"/>
      <c r="L55" s="17"/>
      <c r="M55" s="17"/>
      <c r="N55" s="17"/>
      <c r="O55" s="17"/>
      <c r="P55" s="17"/>
      <c r="Q55" s="17"/>
      <c r="R55" s="17"/>
      <c r="S55" s="17"/>
      <c r="T55" s="17"/>
      <c r="U55" s="17"/>
      <c r="V55" s="17"/>
      <c r="W55" s="17"/>
      <c r="X55" s="17"/>
      <c r="Y55" s="17"/>
      <c r="Z55" s="17"/>
      <c r="AA55" s="17"/>
      <c r="AB55" s="17"/>
      <c r="AC55" s="17"/>
      <c r="AD55" s="17"/>
      <c r="AE55" s="17"/>
      <c r="AF55" s="17"/>
      <c r="AG55" s="17"/>
    </row>
    <row r="56" spans="1:33" ht="15" customHeight="1">
      <c r="A56" s="15" t="s">
        <v>123</v>
      </c>
      <c r="B56" s="140" t="s">
        <v>107</v>
      </c>
      <c r="C56" s="144">
        <v>14.541973</v>
      </c>
      <c r="D56" s="144">
        <v>14.586114</v>
      </c>
      <c r="E56" s="144">
        <v>14.429691999999999</v>
      </c>
      <c r="F56" s="144">
        <v>14.201924999999999</v>
      </c>
      <c r="G56" s="144">
        <v>14.016909</v>
      </c>
      <c r="H56" s="144">
        <v>13.860763</v>
      </c>
      <c r="I56" s="144">
        <v>13.679087000000001</v>
      </c>
      <c r="J56" s="144">
        <v>13.473832</v>
      </c>
      <c r="K56" s="144">
        <v>13.253083</v>
      </c>
      <c r="L56" s="144">
        <v>13.044086</v>
      </c>
      <c r="M56" s="144">
        <v>12.836978</v>
      </c>
      <c r="N56" s="144">
        <v>12.674039</v>
      </c>
      <c r="O56" s="144">
        <v>12.534656</v>
      </c>
      <c r="P56" s="144">
        <v>12.394664000000001</v>
      </c>
      <c r="Q56" s="144">
        <v>12.251548</v>
      </c>
      <c r="R56" s="144">
        <v>12.130822</v>
      </c>
      <c r="S56" s="144">
        <v>12.028416</v>
      </c>
      <c r="T56" s="144">
        <v>11.933923</v>
      </c>
      <c r="U56" s="144">
        <v>11.864001</v>
      </c>
      <c r="V56" s="144">
        <v>11.805396</v>
      </c>
      <c r="W56" s="144">
        <v>11.762741999999999</v>
      </c>
      <c r="X56" s="144">
        <v>11.733644</v>
      </c>
      <c r="Y56" s="144">
        <v>11.725387</v>
      </c>
      <c r="Z56" s="144">
        <v>11.735775</v>
      </c>
      <c r="AA56" s="144">
        <v>11.770763000000001</v>
      </c>
      <c r="AB56" s="144">
        <v>11.824349</v>
      </c>
      <c r="AC56" s="144">
        <v>11.889715000000001</v>
      </c>
      <c r="AD56" s="144">
        <v>11.962910000000001</v>
      </c>
      <c r="AE56" s="144">
        <v>12.054455000000001</v>
      </c>
      <c r="AF56" s="142">
        <v>-6.6779999999999999E-3</v>
      </c>
      <c r="AG56" s="17"/>
    </row>
    <row r="57" spans="1:33" ht="15" customHeight="1">
      <c r="A57" s="15" t="s">
        <v>122</v>
      </c>
      <c r="B57" s="140" t="s">
        <v>105</v>
      </c>
      <c r="C57" s="144">
        <v>0.95150299999999999</v>
      </c>
      <c r="D57" s="144">
        <v>0.94255800000000001</v>
      </c>
      <c r="E57" s="144">
        <v>0.92534000000000005</v>
      </c>
      <c r="F57" s="144">
        <v>0.91245200000000004</v>
      </c>
      <c r="G57" s="144">
        <v>0.903111</v>
      </c>
      <c r="H57" s="144">
        <v>0.89480700000000002</v>
      </c>
      <c r="I57" s="144">
        <v>0.88838499999999998</v>
      </c>
      <c r="J57" s="144">
        <v>0.88299499999999997</v>
      </c>
      <c r="K57" s="144">
        <v>0.87703299999999995</v>
      </c>
      <c r="L57" s="144">
        <v>0.87279099999999998</v>
      </c>
      <c r="M57" s="144">
        <v>0.87179099999999998</v>
      </c>
      <c r="N57" s="144">
        <v>0.87186799999999998</v>
      </c>
      <c r="O57" s="144">
        <v>0.87303399999999998</v>
      </c>
      <c r="P57" s="144">
        <v>0.87507400000000002</v>
      </c>
      <c r="Q57" s="144">
        <v>0.87749999999999995</v>
      </c>
      <c r="R57" s="144">
        <v>0.881023</v>
      </c>
      <c r="S57" s="144">
        <v>0.88554100000000002</v>
      </c>
      <c r="T57" s="144">
        <v>0.88979600000000003</v>
      </c>
      <c r="U57" s="144">
        <v>0.896146</v>
      </c>
      <c r="V57" s="144">
        <v>0.90392399999999995</v>
      </c>
      <c r="W57" s="144">
        <v>0.91192099999999998</v>
      </c>
      <c r="X57" s="144">
        <v>0.91867500000000002</v>
      </c>
      <c r="Y57" s="144">
        <v>0.92472100000000002</v>
      </c>
      <c r="Z57" s="144">
        <v>0.93183000000000005</v>
      </c>
      <c r="AA57" s="144">
        <v>0.93994</v>
      </c>
      <c r="AB57" s="144">
        <v>0.94994999999999996</v>
      </c>
      <c r="AC57" s="144">
        <v>0.95831999999999995</v>
      </c>
      <c r="AD57" s="144">
        <v>0.96721000000000001</v>
      </c>
      <c r="AE57" s="144">
        <v>0.97889800000000005</v>
      </c>
      <c r="AF57" s="142">
        <v>1.0139999999999999E-3</v>
      </c>
      <c r="AG57" s="17"/>
    </row>
    <row r="58" spans="1:33" ht="15" customHeight="1">
      <c r="A58" s="15" t="s">
        <v>121</v>
      </c>
      <c r="B58" s="140" t="s">
        <v>103</v>
      </c>
      <c r="C58" s="144">
        <v>0.21216299999999999</v>
      </c>
      <c r="D58" s="144">
        <v>0.22231200000000001</v>
      </c>
      <c r="E58" s="144">
        <v>0.22695699999999999</v>
      </c>
      <c r="F58" s="144">
        <v>0.22801299999999999</v>
      </c>
      <c r="G58" s="144">
        <v>0.228798</v>
      </c>
      <c r="H58" s="144">
        <v>0.229238</v>
      </c>
      <c r="I58" s="144">
        <v>0.229403</v>
      </c>
      <c r="J58" s="144">
        <v>0.229156</v>
      </c>
      <c r="K58" s="144">
        <v>0.228548</v>
      </c>
      <c r="L58" s="144">
        <v>0.22755600000000001</v>
      </c>
      <c r="M58" s="144">
        <v>0.22653000000000001</v>
      </c>
      <c r="N58" s="144">
        <v>0.22600500000000001</v>
      </c>
      <c r="O58" s="144">
        <v>0.22533600000000001</v>
      </c>
      <c r="P58" s="144">
        <v>0.22447300000000001</v>
      </c>
      <c r="Q58" s="144">
        <v>0.223496</v>
      </c>
      <c r="R58" s="144">
        <v>0.22194</v>
      </c>
      <c r="S58" s="144">
        <v>0.22057599999999999</v>
      </c>
      <c r="T58" s="144">
        <v>0.21909899999999999</v>
      </c>
      <c r="U58" s="144">
        <v>0.2175</v>
      </c>
      <c r="V58" s="144">
        <v>0.215784</v>
      </c>
      <c r="W58" s="144">
        <v>0.214032</v>
      </c>
      <c r="X58" s="144">
        <v>0.21201700000000001</v>
      </c>
      <c r="Y58" s="144">
        <v>0.21015400000000001</v>
      </c>
      <c r="Z58" s="144">
        <v>0.20821500000000001</v>
      </c>
      <c r="AA58" s="144">
        <v>0.206535</v>
      </c>
      <c r="AB58" s="144">
        <v>0.20446300000000001</v>
      </c>
      <c r="AC58" s="144">
        <v>0.20246</v>
      </c>
      <c r="AD58" s="144">
        <v>0.20028199999999999</v>
      </c>
      <c r="AE58" s="144">
        <v>0.198183</v>
      </c>
      <c r="AF58" s="142">
        <v>-2.4320000000000001E-3</v>
      </c>
      <c r="AG58" s="17"/>
    </row>
    <row r="59" spans="1:33" ht="15" customHeight="1">
      <c r="A59" s="15" t="s">
        <v>120</v>
      </c>
      <c r="B59" s="140" t="s">
        <v>101</v>
      </c>
      <c r="C59" s="144">
        <v>5.9211260000000001</v>
      </c>
      <c r="D59" s="144">
        <v>5.8150050000000002</v>
      </c>
      <c r="E59" s="144">
        <v>5.7261790000000001</v>
      </c>
      <c r="F59" s="144">
        <v>5.6708869999999996</v>
      </c>
      <c r="G59" s="144">
        <v>5.6364150000000004</v>
      </c>
      <c r="H59" s="144">
        <v>5.5889559999999996</v>
      </c>
      <c r="I59" s="144">
        <v>5.5406930000000001</v>
      </c>
      <c r="J59" s="144">
        <v>5.4803899999999999</v>
      </c>
      <c r="K59" s="144">
        <v>5.4188489999999998</v>
      </c>
      <c r="L59" s="144">
        <v>5.3674910000000002</v>
      </c>
      <c r="M59" s="144">
        <v>5.3360620000000001</v>
      </c>
      <c r="N59" s="144">
        <v>5.3021260000000003</v>
      </c>
      <c r="O59" s="144">
        <v>5.2741230000000003</v>
      </c>
      <c r="P59" s="144">
        <v>5.25631</v>
      </c>
      <c r="Q59" s="144">
        <v>5.2378020000000003</v>
      </c>
      <c r="R59" s="144">
        <v>5.2322259999999998</v>
      </c>
      <c r="S59" s="144">
        <v>5.2306210000000002</v>
      </c>
      <c r="T59" s="144">
        <v>5.2322899999999999</v>
      </c>
      <c r="U59" s="144">
        <v>5.2416010000000002</v>
      </c>
      <c r="V59" s="144">
        <v>5.2565660000000003</v>
      </c>
      <c r="W59" s="144">
        <v>5.2744609999999996</v>
      </c>
      <c r="X59" s="144">
        <v>5.2923179999999999</v>
      </c>
      <c r="Y59" s="144">
        <v>5.3090260000000002</v>
      </c>
      <c r="Z59" s="144">
        <v>5.323563</v>
      </c>
      <c r="AA59" s="144">
        <v>5.3446429999999996</v>
      </c>
      <c r="AB59" s="144">
        <v>5.367305</v>
      </c>
      <c r="AC59" s="144">
        <v>5.3838540000000004</v>
      </c>
      <c r="AD59" s="144">
        <v>5.4034690000000003</v>
      </c>
      <c r="AE59" s="144">
        <v>5.43954</v>
      </c>
      <c r="AF59" s="142">
        <v>-3.0249999999999999E-3</v>
      </c>
      <c r="AG59" s="17"/>
    </row>
    <row r="60" spans="1:33" ht="15" customHeight="1">
      <c r="A60" s="15" t="s">
        <v>119</v>
      </c>
      <c r="B60" s="140" t="s">
        <v>99</v>
      </c>
      <c r="C60" s="144">
        <v>4.3913000000000001E-2</v>
      </c>
      <c r="D60" s="144">
        <v>4.5564E-2</v>
      </c>
      <c r="E60" s="144">
        <v>4.6540999999999999E-2</v>
      </c>
      <c r="F60" s="144">
        <v>4.7204999999999997E-2</v>
      </c>
      <c r="G60" s="144">
        <v>4.7899999999999998E-2</v>
      </c>
      <c r="H60" s="144">
        <v>4.8571000000000003E-2</v>
      </c>
      <c r="I60" s="144">
        <v>4.9133000000000003E-2</v>
      </c>
      <c r="J60" s="144">
        <v>4.9707000000000001E-2</v>
      </c>
      <c r="K60" s="144">
        <v>5.015E-2</v>
      </c>
      <c r="L60" s="144">
        <v>5.0598999999999998E-2</v>
      </c>
      <c r="M60" s="144">
        <v>5.1139999999999998E-2</v>
      </c>
      <c r="N60" s="144">
        <v>5.1727000000000002E-2</v>
      </c>
      <c r="O60" s="144">
        <v>5.2368999999999999E-2</v>
      </c>
      <c r="P60" s="144">
        <v>5.2923999999999999E-2</v>
      </c>
      <c r="Q60" s="144">
        <v>5.3456999999999998E-2</v>
      </c>
      <c r="R60" s="144">
        <v>5.3973E-2</v>
      </c>
      <c r="S60" s="144">
        <v>5.4510000000000003E-2</v>
      </c>
      <c r="T60" s="144">
        <v>5.5034E-2</v>
      </c>
      <c r="U60" s="144">
        <v>5.5627000000000003E-2</v>
      </c>
      <c r="V60" s="144">
        <v>5.6181000000000002E-2</v>
      </c>
      <c r="W60" s="144">
        <v>5.6753999999999999E-2</v>
      </c>
      <c r="X60" s="144">
        <v>5.7258000000000003E-2</v>
      </c>
      <c r="Y60" s="144">
        <v>5.7815999999999999E-2</v>
      </c>
      <c r="Z60" s="144">
        <v>5.8367000000000002E-2</v>
      </c>
      <c r="AA60" s="144">
        <v>5.9116000000000002E-2</v>
      </c>
      <c r="AB60" s="144">
        <v>5.9750999999999999E-2</v>
      </c>
      <c r="AC60" s="144">
        <v>6.0444999999999999E-2</v>
      </c>
      <c r="AD60" s="144">
        <v>6.1081000000000003E-2</v>
      </c>
      <c r="AE60" s="144">
        <v>6.1848E-2</v>
      </c>
      <c r="AF60" s="142">
        <v>1.2305999999999999E-2</v>
      </c>
      <c r="AG60" s="17"/>
    </row>
    <row r="61" spans="1:33" ht="15" customHeight="1">
      <c r="A61" s="15" t="s">
        <v>118</v>
      </c>
      <c r="B61" s="140" t="s">
        <v>97</v>
      </c>
      <c r="C61" s="144">
        <v>0.48138199999999998</v>
      </c>
      <c r="D61" s="144">
        <v>0.47482200000000002</v>
      </c>
      <c r="E61" s="144">
        <v>0.49412899999999998</v>
      </c>
      <c r="F61" s="144">
        <v>0.48220400000000002</v>
      </c>
      <c r="G61" s="144">
        <v>0.46188000000000001</v>
      </c>
      <c r="H61" s="144">
        <v>0.44609500000000002</v>
      </c>
      <c r="I61" s="144">
        <v>0.439745</v>
      </c>
      <c r="J61" s="144">
        <v>0.44452599999999998</v>
      </c>
      <c r="K61" s="144">
        <v>0.44189200000000001</v>
      </c>
      <c r="L61" s="144">
        <v>0.44342300000000001</v>
      </c>
      <c r="M61" s="144">
        <v>0.44743699999999997</v>
      </c>
      <c r="N61" s="144">
        <v>0.45064799999999999</v>
      </c>
      <c r="O61" s="144">
        <v>0.45266600000000001</v>
      </c>
      <c r="P61" s="144">
        <v>0.455515</v>
      </c>
      <c r="Q61" s="144">
        <v>0.45589400000000002</v>
      </c>
      <c r="R61" s="144">
        <v>0.45686199999999999</v>
      </c>
      <c r="S61" s="144">
        <v>0.45827499999999999</v>
      </c>
      <c r="T61" s="144">
        <v>0.45760899999999999</v>
      </c>
      <c r="U61" s="144">
        <v>0.45812799999999998</v>
      </c>
      <c r="V61" s="144">
        <v>0.461673</v>
      </c>
      <c r="W61" s="144">
        <v>0.464588</v>
      </c>
      <c r="X61" s="144">
        <v>0.46493699999999999</v>
      </c>
      <c r="Y61" s="144">
        <v>0.46492299999999998</v>
      </c>
      <c r="Z61" s="144">
        <v>0.46477099999999999</v>
      </c>
      <c r="AA61" s="144">
        <v>0.46576699999999999</v>
      </c>
      <c r="AB61" s="144">
        <v>0.46815499999999999</v>
      </c>
      <c r="AC61" s="144">
        <v>0.47133999999999998</v>
      </c>
      <c r="AD61" s="144">
        <v>0.47259899999999999</v>
      </c>
      <c r="AE61" s="144">
        <v>0.47572900000000001</v>
      </c>
      <c r="AF61" s="142">
        <v>-4.2200000000000001E-4</v>
      </c>
      <c r="AG61" s="17"/>
    </row>
    <row r="62" spans="1:33" ht="15" customHeight="1">
      <c r="A62" s="15" t="s">
        <v>117</v>
      </c>
      <c r="B62" s="140" t="s">
        <v>95</v>
      </c>
      <c r="C62" s="144">
        <v>9.8239000000000007E-2</v>
      </c>
      <c r="D62" s="144">
        <v>9.8920999999999995E-2</v>
      </c>
      <c r="E62" s="144">
        <v>9.8114999999999994E-2</v>
      </c>
      <c r="F62" s="144">
        <v>9.7346000000000002E-2</v>
      </c>
      <c r="G62" s="144">
        <v>9.6685999999999994E-2</v>
      </c>
      <c r="H62" s="144">
        <v>9.5823000000000005E-2</v>
      </c>
      <c r="I62" s="144">
        <v>9.4964999999999994E-2</v>
      </c>
      <c r="J62" s="144">
        <v>9.3891000000000002E-2</v>
      </c>
      <c r="K62" s="144">
        <v>9.2919000000000002E-2</v>
      </c>
      <c r="L62" s="144">
        <v>9.2030000000000001E-2</v>
      </c>
      <c r="M62" s="144">
        <v>9.1400999999999996E-2</v>
      </c>
      <c r="N62" s="144">
        <v>9.0674000000000005E-2</v>
      </c>
      <c r="O62" s="144">
        <v>8.9934E-2</v>
      </c>
      <c r="P62" s="144">
        <v>8.9168999999999998E-2</v>
      </c>
      <c r="Q62" s="144">
        <v>8.8332999999999995E-2</v>
      </c>
      <c r="R62" s="144">
        <v>8.7614999999999998E-2</v>
      </c>
      <c r="S62" s="144">
        <v>8.6832999999999994E-2</v>
      </c>
      <c r="T62" s="144">
        <v>8.6156999999999997E-2</v>
      </c>
      <c r="U62" s="144">
        <v>8.5473999999999994E-2</v>
      </c>
      <c r="V62" s="144">
        <v>8.4846000000000005E-2</v>
      </c>
      <c r="W62" s="144">
        <v>8.4274000000000002E-2</v>
      </c>
      <c r="X62" s="144">
        <v>8.3705000000000002E-2</v>
      </c>
      <c r="Y62" s="144">
        <v>8.3102999999999996E-2</v>
      </c>
      <c r="Z62" s="144">
        <v>8.2418000000000005E-2</v>
      </c>
      <c r="AA62" s="144">
        <v>8.1855999999999998E-2</v>
      </c>
      <c r="AB62" s="144">
        <v>8.1249000000000002E-2</v>
      </c>
      <c r="AC62" s="144">
        <v>8.0573000000000006E-2</v>
      </c>
      <c r="AD62" s="144">
        <v>7.9990000000000006E-2</v>
      </c>
      <c r="AE62" s="144">
        <v>7.9592999999999997E-2</v>
      </c>
      <c r="AF62" s="142">
        <v>-7.489E-3</v>
      </c>
      <c r="AG62" s="17"/>
    </row>
    <row r="63" spans="1:33" ht="15" customHeight="1">
      <c r="A63" s="15" t="s">
        <v>116</v>
      </c>
      <c r="B63" s="140" t="s">
        <v>93</v>
      </c>
      <c r="C63" s="144">
        <v>0.93502799999999997</v>
      </c>
      <c r="D63" s="144">
        <v>0.88183</v>
      </c>
      <c r="E63" s="144">
        <v>0.87772700000000003</v>
      </c>
      <c r="F63" s="144">
        <v>0.87860400000000005</v>
      </c>
      <c r="G63" s="144">
        <v>0.87124999999999997</v>
      </c>
      <c r="H63" s="144">
        <v>0.86844900000000003</v>
      </c>
      <c r="I63" s="144">
        <v>0.86268900000000004</v>
      </c>
      <c r="J63" s="144">
        <v>0.85914199999999996</v>
      </c>
      <c r="K63" s="144">
        <v>0.85663400000000001</v>
      </c>
      <c r="L63" s="144">
        <v>0.85713600000000001</v>
      </c>
      <c r="M63" s="144">
        <v>0.857437</v>
      </c>
      <c r="N63" s="144">
        <v>0.85799999999999998</v>
      </c>
      <c r="O63" s="144">
        <v>0.85775999999999997</v>
      </c>
      <c r="P63" s="144">
        <v>0.85821800000000004</v>
      </c>
      <c r="Q63" s="144">
        <v>0.85754699999999995</v>
      </c>
      <c r="R63" s="144">
        <v>0.85761399999999999</v>
      </c>
      <c r="S63" s="144">
        <v>0.85763500000000004</v>
      </c>
      <c r="T63" s="144">
        <v>0.85734999999999995</v>
      </c>
      <c r="U63" s="144">
        <v>0.85724500000000003</v>
      </c>
      <c r="V63" s="144">
        <v>0.85730099999999998</v>
      </c>
      <c r="W63" s="144">
        <v>0.85782999999999998</v>
      </c>
      <c r="X63" s="144">
        <v>0.85782000000000003</v>
      </c>
      <c r="Y63" s="144">
        <v>0.85804800000000003</v>
      </c>
      <c r="Z63" s="144">
        <v>0.85806800000000005</v>
      </c>
      <c r="AA63" s="144">
        <v>0.86063299999999998</v>
      </c>
      <c r="AB63" s="144">
        <v>0.86092400000000002</v>
      </c>
      <c r="AC63" s="144">
        <v>0.85983399999999999</v>
      </c>
      <c r="AD63" s="144">
        <v>0.85912200000000005</v>
      </c>
      <c r="AE63" s="144">
        <v>0.85809500000000005</v>
      </c>
      <c r="AF63" s="142">
        <v>-3.0620000000000001E-3</v>
      </c>
      <c r="AG63" s="17"/>
    </row>
    <row r="64" spans="1:33" ht="15" customHeight="1">
      <c r="A64" s="15" t="s">
        <v>115</v>
      </c>
      <c r="B64" s="140" t="s">
        <v>91</v>
      </c>
      <c r="C64" s="144">
        <v>0.20283699999999999</v>
      </c>
      <c r="D64" s="144">
        <v>0.19916300000000001</v>
      </c>
      <c r="E64" s="144">
        <v>0.19580500000000001</v>
      </c>
      <c r="F64" s="144">
        <v>0.19373699999999999</v>
      </c>
      <c r="G64" s="144">
        <v>0.19281300000000001</v>
      </c>
      <c r="H64" s="144">
        <v>0.19189700000000001</v>
      </c>
      <c r="I64" s="144">
        <v>0.19073399999999999</v>
      </c>
      <c r="J64" s="144">
        <v>0.18920999999999999</v>
      </c>
      <c r="K64" s="144">
        <v>0.18740399999999999</v>
      </c>
      <c r="L64" s="144">
        <v>0.18567700000000001</v>
      </c>
      <c r="M64" s="144">
        <v>0.18446699999999999</v>
      </c>
      <c r="N64" s="144">
        <v>0.18361</v>
      </c>
      <c r="O64" s="144">
        <v>0.182778</v>
      </c>
      <c r="P64" s="144">
        <v>0.18199799999999999</v>
      </c>
      <c r="Q64" s="144">
        <v>0.18145</v>
      </c>
      <c r="R64" s="144">
        <v>0.18110599999999999</v>
      </c>
      <c r="S64" s="144">
        <v>0.18074599999999999</v>
      </c>
      <c r="T64" s="144">
        <v>0.18038299999999999</v>
      </c>
      <c r="U64" s="144">
        <v>0.18029500000000001</v>
      </c>
      <c r="V64" s="144">
        <v>0.18016099999999999</v>
      </c>
      <c r="W64" s="144">
        <v>0.17998800000000001</v>
      </c>
      <c r="X64" s="144">
        <v>0.179814</v>
      </c>
      <c r="Y64" s="144">
        <v>0.17955699999999999</v>
      </c>
      <c r="Z64" s="144">
        <v>0.17924399999999999</v>
      </c>
      <c r="AA64" s="144">
        <v>0.17895</v>
      </c>
      <c r="AB64" s="144">
        <v>0.178728</v>
      </c>
      <c r="AC64" s="144">
        <v>0.17849100000000001</v>
      </c>
      <c r="AD64" s="144">
        <v>0.178228</v>
      </c>
      <c r="AE64" s="144">
        <v>0.17815600000000001</v>
      </c>
      <c r="AF64" s="142">
        <v>-4.6230000000000004E-3</v>
      </c>
      <c r="AG64" s="17"/>
    </row>
    <row r="65" spans="1:33" ht="15" customHeight="1">
      <c r="A65" s="15" t="s">
        <v>114</v>
      </c>
      <c r="B65" s="140" t="s">
        <v>89</v>
      </c>
      <c r="C65" s="144">
        <v>2.8028080000000002</v>
      </c>
      <c r="D65" s="144">
        <v>3.008168</v>
      </c>
      <c r="E65" s="144">
        <v>3.0512030000000001</v>
      </c>
      <c r="F65" s="144">
        <v>3.0571109999999999</v>
      </c>
      <c r="G65" s="144">
        <v>3.095898</v>
      </c>
      <c r="H65" s="144">
        <v>3.1342270000000001</v>
      </c>
      <c r="I65" s="144">
        <v>3.164552</v>
      </c>
      <c r="J65" s="144">
        <v>3.1871079999999998</v>
      </c>
      <c r="K65" s="144">
        <v>3.2029380000000001</v>
      </c>
      <c r="L65" s="144">
        <v>3.2187830000000002</v>
      </c>
      <c r="M65" s="144">
        <v>3.2439369999999998</v>
      </c>
      <c r="N65" s="144">
        <v>3.270448</v>
      </c>
      <c r="O65" s="144">
        <v>3.294403</v>
      </c>
      <c r="P65" s="144">
        <v>3.322924</v>
      </c>
      <c r="Q65" s="144">
        <v>3.3598249999999998</v>
      </c>
      <c r="R65" s="144">
        <v>3.4038949999999999</v>
      </c>
      <c r="S65" s="144">
        <v>3.4501719999999998</v>
      </c>
      <c r="T65" s="144">
        <v>3.498488</v>
      </c>
      <c r="U65" s="144">
        <v>3.5546440000000001</v>
      </c>
      <c r="V65" s="144">
        <v>3.608403</v>
      </c>
      <c r="W65" s="144">
        <v>3.6630980000000002</v>
      </c>
      <c r="X65" s="144">
        <v>3.7186249999999998</v>
      </c>
      <c r="Y65" s="144">
        <v>3.7740100000000001</v>
      </c>
      <c r="Z65" s="144">
        <v>3.8279190000000001</v>
      </c>
      <c r="AA65" s="144">
        <v>3.8804340000000002</v>
      </c>
      <c r="AB65" s="144">
        <v>3.9367380000000001</v>
      </c>
      <c r="AC65" s="144">
        <v>3.9936039999999999</v>
      </c>
      <c r="AD65" s="144">
        <v>4.0496509999999999</v>
      </c>
      <c r="AE65" s="144">
        <v>4.112158</v>
      </c>
      <c r="AF65" s="142">
        <v>1.3783999999999999E-2</v>
      </c>
      <c r="AG65" s="17"/>
    </row>
    <row r="66" spans="1:33" ht="12" customHeight="1">
      <c r="A66" s="15" t="s">
        <v>113</v>
      </c>
      <c r="B66" s="140" t="s">
        <v>87</v>
      </c>
      <c r="C66" s="144">
        <v>0.43083199999999999</v>
      </c>
      <c r="D66" s="144">
        <v>0.43313099999999999</v>
      </c>
      <c r="E66" s="144">
        <v>0.43396800000000002</v>
      </c>
      <c r="F66" s="144">
        <v>0.43462800000000001</v>
      </c>
      <c r="G66" s="144">
        <v>0.43516199999999999</v>
      </c>
      <c r="H66" s="144">
        <v>0.43594699999999997</v>
      </c>
      <c r="I66" s="144">
        <v>0.43650600000000001</v>
      </c>
      <c r="J66" s="144">
        <v>0.43695099999999998</v>
      </c>
      <c r="K66" s="144">
        <v>0.437332</v>
      </c>
      <c r="L66" s="144">
        <v>0.43757600000000002</v>
      </c>
      <c r="M66" s="144">
        <v>0.43774400000000002</v>
      </c>
      <c r="N66" s="144">
        <v>0.43782700000000002</v>
      </c>
      <c r="O66" s="144">
        <v>0.43785800000000002</v>
      </c>
      <c r="P66" s="144">
        <v>0.43787900000000002</v>
      </c>
      <c r="Q66" s="144">
        <v>0.438004</v>
      </c>
      <c r="R66" s="144">
        <v>0.43820300000000001</v>
      </c>
      <c r="S66" s="144">
        <v>0.43841200000000002</v>
      </c>
      <c r="T66" s="144">
        <v>0.43863099999999999</v>
      </c>
      <c r="U66" s="144">
        <v>0.43885800000000003</v>
      </c>
      <c r="V66" s="144">
        <v>0.43909300000000001</v>
      </c>
      <c r="W66" s="144">
        <v>0.43933499999999998</v>
      </c>
      <c r="X66" s="144">
        <v>0.43958399999999997</v>
      </c>
      <c r="Y66" s="144">
        <v>0.43983899999999998</v>
      </c>
      <c r="Z66" s="144">
        <v>0.44009900000000002</v>
      </c>
      <c r="AA66" s="144">
        <v>0.44036399999999998</v>
      </c>
      <c r="AB66" s="144">
        <v>0.440633</v>
      </c>
      <c r="AC66" s="144">
        <v>0.44090699999999999</v>
      </c>
      <c r="AD66" s="144">
        <v>0.44118400000000002</v>
      </c>
      <c r="AE66" s="144">
        <v>0.441465</v>
      </c>
      <c r="AF66" s="142">
        <v>8.7100000000000003E-4</v>
      </c>
      <c r="AG66" s="17"/>
    </row>
    <row r="67" spans="1:33" ht="15" customHeight="1">
      <c r="A67" s="15" t="s">
        <v>112</v>
      </c>
      <c r="B67" s="140" t="s">
        <v>85</v>
      </c>
      <c r="C67" s="144">
        <v>0.125945</v>
      </c>
      <c r="D67" s="144">
        <v>0.12592500000000001</v>
      </c>
      <c r="E67" s="144">
        <v>0.12601200000000001</v>
      </c>
      <c r="F67" s="144">
        <v>0.12605</v>
      </c>
      <c r="G67" s="144">
        <v>0.126114</v>
      </c>
      <c r="H67" s="144">
        <v>0.12598400000000001</v>
      </c>
      <c r="I67" s="144">
        <v>0.12585299999999999</v>
      </c>
      <c r="J67" s="144">
        <v>0.12575500000000001</v>
      </c>
      <c r="K67" s="144">
        <v>0.12565200000000001</v>
      </c>
      <c r="L67" s="144">
        <v>0.12554599999999999</v>
      </c>
      <c r="M67" s="144">
        <v>0.12543899999999999</v>
      </c>
      <c r="N67" s="144">
        <v>0.12533</v>
      </c>
      <c r="O67" s="144">
        <v>0.12525</v>
      </c>
      <c r="P67" s="144">
        <v>0.125225</v>
      </c>
      <c r="Q67" s="144">
        <v>0.12525500000000001</v>
      </c>
      <c r="R67" s="144">
        <v>0.12531800000000001</v>
      </c>
      <c r="S67" s="144">
        <v>0.125412</v>
      </c>
      <c r="T67" s="144">
        <v>0.125527</v>
      </c>
      <c r="U67" s="144">
        <v>0.125667</v>
      </c>
      <c r="V67" s="144">
        <v>0.12579699999999999</v>
      </c>
      <c r="W67" s="144">
        <v>0.12592500000000001</v>
      </c>
      <c r="X67" s="144">
        <v>0.12604599999999999</v>
      </c>
      <c r="Y67" s="144">
        <v>0.126166</v>
      </c>
      <c r="Z67" s="144">
        <v>0.12631999999999999</v>
      </c>
      <c r="AA67" s="144">
        <v>0.12649199999999999</v>
      </c>
      <c r="AB67" s="144">
        <v>0.126661</v>
      </c>
      <c r="AC67" s="144">
        <v>0.12681100000000001</v>
      </c>
      <c r="AD67" s="144">
        <v>0.126974</v>
      </c>
      <c r="AE67" s="144">
        <v>0.12715899999999999</v>
      </c>
      <c r="AF67" s="142">
        <v>3.4200000000000002E-4</v>
      </c>
      <c r="AG67" s="17"/>
    </row>
    <row r="68" spans="1:33" ht="15" customHeight="1">
      <c r="A68" s="15" t="s">
        <v>111</v>
      </c>
      <c r="B68" s="140" t="s">
        <v>235</v>
      </c>
      <c r="C68" s="144">
        <v>0.90573199999999998</v>
      </c>
      <c r="D68" s="144">
        <v>0.82054300000000002</v>
      </c>
      <c r="E68" s="144">
        <v>0.76098200000000005</v>
      </c>
      <c r="F68" s="144">
        <v>0.72675199999999995</v>
      </c>
      <c r="G68" s="144">
        <v>0.69584999999999997</v>
      </c>
      <c r="H68" s="144">
        <v>0.65398500000000004</v>
      </c>
      <c r="I68" s="144">
        <v>0.61392800000000003</v>
      </c>
      <c r="J68" s="144">
        <v>0.61203300000000005</v>
      </c>
      <c r="K68" s="144">
        <v>0.61031599999999997</v>
      </c>
      <c r="L68" s="144">
        <v>0.61189700000000002</v>
      </c>
      <c r="M68" s="144">
        <v>0.61776399999999998</v>
      </c>
      <c r="N68" s="144">
        <v>0.62628499999999998</v>
      </c>
      <c r="O68" s="144">
        <v>0.63076699999999997</v>
      </c>
      <c r="P68" s="144">
        <v>0.63347699999999996</v>
      </c>
      <c r="Q68" s="144">
        <v>0.63400299999999998</v>
      </c>
      <c r="R68" s="144">
        <v>0.63296799999999998</v>
      </c>
      <c r="S68" s="144">
        <v>0.63783100000000004</v>
      </c>
      <c r="T68" s="144">
        <v>0.63666800000000001</v>
      </c>
      <c r="U68" s="144">
        <v>0.64580700000000002</v>
      </c>
      <c r="V68" s="144">
        <v>0.65242699999999998</v>
      </c>
      <c r="W68" s="144">
        <v>0.65816600000000003</v>
      </c>
      <c r="X68" s="144">
        <v>0.66099399999999997</v>
      </c>
      <c r="Y68" s="144">
        <v>0.66509499999999999</v>
      </c>
      <c r="Z68" s="144">
        <v>0.66920299999999999</v>
      </c>
      <c r="AA68" s="144">
        <v>0.67453399999999997</v>
      </c>
      <c r="AB68" s="144">
        <v>0.68213500000000005</v>
      </c>
      <c r="AC68" s="144">
        <v>0.68949099999999997</v>
      </c>
      <c r="AD68" s="144">
        <v>0.691882</v>
      </c>
      <c r="AE68" s="144">
        <v>0.69677699999999998</v>
      </c>
      <c r="AF68" s="142">
        <v>-9.3229999999999997E-3</v>
      </c>
      <c r="AG68" s="17"/>
    </row>
    <row r="69" spans="1:33" ht="15" customHeight="1">
      <c r="A69" s="15" t="s">
        <v>2333</v>
      </c>
      <c r="B69" s="140" t="s">
        <v>2334</v>
      </c>
      <c r="C69" s="144">
        <v>0.33252300000000001</v>
      </c>
      <c r="D69" s="144">
        <v>0.377971</v>
      </c>
      <c r="E69" s="144">
        <v>0.38400499999999999</v>
      </c>
      <c r="F69" s="144">
        <v>0.40878300000000001</v>
      </c>
      <c r="G69" s="144">
        <v>0.44626100000000002</v>
      </c>
      <c r="H69" s="144">
        <v>0.47717300000000001</v>
      </c>
      <c r="I69" s="144">
        <v>0.50361</v>
      </c>
      <c r="J69" s="144">
        <v>0.52757100000000001</v>
      </c>
      <c r="K69" s="144">
        <v>0.57796899999999996</v>
      </c>
      <c r="L69" s="144">
        <v>0.62836700000000001</v>
      </c>
      <c r="M69" s="144">
        <v>0.68000400000000005</v>
      </c>
      <c r="N69" s="144">
        <v>0.72916400000000003</v>
      </c>
      <c r="O69" s="144">
        <v>0.77116200000000001</v>
      </c>
      <c r="P69" s="144">
        <v>0.79636099999999999</v>
      </c>
      <c r="Q69" s="144">
        <v>0.81439899999999998</v>
      </c>
      <c r="R69" s="144">
        <v>0.82996000000000003</v>
      </c>
      <c r="S69" s="144">
        <v>0.83835999999999999</v>
      </c>
      <c r="T69" s="144">
        <v>0.83835999999999999</v>
      </c>
      <c r="U69" s="144">
        <v>0.83959799999999996</v>
      </c>
      <c r="V69" s="144">
        <v>0.83835999999999999</v>
      </c>
      <c r="W69" s="144">
        <v>0.83835999999999999</v>
      </c>
      <c r="X69" s="144">
        <v>0.83835999999999999</v>
      </c>
      <c r="Y69" s="144">
        <v>0.83959799999999996</v>
      </c>
      <c r="Z69" s="144">
        <v>0.83835999999999999</v>
      </c>
      <c r="AA69" s="144">
        <v>0.83835999999999999</v>
      </c>
      <c r="AB69" s="144">
        <v>0.83835999999999999</v>
      </c>
      <c r="AC69" s="144">
        <v>0.83959799999999996</v>
      </c>
      <c r="AD69" s="144">
        <v>0.83835999999999999</v>
      </c>
      <c r="AE69" s="144">
        <v>0.83835999999999999</v>
      </c>
      <c r="AF69" s="142">
        <v>3.3577999999999997E-2</v>
      </c>
      <c r="AG69" s="17"/>
    </row>
    <row r="70" spans="1:33" ht="15" customHeight="1">
      <c r="A70" s="15" t="s">
        <v>110</v>
      </c>
      <c r="B70" s="139" t="s">
        <v>82</v>
      </c>
      <c r="C70" s="145">
        <v>27.986006</v>
      </c>
      <c r="D70" s="145">
        <v>28.032028</v>
      </c>
      <c r="E70" s="145">
        <v>27.776655000000002</v>
      </c>
      <c r="F70" s="145">
        <v>27.465699999999998</v>
      </c>
      <c r="G70" s="145">
        <v>27.255044999999999</v>
      </c>
      <c r="H70" s="145">
        <v>27.051918000000001</v>
      </c>
      <c r="I70" s="145">
        <v>26.819282999999999</v>
      </c>
      <c r="J70" s="145">
        <v>26.592269999999999</v>
      </c>
      <c r="K70" s="145">
        <v>26.360721999999999</v>
      </c>
      <c r="L70" s="145">
        <v>26.162958</v>
      </c>
      <c r="M70" s="145">
        <v>26.008129</v>
      </c>
      <c r="N70" s="145">
        <v>25.897749000000001</v>
      </c>
      <c r="O70" s="145">
        <v>25.802094</v>
      </c>
      <c r="P70" s="145">
        <v>25.704211999999998</v>
      </c>
      <c r="Q70" s="145">
        <v>25.598514999999999</v>
      </c>
      <c r="R70" s="145">
        <v>25.533525000000001</v>
      </c>
      <c r="S70" s="145">
        <v>25.493338000000001</v>
      </c>
      <c r="T70" s="145">
        <v>25.449311999999999</v>
      </c>
      <c r="U70" s="145">
        <v>25.46059</v>
      </c>
      <c r="V70" s="145">
        <v>25.485914000000001</v>
      </c>
      <c r="W70" s="145">
        <v>25.531475</v>
      </c>
      <c r="X70" s="145">
        <v>25.583796</v>
      </c>
      <c r="Y70" s="145">
        <v>25.657437999999999</v>
      </c>
      <c r="Z70" s="145">
        <v>25.744152</v>
      </c>
      <c r="AA70" s="145">
        <v>25.868386999999998</v>
      </c>
      <c r="AB70" s="145">
        <v>26.019403000000001</v>
      </c>
      <c r="AC70" s="145">
        <v>26.175443999999999</v>
      </c>
      <c r="AD70" s="145">
        <v>26.332941000000002</v>
      </c>
      <c r="AE70" s="145">
        <v>26.540414999999999</v>
      </c>
      <c r="AF70" s="146">
        <v>-1.892E-3</v>
      </c>
      <c r="AG70" s="17"/>
    </row>
    <row r="71" spans="1:33" ht="15" customHeight="1">
      <c r="B71" s="17"/>
      <c r="C71" s="17"/>
      <c r="D71" s="17"/>
      <c r="E71" s="17"/>
      <c r="F71" s="17"/>
      <c r="G71" s="17"/>
      <c r="H71" s="17"/>
      <c r="I71" s="17"/>
      <c r="J71" s="17"/>
      <c r="K71" s="17"/>
      <c r="L71" s="17"/>
      <c r="M71" s="17"/>
      <c r="N71" s="17"/>
      <c r="O71" s="17"/>
      <c r="P71" s="17"/>
      <c r="Q71" s="17"/>
      <c r="R71" s="17"/>
      <c r="S71" s="17"/>
      <c r="T71" s="17"/>
      <c r="U71" s="17"/>
      <c r="V71" s="17"/>
      <c r="W71" s="17"/>
      <c r="X71" s="17"/>
      <c r="Y71" s="17"/>
      <c r="Z71" s="17"/>
      <c r="AA71" s="17"/>
      <c r="AB71" s="17"/>
      <c r="AC71" s="17"/>
      <c r="AD71" s="17"/>
      <c r="AE71" s="17"/>
      <c r="AF71" s="17"/>
      <c r="AG71" s="17"/>
    </row>
    <row r="72" spans="1:33" ht="15" customHeight="1">
      <c r="B72" s="139" t="s">
        <v>109</v>
      </c>
      <c r="C72" s="17"/>
      <c r="D72" s="17"/>
      <c r="E72" s="17"/>
      <c r="F72" s="17"/>
      <c r="G72" s="17"/>
      <c r="H72" s="17"/>
      <c r="I72" s="17"/>
      <c r="J72" s="17"/>
      <c r="K72" s="17"/>
      <c r="L72" s="17"/>
      <c r="M72" s="17"/>
      <c r="N72" s="17"/>
      <c r="O72" s="17"/>
      <c r="P72" s="17"/>
      <c r="Q72" s="17"/>
      <c r="R72" s="17"/>
      <c r="S72" s="17"/>
      <c r="T72" s="17"/>
      <c r="U72" s="17"/>
      <c r="V72" s="17"/>
      <c r="W72" s="17"/>
      <c r="X72" s="17"/>
      <c r="Y72" s="17"/>
      <c r="Z72" s="17"/>
      <c r="AA72" s="17"/>
      <c r="AB72" s="17"/>
      <c r="AC72" s="17"/>
      <c r="AD72" s="17"/>
      <c r="AE72" s="17"/>
      <c r="AF72" s="17"/>
      <c r="AG72" s="17"/>
    </row>
    <row r="73" spans="1:33" ht="12" customHeight="1">
      <c r="A73" s="15" t="s">
        <v>108</v>
      </c>
      <c r="B73" s="140" t="s">
        <v>107</v>
      </c>
      <c r="C73" s="144">
        <v>7.8874019999999998</v>
      </c>
      <c r="D73" s="144">
        <v>7.9122269999999997</v>
      </c>
      <c r="E73" s="144">
        <v>7.8274340000000002</v>
      </c>
      <c r="F73" s="144">
        <v>7.7041750000000002</v>
      </c>
      <c r="G73" s="144">
        <v>7.6036460000000003</v>
      </c>
      <c r="H73" s="144">
        <v>7.5184980000000001</v>
      </c>
      <c r="I73" s="144">
        <v>7.419035</v>
      </c>
      <c r="J73" s="144">
        <v>7.3065249999999997</v>
      </c>
      <c r="K73" s="144">
        <v>7.1853569999999998</v>
      </c>
      <c r="L73" s="144">
        <v>7.0706910000000001</v>
      </c>
      <c r="M73" s="144">
        <v>6.9570160000000003</v>
      </c>
      <c r="N73" s="144">
        <v>6.8672800000000001</v>
      </c>
      <c r="O73" s="144">
        <v>6.7902670000000001</v>
      </c>
      <c r="P73" s="144">
        <v>6.712955</v>
      </c>
      <c r="Q73" s="144">
        <v>6.6337719999999996</v>
      </c>
      <c r="R73" s="144">
        <v>6.566808</v>
      </c>
      <c r="S73" s="144">
        <v>6.509881</v>
      </c>
      <c r="T73" s="144">
        <v>6.457382</v>
      </c>
      <c r="U73" s="144">
        <v>6.4183839999999996</v>
      </c>
      <c r="V73" s="144">
        <v>6.3855760000000004</v>
      </c>
      <c r="W73" s="144">
        <v>6.3615849999999998</v>
      </c>
      <c r="X73" s="144">
        <v>6.3450730000000002</v>
      </c>
      <c r="Y73" s="144">
        <v>6.3401059999999996</v>
      </c>
      <c r="Z73" s="144">
        <v>6.3454620000000004</v>
      </c>
      <c r="AA73" s="144">
        <v>6.3641899999999998</v>
      </c>
      <c r="AB73" s="144">
        <v>6.3931519999999997</v>
      </c>
      <c r="AC73" s="144">
        <v>6.428598</v>
      </c>
      <c r="AD73" s="144">
        <v>6.4683789999999997</v>
      </c>
      <c r="AE73" s="144">
        <v>6.5181990000000001</v>
      </c>
      <c r="AF73" s="142">
        <v>-6.7860000000000004E-3</v>
      </c>
      <c r="AG73" s="17"/>
    </row>
    <row r="74" spans="1:33" ht="15" customHeight="1">
      <c r="A74" s="15" t="s">
        <v>106</v>
      </c>
      <c r="B74" s="140" t="s">
        <v>105</v>
      </c>
      <c r="C74" s="144">
        <v>0.496809</v>
      </c>
      <c r="D74" s="144">
        <v>0.49219299999999999</v>
      </c>
      <c r="E74" s="144">
        <v>0.48331400000000002</v>
      </c>
      <c r="F74" s="144">
        <v>0.47684199999999999</v>
      </c>
      <c r="G74" s="144">
        <v>0.472221</v>
      </c>
      <c r="H74" s="144">
        <v>0.46793200000000001</v>
      </c>
      <c r="I74" s="144">
        <v>0.46471200000000001</v>
      </c>
      <c r="J74" s="144">
        <v>0.46205299999999999</v>
      </c>
      <c r="K74" s="144">
        <v>0.45911099999999999</v>
      </c>
      <c r="L74" s="144">
        <v>0.45708399999999999</v>
      </c>
      <c r="M74" s="144">
        <v>0.45675399999999999</v>
      </c>
      <c r="N74" s="144">
        <v>0.45698899999999998</v>
      </c>
      <c r="O74" s="144">
        <v>0.457814</v>
      </c>
      <c r="P74" s="144">
        <v>0.45909100000000003</v>
      </c>
      <c r="Q74" s="144">
        <v>0.46056399999999997</v>
      </c>
      <c r="R74" s="144">
        <v>0.462619</v>
      </c>
      <c r="S74" s="144">
        <v>0.46518900000000002</v>
      </c>
      <c r="T74" s="144">
        <v>0.46762300000000001</v>
      </c>
      <c r="U74" s="144">
        <v>0.47117599999999998</v>
      </c>
      <c r="V74" s="144">
        <v>0.47543600000000003</v>
      </c>
      <c r="W74" s="144">
        <v>0.47985299999999997</v>
      </c>
      <c r="X74" s="144">
        <v>0.48379299999999997</v>
      </c>
      <c r="Y74" s="144">
        <v>0.48735400000000001</v>
      </c>
      <c r="Z74" s="144">
        <v>0.49135299999999998</v>
      </c>
      <c r="AA74" s="144">
        <v>0.49600300000000003</v>
      </c>
      <c r="AB74" s="144">
        <v>0.50156500000000004</v>
      </c>
      <c r="AC74" s="144">
        <v>0.50649100000000002</v>
      </c>
      <c r="AD74" s="144">
        <v>0.51146199999999997</v>
      </c>
      <c r="AE74" s="144">
        <v>0.51798100000000002</v>
      </c>
      <c r="AF74" s="142">
        <v>1.4920000000000001E-3</v>
      </c>
      <c r="AG74" s="17"/>
    </row>
    <row r="75" spans="1:33" ht="15" customHeight="1">
      <c r="A75" s="15" t="s">
        <v>104</v>
      </c>
      <c r="B75" s="140" t="s">
        <v>103</v>
      </c>
      <c r="C75" s="144">
        <v>0.105213</v>
      </c>
      <c r="D75" s="144">
        <v>0.11029600000000001</v>
      </c>
      <c r="E75" s="144">
        <v>0.11259</v>
      </c>
      <c r="F75" s="144">
        <v>0.113083</v>
      </c>
      <c r="G75" s="144">
        <v>0.113492</v>
      </c>
      <c r="H75" s="144">
        <v>0.113737</v>
      </c>
      <c r="I75" s="144">
        <v>0.113843</v>
      </c>
      <c r="J75" s="144">
        <v>0.113729</v>
      </c>
      <c r="K75" s="144">
        <v>0.11343399999999999</v>
      </c>
      <c r="L75" s="144">
        <v>0.112917</v>
      </c>
      <c r="M75" s="144">
        <v>0.112403</v>
      </c>
      <c r="N75" s="144">
        <v>0.11212900000000001</v>
      </c>
      <c r="O75" s="144">
        <v>0.111806</v>
      </c>
      <c r="P75" s="144">
        <v>0.11138099999999999</v>
      </c>
      <c r="Q75" s="144">
        <v>0.110915</v>
      </c>
      <c r="R75" s="144">
        <v>0.110151</v>
      </c>
      <c r="S75" s="144">
        <v>0.109477</v>
      </c>
      <c r="T75" s="144">
        <v>0.108762</v>
      </c>
      <c r="U75" s="144">
        <v>0.107969</v>
      </c>
      <c r="V75" s="144">
        <v>0.107129</v>
      </c>
      <c r="W75" s="144">
        <v>0.10628799999999999</v>
      </c>
      <c r="X75" s="144">
        <v>0.105307</v>
      </c>
      <c r="Y75" s="144">
        <v>0.104391</v>
      </c>
      <c r="Z75" s="144">
        <v>0.103434</v>
      </c>
      <c r="AA75" s="144">
        <v>0.102605</v>
      </c>
      <c r="AB75" s="144">
        <v>0.101578</v>
      </c>
      <c r="AC75" s="144">
        <v>0.10058599999999999</v>
      </c>
      <c r="AD75" s="144">
        <v>9.9506999999999998E-2</v>
      </c>
      <c r="AE75" s="144">
        <v>9.8460000000000006E-2</v>
      </c>
      <c r="AF75" s="142">
        <v>-2.366E-3</v>
      </c>
      <c r="AG75" s="17"/>
    </row>
    <row r="76" spans="1:33" ht="15" customHeight="1">
      <c r="A76" s="15" t="s">
        <v>102</v>
      </c>
      <c r="B76" s="140" t="s">
        <v>101</v>
      </c>
      <c r="C76" s="144">
        <v>2.850965</v>
      </c>
      <c r="D76" s="144">
        <v>2.8004340000000001</v>
      </c>
      <c r="E76" s="144">
        <v>2.7581639999999998</v>
      </c>
      <c r="F76" s="144">
        <v>2.7321939999999998</v>
      </c>
      <c r="G76" s="144">
        <v>2.7161360000000001</v>
      </c>
      <c r="H76" s="144">
        <v>2.6936719999999998</v>
      </c>
      <c r="I76" s="144">
        <v>2.6712570000000002</v>
      </c>
      <c r="J76" s="144">
        <v>2.6429619999999998</v>
      </c>
      <c r="K76" s="144">
        <v>2.6141770000000002</v>
      </c>
      <c r="L76" s="144">
        <v>2.5901740000000002</v>
      </c>
      <c r="M76" s="144">
        <v>2.5759319999999999</v>
      </c>
      <c r="N76" s="144">
        <v>2.560368</v>
      </c>
      <c r="O76" s="144">
        <v>2.5477449999999999</v>
      </c>
      <c r="P76" s="144">
        <v>2.5398450000000001</v>
      </c>
      <c r="Q76" s="144">
        <v>2.5316429999999999</v>
      </c>
      <c r="R76" s="144">
        <v>2.5296340000000002</v>
      </c>
      <c r="S76" s="144">
        <v>2.5295000000000001</v>
      </c>
      <c r="T76" s="144">
        <v>2.5309710000000001</v>
      </c>
      <c r="U76" s="144">
        <v>2.536117</v>
      </c>
      <c r="V76" s="144">
        <v>2.5440339999999999</v>
      </c>
      <c r="W76" s="144">
        <v>2.553331</v>
      </c>
      <c r="X76" s="144">
        <v>2.5625979999999999</v>
      </c>
      <c r="Y76" s="144">
        <v>2.571348</v>
      </c>
      <c r="Z76" s="144">
        <v>2.5790220000000001</v>
      </c>
      <c r="AA76" s="144">
        <v>2.5899839999999998</v>
      </c>
      <c r="AB76" s="144">
        <v>2.6017070000000002</v>
      </c>
      <c r="AC76" s="144">
        <v>2.6103890000000001</v>
      </c>
      <c r="AD76" s="144">
        <v>2.6206119999999999</v>
      </c>
      <c r="AE76" s="144">
        <v>2.6388850000000001</v>
      </c>
      <c r="AF76" s="142">
        <v>-2.7569999999999999E-3</v>
      </c>
      <c r="AG76" s="17"/>
    </row>
    <row r="77" spans="1:33" ht="15" customHeight="1">
      <c r="A77" s="15" t="s">
        <v>100</v>
      </c>
      <c r="B77" s="140" t="s">
        <v>99</v>
      </c>
      <c r="C77" s="144">
        <v>2.0781000000000001E-2</v>
      </c>
      <c r="D77" s="144">
        <v>2.1562999999999999E-2</v>
      </c>
      <c r="E77" s="144">
        <v>2.2024999999999999E-2</v>
      </c>
      <c r="F77" s="144">
        <v>2.2339999999999999E-2</v>
      </c>
      <c r="G77" s="144">
        <v>2.2668000000000001E-2</v>
      </c>
      <c r="H77" s="144">
        <v>2.2984000000000001E-2</v>
      </c>
      <c r="I77" s="144">
        <v>2.3251000000000001E-2</v>
      </c>
      <c r="J77" s="144">
        <v>2.3522999999999999E-2</v>
      </c>
      <c r="K77" s="144">
        <v>2.3733000000000001E-2</v>
      </c>
      <c r="L77" s="144">
        <v>2.3945000000000001E-2</v>
      </c>
      <c r="M77" s="144">
        <v>2.4201E-2</v>
      </c>
      <c r="N77" s="144">
        <v>2.4479000000000001E-2</v>
      </c>
      <c r="O77" s="144">
        <v>2.4782999999999999E-2</v>
      </c>
      <c r="P77" s="144">
        <v>2.5045000000000001E-2</v>
      </c>
      <c r="Q77" s="144">
        <v>2.5298000000000001E-2</v>
      </c>
      <c r="R77" s="144">
        <v>2.5541999999999999E-2</v>
      </c>
      <c r="S77" s="144">
        <v>2.5795999999999999E-2</v>
      </c>
      <c r="T77" s="144">
        <v>2.6044000000000001E-2</v>
      </c>
      <c r="U77" s="144">
        <v>2.6325000000000001E-2</v>
      </c>
      <c r="V77" s="144">
        <v>2.6587E-2</v>
      </c>
      <c r="W77" s="144">
        <v>2.6858E-2</v>
      </c>
      <c r="X77" s="144">
        <v>2.7097E-2</v>
      </c>
      <c r="Y77" s="144">
        <v>2.7361E-2</v>
      </c>
      <c r="Z77" s="144">
        <v>2.7622000000000001E-2</v>
      </c>
      <c r="AA77" s="144">
        <v>2.7976999999999998E-2</v>
      </c>
      <c r="AB77" s="144">
        <v>2.8278000000000001E-2</v>
      </c>
      <c r="AC77" s="144">
        <v>2.8604999999999998E-2</v>
      </c>
      <c r="AD77" s="144">
        <v>2.8906000000000001E-2</v>
      </c>
      <c r="AE77" s="144">
        <v>2.9270000000000001E-2</v>
      </c>
      <c r="AF77" s="142">
        <v>1.2307999999999999E-2</v>
      </c>
      <c r="AG77" s="17"/>
    </row>
    <row r="78" spans="1:33" ht="15" customHeight="1">
      <c r="A78" s="15" t="s">
        <v>98</v>
      </c>
      <c r="B78" s="140" t="s">
        <v>97</v>
      </c>
      <c r="C78" s="144">
        <v>0.22834699999999999</v>
      </c>
      <c r="D78" s="144">
        <v>0.22523399999999999</v>
      </c>
      <c r="E78" s="144">
        <v>0.234373</v>
      </c>
      <c r="F78" s="144">
        <v>0.228717</v>
      </c>
      <c r="G78" s="144">
        <v>0.21906</v>
      </c>
      <c r="H78" s="144">
        <v>0.21154500000000001</v>
      </c>
      <c r="I78" s="144">
        <v>0.208541</v>
      </c>
      <c r="J78" s="144">
        <v>0.21080599999999999</v>
      </c>
      <c r="K78" s="144">
        <v>0.209559</v>
      </c>
      <c r="L78" s="144">
        <v>0.21027599999999999</v>
      </c>
      <c r="M78" s="144">
        <v>0.21217800000000001</v>
      </c>
      <c r="N78" s="144">
        <v>0.21369199999999999</v>
      </c>
      <c r="O78" s="144">
        <v>0.21465000000000001</v>
      </c>
      <c r="P78" s="144">
        <v>0.21598899999999999</v>
      </c>
      <c r="Q78" s="144">
        <v>0.216165</v>
      </c>
      <c r="R78" s="144">
        <v>0.216616</v>
      </c>
      <c r="S78" s="144">
        <v>0.21728</v>
      </c>
      <c r="T78" s="144">
        <v>0.21695600000000001</v>
      </c>
      <c r="U78" s="144">
        <v>0.217194</v>
      </c>
      <c r="V78" s="144">
        <v>0.218865</v>
      </c>
      <c r="W78" s="144">
        <v>0.22023400000000001</v>
      </c>
      <c r="X78" s="144">
        <v>0.220387</v>
      </c>
      <c r="Y78" s="144">
        <v>0.22037000000000001</v>
      </c>
      <c r="Z78" s="144">
        <v>0.22028300000000001</v>
      </c>
      <c r="AA78" s="144">
        <v>0.220747</v>
      </c>
      <c r="AB78" s="144">
        <v>0.22186600000000001</v>
      </c>
      <c r="AC78" s="144">
        <v>0.223355</v>
      </c>
      <c r="AD78" s="144">
        <v>0.223935</v>
      </c>
      <c r="AE78" s="144">
        <v>0.225407</v>
      </c>
      <c r="AF78" s="142">
        <v>-4.6299999999999998E-4</v>
      </c>
      <c r="AG78" s="17"/>
    </row>
    <row r="79" spans="1:33" ht="12" customHeight="1">
      <c r="A79" s="15" t="s">
        <v>96</v>
      </c>
      <c r="B79" s="140" t="s">
        <v>95</v>
      </c>
      <c r="C79" s="144">
        <v>4.6526999999999999E-2</v>
      </c>
      <c r="D79" s="144">
        <v>4.6852999999999999E-2</v>
      </c>
      <c r="E79" s="144">
        <v>4.6469999999999997E-2</v>
      </c>
      <c r="F79" s="144">
        <v>4.6109999999999998E-2</v>
      </c>
      <c r="G79" s="144">
        <v>4.5796000000000003E-2</v>
      </c>
      <c r="H79" s="144">
        <v>4.5385000000000002E-2</v>
      </c>
      <c r="I79" s="144">
        <v>4.4983000000000002E-2</v>
      </c>
      <c r="J79" s="144">
        <v>4.4476000000000002E-2</v>
      </c>
      <c r="K79" s="144">
        <v>4.4019999999999997E-2</v>
      </c>
      <c r="L79" s="144">
        <v>4.36E-2</v>
      </c>
      <c r="M79" s="144">
        <v>4.3305999999999997E-2</v>
      </c>
      <c r="N79" s="144">
        <v>4.2963000000000001E-2</v>
      </c>
      <c r="O79" s="144">
        <v>4.2617000000000002E-2</v>
      </c>
      <c r="P79" s="144">
        <v>4.2256000000000002E-2</v>
      </c>
      <c r="Q79" s="144">
        <v>4.1862999999999997E-2</v>
      </c>
      <c r="R79" s="144">
        <v>4.1524999999999999E-2</v>
      </c>
      <c r="S79" s="144">
        <v>4.1158E-2</v>
      </c>
      <c r="T79" s="144">
        <v>4.0840000000000001E-2</v>
      </c>
      <c r="U79" s="144">
        <v>4.0518999999999999E-2</v>
      </c>
      <c r="V79" s="144">
        <v>4.0222000000000001E-2</v>
      </c>
      <c r="W79" s="144">
        <v>3.9949999999999999E-2</v>
      </c>
      <c r="X79" s="144">
        <v>3.9681000000000001E-2</v>
      </c>
      <c r="Y79" s="144">
        <v>3.9394999999999999E-2</v>
      </c>
      <c r="Z79" s="144">
        <v>3.9070000000000001E-2</v>
      </c>
      <c r="AA79" s="144">
        <v>3.8804999999999999E-2</v>
      </c>
      <c r="AB79" s="144">
        <v>3.8517000000000003E-2</v>
      </c>
      <c r="AC79" s="144">
        <v>3.8196000000000001E-2</v>
      </c>
      <c r="AD79" s="144">
        <v>3.7919000000000001E-2</v>
      </c>
      <c r="AE79" s="144">
        <v>3.7732000000000002E-2</v>
      </c>
      <c r="AF79" s="142">
        <v>-7.4549999999999998E-3</v>
      </c>
      <c r="AG79" s="17"/>
    </row>
    <row r="80" spans="1:33" ht="15" customHeight="1">
      <c r="A80" s="15" t="s">
        <v>94</v>
      </c>
      <c r="B80" s="140" t="s">
        <v>93</v>
      </c>
      <c r="C80" s="144">
        <v>0.41703200000000001</v>
      </c>
      <c r="D80" s="144">
        <v>0.39771000000000001</v>
      </c>
      <c r="E80" s="144">
        <v>0.396229</v>
      </c>
      <c r="F80" s="144">
        <v>0.39661299999999999</v>
      </c>
      <c r="G80" s="144">
        <v>0.39397500000000002</v>
      </c>
      <c r="H80" s="144">
        <v>0.39299699999999999</v>
      </c>
      <c r="I80" s="144">
        <v>0.39095600000000003</v>
      </c>
      <c r="J80" s="144">
        <v>0.38970900000000003</v>
      </c>
      <c r="K80" s="144">
        <v>0.388847</v>
      </c>
      <c r="L80" s="144">
        <v>0.389075</v>
      </c>
      <c r="M80" s="144">
        <v>0.38924700000000001</v>
      </c>
      <c r="N80" s="144">
        <v>0.38950699999999999</v>
      </c>
      <c r="O80" s="144">
        <v>0.38948100000000002</v>
      </c>
      <c r="P80" s="144">
        <v>0.38969799999999999</v>
      </c>
      <c r="Q80" s="144">
        <v>0.38950499999999999</v>
      </c>
      <c r="R80" s="144">
        <v>0.389575</v>
      </c>
      <c r="S80" s="144">
        <v>0.38963399999999998</v>
      </c>
      <c r="T80" s="144">
        <v>0.38958100000000001</v>
      </c>
      <c r="U80" s="144">
        <v>0.38959700000000003</v>
      </c>
      <c r="V80" s="144">
        <v>0.38967000000000002</v>
      </c>
      <c r="W80" s="144">
        <v>0.38991700000000001</v>
      </c>
      <c r="X80" s="144">
        <v>0.38996900000000001</v>
      </c>
      <c r="Y80" s="144">
        <v>0.39011299999999999</v>
      </c>
      <c r="Z80" s="144">
        <v>0.39017800000000002</v>
      </c>
      <c r="AA80" s="144">
        <v>0.391183</v>
      </c>
      <c r="AB80" s="144">
        <v>0.391349</v>
      </c>
      <c r="AC80" s="144">
        <v>0.39100600000000002</v>
      </c>
      <c r="AD80" s="144">
        <v>0.39079999999999998</v>
      </c>
      <c r="AE80" s="144">
        <v>0.39048899999999998</v>
      </c>
      <c r="AF80" s="142">
        <v>-2.346E-3</v>
      </c>
      <c r="AG80" s="17"/>
    </row>
    <row r="81" spans="1:34" ht="12" customHeight="1">
      <c r="A81" s="15" t="s">
        <v>92</v>
      </c>
      <c r="B81" s="140" t="s">
        <v>91</v>
      </c>
      <c r="C81" s="144">
        <v>0.11000600000000001</v>
      </c>
      <c r="D81" s="144">
        <v>0.108038</v>
      </c>
      <c r="E81" s="144">
        <v>0.106242</v>
      </c>
      <c r="F81" s="144">
        <v>0.105144</v>
      </c>
      <c r="G81" s="144">
        <v>0.104667</v>
      </c>
      <c r="H81" s="144">
        <v>0.104195</v>
      </c>
      <c r="I81" s="144">
        <v>0.103587</v>
      </c>
      <c r="J81" s="144">
        <v>0.102784</v>
      </c>
      <c r="K81" s="144">
        <v>0.101827</v>
      </c>
      <c r="L81" s="144">
        <v>0.100913</v>
      </c>
      <c r="M81" s="144">
        <v>0.10027899999999999</v>
      </c>
      <c r="N81" s="144">
        <v>9.9837999999999996E-2</v>
      </c>
      <c r="O81" s="144">
        <v>9.9408999999999997E-2</v>
      </c>
      <c r="P81" s="144">
        <v>9.9009E-2</v>
      </c>
      <c r="Q81" s="144">
        <v>9.8730999999999999E-2</v>
      </c>
      <c r="R81" s="144">
        <v>9.8563999999999999E-2</v>
      </c>
      <c r="S81" s="144">
        <v>9.8387000000000002E-2</v>
      </c>
      <c r="T81" s="144">
        <v>9.8209000000000005E-2</v>
      </c>
      <c r="U81" s="144">
        <v>9.8181000000000004E-2</v>
      </c>
      <c r="V81" s="144">
        <v>9.8125000000000004E-2</v>
      </c>
      <c r="W81" s="144">
        <v>9.8048999999999997E-2</v>
      </c>
      <c r="X81" s="144">
        <v>9.7971000000000003E-2</v>
      </c>
      <c r="Y81" s="144">
        <v>9.7849000000000005E-2</v>
      </c>
      <c r="Z81" s="144">
        <v>9.7695000000000004E-2</v>
      </c>
      <c r="AA81" s="144">
        <v>9.7552E-2</v>
      </c>
      <c r="AB81" s="144">
        <v>9.7448000000000007E-2</v>
      </c>
      <c r="AC81" s="144">
        <v>9.7337000000000007E-2</v>
      </c>
      <c r="AD81" s="144">
        <v>9.7211000000000006E-2</v>
      </c>
      <c r="AE81" s="144">
        <v>9.7187999999999997E-2</v>
      </c>
      <c r="AF81" s="142">
        <v>-4.4149999999999997E-3</v>
      </c>
      <c r="AG81" s="17"/>
    </row>
    <row r="82" spans="1:34" ht="15" customHeight="1">
      <c r="A82" s="15" t="s">
        <v>90</v>
      </c>
      <c r="B82" s="140" t="s">
        <v>89</v>
      </c>
      <c r="C82" s="144">
        <v>1.355634</v>
      </c>
      <c r="D82" s="144">
        <v>1.4548650000000001</v>
      </c>
      <c r="E82" s="144">
        <v>1.475662</v>
      </c>
      <c r="F82" s="144">
        <v>1.4785189999999999</v>
      </c>
      <c r="G82" s="144">
        <v>1.497263</v>
      </c>
      <c r="H82" s="144">
        <v>1.5157860000000001</v>
      </c>
      <c r="I82" s="144">
        <v>1.5304420000000001</v>
      </c>
      <c r="J82" s="144">
        <v>1.541344</v>
      </c>
      <c r="K82" s="144">
        <v>1.5489949999999999</v>
      </c>
      <c r="L82" s="144">
        <v>1.556654</v>
      </c>
      <c r="M82" s="144">
        <v>1.568811</v>
      </c>
      <c r="N82" s="144">
        <v>1.5816239999999999</v>
      </c>
      <c r="O82" s="144">
        <v>1.593202</v>
      </c>
      <c r="P82" s="144">
        <v>1.606986</v>
      </c>
      <c r="Q82" s="144">
        <v>1.624819</v>
      </c>
      <c r="R82" s="144">
        <v>1.6461159999999999</v>
      </c>
      <c r="S82" s="144">
        <v>1.668479</v>
      </c>
      <c r="T82" s="144">
        <v>1.6918280000000001</v>
      </c>
      <c r="U82" s="144">
        <v>1.7189650000000001</v>
      </c>
      <c r="V82" s="144">
        <v>1.7449429999999999</v>
      </c>
      <c r="W82" s="144">
        <v>1.7713730000000001</v>
      </c>
      <c r="X82" s="144">
        <v>1.798206</v>
      </c>
      <c r="Y82" s="144">
        <v>1.82497</v>
      </c>
      <c r="Z82" s="144">
        <v>1.851021</v>
      </c>
      <c r="AA82" s="144">
        <v>1.876398</v>
      </c>
      <c r="AB82" s="144">
        <v>1.9036059999999999</v>
      </c>
      <c r="AC82" s="144">
        <v>1.9310860000000001</v>
      </c>
      <c r="AD82" s="144">
        <v>1.95817</v>
      </c>
      <c r="AE82" s="144">
        <v>1.988375</v>
      </c>
      <c r="AF82" s="142">
        <v>1.3774E-2</v>
      </c>
      <c r="AG82" s="17"/>
    </row>
    <row r="83" spans="1:34" ht="15" customHeight="1">
      <c r="A83" s="15" t="s">
        <v>88</v>
      </c>
      <c r="B83" s="140" t="s">
        <v>87</v>
      </c>
      <c r="C83" s="144">
        <v>0.20732500000000001</v>
      </c>
      <c r="D83" s="144">
        <v>0.20843100000000001</v>
      </c>
      <c r="E83" s="144">
        <v>0.20882999999999999</v>
      </c>
      <c r="F83" s="144">
        <v>0.209148</v>
      </c>
      <c r="G83" s="144">
        <v>0.209402</v>
      </c>
      <c r="H83" s="144">
        <v>0.20977399999999999</v>
      </c>
      <c r="I83" s="144">
        <v>0.21004500000000001</v>
      </c>
      <c r="J83" s="144">
        <v>0.210259</v>
      </c>
      <c r="K83" s="144">
        <v>0.21044299999999999</v>
      </c>
      <c r="L83" s="144">
        <v>0.21056</v>
      </c>
      <c r="M83" s="144">
        <v>0.21064099999999999</v>
      </c>
      <c r="N83" s="144">
        <v>0.21068000000000001</v>
      </c>
      <c r="O83" s="144">
        <v>0.210697</v>
      </c>
      <c r="P83" s="144">
        <v>0.210706</v>
      </c>
      <c r="Q83" s="144">
        <v>0.21076600000000001</v>
      </c>
      <c r="R83" s="144">
        <v>0.21086199999999999</v>
      </c>
      <c r="S83" s="144">
        <v>0.21096400000000001</v>
      </c>
      <c r="T83" s="144">
        <v>0.21106900000000001</v>
      </c>
      <c r="U83" s="144">
        <v>0.21117900000000001</v>
      </c>
      <c r="V83" s="144">
        <v>0.21129200000000001</v>
      </c>
      <c r="W83" s="144">
        <v>0.21140900000000001</v>
      </c>
      <c r="X83" s="144">
        <v>0.21152899999999999</v>
      </c>
      <c r="Y83" s="144">
        <v>0.21165200000000001</v>
      </c>
      <c r="Z83" s="144">
        <v>0.21177699999999999</v>
      </c>
      <c r="AA83" s="144">
        <v>0.21190600000000001</v>
      </c>
      <c r="AB83" s="144">
        <v>0.212036</v>
      </c>
      <c r="AC83" s="144">
        <v>0.21216699999999999</v>
      </c>
      <c r="AD83" s="144">
        <v>0.21229999999999999</v>
      </c>
      <c r="AE83" s="144">
        <v>0.21243699999999999</v>
      </c>
      <c r="AF83" s="142">
        <v>8.7000000000000001E-4</v>
      </c>
      <c r="AG83" s="17"/>
    </row>
    <row r="84" spans="1:34" ht="15" customHeight="1">
      <c r="A84" s="15" t="s">
        <v>86</v>
      </c>
      <c r="B84" s="140" t="s">
        <v>85</v>
      </c>
      <c r="C84" s="144">
        <v>5.9492000000000003E-2</v>
      </c>
      <c r="D84" s="144">
        <v>5.9483000000000001E-2</v>
      </c>
      <c r="E84" s="144">
        <v>5.9524000000000001E-2</v>
      </c>
      <c r="F84" s="144">
        <v>5.9541999999999998E-2</v>
      </c>
      <c r="G84" s="144">
        <v>5.9572E-2</v>
      </c>
      <c r="H84" s="144">
        <v>5.9511000000000001E-2</v>
      </c>
      <c r="I84" s="144">
        <v>5.9449000000000002E-2</v>
      </c>
      <c r="J84" s="144">
        <v>5.9402999999999997E-2</v>
      </c>
      <c r="K84" s="144">
        <v>5.9353999999999997E-2</v>
      </c>
      <c r="L84" s="144">
        <v>5.9304000000000003E-2</v>
      </c>
      <c r="M84" s="144">
        <v>5.9253E-2</v>
      </c>
      <c r="N84" s="144">
        <v>5.9201999999999998E-2</v>
      </c>
      <c r="O84" s="144">
        <v>5.9164000000000001E-2</v>
      </c>
      <c r="P84" s="144">
        <v>5.9152000000000003E-2</v>
      </c>
      <c r="Q84" s="144">
        <v>5.9166000000000003E-2</v>
      </c>
      <c r="R84" s="144">
        <v>5.9195999999999999E-2</v>
      </c>
      <c r="S84" s="144">
        <v>5.9240000000000001E-2</v>
      </c>
      <c r="T84" s="144">
        <v>5.9295E-2</v>
      </c>
      <c r="U84" s="144">
        <v>5.9360999999999997E-2</v>
      </c>
      <c r="V84" s="144">
        <v>5.9422000000000003E-2</v>
      </c>
      <c r="W84" s="144">
        <v>5.9483000000000001E-2</v>
      </c>
      <c r="X84" s="144">
        <v>5.9540000000000003E-2</v>
      </c>
      <c r="Y84" s="144">
        <v>5.9596999999999997E-2</v>
      </c>
      <c r="Z84" s="144">
        <v>5.9669E-2</v>
      </c>
      <c r="AA84" s="144">
        <v>5.9750999999999999E-2</v>
      </c>
      <c r="AB84" s="144">
        <v>5.9830000000000001E-2</v>
      </c>
      <c r="AC84" s="144">
        <v>5.9901000000000003E-2</v>
      </c>
      <c r="AD84" s="144">
        <v>5.9977999999999997E-2</v>
      </c>
      <c r="AE84" s="144">
        <v>6.0066000000000001E-2</v>
      </c>
      <c r="AF84" s="142">
        <v>3.4200000000000002E-4</v>
      </c>
      <c r="AG84" s="17"/>
    </row>
    <row r="85" spans="1:34" ht="15" customHeight="1">
      <c r="A85" s="15" t="s">
        <v>84</v>
      </c>
      <c r="B85" s="140" t="s">
        <v>235</v>
      </c>
      <c r="C85" s="144">
        <v>0.427838</v>
      </c>
      <c r="D85" s="144">
        <v>0.38759700000000002</v>
      </c>
      <c r="E85" s="144">
        <v>0.35946299999999998</v>
      </c>
      <c r="F85" s="144">
        <v>0.34329399999999999</v>
      </c>
      <c r="G85" s="144">
        <v>0.32869599999999999</v>
      </c>
      <c r="H85" s="144">
        <v>0.308921</v>
      </c>
      <c r="I85" s="144">
        <v>0.28999900000000001</v>
      </c>
      <c r="J85" s="144">
        <v>0.28910400000000003</v>
      </c>
      <c r="K85" s="144">
        <v>0.28829300000000002</v>
      </c>
      <c r="L85" s="144">
        <v>0.28903899999999999</v>
      </c>
      <c r="M85" s="144">
        <v>0.29181099999999999</v>
      </c>
      <c r="N85" s="144">
        <v>0.29583599999999999</v>
      </c>
      <c r="O85" s="144">
        <v>0.29795300000000002</v>
      </c>
      <c r="P85" s="144">
        <v>0.29923300000000003</v>
      </c>
      <c r="Q85" s="144">
        <v>0.29948200000000003</v>
      </c>
      <c r="R85" s="144">
        <v>0.29899300000000001</v>
      </c>
      <c r="S85" s="144">
        <v>0.30129</v>
      </c>
      <c r="T85" s="144">
        <v>0.30074099999999998</v>
      </c>
      <c r="U85" s="144">
        <v>0.305058</v>
      </c>
      <c r="V85" s="144">
        <v>0.30818499999999999</v>
      </c>
      <c r="W85" s="144">
        <v>0.31089600000000001</v>
      </c>
      <c r="X85" s="144">
        <v>0.31223099999999998</v>
      </c>
      <c r="Y85" s="144">
        <v>0.314168</v>
      </c>
      <c r="Z85" s="144">
        <v>0.31610899999999997</v>
      </c>
      <c r="AA85" s="144">
        <v>0.31862699999999999</v>
      </c>
      <c r="AB85" s="144">
        <v>0.322218</v>
      </c>
      <c r="AC85" s="144">
        <v>0.32569199999999998</v>
      </c>
      <c r="AD85" s="144">
        <v>0.326822</v>
      </c>
      <c r="AE85" s="144">
        <v>0.32913399999999998</v>
      </c>
      <c r="AF85" s="142">
        <v>-9.3229999999999997E-3</v>
      </c>
      <c r="AG85" s="17"/>
    </row>
    <row r="86" spans="1:34" ht="15" customHeight="1">
      <c r="A86" s="15" t="s">
        <v>2335</v>
      </c>
      <c r="B86" s="140" t="s">
        <v>2334</v>
      </c>
      <c r="C86" s="144">
        <v>0.15707299999999999</v>
      </c>
      <c r="D86" s="144">
        <v>0.17854100000000001</v>
      </c>
      <c r="E86" s="144">
        <v>0.181391</v>
      </c>
      <c r="F86" s="144">
        <v>0.19309499999999999</v>
      </c>
      <c r="G86" s="144">
        <v>0.21079899999999999</v>
      </c>
      <c r="H86" s="144">
        <v>0.22539999999999999</v>
      </c>
      <c r="I86" s="144">
        <v>0.23788899999999999</v>
      </c>
      <c r="J86" s="144">
        <v>0.24920700000000001</v>
      </c>
      <c r="K86" s="144">
        <v>0.27301300000000001</v>
      </c>
      <c r="L86" s="144">
        <v>0.29681999999999997</v>
      </c>
      <c r="M86" s="144">
        <v>0.32121100000000002</v>
      </c>
      <c r="N86" s="144">
        <v>0.34443299999999999</v>
      </c>
      <c r="O86" s="144">
        <v>0.36427100000000001</v>
      </c>
      <c r="P86" s="144">
        <v>0.37617400000000001</v>
      </c>
      <c r="Q86" s="144">
        <v>0.38469500000000001</v>
      </c>
      <c r="R86" s="144">
        <v>0.39204499999999998</v>
      </c>
      <c r="S86" s="144">
        <v>0.396013</v>
      </c>
      <c r="T86" s="144">
        <v>0.396013</v>
      </c>
      <c r="U86" s="144">
        <v>0.39659800000000001</v>
      </c>
      <c r="V86" s="144">
        <v>0.396013</v>
      </c>
      <c r="W86" s="144">
        <v>0.396013</v>
      </c>
      <c r="X86" s="144">
        <v>0.396013</v>
      </c>
      <c r="Y86" s="144">
        <v>0.39659800000000001</v>
      </c>
      <c r="Z86" s="144">
        <v>0.396013</v>
      </c>
      <c r="AA86" s="144">
        <v>0.396013</v>
      </c>
      <c r="AB86" s="144">
        <v>0.396013</v>
      </c>
      <c r="AC86" s="144">
        <v>0.39659800000000001</v>
      </c>
      <c r="AD86" s="144">
        <v>0.396013</v>
      </c>
      <c r="AE86" s="144">
        <v>0.396013</v>
      </c>
      <c r="AF86" s="142">
        <v>3.3577999999999997E-2</v>
      </c>
      <c r="AG86" s="17"/>
    </row>
    <row r="87" spans="1:34" ht="15" customHeight="1">
      <c r="A87" s="15" t="s">
        <v>83</v>
      </c>
      <c r="B87" s="139" t="s">
        <v>82</v>
      </c>
      <c r="C87" s="145">
        <v>14.370443</v>
      </c>
      <c r="D87" s="145">
        <v>14.403465000000001</v>
      </c>
      <c r="E87" s="145">
        <v>14.271711</v>
      </c>
      <c r="F87" s="145">
        <v>14.108815</v>
      </c>
      <c r="G87" s="145">
        <v>13.997396</v>
      </c>
      <c r="H87" s="145">
        <v>13.890337000000001</v>
      </c>
      <c r="I87" s="145">
        <v>13.767988000000001</v>
      </c>
      <c r="J87" s="145">
        <v>13.645885</v>
      </c>
      <c r="K87" s="145">
        <v>13.520163999999999</v>
      </c>
      <c r="L87" s="145">
        <v>13.411051</v>
      </c>
      <c r="M87" s="145">
        <v>13.323045</v>
      </c>
      <c r="N87" s="145">
        <v>13.25902</v>
      </c>
      <c r="O87" s="145">
        <v>13.203858</v>
      </c>
      <c r="P87" s="145">
        <v>13.147519000000001</v>
      </c>
      <c r="Q87" s="145">
        <v>13.087383000000001</v>
      </c>
      <c r="R87" s="145">
        <v>13.048246000000001</v>
      </c>
      <c r="S87" s="145">
        <v>13.022289000000001</v>
      </c>
      <c r="T87" s="145">
        <v>12.995312</v>
      </c>
      <c r="U87" s="145">
        <v>12.996620999999999</v>
      </c>
      <c r="V87" s="145">
        <v>13.0055</v>
      </c>
      <c r="W87" s="145">
        <v>13.025238999999999</v>
      </c>
      <c r="X87" s="145">
        <v>13.049395000000001</v>
      </c>
      <c r="Y87" s="145">
        <v>13.085273000000001</v>
      </c>
      <c r="Z87" s="145">
        <v>13.128707</v>
      </c>
      <c r="AA87" s="145">
        <v>13.191739999999999</v>
      </c>
      <c r="AB87" s="145">
        <v>13.269163000000001</v>
      </c>
      <c r="AC87" s="145">
        <v>13.350009</v>
      </c>
      <c r="AD87" s="145">
        <v>13.432016000000001</v>
      </c>
      <c r="AE87" s="145">
        <v>13.539635000000001</v>
      </c>
      <c r="AF87" s="146">
        <v>-2.1250000000000002E-3</v>
      </c>
      <c r="AG87" s="17"/>
    </row>
    <row r="88" spans="1:34" ht="15" customHeight="1" thickBot="1">
      <c r="B88" s="17"/>
      <c r="C88" s="17"/>
      <c r="D88" s="17"/>
      <c r="E88" s="17"/>
      <c r="F88" s="17"/>
      <c r="G88" s="17"/>
      <c r="H88" s="17"/>
      <c r="I88" s="17"/>
      <c r="J88" s="17"/>
      <c r="K88" s="17"/>
      <c r="L88" s="17"/>
      <c r="M88" s="17"/>
      <c r="N88" s="17"/>
      <c r="O88" s="17"/>
      <c r="P88" s="17"/>
      <c r="Q88" s="17"/>
      <c r="R88" s="17"/>
      <c r="S88" s="17"/>
      <c r="T88" s="17"/>
      <c r="U88" s="17"/>
      <c r="V88" s="17"/>
      <c r="W88" s="17"/>
      <c r="X88" s="17"/>
      <c r="Y88" s="17"/>
      <c r="Z88" s="17"/>
      <c r="AA88" s="17"/>
      <c r="AB88" s="17"/>
      <c r="AC88" s="17"/>
      <c r="AD88" s="17"/>
      <c r="AE88" s="17"/>
      <c r="AF88" s="17"/>
      <c r="AG88" s="17"/>
    </row>
    <row r="89" spans="1:34" ht="15" customHeight="1">
      <c r="B89" s="169" t="s">
        <v>2336</v>
      </c>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70"/>
      <c r="AH89" s="147"/>
    </row>
    <row r="90" spans="1:34" ht="15" customHeight="1">
      <c r="B90" s="17" t="s">
        <v>436</v>
      </c>
      <c r="C90" s="17"/>
      <c r="D90" s="17"/>
      <c r="E90" s="17"/>
      <c r="F90" s="17"/>
      <c r="G90" s="17"/>
      <c r="H90" s="17"/>
      <c r="I90" s="17"/>
      <c r="J90" s="17"/>
      <c r="K90" s="17"/>
      <c r="L90" s="17"/>
      <c r="M90" s="17"/>
      <c r="N90" s="17"/>
      <c r="O90" s="17"/>
      <c r="P90" s="17"/>
      <c r="Q90" s="17"/>
      <c r="R90" s="17"/>
      <c r="S90" s="17"/>
      <c r="T90" s="17"/>
      <c r="U90" s="17"/>
      <c r="V90" s="17"/>
      <c r="W90" s="17"/>
      <c r="X90" s="17"/>
      <c r="Y90" s="17"/>
      <c r="Z90" s="17"/>
      <c r="AA90" s="17"/>
      <c r="AB90" s="17"/>
      <c r="AC90" s="17"/>
      <c r="AD90" s="17"/>
      <c r="AE90" s="17"/>
      <c r="AF90" s="17"/>
      <c r="AG90" s="17"/>
    </row>
    <row r="91" spans="1:34" ht="15" customHeight="1">
      <c r="B91" s="17" t="s">
        <v>437</v>
      </c>
      <c r="C91" s="17"/>
      <c r="D91" s="17"/>
      <c r="E91" s="17"/>
      <c r="F91" s="17"/>
      <c r="G91" s="17"/>
      <c r="H91" s="17"/>
      <c r="I91" s="17"/>
      <c r="J91" s="17"/>
      <c r="K91" s="17"/>
      <c r="L91" s="17"/>
      <c r="M91" s="17"/>
      <c r="N91" s="17"/>
      <c r="O91" s="17"/>
      <c r="P91" s="17"/>
      <c r="Q91" s="17"/>
      <c r="R91" s="17"/>
      <c r="S91" s="17"/>
      <c r="T91" s="17"/>
      <c r="U91" s="17"/>
      <c r="V91" s="17"/>
      <c r="W91" s="17"/>
      <c r="X91" s="17"/>
      <c r="Y91" s="17"/>
      <c r="Z91" s="17"/>
      <c r="AA91" s="17"/>
      <c r="AB91" s="17"/>
      <c r="AC91" s="17"/>
      <c r="AD91" s="17"/>
      <c r="AE91" s="17"/>
      <c r="AF91" s="17"/>
      <c r="AG91" s="17"/>
    </row>
    <row r="92" spans="1:34" ht="12" customHeight="1">
      <c r="B92" s="17" t="s">
        <v>2337</v>
      </c>
      <c r="C92" s="17"/>
      <c r="D92" s="17"/>
      <c r="E92" s="17"/>
      <c r="F92" s="17"/>
      <c r="G92" s="17"/>
      <c r="H92" s="17"/>
      <c r="I92" s="17"/>
      <c r="J92" s="17"/>
      <c r="K92" s="17"/>
      <c r="L92" s="17"/>
      <c r="M92" s="17"/>
      <c r="N92" s="17"/>
      <c r="O92" s="17"/>
      <c r="P92" s="17"/>
      <c r="Q92" s="17"/>
      <c r="R92" s="17"/>
      <c r="S92" s="17"/>
      <c r="T92" s="17"/>
      <c r="U92" s="17"/>
      <c r="V92" s="17"/>
      <c r="W92" s="17"/>
      <c r="X92" s="17"/>
      <c r="Y92" s="17"/>
      <c r="Z92" s="17"/>
      <c r="AA92" s="17"/>
      <c r="AB92" s="17"/>
      <c r="AC92" s="17"/>
      <c r="AD92" s="17"/>
      <c r="AE92" s="17"/>
      <c r="AF92" s="17"/>
      <c r="AG92" s="17"/>
    </row>
    <row r="93" spans="1:34" ht="15" customHeight="1">
      <c r="B93" s="17" t="s">
        <v>438</v>
      </c>
      <c r="C93" s="17"/>
      <c r="D93" s="17"/>
      <c r="E93" s="17"/>
      <c r="F93" s="17"/>
      <c r="G93" s="17"/>
      <c r="H93" s="17"/>
      <c r="I93" s="17"/>
      <c r="J93" s="17"/>
      <c r="K93" s="17"/>
      <c r="L93" s="17"/>
      <c r="M93" s="17"/>
      <c r="N93" s="17"/>
      <c r="O93" s="17"/>
      <c r="P93" s="17"/>
      <c r="Q93" s="17"/>
      <c r="R93" s="17"/>
      <c r="S93" s="17"/>
      <c r="T93" s="17"/>
      <c r="U93" s="17"/>
      <c r="V93" s="17"/>
      <c r="W93" s="17"/>
      <c r="X93" s="17"/>
      <c r="Y93" s="17"/>
      <c r="Z93" s="17"/>
      <c r="AA93" s="17"/>
      <c r="AB93" s="17"/>
      <c r="AC93" s="17"/>
      <c r="AD93" s="17"/>
      <c r="AE93" s="17"/>
      <c r="AF93" s="17"/>
      <c r="AG93" s="17"/>
    </row>
    <row r="94" spans="1:34" ht="15" customHeight="1">
      <c r="B94" s="17" t="s">
        <v>439</v>
      </c>
      <c r="C94" s="17"/>
      <c r="D94" s="17"/>
      <c r="E94" s="17"/>
      <c r="F94" s="17"/>
      <c r="G94" s="17"/>
      <c r="H94" s="17"/>
      <c r="I94" s="17"/>
      <c r="J94" s="17"/>
      <c r="K94" s="17"/>
      <c r="L94" s="17"/>
      <c r="M94" s="17"/>
      <c r="N94" s="17"/>
      <c r="O94" s="17"/>
      <c r="P94" s="17"/>
      <c r="Q94" s="17"/>
      <c r="R94" s="17"/>
      <c r="S94" s="17"/>
      <c r="T94" s="17"/>
      <c r="U94" s="17"/>
      <c r="V94" s="17"/>
      <c r="W94" s="17"/>
      <c r="X94" s="17"/>
      <c r="Y94" s="17"/>
      <c r="Z94" s="17"/>
      <c r="AA94" s="17"/>
      <c r="AB94" s="17"/>
      <c r="AC94" s="17"/>
      <c r="AD94" s="17"/>
      <c r="AE94" s="17"/>
      <c r="AF94" s="17"/>
      <c r="AG94" s="17"/>
    </row>
    <row r="95" spans="1:34" ht="15" customHeight="1">
      <c r="B95" s="17" t="s">
        <v>2338</v>
      </c>
      <c r="C95" s="17"/>
      <c r="D95" s="17"/>
      <c r="E95" s="17"/>
      <c r="F95" s="17"/>
      <c r="G95" s="17"/>
      <c r="H95" s="17"/>
      <c r="I95" s="17"/>
      <c r="J95" s="17"/>
      <c r="K95" s="17"/>
      <c r="L95" s="17"/>
      <c r="M95" s="17"/>
      <c r="N95" s="17"/>
      <c r="O95" s="17"/>
      <c r="P95" s="17"/>
      <c r="Q95" s="17"/>
      <c r="R95" s="17"/>
      <c r="S95" s="17"/>
      <c r="T95" s="17"/>
      <c r="U95" s="17"/>
      <c r="V95" s="17"/>
      <c r="W95" s="17"/>
      <c r="X95" s="17"/>
      <c r="Y95" s="17"/>
      <c r="Z95" s="17"/>
      <c r="AA95" s="17"/>
      <c r="AB95" s="17"/>
      <c r="AC95" s="17"/>
      <c r="AD95" s="17"/>
      <c r="AE95" s="17"/>
      <c r="AF95" s="17"/>
      <c r="AG95" s="17"/>
    </row>
    <row r="96" spans="1:34" ht="15" customHeight="1">
      <c r="B96" s="17" t="s">
        <v>440</v>
      </c>
      <c r="C96" s="17"/>
      <c r="D96" s="17"/>
      <c r="E96" s="17"/>
      <c r="F96" s="17"/>
      <c r="G96" s="17"/>
      <c r="H96" s="17"/>
      <c r="I96" s="17"/>
      <c r="J96" s="17"/>
      <c r="K96" s="17"/>
      <c r="L96" s="17"/>
      <c r="M96" s="17"/>
      <c r="N96" s="17"/>
      <c r="O96" s="17"/>
      <c r="P96" s="17"/>
      <c r="Q96" s="17"/>
      <c r="R96" s="17"/>
      <c r="S96" s="17"/>
      <c r="T96" s="17"/>
      <c r="U96" s="17"/>
      <c r="V96" s="17"/>
      <c r="W96" s="17"/>
      <c r="X96" s="17"/>
      <c r="Y96" s="17"/>
      <c r="Z96" s="17"/>
      <c r="AA96" s="17"/>
      <c r="AB96" s="17"/>
      <c r="AC96" s="17"/>
      <c r="AD96" s="17"/>
      <c r="AE96" s="17"/>
      <c r="AF96" s="17"/>
      <c r="AG96" s="17"/>
    </row>
    <row r="97" spans="2:33" ht="15" customHeight="1">
      <c r="B97" s="17" t="s">
        <v>441</v>
      </c>
      <c r="C97" s="17"/>
      <c r="D97" s="17"/>
      <c r="E97" s="17"/>
      <c r="F97" s="17"/>
      <c r="G97" s="17"/>
      <c r="H97" s="17"/>
      <c r="I97" s="17"/>
      <c r="J97" s="17"/>
      <c r="K97" s="17"/>
      <c r="L97" s="17"/>
      <c r="M97" s="17"/>
      <c r="N97" s="17"/>
      <c r="O97" s="17"/>
      <c r="P97" s="17"/>
      <c r="Q97" s="17"/>
      <c r="R97" s="17"/>
      <c r="S97" s="17"/>
      <c r="T97" s="17"/>
      <c r="U97" s="17"/>
      <c r="V97" s="17"/>
      <c r="W97" s="17"/>
      <c r="X97" s="17"/>
      <c r="Y97" s="17"/>
      <c r="Z97" s="17"/>
      <c r="AA97" s="17"/>
      <c r="AB97" s="17"/>
      <c r="AC97" s="17"/>
      <c r="AD97" s="17"/>
      <c r="AE97" s="17"/>
      <c r="AF97" s="17"/>
      <c r="AG97" s="17"/>
    </row>
    <row r="98" spans="2:33" ht="15" customHeight="1">
      <c r="B98" s="17" t="s">
        <v>442</v>
      </c>
      <c r="C98" s="17"/>
      <c r="D98" s="17"/>
      <c r="E98" s="17"/>
      <c r="F98" s="17"/>
      <c r="G98" s="17"/>
      <c r="H98" s="17"/>
      <c r="I98" s="17"/>
      <c r="J98" s="17"/>
      <c r="K98" s="17"/>
      <c r="L98" s="17"/>
      <c r="M98" s="17"/>
      <c r="N98" s="17"/>
      <c r="O98" s="17"/>
      <c r="P98" s="17"/>
      <c r="Q98" s="17"/>
      <c r="R98" s="17"/>
      <c r="S98" s="17"/>
      <c r="T98" s="17"/>
      <c r="U98" s="17"/>
      <c r="V98" s="17"/>
      <c r="W98" s="17"/>
      <c r="X98" s="17"/>
      <c r="Y98" s="17"/>
      <c r="Z98" s="17"/>
      <c r="AA98" s="17"/>
      <c r="AB98" s="17"/>
      <c r="AC98" s="17"/>
      <c r="AD98" s="17"/>
      <c r="AE98" s="17"/>
      <c r="AF98" s="17"/>
      <c r="AG98" s="17"/>
    </row>
    <row r="99" spans="2:33" ht="15" customHeight="1">
      <c r="B99" s="17" t="s">
        <v>1170</v>
      </c>
      <c r="C99" s="17"/>
      <c r="D99" s="17"/>
      <c r="E99" s="17"/>
      <c r="F99" s="17"/>
      <c r="G99" s="17"/>
      <c r="H99" s="17"/>
      <c r="I99" s="17"/>
      <c r="J99" s="17"/>
      <c r="K99" s="17"/>
      <c r="L99" s="17"/>
      <c r="M99" s="17"/>
      <c r="N99" s="17"/>
      <c r="O99" s="17"/>
      <c r="P99" s="17"/>
      <c r="Q99" s="17"/>
      <c r="R99" s="17"/>
      <c r="S99" s="17"/>
      <c r="T99" s="17"/>
      <c r="U99" s="17"/>
      <c r="V99" s="17"/>
      <c r="W99" s="17"/>
      <c r="X99" s="17"/>
      <c r="Y99" s="17"/>
      <c r="Z99" s="17"/>
      <c r="AA99" s="17"/>
      <c r="AB99" s="17"/>
      <c r="AC99" s="17"/>
      <c r="AD99" s="17"/>
      <c r="AE99" s="17"/>
      <c r="AF99" s="17"/>
      <c r="AG99" s="17"/>
    </row>
    <row r="100" spans="2:33" ht="15" customHeight="1">
      <c r="B100" s="17" t="s">
        <v>2339</v>
      </c>
      <c r="C100" s="17"/>
      <c r="D100" s="17"/>
      <c r="E100" s="17"/>
      <c r="F100" s="17"/>
      <c r="G100" s="17"/>
      <c r="H100" s="17"/>
      <c r="I100" s="17"/>
      <c r="J100" s="17"/>
      <c r="K100" s="17"/>
      <c r="L100" s="17"/>
      <c r="M100" s="17"/>
      <c r="N100" s="17"/>
      <c r="O100" s="17"/>
      <c r="P100" s="17"/>
      <c r="Q100" s="17"/>
      <c r="R100" s="17"/>
      <c r="S100" s="17"/>
      <c r="T100" s="17"/>
      <c r="U100" s="17"/>
      <c r="V100" s="17"/>
      <c r="W100" s="17"/>
      <c r="X100" s="17"/>
      <c r="Y100" s="17"/>
      <c r="Z100" s="17"/>
      <c r="AA100" s="17"/>
      <c r="AB100" s="17"/>
      <c r="AC100" s="17"/>
      <c r="AD100" s="17"/>
      <c r="AE100" s="17"/>
      <c r="AF100" s="17"/>
      <c r="AG100" s="17"/>
    </row>
    <row r="101" spans="2:33" ht="12" customHeight="1">
      <c r="B101" s="17"/>
      <c r="C101" s="17"/>
      <c r="D101" s="17"/>
      <c r="E101" s="17"/>
      <c r="F101" s="17"/>
      <c r="G101" s="17"/>
      <c r="H101" s="17"/>
      <c r="I101" s="17"/>
      <c r="J101" s="17"/>
      <c r="K101" s="17"/>
      <c r="L101" s="17"/>
      <c r="M101" s="17"/>
      <c r="N101" s="17"/>
      <c r="O101" s="17"/>
      <c r="P101" s="17"/>
      <c r="Q101" s="17"/>
      <c r="R101" s="17"/>
      <c r="S101" s="17"/>
      <c r="T101" s="17"/>
      <c r="U101" s="17"/>
      <c r="V101" s="17"/>
      <c r="W101" s="17"/>
      <c r="X101" s="17"/>
      <c r="Y101" s="17"/>
      <c r="Z101" s="17"/>
      <c r="AA101" s="17"/>
      <c r="AB101" s="17"/>
      <c r="AC101" s="17"/>
      <c r="AD101" s="17"/>
      <c r="AE101" s="17"/>
      <c r="AF101" s="17"/>
      <c r="AG101" s="17"/>
    </row>
    <row r="102" spans="2:33" ht="12" customHeight="1">
      <c r="B102" s="17"/>
      <c r="C102" s="17"/>
      <c r="D102" s="17"/>
      <c r="E102" s="17"/>
      <c r="F102" s="17"/>
      <c r="G102" s="17"/>
      <c r="H102" s="17"/>
      <c r="I102" s="17"/>
      <c r="J102" s="17"/>
      <c r="K102" s="17"/>
      <c r="L102" s="17"/>
      <c r="M102" s="17"/>
      <c r="N102" s="17"/>
      <c r="O102" s="17"/>
      <c r="P102" s="17"/>
      <c r="Q102" s="17"/>
      <c r="R102" s="17"/>
      <c r="S102" s="17"/>
      <c r="T102" s="17"/>
      <c r="U102" s="17"/>
      <c r="V102" s="17"/>
      <c r="W102" s="17"/>
      <c r="X102" s="17"/>
      <c r="Y102" s="17"/>
      <c r="Z102" s="17"/>
      <c r="AA102" s="17"/>
      <c r="AB102" s="17"/>
      <c r="AC102" s="17"/>
      <c r="AD102" s="17"/>
      <c r="AE102" s="17"/>
      <c r="AF102" s="17"/>
      <c r="AG102" s="17"/>
    </row>
    <row r="103" spans="2:33" ht="15" customHeight="1">
      <c r="B103" s="17"/>
      <c r="C103" s="17"/>
      <c r="D103" s="17"/>
      <c r="E103" s="17"/>
      <c r="F103" s="17"/>
      <c r="G103" s="17"/>
      <c r="H103" s="17"/>
      <c r="I103" s="17"/>
      <c r="J103" s="17"/>
      <c r="K103" s="17"/>
      <c r="L103" s="17"/>
      <c r="M103" s="17"/>
      <c r="N103" s="17"/>
      <c r="O103" s="17"/>
      <c r="P103" s="17"/>
      <c r="Q103" s="17"/>
      <c r="R103" s="17"/>
      <c r="S103" s="17"/>
      <c r="T103" s="17"/>
      <c r="U103" s="17"/>
      <c r="V103" s="17"/>
      <c r="W103" s="17"/>
      <c r="X103" s="17"/>
      <c r="Y103" s="17"/>
      <c r="Z103" s="17"/>
      <c r="AA103" s="17"/>
      <c r="AB103" s="17"/>
      <c r="AC103" s="17"/>
      <c r="AD103" s="17"/>
      <c r="AE103" s="17"/>
      <c r="AF103" s="17"/>
      <c r="AG103" s="17"/>
    </row>
    <row r="104" spans="2:33" ht="15" customHeight="1">
      <c r="B104" s="17"/>
      <c r="C104" s="17"/>
      <c r="D104" s="17"/>
      <c r="E104" s="17"/>
      <c r="F104" s="17"/>
      <c r="G104" s="17"/>
      <c r="H104" s="17"/>
      <c r="I104" s="17"/>
      <c r="J104" s="17"/>
      <c r="K104" s="17"/>
      <c r="L104" s="17"/>
      <c r="M104" s="17"/>
      <c r="N104" s="17"/>
      <c r="O104" s="17"/>
      <c r="P104" s="17"/>
      <c r="Q104" s="17"/>
      <c r="R104" s="17"/>
      <c r="S104" s="17"/>
      <c r="T104" s="17"/>
      <c r="U104" s="17"/>
      <c r="V104" s="17"/>
      <c r="W104" s="17"/>
      <c r="X104" s="17"/>
      <c r="Y104" s="17"/>
      <c r="Z104" s="17"/>
      <c r="AA104" s="17"/>
      <c r="AB104" s="17"/>
      <c r="AC104" s="17"/>
      <c r="AD104" s="17"/>
      <c r="AE104" s="17"/>
      <c r="AF104" s="17"/>
      <c r="AG104" s="17"/>
    </row>
    <row r="105" spans="2:33" ht="15" customHeight="1">
      <c r="B105" s="17"/>
      <c r="C105" s="17"/>
      <c r="D105" s="17"/>
      <c r="E105" s="17"/>
      <c r="F105" s="17"/>
      <c r="G105" s="17"/>
      <c r="H105" s="17"/>
      <c r="I105" s="17"/>
      <c r="J105" s="17"/>
      <c r="K105" s="17"/>
      <c r="L105" s="17"/>
      <c r="M105" s="17"/>
      <c r="N105" s="17"/>
      <c r="O105" s="17"/>
      <c r="P105" s="17"/>
      <c r="Q105" s="17"/>
      <c r="R105" s="17"/>
      <c r="S105" s="17"/>
      <c r="T105" s="17"/>
      <c r="U105" s="17"/>
      <c r="V105" s="17"/>
      <c r="W105" s="17"/>
      <c r="X105" s="17"/>
      <c r="Y105" s="17"/>
      <c r="Z105" s="17"/>
      <c r="AA105" s="17"/>
      <c r="AB105" s="17"/>
      <c r="AC105" s="17"/>
      <c r="AD105" s="17"/>
      <c r="AE105" s="17"/>
      <c r="AF105" s="17"/>
      <c r="AG105" s="17"/>
    </row>
    <row r="106" spans="2:33" ht="15" customHeight="1">
      <c r="B106" s="17"/>
      <c r="C106" s="17"/>
      <c r="D106" s="17"/>
      <c r="E106" s="17"/>
      <c r="F106" s="17"/>
      <c r="G106" s="17"/>
      <c r="H106" s="17"/>
      <c r="I106" s="17"/>
      <c r="J106" s="17"/>
      <c r="K106" s="17"/>
      <c r="L106" s="17"/>
      <c r="M106" s="17"/>
      <c r="N106" s="17"/>
      <c r="O106" s="17"/>
      <c r="P106" s="17"/>
      <c r="Q106" s="17"/>
      <c r="R106" s="17"/>
      <c r="S106" s="17"/>
      <c r="T106" s="17"/>
      <c r="U106" s="17"/>
      <c r="V106" s="17"/>
      <c r="W106" s="17"/>
      <c r="X106" s="17"/>
      <c r="Y106" s="17"/>
      <c r="Z106" s="17"/>
      <c r="AA106" s="17"/>
      <c r="AB106" s="17"/>
      <c r="AC106" s="17"/>
      <c r="AD106" s="17"/>
      <c r="AE106" s="17"/>
      <c r="AF106" s="17"/>
      <c r="AG106" s="17"/>
    </row>
    <row r="107" spans="2:33" ht="15" customHeight="1">
      <c r="B107" s="17"/>
      <c r="C107" s="17"/>
      <c r="D107" s="17"/>
      <c r="E107" s="17"/>
      <c r="F107" s="17"/>
      <c r="G107" s="17"/>
      <c r="H107" s="17"/>
      <c r="I107" s="17"/>
      <c r="J107" s="17"/>
      <c r="K107" s="17"/>
      <c r="L107" s="17"/>
      <c r="M107" s="17"/>
      <c r="N107" s="17"/>
      <c r="O107" s="17"/>
      <c r="P107" s="17"/>
      <c r="Q107" s="17"/>
      <c r="R107" s="17"/>
      <c r="S107" s="17"/>
      <c r="T107" s="17"/>
      <c r="U107" s="17"/>
      <c r="V107" s="17"/>
      <c r="W107" s="17"/>
      <c r="X107" s="17"/>
      <c r="Y107" s="17"/>
      <c r="Z107" s="17"/>
      <c r="AA107" s="17"/>
      <c r="AB107" s="17"/>
      <c r="AC107" s="17"/>
      <c r="AD107" s="17"/>
      <c r="AE107" s="17"/>
      <c r="AF107" s="17"/>
      <c r="AG107" s="17"/>
    </row>
    <row r="108" spans="2:33" ht="15" customHeight="1">
      <c r="B108" s="17"/>
      <c r="C108" s="17"/>
      <c r="D108" s="17"/>
      <c r="E108" s="17"/>
      <c r="F108" s="17"/>
      <c r="G108" s="17"/>
      <c r="H108" s="17"/>
      <c r="I108" s="17"/>
      <c r="J108" s="17"/>
      <c r="K108" s="17"/>
      <c r="L108" s="17"/>
      <c r="M108" s="17"/>
      <c r="N108" s="17"/>
      <c r="O108" s="17"/>
      <c r="P108" s="17"/>
      <c r="Q108" s="17"/>
      <c r="R108" s="17"/>
      <c r="S108" s="17"/>
      <c r="T108" s="17"/>
      <c r="U108" s="17"/>
      <c r="V108" s="17"/>
      <c r="W108" s="17"/>
      <c r="X108" s="17"/>
      <c r="Y108" s="17"/>
      <c r="Z108" s="17"/>
      <c r="AA108" s="17"/>
      <c r="AB108" s="17"/>
      <c r="AC108" s="17"/>
      <c r="AD108" s="17"/>
      <c r="AE108" s="17"/>
      <c r="AF108" s="17"/>
      <c r="AG108" s="17"/>
    </row>
    <row r="109" spans="2:33" ht="15" customHeight="1">
      <c r="B109" s="17"/>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row>
    <row r="110" spans="2:33" ht="15" customHeight="1">
      <c r="B110" s="17"/>
      <c r="C110" s="17"/>
      <c r="D110" s="17"/>
      <c r="E110" s="17"/>
      <c r="F110" s="17"/>
      <c r="G110" s="17"/>
      <c r="H110" s="17"/>
      <c r="I110" s="17"/>
      <c r="J110" s="17"/>
      <c r="K110" s="17"/>
      <c r="L110" s="17"/>
      <c r="M110" s="17"/>
      <c r="N110" s="17"/>
      <c r="O110" s="17"/>
      <c r="P110" s="17"/>
      <c r="Q110" s="17"/>
      <c r="R110" s="17"/>
      <c r="S110" s="17"/>
      <c r="T110" s="17"/>
      <c r="U110" s="17"/>
      <c r="V110" s="17"/>
      <c r="W110" s="17"/>
      <c r="X110" s="17"/>
      <c r="Y110" s="17"/>
      <c r="Z110" s="17"/>
      <c r="AA110" s="17"/>
      <c r="AB110" s="17"/>
      <c r="AC110" s="17"/>
      <c r="AD110" s="17"/>
      <c r="AE110" s="17"/>
      <c r="AF110" s="17"/>
      <c r="AG110" s="17"/>
    </row>
    <row r="111" spans="2:33" ht="15" customHeight="1">
      <c r="B111" s="17"/>
      <c r="C111" s="17"/>
      <c r="D111" s="17"/>
      <c r="E111" s="17"/>
      <c r="F111" s="17"/>
      <c r="G111" s="17"/>
      <c r="H111" s="17"/>
      <c r="I111" s="17"/>
      <c r="J111" s="17"/>
      <c r="K111" s="17"/>
      <c r="L111" s="17"/>
      <c r="M111" s="17"/>
      <c r="N111" s="17"/>
      <c r="O111" s="17"/>
      <c r="P111" s="17"/>
      <c r="Q111" s="17"/>
      <c r="R111" s="17"/>
      <c r="S111" s="17"/>
      <c r="T111" s="17"/>
      <c r="U111" s="17"/>
      <c r="V111" s="17"/>
      <c r="W111" s="17"/>
      <c r="X111" s="17"/>
      <c r="Y111" s="17"/>
      <c r="Z111" s="17"/>
      <c r="AA111" s="17"/>
      <c r="AB111" s="17"/>
      <c r="AC111" s="17"/>
      <c r="AD111" s="17"/>
      <c r="AE111" s="17"/>
      <c r="AF111" s="17"/>
      <c r="AG111" s="17"/>
    </row>
    <row r="112" spans="2:33" ht="15" customHeight="1">
      <c r="B112" s="171"/>
      <c r="C112" s="171"/>
      <c r="D112" s="171"/>
      <c r="E112" s="171"/>
      <c r="F112" s="171"/>
      <c r="G112" s="171"/>
      <c r="H112" s="171"/>
      <c r="I112" s="171"/>
      <c r="J112" s="171"/>
      <c r="K112" s="171"/>
      <c r="L112" s="171"/>
      <c r="M112" s="171"/>
      <c r="N112" s="171"/>
      <c r="O112" s="171"/>
      <c r="P112" s="171"/>
      <c r="Q112" s="171"/>
      <c r="R112" s="171"/>
      <c r="S112" s="171"/>
      <c r="T112" s="171"/>
      <c r="U112" s="171"/>
      <c r="V112" s="171"/>
      <c r="W112" s="171"/>
      <c r="X112" s="171"/>
      <c r="Y112" s="171"/>
      <c r="Z112" s="171"/>
      <c r="AA112" s="171"/>
      <c r="AB112" s="171"/>
      <c r="AC112" s="171"/>
      <c r="AD112" s="171"/>
      <c r="AE112" s="171"/>
      <c r="AF112" s="171"/>
      <c r="AG112" s="17"/>
    </row>
    <row r="113" spans="2:33" ht="15" customHeight="1">
      <c r="B113" s="17"/>
      <c r="C113" s="17"/>
      <c r="D113" s="17"/>
      <c r="E113" s="17"/>
      <c r="F113" s="17"/>
      <c r="G113" s="17"/>
      <c r="H113" s="17"/>
      <c r="I113" s="17"/>
      <c r="J113" s="17"/>
      <c r="K113" s="17"/>
      <c r="L113" s="17"/>
      <c r="M113" s="17"/>
      <c r="N113" s="17"/>
      <c r="O113" s="17"/>
      <c r="P113" s="17"/>
      <c r="Q113" s="17"/>
      <c r="R113" s="17"/>
      <c r="S113" s="17"/>
      <c r="T113" s="17"/>
      <c r="U113" s="17"/>
      <c r="V113" s="17"/>
      <c r="W113" s="17"/>
      <c r="X113" s="17"/>
      <c r="Y113" s="17"/>
      <c r="Z113" s="17"/>
      <c r="AA113" s="17"/>
      <c r="AB113" s="17"/>
      <c r="AC113" s="17"/>
      <c r="AD113" s="17"/>
      <c r="AE113" s="17"/>
      <c r="AF113" s="17"/>
      <c r="AG113" s="17"/>
    </row>
    <row r="114" spans="2:33" ht="15" customHeight="1">
      <c r="B114" s="17"/>
      <c r="C114" s="17"/>
      <c r="D114" s="17"/>
      <c r="E114" s="17"/>
      <c r="F114" s="17"/>
      <c r="G114" s="17"/>
      <c r="H114" s="17"/>
      <c r="I114" s="17"/>
      <c r="J114" s="17"/>
      <c r="K114" s="17"/>
      <c r="L114" s="17"/>
      <c r="M114" s="17"/>
      <c r="N114" s="17"/>
      <c r="O114" s="17"/>
      <c r="P114" s="17"/>
      <c r="Q114" s="17"/>
      <c r="R114" s="17"/>
      <c r="S114" s="17"/>
      <c r="T114" s="17"/>
      <c r="U114" s="17"/>
      <c r="V114" s="17"/>
      <c r="W114" s="17"/>
      <c r="X114" s="17"/>
      <c r="Y114" s="17"/>
      <c r="Z114" s="17"/>
      <c r="AA114" s="17"/>
      <c r="AB114" s="17"/>
      <c r="AC114" s="17"/>
      <c r="AD114" s="17"/>
      <c r="AE114" s="17"/>
      <c r="AF114" s="17"/>
      <c r="AG114" s="17"/>
    </row>
    <row r="115" spans="2:33" ht="15" customHeight="1">
      <c r="B115" s="17"/>
      <c r="C115" s="17"/>
      <c r="D115" s="17"/>
      <c r="E115" s="17"/>
      <c r="F115" s="17"/>
      <c r="G115" s="17"/>
      <c r="H115" s="17"/>
      <c r="I115" s="17"/>
      <c r="J115" s="17"/>
      <c r="K115" s="17"/>
      <c r="L115" s="17"/>
      <c r="M115" s="17"/>
      <c r="N115" s="17"/>
      <c r="O115" s="17"/>
      <c r="P115" s="17"/>
      <c r="Q115" s="17"/>
      <c r="R115" s="17"/>
      <c r="S115" s="17"/>
      <c r="T115" s="17"/>
      <c r="U115" s="17"/>
      <c r="V115" s="17"/>
      <c r="W115" s="17"/>
      <c r="X115" s="17"/>
      <c r="Y115" s="17"/>
      <c r="Z115" s="17"/>
      <c r="AA115" s="17"/>
      <c r="AB115" s="17"/>
      <c r="AC115" s="17"/>
      <c r="AD115" s="17"/>
      <c r="AE115" s="17"/>
      <c r="AF115" s="17"/>
      <c r="AG115" s="17"/>
    </row>
    <row r="116" spans="2:33" ht="15" customHeight="1">
      <c r="B116" s="17"/>
      <c r="C116" s="17"/>
      <c r="D116" s="17"/>
      <c r="E116" s="17"/>
      <c r="F116" s="17"/>
      <c r="G116" s="17"/>
      <c r="H116" s="17"/>
      <c r="I116" s="17"/>
      <c r="J116" s="17"/>
      <c r="K116" s="17"/>
      <c r="L116" s="17"/>
      <c r="M116" s="17"/>
      <c r="N116" s="17"/>
      <c r="O116" s="17"/>
      <c r="P116" s="17"/>
      <c r="Q116" s="17"/>
      <c r="R116" s="17"/>
      <c r="S116" s="17"/>
      <c r="T116" s="17"/>
      <c r="U116" s="17"/>
      <c r="V116" s="17"/>
      <c r="W116" s="17"/>
      <c r="X116" s="17"/>
      <c r="Y116" s="17"/>
      <c r="Z116" s="17"/>
      <c r="AA116" s="17"/>
      <c r="AB116" s="17"/>
      <c r="AC116" s="17"/>
      <c r="AD116" s="17"/>
      <c r="AE116" s="17"/>
      <c r="AF116" s="17"/>
      <c r="AG116" s="17"/>
    </row>
    <row r="117" spans="2:33" ht="15" customHeight="1">
      <c r="B117" s="17"/>
      <c r="C117" s="17"/>
      <c r="D117" s="17"/>
      <c r="E117" s="17"/>
      <c r="F117" s="17"/>
      <c r="G117" s="17"/>
      <c r="H117" s="17"/>
      <c r="I117" s="17"/>
      <c r="J117" s="17"/>
      <c r="K117" s="17"/>
      <c r="L117" s="17"/>
      <c r="M117" s="17"/>
      <c r="N117" s="17"/>
      <c r="O117" s="17"/>
      <c r="P117" s="17"/>
      <c r="Q117" s="17"/>
      <c r="R117" s="17"/>
      <c r="S117" s="17"/>
      <c r="T117" s="17"/>
      <c r="U117" s="17"/>
      <c r="V117" s="17"/>
      <c r="W117" s="17"/>
      <c r="X117" s="17"/>
      <c r="Y117" s="17"/>
      <c r="Z117" s="17"/>
      <c r="AA117" s="17"/>
      <c r="AB117" s="17"/>
      <c r="AC117" s="17"/>
      <c r="AD117" s="17"/>
      <c r="AE117" s="17"/>
      <c r="AF117" s="17"/>
      <c r="AG117" s="17"/>
    </row>
    <row r="118" spans="2:33" ht="15" customHeight="1">
      <c r="B118" s="17"/>
      <c r="C118" s="17"/>
      <c r="D118" s="17"/>
      <c r="E118" s="17"/>
      <c r="F118" s="17"/>
      <c r="G118" s="17"/>
      <c r="H118" s="17"/>
      <c r="I118" s="17"/>
      <c r="J118" s="17"/>
      <c r="K118" s="17"/>
      <c r="L118" s="17"/>
      <c r="M118" s="17"/>
      <c r="N118" s="17"/>
      <c r="O118" s="17"/>
      <c r="P118" s="17"/>
      <c r="Q118" s="17"/>
      <c r="R118" s="17"/>
      <c r="S118" s="17"/>
      <c r="T118" s="17"/>
      <c r="U118" s="17"/>
      <c r="V118" s="17"/>
      <c r="W118" s="17"/>
      <c r="X118" s="17"/>
      <c r="Y118" s="17"/>
      <c r="Z118" s="17"/>
      <c r="AA118" s="17"/>
      <c r="AB118" s="17"/>
      <c r="AC118" s="17"/>
      <c r="AD118" s="17"/>
      <c r="AE118" s="17"/>
      <c r="AF118" s="17"/>
      <c r="AG118" s="17"/>
    </row>
    <row r="119" spans="2:33" ht="15" customHeight="1">
      <c r="B119" s="17"/>
      <c r="C119" s="17"/>
      <c r="D119" s="17"/>
      <c r="E119" s="17"/>
      <c r="F119" s="17"/>
      <c r="G119" s="17"/>
      <c r="H119" s="17"/>
      <c r="I119" s="17"/>
      <c r="J119" s="17"/>
      <c r="K119" s="17"/>
      <c r="L119" s="17"/>
      <c r="M119" s="17"/>
      <c r="N119" s="17"/>
      <c r="O119" s="17"/>
      <c r="P119" s="17"/>
      <c r="Q119" s="17"/>
      <c r="R119" s="17"/>
      <c r="S119" s="17"/>
      <c r="T119" s="17"/>
      <c r="U119" s="17"/>
      <c r="V119" s="17"/>
      <c r="W119" s="17"/>
      <c r="X119" s="17"/>
      <c r="Y119" s="17"/>
      <c r="Z119" s="17"/>
      <c r="AA119" s="17"/>
      <c r="AB119" s="17"/>
      <c r="AC119" s="17"/>
      <c r="AD119" s="17"/>
      <c r="AE119" s="17"/>
      <c r="AF119" s="17"/>
      <c r="AG119" s="17"/>
    </row>
    <row r="120" spans="2:33" ht="15" customHeight="1">
      <c r="B120" s="17"/>
      <c r="C120" s="17"/>
      <c r="D120" s="17"/>
      <c r="E120" s="17"/>
      <c r="F120" s="17"/>
      <c r="G120" s="17"/>
      <c r="H120" s="17"/>
      <c r="I120" s="17"/>
      <c r="J120" s="17"/>
      <c r="K120" s="17"/>
      <c r="L120" s="17"/>
      <c r="M120" s="17"/>
      <c r="N120" s="17"/>
      <c r="O120" s="17"/>
      <c r="P120" s="17"/>
      <c r="Q120" s="17"/>
      <c r="R120" s="17"/>
      <c r="S120" s="17"/>
      <c r="T120" s="17"/>
      <c r="U120" s="17"/>
      <c r="V120" s="17"/>
      <c r="W120" s="17"/>
      <c r="X120" s="17"/>
      <c r="Y120" s="17"/>
      <c r="Z120" s="17"/>
      <c r="AA120" s="17"/>
      <c r="AB120" s="17"/>
      <c r="AC120" s="17"/>
      <c r="AD120" s="17"/>
      <c r="AE120" s="17"/>
      <c r="AF120" s="17"/>
      <c r="AG120" s="17"/>
    </row>
    <row r="121" spans="2:33" ht="15" customHeight="1">
      <c r="B121" s="17"/>
      <c r="C121" s="17"/>
      <c r="D121" s="17"/>
      <c r="E121" s="17"/>
      <c r="F121" s="17"/>
      <c r="G121" s="17"/>
      <c r="H121" s="17"/>
      <c r="I121" s="17"/>
      <c r="J121" s="17"/>
      <c r="K121" s="17"/>
      <c r="L121" s="17"/>
      <c r="M121" s="17"/>
      <c r="N121" s="17"/>
      <c r="O121" s="17"/>
      <c r="P121" s="17"/>
      <c r="Q121" s="17"/>
      <c r="R121" s="17"/>
      <c r="S121" s="17"/>
      <c r="T121" s="17"/>
      <c r="U121" s="17"/>
      <c r="V121" s="17"/>
      <c r="W121" s="17"/>
      <c r="X121" s="17"/>
      <c r="Y121" s="17"/>
      <c r="Z121" s="17"/>
      <c r="AA121" s="17"/>
      <c r="AB121" s="17"/>
      <c r="AC121" s="17"/>
      <c r="AD121" s="17"/>
      <c r="AE121" s="17"/>
      <c r="AF121" s="17"/>
      <c r="AG121" s="17"/>
    </row>
    <row r="122" spans="2:33" ht="15" customHeight="1">
      <c r="B122" s="17"/>
      <c r="C122" s="17"/>
      <c r="D122" s="17"/>
      <c r="E122" s="17"/>
      <c r="F122" s="17"/>
      <c r="G122" s="17"/>
      <c r="H122" s="17"/>
      <c r="I122" s="17"/>
      <c r="J122" s="17"/>
      <c r="K122" s="17"/>
      <c r="L122" s="17"/>
      <c r="M122" s="17"/>
      <c r="N122" s="17"/>
      <c r="O122" s="17"/>
      <c r="P122" s="17"/>
      <c r="Q122" s="17"/>
      <c r="R122" s="17"/>
      <c r="S122" s="17"/>
      <c r="T122" s="17"/>
      <c r="U122" s="17"/>
      <c r="V122" s="17"/>
      <c r="W122" s="17"/>
      <c r="X122" s="17"/>
      <c r="Y122" s="17"/>
      <c r="Z122" s="17"/>
      <c r="AA122" s="17"/>
      <c r="AB122" s="17"/>
      <c r="AC122" s="17"/>
      <c r="AD122" s="17"/>
      <c r="AE122" s="17"/>
      <c r="AF122" s="17"/>
      <c r="AG122" s="17"/>
    </row>
    <row r="123" spans="2:33" ht="15" customHeight="1">
      <c r="B123" s="17"/>
      <c r="C123" s="17"/>
      <c r="D123" s="17"/>
      <c r="E123" s="17"/>
      <c r="F123" s="17"/>
      <c r="G123" s="17"/>
      <c r="H123" s="17"/>
      <c r="I123" s="17"/>
      <c r="J123" s="17"/>
      <c r="K123" s="17"/>
      <c r="L123" s="17"/>
      <c r="M123" s="17"/>
      <c r="N123" s="17"/>
      <c r="O123" s="17"/>
      <c r="P123" s="17"/>
      <c r="Q123" s="17"/>
      <c r="R123" s="17"/>
      <c r="S123" s="17"/>
      <c r="T123" s="17"/>
      <c r="U123" s="17"/>
      <c r="V123" s="17"/>
      <c r="W123" s="17"/>
      <c r="X123" s="17"/>
      <c r="Y123" s="17"/>
      <c r="Z123" s="17"/>
      <c r="AA123" s="17"/>
      <c r="AB123" s="17"/>
      <c r="AC123" s="17"/>
      <c r="AD123" s="17"/>
      <c r="AE123" s="17"/>
      <c r="AF123" s="17"/>
      <c r="AG123" s="17"/>
    </row>
    <row r="124" spans="2:33" ht="15" customHeight="1">
      <c r="B124" s="17"/>
      <c r="C124" s="17"/>
      <c r="D124" s="17"/>
      <c r="E124" s="17"/>
      <c r="F124" s="17"/>
      <c r="G124" s="17"/>
      <c r="H124" s="17"/>
      <c r="I124" s="17"/>
      <c r="J124" s="17"/>
      <c r="K124" s="17"/>
      <c r="L124" s="17"/>
      <c r="M124" s="17"/>
      <c r="N124" s="17"/>
      <c r="O124" s="17"/>
      <c r="P124" s="17"/>
      <c r="Q124" s="17"/>
      <c r="R124" s="17"/>
      <c r="S124" s="17"/>
      <c r="T124" s="17"/>
      <c r="U124" s="17"/>
      <c r="V124" s="17"/>
      <c r="W124" s="17"/>
      <c r="X124" s="17"/>
      <c r="Y124" s="17"/>
      <c r="Z124" s="17"/>
      <c r="AA124" s="17"/>
      <c r="AB124" s="17"/>
      <c r="AC124" s="17"/>
      <c r="AD124" s="17"/>
      <c r="AE124" s="17"/>
      <c r="AF124" s="17"/>
      <c r="AG124" s="17"/>
    </row>
    <row r="125" spans="2:33" ht="15" customHeight="1">
      <c r="B125" s="17"/>
      <c r="C125" s="17"/>
      <c r="D125" s="17"/>
      <c r="E125" s="17"/>
      <c r="F125" s="17"/>
      <c r="G125" s="17"/>
      <c r="H125" s="17"/>
      <c r="I125" s="17"/>
      <c r="J125" s="17"/>
      <c r="K125" s="17"/>
      <c r="L125" s="17"/>
      <c r="M125" s="17"/>
      <c r="N125" s="17"/>
      <c r="O125" s="17"/>
      <c r="P125" s="17"/>
      <c r="Q125" s="17"/>
      <c r="R125" s="17"/>
      <c r="S125" s="17"/>
      <c r="T125" s="17"/>
      <c r="U125" s="17"/>
      <c r="V125" s="17"/>
      <c r="W125" s="17"/>
      <c r="X125" s="17"/>
      <c r="Y125" s="17"/>
      <c r="Z125" s="17"/>
      <c r="AA125" s="17"/>
      <c r="AB125" s="17"/>
      <c r="AC125" s="17"/>
      <c r="AD125" s="17"/>
      <c r="AE125" s="17"/>
      <c r="AF125" s="17"/>
      <c r="AG125" s="17"/>
    </row>
    <row r="126" spans="2:33" ht="15" customHeight="1">
      <c r="B126" s="17"/>
      <c r="C126" s="17"/>
      <c r="D126" s="17"/>
      <c r="E126" s="17"/>
      <c r="F126" s="17"/>
      <c r="G126" s="17"/>
      <c r="H126" s="17"/>
      <c r="I126" s="17"/>
      <c r="J126" s="17"/>
      <c r="K126" s="17"/>
      <c r="L126" s="17"/>
      <c r="M126" s="17"/>
      <c r="N126" s="17"/>
      <c r="O126" s="17"/>
      <c r="P126" s="17"/>
      <c r="Q126" s="17"/>
      <c r="R126" s="17"/>
      <c r="S126" s="17"/>
      <c r="T126" s="17"/>
      <c r="U126" s="17"/>
      <c r="V126" s="17"/>
      <c r="W126" s="17"/>
      <c r="X126" s="17"/>
      <c r="Y126" s="17"/>
      <c r="Z126" s="17"/>
      <c r="AA126" s="17"/>
      <c r="AB126" s="17"/>
      <c r="AC126" s="17"/>
      <c r="AD126" s="17"/>
      <c r="AE126" s="17"/>
      <c r="AF126" s="17"/>
      <c r="AG126" s="17"/>
    </row>
    <row r="127" spans="2:33" ht="15" customHeight="1">
      <c r="B127" s="17"/>
      <c r="C127" s="17"/>
      <c r="D127" s="17"/>
      <c r="E127" s="17"/>
      <c r="F127" s="17"/>
      <c r="G127" s="17"/>
      <c r="H127" s="17"/>
      <c r="I127" s="17"/>
      <c r="J127" s="17"/>
      <c r="K127" s="17"/>
      <c r="L127" s="17"/>
      <c r="M127" s="17"/>
      <c r="N127" s="17"/>
      <c r="O127" s="17"/>
      <c r="P127" s="17"/>
      <c r="Q127" s="17"/>
      <c r="R127" s="17"/>
      <c r="S127" s="17"/>
      <c r="T127" s="17"/>
      <c r="U127" s="17"/>
      <c r="V127" s="17"/>
      <c r="W127" s="17"/>
      <c r="X127" s="17"/>
      <c r="Y127" s="17"/>
      <c r="Z127" s="17"/>
      <c r="AA127" s="17"/>
      <c r="AB127" s="17"/>
      <c r="AC127" s="17"/>
      <c r="AD127" s="17"/>
      <c r="AE127" s="17"/>
      <c r="AF127" s="17"/>
      <c r="AG127" s="17"/>
    </row>
    <row r="128" spans="2:33" ht="15" customHeight="1">
      <c r="B128" s="17"/>
      <c r="C128" s="17"/>
      <c r="D128" s="17"/>
      <c r="E128" s="17"/>
      <c r="F128" s="17"/>
      <c r="G128" s="17"/>
      <c r="H128" s="17"/>
      <c r="I128" s="17"/>
      <c r="J128" s="17"/>
      <c r="K128" s="17"/>
      <c r="L128" s="17"/>
      <c r="M128" s="17"/>
      <c r="N128" s="17"/>
      <c r="O128" s="17"/>
      <c r="P128" s="17"/>
      <c r="Q128" s="17"/>
      <c r="R128" s="17"/>
      <c r="S128" s="17"/>
      <c r="T128" s="17"/>
      <c r="U128" s="17"/>
      <c r="V128" s="17"/>
      <c r="W128" s="17"/>
      <c r="X128" s="17"/>
      <c r="Y128" s="17"/>
      <c r="Z128" s="17"/>
      <c r="AA128" s="17"/>
      <c r="AB128" s="17"/>
      <c r="AC128" s="17"/>
      <c r="AD128" s="17"/>
      <c r="AE128" s="17"/>
      <c r="AF128" s="17"/>
      <c r="AG128" s="17"/>
    </row>
    <row r="129" spans="2:33" ht="15" customHeight="1">
      <c r="B129" s="17"/>
      <c r="C129" s="17"/>
      <c r="D129" s="17"/>
      <c r="E129" s="17"/>
      <c r="F129" s="17"/>
      <c r="G129" s="17"/>
      <c r="H129" s="17"/>
      <c r="I129" s="17"/>
      <c r="J129" s="17"/>
      <c r="K129" s="17"/>
      <c r="L129" s="17"/>
      <c r="M129" s="17"/>
      <c r="N129" s="17"/>
      <c r="O129" s="17"/>
      <c r="P129" s="17"/>
      <c r="Q129" s="17"/>
      <c r="R129" s="17"/>
      <c r="S129" s="17"/>
      <c r="T129" s="17"/>
      <c r="U129" s="17"/>
      <c r="V129" s="17"/>
      <c r="W129" s="17"/>
      <c r="X129" s="17"/>
      <c r="Y129" s="17"/>
      <c r="Z129" s="17"/>
      <c r="AA129" s="17"/>
      <c r="AB129" s="17"/>
      <c r="AC129" s="17"/>
      <c r="AD129" s="17"/>
      <c r="AE129" s="17"/>
      <c r="AF129" s="17"/>
      <c r="AG129" s="17"/>
    </row>
    <row r="130" spans="2:33" ht="15" customHeight="1">
      <c r="B130" s="17"/>
      <c r="C130" s="17"/>
      <c r="D130" s="17"/>
      <c r="E130" s="17"/>
      <c r="F130" s="17"/>
      <c r="G130" s="17"/>
      <c r="H130" s="17"/>
      <c r="I130" s="17"/>
      <c r="J130" s="17"/>
      <c r="K130" s="17"/>
      <c r="L130" s="17"/>
      <c r="M130" s="17"/>
      <c r="N130" s="17"/>
      <c r="O130" s="17"/>
      <c r="P130" s="17"/>
      <c r="Q130" s="17"/>
      <c r="R130" s="17"/>
      <c r="S130" s="17"/>
      <c r="T130" s="17"/>
      <c r="U130" s="17"/>
      <c r="V130" s="17"/>
      <c r="W130" s="17"/>
      <c r="X130" s="17"/>
      <c r="Y130" s="17"/>
      <c r="Z130" s="17"/>
      <c r="AA130" s="17"/>
      <c r="AB130" s="17"/>
      <c r="AC130" s="17"/>
      <c r="AD130" s="17"/>
      <c r="AE130" s="17"/>
      <c r="AF130" s="17"/>
      <c r="AG130" s="17"/>
    </row>
    <row r="131" spans="2:33" ht="15" customHeight="1">
      <c r="B131" s="17"/>
      <c r="C131" s="17"/>
      <c r="D131" s="17"/>
      <c r="E131" s="17"/>
      <c r="F131" s="17"/>
      <c r="G131" s="17"/>
      <c r="H131" s="17"/>
      <c r="I131" s="17"/>
      <c r="J131" s="17"/>
      <c r="K131" s="17"/>
      <c r="L131" s="17"/>
      <c r="M131" s="17"/>
      <c r="N131" s="17"/>
      <c r="O131" s="17"/>
      <c r="P131" s="17"/>
      <c r="Q131" s="17"/>
      <c r="R131" s="17"/>
      <c r="S131" s="17"/>
      <c r="T131" s="17"/>
      <c r="U131" s="17"/>
      <c r="V131" s="17"/>
      <c r="W131" s="17"/>
      <c r="X131" s="17"/>
      <c r="Y131" s="17"/>
      <c r="Z131" s="17"/>
      <c r="AA131" s="17"/>
      <c r="AB131" s="17"/>
      <c r="AC131" s="17"/>
      <c r="AD131" s="17"/>
      <c r="AE131" s="17"/>
      <c r="AF131" s="17"/>
      <c r="AG131" s="17"/>
    </row>
    <row r="132" spans="2:33" ht="15" customHeight="1">
      <c r="B132" s="17"/>
      <c r="C132" s="17"/>
      <c r="D132" s="17"/>
      <c r="E132" s="17"/>
      <c r="F132" s="17"/>
      <c r="G132" s="17"/>
      <c r="H132" s="17"/>
      <c r="I132" s="17"/>
      <c r="J132" s="17"/>
      <c r="K132" s="17"/>
      <c r="L132" s="17"/>
      <c r="M132" s="17"/>
      <c r="N132" s="17"/>
      <c r="O132" s="17"/>
      <c r="P132" s="17"/>
      <c r="Q132" s="17"/>
      <c r="R132" s="17"/>
      <c r="S132" s="17"/>
      <c r="T132" s="17"/>
      <c r="U132" s="17"/>
      <c r="V132" s="17"/>
      <c r="W132" s="17"/>
      <c r="X132" s="17"/>
      <c r="Y132" s="17"/>
      <c r="Z132" s="17"/>
      <c r="AA132" s="17"/>
      <c r="AB132" s="17"/>
      <c r="AC132" s="17"/>
      <c r="AD132" s="17"/>
      <c r="AE132" s="17"/>
      <c r="AF132" s="17"/>
      <c r="AG132" s="17"/>
    </row>
    <row r="133" spans="2:33" ht="15" customHeight="1">
      <c r="B133" s="17"/>
      <c r="C133" s="17"/>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7"/>
      <c r="AC133" s="17"/>
      <c r="AD133" s="17"/>
      <c r="AE133" s="17"/>
      <c r="AF133" s="17"/>
      <c r="AG133" s="17"/>
    </row>
    <row r="134" spans="2:33" ht="15" customHeight="1">
      <c r="B134" s="17"/>
      <c r="C134" s="17"/>
      <c r="D134" s="17"/>
      <c r="E134" s="17"/>
      <c r="F134" s="17"/>
      <c r="G134" s="17"/>
      <c r="H134" s="17"/>
      <c r="I134" s="17"/>
      <c r="J134" s="17"/>
      <c r="K134" s="17"/>
      <c r="L134" s="17"/>
      <c r="M134" s="17"/>
      <c r="N134" s="17"/>
      <c r="O134" s="17"/>
      <c r="P134" s="17"/>
      <c r="Q134" s="17"/>
      <c r="R134" s="17"/>
      <c r="S134" s="17"/>
      <c r="T134" s="17"/>
      <c r="U134" s="17"/>
      <c r="V134" s="17"/>
      <c r="W134" s="17"/>
      <c r="X134" s="17"/>
      <c r="Y134" s="17"/>
      <c r="Z134" s="17"/>
      <c r="AA134" s="17"/>
      <c r="AB134" s="17"/>
      <c r="AC134" s="17"/>
      <c r="AD134" s="17"/>
      <c r="AE134" s="17"/>
      <c r="AF134" s="17"/>
      <c r="AG134" s="17"/>
    </row>
    <row r="135" spans="2:33" ht="15" customHeight="1">
      <c r="B135" s="17"/>
      <c r="C135" s="17"/>
      <c r="D135" s="17"/>
      <c r="E135" s="17"/>
      <c r="F135" s="17"/>
      <c r="G135" s="17"/>
      <c r="H135" s="17"/>
      <c r="I135" s="17"/>
      <c r="J135" s="17"/>
      <c r="K135" s="17"/>
      <c r="L135" s="17"/>
      <c r="M135" s="17"/>
      <c r="N135" s="17"/>
      <c r="O135" s="17"/>
      <c r="P135" s="17"/>
      <c r="Q135" s="17"/>
      <c r="R135" s="17"/>
      <c r="S135" s="17"/>
      <c r="T135" s="17"/>
      <c r="U135" s="17"/>
      <c r="V135" s="17"/>
      <c r="W135" s="17"/>
      <c r="X135" s="17"/>
      <c r="Y135" s="17"/>
      <c r="Z135" s="17"/>
      <c r="AA135" s="17"/>
      <c r="AB135" s="17"/>
      <c r="AC135" s="17"/>
      <c r="AD135" s="17"/>
      <c r="AE135" s="17"/>
      <c r="AF135" s="17"/>
      <c r="AG135" s="17"/>
    </row>
    <row r="136" spans="2:33" ht="15" customHeight="1">
      <c r="B136" s="17"/>
      <c r="C136" s="17"/>
      <c r="D136" s="17"/>
      <c r="E136" s="17"/>
      <c r="F136" s="17"/>
      <c r="G136" s="17"/>
      <c r="H136" s="17"/>
      <c r="I136" s="17"/>
      <c r="J136" s="17"/>
      <c r="K136" s="17"/>
      <c r="L136" s="17"/>
      <c r="M136" s="17"/>
      <c r="N136" s="17"/>
      <c r="O136" s="17"/>
      <c r="P136" s="17"/>
      <c r="Q136" s="17"/>
      <c r="R136" s="17"/>
      <c r="S136" s="17"/>
      <c r="T136" s="17"/>
      <c r="U136" s="17"/>
      <c r="V136" s="17"/>
      <c r="W136" s="17"/>
      <c r="X136" s="17"/>
      <c r="Y136" s="17"/>
      <c r="Z136" s="17"/>
      <c r="AA136" s="17"/>
      <c r="AB136" s="17"/>
      <c r="AC136" s="17"/>
      <c r="AD136" s="17"/>
      <c r="AE136" s="17"/>
      <c r="AF136" s="17"/>
      <c r="AG136" s="17"/>
    </row>
    <row r="137" spans="2:33" ht="15" customHeight="1">
      <c r="B137" s="17"/>
      <c r="C137" s="17"/>
      <c r="D137" s="17"/>
      <c r="E137" s="17"/>
      <c r="F137" s="17"/>
      <c r="G137" s="17"/>
      <c r="H137" s="17"/>
      <c r="I137" s="17"/>
      <c r="J137" s="17"/>
      <c r="K137" s="17"/>
      <c r="L137" s="17"/>
      <c r="M137" s="17"/>
      <c r="N137" s="17"/>
      <c r="O137" s="17"/>
      <c r="P137" s="17"/>
      <c r="Q137" s="17"/>
      <c r="R137" s="17"/>
      <c r="S137" s="17"/>
      <c r="T137" s="17"/>
      <c r="U137" s="17"/>
      <c r="V137" s="17"/>
      <c r="W137" s="17"/>
      <c r="X137" s="17"/>
      <c r="Y137" s="17"/>
      <c r="Z137" s="17"/>
      <c r="AA137" s="17"/>
      <c r="AB137" s="17"/>
      <c r="AC137" s="17"/>
      <c r="AD137" s="17"/>
      <c r="AE137" s="17"/>
      <c r="AF137" s="17"/>
      <c r="AG137" s="17"/>
    </row>
    <row r="138" spans="2:33" ht="15" customHeight="1">
      <c r="B138" s="17"/>
      <c r="C138" s="17"/>
      <c r="D138" s="17"/>
      <c r="E138" s="17"/>
      <c r="F138" s="17"/>
      <c r="G138" s="17"/>
      <c r="H138" s="17"/>
      <c r="I138" s="17"/>
      <c r="J138" s="17"/>
      <c r="K138" s="17"/>
      <c r="L138" s="17"/>
      <c r="M138" s="17"/>
      <c r="N138" s="17"/>
      <c r="O138" s="17"/>
      <c r="P138" s="17"/>
      <c r="Q138" s="17"/>
      <c r="R138" s="17"/>
      <c r="S138" s="17"/>
      <c r="T138" s="17"/>
      <c r="U138" s="17"/>
      <c r="V138" s="17"/>
      <c r="W138" s="17"/>
      <c r="X138" s="17"/>
      <c r="Y138" s="17"/>
      <c r="Z138" s="17"/>
      <c r="AA138" s="17"/>
      <c r="AB138" s="17"/>
      <c r="AC138" s="17"/>
      <c r="AD138" s="17"/>
      <c r="AE138" s="17"/>
      <c r="AF138" s="17"/>
      <c r="AG138" s="17"/>
    </row>
    <row r="139" spans="2:33" ht="15" customHeight="1">
      <c r="B139" s="17"/>
      <c r="C139" s="17"/>
      <c r="D139" s="17"/>
      <c r="E139" s="17"/>
      <c r="F139" s="17"/>
      <c r="G139" s="17"/>
      <c r="H139" s="17"/>
      <c r="I139" s="17"/>
      <c r="J139" s="17"/>
      <c r="K139" s="17"/>
      <c r="L139" s="17"/>
      <c r="M139" s="17"/>
      <c r="N139" s="17"/>
      <c r="O139" s="17"/>
      <c r="P139" s="17"/>
      <c r="Q139" s="17"/>
      <c r="R139" s="17"/>
      <c r="S139" s="17"/>
      <c r="T139" s="17"/>
      <c r="U139" s="17"/>
      <c r="V139" s="17"/>
      <c r="W139" s="17"/>
      <c r="X139" s="17"/>
      <c r="Y139" s="17"/>
      <c r="Z139" s="17"/>
      <c r="AA139" s="17"/>
      <c r="AB139" s="17"/>
      <c r="AC139" s="17"/>
      <c r="AD139" s="17"/>
      <c r="AE139" s="17"/>
      <c r="AF139" s="17"/>
      <c r="AG139" s="17"/>
    </row>
    <row r="140" spans="2:33" ht="15" customHeight="1">
      <c r="B140" s="17"/>
      <c r="C140" s="17"/>
      <c r="D140" s="17"/>
      <c r="E140" s="17"/>
      <c r="F140" s="17"/>
      <c r="G140" s="17"/>
      <c r="H140" s="17"/>
      <c r="I140" s="17"/>
      <c r="J140" s="17"/>
      <c r="K140" s="17"/>
      <c r="L140" s="17"/>
      <c r="M140" s="17"/>
      <c r="N140" s="17"/>
      <c r="O140" s="17"/>
      <c r="P140" s="17"/>
      <c r="Q140" s="17"/>
      <c r="R140" s="17"/>
      <c r="S140" s="17"/>
      <c r="T140" s="17"/>
      <c r="U140" s="17"/>
      <c r="V140" s="17"/>
      <c r="W140" s="17"/>
      <c r="X140" s="17"/>
      <c r="Y140" s="17"/>
      <c r="Z140" s="17"/>
      <c r="AA140" s="17"/>
      <c r="AB140" s="17"/>
      <c r="AC140" s="17"/>
      <c r="AD140" s="17"/>
      <c r="AE140" s="17"/>
      <c r="AF140" s="17"/>
      <c r="AG140" s="17"/>
    </row>
    <row r="141" spans="2:33" ht="12" customHeight="1">
      <c r="B141" s="17"/>
      <c r="C141" s="17"/>
      <c r="D141" s="17"/>
      <c r="E141" s="17"/>
      <c r="F141" s="17"/>
      <c r="G141" s="17"/>
      <c r="H141" s="17"/>
      <c r="I141" s="17"/>
      <c r="J141" s="17"/>
      <c r="K141" s="17"/>
      <c r="L141" s="17"/>
      <c r="M141" s="17"/>
      <c r="N141" s="17"/>
      <c r="O141" s="17"/>
      <c r="P141" s="17"/>
      <c r="Q141" s="17"/>
      <c r="R141" s="17"/>
      <c r="S141" s="17"/>
      <c r="T141" s="17"/>
      <c r="U141" s="17"/>
      <c r="V141" s="17"/>
      <c r="W141" s="17"/>
      <c r="X141" s="17"/>
      <c r="Y141" s="17"/>
      <c r="Z141" s="17"/>
      <c r="AA141" s="17"/>
      <c r="AB141" s="17"/>
      <c r="AC141" s="17"/>
      <c r="AD141" s="17"/>
      <c r="AE141" s="17"/>
      <c r="AF141" s="17"/>
      <c r="AG141" s="17"/>
    </row>
    <row r="142" spans="2:33" ht="12" customHeight="1">
      <c r="B142" s="17"/>
      <c r="C142" s="17"/>
      <c r="D142" s="17"/>
      <c r="E142" s="17"/>
      <c r="F142" s="17"/>
      <c r="G142" s="17"/>
      <c r="H142" s="17"/>
      <c r="I142" s="17"/>
      <c r="J142" s="17"/>
      <c r="K142" s="17"/>
      <c r="L142" s="17"/>
      <c r="M142" s="17"/>
      <c r="N142" s="17"/>
      <c r="O142" s="17"/>
      <c r="P142" s="17"/>
      <c r="Q142" s="17"/>
      <c r="R142" s="17"/>
      <c r="S142" s="17"/>
      <c r="T142" s="17"/>
      <c r="U142" s="17"/>
      <c r="V142" s="17"/>
      <c r="W142" s="17"/>
      <c r="X142" s="17"/>
      <c r="Y142" s="17"/>
      <c r="Z142" s="17"/>
      <c r="AA142" s="17"/>
      <c r="AB142" s="17"/>
      <c r="AC142" s="17"/>
      <c r="AD142" s="17"/>
      <c r="AE142" s="17"/>
      <c r="AF142" s="17"/>
      <c r="AG142" s="17"/>
    </row>
    <row r="143" spans="2:33" ht="12" customHeight="1">
      <c r="B143" s="17"/>
      <c r="C143" s="17"/>
      <c r="D143" s="17"/>
      <c r="E143" s="17"/>
      <c r="F143" s="17"/>
      <c r="G143" s="17"/>
      <c r="H143" s="17"/>
      <c r="I143" s="17"/>
      <c r="J143" s="17"/>
      <c r="K143" s="17"/>
      <c r="L143" s="17"/>
      <c r="M143" s="17"/>
      <c r="N143" s="17"/>
      <c r="O143" s="17"/>
      <c r="P143" s="17"/>
      <c r="Q143" s="17"/>
      <c r="R143" s="17"/>
      <c r="S143" s="17"/>
      <c r="T143" s="17"/>
      <c r="U143" s="17"/>
      <c r="V143" s="17"/>
      <c r="W143" s="17"/>
      <c r="X143" s="17"/>
      <c r="Y143" s="17"/>
      <c r="Z143" s="17"/>
      <c r="AA143" s="17"/>
      <c r="AB143" s="17"/>
      <c r="AC143" s="17"/>
      <c r="AD143" s="17"/>
      <c r="AE143" s="17"/>
      <c r="AF143" s="17"/>
      <c r="AG143" s="17"/>
    </row>
    <row r="144" spans="2:33" ht="12" customHeight="1">
      <c r="B144" s="17"/>
      <c r="C144" s="17"/>
      <c r="D144" s="17"/>
      <c r="E144" s="17"/>
      <c r="F144" s="17"/>
      <c r="G144" s="17"/>
      <c r="H144" s="17"/>
      <c r="I144" s="17"/>
      <c r="J144" s="17"/>
      <c r="K144" s="17"/>
      <c r="L144" s="17"/>
      <c r="M144" s="17"/>
      <c r="N144" s="17"/>
      <c r="O144" s="17"/>
      <c r="P144" s="17"/>
      <c r="Q144" s="17"/>
      <c r="R144" s="17"/>
      <c r="S144" s="17"/>
      <c r="T144" s="17"/>
      <c r="U144" s="17"/>
      <c r="V144" s="17"/>
      <c r="W144" s="17"/>
      <c r="X144" s="17"/>
      <c r="Y144" s="17"/>
      <c r="Z144" s="17"/>
      <c r="AA144" s="17"/>
      <c r="AB144" s="17"/>
      <c r="AC144" s="17"/>
      <c r="AD144" s="17"/>
      <c r="AE144" s="17"/>
      <c r="AF144" s="17"/>
      <c r="AG144" s="17"/>
    </row>
    <row r="145" spans="2:33" ht="12" customHeight="1">
      <c r="B145" s="17"/>
      <c r="C145" s="17"/>
      <c r="D145" s="17"/>
      <c r="E145" s="17"/>
      <c r="F145" s="17"/>
      <c r="G145" s="17"/>
      <c r="H145" s="17"/>
      <c r="I145" s="17"/>
      <c r="J145" s="17"/>
      <c r="K145" s="17"/>
      <c r="L145" s="17"/>
      <c r="M145" s="17"/>
      <c r="N145" s="17"/>
      <c r="O145" s="17"/>
      <c r="P145" s="17"/>
      <c r="Q145" s="17"/>
      <c r="R145" s="17"/>
      <c r="S145" s="17"/>
      <c r="T145" s="17"/>
      <c r="U145" s="17"/>
      <c r="V145" s="17"/>
      <c r="W145" s="17"/>
      <c r="X145" s="17"/>
      <c r="Y145" s="17"/>
      <c r="Z145" s="17"/>
      <c r="AA145" s="17"/>
      <c r="AB145" s="17"/>
      <c r="AC145" s="17"/>
      <c r="AD145" s="17"/>
      <c r="AE145" s="17"/>
      <c r="AF145" s="17"/>
      <c r="AG145" s="17"/>
    </row>
    <row r="146" spans="2:33" ht="12" customHeight="1">
      <c r="B146" s="17"/>
      <c r="C146" s="17"/>
      <c r="D146" s="17"/>
      <c r="E146" s="17"/>
      <c r="F146" s="17"/>
      <c r="G146" s="17"/>
      <c r="H146" s="17"/>
      <c r="I146" s="17"/>
      <c r="J146" s="17"/>
      <c r="K146" s="17"/>
      <c r="L146" s="17"/>
      <c r="M146" s="17"/>
      <c r="N146" s="17"/>
      <c r="O146" s="17"/>
      <c r="P146" s="17"/>
      <c r="Q146" s="17"/>
      <c r="R146" s="17"/>
      <c r="S146" s="17"/>
      <c r="T146" s="17"/>
      <c r="U146" s="17"/>
      <c r="V146" s="17"/>
      <c r="W146" s="17"/>
      <c r="X146" s="17"/>
      <c r="Y146" s="17"/>
      <c r="Z146" s="17"/>
      <c r="AA146" s="17"/>
      <c r="AB146" s="17"/>
      <c r="AC146" s="17"/>
      <c r="AD146" s="17"/>
      <c r="AE146" s="17"/>
      <c r="AF146" s="17"/>
      <c r="AG146" s="17"/>
    </row>
    <row r="147" spans="2:33" ht="12" customHeight="1">
      <c r="B147" s="17"/>
      <c r="C147" s="17"/>
      <c r="D147" s="17"/>
      <c r="E147" s="17"/>
      <c r="F147" s="17"/>
      <c r="G147" s="17"/>
      <c r="H147" s="17"/>
      <c r="I147" s="17"/>
      <c r="J147" s="17"/>
      <c r="K147" s="17"/>
      <c r="L147" s="17"/>
      <c r="M147" s="17"/>
      <c r="N147" s="17"/>
      <c r="O147" s="17"/>
      <c r="P147" s="17"/>
      <c r="Q147" s="17"/>
      <c r="R147" s="17"/>
      <c r="S147" s="17"/>
      <c r="T147" s="17"/>
      <c r="U147" s="17"/>
      <c r="V147" s="17"/>
      <c r="W147" s="17"/>
      <c r="X147" s="17"/>
      <c r="Y147" s="17"/>
      <c r="Z147" s="17"/>
      <c r="AA147" s="17"/>
      <c r="AB147" s="17"/>
      <c r="AC147" s="17"/>
      <c r="AD147" s="17"/>
      <c r="AE147" s="17"/>
      <c r="AF147" s="17"/>
      <c r="AG147" s="17"/>
    </row>
    <row r="148" spans="2:33" ht="12" customHeight="1">
      <c r="B148" s="17"/>
      <c r="C148" s="17"/>
      <c r="D148" s="17"/>
      <c r="E148" s="17"/>
      <c r="F148" s="17"/>
      <c r="G148" s="17"/>
      <c r="H148" s="17"/>
      <c r="I148" s="17"/>
      <c r="J148" s="17"/>
      <c r="K148" s="17"/>
      <c r="L148" s="17"/>
      <c r="M148" s="17"/>
      <c r="N148" s="17"/>
      <c r="O148" s="17"/>
      <c r="P148" s="17"/>
      <c r="Q148" s="17"/>
      <c r="R148" s="17"/>
      <c r="S148" s="17"/>
      <c r="T148" s="17"/>
      <c r="U148" s="17"/>
      <c r="V148" s="17"/>
      <c r="W148" s="17"/>
      <c r="X148" s="17"/>
      <c r="Y148" s="17"/>
      <c r="Z148" s="17"/>
      <c r="AA148" s="17"/>
      <c r="AB148" s="17"/>
      <c r="AC148" s="17"/>
      <c r="AD148" s="17"/>
      <c r="AE148" s="17"/>
      <c r="AF148" s="17"/>
      <c r="AG148" s="17"/>
    </row>
    <row r="149" spans="2:33" ht="12" customHeight="1">
      <c r="B149" s="17"/>
      <c r="C149" s="17"/>
      <c r="D149" s="17"/>
      <c r="E149" s="17"/>
      <c r="F149" s="17"/>
      <c r="G149" s="17"/>
      <c r="H149" s="17"/>
      <c r="I149" s="17"/>
      <c r="J149" s="17"/>
      <c r="K149" s="17"/>
      <c r="L149" s="17"/>
      <c r="M149" s="17"/>
      <c r="N149" s="17"/>
      <c r="O149" s="17"/>
      <c r="P149" s="17"/>
      <c r="Q149" s="17"/>
      <c r="R149" s="17"/>
      <c r="S149" s="17"/>
      <c r="T149" s="17"/>
      <c r="U149" s="17"/>
      <c r="V149" s="17"/>
      <c r="W149" s="17"/>
      <c r="X149" s="17"/>
      <c r="Y149" s="17"/>
      <c r="Z149" s="17"/>
      <c r="AA149" s="17"/>
      <c r="AB149" s="17"/>
      <c r="AC149" s="17"/>
      <c r="AD149" s="17"/>
      <c r="AE149" s="17"/>
      <c r="AF149" s="17"/>
      <c r="AG149" s="17"/>
    </row>
    <row r="150" spans="2:33" ht="15" customHeight="1">
      <c r="B150" s="17"/>
      <c r="C150" s="17"/>
      <c r="D150" s="17"/>
      <c r="E150" s="17"/>
      <c r="F150" s="17"/>
      <c r="G150" s="17"/>
      <c r="H150" s="17"/>
      <c r="I150" s="17"/>
      <c r="J150" s="17"/>
      <c r="K150" s="17"/>
      <c r="L150" s="17"/>
      <c r="M150" s="17"/>
      <c r="N150" s="17"/>
      <c r="O150" s="17"/>
      <c r="P150" s="17"/>
      <c r="Q150" s="17"/>
      <c r="R150" s="17"/>
      <c r="S150" s="17"/>
      <c r="T150" s="17"/>
      <c r="U150" s="17"/>
      <c r="V150" s="17"/>
      <c r="W150" s="17"/>
      <c r="X150" s="17"/>
      <c r="Y150" s="17"/>
      <c r="Z150" s="17"/>
      <c r="AA150" s="17"/>
      <c r="AB150" s="17"/>
      <c r="AC150" s="17"/>
      <c r="AD150" s="17"/>
      <c r="AE150" s="17"/>
      <c r="AF150" s="17"/>
      <c r="AG150" s="17"/>
    </row>
    <row r="151" spans="2:33" ht="15" customHeight="1">
      <c r="B151" s="17"/>
      <c r="C151" s="17"/>
      <c r="D151" s="17"/>
      <c r="E151" s="17"/>
      <c r="F151" s="17"/>
      <c r="G151" s="17"/>
      <c r="H151" s="17"/>
      <c r="I151" s="17"/>
      <c r="J151" s="17"/>
      <c r="K151" s="17"/>
      <c r="L151" s="17"/>
      <c r="M151" s="17"/>
      <c r="N151" s="17"/>
      <c r="O151" s="17"/>
      <c r="P151" s="17"/>
      <c r="Q151" s="17"/>
      <c r="R151" s="17"/>
      <c r="S151" s="17"/>
      <c r="T151" s="17"/>
      <c r="U151" s="17"/>
      <c r="V151" s="17"/>
      <c r="W151" s="17"/>
      <c r="X151" s="17"/>
      <c r="Y151" s="17"/>
      <c r="Z151" s="17"/>
      <c r="AA151" s="17"/>
      <c r="AB151" s="17"/>
      <c r="AC151" s="17"/>
      <c r="AD151" s="17"/>
      <c r="AE151" s="17"/>
      <c r="AF151" s="17"/>
      <c r="AG151" s="17"/>
    </row>
    <row r="152" spans="2:33" ht="15" customHeight="1">
      <c r="B152" s="17"/>
      <c r="C152" s="17"/>
      <c r="D152" s="17"/>
      <c r="E152" s="17"/>
      <c r="F152" s="17"/>
      <c r="G152" s="17"/>
      <c r="H152" s="17"/>
      <c r="I152" s="17"/>
      <c r="J152" s="17"/>
      <c r="K152" s="17"/>
      <c r="L152" s="17"/>
      <c r="M152" s="17"/>
      <c r="N152" s="17"/>
      <c r="O152" s="17"/>
      <c r="P152" s="17"/>
      <c r="Q152" s="17"/>
      <c r="R152" s="17"/>
      <c r="S152" s="17"/>
      <c r="T152" s="17"/>
      <c r="U152" s="17"/>
      <c r="V152" s="17"/>
      <c r="W152" s="17"/>
      <c r="X152" s="17"/>
      <c r="Y152" s="17"/>
      <c r="Z152" s="17"/>
      <c r="AA152" s="17"/>
      <c r="AB152" s="17"/>
      <c r="AC152" s="17"/>
      <c r="AD152" s="17"/>
      <c r="AE152" s="17"/>
      <c r="AF152" s="17"/>
      <c r="AG152" s="17"/>
    </row>
    <row r="153" spans="2:33" ht="15" customHeight="1">
      <c r="B153" s="17"/>
      <c r="C153" s="17"/>
      <c r="D153" s="17"/>
      <c r="E153" s="17"/>
      <c r="F153" s="17"/>
      <c r="G153" s="17"/>
      <c r="H153" s="17"/>
      <c r="I153" s="17"/>
      <c r="J153" s="17"/>
      <c r="K153" s="17"/>
      <c r="L153" s="17"/>
      <c r="M153" s="17"/>
      <c r="N153" s="17"/>
      <c r="O153" s="17"/>
      <c r="P153" s="17"/>
      <c r="Q153" s="17"/>
      <c r="R153" s="17"/>
      <c r="S153" s="17"/>
      <c r="T153" s="17"/>
      <c r="U153" s="17"/>
      <c r="V153" s="17"/>
      <c r="W153" s="17"/>
      <c r="X153" s="17"/>
      <c r="Y153" s="17"/>
      <c r="Z153" s="17"/>
      <c r="AA153" s="17"/>
      <c r="AB153" s="17"/>
      <c r="AC153" s="17"/>
      <c r="AD153" s="17"/>
      <c r="AE153" s="17"/>
      <c r="AF153" s="17"/>
      <c r="AG153" s="17"/>
    </row>
    <row r="154" spans="2:33" ht="15" customHeight="1">
      <c r="B154" s="17"/>
      <c r="C154" s="17"/>
      <c r="D154" s="17"/>
      <c r="E154" s="17"/>
      <c r="F154" s="17"/>
      <c r="G154" s="17"/>
      <c r="H154" s="17"/>
      <c r="I154" s="17"/>
      <c r="J154" s="17"/>
      <c r="K154" s="17"/>
      <c r="L154" s="17"/>
      <c r="M154" s="17"/>
      <c r="N154" s="17"/>
      <c r="O154" s="17"/>
      <c r="P154" s="17"/>
      <c r="Q154" s="17"/>
      <c r="R154" s="17"/>
      <c r="S154" s="17"/>
      <c r="T154" s="17"/>
      <c r="U154" s="17"/>
      <c r="V154" s="17"/>
      <c r="W154" s="17"/>
      <c r="X154" s="17"/>
      <c r="Y154" s="17"/>
      <c r="Z154" s="17"/>
      <c r="AA154" s="17"/>
      <c r="AB154" s="17"/>
      <c r="AC154" s="17"/>
      <c r="AD154" s="17"/>
      <c r="AE154" s="17"/>
      <c r="AF154" s="17"/>
      <c r="AG154" s="17"/>
    </row>
    <row r="155" spans="2:33" ht="15" customHeight="1">
      <c r="B155" s="17"/>
      <c r="C155" s="17"/>
      <c r="D155" s="17"/>
      <c r="E155" s="17"/>
      <c r="F155" s="17"/>
      <c r="G155" s="17"/>
      <c r="H155" s="17"/>
      <c r="I155" s="17"/>
      <c r="J155" s="17"/>
      <c r="K155" s="17"/>
      <c r="L155" s="17"/>
      <c r="M155" s="17"/>
      <c r="N155" s="17"/>
      <c r="O155" s="17"/>
      <c r="P155" s="17"/>
      <c r="Q155" s="17"/>
      <c r="R155" s="17"/>
      <c r="S155" s="17"/>
      <c r="T155" s="17"/>
      <c r="U155" s="17"/>
      <c r="V155" s="17"/>
      <c r="W155" s="17"/>
      <c r="X155" s="17"/>
      <c r="Y155" s="17"/>
      <c r="Z155" s="17"/>
      <c r="AA155" s="17"/>
      <c r="AB155" s="17"/>
      <c r="AC155" s="17"/>
      <c r="AD155" s="17"/>
      <c r="AE155" s="17"/>
      <c r="AF155" s="17"/>
      <c r="AG155" s="17"/>
    </row>
    <row r="156" spans="2:33" ht="15" customHeight="1">
      <c r="B156" s="17"/>
      <c r="C156" s="17"/>
      <c r="D156" s="17"/>
      <c r="E156" s="17"/>
      <c r="F156" s="17"/>
      <c r="G156" s="17"/>
      <c r="H156" s="17"/>
      <c r="I156" s="17"/>
      <c r="J156" s="17"/>
      <c r="K156" s="17"/>
      <c r="L156" s="17"/>
      <c r="M156" s="17"/>
      <c r="N156" s="17"/>
      <c r="O156" s="17"/>
      <c r="P156" s="17"/>
      <c r="Q156" s="17"/>
      <c r="R156" s="17"/>
      <c r="S156" s="17"/>
      <c r="T156" s="17"/>
      <c r="U156" s="17"/>
      <c r="V156" s="17"/>
      <c r="W156" s="17"/>
      <c r="X156" s="17"/>
      <c r="Y156" s="17"/>
      <c r="Z156" s="17"/>
      <c r="AA156" s="17"/>
      <c r="AB156" s="17"/>
      <c r="AC156" s="17"/>
      <c r="AD156" s="17"/>
      <c r="AE156" s="17"/>
      <c r="AF156" s="17"/>
      <c r="AG156" s="17"/>
    </row>
    <row r="157" spans="2:33" ht="15" customHeight="1">
      <c r="B157" s="17"/>
      <c r="C157" s="17"/>
      <c r="D157" s="17"/>
      <c r="E157" s="17"/>
      <c r="F157" s="17"/>
      <c r="G157" s="17"/>
      <c r="H157" s="17"/>
      <c r="I157" s="17"/>
      <c r="J157" s="17"/>
      <c r="K157" s="17"/>
      <c r="L157" s="17"/>
      <c r="M157" s="17"/>
      <c r="N157" s="17"/>
      <c r="O157" s="17"/>
      <c r="P157" s="17"/>
      <c r="Q157" s="17"/>
      <c r="R157" s="17"/>
      <c r="S157" s="17"/>
      <c r="T157" s="17"/>
      <c r="U157" s="17"/>
      <c r="V157" s="17"/>
      <c r="W157" s="17"/>
      <c r="X157" s="17"/>
      <c r="Y157" s="17"/>
      <c r="Z157" s="17"/>
      <c r="AA157" s="17"/>
      <c r="AB157" s="17"/>
      <c r="AC157" s="17"/>
      <c r="AD157" s="17"/>
      <c r="AE157" s="17"/>
      <c r="AF157" s="17"/>
      <c r="AG157" s="17"/>
    </row>
    <row r="158" spans="2:33" ht="15" customHeight="1">
      <c r="B158" s="17"/>
      <c r="C158" s="17"/>
      <c r="D158" s="17"/>
      <c r="E158" s="17"/>
      <c r="F158" s="17"/>
      <c r="G158" s="17"/>
      <c r="H158" s="17"/>
      <c r="I158" s="17"/>
      <c r="J158" s="17"/>
      <c r="K158" s="17"/>
      <c r="L158" s="17"/>
      <c r="M158" s="17"/>
      <c r="N158" s="17"/>
      <c r="O158" s="17"/>
      <c r="P158" s="17"/>
      <c r="Q158" s="17"/>
      <c r="R158" s="17"/>
      <c r="S158" s="17"/>
      <c r="T158" s="17"/>
      <c r="U158" s="17"/>
      <c r="V158" s="17"/>
      <c r="W158" s="17"/>
      <c r="X158" s="17"/>
      <c r="Y158" s="17"/>
      <c r="Z158" s="17"/>
      <c r="AA158" s="17"/>
      <c r="AB158" s="17"/>
      <c r="AC158" s="17"/>
      <c r="AD158" s="17"/>
      <c r="AE158" s="17"/>
      <c r="AF158" s="17"/>
      <c r="AG158" s="17"/>
    </row>
    <row r="159" spans="2:33" ht="15" customHeight="1">
      <c r="B159" s="17"/>
      <c r="C159" s="17"/>
      <c r="D159" s="17"/>
      <c r="E159" s="17"/>
      <c r="F159" s="17"/>
      <c r="G159" s="17"/>
      <c r="H159" s="17"/>
      <c r="I159" s="17"/>
      <c r="J159" s="17"/>
      <c r="K159" s="17"/>
      <c r="L159" s="17"/>
      <c r="M159" s="17"/>
      <c r="N159" s="17"/>
      <c r="O159" s="17"/>
      <c r="P159" s="17"/>
      <c r="Q159" s="17"/>
      <c r="R159" s="17"/>
      <c r="S159" s="17"/>
      <c r="T159" s="17"/>
      <c r="U159" s="17"/>
      <c r="V159" s="17"/>
      <c r="W159" s="17"/>
      <c r="X159" s="17"/>
      <c r="Y159" s="17"/>
      <c r="Z159" s="17"/>
      <c r="AA159" s="17"/>
      <c r="AB159" s="17"/>
      <c r="AC159" s="17"/>
      <c r="AD159" s="17"/>
      <c r="AE159" s="17"/>
      <c r="AF159" s="17"/>
      <c r="AG159" s="1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08" spans="2:32" ht="15" customHeight="1">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c r="AA308" s="172"/>
      <c r="AB308" s="172"/>
      <c r="AC308" s="172"/>
      <c r="AD308" s="172"/>
      <c r="AE308" s="172"/>
      <c r="AF308" s="172"/>
    </row>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spans="2:32" ht="12" customHeight="1"/>
    <row r="509" spans="2:32" ht="12" customHeight="1"/>
    <row r="511" spans="2:32" ht="15" customHeight="1">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c r="AA511" s="172"/>
      <c r="AB511" s="172"/>
      <c r="AC511" s="172"/>
      <c r="AD511" s="172"/>
      <c r="AE511" s="172"/>
      <c r="AF511" s="172"/>
    </row>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12" spans="2:32" ht="15" customHeight="1">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c r="AA712" s="172"/>
      <c r="AB712" s="172"/>
      <c r="AC712" s="172"/>
      <c r="AD712" s="172"/>
      <c r="AE712" s="172"/>
      <c r="AF712" s="172"/>
    </row>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87" spans="2:32" ht="15" customHeight="1">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c r="AA887" s="172"/>
      <c r="AB887" s="172"/>
      <c r="AC887" s="172"/>
      <c r="AD887" s="172"/>
      <c r="AE887" s="172"/>
      <c r="AF887" s="172"/>
    </row>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spans="2:32" ht="12" customHeight="1"/>
    <row r="1101" spans="2:32" ht="15" customHeight="1">
      <c r="B1101" s="172"/>
      <c r="C1101" s="172"/>
      <c r="D1101" s="172"/>
      <c r="E1101" s="172"/>
      <c r="F1101" s="172"/>
      <c r="G1101" s="172"/>
      <c r="H1101" s="172"/>
      <c r="I1101" s="172"/>
      <c r="J1101" s="172"/>
      <c r="K1101" s="172"/>
      <c r="L1101" s="172"/>
      <c r="M1101" s="172"/>
      <c r="N1101" s="172"/>
      <c r="O1101" s="172"/>
      <c r="P1101" s="172"/>
      <c r="Q1101" s="172"/>
      <c r="R1101" s="172"/>
      <c r="S1101" s="172"/>
      <c r="T1101" s="172"/>
      <c r="U1101" s="172"/>
      <c r="V1101" s="172"/>
      <c r="W1101" s="172"/>
      <c r="X1101" s="172"/>
      <c r="Y1101" s="172"/>
      <c r="Z1101" s="172"/>
      <c r="AA1101" s="172"/>
      <c r="AB1101" s="172"/>
      <c r="AC1101" s="172"/>
      <c r="AD1101" s="172"/>
      <c r="AE1101" s="172"/>
      <c r="AF1101" s="172"/>
    </row>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29" spans="2:32" ht="15" customHeight="1">
      <c r="B1229" s="172"/>
      <c r="C1229" s="172"/>
      <c r="D1229" s="172"/>
      <c r="E1229" s="172"/>
      <c r="F1229" s="172"/>
      <c r="G1229" s="172"/>
      <c r="H1229" s="172"/>
      <c r="I1229" s="172"/>
      <c r="J1229" s="172"/>
      <c r="K1229" s="172"/>
      <c r="L1229" s="172"/>
      <c r="M1229" s="172"/>
      <c r="N1229" s="172"/>
      <c r="O1229" s="172"/>
      <c r="P1229" s="172"/>
      <c r="Q1229" s="172"/>
      <c r="R1229" s="172"/>
      <c r="S1229" s="172"/>
      <c r="T1229" s="172"/>
      <c r="U1229" s="172"/>
      <c r="V1229" s="172"/>
      <c r="W1229" s="172"/>
      <c r="X1229" s="172"/>
      <c r="Y1229" s="172"/>
      <c r="Z1229" s="172"/>
      <c r="AA1229" s="172"/>
      <c r="AB1229" s="172"/>
      <c r="AC1229" s="172"/>
      <c r="AD1229" s="172"/>
      <c r="AE1229" s="172"/>
      <c r="AF1229" s="172"/>
    </row>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spans="2:32" ht="12" customHeight="1"/>
    <row r="1390" spans="2:32" ht="15" customHeight="1">
      <c r="B1390" s="172"/>
      <c r="C1390" s="172"/>
      <c r="D1390" s="172"/>
      <c r="E1390" s="172"/>
      <c r="F1390" s="172"/>
      <c r="G1390" s="172"/>
      <c r="H1390" s="172"/>
      <c r="I1390" s="172"/>
      <c r="J1390" s="172"/>
      <c r="K1390" s="172"/>
      <c r="L1390" s="172"/>
      <c r="M1390" s="172"/>
      <c r="N1390" s="172"/>
      <c r="O1390" s="172"/>
      <c r="P1390" s="172"/>
      <c r="Q1390" s="172"/>
      <c r="R1390" s="172"/>
      <c r="S1390" s="172"/>
      <c r="T1390" s="172"/>
      <c r="U1390" s="172"/>
      <c r="V1390" s="172"/>
      <c r="W1390" s="172"/>
      <c r="X1390" s="172"/>
      <c r="Y1390" s="172"/>
      <c r="Z1390" s="172"/>
      <c r="AA1390" s="172"/>
      <c r="AB1390" s="172"/>
      <c r="AC1390" s="172"/>
      <c r="AD1390" s="172"/>
      <c r="AE1390" s="172"/>
      <c r="AF1390" s="172"/>
    </row>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spans="2:32" ht="12" customHeight="1"/>
    <row r="1499" spans="2:32" ht="12" customHeight="1"/>
    <row r="1502" spans="2:32" ht="15" customHeight="1">
      <c r="B1502" s="172"/>
      <c r="C1502" s="172"/>
      <c r="D1502" s="172"/>
      <c r="E1502" s="172"/>
      <c r="F1502" s="172"/>
      <c r="G1502" s="172"/>
      <c r="H1502" s="172"/>
      <c r="I1502" s="172"/>
      <c r="J1502" s="172"/>
      <c r="K1502" s="172"/>
      <c r="L1502" s="172"/>
      <c r="M1502" s="172"/>
      <c r="N1502" s="172"/>
      <c r="O1502" s="172"/>
      <c r="P1502" s="172"/>
      <c r="Q1502" s="172"/>
      <c r="R1502" s="172"/>
      <c r="S1502" s="172"/>
      <c r="T1502" s="172"/>
      <c r="U1502" s="172"/>
      <c r="V1502" s="172"/>
      <c r="W1502" s="172"/>
      <c r="X1502" s="172"/>
      <c r="Y1502" s="172"/>
      <c r="Z1502" s="172"/>
      <c r="AA1502" s="172"/>
      <c r="AB1502" s="172"/>
      <c r="AC1502" s="172"/>
      <c r="AD1502" s="172"/>
      <c r="AE1502" s="172"/>
      <c r="AF1502" s="172"/>
    </row>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04" spans="2:32" ht="15" customHeight="1">
      <c r="B1604" s="172"/>
      <c r="C1604" s="172"/>
      <c r="D1604" s="172"/>
      <c r="E1604" s="172"/>
      <c r="F1604" s="172"/>
      <c r="G1604" s="172"/>
      <c r="H1604" s="172"/>
      <c r="I1604" s="172"/>
      <c r="J1604" s="172"/>
      <c r="K1604" s="172"/>
      <c r="L1604" s="172"/>
      <c r="M1604" s="172"/>
      <c r="N1604" s="172"/>
      <c r="O1604" s="172"/>
      <c r="P1604" s="172"/>
      <c r="Q1604" s="172"/>
      <c r="R1604" s="172"/>
      <c r="S1604" s="172"/>
      <c r="T1604" s="172"/>
      <c r="U1604" s="172"/>
      <c r="V1604" s="172"/>
      <c r="W1604" s="172"/>
      <c r="X1604" s="172"/>
      <c r="Y1604" s="172"/>
      <c r="Z1604" s="172"/>
      <c r="AA1604" s="172"/>
      <c r="AB1604" s="172"/>
      <c r="AC1604" s="172"/>
      <c r="AD1604" s="172"/>
      <c r="AE1604" s="172"/>
      <c r="AF1604" s="172"/>
    </row>
    <row r="1612" spans="2:32" ht="12" customHeight="1"/>
    <row r="1613" spans="2:32" ht="12" customHeight="1"/>
    <row r="1614" spans="2:32" ht="12" customHeight="1"/>
    <row r="1615" spans="2:32" ht="12" customHeight="1"/>
    <row r="1616" spans="2:32"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spans="2:32" ht="12" customHeight="1"/>
    <row r="1699" spans="2:32" ht="15" customHeight="1">
      <c r="B1699" s="172"/>
      <c r="C1699" s="172"/>
      <c r="D1699" s="172"/>
      <c r="E1699" s="172"/>
      <c r="F1699" s="172"/>
      <c r="G1699" s="172"/>
      <c r="H1699" s="172"/>
      <c r="I1699" s="172"/>
      <c r="J1699" s="172"/>
      <c r="K1699" s="172"/>
      <c r="L1699" s="172"/>
      <c r="M1699" s="172"/>
      <c r="N1699" s="172"/>
      <c r="O1699" s="172"/>
      <c r="P1699" s="172"/>
      <c r="Q1699" s="172"/>
      <c r="R1699" s="172"/>
      <c r="S1699" s="172"/>
      <c r="T1699" s="172"/>
      <c r="U1699" s="172"/>
      <c r="V1699" s="172"/>
      <c r="W1699" s="172"/>
      <c r="X1699" s="172"/>
      <c r="Y1699" s="172"/>
      <c r="Z1699" s="172"/>
      <c r="AA1699" s="172"/>
      <c r="AB1699" s="172"/>
      <c r="AC1699" s="172"/>
      <c r="AD1699" s="172"/>
      <c r="AE1699" s="172"/>
      <c r="AF1699" s="172"/>
    </row>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45" spans="2:32" ht="15" customHeight="1">
      <c r="B1945" s="172"/>
      <c r="C1945" s="172"/>
      <c r="D1945" s="172"/>
      <c r="E1945" s="172"/>
      <c r="F1945" s="172"/>
      <c r="G1945" s="172"/>
      <c r="H1945" s="172"/>
      <c r="I1945" s="172"/>
      <c r="J1945" s="172"/>
      <c r="K1945" s="172"/>
      <c r="L1945" s="172"/>
      <c r="M1945" s="172"/>
      <c r="N1945" s="172"/>
      <c r="O1945" s="172"/>
      <c r="P1945" s="172"/>
      <c r="Q1945" s="172"/>
      <c r="R1945" s="172"/>
      <c r="S1945" s="172"/>
      <c r="T1945" s="172"/>
      <c r="U1945" s="172"/>
      <c r="V1945" s="172"/>
      <c r="W1945" s="172"/>
      <c r="X1945" s="172"/>
      <c r="Y1945" s="172"/>
      <c r="Z1945" s="172"/>
      <c r="AA1945" s="172"/>
      <c r="AB1945" s="172"/>
      <c r="AC1945" s="172"/>
      <c r="AD1945" s="172"/>
      <c r="AE1945" s="172"/>
      <c r="AF1945" s="172"/>
    </row>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spans="2:32" ht="12" customHeight="1"/>
    <row r="2031" spans="2:32" ht="15" customHeight="1">
      <c r="B2031" s="172"/>
      <c r="C2031" s="172"/>
      <c r="D2031" s="172"/>
      <c r="E2031" s="172"/>
      <c r="F2031" s="172"/>
      <c r="G2031" s="172"/>
      <c r="H2031" s="172"/>
      <c r="I2031" s="172"/>
      <c r="J2031" s="172"/>
      <c r="K2031" s="172"/>
      <c r="L2031" s="172"/>
      <c r="M2031" s="172"/>
      <c r="N2031" s="172"/>
      <c r="O2031" s="172"/>
      <c r="P2031" s="172"/>
      <c r="Q2031" s="172"/>
      <c r="R2031" s="172"/>
      <c r="S2031" s="172"/>
      <c r="T2031" s="172"/>
      <c r="U2031" s="172"/>
      <c r="V2031" s="172"/>
      <c r="W2031" s="172"/>
      <c r="X2031" s="172"/>
      <c r="Y2031" s="172"/>
      <c r="Z2031" s="172"/>
      <c r="AA2031" s="172"/>
      <c r="AB2031" s="172"/>
      <c r="AC2031" s="172"/>
      <c r="AD2031" s="172"/>
      <c r="AE2031" s="172"/>
      <c r="AF2031" s="172"/>
    </row>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spans="2:32" ht="12" customHeight="1"/>
    <row r="2149" spans="2:32" ht="12" customHeight="1"/>
    <row r="2150" spans="2:32" ht="12" customHeight="1"/>
    <row r="2153" spans="2:32" ht="15" customHeight="1">
      <c r="B2153" s="172"/>
      <c r="C2153" s="172"/>
      <c r="D2153" s="172"/>
      <c r="E2153" s="172"/>
      <c r="F2153" s="172"/>
      <c r="G2153" s="172"/>
      <c r="H2153" s="172"/>
      <c r="I2153" s="172"/>
      <c r="J2153" s="172"/>
      <c r="K2153" s="172"/>
      <c r="L2153" s="172"/>
      <c r="M2153" s="172"/>
      <c r="N2153" s="172"/>
      <c r="O2153" s="172"/>
      <c r="P2153" s="172"/>
      <c r="Q2153" s="172"/>
      <c r="R2153" s="172"/>
      <c r="S2153" s="172"/>
      <c r="T2153" s="172"/>
      <c r="U2153" s="172"/>
      <c r="V2153" s="172"/>
      <c r="W2153" s="172"/>
      <c r="X2153" s="172"/>
      <c r="Y2153" s="172"/>
      <c r="Z2153" s="172"/>
      <c r="AA2153" s="172"/>
      <c r="AB2153" s="172"/>
      <c r="AC2153" s="172"/>
      <c r="AD2153" s="172"/>
      <c r="AE2153" s="172"/>
      <c r="AF2153" s="172"/>
    </row>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17" spans="2:32" ht="15" customHeight="1">
      <c r="B2317" s="172"/>
      <c r="C2317" s="172"/>
      <c r="D2317" s="172"/>
      <c r="E2317" s="172"/>
      <c r="F2317" s="172"/>
      <c r="G2317" s="172"/>
      <c r="H2317" s="172"/>
      <c r="I2317" s="172"/>
      <c r="J2317" s="172"/>
      <c r="K2317" s="172"/>
      <c r="L2317" s="172"/>
      <c r="M2317" s="172"/>
      <c r="N2317" s="172"/>
      <c r="O2317" s="172"/>
      <c r="P2317" s="172"/>
      <c r="Q2317" s="172"/>
      <c r="R2317" s="172"/>
      <c r="S2317" s="172"/>
      <c r="T2317" s="172"/>
      <c r="U2317" s="172"/>
      <c r="V2317" s="172"/>
      <c r="W2317" s="172"/>
      <c r="X2317" s="172"/>
      <c r="Y2317" s="172"/>
      <c r="Z2317" s="172"/>
      <c r="AA2317" s="172"/>
      <c r="AB2317" s="172"/>
      <c r="AC2317" s="172"/>
      <c r="AD2317" s="172"/>
      <c r="AE2317" s="172"/>
      <c r="AF2317" s="172"/>
    </row>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9" spans="2:32" ht="15" customHeight="1">
      <c r="B2419" s="172"/>
      <c r="C2419" s="172"/>
      <c r="D2419" s="172"/>
      <c r="E2419" s="172"/>
      <c r="F2419" s="172"/>
      <c r="G2419" s="172"/>
      <c r="H2419" s="172"/>
      <c r="I2419" s="172"/>
      <c r="J2419" s="172"/>
      <c r="K2419" s="172"/>
      <c r="L2419" s="172"/>
      <c r="M2419" s="172"/>
      <c r="N2419" s="172"/>
      <c r="O2419" s="172"/>
      <c r="P2419" s="172"/>
      <c r="Q2419" s="172"/>
      <c r="R2419" s="172"/>
      <c r="S2419" s="172"/>
      <c r="T2419" s="172"/>
      <c r="U2419" s="172"/>
      <c r="V2419" s="172"/>
      <c r="W2419" s="172"/>
      <c r="X2419" s="172"/>
      <c r="Y2419" s="172"/>
      <c r="Z2419" s="172"/>
      <c r="AA2419" s="172"/>
      <c r="AB2419" s="172"/>
      <c r="AC2419" s="172"/>
      <c r="AD2419" s="172"/>
      <c r="AE2419" s="172"/>
      <c r="AF2419" s="172"/>
    </row>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spans="2:32" ht="12" customHeight="1"/>
    <row r="2503" spans="2:32" ht="12" customHeight="1"/>
    <row r="2509" spans="2:32" ht="15" customHeight="1">
      <c r="B2509" s="172"/>
      <c r="C2509" s="172"/>
      <c r="D2509" s="172"/>
      <c r="E2509" s="172"/>
      <c r="F2509" s="172"/>
      <c r="G2509" s="172"/>
      <c r="H2509" s="172"/>
      <c r="I2509" s="172"/>
      <c r="J2509" s="172"/>
      <c r="K2509" s="172"/>
      <c r="L2509" s="172"/>
      <c r="M2509" s="172"/>
      <c r="N2509" s="172"/>
      <c r="O2509" s="172"/>
      <c r="P2509" s="172"/>
      <c r="Q2509" s="172"/>
      <c r="R2509" s="172"/>
      <c r="S2509" s="172"/>
      <c r="T2509" s="172"/>
      <c r="U2509" s="172"/>
      <c r="V2509" s="172"/>
      <c r="W2509" s="172"/>
      <c r="X2509" s="172"/>
      <c r="Y2509" s="172"/>
      <c r="Z2509" s="172"/>
      <c r="AA2509" s="172"/>
      <c r="AB2509" s="172"/>
      <c r="AC2509" s="172"/>
      <c r="AD2509" s="172"/>
      <c r="AE2509" s="172"/>
      <c r="AF2509" s="172"/>
    </row>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spans="2:32" ht="12" customHeight="1"/>
    <row r="2598" spans="2:32" ht="15" customHeight="1">
      <c r="B2598" s="172"/>
      <c r="C2598" s="172"/>
      <c r="D2598" s="172"/>
      <c r="E2598" s="172"/>
      <c r="F2598" s="172"/>
      <c r="G2598" s="172"/>
      <c r="H2598" s="172"/>
      <c r="I2598" s="172"/>
      <c r="J2598" s="172"/>
      <c r="K2598" s="172"/>
      <c r="L2598" s="172"/>
      <c r="M2598" s="172"/>
      <c r="N2598" s="172"/>
      <c r="O2598" s="172"/>
      <c r="P2598" s="172"/>
      <c r="Q2598" s="172"/>
      <c r="R2598" s="172"/>
      <c r="S2598" s="172"/>
      <c r="T2598" s="172"/>
      <c r="U2598" s="172"/>
      <c r="V2598" s="172"/>
      <c r="W2598" s="172"/>
      <c r="X2598" s="172"/>
      <c r="Y2598" s="172"/>
      <c r="Z2598" s="172"/>
      <c r="AA2598" s="172"/>
      <c r="AB2598" s="172"/>
      <c r="AC2598" s="172"/>
      <c r="AD2598" s="172"/>
      <c r="AE2598" s="172"/>
      <c r="AF2598" s="172"/>
    </row>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spans="2:32" ht="12" customHeight="1"/>
    <row r="2706" spans="2:32" ht="12" customHeight="1"/>
    <row r="2719" spans="2:32" ht="15" customHeight="1">
      <c r="B2719" s="172"/>
      <c r="C2719" s="172"/>
      <c r="D2719" s="172"/>
      <c r="E2719" s="172"/>
      <c r="F2719" s="172"/>
      <c r="G2719" s="172"/>
      <c r="H2719" s="172"/>
      <c r="I2719" s="172"/>
      <c r="J2719" s="172"/>
      <c r="K2719" s="172"/>
      <c r="L2719" s="172"/>
      <c r="M2719" s="172"/>
      <c r="N2719" s="172"/>
      <c r="O2719" s="172"/>
      <c r="P2719" s="172"/>
      <c r="Q2719" s="172"/>
      <c r="R2719" s="172"/>
      <c r="S2719" s="172"/>
      <c r="T2719" s="172"/>
      <c r="U2719" s="172"/>
      <c r="V2719" s="172"/>
      <c r="W2719" s="172"/>
      <c r="X2719" s="172"/>
      <c r="Y2719" s="172"/>
      <c r="Z2719" s="172"/>
      <c r="AA2719" s="172"/>
      <c r="AB2719" s="172"/>
      <c r="AC2719" s="172"/>
      <c r="AD2719" s="172"/>
      <c r="AE2719" s="172"/>
      <c r="AF2719" s="172"/>
    </row>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row r="2837" spans="2:32" ht="15" customHeight="1">
      <c r="B2837" s="172"/>
      <c r="C2837" s="172"/>
      <c r="D2837" s="172"/>
      <c r="E2837" s="172"/>
      <c r="F2837" s="172"/>
      <c r="G2837" s="172"/>
      <c r="H2837" s="172"/>
      <c r="I2837" s="172"/>
      <c r="J2837" s="172"/>
      <c r="K2837" s="172"/>
      <c r="L2837" s="172"/>
      <c r="M2837" s="172"/>
      <c r="N2837" s="172"/>
      <c r="O2837" s="172"/>
      <c r="P2837" s="172"/>
      <c r="Q2837" s="172"/>
      <c r="R2837" s="172"/>
      <c r="S2837" s="172"/>
      <c r="T2837" s="172"/>
      <c r="U2837" s="172"/>
      <c r="V2837" s="172"/>
      <c r="W2837" s="172"/>
      <c r="X2837" s="172"/>
      <c r="Y2837" s="172"/>
      <c r="Z2837" s="172"/>
      <c r="AA2837" s="172"/>
      <c r="AB2837" s="172"/>
      <c r="AC2837" s="172"/>
      <c r="AD2837" s="172"/>
      <c r="AE2837" s="172"/>
      <c r="AF2837" s="172"/>
    </row>
  </sheetData>
  <mergeCells count="21">
    <mergeCell ref="B2837:AF2837"/>
    <mergeCell ref="B2153:AF2153"/>
    <mergeCell ref="B2317:AF2317"/>
    <mergeCell ref="B2419:AF2419"/>
    <mergeCell ref="B2509:AF2509"/>
    <mergeCell ref="B2598:AF2598"/>
    <mergeCell ref="B1604:AF1604"/>
    <mergeCell ref="B1699:AF1699"/>
    <mergeCell ref="B1945:AF1945"/>
    <mergeCell ref="B2031:AF2031"/>
    <mergeCell ref="B2719:AF2719"/>
    <mergeCell ref="B887:AF887"/>
    <mergeCell ref="B1101:AF1101"/>
    <mergeCell ref="B1229:AF1229"/>
    <mergeCell ref="B1390:AF1390"/>
    <mergeCell ref="B1502:AF1502"/>
    <mergeCell ref="B89:AG89"/>
    <mergeCell ref="B112:AF112"/>
    <mergeCell ref="B308:AF308"/>
    <mergeCell ref="B511:AF511"/>
    <mergeCell ref="B712:AF712"/>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105"/>
  <sheetViews>
    <sheetView workbookViewId="0">
      <selection activeCell="A10" sqref="A10"/>
    </sheetView>
  </sheetViews>
  <sheetFormatPr defaultRowHeight="15" customHeight="1"/>
  <cols>
    <col min="1" max="1" width="28.85546875" customWidth="1"/>
    <col min="2" max="2" width="64.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2" spans="1:35"/>
    <row r="3" spans="1:35"/>
    <row r="4" spans="1:35"/>
    <row r="5" spans="1:35"/>
    <row r="6" spans="1:35"/>
    <row r="7" spans="1:35"/>
    <row r="8" spans="1:35"/>
    <row r="9" spans="1:35"/>
    <row r="10" spans="1:35">
      <c r="A10" t="s">
        <v>301</v>
      </c>
    </row>
    <row r="11" spans="1:35">
      <c r="A11" t="s">
        <v>1369</v>
      </c>
    </row>
    <row r="12" spans="1:35">
      <c r="A12" t="s">
        <v>2340</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196</v>
      </c>
      <c r="B15" t="s">
        <v>1367</v>
      </c>
      <c r="C15" t="s">
        <v>1366</v>
      </c>
      <c r="D15" t="s">
        <v>306</v>
      </c>
      <c r="F15">
        <v>14541.972656</v>
      </c>
      <c r="G15">
        <v>14586.113281</v>
      </c>
      <c r="H15">
        <v>14429.691406</v>
      </c>
      <c r="I15">
        <v>14201.924805000001</v>
      </c>
      <c r="J15">
        <v>14016.908203000001</v>
      </c>
      <c r="K15">
        <v>13860.761719</v>
      </c>
      <c r="L15">
        <v>13679.085938</v>
      </c>
      <c r="M15">
        <v>13473.831055000001</v>
      </c>
      <c r="N15">
        <v>13253.083008</v>
      </c>
      <c r="O15">
        <v>13044.084961</v>
      </c>
      <c r="P15">
        <v>12836.977539</v>
      </c>
      <c r="Q15">
        <v>12674.038086</v>
      </c>
      <c r="R15">
        <v>12534.655273</v>
      </c>
      <c r="S15">
        <v>12394.663086</v>
      </c>
      <c r="T15">
        <v>12251.546875</v>
      </c>
      <c r="U15">
        <v>12130.821289</v>
      </c>
      <c r="V15">
        <v>12028.415039</v>
      </c>
      <c r="W15">
        <v>11933.921875</v>
      </c>
      <c r="X15">
        <v>11864.000977</v>
      </c>
      <c r="Y15">
        <v>11805.395508</v>
      </c>
      <c r="Z15">
        <v>11762.741211</v>
      </c>
      <c r="AA15">
        <v>11733.643555000001</v>
      </c>
      <c r="AB15">
        <v>11725.385742</v>
      </c>
      <c r="AC15">
        <v>11735.774414</v>
      </c>
      <c r="AD15">
        <v>11770.762694999999</v>
      </c>
      <c r="AE15">
        <v>11824.348633</v>
      </c>
      <c r="AF15">
        <v>11889.714844</v>
      </c>
      <c r="AG15">
        <v>11962.909180000001</v>
      </c>
      <c r="AH15">
        <v>12054.454102</v>
      </c>
      <c r="AI15" s="21">
        <v>-7.0000000000000001E-3</v>
      </c>
    </row>
    <row r="16" spans="1:35">
      <c r="A16" t="s">
        <v>274</v>
      </c>
      <c r="B16" t="s">
        <v>1365</v>
      </c>
      <c r="C16" t="s">
        <v>1364</v>
      </c>
      <c r="D16" t="s">
        <v>306</v>
      </c>
      <c r="F16">
        <v>14415.272461</v>
      </c>
      <c r="G16">
        <v>14443.935546999999</v>
      </c>
      <c r="H16">
        <v>14272.423828000001</v>
      </c>
      <c r="I16">
        <v>14024.321289</v>
      </c>
      <c r="J16">
        <v>13815.495117</v>
      </c>
      <c r="K16">
        <v>13632.25</v>
      </c>
      <c r="L16">
        <v>13419.692383</v>
      </c>
      <c r="M16">
        <v>13179.959961</v>
      </c>
      <c r="N16">
        <v>12922.150390999999</v>
      </c>
      <c r="O16">
        <v>12678.574219</v>
      </c>
      <c r="P16">
        <v>12437.037109000001</v>
      </c>
      <c r="Q16">
        <v>12238.958984000001</v>
      </c>
      <c r="R16">
        <v>12063.409180000001</v>
      </c>
      <c r="S16">
        <v>11887.983398</v>
      </c>
      <c r="T16">
        <v>11710.702148</v>
      </c>
      <c r="U16">
        <v>11556.080078000001</v>
      </c>
      <c r="V16">
        <v>11421.212890999999</v>
      </c>
      <c r="W16">
        <v>11295.928711</v>
      </c>
      <c r="X16">
        <v>11196.765625</v>
      </c>
      <c r="Y16">
        <v>11110.766602</v>
      </c>
      <c r="Z16">
        <v>11042.224609000001</v>
      </c>
      <c r="AA16">
        <v>10988.434569999999</v>
      </c>
      <c r="AB16">
        <v>10958.347656</v>
      </c>
      <c r="AC16">
        <v>10949.109375</v>
      </c>
      <c r="AD16">
        <v>10963.973633</v>
      </c>
      <c r="AE16">
        <v>10998.306640999999</v>
      </c>
      <c r="AF16">
        <v>11045.133789</v>
      </c>
      <c r="AG16">
        <v>11100.259765999999</v>
      </c>
      <c r="AH16">
        <v>11174.059569999999</v>
      </c>
      <c r="AI16" s="21">
        <v>-8.9999999999999993E-3</v>
      </c>
    </row>
    <row r="17" spans="1:35">
      <c r="A17" t="s">
        <v>275</v>
      </c>
      <c r="B17" t="s">
        <v>1363</v>
      </c>
      <c r="C17" t="s">
        <v>1362</v>
      </c>
      <c r="D17" t="s">
        <v>306</v>
      </c>
      <c r="F17">
        <v>31.110834000000001</v>
      </c>
      <c r="G17">
        <v>31.640059999999998</v>
      </c>
      <c r="H17">
        <v>29.552766999999999</v>
      </c>
      <c r="I17">
        <v>29.441513</v>
      </c>
      <c r="J17">
        <v>28.728484999999999</v>
      </c>
      <c r="K17">
        <v>27.952176999999999</v>
      </c>
      <c r="L17">
        <v>27.018059000000001</v>
      </c>
      <c r="M17">
        <v>25.972712999999999</v>
      </c>
      <c r="N17">
        <v>24.873795000000001</v>
      </c>
      <c r="O17">
        <v>23.800640000000001</v>
      </c>
      <c r="P17">
        <v>22.75461</v>
      </c>
      <c r="Q17">
        <v>21.823027</v>
      </c>
      <c r="R17">
        <v>20.987984000000001</v>
      </c>
      <c r="S17">
        <v>20.244168999999999</v>
      </c>
      <c r="T17">
        <v>19.537762000000001</v>
      </c>
      <c r="U17">
        <v>19.024712000000001</v>
      </c>
      <c r="V17">
        <v>18.648620999999999</v>
      </c>
      <c r="W17">
        <v>18.398510000000002</v>
      </c>
      <c r="X17">
        <v>18.275644</v>
      </c>
      <c r="Y17">
        <v>18.222812999999999</v>
      </c>
      <c r="Z17">
        <v>18.236134</v>
      </c>
      <c r="AA17">
        <v>18.340064999999999</v>
      </c>
      <c r="AB17">
        <v>18.452594999999999</v>
      </c>
      <c r="AC17">
        <v>18.609615000000002</v>
      </c>
      <c r="AD17">
        <v>18.756809000000001</v>
      </c>
      <c r="AE17">
        <v>19.004078</v>
      </c>
      <c r="AF17">
        <v>19.229309000000001</v>
      </c>
      <c r="AG17">
        <v>19.515996999999999</v>
      </c>
      <c r="AH17">
        <v>19.788425</v>
      </c>
      <c r="AI17" s="21">
        <v>-1.6E-2</v>
      </c>
    </row>
    <row r="18" spans="1:35">
      <c r="A18" t="s">
        <v>276</v>
      </c>
      <c r="B18" t="s">
        <v>1361</v>
      </c>
      <c r="C18" t="s">
        <v>1360</v>
      </c>
      <c r="D18" t="s">
        <v>306</v>
      </c>
      <c r="F18">
        <v>61.460402999999999</v>
      </c>
      <c r="G18">
        <v>64.699020000000004</v>
      </c>
      <c r="H18">
        <v>67.503647000000001</v>
      </c>
      <c r="I18">
        <v>70.684073999999995</v>
      </c>
      <c r="J18">
        <v>74.503555000000006</v>
      </c>
      <c r="K18">
        <v>77.632530000000003</v>
      </c>
      <c r="L18">
        <v>81.324982000000006</v>
      </c>
      <c r="M18">
        <v>84.520767000000006</v>
      </c>
      <c r="N18">
        <v>86.959732000000002</v>
      </c>
      <c r="O18">
        <v>89.758049</v>
      </c>
      <c r="P18">
        <v>91.490157999999994</v>
      </c>
      <c r="Q18">
        <v>93.247542999999993</v>
      </c>
      <c r="R18">
        <v>95.158996999999999</v>
      </c>
      <c r="S18">
        <v>96.641707999999994</v>
      </c>
      <c r="T18">
        <v>98.053237999999993</v>
      </c>
      <c r="U18">
        <v>99.864699999999999</v>
      </c>
      <c r="V18">
        <v>101.36190000000001</v>
      </c>
      <c r="W18">
        <v>102.785622</v>
      </c>
      <c r="X18">
        <v>104.47521999999999</v>
      </c>
      <c r="Y18">
        <v>105.749611</v>
      </c>
      <c r="Z18">
        <v>107.324608</v>
      </c>
      <c r="AA18">
        <v>109.779274</v>
      </c>
      <c r="AB18">
        <v>110.920013</v>
      </c>
      <c r="AC18">
        <v>111.97983600000001</v>
      </c>
      <c r="AD18">
        <v>113.441277</v>
      </c>
      <c r="AE18">
        <v>115.037064</v>
      </c>
      <c r="AF18">
        <v>116.75106</v>
      </c>
      <c r="AG18">
        <v>118.593468</v>
      </c>
      <c r="AH18">
        <v>120.69574</v>
      </c>
      <c r="AI18" s="21">
        <v>2.4E-2</v>
      </c>
    </row>
    <row r="19" spans="1:35">
      <c r="A19" t="s">
        <v>277</v>
      </c>
      <c r="B19" t="s">
        <v>1359</v>
      </c>
      <c r="C19" t="s">
        <v>1358</v>
      </c>
      <c r="D19" t="s">
        <v>306</v>
      </c>
      <c r="F19">
        <v>0.71288799999999997</v>
      </c>
      <c r="G19">
        <v>0.67766800000000005</v>
      </c>
      <c r="H19">
        <v>0.53775200000000001</v>
      </c>
      <c r="I19">
        <v>0.51500500000000005</v>
      </c>
      <c r="J19">
        <v>0.507019</v>
      </c>
      <c r="K19">
        <v>0.49244300000000002</v>
      </c>
      <c r="L19">
        <v>0.48183900000000002</v>
      </c>
      <c r="M19">
        <v>0.470472</v>
      </c>
      <c r="N19">
        <v>0.44594200000000001</v>
      </c>
      <c r="O19">
        <v>0.44344499999999998</v>
      </c>
      <c r="P19">
        <v>0.43788300000000002</v>
      </c>
      <c r="Q19">
        <v>0.43343399999999999</v>
      </c>
      <c r="R19">
        <v>0.43173299999999998</v>
      </c>
      <c r="S19">
        <v>0.43049900000000002</v>
      </c>
      <c r="T19">
        <v>0.42709599999999998</v>
      </c>
      <c r="U19">
        <v>0.42463099999999998</v>
      </c>
      <c r="V19">
        <v>0.42622700000000002</v>
      </c>
      <c r="W19">
        <v>0.37802400000000003</v>
      </c>
      <c r="X19">
        <v>0.33532600000000001</v>
      </c>
      <c r="Y19">
        <v>0.34005299999999999</v>
      </c>
      <c r="Z19">
        <v>0.343781</v>
      </c>
      <c r="AA19">
        <v>0.34665600000000002</v>
      </c>
      <c r="AB19">
        <v>0.34931299999999998</v>
      </c>
      <c r="AC19">
        <v>0.35186400000000001</v>
      </c>
      <c r="AD19">
        <v>0.35644799999999999</v>
      </c>
      <c r="AE19">
        <v>0.36170999999999998</v>
      </c>
      <c r="AF19">
        <v>0.367786</v>
      </c>
      <c r="AG19">
        <v>0.37404300000000001</v>
      </c>
      <c r="AH19">
        <v>0.38108199999999998</v>
      </c>
      <c r="AI19" s="21">
        <v>-2.1999999999999999E-2</v>
      </c>
    </row>
    <row r="20" spans="1:35">
      <c r="A20" t="s">
        <v>278</v>
      </c>
      <c r="B20" t="s">
        <v>1357</v>
      </c>
      <c r="C20" t="s">
        <v>1356</v>
      </c>
      <c r="D20" t="s">
        <v>306</v>
      </c>
      <c r="F20">
        <v>0.79738799999999999</v>
      </c>
      <c r="G20">
        <v>0.735487</v>
      </c>
      <c r="H20">
        <v>0.54745600000000005</v>
      </c>
      <c r="I20">
        <v>0.54066800000000004</v>
      </c>
      <c r="J20">
        <v>0.54419300000000004</v>
      </c>
      <c r="K20">
        <v>0.56128199999999995</v>
      </c>
      <c r="L20">
        <v>0.31209199999999998</v>
      </c>
      <c r="M20">
        <v>0.33013999999999999</v>
      </c>
      <c r="N20">
        <v>0.384077</v>
      </c>
      <c r="O20">
        <v>0.43762600000000001</v>
      </c>
      <c r="P20">
        <v>0.48971900000000002</v>
      </c>
      <c r="Q20">
        <v>0.54025400000000001</v>
      </c>
      <c r="R20">
        <v>0.59017699999999995</v>
      </c>
      <c r="S20">
        <v>0.63807599999999998</v>
      </c>
      <c r="T20">
        <v>0.68416399999999999</v>
      </c>
      <c r="U20">
        <v>0.72875999999999996</v>
      </c>
      <c r="V20">
        <v>0.77158599999999999</v>
      </c>
      <c r="W20">
        <v>0.81298700000000002</v>
      </c>
      <c r="X20">
        <v>0.85285</v>
      </c>
      <c r="Y20">
        <v>0.89180899999999996</v>
      </c>
      <c r="Z20">
        <v>0.93071300000000001</v>
      </c>
      <c r="AA20">
        <v>0.96862199999999998</v>
      </c>
      <c r="AB20">
        <v>1.007558</v>
      </c>
      <c r="AC20">
        <v>1.0480309999999999</v>
      </c>
      <c r="AD20">
        <v>1.0965309999999999</v>
      </c>
      <c r="AE20">
        <v>1.1502429999999999</v>
      </c>
      <c r="AF20">
        <v>1.2091620000000001</v>
      </c>
      <c r="AG20">
        <v>1.2718959999999999</v>
      </c>
      <c r="AH20">
        <v>1.341161</v>
      </c>
      <c r="AI20" s="21">
        <v>1.9E-2</v>
      </c>
    </row>
    <row r="21" spans="1:35">
      <c r="A21" t="s">
        <v>279</v>
      </c>
      <c r="B21" t="s">
        <v>1355</v>
      </c>
      <c r="C21" t="s">
        <v>1354</v>
      </c>
      <c r="D21" t="s">
        <v>306</v>
      </c>
      <c r="F21">
        <v>32.193668000000002</v>
      </c>
      <c r="G21">
        <v>43.907116000000002</v>
      </c>
      <c r="H21">
        <v>58.529483999999997</v>
      </c>
      <c r="I21">
        <v>75.757942</v>
      </c>
      <c r="J21">
        <v>96.391159000000002</v>
      </c>
      <c r="K21">
        <v>121.066132</v>
      </c>
      <c r="L21">
        <v>149.37681599999999</v>
      </c>
      <c r="M21">
        <v>181.62849399999999</v>
      </c>
      <c r="N21">
        <v>217.248322</v>
      </c>
      <c r="O21">
        <v>249.97737100000001</v>
      </c>
      <c r="P21">
        <v>283.60272200000003</v>
      </c>
      <c r="Q21">
        <v>317.79742399999998</v>
      </c>
      <c r="R21">
        <v>352.768036</v>
      </c>
      <c r="S21">
        <v>387.34478799999999</v>
      </c>
      <c r="T21">
        <v>420.69439699999998</v>
      </c>
      <c r="U21">
        <v>453.186218</v>
      </c>
      <c r="V21">
        <v>484.42330900000002</v>
      </c>
      <c r="W21">
        <v>513.99560499999995</v>
      </c>
      <c r="X21">
        <v>541.63085899999999</v>
      </c>
      <c r="Y21">
        <v>567.72460899999999</v>
      </c>
      <c r="Z21">
        <v>591.95019500000001</v>
      </c>
      <c r="AA21">
        <v>614.02081299999998</v>
      </c>
      <c r="AB21">
        <v>634.53887899999995</v>
      </c>
      <c r="AC21">
        <v>652.89733899999999</v>
      </c>
      <c r="AD21">
        <v>671.348206</v>
      </c>
      <c r="AE21">
        <v>688.68969700000002</v>
      </c>
      <c r="AF21">
        <v>705.21575900000005</v>
      </c>
      <c r="AG21">
        <v>721.08111599999995</v>
      </c>
      <c r="AH21">
        <v>736.37286400000005</v>
      </c>
      <c r="AI21" s="21">
        <v>0.11799999999999999</v>
      </c>
    </row>
    <row r="22" spans="1:35">
      <c r="A22" t="s">
        <v>280</v>
      </c>
      <c r="B22" t="s">
        <v>1353</v>
      </c>
      <c r="C22" t="s">
        <v>1352</v>
      </c>
      <c r="D22" t="s">
        <v>306</v>
      </c>
      <c r="F22">
        <v>0.42613899999999999</v>
      </c>
      <c r="G22">
        <v>0.51818299999999995</v>
      </c>
      <c r="H22">
        <v>0.59576700000000005</v>
      </c>
      <c r="I22">
        <v>0.66511799999999999</v>
      </c>
      <c r="J22">
        <v>0.73787199999999997</v>
      </c>
      <c r="K22">
        <v>0.80678000000000005</v>
      </c>
      <c r="L22">
        <v>0.87969799999999998</v>
      </c>
      <c r="M22">
        <v>0.94835800000000003</v>
      </c>
      <c r="N22">
        <v>1.0205519999999999</v>
      </c>
      <c r="O22">
        <v>1.0934459999999999</v>
      </c>
      <c r="P22">
        <v>1.1656569999999999</v>
      </c>
      <c r="Q22">
        <v>1.2371049999999999</v>
      </c>
      <c r="R22">
        <v>1.3096950000000001</v>
      </c>
      <c r="S22">
        <v>1.3809180000000001</v>
      </c>
      <c r="T22">
        <v>1.4474880000000001</v>
      </c>
      <c r="U22">
        <v>1.512508</v>
      </c>
      <c r="V22">
        <v>1.570883</v>
      </c>
      <c r="W22">
        <v>1.623062</v>
      </c>
      <c r="X22">
        <v>1.665691</v>
      </c>
      <c r="Y22">
        <v>1.699897</v>
      </c>
      <c r="Z22">
        <v>1.7316929999999999</v>
      </c>
      <c r="AA22">
        <v>1.7536229999999999</v>
      </c>
      <c r="AB22">
        <v>1.769871</v>
      </c>
      <c r="AC22">
        <v>1.7791170000000001</v>
      </c>
      <c r="AD22">
        <v>1.7894969999999999</v>
      </c>
      <c r="AE22">
        <v>1.800149</v>
      </c>
      <c r="AF22">
        <v>1.8077129999999999</v>
      </c>
      <c r="AG22">
        <v>1.8132870000000001</v>
      </c>
      <c r="AH22">
        <v>1.8167770000000001</v>
      </c>
      <c r="AI22" s="21">
        <v>5.2999999999999999E-2</v>
      </c>
    </row>
    <row r="23" spans="1:35">
      <c r="A23" t="s">
        <v>281</v>
      </c>
      <c r="B23" t="s">
        <v>1351</v>
      </c>
      <c r="C23" t="s">
        <v>1350</v>
      </c>
      <c r="D23" t="s">
        <v>306</v>
      </c>
      <c r="F23">
        <v>951.50280799999996</v>
      </c>
      <c r="G23">
        <v>942.55828899999995</v>
      </c>
      <c r="H23">
        <v>925.34039299999995</v>
      </c>
      <c r="I23">
        <v>912.45153800000003</v>
      </c>
      <c r="J23">
        <v>903.11096199999997</v>
      </c>
      <c r="K23">
        <v>894.80664100000001</v>
      </c>
      <c r="L23">
        <v>888.38452099999995</v>
      </c>
      <c r="M23">
        <v>882.99560499999995</v>
      </c>
      <c r="N23">
        <v>877.03247099999999</v>
      </c>
      <c r="O23">
        <v>872.79089399999998</v>
      </c>
      <c r="P23">
        <v>871.79064900000003</v>
      </c>
      <c r="Q23">
        <v>871.86755400000004</v>
      </c>
      <c r="R23">
        <v>873.03363000000002</v>
      </c>
      <c r="S23">
        <v>875.073486</v>
      </c>
      <c r="T23">
        <v>877.49945100000002</v>
      </c>
      <c r="U23">
        <v>881.02331500000003</v>
      </c>
      <c r="V23">
        <v>885.54095500000005</v>
      </c>
      <c r="W23">
        <v>889.79608199999996</v>
      </c>
      <c r="X23">
        <v>896.14636199999995</v>
      </c>
      <c r="Y23">
        <v>903.92437700000005</v>
      </c>
      <c r="Z23">
        <v>911.92645300000004</v>
      </c>
      <c r="AA23">
        <v>919.04620399999999</v>
      </c>
      <c r="AB23">
        <v>925.47399900000005</v>
      </c>
      <c r="AC23">
        <v>932.77233899999999</v>
      </c>
      <c r="AD23">
        <v>941.28070100000002</v>
      </c>
      <c r="AE23">
        <v>951.49883999999997</v>
      </c>
      <c r="AF23">
        <v>960.51415999999995</v>
      </c>
      <c r="AG23">
        <v>969.57879600000001</v>
      </c>
      <c r="AH23">
        <v>981.59570299999996</v>
      </c>
      <c r="AI23" s="21">
        <v>1E-3</v>
      </c>
    </row>
    <row r="24" spans="1:35">
      <c r="A24" t="s">
        <v>274</v>
      </c>
      <c r="B24" t="s">
        <v>1349</v>
      </c>
      <c r="C24" t="s">
        <v>1348</v>
      </c>
      <c r="D24" t="s">
        <v>306</v>
      </c>
      <c r="F24">
        <v>657.76745600000004</v>
      </c>
      <c r="G24">
        <v>651.25982699999997</v>
      </c>
      <c r="H24">
        <v>640.80761700000005</v>
      </c>
      <c r="I24">
        <v>634.44543499999997</v>
      </c>
      <c r="J24">
        <v>630.82428000000004</v>
      </c>
      <c r="K24">
        <v>624.78125</v>
      </c>
      <c r="L24">
        <v>620.947632</v>
      </c>
      <c r="M24">
        <v>618.08074999999997</v>
      </c>
      <c r="N24">
        <v>615.03594999999996</v>
      </c>
      <c r="O24">
        <v>613.48315400000001</v>
      </c>
      <c r="P24">
        <v>614.07128899999998</v>
      </c>
      <c r="Q24">
        <v>615.42193599999996</v>
      </c>
      <c r="R24">
        <v>617.641479</v>
      </c>
      <c r="S24">
        <v>620.38317900000004</v>
      </c>
      <c r="T24">
        <v>623.32220500000005</v>
      </c>
      <c r="U24">
        <v>627.02630599999998</v>
      </c>
      <c r="V24">
        <v>631.23345900000004</v>
      </c>
      <c r="W24">
        <v>635.20404099999996</v>
      </c>
      <c r="X24">
        <v>640.80859399999997</v>
      </c>
      <c r="Y24">
        <v>646.77948000000004</v>
      </c>
      <c r="Z24">
        <v>653.38256799999999</v>
      </c>
      <c r="AA24">
        <v>659.03369099999998</v>
      </c>
      <c r="AB24">
        <v>663.90283199999999</v>
      </c>
      <c r="AC24">
        <v>669.03552200000001</v>
      </c>
      <c r="AD24">
        <v>675.10998500000005</v>
      </c>
      <c r="AE24">
        <v>682.46606399999996</v>
      </c>
      <c r="AF24">
        <v>688.97082499999999</v>
      </c>
      <c r="AG24">
        <v>695.63995399999999</v>
      </c>
      <c r="AH24">
        <v>704.23315400000001</v>
      </c>
      <c r="AI24" s="21">
        <v>2E-3</v>
      </c>
    </row>
    <row r="25" spans="1:35">
      <c r="A25" t="s">
        <v>275</v>
      </c>
      <c r="B25" t="s">
        <v>1347</v>
      </c>
      <c r="C25" t="s">
        <v>1346</v>
      </c>
      <c r="D25" t="s">
        <v>306</v>
      </c>
      <c r="F25">
        <v>3.5136699999999998</v>
      </c>
      <c r="G25">
        <v>3.389497</v>
      </c>
      <c r="H25">
        <v>2.991625</v>
      </c>
      <c r="I25">
        <v>2.9037060000000001</v>
      </c>
      <c r="J25">
        <v>2.7676799999999999</v>
      </c>
      <c r="K25">
        <v>2.7080980000000001</v>
      </c>
      <c r="L25">
        <v>2.6648450000000001</v>
      </c>
      <c r="M25">
        <v>2.6710020000000001</v>
      </c>
      <c r="N25">
        <v>2.68058</v>
      </c>
      <c r="O25">
        <v>2.705457</v>
      </c>
      <c r="P25">
        <v>2.745193</v>
      </c>
      <c r="Q25">
        <v>2.803118</v>
      </c>
      <c r="R25">
        <v>2.8754189999999999</v>
      </c>
      <c r="S25">
        <v>2.972388</v>
      </c>
      <c r="T25">
        <v>3.075218</v>
      </c>
      <c r="U25">
        <v>3.2065070000000002</v>
      </c>
      <c r="V25">
        <v>3.3501609999999999</v>
      </c>
      <c r="W25">
        <v>3.5010400000000002</v>
      </c>
      <c r="X25">
        <v>3.6667809999999998</v>
      </c>
      <c r="Y25">
        <v>3.843432</v>
      </c>
      <c r="Z25">
        <v>4.0169430000000004</v>
      </c>
      <c r="AA25">
        <v>4.194909</v>
      </c>
      <c r="AB25">
        <v>4.3540520000000003</v>
      </c>
      <c r="AC25">
        <v>4.5155190000000003</v>
      </c>
      <c r="AD25">
        <v>4.6677289999999996</v>
      </c>
      <c r="AE25">
        <v>4.8359430000000003</v>
      </c>
      <c r="AF25">
        <v>4.9793599999999998</v>
      </c>
      <c r="AG25">
        <v>5.1316860000000002</v>
      </c>
      <c r="AH25">
        <v>5.2824540000000004</v>
      </c>
      <c r="AI25" s="21">
        <v>1.4999999999999999E-2</v>
      </c>
    </row>
    <row r="26" spans="1:35">
      <c r="A26" t="s">
        <v>276</v>
      </c>
      <c r="B26" t="s">
        <v>1345</v>
      </c>
      <c r="C26" t="s">
        <v>1344</v>
      </c>
      <c r="D26" t="s">
        <v>306</v>
      </c>
      <c r="F26">
        <v>289.12039199999998</v>
      </c>
      <c r="G26">
        <v>286.82144199999999</v>
      </c>
      <c r="H26">
        <v>280.46920799999998</v>
      </c>
      <c r="I26">
        <v>274.07836900000001</v>
      </c>
      <c r="J26">
        <v>268.54092400000002</v>
      </c>
      <c r="K26">
        <v>266.37576300000001</v>
      </c>
      <c r="L26">
        <v>263.84298699999999</v>
      </c>
      <c r="M26">
        <v>261.31542999999999</v>
      </c>
      <c r="N26">
        <v>258.401184</v>
      </c>
      <c r="O26">
        <v>255.69387800000001</v>
      </c>
      <c r="P26">
        <v>254.05813599999999</v>
      </c>
      <c r="Q26">
        <v>252.705139</v>
      </c>
      <c r="R26">
        <v>251.542633</v>
      </c>
      <c r="S26">
        <v>250.69047499999999</v>
      </c>
      <c r="T26">
        <v>250.00555399999999</v>
      </c>
      <c r="U26">
        <v>249.60524000000001</v>
      </c>
      <c r="V26">
        <v>249.66021699999999</v>
      </c>
      <c r="W26">
        <v>249.65734900000001</v>
      </c>
      <c r="X26">
        <v>250.07077000000001</v>
      </c>
      <c r="Y26">
        <v>251.505585</v>
      </c>
      <c r="Z26">
        <v>252.50730899999999</v>
      </c>
      <c r="AA26">
        <v>253.54638700000001</v>
      </c>
      <c r="AB26">
        <v>254.66670199999999</v>
      </c>
      <c r="AC26">
        <v>256.36206099999998</v>
      </c>
      <c r="AD26">
        <v>258.30450400000001</v>
      </c>
      <c r="AE26">
        <v>260.63464399999998</v>
      </c>
      <c r="AF26">
        <v>262.62152099999997</v>
      </c>
      <c r="AG26">
        <v>264.464203</v>
      </c>
      <c r="AH26">
        <v>267.307861</v>
      </c>
      <c r="AI26" s="21">
        <v>-3.0000000000000001E-3</v>
      </c>
    </row>
    <row r="27" spans="1:35">
      <c r="A27" t="s">
        <v>278</v>
      </c>
      <c r="B27" t="s">
        <v>1343</v>
      </c>
      <c r="C27" t="s">
        <v>1342</v>
      </c>
      <c r="D27" t="s">
        <v>306</v>
      </c>
      <c r="F27">
        <v>1.1919999999999999E-3</v>
      </c>
      <c r="G27">
        <v>5.9367000000000003E-2</v>
      </c>
      <c r="H27">
        <v>0.11705</v>
      </c>
      <c r="I27">
        <v>0.17241300000000001</v>
      </c>
      <c r="J27">
        <v>0.22949800000000001</v>
      </c>
      <c r="K27">
        <v>0.28361900000000001</v>
      </c>
      <c r="L27">
        <v>0.33646300000000001</v>
      </c>
      <c r="M27">
        <v>0.39336500000000002</v>
      </c>
      <c r="N27">
        <v>0.43659700000000001</v>
      </c>
      <c r="O27">
        <v>0.48442800000000003</v>
      </c>
      <c r="P27">
        <v>0.53945200000000004</v>
      </c>
      <c r="Q27">
        <v>0.60183900000000001</v>
      </c>
      <c r="R27">
        <v>0.67321399999999998</v>
      </c>
      <c r="S27">
        <v>0.75634199999999996</v>
      </c>
      <c r="T27">
        <v>0.853271</v>
      </c>
      <c r="U27">
        <v>0.96770199999999995</v>
      </c>
      <c r="V27">
        <v>1.1022019999999999</v>
      </c>
      <c r="W27">
        <v>1.257558</v>
      </c>
      <c r="X27">
        <v>1.4395659999999999</v>
      </c>
      <c r="Y27">
        <v>1.649748</v>
      </c>
      <c r="Z27">
        <v>1.8861079999999999</v>
      </c>
      <c r="AA27">
        <v>2.1497600000000001</v>
      </c>
      <c r="AB27">
        <v>2.4400059999999999</v>
      </c>
      <c r="AC27">
        <v>2.7592599999999998</v>
      </c>
      <c r="AD27">
        <v>3.1105109999999998</v>
      </c>
      <c r="AE27">
        <v>3.4898639999999999</v>
      </c>
      <c r="AF27">
        <v>3.885303</v>
      </c>
      <c r="AG27">
        <v>4.2978630000000004</v>
      </c>
      <c r="AH27">
        <v>4.7380370000000003</v>
      </c>
      <c r="AI27" s="21">
        <v>0.34399999999999997</v>
      </c>
    </row>
    <row r="28" spans="1:35">
      <c r="A28" t="s">
        <v>277</v>
      </c>
      <c r="B28" t="s">
        <v>1341</v>
      </c>
      <c r="C28" t="s">
        <v>1340</v>
      </c>
      <c r="D28" t="s">
        <v>306</v>
      </c>
      <c r="F28">
        <v>1.100109</v>
      </c>
      <c r="G28">
        <v>1.0280959999999999</v>
      </c>
      <c r="H28">
        <v>0.95485699999999996</v>
      </c>
      <c r="I28">
        <v>0.85162800000000005</v>
      </c>
      <c r="J28">
        <v>0.74851699999999999</v>
      </c>
      <c r="K28">
        <v>0.657968</v>
      </c>
      <c r="L28">
        <v>0.59255500000000005</v>
      </c>
      <c r="M28">
        <v>0.53501100000000001</v>
      </c>
      <c r="N28">
        <v>0.478159</v>
      </c>
      <c r="O28">
        <v>0.42399300000000001</v>
      </c>
      <c r="P28">
        <v>0.376664</v>
      </c>
      <c r="Q28">
        <v>0.33548499999999998</v>
      </c>
      <c r="R28">
        <v>0.30089100000000002</v>
      </c>
      <c r="S28">
        <v>0.27107300000000001</v>
      </c>
      <c r="T28">
        <v>0.243198</v>
      </c>
      <c r="U28">
        <v>0.217586</v>
      </c>
      <c r="V28">
        <v>0.19492699999999999</v>
      </c>
      <c r="W28">
        <v>0.17607900000000001</v>
      </c>
      <c r="X28">
        <v>0.160581</v>
      </c>
      <c r="Y28">
        <v>0.14618200000000001</v>
      </c>
      <c r="Z28">
        <v>0.133464</v>
      </c>
      <c r="AA28">
        <v>0.121475</v>
      </c>
      <c r="AB28">
        <v>0.110383</v>
      </c>
      <c r="AC28">
        <v>9.9973999999999993E-2</v>
      </c>
      <c r="AD28">
        <v>8.7946999999999997E-2</v>
      </c>
      <c r="AE28">
        <v>7.2319999999999995E-2</v>
      </c>
      <c r="AF28">
        <v>5.7146000000000002E-2</v>
      </c>
      <c r="AG28">
        <v>4.5075999999999998E-2</v>
      </c>
      <c r="AH28">
        <v>3.4169999999999999E-2</v>
      </c>
      <c r="AI28" s="21">
        <v>-0.11700000000000001</v>
      </c>
    </row>
    <row r="29" spans="1:35">
      <c r="A29" t="s">
        <v>279</v>
      </c>
      <c r="B29" t="s">
        <v>1339</v>
      </c>
      <c r="C29" t="s">
        <v>1338</v>
      </c>
      <c r="D29" t="s">
        <v>306</v>
      </c>
      <c r="F29">
        <v>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t="s">
        <v>17</v>
      </c>
    </row>
    <row r="30" spans="1:35">
      <c r="A30" t="s">
        <v>280</v>
      </c>
      <c r="B30" t="s">
        <v>1337</v>
      </c>
      <c r="C30" t="s">
        <v>1336</v>
      </c>
      <c r="D30" t="s">
        <v>306</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t="s">
        <v>17</v>
      </c>
    </row>
    <row r="31" spans="1:35">
      <c r="A31" t="s">
        <v>282</v>
      </c>
      <c r="B31" t="s">
        <v>1335</v>
      </c>
      <c r="C31" t="s">
        <v>1334</v>
      </c>
      <c r="D31" t="s">
        <v>306</v>
      </c>
      <c r="F31">
        <v>5922.7910160000001</v>
      </c>
      <c r="G31">
        <v>5816.7055659999996</v>
      </c>
      <c r="H31">
        <v>5728.0952150000003</v>
      </c>
      <c r="I31">
        <v>5673.0986329999996</v>
      </c>
      <c r="J31">
        <v>5638.8964839999999</v>
      </c>
      <c r="K31">
        <v>5591.7084960000002</v>
      </c>
      <c r="L31">
        <v>5543.7119140000004</v>
      </c>
      <c r="M31">
        <v>5483.6694340000004</v>
      </c>
      <c r="N31">
        <v>5422.388672</v>
      </c>
      <c r="O31">
        <v>5371.3027339999999</v>
      </c>
      <c r="P31">
        <v>5340.158203</v>
      </c>
      <c r="Q31">
        <v>5306.5048829999996</v>
      </c>
      <c r="R31">
        <v>5278.7797849999997</v>
      </c>
      <c r="S31">
        <v>5261.2470700000003</v>
      </c>
      <c r="T31">
        <v>5242.9990230000003</v>
      </c>
      <c r="U31">
        <v>5237.6972660000001</v>
      </c>
      <c r="V31">
        <v>5236.3618159999996</v>
      </c>
      <c r="W31">
        <v>5238.3041990000002</v>
      </c>
      <c r="X31">
        <v>5247.9145509999998</v>
      </c>
      <c r="Y31">
        <v>5263.2084960000002</v>
      </c>
      <c r="Z31">
        <v>5281.4541019999997</v>
      </c>
      <c r="AA31">
        <v>5299.6816410000001</v>
      </c>
      <c r="AB31">
        <v>5316.7680659999996</v>
      </c>
      <c r="AC31">
        <v>5331.7001950000003</v>
      </c>
      <c r="AD31">
        <v>5353.1992190000001</v>
      </c>
      <c r="AE31">
        <v>5376.3164059999999</v>
      </c>
      <c r="AF31">
        <v>5393.3178710000002</v>
      </c>
      <c r="AG31">
        <v>5413.4169920000004</v>
      </c>
      <c r="AH31">
        <v>5450.0122069999998</v>
      </c>
      <c r="AI31" s="21">
        <v>-3.0000000000000001E-3</v>
      </c>
    </row>
    <row r="32" spans="1:35">
      <c r="A32" t="s">
        <v>283</v>
      </c>
      <c r="B32" t="s">
        <v>1333</v>
      </c>
      <c r="C32" t="s">
        <v>1332</v>
      </c>
      <c r="D32" t="s">
        <v>306</v>
      </c>
      <c r="F32">
        <v>616.20519999999999</v>
      </c>
      <c r="G32">
        <v>611.60089100000005</v>
      </c>
      <c r="H32">
        <v>610.37268100000006</v>
      </c>
      <c r="I32">
        <v>612.19366500000001</v>
      </c>
      <c r="J32">
        <v>616.92590299999995</v>
      </c>
      <c r="K32">
        <v>620.02862500000003</v>
      </c>
      <c r="L32">
        <v>623.435608</v>
      </c>
      <c r="M32">
        <v>626.11090100000001</v>
      </c>
      <c r="N32">
        <v>629.31872599999997</v>
      </c>
      <c r="O32">
        <v>633.79577600000005</v>
      </c>
      <c r="P32">
        <v>641.25616500000001</v>
      </c>
      <c r="Q32">
        <v>647.76110800000004</v>
      </c>
      <c r="R32">
        <v>654.28460700000005</v>
      </c>
      <c r="S32">
        <v>661.13012700000002</v>
      </c>
      <c r="T32">
        <v>667.05139199999996</v>
      </c>
      <c r="U32">
        <v>674.55737299999998</v>
      </c>
      <c r="V32">
        <v>681.19171100000005</v>
      </c>
      <c r="W32">
        <v>688.82940699999995</v>
      </c>
      <c r="X32">
        <v>697.06719999999996</v>
      </c>
      <c r="Y32">
        <v>706.54357900000002</v>
      </c>
      <c r="Z32">
        <v>715.970642</v>
      </c>
      <c r="AA32">
        <v>725.08044400000006</v>
      </c>
      <c r="AB32">
        <v>734.180969</v>
      </c>
      <c r="AC32">
        <v>743.18780500000003</v>
      </c>
      <c r="AD32">
        <v>753.50970500000005</v>
      </c>
      <c r="AE32">
        <v>764.21655299999998</v>
      </c>
      <c r="AF32">
        <v>774.01879899999994</v>
      </c>
      <c r="AG32">
        <v>784.56542999999999</v>
      </c>
      <c r="AH32">
        <v>797.65808100000004</v>
      </c>
      <c r="AI32" s="21">
        <v>8.9999999999999993E-3</v>
      </c>
    </row>
    <row r="33" spans="1:35">
      <c r="A33" t="s">
        <v>276</v>
      </c>
      <c r="B33" t="s">
        <v>1331</v>
      </c>
      <c r="C33" t="s">
        <v>1330</v>
      </c>
      <c r="D33" t="s">
        <v>306</v>
      </c>
      <c r="F33">
        <v>5252.3305659999996</v>
      </c>
      <c r="G33">
        <v>5150.2441410000001</v>
      </c>
      <c r="H33">
        <v>5062.3154299999997</v>
      </c>
      <c r="I33">
        <v>5004.9750979999999</v>
      </c>
      <c r="J33">
        <v>4965.6987300000001</v>
      </c>
      <c r="K33">
        <v>4915.5693359999996</v>
      </c>
      <c r="L33">
        <v>4864.6591799999997</v>
      </c>
      <c r="M33">
        <v>4802.8212890000004</v>
      </c>
      <c r="N33">
        <v>4739.4140619999998</v>
      </c>
      <c r="O33">
        <v>4684.7788090000004</v>
      </c>
      <c r="P33">
        <v>4646.6831050000001</v>
      </c>
      <c r="Q33">
        <v>4606.6586909999996</v>
      </c>
      <c r="R33">
        <v>4572.0830079999996</v>
      </c>
      <c r="S33">
        <v>4546.9648440000001</v>
      </c>
      <c r="T33">
        <v>4521.8164059999999</v>
      </c>
      <c r="U33">
        <v>4507.6464839999999</v>
      </c>
      <c r="V33">
        <v>4498.0512699999999</v>
      </c>
      <c r="W33">
        <v>4490.4604490000002</v>
      </c>
      <c r="X33">
        <v>4489.5615230000003</v>
      </c>
      <c r="Y33">
        <v>4492.7368159999996</v>
      </c>
      <c r="Z33">
        <v>4498.6596680000002</v>
      </c>
      <c r="AA33">
        <v>4504.6669920000004</v>
      </c>
      <c r="AB33">
        <v>4509.3803710000002</v>
      </c>
      <c r="AC33">
        <v>4511.908203</v>
      </c>
      <c r="AD33">
        <v>4519.439453</v>
      </c>
      <c r="AE33">
        <v>4527.9907229999999</v>
      </c>
      <c r="AF33">
        <v>4531.3125</v>
      </c>
      <c r="AG33">
        <v>4536.8085940000001</v>
      </c>
      <c r="AH33">
        <v>4555.8002930000002</v>
      </c>
      <c r="AI33" s="21">
        <v>-5.0000000000000001E-3</v>
      </c>
    </row>
    <row r="34" spans="1:35">
      <c r="A34" t="s">
        <v>277</v>
      </c>
      <c r="B34" t="s">
        <v>1329</v>
      </c>
      <c r="C34" t="s">
        <v>1328</v>
      </c>
      <c r="D34" t="s">
        <v>306</v>
      </c>
      <c r="F34">
        <v>51.344929</v>
      </c>
      <c r="G34">
        <v>51.773192999999999</v>
      </c>
      <c r="H34">
        <v>51.965775000000001</v>
      </c>
      <c r="I34">
        <v>52.061793999999999</v>
      </c>
      <c r="J34">
        <v>52.003608999999997</v>
      </c>
      <c r="K34">
        <v>51.453991000000002</v>
      </c>
      <c r="L34">
        <v>50.587242000000003</v>
      </c>
      <c r="M34">
        <v>49.357909999999997</v>
      </c>
      <c r="N34">
        <v>47.935226</v>
      </c>
      <c r="O34">
        <v>46.656028999999997</v>
      </c>
      <c r="P34">
        <v>45.774757000000001</v>
      </c>
      <c r="Q34">
        <v>45.265822999999997</v>
      </c>
      <c r="R34">
        <v>45.213749</v>
      </c>
      <c r="S34">
        <v>45.570152</v>
      </c>
      <c r="T34">
        <v>46.181812000000001</v>
      </c>
      <c r="U34">
        <v>47.148071000000002</v>
      </c>
      <c r="V34">
        <v>48.373516000000002</v>
      </c>
      <c r="W34">
        <v>49.850357000000002</v>
      </c>
      <c r="X34">
        <v>51.657871</v>
      </c>
      <c r="Y34">
        <v>53.784999999999997</v>
      </c>
      <c r="Z34">
        <v>56.128627999999999</v>
      </c>
      <c r="AA34">
        <v>58.653038000000002</v>
      </c>
      <c r="AB34">
        <v>61.322830000000003</v>
      </c>
      <c r="AC34">
        <v>64.089225999999996</v>
      </c>
      <c r="AD34">
        <v>67.060805999999999</v>
      </c>
      <c r="AE34">
        <v>70.195708999999994</v>
      </c>
      <c r="AF34">
        <v>73.347763</v>
      </c>
      <c r="AG34">
        <v>76.647514000000001</v>
      </c>
      <c r="AH34">
        <v>80.336478999999997</v>
      </c>
      <c r="AI34" s="21">
        <v>1.6E-2</v>
      </c>
    </row>
    <row r="35" spans="1:35">
      <c r="A35" t="s">
        <v>278</v>
      </c>
      <c r="B35" t="s">
        <v>1327</v>
      </c>
      <c r="C35" t="s">
        <v>1326</v>
      </c>
      <c r="D35" t="s">
        <v>306</v>
      </c>
      <c r="F35">
        <v>1.2452650000000001</v>
      </c>
      <c r="G35">
        <v>1.3861779999999999</v>
      </c>
      <c r="H35">
        <v>1.5248809999999999</v>
      </c>
      <c r="I35">
        <v>1.6560079999999999</v>
      </c>
      <c r="J35">
        <v>1.7862659999999999</v>
      </c>
      <c r="K35">
        <v>1.903707</v>
      </c>
      <c r="L35">
        <v>2.0105780000000002</v>
      </c>
      <c r="M35">
        <v>2.0996890000000001</v>
      </c>
      <c r="N35">
        <v>2.1804990000000002</v>
      </c>
      <c r="O35">
        <v>2.2604649999999999</v>
      </c>
      <c r="P35">
        <v>2.3478089999999998</v>
      </c>
      <c r="Q35">
        <v>2.4404729999999999</v>
      </c>
      <c r="R35">
        <v>2.5412210000000002</v>
      </c>
      <c r="S35">
        <v>2.6449829999999999</v>
      </c>
      <c r="T35">
        <v>2.752405</v>
      </c>
      <c r="U35">
        <v>2.87385</v>
      </c>
      <c r="V35">
        <v>3.004591</v>
      </c>
      <c r="W35">
        <v>3.1495850000000001</v>
      </c>
      <c r="X35">
        <v>3.3139080000000001</v>
      </c>
      <c r="Y35">
        <v>3.5006020000000002</v>
      </c>
      <c r="Z35">
        <v>3.7020719999999998</v>
      </c>
      <c r="AA35">
        <v>3.9170069999999999</v>
      </c>
      <c r="AB35">
        <v>4.1414160000000004</v>
      </c>
      <c r="AC35">
        <v>4.3768849999999997</v>
      </c>
      <c r="AD35">
        <v>4.632447</v>
      </c>
      <c r="AE35">
        <v>4.9017460000000002</v>
      </c>
      <c r="AF35">
        <v>5.1746309999999998</v>
      </c>
      <c r="AG35">
        <v>5.4474770000000001</v>
      </c>
      <c r="AH35">
        <v>5.7450359999999998</v>
      </c>
      <c r="AI35" s="21">
        <v>5.6000000000000001E-2</v>
      </c>
    </row>
    <row r="36" spans="1:35">
      <c r="A36" t="s">
        <v>275</v>
      </c>
      <c r="B36" t="s">
        <v>1325</v>
      </c>
      <c r="C36" t="s">
        <v>1324</v>
      </c>
      <c r="D36" t="s">
        <v>306</v>
      </c>
      <c r="F36">
        <v>1.575329</v>
      </c>
      <c r="G36">
        <v>1.59209</v>
      </c>
      <c r="H36">
        <v>1.542675</v>
      </c>
      <c r="I36">
        <v>1.6006830000000001</v>
      </c>
      <c r="J36">
        <v>1.6393420000000001</v>
      </c>
      <c r="K36">
        <v>1.678971</v>
      </c>
      <c r="L36">
        <v>1.7193179999999999</v>
      </c>
      <c r="M36">
        <v>1.762707</v>
      </c>
      <c r="N36">
        <v>1.813895</v>
      </c>
      <c r="O36">
        <v>1.879181</v>
      </c>
      <c r="P36">
        <v>1.9543600000000001</v>
      </c>
      <c r="Q36">
        <v>2.0339360000000002</v>
      </c>
      <c r="R36">
        <v>2.113308</v>
      </c>
      <c r="S36">
        <v>2.196958</v>
      </c>
      <c r="T36">
        <v>2.2686670000000002</v>
      </c>
      <c r="U36">
        <v>2.3534449999999998</v>
      </c>
      <c r="V36">
        <v>2.433783</v>
      </c>
      <c r="W36">
        <v>2.5157970000000001</v>
      </c>
      <c r="X36">
        <v>2.6119849999999998</v>
      </c>
      <c r="Y36">
        <v>2.7199399999999998</v>
      </c>
      <c r="Z36">
        <v>2.8330769999999998</v>
      </c>
      <c r="AA36">
        <v>2.961128</v>
      </c>
      <c r="AB36">
        <v>3.087059</v>
      </c>
      <c r="AC36">
        <v>3.2187969999999999</v>
      </c>
      <c r="AD36">
        <v>3.346063</v>
      </c>
      <c r="AE36">
        <v>3.488648</v>
      </c>
      <c r="AF36">
        <v>3.6174729999999999</v>
      </c>
      <c r="AG36">
        <v>3.75576</v>
      </c>
      <c r="AH36">
        <v>3.8951479999999998</v>
      </c>
      <c r="AI36" s="21">
        <v>3.3000000000000002E-2</v>
      </c>
    </row>
    <row r="37" spans="1:35">
      <c r="A37" t="s">
        <v>279</v>
      </c>
      <c r="B37" t="s">
        <v>1323</v>
      </c>
      <c r="C37" t="s">
        <v>1322</v>
      </c>
      <c r="D37" t="s">
        <v>306</v>
      </c>
      <c r="F37">
        <v>9.0132000000000004E-2</v>
      </c>
      <c r="G37">
        <v>0.10914600000000001</v>
      </c>
      <c r="H37">
        <v>0.14400499999999999</v>
      </c>
      <c r="I37">
        <v>0.16340499999999999</v>
      </c>
      <c r="J37">
        <v>0.180895</v>
      </c>
      <c r="K37">
        <v>0.19575699999999999</v>
      </c>
      <c r="L37">
        <v>0.20827399999999999</v>
      </c>
      <c r="M37">
        <v>0.21801599999999999</v>
      </c>
      <c r="N37">
        <v>0.225574</v>
      </c>
      <c r="O37">
        <v>0.231714</v>
      </c>
      <c r="P37">
        <v>0.23694499999999999</v>
      </c>
      <c r="Q37">
        <v>0.240285</v>
      </c>
      <c r="R37">
        <v>0.24247299999999999</v>
      </c>
      <c r="S37">
        <v>0.244232</v>
      </c>
      <c r="T37">
        <v>0.245169</v>
      </c>
      <c r="U37">
        <v>0.24673500000000001</v>
      </c>
      <c r="V37">
        <v>0.24945500000000001</v>
      </c>
      <c r="W37">
        <v>0.25267000000000001</v>
      </c>
      <c r="X37">
        <v>0.25714399999999998</v>
      </c>
      <c r="Y37">
        <v>0.26399899999999998</v>
      </c>
      <c r="Z37">
        <v>0.27311400000000002</v>
      </c>
      <c r="AA37">
        <v>0.28285100000000002</v>
      </c>
      <c r="AB37">
        <v>0.293846</v>
      </c>
      <c r="AC37">
        <v>0.30659700000000001</v>
      </c>
      <c r="AD37">
        <v>0.32178200000000001</v>
      </c>
      <c r="AE37">
        <v>0.33802500000000002</v>
      </c>
      <c r="AF37">
        <v>0.35486499999999999</v>
      </c>
      <c r="AG37">
        <v>0.37290400000000001</v>
      </c>
      <c r="AH37">
        <v>0.39289000000000002</v>
      </c>
      <c r="AI37" s="21">
        <v>5.3999999999999999E-2</v>
      </c>
    </row>
    <row r="38" spans="1:35">
      <c r="A38" t="s">
        <v>280</v>
      </c>
      <c r="B38" t="s">
        <v>1321</v>
      </c>
      <c r="C38" t="s">
        <v>1320</v>
      </c>
      <c r="D38" t="s">
        <v>306</v>
      </c>
      <c r="F38">
        <v>0</v>
      </c>
      <c r="G38">
        <v>0</v>
      </c>
      <c r="H38">
        <v>0.22972699999999999</v>
      </c>
      <c r="I38">
        <v>0.44725199999999998</v>
      </c>
      <c r="J38">
        <v>0.66231200000000001</v>
      </c>
      <c r="K38">
        <v>0.87751500000000004</v>
      </c>
      <c r="L38">
        <v>1.0912500000000001</v>
      </c>
      <c r="M38">
        <v>1.2990360000000001</v>
      </c>
      <c r="N38">
        <v>1.5006790000000001</v>
      </c>
      <c r="O38">
        <v>1.7007650000000001</v>
      </c>
      <c r="P38">
        <v>1.904776</v>
      </c>
      <c r="Q38">
        <v>2.1047159999999998</v>
      </c>
      <c r="R38">
        <v>2.3014619999999999</v>
      </c>
      <c r="S38">
        <v>2.4959410000000002</v>
      </c>
      <c r="T38">
        <v>2.6833969999999998</v>
      </c>
      <c r="U38">
        <v>2.8711519999999999</v>
      </c>
      <c r="V38">
        <v>3.0575350000000001</v>
      </c>
      <c r="W38">
        <v>3.245911</v>
      </c>
      <c r="X38">
        <v>3.4448439999999998</v>
      </c>
      <c r="Y38">
        <v>3.6585719999999999</v>
      </c>
      <c r="Z38">
        <v>3.886771</v>
      </c>
      <c r="AA38">
        <v>4.1203969999999996</v>
      </c>
      <c r="AB38">
        <v>4.3612700000000002</v>
      </c>
      <c r="AC38">
        <v>4.6121660000000002</v>
      </c>
      <c r="AD38">
        <v>4.8889959999999997</v>
      </c>
      <c r="AE38">
        <v>5.184831</v>
      </c>
      <c r="AF38">
        <v>5.4921150000000001</v>
      </c>
      <c r="AG38">
        <v>5.8197830000000002</v>
      </c>
      <c r="AH38">
        <v>6.1840799999999998</v>
      </c>
      <c r="AI38" t="s">
        <v>17</v>
      </c>
    </row>
    <row r="39" spans="1:35">
      <c r="A39" t="s">
        <v>284</v>
      </c>
      <c r="B39" t="s">
        <v>1319</v>
      </c>
      <c r="C39" t="s">
        <v>1318</v>
      </c>
      <c r="D39" t="s">
        <v>306</v>
      </c>
      <c r="F39">
        <v>481.38171399999999</v>
      </c>
      <c r="G39">
        <v>474.82238799999999</v>
      </c>
      <c r="H39">
        <v>494.12914999999998</v>
      </c>
      <c r="I39">
        <v>482.20422400000001</v>
      </c>
      <c r="J39">
        <v>461.88034099999999</v>
      </c>
      <c r="K39">
        <v>446.09524499999998</v>
      </c>
      <c r="L39">
        <v>439.745361</v>
      </c>
      <c r="M39">
        <v>444.52569599999998</v>
      </c>
      <c r="N39">
        <v>441.89193699999998</v>
      </c>
      <c r="O39">
        <v>443.42330900000002</v>
      </c>
      <c r="P39">
        <v>447.43722500000001</v>
      </c>
      <c r="Q39">
        <v>450.64798000000002</v>
      </c>
      <c r="R39">
        <v>452.66558800000001</v>
      </c>
      <c r="S39">
        <v>455.51504499999999</v>
      </c>
      <c r="T39">
        <v>455.89370700000001</v>
      </c>
      <c r="U39">
        <v>456.86227400000001</v>
      </c>
      <c r="V39">
        <v>458.27462800000001</v>
      </c>
      <c r="W39">
        <v>457.60876500000001</v>
      </c>
      <c r="X39">
        <v>458.12835699999999</v>
      </c>
      <c r="Y39">
        <v>461.673248</v>
      </c>
      <c r="Z39">
        <v>464.588348</v>
      </c>
      <c r="AA39">
        <v>464.93649299999998</v>
      </c>
      <c r="AB39">
        <v>464.922821</v>
      </c>
      <c r="AC39">
        <v>464.770691</v>
      </c>
      <c r="AD39">
        <v>465.76678500000003</v>
      </c>
      <c r="AE39">
        <v>468.15533399999998</v>
      </c>
      <c r="AF39">
        <v>471.33984400000003</v>
      </c>
      <c r="AG39">
        <v>472.59906000000001</v>
      </c>
      <c r="AH39">
        <v>475.72866800000003</v>
      </c>
      <c r="AI39" s="21">
        <v>0</v>
      </c>
    </row>
    <row r="40" spans="1:35">
      <c r="A40" t="s">
        <v>276</v>
      </c>
      <c r="B40" t="s">
        <v>1317</v>
      </c>
      <c r="C40" t="s">
        <v>1316</v>
      </c>
      <c r="D40" t="s">
        <v>306</v>
      </c>
      <c r="F40">
        <v>480.86654700000003</v>
      </c>
      <c r="G40">
        <v>473.79251099999999</v>
      </c>
      <c r="H40">
        <v>492.51501500000001</v>
      </c>
      <c r="I40">
        <v>480.10034200000001</v>
      </c>
      <c r="J40">
        <v>459.17535400000003</v>
      </c>
      <c r="K40">
        <v>442.59573399999999</v>
      </c>
      <c r="L40">
        <v>435.204926</v>
      </c>
      <c r="M40">
        <v>438.61608899999999</v>
      </c>
      <c r="N40">
        <v>434.49127199999998</v>
      </c>
      <c r="O40">
        <v>434.25302099999999</v>
      </c>
      <c r="P40">
        <v>435.99301100000002</v>
      </c>
      <c r="Q40">
        <v>436.48690800000003</v>
      </c>
      <c r="R40">
        <v>435.37204000000003</v>
      </c>
      <c r="S40">
        <v>434.60772700000001</v>
      </c>
      <c r="T40">
        <v>431.05429099999998</v>
      </c>
      <c r="U40">
        <v>427.65039100000001</v>
      </c>
      <c r="V40">
        <v>424.25372299999998</v>
      </c>
      <c r="W40">
        <v>418.55365</v>
      </c>
      <c r="X40">
        <v>413.58151199999998</v>
      </c>
      <c r="Y40">
        <v>410.946777</v>
      </c>
      <c r="Z40">
        <v>407.33846999999997</v>
      </c>
      <c r="AA40">
        <v>401.121399</v>
      </c>
      <c r="AB40">
        <v>394.29074100000003</v>
      </c>
      <c r="AC40">
        <v>387.06680299999999</v>
      </c>
      <c r="AD40">
        <v>380.52633700000001</v>
      </c>
      <c r="AE40">
        <v>373.70101899999997</v>
      </c>
      <c r="AF40">
        <v>367.609375</v>
      </c>
      <c r="AG40">
        <v>360.13336199999998</v>
      </c>
      <c r="AH40">
        <v>354.19946299999998</v>
      </c>
      <c r="AI40" s="21">
        <v>-1.0999999999999999E-2</v>
      </c>
    </row>
    <row r="41" spans="1:35">
      <c r="A41" t="s">
        <v>285</v>
      </c>
      <c r="B41" t="s">
        <v>1315</v>
      </c>
      <c r="C41" t="s">
        <v>1314</v>
      </c>
      <c r="D41" t="s">
        <v>306</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t="s">
        <v>17</v>
      </c>
    </row>
    <row r="42" spans="1:35">
      <c r="A42" t="s">
        <v>286</v>
      </c>
      <c r="B42" t="s">
        <v>1313</v>
      </c>
      <c r="C42" t="s">
        <v>1312</v>
      </c>
      <c r="D42" t="s">
        <v>306</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t="s">
        <v>17</v>
      </c>
    </row>
    <row r="43" spans="1:35">
      <c r="A43" t="s">
        <v>287</v>
      </c>
      <c r="B43" t="s">
        <v>1311</v>
      </c>
      <c r="C43" t="s">
        <v>1310</v>
      </c>
      <c r="D43" t="s">
        <v>306</v>
      </c>
      <c r="F43">
        <v>0.51516300000000004</v>
      </c>
      <c r="G43">
        <v>1.02989</v>
      </c>
      <c r="H43">
        <v>1.6141289999999999</v>
      </c>
      <c r="I43">
        <v>2.1038670000000002</v>
      </c>
      <c r="J43">
        <v>2.7049910000000001</v>
      </c>
      <c r="K43">
        <v>3.499511</v>
      </c>
      <c r="L43">
        <v>4.5404369999999998</v>
      </c>
      <c r="M43">
        <v>5.9096029999999997</v>
      </c>
      <c r="N43">
        <v>7.4006509999999999</v>
      </c>
      <c r="O43">
        <v>9.1702840000000005</v>
      </c>
      <c r="P43">
        <v>11.444215</v>
      </c>
      <c r="Q43">
        <v>14.161068</v>
      </c>
      <c r="R43">
        <v>17.293554</v>
      </c>
      <c r="S43">
        <v>20.907318</v>
      </c>
      <c r="T43">
        <v>24.839417000000001</v>
      </c>
      <c r="U43">
        <v>29.211893</v>
      </c>
      <c r="V43">
        <v>34.020896999999998</v>
      </c>
      <c r="W43">
        <v>39.055110999999997</v>
      </c>
      <c r="X43">
        <v>44.546832999999999</v>
      </c>
      <c r="Y43">
        <v>50.726470999999997</v>
      </c>
      <c r="Z43">
        <v>57.249889000000003</v>
      </c>
      <c r="AA43">
        <v>63.815086000000001</v>
      </c>
      <c r="AB43">
        <v>70.632087999999996</v>
      </c>
      <c r="AC43">
        <v>77.703888000000006</v>
      </c>
      <c r="AD43">
        <v>85.240448000000001</v>
      </c>
      <c r="AE43">
        <v>94.454329999999999</v>
      </c>
      <c r="AF43">
        <v>103.730484</v>
      </c>
      <c r="AG43">
        <v>112.465706</v>
      </c>
      <c r="AH43">
        <v>121.52919799999999</v>
      </c>
      <c r="AI43" s="21">
        <v>0.215</v>
      </c>
    </row>
    <row r="44" spans="1:35">
      <c r="A44" t="s">
        <v>30</v>
      </c>
      <c r="B44" t="s">
        <v>1309</v>
      </c>
      <c r="C44" t="s">
        <v>1308</v>
      </c>
      <c r="D44" t="s">
        <v>306</v>
      </c>
      <c r="F44">
        <v>98.239020999999994</v>
      </c>
      <c r="G44">
        <v>98.920753000000005</v>
      </c>
      <c r="H44">
        <v>98.114661999999996</v>
      </c>
      <c r="I44">
        <v>97.346069</v>
      </c>
      <c r="J44">
        <v>96.685867000000002</v>
      </c>
      <c r="K44">
        <v>95.823470999999998</v>
      </c>
      <c r="L44">
        <v>94.964698999999996</v>
      </c>
      <c r="M44">
        <v>93.890502999999995</v>
      </c>
      <c r="N44">
        <v>92.919189000000003</v>
      </c>
      <c r="O44">
        <v>92.029815999999997</v>
      </c>
      <c r="P44">
        <v>91.401107999999994</v>
      </c>
      <c r="Q44">
        <v>90.674225000000007</v>
      </c>
      <c r="R44">
        <v>89.934028999999995</v>
      </c>
      <c r="S44">
        <v>89.168869000000001</v>
      </c>
      <c r="T44">
        <v>88.333008000000007</v>
      </c>
      <c r="U44">
        <v>87.614966999999993</v>
      </c>
      <c r="V44">
        <v>86.833350999999993</v>
      </c>
      <c r="W44">
        <v>86.156693000000004</v>
      </c>
      <c r="X44">
        <v>85.473595000000003</v>
      </c>
      <c r="Y44">
        <v>84.846123000000006</v>
      </c>
      <c r="Z44">
        <v>84.273765999999995</v>
      </c>
      <c r="AA44">
        <v>83.705399</v>
      </c>
      <c r="AB44">
        <v>83.103454999999997</v>
      </c>
      <c r="AC44">
        <v>82.418205</v>
      </c>
      <c r="AD44">
        <v>81.856209000000007</v>
      </c>
      <c r="AE44">
        <v>81.249022999999994</v>
      </c>
      <c r="AF44">
        <v>80.573120000000003</v>
      </c>
      <c r="AG44">
        <v>79.990395000000007</v>
      </c>
      <c r="AH44">
        <v>79.592849999999999</v>
      </c>
      <c r="AI44" s="21">
        <v>-7.0000000000000001E-3</v>
      </c>
    </row>
    <row r="45" spans="1:35">
      <c r="A45" t="s">
        <v>276</v>
      </c>
      <c r="B45" t="s">
        <v>1307</v>
      </c>
      <c r="C45" t="s">
        <v>1306</v>
      </c>
      <c r="D45" t="s">
        <v>306</v>
      </c>
      <c r="F45">
        <v>95.724982999999995</v>
      </c>
      <c r="G45">
        <v>96.410872999999995</v>
      </c>
      <c r="H45">
        <v>95.648369000000002</v>
      </c>
      <c r="I45">
        <v>94.922400999999994</v>
      </c>
      <c r="J45">
        <v>94.299674999999993</v>
      </c>
      <c r="K45">
        <v>93.480141000000003</v>
      </c>
      <c r="L45">
        <v>92.663535999999993</v>
      </c>
      <c r="M45">
        <v>91.636002000000005</v>
      </c>
      <c r="N45">
        <v>90.709732000000002</v>
      </c>
      <c r="O45">
        <v>89.864052000000001</v>
      </c>
      <c r="P45">
        <v>89.271820000000005</v>
      </c>
      <c r="Q45">
        <v>88.583907999999994</v>
      </c>
      <c r="R45">
        <v>87.881882000000004</v>
      </c>
      <c r="S45">
        <v>87.154610000000005</v>
      </c>
      <c r="T45">
        <v>86.355025999999995</v>
      </c>
      <c r="U45">
        <v>85.672011999999995</v>
      </c>
      <c r="V45">
        <v>84.929305999999997</v>
      </c>
      <c r="W45">
        <v>84.290549999999996</v>
      </c>
      <c r="X45">
        <v>83.598647999999997</v>
      </c>
      <c r="Y45">
        <v>82.885955999999993</v>
      </c>
      <c r="Z45">
        <v>82.221778999999998</v>
      </c>
      <c r="AA45">
        <v>81.555756000000002</v>
      </c>
      <c r="AB45">
        <v>80.850998000000004</v>
      </c>
      <c r="AC45">
        <v>80.058989999999994</v>
      </c>
      <c r="AD45">
        <v>79.380050999999995</v>
      </c>
      <c r="AE45">
        <v>78.650115999999997</v>
      </c>
      <c r="AF45">
        <v>77.846335999999994</v>
      </c>
      <c r="AG45">
        <v>77.124741</v>
      </c>
      <c r="AH45">
        <v>76.572761999999997</v>
      </c>
      <c r="AI45" s="21">
        <v>-8.0000000000000002E-3</v>
      </c>
    </row>
    <row r="46" spans="1:35">
      <c r="A46" t="s">
        <v>288</v>
      </c>
      <c r="B46" t="s">
        <v>1305</v>
      </c>
      <c r="C46" t="s">
        <v>1304</v>
      </c>
      <c r="D46" t="s">
        <v>306</v>
      </c>
      <c r="F46">
        <v>1.875904</v>
      </c>
      <c r="G46">
        <v>1.8078829999999999</v>
      </c>
      <c r="H46">
        <v>1.7136819999999999</v>
      </c>
      <c r="I46">
        <v>1.621937</v>
      </c>
      <c r="J46">
        <v>1.5413140000000001</v>
      </c>
      <c r="K46">
        <v>1.455168</v>
      </c>
      <c r="L46">
        <v>1.371278</v>
      </c>
      <c r="M46">
        <v>1.2863249999999999</v>
      </c>
      <c r="N46">
        <v>1.1999850000000001</v>
      </c>
      <c r="O46">
        <v>1.1125510000000001</v>
      </c>
      <c r="P46">
        <v>1.0315639999999999</v>
      </c>
      <c r="Q46">
        <v>0.94839600000000002</v>
      </c>
      <c r="R46">
        <v>0.86860599999999999</v>
      </c>
      <c r="S46">
        <v>0.79182399999999997</v>
      </c>
      <c r="T46">
        <v>0.72530600000000001</v>
      </c>
      <c r="U46">
        <v>0.65481</v>
      </c>
      <c r="V46">
        <v>0.57531900000000002</v>
      </c>
      <c r="W46">
        <v>0.49192999999999998</v>
      </c>
      <c r="X46">
        <v>0.417902</v>
      </c>
      <c r="Y46">
        <v>0.41475499999999998</v>
      </c>
      <c r="Z46">
        <v>0.41187499999999999</v>
      </c>
      <c r="AA46">
        <v>0.40901599999999999</v>
      </c>
      <c r="AB46">
        <v>0.40599000000000002</v>
      </c>
      <c r="AC46">
        <v>0.40254800000000002</v>
      </c>
      <c r="AD46">
        <v>0.39974100000000001</v>
      </c>
      <c r="AE46">
        <v>0.396733</v>
      </c>
      <c r="AF46">
        <v>0.39335599999999998</v>
      </c>
      <c r="AG46">
        <v>0.39045299999999999</v>
      </c>
      <c r="AH46">
        <v>0.38850499999999999</v>
      </c>
      <c r="AI46" s="21">
        <v>-5.5E-2</v>
      </c>
    </row>
    <row r="47" spans="1:35">
      <c r="A47" t="s">
        <v>286</v>
      </c>
      <c r="B47" t="s">
        <v>1303</v>
      </c>
      <c r="C47" t="s">
        <v>1302</v>
      </c>
      <c r="D47" t="s">
        <v>306</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t="s">
        <v>17</v>
      </c>
    </row>
    <row r="48" spans="1:35">
      <c r="A48" t="s">
        <v>287</v>
      </c>
      <c r="B48" t="s">
        <v>1301</v>
      </c>
      <c r="C48" t="s">
        <v>1300</v>
      </c>
      <c r="D48" t="s">
        <v>306</v>
      </c>
      <c r="F48">
        <v>0.638131</v>
      </c>
      <c r="G48">
        <v>0.70199999999999996</v>
      </c>
      <c r="H48">
        <v>0.75260700000000003</v>
      </c>
      <c r="I48">
        <v>0.80172500000000002</v>
      </c>
      <c r="J48">
        <v>0.84487999999999996</v>
      </c>
      <c r="K48">
        <v>0.88815699999999997</v>
      </c>
      <c r="L48">
        <v>0.92988400000000004</v>
      </c>
      <c r="M48">
        <v>0.96818099999999996</v>
      </c>
      <c r="N48">
        <v>1.009477</v>
      </c>
      <c r="O48">
        <v>1.053212</v>
      </c>
      <c r="P48">
        <v>1.0977250000000001</v>
      </c>
      <c r="Q48">
        <v>1.1419189999999999</v>
      </c>
      <c r="R48">
        <v>1.183538</v>
      </c>
      <c r="S48">
        <v>1.2224330000000001</v>
      </c>
      <c r="T48">
        <v>1.252678</v>
      </c>
      <c r="U48">
        <v>1.2881480000000001</v>
      </c>
      <c r="V48">
        <v>1.3287279999999999</v>
      </c>
      <c r="W48">
        <v>1.374214</v>
      </c>
      <c r="X48">
        <v>1.4570460000000001</v>
      </c>
      <c r="Y48">
        <v>1.54541</v>
      </c>
      <c r="Z48">
        <v>1.640115</v>
      </c>
      <c r="AA48">
        <v>1.7406269999999999</v>
      </c>
      <c r="AB48">
        <v>1.8464670000000001</v>
      </c>
      <c r="AC48">
        <v>1.956663</v>
      </c>
      <c r="AD48">
        <v>2.0764179999999999</v>
      </c>
      <c r="AE48">
        <v>2.2021730000000002</v>
      </c>
      <c r="AF48">
        <v>2.3334239999999999</v>
      </c>
      <c r="AG48">
        <v>2.4752070000000002</v>
      </c>
      <c r="AH48">
        <v>2.6315870000000001</v>
      </c>
      <c r="AI48" s="21">
        <v>5.1999999999999998E-2</v>
      </c>
    </row>
    <row r="49" spans="1:35">
      <c r="A49" t="s">
        <v>29</v>
      </c>
      <c r="B49" t="s">
        <v>1299</v>
      </c>
      <c r="C49" t="s">
        <v>1298</v>
      </c>
      <c r="D49" t="s">
        <v>306</v>
      </c>
      <c r="F49">
        <v>935.02770999999996</v>
      </c>
      <c r="G49">
        <v>881.83038299999998</v>
      </c>
      <c r="H49">
        <v>877.72729500000003</v>
      </c>
      <c r="I49">
        <v>878.60412599999995</v>
      </c>
      <c r="J49">
        <v>871.25030500000003</v>
      </c>
      <c r="K49">
        <v>868.44872999999995</v>
      </c>
      <c r="L49">
        <v>862.68933100000004</v>
      </c>
      <c r="M49">
        <v>859.14196800000002</v>
      </c>
      <c r="N49">
        <v>856.63439900000003</v>
      </c>
      <c r="O49">
        <v>857.13647500000002</v>
      </c>
      <c r="P49">
        <v>857.43701199999998</v>
      </c>
      <c r="Q49">
        <v>858.00024399999995</v>
      </c>
      <c r="R49">
        <v>857.76019299999996</v>
      </c>
      <c r="S49">
        <v>858.217896</v>
      </c>
      <c r="T49">
        <v>857.54724099999999</v>
      </c>
      <c r="U49">
        <v>857.61346400000002</v>
      </c>
      <c r="V49">
        <v>857.63464399999998</v>
      </c>
      <c r="W49">
        <v>857.34979199999998</v>
      </c>
      <c r="X49">
        <v>857.24542199999996</v>
      </c>
      <c r="Y49">
        <v>857.30096400000002</v>
      </c>
      <c r="Z49">
        <v>857.82971199999997</v>
      </c>
      <c r="AA49">
        <v>857.81982400000004</v>
      </c>
      <c r="AB49">
        <v>858.04791299999999</v>
      </c>
      <c r="AC49">
        <v>858.06762700000002</v>
      </c>
      <c r="AD49">
        <v>860.63342299999999</v>
      </c>
      <c r="AE49">
        <v>860.92425500000002</v>
      </c>
      <c r="AF49">
        <v>859.83441200000004</v>
      </c>
      <c r="AG49">
        <v>859.12170400000002</v>
      </c>
      <c r="AH49">
        <v>858.094604</v>
      </c>
      <c r="AI49" s="21">
        <v>-3.0000000000000001E-3</v>
      </c>
    </row>
    <row r="50" spans="1:35">
      <c r="A50" t="s">
        <v>276</v>
      </c>
      <c r="B50" t="s">
        <v>1297</v>
      </c>
      <c r="C50" t="s">
        <v>1296</v>
      </c>
      <c r="D50" t="s">
        <v>306</v>
      </c>
      <c r="F50">
        <v>222.93867499999999</v>
      </c>
      <c r="G50">
        <v>318.21374500000002</v>
      </c>
      <c r="H50">
        <v>318.50683600000002</v>
      </c>
      <c r="I50">
        <v>321.42748999999998</v>
      </c>
      <c r="J50">
        <v>326.40893599999998</v>
      </c>
      <c r="K50">
        <v>331.75039700000002</v>
      </c>
      <c r="L50">
        <v>339.13262900000001</v>
      </c>
      <c r="M50">
        <v>343.65380900000002</v>
      </c>
      <c r="N50">
        <v>348.44000199999999</v>
      </c>
      <c r="O50">
        <v>348.61184700000001</v>
      </c>
      <c r="P50">
        <v>349.93618800000002</v>
      </c>
      <c r="Q50">
        <v>351.71850599999999</v>
      </c>
      <c r="R50">
        <v>354.40063500000002</v>
      </c>
      <c r="S50">
        <v>355.17700200000002</v>
      </c>
      <c r="T50">
        <v>356.67022700000001</v>
      </c>
      <c r="U50">
        <v>356.87670900000001</v>
      </c>
      <c r="V50">
        <v>358.82894900000002</v>
      </c>
      <c r="W50">
        <v>358.93920900000001</v>
      </c>
      <c r="X50">
        <v>360.572205</v>
      </c>
      <c r="Y50">
        <v>361.26196299999998</v>
      </c>
      <c r="Z50">
        <v>361.28478999999999</v>
      </c>
      <c r="AA50">
        <v>360.64623999999998</v>
      </c>
      <c r="AB50">
        <v>360.38775600000002</v>
      </c>
      <c r="AC50">
        <v>360.05560300000002</v>
      </c>
      <c r="AD50">
        <v>358.46176100000002</v>
      </c>
      <c r="AE50">
        <v>357.26376299999998</v>
      </c>
      <c r="AF50">
        <v>357.07412699999998</v>
      </c>
      <c r="AG50">
        <v>355.22808800000001</v>
      </c>
      <c r="AH50">
        <v>354.51147500000002</v>
      </c>
      <c r="AI50" s="21">
        <v>1.7000000000000001E-2</v>
      </c>
    </row>
    <row r="51" spans="1:35">
      <c r="A51" t="s">
        <v>288</v>
      </c>
      <c r="B51" t="s">
        <v>1295</v>
      </c>
      <c r="C51" t="s">
        <v>1294</v>
      </c>
      <c r="D51" t="s">
        <v>306</v>
      </c>
      <c r="F51">
        <v>685.66516100000001</v>
      </c>
      <c r="G51">
        <v>532.149719</v>
      </c>
      <c r="H51">
        <v>519.35320999999999</v>
      </c>
      <c r="I51">
        <v>520.34844999999996</v>
      </c>
      <c r="J51">
        <v>497.46441700000003</v>
      </c>
      <c r="K51">
        <v>487.75363199999998</v>
      </c>
      <c r="L51">
        <v>469.75631700000002</v>
      </c>
      <c r="M51">
        <v>458.26986699999998</v>
      </c>
      <c r="N51">
        <v>449.82733200000001</v>
      </c>
      <c r="O51">
        <v>449.95632899999998</v>
      </c>
      <c r="P51">
        <v>449.27517699999999</v>
      </c>
      <c r="Q51">
        <v>449.44375600000001</v>
      </c>
      <c r="R51">
        <v>447.34497099999999</v>
      </c>
      <c r="S51">
        <v>447.23684700000001</v>
      </c>
      <c r="T51">
        <v>444.02316300000001</v>
      </c>
      <c r="U51">
        <v>442.96899400000001</v>
      </c>
      <c r="V51">
        <v>441.815674</v>
      </c>
      <c r="W51">
        <v>439.63165300000003</v>
      </c>
      <c r="X51">
        <v>437.97662400000002</v>
      </c>
      <c r="Y51">
        <v>436.76757800000001</v>
      </c>
      <c r="Z51">
        <v>436.80938700000002</v>
      </c>
      <c r="AA51">
        <v>435.24386600000003</v>
      </c>
      <c r="AB51">
        <v>434.29315200000002</v>
      </c>
      <c r="AC51">
        <v>432.733093</v>
      </c>
      <c r="AD51">
        <v>438.45755000000003</v>
      </c>
      <c r="AE51">
        <v>437.70047</v>
      </c>
      <c r="AF51">
        <v>432.92089800000002</v>
      </c>
      <c r="AG51">
        <v>429.24749800000001</v>
      </c>
      <c r="AH51">
        <v>424.56079099999999</v>
      </c>
      <c r="AI51" s="21">
        <v>-1.7000000000000001E-2</v>
      </c>
    </row>
    <row r="52" spans="1:35">
      <c r="A52" t="s">
        <v>286</v>
      </c>
      <c r="B52" t="s">
        <v>1293</v>
      </c>
      <c r="C52" t="s">
        <v>1292</v>
      </c>
      <c r="D52" t="s">
        <v>306</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17</v>
      </c>
    </row>
    <row r="53" spans="1:35">
      <c r="A53" t="s">
        <v>287</v>
      </c>
      <c r="B53" t="s">
        <v>1291</v>
      </c>
      <c r="C53" t="s">
        <v>1290</v>
      </c>
      <c r="D53" t="s">
        <v>306</v>
      </c>
      <c r="F53">
        <v>26.423862</v>
      </c>
      <c r="G53">
        <v>31.466925</v>
      </c>
      <c r="H53">
        <v>39.867241</v>
      </c>
      <c r="I53">
        <v>36.828189999999999</v>
      </c>
      <c r="J53">
        <v>47.376953</v>
      </c>
      <c r="K53">
        <v>48.944679000000001</v>
      </c>
      <c r="L53">
        <v>53.800423000000002</v>
      </c>
      <c r="M53">
        <v>57.218277</v>
      </c>
      <c r="N53">
        <v>58.367088000000003</v>
      </c>
      <c r="O53">
        <v>58.568268000000003</v>
      </c>
      <c r="P53">
        <v>58.225639000000001</v>
      </c>
      <c r="Q53">
        <v>56.838042999999999</v>
      </c>
      <c r="R53">
        <v>56.014595</v>
      </c>
      <c r="S53">
        <v>55.804080999999996</v>
      </c>
      <c r="T53">
        <v>56.853912000000001</v>
      </c>
      <c r="U53">
        <v>57.767783999999999</v>
      </c>
      <c r="V53">
        <v>56.989986000000002</v>
      </c>
      <c r="W53">
        <v>58.778945999999998</v>
      </c>
      <c r="X53">
        <v>58.696617000000003</v>
      </c>
      <c r="Y53">
        <v>59.2714</v>
      </c>
      <c r="Z53">
        <v>59.735518999999996</v>
      </c>
      <c r="AA53">
        <v>61.929656999999999</v>
      </c>
      <c r="AB53">
        <v>63.367027</v>
      </c>
      <c r="AC53">
        <v>65.278946000000005</v>
      </c>
      <c r="AD53">
        <v>63.714081</v>
      </c>
      <c r="AE53">
        <v>65.960021999999995</v>
      </c>
      <c r="AF53">
        <v>69.839432000000002</v>
      </c>
      <c r="AG53">
        <v>74.646148999999994</v>
      </c>
      <c r="AH53">
        <v>79.022368999999998</v>
      </c>
      <c r="AI53" s="21">
        <v>0.04</v>
      </c>
    </row>
    <row r="54" spans="1:35">
      <c r="A54" t="s">
        <v>195</v>
      </c>
      <c r="B54" t="s">
        <v>1289</v>
      </c>
      <c r="C54" t="s">
        <v>1288</v>
      </c>
      <c r="D54" t="s">
        <v>306</v>
      </c>
      <c r="F54">
        <v>2802.8073730000001</v>
      </c>
      <c r="G54">
        <v>3008.1679690000001</v>
      </c>
      <c r="H54">
        <v>3051.2026369999999</v>
      </c>
      <c r="I54">
        <v>3057.110596</v>
      </c>
      <c r="J54">
        <v>3095.898193</v>
      </c>
      <c r="K54">
        <v>3134.226807</v>
      </c>
      <c r="L54">
        <v>3164.5515140000002</v>
      </c>
      <c r="M54">
        <v>3187.108154</v>
      </c>
      <c r="N54">
        <v>3202.938232</v>
      </c>
      <c r="O54">
        <v>3218.7827149999998</v>
      </c>
      <c r="P54">
        <v>3243.936279</v>
      </c>
      <c r="Q54">
        <v>3270.4479980000001</v>
      </c>
      <c r="R54">
        <v>3294.4030760000001</v>
      </c>
      <c r="S54">
        <v>3322.9240719999998</v>
      </c>
      <c r="T54">
        <v>3359.8247070000002</v>
      </c>
      <c r="U54">
        <v>3403.8945309999999</v>
      </c>
      <c r="V54">
        <v>3450.171875</v>
      </c>
      <c r="W54">
        <v>3498.4882809999999</v>
      </c>
      <c r="X54">
        <v>3554.6437989999999</v>
      </c>
      <c r="Y54">
        <v>3608.4033199999999</v>
      </c>
      <c r="Z54">
        <v>3663.0974120000001</v>
      </c>
      <c r="AA54">
        <v>3718.6245119999999</v>
      </c>
      <c r="AB54">
        <v>3774.0097660000001</v>
      </c>
      <c r="AC54">
        <v>3827.9187010000001</v>
      </c>
      <c r="AD54">
        <v>3880.4333499999998</v>
      </c>
      <c r="AE54">
        <v>3936.7380370000001</v>
      </c>
      <c r="AF54">
        <v>3993.6040039999998</v>
      </c>
      <c r="AG54">
        <v>4049.650635</v>
      </c>
      <c r="AH54">
        <v>4112.1577150000003</v>
      </c>
      <c r="AI54" s="21">
        <v>1.4E-2</v>
      </c>
    </row>
    <row r="55" spans="1:35">
      <c r="A55" t="s">
        <v>289</v>
      </c>
      <c r="B55" t="s">
        <v>1287</v>
      </c>
      <c r="C55" t="s">
        <v>1286</v>
      </c>
      <c r="D55" t="s">
        <v>306</v>
      </c>
      <c r="F55">
        <v>2780.3857419999999</v>
      </c>
      <c r="G55">
        <v>2985.7573240000002</v>
      </c>
      <c r="H55">
        <v>3028.8010250000002</v>
      </c>
      <c r="I55">
        <v>3034.7165530000002</v>
      </c>
      <c r="J55">
        <v>3073.5104980000001</v>
      </c>
      <c r="K55">
        <v>3111.8442380000001</v>
      </c>
      <c r="L55">
        <v>3142.173096</v>
      </c>
      <c r="M55">
        <v>3164.733154</v>
      </c>
      <c r="N55">
        <v>3180.5661620000001</v>
      </c>
      <c r="O55">
        <v>3196.413086</v>
      </c>
      <c r="P55">
        <v>3221.5686040000001</v>
      </c>
      <c r="Q55">
        <v>3248.0820309999999</v>
      </c>
      <c r="R55">
        <v>3272.0385740000002</v>
      </c>
      <c r="S55">
        <v>3300.560547</v>
      </c>
      <c r="T55">
        <v>3337.4621579999998</v>
      </c>
      <c r="U55">
        <v>3381.5327149999998</v>
      </c>
      <c r="V55">
        <v>3427.8107909999999</v>
      </c>
      <c r="W55">
        <v>3476.1276859999998</v>
      </c>
      <c r="X55">
        <v>3532.2836910000001</v>
      </c>
      <c r="Y55">
        <v>3586.0437010000001</v>
      </c>
      <c r="Z55">
        <v>3640.7380370000001</v>
      </c>
      <c r="AA55">
        <v>3696.2653810000002</v>
      </c>
      <c r="AB55">
        <v>3751.6508789999998</v>
      </c>
      <c r="AC55">
        <v>3805.5598140000002</v>
      </c>
      <c r="AD55">
        <v>3858.0747070000002</v>
      </c>
      <c r="AE55">
        <v>3914.3793949999999</v>
      </c>
      <c r="AF55">
        <v>3971.2456050000001</v>
      </c>
      <c r="AG55">
        <v>4027.2922359999998</v>
      </c>
      <c r="AH55">
        <v>4089.7993160000001</v>
      </c>
      <c r="AI55" s="21">
        <v>1.4E-2</v>
      </c>
    </row>
    <row r="56" spans="1:35">
      <c r="A56" t="s">
        <v>290</v>
      </c>
      <c r="B56" t="s">
        <v>1285</v>
      </c>
      <c r="C56" t="s">
        <v>1284</v>
      </c>
      <c r="D56" t="s">
        <v>306</v>
      </c>
      <c r="F56">
        <v>22.421617999999999</v>
      </c>
      <c r="G56">
        <v>22.410634999999999</v>
      </c>
      <c r="H56">
        <v>22.401547999999998</v>
      </c>
      <c r="I56">
        <v>22.394031999999999</v>
      </c>
      <c r="J56">
        <v>22.387812</v>
      </c>
      <c r="K56">
        <v>22.382666</v>
      </c>
      <c r="L56">
        <v>22.378406999999999</v>
      </c>
      <c r="M56">
        <v>22.374884000000002</v>
      </c>
      <c r="N56">
        <v>22.371969</v>
      </c>
      <c r="O56">
        <v>22.369558000000001</v>
      </c>
      <c r="P56">
        <v>22.367563000000001</v>
      </c>
      <c r="Q56">
        <v>22.365911000000001</v>
      </c>
      <c r="R56">
        <v>22.364546000000001</v>
      </c>
      <c r="S56">
        <v>22.363416999999998</v>
      </c>
      <c r="T56">
        <v>22.362480000000001</v>
      </c>
      <c r="U56">
        <v>22.361708</v>
      </c>
      <c r="V56">
        <v>22.361066999999998</v>
      </c>
      <c r="W56">
        <v>22.360537999999998</v>
      </c>
      <c r="X56">
        <v>22.360099999999999</v>
      </c>
      <c r="Y56">
        <v>22.359736999999999</v>
      </c>
      <c r="Z56">
        <v>22.359438000000001</v>
      </c>
      <c r="AA56">
        <v>22.359190000000002</v>
      </c>
      <c r="AB56">
        <v>22.358984</v>
      </c>
      <c r="AC56">
        <v>22.358813999999999</v>
      </c>
      <c r="AD56">
        <v>22.358673</v>
      </c>
      <c r="AE56">
        <v>22.358557000000001</v>
      </c>
      <c r="AF56">
        <v>22.358460999999998</v>
      </c>
      <c r="AG56">
        <v>22.358381000000001</v>
      </c>
      <c r="AH56">
        <v>22.358315000000001</v>
      </c>
      <c r="AI56" s="21">
        <v>0</v>
      </c>
    </row>
    <row r="57" spans="1:35">
      <c r="A57" t="s">
        <v>194</v>
      </c>
      <c r="B57" t="s">
        <v>1283</v>
      </c>
      <c r="C57" t="s">
        <v>1282</v>
      </c>
      <c r="D57" t="s">
        <v>306</v>
      </c>
      <c r="F57">
        <v>430.83187900000001</v>
      </c>
      <c r="G57">
        <v>433.13122600000003</v>
      </c>
      <c r="H57">
        <v>433.96752900000001</v>
      </c>
      <c r="I57">
        <v>434.62820399999998</v>
      </c>
      <c r="J57">
        <v>435.16168199999998</v>
      </c>
      <c r="K57">
        <v>435.947113</v>
      </c>
      <c r="L57">
        <v>436.50567599999999</v>
      </c>
      <c r="M57">
        <v>436.95120200000002</v>
      </c>
      <c r="N57">
        <v>437.33203099999997</v>
      </c>
      <c r="O57">
        <v>437.57638500000002</v>
      </c>
      <c r="P57">
        <v>437.74392699999999</v>
      </c>
      <c r="Q57">
        <v>437.826752</v>
      </c>
      <c r="R57">
        <v>437.85824600000001</v>
      </c>
      <c r="S57">
        <v>437.879456</v>
      </c>
      <c r="T57">
        <v>438.00381499999997</v>
      </c>
      <c r="U57">
        <v>438.20288099999999</v>
      </c>
      <c r="V57">
        <v>438.41198700000001</v>
      </c>
      <c r="W57">
        <v>438.63055400000002</v>
      </c>
      <c r="X57">
        <v>438.85791</v>
      </c>
      <c r="Y57">
        <v>439.09307899999999</v>
      </c>
      <c r="Z57">
        <v>439.33535799999999</v>
      </c>
      <c r="AA57">
        <v>439.584137</v>
      </c>
      <c r="AB57">
        <v>439.83880599999998</v>
      </c>
      <c r="AC57">
        <v>440.09887700000002</v>
      </c>
      <c r="AD57">
        <v>440.36389200000002</v>
      </c>
      <c r="AE57">
        <v>440.63324</v>
      </c>
      <c r="AF57">
        <v>440.906677</v>
      </c>
      <c r="AG57">
        <v>441.18383799999998</v>
      </c>
      <c r="AH57">
        <v>441.46450800000002</v>
      </c>
      <c r="AI57" s="21">
        <v>1E-3</v>
      </c>
    </row>
    <row r="58" spans="1:35">
      <c r="A58" t="s">
        <v>291</v>
      </c>
      <c r="B58" t="s">
        <v>1281</v>
      </c>
      <c r="C58" t="s">
        <v>1280</v>
      </c>
      <c r="D58" t="s">
        <v>306</v>
      </c>
      <c r="F58">
        <v>334.448914</v>
      </c>
      <c r="G58">
        <v>336.233856</v>
      </c>
      <c r="H58">
        <v>336.88305700000001</v>
      </c>
      <c r="I58">
        <v>337.39593500000001</v>
      </c>
      <c r="J58">
        <v>337.81005900000002</v>
      </c>
      <c r="K58">
        <v>338.41980000000001</v>
      </c>
      <c r="L58">
        <v>338.85339399999998</v>
      </c>
      <c r="M58">
        <v>339.19924900000001</v>
      </c>
      <c r="N58">
        <v>339.49490400000002</v>
      </c>
      <c r="O58">
        <v>339.68457000000001</v>
      </c>
      <c r="P58">
        <v>339.81463600000001</v>
      </c>
      <c r="Q58">
        <v>339.87893700000001</v>
      </c>
      <c r="R58">
        <v>339.90338100000002</v>
      </c>
      <c r="S58">
        <v>339.91986100000003</v>
      </c>
      <c r="T58">
        <v>340.01638800000001</v>
      </c>
      <c r="U58">
        <v>340.170929</v>
      </c>
      <c r="V58">
        <v>340.33325200000002</v>
      </c>
      <c r="W58">
        <v>340.50292999999999</v>
      </c>
      <c r="X58">
        <v>340.67941300000001</v>
      </c>
      <c r="Y58">
        <v>340.86196899999999</v>
      </c>
      <c r="Z58">
        <v>341.050049</v>
      </c>
      <c r="AA58">
        <v>341.24316399999998</v>
      </c>
      <c r="AB58">
        <v>341.44085699999999</v>
      </c>
      <c r="AC58">
        <v>341.64276100000001</v>
      </c>
      <c r="AD58">
        <v>341.84848</v>
      </c>
      <c r="AE58">
        <v>342.05758700000001</v>
      </c>
      <c r="AF58">
        <v>342.269836</v>
      </c>
      <c r="AG58">
        <v>342.48501599999997</v>
      </c>
      <c r="AH58">
        <v>342.70288099999999</v>
      </c>
      <c r="AI58" s="21">
        <v>1E-3</v>
      </c>
    </row>
    <row r="59" spans="1:35">
      <c r="A59" t="s">
        <v>285</v>
      </c>
      <c r="B59" t="s">
        <v>1279</v>
      </c>
      <c r="C59" t="s">
        <v>1278</v>
      </c>
      <c r="D59" t="s">
        <v>306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t="s">
        <v>17</v>
      </c>
    </row>
    <row r="60" spans="1:35">
      <c r="A60" t="s">
        <v>292</v>
      </c>
      <c r="B60" t="s">
        <v>1277</v>
      </c>
      <c r="C60" t="s">
        <v>1276</v>
      </c>
      <c r="D60" t="s">
        <v>306</v>
      </c>
      <c r="F60">
        <v>96.382973000000007</v>
      </c>
      <c r="G60">
        <v>96.897368999999998</v>
      </c>
      <c r="H60">
        <v>97.084457</v>
      </c>
      <c r="I60">
        <v>97.232269000000002</v>
      </c>
      <c r="J60">
        <v>97.351607999999999</v>
      </c>
      <c r="K60">
        <v>97.527321000000001</v>
      </c>
      <c r="L60">
        <v>97.652275000000003</v>
      </c>
      <c r="M60">
        <v>97.751960999999994</v>
      </c>
      <c r="N60">
        <v>97.837142999999998</v>
      </c>
      <c r="O60">
        <v>97.891814999999994</v>
      </c>
      <c r="P60">
        <v>97.929291000000006</v>
      </c>
      <c r="Q60">
        <v>97.947815000000006</v>
      </c>
      <c r="R60">
        <v>97.954857000000004</v>
      </c>
      <c r="S60">
        <v>97.959594999999993</v>
      </c>
      <c r="T60">
        <v>97.987419000000003</v>
      </c>
      <c r="U60">
        <v>98.031966999999995</v>
      </c>
      <c r="V60">
        <v>98.078743000000003</v>
      </c>
      <c r="W60">
        <v>98.12764</v>
      </c>
      <c r="X60">
        <v>98.178512999999995</v>
      </c>
      <c r="Y60">
        <v>98.231116999999998</v>
      </c>
      <c r="Z60">
        <v>98.285308999999998</v>
      </c>
      <c r="AA60">
        <v>98.340964999999997</v>
      </c>
      <c r="AB60">
        <v>98.397942</v>
      </c>
      <c r="AC60">
        <v>98.456130999999999</v>
      </c>
      <c r="AD60">
        <v>98.515411</v>
      </c>
      <c r="AE60">
        <v>98.575667999999993</v>
      </c>
      <c r="AF60">
        <v>98.636825999999999</v>
      </c>
      <c r="AG60">
        <v>98.698836999999997</v>
      </c>
      <c r="AH60">
        <v>98.761627000000004</v>
      </c>
      <c r="AI60" s="21">
        <v>1E-3</v>
      </c>
    </row>
    <row r="61" spans="1:35">
      <c r="A61" t="s">
        <v>193</v>
      </c>
      <c r="B61" t="s">
        <v>1275</v>
      </c>
      <c r="C61" t="s">
        <v>1274</v>
      </c>
      <c r="D61" t="s">
        <v>306</v>
      </c>
      <c r="F61">
        <v>210.97721899999999</v>
      </c>
      <c r="G61">
        <v>220.80746500000001</v>
      </c>
      <c r="H61">
        <v>225.15119899999999</v>
      </c>
      <c r="I61">
        <v>225.93090799999999</v>
      </c>
      <c r="J61">
        <v>226.441757</v>
      </c>
      <c r="K61">
        <v>226.74642900000001</v>
      </c>
      <c r="L61">
        <v>226.787048</v>
      </c>
      <c r="M61">
        <v>226.390717</v>
      </c>
      <c r="N61">
        <v>225.62441999999999</v>
      </c>
      <c r="O61">
        <v>224.46057099999999</v>
      </c>
      <c r="P61">
        <v>223.250336</v>
      </c>
      <c r="Q61">
        <v>223.04595900000001</v>
      </c>
      <c r="R61">
        <v>222.35723899999999</v>
      </c>
      <c r="S61">
        <v>221.455566</v>
      </c>
      <c r="T61">
        <v>220.40602100000001</v>
      </c>
      <c r="U61">
        <v>218.77555799999999</v>
      </c>
      <c r="V61">
        <v>217.16113300000001</v>
      </c>
      <c r="W61">
        <v>215.39122</v>
      </c>
      <c r="X61">
        <v>213.471802</v>
      </c>
      <c r="Y61">
        <v>211.40820299999999</v>
      </c>
      <c r="Z61">
        <v>209.23976099999999</v>
      </c>
      <c r="AA61">
        <v>206.76431299999999</v>
      </c>
      <c r="AB61">
        <v>204.38597100000001</v>
      </c>
      <c r="AC61">
        <v>201.858643</v>
      </c>
      <c r="AD61">
        <v>199.42544599999999</v>
      </c>
      <c r="AE61">
        <v>196.48846399999999</v>
      </c>
      <c r="AF61">
        <v>193.40808100000001</v>
      </c>
      <c r="AG61">
        <v>189.779068</v>
      </c>
      <c r="AH61">
        <v>186.44667100000001</v>
      </c>
      <c r="AI61" s="21">
        <v>-4.0000000000000001E-3</v>
      </c>
    </row>
    <row r="62" spans="1:35">
      <c r="A62" t="s">
        <v>293</v>
      </c>
      <c r="B62" t="s">
        <v>1273</v>
      </c>
      <c r="C62" t="s">
        <v>1272</v>
      </c>
      <c r="D62" t="s">
        <v>306</v>
      </c>
      <c r="F62">
        <v>92.212233999999995</v>
      </c>
      <c r="G62">
        <v>95.837829999999997</v>
      </c>
      <c r="H62">
        <v>98.320953000000003</v>
      </c>
      <c r="I62">
        <v>98.870079000000004</v>
      </c>
      <c r="J62">
        <v>99.844643000000005</v>
      </c>
      <c r="K62">
        <v>100.614418</v>
      </c>
      <c r="L62">
        <v>101.247078</v>
      </c>
      <c r="M62">
        <v>101.616623</v>
      </c>
      <c r="N62">
        <v>101.724174</v>
      </c>
      <c r="O62">
        <v>101.53801</v>
      </c>
      <c r="P62">
        <v>101.311256</v>
      </c>
      <c r="Q62">
        <v>100.97640199999999</v>
      </c>
      <c r="R62">
        <v>100.756874</v>
      </c>
      <c r="S62">
        <v>100.295074</v>
      </c>
      <c r="T62">
        <v>99.678466999999998</v>
      </c>
      <c r="U62">
        <v>98.421806000000004</v>
      </c>
      <c r="V62">
        <v>97.683716000000004</v>
      </c>
      <c r="W62">
        <v>96.918678</v>
      </c>
      <c r="X62">
        <v>96.071006999999994</v>
      </c>
      <c r="Y62">
        <v>95.130722000000006</v>
      </c>
      <c r="Z62">
        <v>94.233086</v>
      </c>
      <c r="AA62">
        <v>93.123824999999997</v>
      </c>
      <c r="AB62">
        <v>92.204300000000003</v>
      </c>
      <c r="AC62">
        <v>91.250327999999996</v>
      </c>
      <c r="AD62">
        <v>90.658730000000006</v>
      </c>
      <c r="AE62">
        <v>89.694473000000002</v>
      </c>
      <c r="AF62">
        <v>88.826485000000005</v>
      </c>
      <c r="AG62">
        <v>87.819648999999998</v>
      </c>
      <c r="AH62">
        <v>86.904647999999995</v>
      </c>
      <c r="AI62" s="21">
        <v>-2E-3</v>
      </c>
    </row>
    <row r="63" spans="1:35">
      <c r="A63" t="s">
        <v>283</v>
      </c>
      <c r="B63" t="s">
        <v>1271</v>
      </c>
      <c r="C63" t="s">
        <v>1270</v>
      </c>
      <c r="D63" t="s">
        <v>306</v>
      </c>
      <c r="F63">
        <v>12.007432</v>
      </c>
      <c r="G63">
        <v>12.465114</v>
      </c>
      <c r="H63">
        <v>12.775763</v>
      </c>
      <c r="I63">
        <v>12.835153999999999</v>
      </c>
      <c r="J63">
        <v>12.958027</v>
      </c>
      <c r="K63">
        <v>13.056922</v>
      </c>
      <c r="L63">
        <v>13.141268999999999</v>
      </c>
      <c r="M63">
        <v>13.190033</v>
      </c>
      <c r="N63">
        <v>13.202685000000001</v>
      </c>
      <c r="O63">
        <v>13.177554000000001</v>
      </c>
      <c r="P63">
        <v>13.150479000000001</v>
      </c>
      <c r="Q63">
        <v>13.109432999999999</v>
      </c>
      <c r="R63">
        <v>13.083599</v>
      </c>
      <c r="S63">
        <v>13.026247</v>
      </c>
      <c r="T63">
        <v>12.949903000000001</v>
      </c>
      <c r="U63">
        <v>12.790073</v>
      </c>
      <c r="V63">
        <v>12.696982999999999</v>
      </c>
      <c r="W63">
        <v>12.600635</v>
      </c>
      <c r="X63">
        <v>12.493633000000001</v>
      </c>
      <c r="Y63">
        <v>12.374180000000001</v>
      </c>
      <c r="Z63">
        <v>12.260481</v>
      </c>
      <c r="AA63">
        <v>12.119045</v>
      </c>
      <c r="AB63">
        <v>12.002355</v>
      </c>
      <c r="AC63">
        <v>11.880788000000001</v>
      </c>
      <c r="AD63">
        <v>11.808579999999999</v>
      </c>
      <c r="AE63">
        <v>11.685587</v>
      </c>
      <c r="AF63">
        <v>11.575792</v>
      </c>
      <c r="AG63">
        <v>11.447132</v>
      </c>
      <c r="AH63">
        <v>11.331303999999999</v>
      </c>
      <c r="AI63" s="21">
        <v>-2E-3</v>
      </c>
    </row>
    <row r="64" spans="1:35">
      <c r="A64" t="s">
        <v>275</v>
      </c>
      <c r="B64" t="s">
        <v>1269</v>
      </c>
      <c r="C64" t="s">
        <v>1268</v>
      </c>
      <c r="D64" t="s">
        <v>306</v>
      </c>
      <c r="F64">
        <v>7.4320000000000002E-3</v>
      </c>
      <c r="G64">
        <v>7.7629999999999999E-3</v>
      </c>
      <c r="H64">
        <v>7.9489999999999995E-3</v>
      </c>
      <c r="I64">
        <v>8.0289999999999997E-3</v>
      </c>
      <c r="J64">
        <v>8.1410000000000007E-3</v>
      </c>
      <c r="K64">
        <v>8.2100000000000003E-3</v>
      </c>
      <c r="L64">
        <v>8.2570000000000005E-3</v>
      </c>
      <c r="M64">
        <v>8.2789999999999999E-3</v>
      </c>
      <c r="N64">
        <v>8.2830000000000004E-3</v>
      </c>
      <c r="O64">
        <v>8.2609999999999992E-3</v>
      </c>
      <c r="P64">
        <v>8.2290000000000002E-3</v>
      </c>
      <c r="Q64">
        <v>8.1890000000000001E-3</v>
      </c>
      <c r="R64">
        <v>8.1569999999999993E-3</v>
      </c>
      <c r="S64">
        <v>8.1069999999999996E-3</v>
      </c>
      <c r="T64">
        <v>8.0420000000000005E-3</v>
      </c>
      <c r="U64">
        <v>7.9609999999999993E-3</v>
      </c>
      <c r="V64">
        <v>7.8829999999999994E-3</v>
      </c>
      <c r="W64">
        <v>7.803E-3</v>
      </c>
      <c r="X64">
        <v>7.7130000000000002E-3</v>
      </c>
      <c r="Y64">
        <v>7.6150000000000002E-3</v>
      </c>
      <c r="Z64">
        <v>7.5209999999999999E-3</v>
      </c>
      <c r="AA64">
        <v>7.3980000000000001E-3</v>
      </c>
      <c r="AB64">
        <v>7.3070000000000001E-3</v>
      </c>
      <c r="AC64">
        <v>7.2150000000000001E-3</v>
      </c>
      <c r="AD64">
        <v>7.143E-3</v>
      </c>
      <c r="AE64">
        <v>7.0499999999999998E-3</v>
      </c>
      <c r="AF64">
        <v>6.9610000000000002E-3</v>
      </c>
      <c r="AG64">
        <v>6.8640000000000003E-3</v>
      </c>
      <c r="AH64">
        <v>6.7689999999999998E-3</v>
      </c>
      <c r="AI64" s="21">
        <v>-3.0000000000000001E-3</v>
      </c>
    </row>
    <row r="65" spans="1:35">
      <c r="A65" t="s">
        <v>276</v>
      </c>
      <c r="B65" t="s">
        <v>1267</v>
      </c>
      <c r="C65" t="s">
        <v>1266</v>
      </c>
      <c r="D65" t="s">
        <v>306</v>
      </c>
      <c r="F65">
        <v>52.012611</v>
      </c>
      <c r="G65">
        <v>54.015754999999999</v>
      </c>
      <c r="H65">
        <v>55.245651000000002</v>
      </c>
      <c r="I65">
        <v>55.522506999999997</v>
      </c>
      <c r="J65">
        <v>56.047764000000001</v>
      </c>
      <c r="K65">
        <v>56.442497000000003</v>
      </c>
      <c r="L65">
        <v>56.754584999999999</v>
      </c>
      <c r="M65">
        <v>56.903236</v>
      </c>
      <c r="N65">
        <v>56.888607</v>
      </c>
      <c r="O65">
        <v>56.712851999999998</v>
      </c>
      <c r="P65">
        <v>56.517417999999999</v>
      </c>
      <c r="Q65">
        <v>56.260185</v>
      </c>
      <c r="R65">
        <v>56.054282999999998</v>
      </c>
      <c r="S65">
        <v>55.704571000000001</v>
      </c>
      <c r="T65">
        <v>55.261519999999997</v>
      </c>
      <c r="U65">
        <v>54.562843000000001</v>
      </c>
      <c r="V65">
        <v>54.018444000000002</v>
      </c>
      <c r="W65">
        <v>53.439864999999998</v>
      </c>
      <c r="X65">
        <v>52.799095000000001</v>
      </c>
      <c r="Y65">
        <v>52.084651999999998</v>
      </c>
      <c r="Z65">
        <v>51.363410999999999</v>
      </c>
      <c r="AA65">
        <v>50.487484000000002</v>
      </c>
      <c r="AB65">
        <v>49.676124999999999</v>
      </c>
      <c r="AC65">
        <v>48.788139000000001</v>
      </c>
      <c r="AD65">
        <v>48.012000999999998</v>
      </c>
      <c r="AE65">
        <v>46.925766000000003</v>
      </c>
      <c r="AF65">
        <v>45.703896</v>
      </c>
      <c r="AG65">
        <v>44.05574</v>
      </c>
      <c r="AH65">
        <v>42.693801999999998</v>
      </c>
      <c r="AI65" s="21">
        <v>-7.0000000000000001E-3</v>
      </c>
    </row>
    <row r="66" spans="1:35">
      <c r="A66" t="s">
        <v>277</v>
      </c>
      <c r="B66" t="s">
        <v>1265</v>
      </c>
      <c r="C66" t="s">
        <v>1264</v>
      </c>
      <c r="D66" t="s">
        <v>306</v>
      </c>
      <c r="F66">
        <v>26.102913000000001</v>
      </c>
      <c r="G66">
        <v>27.152719000000001</v>
      </c>
      <c r="H66">
        <v>27.997173</v>
      </c>
      <c r="I66">
        <v>28.156234999999999</v>
      </c>
      <c r="J66">
        <v>28.412040999999999</v>
      </c>
      <c r="K66">
        <v>28.617826000000001</v>
      </c>
      <c r="L66">
        <v>28.781718999999999</v>
      </c>
      <c r="M66">
        <v>28.881858999999999</v>
      </c>
      <c r="N66">
        <v>28.919270999999998</v>
      </c>
      <c r="O66">
        <v>28.863105999999998</v>
      </c>
      <c r="P66">
        <v>28.782406000000002</v>
      </c>
      <c r="Q66">
        <v>28.664639000000001</v>
      </c>
      <c r="R66">
        <v>28.58287</v>
      </c>
      <c r="S66">
        <v>28.431080000000001</v>
      </c>
      <c r="T66">
        <v>28.230478000000002</v>
      </c>
      <c r="U66">
        <v>27.752499</v>
      </c>
      <c r="V66">
        <v>27.526546</v>
      </c>
      <c r="W66">
        <v>27.295058999999998</v>
      </c>
      <c r="X66">
        <v>27.037399000000001</v>
      </c>
      <c r="Y66">
        <v>26.753869999999999</v>
      </c>
      <c r="Z66">
        <v>26.484290999999999</v>
      </c>
      <c r="AA66">
        <v>26.160323999999999</v>
      </c>
      <c r="AB66">
        <v>25.885159999999999</v>
      </c>
      <c r="AC66">
        <v>25.601519</v>
      </c>
      <c r="AD66">
        <v>25.421154000000001</v>
      </c>
      <c r="AE66">
        <v>25.134627999999999</v>
      </c>
      <c r="AF66">
        <v>24.876854000000002</v>
      </c>
      <c r="AG66">
        <v>24.580860000000001</v>
      </c>
      <c r="AH66">
        <v>24.309217</v>
      </c>
      <c r="AI66" s="21">
        <v>-3.0000000000000001E-3</v>
      </c>
    </row>
    <row r="67" spans="1:35">
      <c r="A67" t="s">
        <v>278</v>
      </c>
      <c r="B67" t="s">
        <v>1263</v>
      </c>
      <c r="C67" t="s">
        <v>1262</v>
      </c>
      <c r="D67" t="s">
        <v>306</v>
      </c>
      <c r="F67">
        <v>1.4757659999999999</v>
      </c>
      <c r="G67">
        <v>1.5326839999999999</v>
      </c>
      <c r="H67">
        <v>1.572022</v>
      </c>
      <c r="I67">
        <v>1.5786210000000001</v>
      </c>
      <c r="J67">
        <v>1.5959749999999999</v>
      </c>
      <c r="K67">
        <v>1.6095010000000001</v>
      </c>
      <c r="L67">
        <v>1.6204449999999999</v>
      </c>
      <c r="M67">
        <v>1.6276649999999999</v>
      </c>
      <c r="N67">
        <v>1.6309739999999999</v>
      </c>
      <c r="O67">
        <v>1.629221</v>
      </c>
      <c r="P67">
        <v>1.6268180000000001</v>
      </c>
      <c r="Q67">
        <v>1.622336</v>
      </c>
      <c r="R67">
        <v>1.6196390000000001</v>
      </c>
      <c r="S67">
        <v>1.613038</v>
      </c>
      <c r="T67">
        <v>1.6045199999999999</v>
      </c>
      <c r="U67">
        <v>1.5851</v>
      </c>
      <c r="V67">
        <v>1.57385</v>
      </c>
      <c r="W67">
        <v>1.56229</v>
      </c>
      <c r="X67">
        <v>1.549139</v>
      </c>
      <c r="Y67">
        <v>1.5342830000000001</v>
      </c>
      <c r="Z67">
        <v>1.520311</v>
      </c>
      <c r="AA67">
        <v>1.501987</v>
      </c>
      <c r="AB67">
        <v>1.4879849999999999</v>
      </c>
      <c r="AC67">
        <v>1.4732160000000001</v>
      </c>
      <c r="AD67">
        <v>1.4655290000000001</v>
      </c>
      <c r="AE67">
        <v>1.450458</v>
      </c>
      <c r="AF67">
        <v>1.437376</v>
      </c>
      <c r="AG67">
        <v>1.4216249999999999</v>
      </c>
      <c r="AH67">
        <v>1.4077189999999999</v>
      </c>
      <c r="AI67" s="21">
        <v>-2E-3</v>
      </c>
    </row>
    <row r="68" spans="1:35">
      <c r="A68" t="s">
        <v>279</v>
      </c>
      <c r="B68" t="s">
        <v>1261</v>
      </c>
      <c r="C68" t="s">
        <v>1260</v>
      </c>
      <c r="D68" t="s">
        <v>306</v>
      </c>
      <c r="F68">
        <v>0.58296300000000001</v>
      </c>
      <c r="G68">
        <v>0.63977200000000001</v>
      </c>
      <c r="H68">
        <v>0.69745900000000005</v>
      </c>
      <c r="I68">
        <v>0.74443499999999996</v>
      </c>
      <c r="J68">
        <v>0.79736899999999999</v>
      </c>
      <c r="K68">
        <v>0.85397599999999996</v>
      </c>
      <c r="L68">
        <v>0.91521699999999995</v>
      </c>
      <c r="M68">
        <v>0.97990200000000005</v>
      </c>
      <c r="N68">
        <v>1.0486899999999999</v>
      </c>
      <c r="O68">
        <v>1.1214440000000001</v>
      </c>
      <c r="P68">
        <v>1.2004459999999999</v>
      </c>
      <c r="Q68">
        <v>1.2863150000000001</v>
      </c>
      <c r="R68">
        <v>1.3831500000000001</v>
      </c>
      <c r="S68">
        <v>1.48702</v>
      </c>
      <c r="T68">
        <v>1.599227</v>
      </c>
      <c r="U68">
        <v>1.699166</v>
      </c>
      <c r="V68">
        <v>1.8360780000000001</v>
      </c>
      <c r="W68">
        <v>1.989325</v>
      </c>
      <c r="X68">
        <v>2.1605850000000002</v>
      </c>
      <c r="Y68">
        <v>2.3529599999999999</v>
      </c>
      <c r="Z68">
        <v>2.5741770000000002</v>
      </c>
      <c r="AA68">
        <v>2.8250199999999999</v>
      </c>
      <c r="AB68">
        <v>3.1230699999999998</v>
      </c>
      <c r="AC68">
        <v>3.4774289999999999</v>
      </c>
      <c r="AD68">
        <v>3.922498</v>
      </c>
      <c r="AE68">
        <v>4.4694479999999999</v>
      </c>
      <c r="AF68">
        <v>5.2043210000000002</v>
      </c>
      <c r="AG68">
        <v>6.2864370000000003</v>
      </c>
      <c r="AH68">
        <v>7.1351089999999999</v>
      </c>
      <c r="AI68" s="21">
        <v>9.4E-2</v>
      </c>
    </row>
    <row r="69" spans="1:35">
      <c r="A69" t="s">
        <v>280</v>
      </c>
      <c r="B69" t="s">
        <v>1259</v>
      </c>
      <c r="C69" t="s">
        <v>1258</v>
      </c>
      <c r="D69" t="s">
        <v>306</v>
      </c>
      <c r="F69">
        <v>2.3116999999999999E-2</v>
      </c>
      <c r="G69">
        <v>2.4035000000000001E-2</v>
      </c>
      <c r="H69">
        <v>2.4938999999999999E-2</v>
      </c>
      <c r="I69">
        <v>2.5099E-2</v>
      </c>
      <c r="J69">
        <v>2.5319000000000001E-2</v>
      </c>
      <c r="K69">
        <v>2.5482000000000001E-2</v>
      </c>
      <c r="L69">
        <v>2.5596000000000001E-2</v>
      </c>
      <c r="M69">
        <v>2.5651E-2</v>
      </c>
      <c r="N69">
        <v>2.5658E-2</v>
      </c>
      <c r="O69">
        <v>2.5572999999999999E-2</v>
      </c>
      <c r="P69">
        <v>2.5453E-2</v>
      </c>
      <c r="Q69">
        <v>2.5301000000000001E-2</v>
      </c>
      <c r="R69">
        <v>2.5183000000000001E-2</v>
      </c>
      <c r="S69">
        <v>2.5003000000000001E-2</v>
      </c>
      <c r="T69">
        <v>2.4774000000000001E-2</v>
      </c>
      <c r="U69">
        <v>2.4169E-2</v>
      </c>
      <c r="V69">
        <v>2.3938999999999998E-2</v>
      </c>
      <c r="W69">
        <v>2.3702000000000001E-2</v>
      </c>
      <c r="X69">
        <v>2.3444E-2</v>
      </c>
      <c r="Y69">
        <v>2.3163E-2</v>
      </c>
      <c r="Z69">
        <v>2.2893E-2</v>
      </c>
      <c r="AA69">
        <v>2.2575000000000001E-2</v>
      </c>
      <c r="AB69">
        <v>2.2303E-2</v>
      </c>
      <c r="AC69">
        <v>2.2027000000000001E-2</v>
      </c>
      <c r="AD69">
        <v>2.1822999999999999E-2</v>
      </c>
      <c r="AE69">
        <v>2.1545000000000002E-2</v>
      </c>
      <c r="AF69">
        <v>2.1284000000000001E-2</v>
      </c>
      <c r="AG69">
        <v>2.0996999999999998E-2</v>
      </c>
      <c r="AH69">
        <v>2.0722999999999998E-2</v>
      </c>
      <c r="AI69" s="21">
        <v>-4.0000000000000001E-3</v>
      </c>
    </row>
    <row r="70" spans="1:35">
      <c r="A70" t="s">
        <v>294</v>
      </c>
      <c r="B70" t="s">
        <v>1257</v>
      </c>
      <c r="C70" t="s">
        <v>1256</v>
      </c>
      <c r="D70" t="s">
        <v>306</v>
      </c>
      <c r="F70">
        <v>26.118862</v>
      </c>
      <c r="G70">
        <v>28.024412000000002</v>
      </c>
      <c r="H70">
        <v>29.477226000000002</v>
      </c>
      <c r="I70">
        <v>30.571621</v>
      </c>
      <c r="J70">
        <v>31.3964</v>
      </c>
      <c r="K70">
        <v>32.010112999999997</v>
      </c>
      <c r="L70">
        <v>32.464531000000001</v>
      </c>
      <c r="M70">
        <v>32.799759000000002</v>
      </c>
      <c r="N70">
        <v>33.046233999999998</v>
      </c>
      <c r="O70">
        <v>33.226050999999998</v>
      </c>
      <c r="P70">
        <v>33.352477999999998</v>
      </c>
      <c r="Q70">
        <v>33.43018</v>
      </c>
      <c r="R70">
        <v>33.466476</v>
      </c>
      <c r="S70">
        <v>33.469250000000002</v>
      </c>
      <c r="T70">
        <v>33.445160000000001</v>
      </c>
      <c r="U70">
        <v>33.397396000000001</v>
      </c>
      <c r="V70">
        <v>33.349758000000001</v>
      </c>
      <c r="W70">
        <v>33.294384000000001</v>
      </c>
      <c r="X70">
        <v>33.234276000000001</v>
      </c>
      <c r="Y70">
        <v>33.167285999999997</v>
      </c>
      <c r="Z70">
        <v>33.096901000000003</v>
      </c>
      <c r="AA70">
        <v>33.025081999999998</v>
      </c>
      <c r="AB70">
        <v>32.951076999999998</v>
      </c>
      <c r="AC70">
        <v>32.875145000000003</v>
      </c>
      <c r="AD70">
        <v>32.799278000000001</v>
      </c>
      <c r="AE70">
        <v>32.723492</v>
      </c>
      <c r="AF70">
        <v>32.646706000000002</v>
      </c>
      <c r="AG70">
        <v>32.569450000000003</v>
      </c>
      <c r="AH70">
        <v>32.494362000000002</v>
      </c>
      <c r="AI70" s="21">
        <v>8.0000000000000002E-3</v>
      </c>
    </row>
    <row r="71" spans="1:35">
      <c r="A71" t="s">
        <v>283</v>
      </c>
      <c r="B71" t="s">
        <v>1255</v>
      </c>
      <c r="C71" t="s">
        <v>1254</v>
      </c>
      <c r="D71" t="s">
        <v>306</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t="s">
        <v>17</v>
      </c>
    </row>
    <row r="72" spans="1:35">
      <c r="A72" t="s">
        <v>275</v>
      </c>
      <c r="B72" t="s">
        <v>1253</v>
      </c>
      <c r="C72" t="s">
        <v>1252</v>
      </c>
      <c r="D72" t="s">
        <v>306</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t="s">
        <v>17</v>
      </c>
    </row>
    <row r="73" spans="1:35">
      <c r="A73" t="s">
        <v>276</v>
      </c>
      <c r="B73" t="s">
        <v>1251</v>
      </c>
      <c r="C73" t="s">
        <v>1250</v>
      </c>
      <c r="D73" t="s">
        <v>306</v>
      </c>
      <c r="F73">
        <v>26.118862</v>
      </c>
      <c r="G73">
        <v>28.024412000000002</v>
      </c>
      <c r="H73">
        <v>29.477226000000002</v>
      </c>
      <c r="I73">
        <v>30.571621</v>
      </c>
      <c r="J73">
        <v>31.3964</v>
      </c>
      <c r="K73">
        <v>32.010112999999997</v>
      </c>
      <c r="L73">
        <v>32.464531000000001</v>
      </c>
      <c r="M73">
        <v>32.799759000000002</v>
      </c>
      <c r="N73">
        <v>33.046233999999998</v>
      </c>
      <c r="O73">
        <v>33.226050999999998</v>
      </c>
      <c r="P73">
        <v>33.352477999999998</v>
      </c>
      <c r="Q73">
        <v>33.43018</v>
      </c>
      <c r="R73">
        <v>33.466476</v>
      </c>
      <c r="S73">
        <v>33.469250000000002</v>
      </c>
      <c r="T73">
        <v>33.445160000000001</v>
      </c>
      <c r="U73">
        <v>33.397396000000001</v>
      </c>
      <c r="V73">
        <v>33.349758000000001</v>
      </c>
      <c r="W73">
        <v>33.294384000000001</v>
      </c>
      <c r="X73">
        <v>33.234276000000001</v>
      </c>
      <c r="Y73">
        <v>33.167285999999997</v>
      </c>
      <c r="Z73">
        <v>33.096901000000003</v>
      </c>
      <c r="AA73">
        <v>33.025081999999998</v>
      </c>
      <c r="AB73">
        <v>32.951076999999998</v>
      </c>
      <c r="AC73">
        <v>32.875145000000003</v>
      </c>
      <c r="AD73">
        <v>32.799278000000001</v>
      </c>
      <c r="AE73">
        <v>32.723492</v>
      </c>
      <c r="AF73">
        <v>32.646706000000002</v>
      </c>
      <c r="AG73">
        <v>32.569450000000003</v>
      </c>
      <c r="AH73">
        <v>32.494362000000002</v>
      </c>
      <c r="AI73" s="21">
        <v>8.0000000000000002E-3</v>
      </c>
    </row>
    <row r="74" spans="1:35">
      <c r="A74" t="s">
        <v>277</v>
      </c>
      <c r="B74" t="s">
        <v>1249</v>
      </c>
      <c r="C74" t="s">
        <v>1248</v>
      </c>
      <c r="D74" t="s">
        <v>306</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t="s">
        <v>17</v>
      </c>
    </row>
    <row r="75" spans="1:35">
      <c r="A75" t="s">
        <v>278</v>
      </c>
      <c r="B75" t="s">
        <v>1247</v>
      </c>
      <c r="C75" t="s">
        <v>1246</v>
      </c>
      <c r="D75" t="s">
        <v>306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t="s">
        <v>17</v>
      </c>
    </row>
    <row r="76" spans="1:35">
      <c r="A76" t="s">
        <v>279</v>
      </c>
      <c r="B76" t="s">
        <v>1245</v>
      </c>
      <c r="C76" t="s">
        <v>1244</v>
      </c>
      <c r="D76" t="s">
        <v>306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t="s">
        <v>17</v>
      </c>
    </row>
    <row r="77" spans="1:35">
      <c r="A77" t="s">
        <v>280</v>
      </c>
      <c r="B77" t="s">
        <v>1243</v>
      </c>
      <c r="C77" t="s">
        <v>1242</v>
      </c>
      <c r="D77" t="s">
        <v>306</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t="s">
        <v>17</v>
      </c>
    </row>
    <row r="78" spans="1:35">
      <c r="A78" t="s">
        <v>295</v>
      </c>
      <c r="B78" t="s">
        <v>1241</v>
      </c>
      <c r="C78" t="s">
        <v>1240</v>
      </c>
      <c r="D78" t="s">
        <v>306</v>
      </c>
      <c r="F78">
        <v>93.831894000000005</v>
      </c>
      <c r="G78">
        <v>98.450194999999994</v>
      </c>
      <c r="H78">
        <v>99.158546000000001</v>
      </c>
      <c r="I78">
        <v>98.571014000000005</v>
      </c>
      <c r="J78">
        <v>97.556511</v>
      </c>
      <c r="K78">
        <v>96.613395999999995</v>
      </c>
      <c r="L78">
        <v>95.691032000000007</v>
      </c>
      <c r="M78">
        <v>94.739861000000005</v>
      </c>
      <c r="N78">
        <v>93.777550000000005</v>
      </c>
      <c r="O78">
        <v>92.791618</v>
      </c>
      <c r="P78">
        <v>91.866196000000002</v>
      </c>
      <c r="Q78">
        <v>91.598052999999993</v>
      </c>
      <c r="R78">
        <v>91.112289000000004</v>
      </c>
      <c r="S78">
        <v>90.708870000000005</v>
      </c>
      <c r="T78">
        <v>90.372649999999993</v>
      </c>
      <c r="U78">
        <v>90.121039999999994</v>
      </c>
      <c r="V78">
        <v>89.542336000000006</v>
      </c>
      <c r="W78">
        <v>88.885452000000001</v>
      </c>
      <c r="X78">
        <v>88.194603000000001</v>
      </c>
      <c r="Y78">
        <v>87.485648999999995</v>
      </c>
      <c r="Z78">
        <v>86.702445999999995</v>
      </c>
      <c r="AA78">
        <v>85.868294000000006</v>
      </c>
      <c r="AB78">
        <v>84.998230000000007</v>
      </c>
      <c r="AC78">
        <v>84.089134000000001</v>
      </c>
      <c r="AD78">
        <v>83.076744000000005</v>
      </c>
      <c r="AE78">
        <v>82.045021000000006</v>
      </c>
      <c r="AF78">
        <v>80.986785999999995</v>
      </c>
      <c r="AG78">
        <v>79.893326000000002</v>
      </c>
      <c r="AH78">
        <v>78.783607000000003</v>
      </c>
      <c r="AI78" s="21">
        <v>-6.0000000000000001E-3</v>
      </c>
    </row>
    <row r="79" spans="1:35">
      <c r="A79" t="s">
        <v>283</v>
      </c>
      <c r="B79" t="s">
        <v>1239</v>
      </c>
      <c r="C79" t="s">
        <v>1238</v>
      </c>
      <c r="D79" t="s">
        <v>306</v>
      </c>
      <c r="F79">
        <v>9.4941010000000006</v>
      </c>
      <c r="G79">
        <v>9.9847319999999993</v>
      </c>
      <c r="H79">
        <v>10.080206</v>
      </c>
      <c r="I79">
        <v>10.044081</v>
      </c>
      <c r="J79">
        <v>9.9641859999999998</v>
      </c>
      <c r="K79">
        <v>9.8772070000000003</v>
      </c>
      <c r="L79">
        <v>9.7906929999999992</v>
      </c>
      <c r="M79">
        <v>9.7035470000000004</v>
      </c>
      <c r="N79">
        <v>9.6156869999999994</v>
      </c>
      <c r="O79">
        <v>9.5264279999999992</v>
      </c>
      <c r="P79">
        <v>9.4439309999999992</v>
      </c>
      <c r="Q79">
        <v>9.3760180000000002</v>
      </c>
      <c r="R79">
        <v>9.3193699999999993</v>
      </c>
      <c r="S79">
        <v>9.2722660000000001</v>
      </c>
      <c r="T79">
        <v>9.2344460000000002</v>
      </c>
      <c r="U79">
        <v>9.2065929999999998</v>
      </c>
      <c r="V79">
        <v>9.1597399999999993</v>
      </c>
      <c r="W79">
        <v>9.1076730000000001</v>
      </c>
      <c r="X79">
        <v>9.0532129999999995</v>
      </c>
      <c r="Y79">
        <v>8.9974880000000006</v>
      </c>
      <c r="Z79">
        <v>8.9384180000000004</v>
      </c>
      <c r="AA79">
        <v>8.8755819999999996</v>
      </c>
      <c r="AB79">
        <v>8.8098559999999999</v>
      </c>
      <c r="AC79">
        <v>8.7419480000000007</v>
      </c>
      <c r="AD79">
        <v>8.6711120000000008</v>
      </c>
      <c r="AE79">
        <v>8.599361</v>
      </c>
      <c r="AF79">
        <v>8.5273749999999993</v>
      </c>
      <c r="AG79">
        <v>8.4545519999999996</v>
      </c>
      <c r="AH79">
        <v>8.3815580000000001</v>
      </c>
      <c r="AI79" s="21">
        <v>-4.0000000000000001E-3</v>
      </c>
    </row>
    <row r="80" spans="1:35">
      <c r="A80" t="s">
        <v>275</v>
      </c>
      <c r="B80" t="s">
        <v>1237</v>
      </c>
      <c r="C80" t="s">
        <v>1236</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276</v>
      </c>
      <c r="B81" t="s">
        <v>1235</v>
      </c>
      <c r="C81" t="s">
        <v>1234</v>
      </c>
      <c r="D81" t="s">
        <v>306</v>
      </c>
      <c r="F81">
        <v>75.219893999999996</v>
      </c>
      <c r="G81">
        <v>78.605819999999994</v>
      </c>
      <c r="H81">
        <v>78.857498000000007</v>
      </c>
      <c r="I81">
        <v>78.076453999999998</v>
      </c>
      <c r="J81">
        <v>76.964111000000003</v>
      </c>
      <c r="K81">
        <v>76.079750000000004</v>
      </c>
      <c r="L81">
        <v>75.233322000000001</v>
      </c>
      <c r="M81">
        <v>74.338866999999993</v>
      </c>
      <c r="N81">
        <v>73.430572999999995</v>
      </c>
      <c r="O81">
        <v>72.491912999999997</v>
      </c>
      <c r="P81">
        <v>71.594031999999999</v>
      </c>
      <c r="Q81">
        <v>71.837708000000006</v>
      </c>
      <c r="R81">
        <v>71.512496999999996</v>
      </c>
      <c r="S81">
        <v>71.239052000000001</v>
      </c>
      <c r="T81">
        <v>70.989593999999997</v>
      </c>
      <c r="U81">
        <v>70.790924000000004</v>
      </c>
      <c r="V81">
        <v>70.163764999999998</v>
      </c>
      <c r="W81">
        <v>69.442642000000006</v>
      </c>
      <c r="X81">
        <v>68.681884999999994</v>
      </c>
      <c r="Y81">
        <v>67.900276000000005</v>
      </c>
      <c r="Z81">
        <v>67.010056000000006</v>
      </c>
      <c r="AA81">
        <v>66.063095000000004</v>
      </c>
      <c r="AB81">
        <v>65.078491</v>
      </c>
      <c r="AC81">
        <v>64.041968999999995</v>
      </c>
      <c r="AD81">
        <v>62.83419</v>
      </c>
      <c r="AE81">
        <v>61.602939999999997</v>
      </c>
      <c r="AF81">
        <v>60.321541000000003</v>
      </c>
      <c r="AG81">
        <v>58.979691000000003</v>
      </c>
      <c r="AH81">
        <v>57.607379999999999</v>
      </c>
      <c r="AI81" s="21">
        <v>-8.9999999999999993E-3</v>
      </c>
    </row>
    <row r="82" spans="1:35">
      <c r="A82" t="s">
        <v>277</v>
      </c>
      <c r="B82" t="s">
        <v>1233</v>
      </c>
      <c r="C82" t="s">
        <v>1232</v>
      </c>
      <c r="D82" t="s">
        <v>306</v>
      </c>
      <c r="F82">
        <v>0.92408599999999996</v>
      </c>
      <c r="G82">
        <v>1.0108280000000001</v>
      </c>
      <c r="H82">
        <v>1.0536110000000001</v>
      </c>
      <c r="I82">
        <v>1.083197</v>
      </c>
      <c r="J82">
        <v>1.1043369999999999</v>
      </c>
      <c r="K82">
        <v>1.1235299999999999</v>
      </c>
      <c r="L82">
        <v>1.1408499999999999</v>
      </c>
      <c r="M82">
        <v>1.1560729999999999</v>
      </c>
      <c r="N82">
        <v>1.171249</v>
      </c>
      <c r="O82">
        <v>1.185954</v>
      </c>
      <c r="P82">
        <v>1.2014899999999999</v>
      </c>
      <c r="Q82">
        <v>1.2187190000000001</v>
      </c>
      <c r="R82">
        <v>1.237236</v>
      </c>
      <c r="S82">
        <v>1.256583</v>
      </c>
      <c r="T82">
        <v>1.277304</v>
      </c>
      <c r="U82">
        <v>1.299385</v>
      </c>
      <c r="V82">
        <v>1.318905</v>
      </c>
      <c r="W82">
        <v>1.3373429999999999</v>
      </c>
      <c r="X82">
        <v>1.355548</v>
      </c>
      <c r="Y82">
        <v>1.373292</v>
      </c>
      <c r="Z82">
        <v>1.390433</v>
      </c>
      <c r="AA82">
        <v>1.4067000000000001</v>
      </c>
      <c r="AB82">
        <v>1.4226700000000001</v>
      </c>
      <c r="AC82">
        <v>1.4381809999999999</v>
      </c>
      <c r="AD82">
        <v>1.4527399999999999</v>
      </c>
      <c r="AE82">
        <v>1.4629570000000001</v>
      </c>
      <c r="AF82">
        <v>1.4730529999999999</v>
      </c>
      <c r="AG82">
        <v>1.482996</v>
      </c>
      <c r="AH82">
        <v>1.4928939999999999</v>
      </c>
      <c r="AI82" s="21">
        <v>1.7000000000000001E-2</v>
      </c>
    </row>
    <row r="83" spans="1:35">
      <c r="A83" t="s">
        <v>278</v>
      </c>
      <c r="B83" t="s">
        <v>1231</v>
      </c>
      <c r="C83" t="s">
        <v>1230</v>
      </c>
      <c r="D83" t="s">
        <v>306</v>
      </c>
      <c r="F83">
        <v>7.6215450000000002</v>
      </c>
      <c r="G83">
        <v>8.0154069999999997</v>
      </c>
      <c r="H83">
        <v>8.0920509999999997</v>
      </c>
      <c r="I83">
        <v>8.0630500000000005</v>
      </c>
      <c r="J83">
        <v>7.9989129999999999</v>
      </c>
      <c r="K83">
        <v>7.9290890000000003</v>
      </c>
      <c r="L83">
        <v>7.8596399999999997</v>
      </c>
      <c r="M83">
        <v>7.7896799999999997</v>
      </c>
      <c r="N83">
        <v>7.71915</v>
      </c>
      <c r="O83">
        <v>7.6474950000000002</v>
      </c>
      <c r="P83">
        <v>7.5812689999999998</v>
      </c>
      <c r="Q83">
        <v>7.5267520000000001</v>
      </c>
      <c r="R83">
        <v>7.4812770000000004</v>
      </c>
      <c r="S83">
        <v>7.4434630000000004</v>
      </c>
      <c r="T83">
        <v>7.4131020000000003</v>
      </c>
      <c r="U83">
        <v>7.3907420000000004</v>
      </c>
      <c r="V83">
        <v>7.3531319999999996</v>
      </c>
      <c r="W83">
        <v>7.3113330000000003</v>
      </c>
      <c r="X83">
        <v>7.2676160000000003</v>
      </c>
      <c r="Y83">
        <v>7.22288</v>
      </c>
      <c r="Z83">
        <v>7.1754610000000003</v>
      </c>
      <c r="AA83">
        <v>7.125019</v>
      </c>
      <c r="AB83">
        <v>7.0722560000000003</v>
      </c>
      <c r="AC83">
        <v>7.017741</v>
      </c>
      <c r="AD83">
        <v>6.960877</v>
      </c>
      <c r="AE83">
        <v>6.9032780000000002</v>
      </c>
      <c r="AF83">
        <v>6.8454899999999999</v>
      </c>
      <c r="AG83">
        <v>6.7870299999999997</v>
      </c>
      <c r="AH83">
        <v>6.7284329999999999</v>
      </c>
      <c r="AI83" s="21">
        <v>-4.0000000000000001E-3</v>
      </c>
    </row>
    <row r="84" spans="1:35">
      <c r="A84" t="s">
        <v>279</v>
      </c>
      <c r="B84" t="s">
        <v>1229</v>
      </c>
      <c r="C84" t="s">
        <v>1228</v>
      </c>
      <c r="D84" t="s">
        <v>306</v>
      </c>
      <c r="F84">
        <v>0.57226500000000002</v>
      </c>
      <c r="G84">
        <v>0.83341600000000005</v>
      </c>
      <c r="H84">
        <v>1.075178</v>
      </c>
      <c r="I84">
        <v>1.30423</v>
      </c>
      <c r="J84">
        <v>1.524958</v>
      </c>
      <c r="K84">
        <v>1.603828</v>
      </c>
      <c r="L84">
        <v>1.6665300000000001</v>
      </c>
      <c r="M84">
        <v>1.7516910000000001</v>
      </c>
      <c r="N84">
        <v>1.8409</v>
      </c>
      <c r="O84">
        <v>1.9398230000000001</v>
      </c>
      <c r="P84">
        <v>2.045474</v>
      </c>
      <c r="Q84">
        <v>1.638865</v>
      </c>
      <c r="R84">
        <v>1.561909</v>
      </c>
      <c r="S84">
        <v>1.4974970000000001</v>
      </c>
      <c r="T84">
        <v>1.458207</v>
      </c>
      <c r="U84">
        <v>1.4334020000000001</v>
      </c>
      <c r="V84">
        <v>1.546791</v>
      </c>
      <c r="W84">
        <v>1.686464</v>
      </c>
      <c r="X84">
        <v>1.8363419999999999</v>
      </c>
      <c r="Y84">
        <v>1.9917119999999999</v>
      </c>
      <c r="Z84">
        <v>2.1880760000000001</v>
      </c>
      <c r="AA84">
        <v>2.3979050000000002</v>
      </c>
      <c r="AB84">
        <v>2.6149490000000002</v>
      </c>
      <c r="AC84">
        <v>2.8492980000000001</v>
      </c>
      <c r="AD84">
        <v>3.1578240000000002</v>
      </c>
      <c r="AE84">
        <v>3.4764889999999999</v>
      </c>
      <c r="AF84">
        <v>3.8193260000000002</v>
      </c>
      <c r="AG84">
        <v>4.1890539999999996</v>
      </c>
      <c r="AH84">
        <v>4.5733420000000002</v>
      </c>
      <c r="AI84" s="21">
        <v>7.6999999999999999E-2</v>
      </c>
    </row>
    <row r="85" spans="1:35">
      <c r="A85" t="s">
        <v>280</v>
      </c>
      <c r="B85" t="s">
        <v>1227</v>
      </c>
      <c r="C85" t="s">
        <v>1226</v>
      </c>
      <c r="D85" t="s">
        <v>306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t="s">
        <v>17</v>
      </c>
    </row>
    <row r="86" spans="1:35">
      <c r="A86" t="s">
        <v>192</v>
      </c>
      <c r="B86" t="s">
        <v>1225</v>
      </c>
      <c r="C86" t="s">
        <v>1224</v>
      </c>
      <c r="D86" t="s">
        <v>306</v>
      </c>
      <c r="F86">
        <v>43.913421999999997</v>
      </c>
      <c r="G86">
        <v>45.563988000000002</v>
      </c>
      <c r="H86">
        <v>46.540951</v>
      </c>
      <c r="I86">
        <v>47.205399</v>
      </c>
      <c r="J86">
        <v>47.900013000000001</v>
      </c>
      <c r="K86">
        <v>48.570526000000001</v>
      </c>
      <c r="L86">
        <v>49.132919000000001</v>
      </c>
      <c r="M86">
        <v>49.707282999999997</v>
      </c>
      <c r="N86">
        <v>50.150032000000003</v>
      </c>
      <c r="O86">
        <v>50.598678999999997</v>
      </c>
      <c r="P86">
        <v>51.139499999999998</v>
      </c>
      <c r="Q86">
        <v>51.726661999999997</v>
      </c>
      <c r="R86">
        <v>52.369225</v>
      </c>
      <c r="S86">
        <v>52.923794000000001</v>
      </c>
      <c r="T86">
        <v>53.456974000000002</v>
      </c>
      <c r="U86">
        <v>53.972693999999997</v>
      </c>
      <c r="V86">
        <v>54.509743</v>
      </c>
      <c r="W86">
        <v>55.033695000000002</v>
      </c>
      <c r="X86">
        <v>55.626582999999997</v>
      </c>
      <c r="Y86">
        <v>56.181145000000001</v>
      </c>
      <c r="Z86">
        <v>56.753779999999999</v>
      </c>
      <c r="AA86">
        <v>57.257598999999999</v>
      </c>
      <c r="AB86">
        <v>57.815627999999997</v>
      </c>
      <c r="AC86">
        <v>58.366591999999997</v>
      </c>
      <c r="AD86">
        <v>59.116034999999997</v>
      </c>
      <c r="AE86">
        <v>59.751427</v>
      </c>
      <c r="AF86">
        <v>60.444682999999998</v>
      </c>
      <c r="AG86">
        <v>61.080703999999997</v>
      </c>
      <c r="AH86">
        <v>61.848125000000003</v>
      </c>
      <c r="AI86" s="21">
        <v>1.2E-2</v>
      </c>
    </row>
    <row r="87" spans="1:35">
      <c r="A87" t="s">
        <v>296</v>
      </c>
      <c r="B87" t="s">
        <v>1223</v>
      </c>
      <c r="C87" t="s">
        <v>1222</v>
      </c>
      <c r="D87" t="s">
        <v>306</v>
      </c>
      <c r="F87">
        <v>7.5946369999999996</v>
      </c>
      <c r="G87">
        <v>8.2708110000000001</v>
      </c>
      <c r="H87">
        <v>8.8117520000000003</v>
      </c>
      <c r="I87">
        <v>9.2425239999999995</v>
      </c>
      <c r="J87">
        <v>9.5890699999999995</v>
      </c>
      <c r="K87">
        <v>9.8712160000000004</v>
      </c>
      <c r="L87">
        <v>10.105147000000001</v>
      </c>
      <c r="M87">
        <v>10.303372</v>
      </c>
      <c r="N87">
        <v>10.475068</v>
      </c>
      <c r="O87">
        <v>10.626023999999999</v>
      </c>
      <c r="P87">
        <v>10.758953999999999</v>
      </c>
      <c r="Q87">
        <v>10.875567999999999</v>
      </c>
      <c r="R87">
        <v>10.979032999999999</v>
      </c>
      <c r="S87">
        <v>11.071654000000001</v>
      </c>
      <c r="T87">
        <v>11.154877000000001</v>
      </c>
      <c r="U87">
        <v>11.229654999999999</v>
      </c>
      <c r="V87">
        <v>11.304667</v>
      </c>
      <c r="W87">
        <v>11.377219</v>
      </c>
      <c r="X87">
        <v>11.447278000000001</v>
      </c>
      <c r="Y87">
        <v>11.515231999999999</v>
      </c>
      <c r="Z87">
        <v>11.582255999999999</v>
      </c>
      <c r="AA87">
        <v>11.648866999999999</v>
      </c>
      <c r="AB87">
        <v>11.715138</v>
      </c>
      <c r="AC87">
        <v>11.781057000000001</v>
      </c>
      <c r="AD87">
        <v>11.847011999999999</v>
      </c>
      <c r="AE87">
        <v>11.912785</v>
      </c>
      <c r="AF87">
        <v>11.978335</v>
      </c>
      <c r="AG87">
        <v>12.043905000000001</v>
      </c>
      <c r="AH87">
        <v>12.109465</v>
      </c>
      <c r="AI87" s="21">
        <v>1.7000000000000001E-2</v>
      </c>
    </row>
    <row r="88" spans="1:35">
      <c r="A88" t="s">
        <v>279</v>
      </c>
      <c r="B88" t="s">
        <v>1221</v>
      </c>
      <c r="C88" t="s">
        <v>1220</v>
      </c>
      <c r="D88" t="s">
        <v>306</v>
      </c>
      <c r="F88">
        <v>0.923149</v>
      </c>
      <c r="G88">
        <v>1.0053399999999999</v>
      </c>
      <c r="H88">
        <v>1.0710919999999999</v>
      </c>
      <c r="I88">
        <v>1.123454</v>
      </c>
      <c r="J88">
        <v>1.165578</v>
      </c>
      <c r="K88">
        <v>1.199873</v>
      </c>
      <c r="L88">
        <v>1.228308</v>
      </c>
      <c r="M88">
        <v>1.2524029999999999</v>
      </c>
      <c r="N88">
        <v>1.2732730000000001</v>
      </c>
      <c r="O88">
        <v>1.291622</v>
      </c>
      <c r="P88">
        <v>1.3077799999999999</v>
      </c>
      <c r="Q88">
        <v>1.321955</v>
      </c>
      <c r="R88">
        <v>1.3345309999999999</v>
      </c>
      <c r="S88">
        <v>1.34579</v>
      </c>
      <c r="T88">
        <v>1.3559060000000001</v>
      </c>
      <c r="U88">
        <v>1.364995</v>
      </c>
      <c r="V88">
        <v>1.3741129999999999</v>
      </c>
      <c r="W88">
        <v>1.3829320000000001</v>
      </c>
      <c r="X88">
        <v>1.391448</v>
      </c>
      <c r="Y88">
        <v>1.399708</v>
      </c>
      <c r="Z88">
        <v>1.4078550000000001</v>
      </c>
      <c r="AA88">
        <v>1.4159520000000001</v>
      </c>
      <c r="AB88">
        <v>1.4240060000000001</v>
      </c>
      <c r="AC88">
        <v>1.4320189999999999</v>
      </c>
      <c r="AD88">
        <v>1.440037</v>
      </c>
      <c r="AE88">
        <v>1.4480310000000001</v>
      </c>
      <c r="AF88">
        <v>1.455999</v>
      </c>
      <c r="AG88">
        <v>1.4639690000000001</v>
      </c>
      <c r="AH88">
        <v>1.471938</v>
      </c>
      <c r="AI88" s="21">
        <v>1.7000000000000001E-2</v>
      </c>
    </row>
    <row r="89" spans="1:35">
      <c r="A89" t="s">
        <v>297</v>
      </c>
      <c r="B89" t="s">
        <v>1219</v>
      </c>
      <c r="C89" t="s">
        <v>1218</v>
      </c>
      <c r="D89" t="s">
        <v>306</v>
      </c>
      <c r="F89">
        <v>6.6714880000000001</v>
      </c>
      <c r="G89">
        <v>7.2654709999999998</v>
      </c>
      <c r="H89">
        <v>7.7406600000000001</v>
      </c>
      <c r="I89">
        <v>8.1190700000000007</v>
      </c>
      <c r="J89">
        <v>8.4234919999999995</v>
      </c>
      <c r="K89">
        <v>8.6713430000000002</v>
      </c>
      <c r="L89">
        <v>8.8768399999999996</v>
      </c>
      <c r="M89">
        <v>9.0509690000000003</v>
      </c>
      <c r="N89">
        <v>9.2017959999999999</v>
      </c>
      <c r="O89">
        <v>9.3344020000000008</v>
      </c>
      <c r="P89">
        <v>9.451174</v>
      </c>
      <c r="Q89">
        <v>9.5536139999999996</v>
      </c>
      <c r="R89">
        <v>9.6445030000000003</v>
      </c>
      <c r="S89">
        <v>9.7258639999999996</v>
      </c>
      <c r="T89">
        <v>9.7989709999999999</v>
      </c>
      <c r="U89">
        <v>9.8646600000000007</v>
      </c>
      <c r="V89">
        <v>9.9305540000000008</v>
      </c>
      <c r="W89">
        <v>9.9942869999999999</v>
      </c>
      <c r="X89">
        <v>10.05583</v>
      </c>
      <c r="Y89">
        <v>10.115524000000001</v>
      </c>
      <c r="Z89">
        <v>10.174401</v>
      </c>
      <c r="AA89">
        <v>10.232915</v>
      </c>
      <c r="AB89">
        <v>10.291131999999999</v>
      </c>
      <c r="AC89">
        <v>10.349038</v>
      </c>
      <c r="AD89">
        <v>10.406974999999999</v>
      </c>
      <c r="AE89">
        <v>10.464753</v>
      </c>
      <c r="AF89">
        <v>10.522335999999999</v>
      </c>
      <c r="AG89">
        <v>10.579936</v>
      </c>
      <c r="AH89">
        <v>10.637527</v>
      </c>
      <c r="AI89" s="21">
        <v>1.7000000000000001E-2</v>
      </c>
    </row>
    <row r="90" spans="1:35">
      <c r="A90" t="s">
        <v>286</v>
      </c>
      <c r="B90" t="s">
        <v>1217</v>
      </c>
      <c r="C90" t="s">
        <v>1216</v>
      </c>
      <c r="D90" t="s">
        <v>306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t="s">
        <v>17</v>
      </c>
    </row>
    <row r="91" spans="1:35">
      <c r="A91" t="s">
        <v>287</v>
      </c>
      <c r="B91" t="s">
        <v>1215</v>
      </c>
      <c r="C91" t="s">
        <v>1214</v>
      </c>
      <c r="D91" t="s">
        <v>306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t="s">
        <v>17</v>
      </c>
    </row>
    <row r="92" spans="1:35">
      <c r="A92" t="s">
        <v>298</v>
      </c>
      <c r="B92" t="s">
        <v>1213</v>
      </c>
      <c r="C92" t="s">
        <v>1212</v>
      </c>
      <c r="D92" t="s">
        <v>306</v>
      </c>
      <c r="F92">
        <v>17.032639</v>
      </c>
      <c r="G92">
        <v>17.333525000000002</v>
      </c>
      <c r="H92">
        <v>17.471111000000001</v>
      </c>
      <c r="I92">
        <v>17.514868</v>
      </c>
      <c r="J92">
        <v>17.667708999999999</v>
      </c>
      <c r="K92">
        <v>17.921016999999999</v>
      </c>
      <c r="L92">
        <v>18.139037999999999</v>
      </c>
      <c r="M92">
        <v>18.293453</v>
      </c>
      <c r="N92">
        <v>18.389309000000001</v>
      </c>
      <c r="O92">
        <v>18.446940999999999</v>
      </c>
      <c r="P92">
        <v>18.571213</v>
      </c>
      <c r="Q92">
        <v>18.730657999999998</v>
      </c>
      <c r="R92">
        <v>18.930088000000001</v>
      </c>
      <c r="S92">
        <v>19.092124999999999</v>
      </c>
      <c r="T92">
        <v>19.259436000000001</v>
      </c>
      <c r="U92">
        <v>19.415512</v>
      </c>
      <c r="V92">
        <v>19.584526</v>
      </c>
      <c r="W92">
        <v>19.751868999999999</v>
      </c>
      <c r="X92">
        <v>19.950641999999998</v>
      </c>
      <c r="Y92">
        <v>20.133372999999999</v>
      </c>
      <c r="Z92">
        <v>20.325230000000001</v>
      </c>
      <c r="AA92">
        <v>20.481424000000001</v>
      </c>
      <c r="AB92">
        <v>20.667052999999999</v>
      </c>
      <c r="AC92">
        <v>20.844881000000001</v>
      </c>
      <c r="AD92">
        <v>21.123301999999999</v>
      </c>
      <c r="AE92">
        <v>21.333514999999998</v>
      </c>
      <c r="AF92">
        <v>21.575635999999999</v>
      </c>
      <c r="AG92">
        <v>21.790666999999999</v>
      </c>
      <c r="AH92">
        <v>22.070596999999999</v>
      </c>
      <c r="AI92" s="21">
        <v>8.9999999999999993E-3</v>
      </c>
    </row>
    <row r="93" spans="1:35">
      <c r="A93" t="s">
        <v>279</v>
      </c>
      <c r="B93" t="s">
        <v>1211</v>
      </c>
      <c r="C93" t="s">
        <v>1210</v>
      </c>
      <c r="D93" t="s">
        <v>306</v>
      </c>
      <c r="F93">
        <v>17.032639</v>
      </c>
      <c r="G93">
        <v>17.333525000000002</v>
      </c>
      <c r="H93">
        <v>17.471111000000001</v>
      </c>
      <c r="I93">
        <v>17.514868</v>
      </c>
      <c r="J93">
        <v>17.667708999999999</v>
      </c>
      <c r="K93">
        <v>17.921016999999999</v>
      </c>
      <c r="L93">
        <v>18.139037999999999</v>
      </c>
      <c r="M93">
        <v>18.293453</v>
      </c>
      <c r="N93">
        <v>18.389309000000001</v>
      </c>
      <c r="O93">
        <v>18.446940999999999</v>
      </c>
      <c r="P93">
        <v>18.571213</v>
      </c>
      <c r="Q93">
        <v>18.730657999999998</v>
      </c>
      <c r="R93">
        <v>18.930088000000001</v>
      </c>
      <c r="S93">
        <v>19.092124999999999</v>
      </c>
      <c r="T93">
        <v>19.259436000000001</v>
      </c>
      <c r="U93">
        <v>19.415512</v>
      </c>
      <c r="V93">
        <v>19.584526</v>
      </c>
      <c r="W93">
        <v>19.751868999999999</v>
      </c>
      <c r="X93">
        <v>19.950641999999998</v>
      </c>
      <c r="Y93">
        <v>20.133372999999999</v>
      </c>
      <c r="Z93">
        <v>20.325230000000001</v>
      </c>
      <c r="AA93">
        <v>20.481424000000001</v>
      </c>
      <c r="AB93">
        <v>20.667052999999999</v>
      </c>
      <c r="AC93">
        <v>20.844881000000001</v>
      </c>
      <c r="AD93">
        <v>21.123301999999999</v>
      </c>
      <c r="AE93">
        <v>21.333514999999998</v>
      </c>
      <c r="AF93">
        <v>21.575635999999999</v>
      </c>
      <c r="AG93">
        <v>21.790666999999999</v>
      </c>
      <c r="AH93">
        <v>22.070596999999999</v>
      </c>
      <c r="AI93" s="21">
        <v>8.9999999999999993E-3</v>
      </c>
    </row>
    <row r="94" spans="1:35">
      <c r="A94" t="s">
        <v>299</v>
      </c>
      <c r="B94" t="s">
        <v>1209</v>
      </c>
      <c r="C94" t="s">
        <v>1208</v>
      </c>
      <c r="D94" t="s">
        <v>306</v>
      </c>
      <c r="F94">
        <v>19.286148000000001</v>
      </c>
      <c r="G94">
        <v>19.959654</v>
      </c>
      <c r="H94">
        <v>20.258087</v>
      </c>
      <c r="I94">
        <v>20.448008000000002</v>
      </c>
      <c r="J94">
        <v>20.643234</v>
      </c>
      <c r="K94">
        <v>20.778293999999999</v>
      </c>
      <c r="L94">
        <v>20.888736999999999</v>
      </c>
      <c r="M94">
        <v>21.11046</v>
      </c>
      <c r="N94">
        <v>21.285655999999999</v>
      </c>
      <c r="O94">
        <v>21.525711000000001</v>
      </c>
      <c r="P94">
        <v>21.809334</v>
      </c>
      <c r="Q94">
        <v>22.120438</v>
      </c>
      <c r="R94">
        <v>22.460100000000001</v>
      </c>
      <c r="S94">
        <v>22.760014000000002</v>
      </c>
      <c r="T94">
        <v>23.042663999999998</v>
      </c>
      <c r="U94">
        <v>23.327525999999999</v>
      </c>
      <c r="V94">
        <v>23.620547999999999</v>
      </c>
      <c r="W94">
        <v>23.904606000000001</v>
      </c>
      <c r="X94">
        <v>24.228663999999998</v>
      </c>
      <c r="Y94">
        <v>24.532539</v>
      </c>
      <c r="Z94">
        <v>24.846294</v>
      </c>
      <c r="AA94">
        <v>25.127307999999999</v>
      </c>
      <c r="AB94">
        <v>25.433437000000001</v>
      </c>
      <c r="AC94">
        <v>25.740656000000001</v>
      </c>
      <c r="AD94">
        <v>26.145723</v>
      </c>
      <c r="AE94">
        <v>26.505127000000002</v>
      </c>
      <c r="AF94">
        <v>26.890711</v>
      </c>
      <c r="AG94">
        <v>27.246131999999999</v>
      </c>
      <c r="AH94">
        <v>27.668061999999999</v>
      </c>
      <c r="AI94" s="21">
        <v>1.2999999999999999E-2</v>
      </c>
    </row>
    <row r="95" spans="1:35">
      <c r="A95" t="s">
        <v>279</v>
      </c>
      <c r="B95" t="s">
        <v>1207</v>
      </c>
      <c r="C95" t="s">
        <v>1206</v>
      </c>
      <c r="D95" t="s">
        <v>306</v>
      </c>
      <c r="F95">
        <v>6.9668039999999998</v>
      </c>
      <c r="G95">
        <v>7.2055709999999999</v>
      </c>
      <c r="H95">
        <v>7.3069870000000003</v>
      </c>
      <c r="I95">
        <v>7.3605080000000003</v>
      </c>
      <c r="J95">
        <v>7.3962209999999997</v>
      </c>
      <c r="K95">
        <v>7.4034529999999998</v>
      </c>
      <c r="L95">
        <v>7.4034849999999999</v>
      </c>
      <c r="M95">
        <v>7.4601230000000003</v>
      </c>
      <c r="N95">
        <v>7.5075329999999996</v>
      </c>
      <c r="O95">
        <v>7.6063049999999999</v>
      </c>
      <c r="P95">
        <v>7.7227600000000001</v>
      </c>
      <c r="Q95">
        <v>7.8505010000000004</v>
      </c>
      <c r="R95">
        <v>7.987139</v>
      </c>
      <c r="S95">
        <v>8.1068239999999996</v>
      </c>
      <c r="T95">
        <v>8.2209280000000007</v>
      </c>
      <c r="U95">
        <v>8.3371739999999992</v>
      </c>
      <c r="V95">
        <v>8.4559110000000004</v>
      </c>
      <c r="W95">
        <v>8.5701509999999992</v>
      </c>
      <c r="X95">
        <v>8.700564</v>
      </c>
      <c r="Y95">
        <v>8.8238339999999997</v>
      </c>
      <c r="Z95">
        <v>8.9493679999999998</v>
      </c>
      <c r="AA95">
        <v>9.0625599999999995</v>
      </c>
      <c r="AB95">
        <v>9.1843959999999996</v>
      </c>
      <c r="AC95">
        <v>9.3055529999999997</v>
      </c>
      <c r="AD95">
        <v>9.4632129999999997</v>
      </c>
      <c r="AE95">
        <v>9.6034579999999998</v>
      </c>
      <c r="AF95">
        <v>9.7528290000000002</v>
      </c>
      <c r="AG95">
        <v>9.890326</v>
      </c>
      <c r="AH95">
        <v>10.053587</v>
      </c>
      <c r="AI95" s="21">
        <v>1.2999999999999999E-2</v>
      </c>
    </row>
    <row r="96" spans="1:35">
      <c r="A96" t="s">
        <v>297</v>
      </c>
      <c r="B96" t="s">
        <v>1205</v>
      </c>
      <c r="C96" t="s">
        <v>1204</v>
      </c>
      <c r="D96" t="s">
        <v>306</v>
      </c>
      <c r="F96">
        <v>12.319345</v>
      </c>
      <c r="G96">
        <v>12.754084000000001</v>
      </c>
      <c r="H96">
        <v>12.951098999999999</v>
      </c>
      <c r="I96">
        <v>13.0875</v>
      </c>
      <c r="J96">
        <v>13.247013000000001</v>
      </c>
      <c r="K96">
        <v>13.374840000000001</v>
      </c>
      <c r="L96">
        <v>13.485250000000001</v>
      </c>
      <c r="M96">
        <v>13.650337</v>
      </c>
      <c r="N96">
        <v>13.778123000000001</v>
      </c>
      <c r="O96">
        <v>13.919407</v>
      </c>
      <c r="P96">
        <v>14.086574000000001</v>
      </c>
      <c r="Q96">
        <v>14.269936</v>
      </c>
      <c r="R96">
        <v>14.47296</v>
      </c>
      <c r="S96">
        <v>14.65319</v>
      </c>
      <c r="T96">
        <v>14.821736</v>
      </c>
      <c r="U96">
        <v>14.990353000000001</v>
      </c>
      <c r="V96">
        <v>15.164637000000001</v>
      </c>
      <c r="W96">
        <v>15.334455</v>
      </c>
      <c r="X96">
        <v>15.528098999999999</v>
      </c>
      <c r="Y96">
        <v>15.708705999999999</v>
      </c>
      <c r="Z96">
        <v>15.896927</v>
      </c>
      <c r="AA96">
        <v>16.064747000000001</v>
      </c>
      <c r="AB96">
        <v>16.249043</v>
      </c>
      <c r="AC96">
        <v>16.435102000000001</v>
      </c>
      <c r="AD96">
        <v>16.682510000000001</v>
      </c>
      <c r="AE96">
        <v>16.901668999999998</v>
      </c>
      <c r="AF96">
        <v>17.137882000000001</v>
      </c>
      <c r="AG96">
        <v>17.355803999999999</v>
      </c>
      <c r="AH96">
        <v>17.614474999999999</v>
      </c>
      <c r="AI96" s="21">
        <v>1.2999999999999999E-2</v>
      </c>
    </row>
    <row r="97" spans="1:35">
      <c r="A97" t="s">
        <v>286</v>
      </c>
      <c r="B97" t="s">
        <v>1203</v>
      </c>
      <c r="C97" t="s">
        <v>1202</v>
      </c>
      <c r="D97" t="s">
        <v>306</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t="s">
        <v>17</v>
      </c>
    </row>
    <row r="98" spans="1:35">
      <c r="A98" t="s">
        <v>287</v>
      </c>
      <c r="B98" t="s">
        <v>1201</v>
      </c>
      <c r="C98" t="s">
        <v>1200</v>
      </c>
      <c r="D98" t="s">
        <v>306</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t="s">
        <v>17</v>
      </c>
    </row>
    <row r="99" spans="1:35">
      <c r="A99" t="s">
        <v>191</v>
      </c>
      <c r="B99" t="s">
        <v>1199</v>
      </c>
      <c r="C99" t="s">
        <v>1198</v>
      </c>
      <c r="D99" t="s">
        <v>306</v>
      </c>
      <c r="F99">
        <v>202.83663899999999</v>
      </c>
      <c r="G99">
        <v>199.16296399999999</v>
      </c>
      <c r="H99">
        <v>195.80548099999999</v>
      </c>
      <c r="I99">
        <v>193.737213</v>
      </c>
      <c r="J99">
        <v>192.813141</v>
      </c>
      <c r="K99">
        <v>191.8974</v>
      </c>
      <c r="L99">
        <v>190.73350500000001</v>
      </c>
      <c r="M99">
        <v>189.210464</v>
      </c>
      <c r="N99">
        <v>187.40353400000001</v>
      </c>
      <c r="O99">
        <v>185.676941</v>
      </c>
      <c r="P99">
        <v>184.46688800000001</v>
      </c>
      <c r="Q99">
        <v>183.61003099999999</v>
      </c>
      <c r="R99">
        <v>182.77757299999999</v>
      </c>
      <c r="S99">
        <v>181.99818400000001</v>
      </c>
      <c r="T99">
        <v>181.450287</v>
      </c>
      <c r="U99">
        <v>181.105515</v>
      </c>
      <c r="V99">
        <v>180.74588</v>
      </c>
      <c r="W99">
        <v>180.38298</v>
      </c>
      <c r="X99">
        <v>180.29542499999999</v>
      </c>
      <c r="Y99">
        <v>180.16119399999999</v>
      </c>
      <c r="Z99">
        <v>179.988022</v>
      </c>
      <c r="AA99">
        <v>179.81350699999999</v>
      </c>
      <c r="AB99">
        <v>179.55651900000001</v>
      </c>
      <c r="AC99">
        <v>179.24385100000001</v>
      </c>
      <c r="AD99">
        <v>178.94970699999999</v>
      </c>
      <c r="AE99">
        <v>178.72766100000001</v>
      </c>
      <c r="AF99">
        <v>178.49087499999999</v>
      </c>
      <c r="AG99">
        <v>178.228363</v>
      </c>
      <c r="AH99">
        <v>178.15554800000001</v>
      </c>
      <c r="AI99" s="21">
        <v>-5.0000000000000001E-3</v>
      </c>
    </row>
    <row r="100" spans="1:35">
      <c r="A100" t="s">
        <v>300</v>
      </c>
      <c r="B100" t="s">
        <v>1197</v>
      </c>
      <c r="C100" t="s">
        <v>1196</v>
      </c>
      <c r="D100" t="s">
        <v>306</v>
      </c>
      <c r="F100">
        <v>163.608734</v>
      </c>
      <c r="G100">
        <v>160.38700900000001</v>
      </c>
      <c r="H100">
        <v>157.42775</v>
      </c>
      <c r="I100">
        <v>155.51083399999999</v>
      </c>
      <c r="J100">
        <v>154.51499899999999</v>
      </c>
      <c r="K100">
        <v>153.52697800000001</v>
      </c>
      <c r="L100">
        <v>152.34193400000001</v>
      </c>
      <c r="M100">
        <v>150.872345</v>
      </c>
      <c r="N100">
        <v>149.17961099999999</v>
      </c>
      <c r="O100">
        <v>147.55435199999999</v>
      </c>
      <c r="P100">
        <v>146.34231600000001</v>
      </c>
      <c r="Q100">
        <v>145.41207900000001</v>
      </c>
      <c r="R100">
        <v>144.50224299999999</v>
      </c>
      <c r="S100">
        <v>143.63537600000001</v>
      </c>
      <c r="T100">
        <v>142.95182800000001</v>
      </c>
      <c r="U100">
        <v>142.42834500000001</v>
      </c>
      <c r="V100">
        <v>141.89295999999999</v>
      </c>
      <c r="W100">
        <v>141.35481300000001</v>
      </c>
      <c r="X100">
        <v>141.03187600000001</v>
      </c>
      <c r="Y100">
        <v>140.67157</v>
      </c>
      <c r="Z100">
        <v>140.28007500000001</v>
      </c>
      <c r="AA100">
        <v>139.886841</v>
      </c>
      <c r="AB100">
        <v>139.42889400000001</v>
      </c>
      <c r="AC100">
        <v>138.927322</v>
      </c>
      <c r="AD100">
        <v>138.439819</v>
      </c>
      <c r="AE100">
        <v>138.00765999999999</v>
      </c>
      <c r="AF100">
        <v>137.56359900000001</v>
      </c>
      <c r="AG100">
        <v>137.09927400000001</v>
      </c>
      <c r="AH100">
        <v>136.780182</v>
      </c>
      <c r="AI100" s="21">
        <v>-6.0000000000000001E-3</v>
      </c>
    </row>
    <row r="101" spans="1:35">
      <c r="A101" t="s">
        <v>276</v>
      </c>
      <c r="B101" t="s">
        <v>1195</v>
      </c>
      <c r="C101" t="s">
        <v>1194</v>
      </c>
      <c r="D101" t="s">
        <v>306</v>
      </c>
      <c r="F101">
        <v>39.227898000000003</v>
      </c>
      <c r="G101">
        <v>38.775948</v>
      </c>
      <c r="H101">
        <v>38.377730999999997</v>
      </c>
      <c r="I101">
        <v>38.226379000000001</v>
      </c>
      <c r="J101">
        <v>38.298149000000002</v>
      </c>
      <c r="K101">
        <v>38.370418999999998</v>
      </c>
      <c r="L101">
        <v>38.391570999999999</v>
      </c>
      <c r="M101">
        <v>38.338120000000004</v>
      </c>
      <c r="N101">
        <v>38.223914999999998</v>
      </c>
      <c r="O101">
        <v>38.122588999999998</v>
      </c>
      <c r="P101">
        <v>38.124577000000002</v>
      </c>
      <c r="Q101">
        <v>38.197955999999998</v>
      </c>
      <c r="R101">
        <v>38.275326</v>
      </c>
      <c r="S101">
        <v>38.362803999999997</v>
      </c>
      <c r="T101">
        <v>38.498458999999997</v>
      </c>
      <c r="U101">
        <v>38.677174000000001</v>
      </c>
      <c r="V101">
        <v>38.852927999999999</v>
      </c>
      <c r="W101">
        <v>39.028163999999997</v>
      </c>
      <c r="X101">
        <v>39.263545999999998</v>
      </c>
      <c r="Y101">
        <v>39.489632</v>
      </c>
      <c r="Z101">
        <v>39.707951000000001</v>
      </c>
      <c r="AA101">
        <v>39.926662</v>
      </c>
      <c r="AB101">
        <v>40.127631999999998</v>
      </c>
      <c r="AC101">
        <v>40.316527999999998</v>
      </c>
      <c r="AD101">
        <v>40.509892000000001</v>
      </c>
      <c r="AE101">
        <v>40.720008999999997</v>
      </c>
      <c r="AF101">
        <v>40.927284</v>
      </c>
      <c r="AG101">
        <v>41.129097000000002</v>
      </c>
      <c r="AH101">
        <v>41.375362000000003</v>
      </c>
      <c r="AI101" s="21">
        <v>2E-3</v>
      </c>
    </row>
    <row r="102" spans="1:35">
      <c r="A102" t="s">
        <v>190</v>
      </c>
      <c r="B102" t="s">
        <v>1193</v>
      </c>
      <c r="C102" t="s">
        <v>1192</v>
      </c>
      <c r="D102" t="s">
        <v>306</v>
      </c>
      <c r="F102">
        <v>125.945221</v>
      </c>
      <c r="G102">
        <v>125.92506400000001</v>
      </c>
      <c r="H102">
        <v>126.01237500000001</v>
      </c>
      <c r="I102">
        <v>126.049858</v>
      </c>
      <c r="J102">
        <v>126.11367</v>
      </c>
      <c r="K102">
        <v>125.98440600000001</v>
      </c>
      <c r="L102">
        <v>125.852997</v>
      </c>
      <c r="M102">
        <v>125.755234</v>
      </c>
      <c r="N102">
        <v>125.652069</v>
      </c>
      <c r="O102">
        <v>125.54579200000001</v>
      </c>
      <c r="P102">
        <v>125.439178</v>
      </c>
      <c r="Q102">
        <v>125.330147</v>
      </c>
      <c r="R102">
        <v>125.250381</v>
      </c>
      <c r="S102">
        <v>125.225021</v>
      </c>
      <c r="T102">
        <v>125.255257</v>
      </c>
      <c r="U102">
        <v>125.318207</v>
      </c>
      <c r="V102">
        <v>125.411896</v>
      </c>
      <c r="W102">
        <v>125.52668799999999</v>
      </c>
      <c r="X102">
        <v>125.666534</v>
      </c>
      <c r="Y102">
        <v>125.797371</v>
      </c>
      <c r="Z102">
        <v>125.925034</v>
      </c>
      <c r="AA102">
        <v>126.04557</v>
      </c>
      <c r="AB102">
        <v>126.16628300000001</v>
      </c>
      <c r="AC102">
        <v>126.32028200000001</v>
      </c>
      <c r="AD102">
        <v>126.49239300000001</v>
      </c>
      <c r="AE102">
        <v>126.66081200000001</v>
      </c>
      <c r="AF102">
        <v>126.811455</v>
      </c>
      <c r="AG102">
        <v>126.974289</v>
      </c>
      <c r="AH102">
        <v>127.158676</v>
      </c>
      <c r="AI102" s="21">
        <v>0</v>
      </c>
    </row>
    <row r="103" spans="1:35">
      <c r="A103" t="s">
        <v>189</v>
      </c>
      <c r="B103" t="s">
        <v>1191</v>
      </c>
      <c r="C103" t="s">
        <v>1190</v>
      </c>
      <c r="D103" t="s">
        <v>306</v>
      </c>
      <c r="F103">
        <v>905.73223900000005</v>
      </c>
      <c r="G103">
        <v>820.54260299999999</v>
      </c>
      <c r="H103">
        <v>760.982483</v>
      </c>
      <c r="I103">
        <v>726.75244099999998</v>
      </c>
      <c r="J103">
        <v>695.850098</v>
      </c>
      <c r="K103">
        <v>653.98541299999999</v>
      </c>
      <c r="L103">
        <v>613.92791699999998</v>
      </c>
      <c r="M103">
        <v>612.03295900000001</v>
      </c>
      <c r="N103">
        <v>610.31640600000003</v>
      </c>
      <c r="O103">
        <v>611.89654499999995</v>
      </c>
      <c r="P103">
        <v>617.76355000000001</v>
      </c>
      <c r="Q103">
        <v>626.28515600000003</v>
      </c>
      <c r="R103">
        <v>630.76672399999995</v>
      </c>
      <c r="S103">
        <v>633.47729500000003</v>
      </c>
      <c r="T103">
        <v>634.00311299999998</v>
      </c>
      <c r="U103">
        <v>632.96820100000002</v>
      </c>
      <c r="V103">
        <v>637.83142099999998</v>
      </c>
      <c r="W103">
        <v>636.66796899999997</v>
      </c>
      <c r="X103">
        <v>645.807007</v>
      </c>
      <c r="Y103">
        <v>652.42675799999995</v>
      </c>
      <c r="Z103">
        <v>658.166382</v>
      </c>
      <c r="AA103">
        <v>660.99408000000005</v>
      </c>
      <c r="AB103">
        <v>665.09454300000004</v>
      </c>
      <c r="AC103">
        <v>669.20263699999998</v>
      </c>
      <c r="AD103">
        <v>674.53369099999998</v>
      </c>
      <c r="AE103">
        <v>682.13464399999998</v>
      </c>
      <c r="AF103">
        <v>689.49054000000001</v>
      </c>
      <c r="AG103">
        <v>691.88214100000005</v>
      </c>
      <c r="AH103">
        <v>696.77728300000001</v>
      </c>
      <c r="AI103" s="21">
        <v>-8.9999999999999993E-3</v>
      </c>
    </row>
    <row r="104" spans="1:35">
      <c r="A104" t="s">
        <v>1189</v>
      </c>
      <c r="B104" t="s">
        <v>1188</v>
      </c>
      <c r="C104" t="s">
        <v>1187</v>
      </c>
      <c r="D104" t="s">
        <v>306</v>
      </c>
      <c r="F104">
        <v>332.52310199999999</v>
      </c>
      <c r="G104">
        <v>377.97052000000002</v>
      </c>
      <c r="H104">
        <v>384.00460800000002</v>
      </c>
      <c r="I104">
        <v>408.78292800000003</v>
      </c>
      <c r="J104">
        <v>446.260651</v>
      </c>
      <c r="K104">
        <v>477.17263800000001</v>
      </c>
      <c r="L104">
        <v>503.61007699999999</v>
      </c>
      <c r="M104">
        <v>527.57086200000003</v>
      </c>
      <c r="N104">
        <v>577.96905500000003</v>
      </c>
      <c r="O104">
        <v>628.36724900000002</v>
      </c>
      <c r="P104">
        <v>680.00372300000004</v>
      </c>
      <c r="Q104">
        <v>729.163635</v>
      </c>
      <c r="R104">
        <v>771.16210899999999</v>
      </c>
      <c r="S104">
        <v>796.36120600000004</v>
      </c>
      <c r="T104">
        <v>814.39892599999996</v>
      </c>
      <c r="U104">
        <v>829.96002199999998</v>
      </c>
      <c r="V104">
        <v>838.35974099999999</v>
      </c>
      <c r="W104">
        <v>838.35974099999999</v>
      </c>
      <c r="X104">
        <v>839.59802200000001</v>
      </c>
      <c r="Y104">
        <v>838.35974099999999</v>
      </c>
      <c r="Z104">
        <v>838.35974099999999</v>
      </c>
      <c r="AA104">
        <v>838.35974099999999</v>
      </c>
      <c r="AB104">
        <v>839.59802200000001</v>
      </c>
      <c r="AC104">
        <v>838.35974099999999</v>
      </c>
      <c r="AD104">
        <v>838.35974099999999</v>
      </c>
      <c r="AE104">
        <v>838.35974099999999</v>
      </c>
      <c r="AF104">
        <v>839.59802200000001</v>
      </c>
      <c r="AG104">
        <v>838.35974099999999</v>
      </c>
      <c r="AH104">
        <v>838.35974099999999</v>
      </c>
      <c r="AI104" s="21">
        <v>3.4000000000000002E-2</v>
      </c>
    </row>
    <row r="105" spans="1:35">
      <c r="A105" t="s">
        <v>188</v>
      </c>
      <c r="B105" t="s">
        <v>1186</v>
      </c>
      <c r="C105" t="s">
        <v>1185</v>
      </c>
      <c r="D105" t="s">
        <v>306</v>
      </c>
      <c r="F105">
        <v>27986.478515999999</v>
      </c>
      <c r="G105">
        <v>28032.220702999999</v>
      </c>
      <c r="H105">
        <v>27776.765625</v>
      </c>
      <c r="I105">
        <v>27465.828125</v>
      </c>
      <c r="J105">
        <v>27255.169922000001</v>
      </c>
      <c r="K105">
        <v>27052.175781000002</v>
      </c>
      <c r="L105">
        <v>26819.683593999998</v>
      </c>
      <c r="M105">
        <v>26592.78125</v>
      </c>
      <c r="N105">
        <v>26361.335938</v>
      </c>
      <c r="O105">
        <v>26163.675781000002</v>
      </c>
      <c r="P105">
        <v>26008.943359000001</v>
      </c>
      <c r="Q105">
        <v>25899.167968999998</v>
      </c>
      <c r="R105">
        <v>25803.771484000001</v>
      </c>
      <c r="S105">
        <v>25706.130859000001</v>
      </c>
      <c r="T105">
        <v>25600.619140999999</v>
      </c>
      <c r="U105">
        <v>25535.832031000002</v>
      </c>
      <c r="V105">
        <v>25495.666015999999</v>
      </c>
      <c r="W105">
        <v>25451.617188</v>
      </c>
      <c r="X105">
        <v>25462.876952999999</v>
      </c>
      <c r="Y105">
        <v>25488.181640999999</v>
      </c>
      <c r="Z105">
        <v>25533.677734000001</v>
      </c>
      <c r="AA105">
        <v>25586.275390999999</v>
      </c>
      <c r="AB105">
        <v>25660.166015999999</v>
      </c>
      <c r="AC105">
        <v>25746.871093999998</v>
      </c>
      <c r="AD105">
        <v>25871.171875</v>
      </c>
      <c r="AE105">
        <v>26021.988281000002</v>
      </c>
      <c r="AF105">
        <v>26178.046875</v>
      </c>
      <c r="AG105">
        <v>26334.755859000001</v>
      </c>
      <c r="AH105">
        <v>26541.847656000002</v>
      </c>
      <c r="AI105" s="21">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J67"/>
  <sheetViews>
    <sheetView workbookViewId="0"/>
  </sheetViews>
  <sheetFormatPr defaultRowHeight="15" customHeight="1"/>
  <cols>
    <col min="1" max="1" width="25" customWidth="1"/>
    <col min="2" max="2" width="36"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307</v>
      </c>
    </row>
    <row r="11" spans="1:35">
      <c r="A11" t="s">
        <v>1564</v>
      </c>
    </row>
    <row r="12" spans="1:35">
      <c r="A12" t="s">
        <v>2341</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1563</v>
      </c>
      <c r="C17" t="s">
        <v>1562</v>
      </c>
      <c r="D17" t="s">
        <v>329</v>
      </c>
      <c r="F17">
        <v>113.485703</v>
      </c>
      <c r="G17">
        <v>110.469795</v>
      </c>
      <c r="H17">
        <v>107.590355</v>
      </c>
      <c r="I17">
        <v>104.598671</v>
      </c>
      <c r="J17">
        <v>101.54632599999999</v>
      </c>
      <c r="K17">
        <v>98.408339999999995</v>
      </c>
      <c r="L17">
        <v>95.150108000000003</v>
      </c>
      <c r="M17">
        <v>91.853133999999997</v>
      </c>
      <c r="N17">
        <v>88.524780000000007</v>
      </c>
      <c r="O17">
        <v>85.212502000000001</v>
      </c>
      <c r="P17">
        <v>81.955994000000004</v>
      </c>
      <c r="Q17">
        <v>78.782409999999999</v>
      </c>
      <c r="R17">
        <v>75.732285000000005</v>
      </c>
      <c r="S17">
        <v>72.854027000000002</v>
      </c>
      <c r="T17">
        <v>70.216042000000002</v>
      </c>
      <c r="U17">
        <v>67.840073000000004</v>
      </c>
      <c r="V17">
        <v>65.743545999999995</v>
      </c>
      <c r="W17">
        <v>63.900756999999999</v>
      </c>
      <c r="X17">
        <v>62.316142999999997</v>
      </c>
      <c r="Y17">
        <v>60.931694</v>
      </c>
      <c r="Z17">
        <v>59.724350000000001</v>
      </c>
      <c r="AA17">
        <v>58.648266</v>
      </c>
      <c r="AB17">
        <v>57.695877000000003</v>
      </c>
      <c r="AC17">
        <v>56.850062999999999</v>
      </c>
      <c r="AD17">
        <v>56.082008000000002</v>
      </c>
      <c r="AE17">
        <v>55.377018</v>
      </c>
      <c r="AF17">
        <v>54.739337999999996</v>
      </c>
      <c r="AG17">
        <v>54.1511</v>
      </c>
      <c r="AH17">
        <v>53.633910999999998</v>
      </c>
      <c r="AI17" s="21">
        <v>-2.5999999999999999E-2</v>
      </c>
    </row>
    <row r="18" spans="1:35">
      <c r="A18" t="s">
        <v>311</v>
      </c>
      <c r="B18" t="s">
        <v>1561</v>
      </c>
      <c r="C18" t="s">
        <v>1560</v>
      </c>
      <c r="D18" t="s">
        <v>329</v>
      </c>
      <c r="F18">
        <v>0.52865200000000001</v>
      </c>
      <c r="G18">
        <v>0.49542399999999998</v>
      </c>
      <c r="H18">
        <v>0.46307599999999999</v>
      </c>
      <c r="I18">
        <v>0.431282</v>
      </c>
      <c r="J18">
        <v>0.39990199999999998</v>
      </c>
      <c r="K18">
        <v>0.368815</v>
      </c>
      <c r="L18">
        <v>0.33779199999999998</v>
      </c>
      <c r="M18">
        <v>0.30686200000000002</v>
      </c>
      <c r="N18">
        <v>0.27654099999999998</v>
      </c>
      <c r="O18">
        <v>0.24757699999999999</v>
      </c>
      <c r="P18">
        <v>0.21978300000000001</v>
      </c>
      <c r="Q18">
        <v>0.19367000000000001</v>
      </c>
      <c r="R18">
        <v>0.16977500000000001</v>
      </c>
      <c r="S18">
        <v>0.14865900000000001</v>
      </c>
      <c r="T18">
        <v>0.130743</v>
      </c>
      <c r="U18">
        <v>0.11596099999999999</v>
      </c>
      <c r="V18">
        <v>0.104272</v>
      </c>
      <c r="W18">
        <v>9.5627000000000004E-2</v>
      </c>
      <c r="X18">
        <v>8.9082999999999996E-2</v>
      </c>
      <c r="Y18">
        <v>8.3143999999999996E-2</v>
      </c>
      <c r="Z18">
        <v>7.7796000000000004E-2</v>
      </c>
      <c r="AA18">
        <v>7.2952000000000003E-2</v>
      </c>
      <c r="AB18">
        <v>6.8448999999999996E-2</v>
      </c>
      <c r="AC18">
        <v>6.4240000000000005E-2</v>
      </c>
      <c r="AD18">
        <v>6.0305999999999998E-2</v>
      </c>
      <c r="AE18">
        <v>5.6628999999999999E-2</v>
      </c>
      <c r="AF18">
        <v>5.3191000000000002E-2</v>
      </c>
      <c r="AG18">
        <v>4.9974999999999999E-2</v>
      </c>
      <c r="AH18">
        <v>4.6968999999999997E-2</v>
      </c>
      <c r="AI18" s="21">
        <v>-8.3000000000000004E-2</v>
      </c>
    </row>
    <row r="19" spans="1:35">
      <c r="A19" t="s">
        <v>312</v>
      </c>
      <c r="B19" t="s">
        <v>1559</v>
      </c>
      <c r="C19" t="s">
        <v>1558</v>
      </c>
      <c r="D19" t="s">
        <v>329</v>
      </c>
      <c r="F19">
        <v>114.014359</v>
      </c>
      <c r="G19">
        <v>110.96521799999999</v>
      </c>
      <c r="H19">
        <v>108.05342899999999</v>
      </c>
      <c r="I19">
        <v>105.02995300000001</v>
      </c>
      <c r="J19">
        <v>101.946228</v>
      </c>
      <c r="K19">
        <v>98.777152999999998</v>
      </c>
      <c r="L19">
        <v>95.487899999999996</v>
      </c>
      <c r="M19">
        <v>92.159996000000007</v>
      </c>
      <c r="N19">
        <v>88.801322999999996</v>
      </c>
      <c r="O19">
        <v>85.460075000000003</v>
      </c>
      <c r="P19">
        <v>82.175774000000004</v>
      </c>
      <c r="Q19">
        <v>78.976082000000005</v>
      </c>
      <c r="R19">
        <v>75.902061000000003</v>
      </c>
      <c r="S19">
        <v>73.002685999999997</v>
      </c>
      <c r="T19">
        <v>70.346785999999994</v>
      </c>
      <c r="U19">
        <v>67.956031999999993</v>
      </c>
      <c r="V19">
        <v>65.847815999999995</v>
      </c>
      <c r="W19">
        <v>63.996383999999999</v>
      </c>
      <c r="X19">
        <v>62.405228000000001</v>
      </c>
      <c r="Y19">
        <v>61.014839000000002</v>
      </c>
      <c r="Z19">
        <v>59.802146999999998</v>
      </c>
      <c r="AA19">
        <v>58.721218</v>
      </c>
      <c r="AB19">
        <v>57.764324000000002</v>
      </c>
      <c r="AC19">
        <v>56.914302999999997</v>
      </c>
      <c r="AD19">
        <v>56.142315000000004</v>
      </c>
      <c r="AE19">
        <v>55.433647000000001</v>
      </c>
      <c r="AF19">
        <v>54.792529999999999</v>
      </c>
      <c r="AG19">
        <v>54.201076999999998</v>
      </c>
      <c r="AH19">
        <v>53.680881999999997</v>
      </c>
      <c r="AI19" s="21">
        <v>-2.7E-2</v>
      </c>
    </row>
    <row r="20" spans="1:35">
      <c r="A20" t="s">
        <v>313</v>
      </c>
    </row>
    <row r="21" spans="1:35">
      <c r="A21" t="s">
        <v>314</v>
      </c>
      <c r="B21" t="s">
        <v>1557</v>
      </c>
      <c r="C21" t="s">
        <v>1556</v>
      </c>
      <c r="D21" t="s">
        <v>329</v>
      </c>
      <c r="F21">
        <v>4.3995579999999999</v>
      </c>
      <c r="G21">
        <v>4.223617</v>
      </c>
      <c r="H21">
        <v>4.0314620000000003</v>
      </c>
      <c r="I21">
        <v>3.8203649999999998</v>
      </c>
      <c r="J21">
        <v>3.5931419999999998</v>
      </c>
      <c r="K21">
        <v>3.351429</v>
      </c>
      <c r="L21">
        <v>3.0995810000000001</v>
      </c>
      <c r="M21">
        <v>2.8436919999999999</v>
      </c>
      <c r="N21">
        <v>2.5891630000000001</v>
      </c>
      <c r="O21">
        <v>2.3438599999999998</v>
      </c>
      <c r="P21">
        <v>2.1135619999999999</v>
      </c>
      <c r="Q21">
        <v>1.903087</v>
      </c>
      <c r="R21">
        <v>1.7133989999999999</v>
      </c>
      <c r="S21">
        <v>1.5472919999999999</v>
      </c>
      <c r="T21">
        <v>1.4091210000000001</v>
      </c>
      <c r="U21">
        <v>1.298546</v>
      </c>
      <c r="V21">
        <v>1.208709</v>
      </c>
      <c r="W21">
        <v>1.13846</v>
      </c>
      <c r="X21">
        <v>1.0840080000000001</v>
      </c>
      <c r="Y21">
        <v>1.038195</v>
      </c>
      <c r="Z21">
        <v>0.99842299999999995</v>
      </c>
      <c r="AA21">
        <v>0.96319100000000002</v>
      </c>
      <c r="AB21">
        <v>0.93233200000000005</v>
      </c>
      <c r="AC21">
        <v>0.90430900000000003</v>
      </c>
      <c r="AD21">
        <v>0.87903699999999996</v>
      </c>
      <c r="AE21">
        <v>0.85550899999999996</v>
      </c>
      <c r="AF21">
        <v>0.83366399999999996</v>
      </c>
      <c r="AG21">
        <v>0.81331299999999995</v>
      </c>
      <c r="AH21">
        <v>0.794485</v>
      </c>
      <c r="AI21" s="21">
        <v>-5.8999999999999997E-2</v>
      </c>
    </row>
    <row r="22" spans="1:35">
      <c r="A22" t="s">
        <v>1424</v>
      </c>
      <c r="B22" t="s">
        <v>1555</v>
      </c>
      <c r="C22" t="s">
        <v>1418</v>
      </c>
      <c r="D22" t="s">
        <v>329</v>
      </c>
      <c r="F22">
        <v>0.180953</v>
      </c>
      <c r="G22">
        <v>0.17660899999999999</v>
      </c>
      <c r="H22">
        <v>0.17205300000000001</v>
      </c>
      <c r="I22">
        <v>0.16697899999999999</v>
      </c>
      <c r="J22">
        <v>0.16118299999999999</v>
      </c>
      <c r="K22">
        <v>0.15470900000000001</v>
      </c>
      <c r="L22">
        <v>0.147397</v>
      </c>
      <c r="M22">
        <v>0.13920399999999999</v>
      </c>
      <c r="N22">
        <v>0.13022400000000001</v>
      </c>
      <c r="O22">
        <v>0.12062299999999999</v>
      </c>
      <c r="P22">
        <v>0.11053300000000001</v>
      </c>
      <c r="Q22">
        <v>0.100353</v>
      </c>
      <c r="R22">
        <v>9.0386999999999995E-2</v>
      </c>
      <c r="S22">
        <v>8.0902000000000002E-2</v>
      </c>
      <c r="T22">
        <v>7.2352E-2</v>
      </c>
      <c r="U22">
        <v>6.4808000000000004E-2</v>
      </c>
      <c r="V22">
        <v>5.8779999999999999E-2</v>
      </c>
      <c r="W22">
        <v>5.3841E-2</v>
      </c>
      <c r="X22">
        <v>5.0194999999999997E-2</v>
      </c>
      <c r="Y22">
        <v>4.7490999999999998E-2</v>
      </c>
      <c r="Z22">
        <v>4.5529E-2</v>
      </c>
      <c r="AA22">
        <v>4.4081000000000002E-2</v>
      </c>
      <c r="AB22">
        <v>4.2951999999999997E-2</v>
      </c>
      <c r="AC22">
        <v>4.1998000000000001E-2</v>
      </c>
      <c r="AD22">
        <v>4.1274999999999999E-2</v>
      </c>
      <c r="AE22">
        <v>4.0637E-2</v>
      </c>
      <c r="AF22">
        <v>4.0087999999999999E-2</v>
      </c>
      <c r="AG22">
        <v>3.9634000000000003E-2</v>
      </c>
      <c r="AH22">
        <v>3.9296999999999999E-2</v>
      </c>
      <c r="AI22" s="21">
        <v>-5.2999999999999999E-2</v>
      </c>
    </row>
    <row r="23" spans="1:35">
      <c r="A23" t="s">
        <v>1422</v>
      </c>
      <c r="B23" t="s">
        <v>1554</v>
      </c>
      <c r="C23" t="s">
        <v>1418</v>
      </c>
      <c r="D23" t="s">
        <v>329</v>
      </c>
      <c r="F23">
        <v>0.32210800000000001</v>
      </c>
      <c r="G23">
        <v>0.40770600000000001</v>
      </c>
      <c r="H23">
        <v>0.51406099999999999</v>
      </c>
      <c r="I23">
        <v>0.63432699999999997</v>
      </c>
      <c r="J23">
        <v>0.79471400000000003</v>
      </c>
      <c r="K23">
        <v>0.98567099999999996</v>
      </c>
      <c r="L23">
        <v>1.2017880000000001</v>
      </c>
      <c r="M23">
        <v>1.4738899999999999</v>
      </c>
      <c r="N23">
        <v>1.7933429999999999</v>
      </c>
      <c r="O23">
        <v>2.1217220000000001</v>
      </c>
      <c r="P23">
        <v>2.457182</v>
      </c>
      <c r="Q23">
        <v>2.7879230000000002</v>
      </c>
      <c r="R23">
        <v>3.114671</v>
      </c>
      <c r="S23">
        <v>3.4381629999999999</v>
      </c>
      <c r="T23">
        <v>3.7588360000000001</v>
      </c>
      <c r="U23">
        <v>4.0671910000000002</v>
      </c>
      <c r="V23">
        <v>4.3615440000000003</v>
      </c>
      <c r="W23">
        <v>4.6410280000000004</v>
      </c>
      <c r="X23">
        <v>4.8995300000000004</v>
      </c>
      <c r="Y23">
        <v>5.1375679999999999</v>
      </c>
      <c r="Z23">
        <v>5.354914</v>
      </c>
      <c r="AA23">
        <v>5.5449299999999999</v>
      </c>
      <c r="AB23">
        <v>5.7110669999999999</v>
      </c>
      <c r="AC23">
        <v>5.8508820000000004</v>
      </c>
      <c r="AD23">
        <v>5.9843849999999996</v>
      </c>
      <c r="AE23">
        <v>6.0834989999999998</v>
      </c>
      <c r="AF23">
        <v>6.1565050000000001</v>
      </c>
      <c r="AG23">
        <v>6.2058119999999999</v>
      </c>
      <c r="AH23">
        <v>6.2323339999999998</v>
      </c>
      <c r="AI23" s="21">
        <v>0.112</v>
      </c>
    </row>
    <row r="24" spans="1:35">
      <c r="A24" t="s">
        <v>1420</v>
      </c>
      <c r="B24" t="s">
        <v>1553</v>
      </c>
      <c r="C24" t="s">
        <v>1418</v>
      </c>
      <c r="D24" t="s">
        <v>329</v>
      </c>
      <c r="F24">
        <v>1.397494</v>
      </c>
      <c r="G24">
        <v>1.924952</v>
      </c>
      <c r="H24">
        <v>2.4512200000000002</v>
      </c>
      <c r="I24">
        <v>3.012089</v>
      </c>
      <c r="J24">
        <v>3.5857239999999999</v>
      </c>
      <c r="K24">
        <v>4.1813029999999998</v>
      </c>
      <c r="L24">
        <v>4.7999049999999999</v>
      </c>
      <c r="M24">
        <v>5.4268130000000001</v>
      </c>
      <c r="N24">
        <v>6.0425930000000001</v>
      </c>
      <c r="O24">
        <v>6.6459169999999999</v>
      </c>
      <c r="P24">
        <v>7.250267</v>
      </c>
      <c r="Q24">
        <v>7.8393519999999999</v>
      </c>
      <c r="R24">
        <v>8.4123110000000008</v>
      </c>
      <c r="S24">
        <v>8.9672780000000003</v>
      </c>
      <c r="T24">
        <v>9.502402</v>
      </c>
      <c r="U24">
        <v>10.004804999999999</v>
      </c>
      <c r="V24">
        <v>10.473606999999999</v>
      </c>
      <c r="W24">
        <v>10.908110000000001</v>
      </c>
      <c r="X24">
        <v>11.302820000000001</v>
      </c>
      <c r="Y24">
        <v>11.662145000000001</v>
      </c>
      <c r="Z24">
        <v>11.989678</v>
      </c>
      <c r="AA24">
        <v>12.284489000000001</v>
      </c>
      <c r="AB24">
        <v>12.551564000000001</v>
      </c>
      <c r="AC24">
        <v>12.798245</v>
      </c>
      <c r="AD24">
        <v>13.068667</v>
      </c>
      <c r="AE24">
        <v>13.323066000000001</v>
      </c>
      <c r="AF24">
        <v>13.568265999999999</v>
      </c>
      <c r="AG24">
        <v>13.810585</v>
      </c>
      <c r="AH24">
        <v>14.0556</v>
      </c>
      <c r="AI24" s="21">
        <v>8.5999999999999993E-2</v>
      </c>
    </row>
    <row r="25" spans="1:35">
      <c r="A25" t="s">
        <v>1417</v>
      </c>
      <c r="B25" t="s">
        <v>1552</v>
      </c>
      <c r="C25" t="s">
        <v>1551</v>
      </c>
      <c r="D25" t="s">
        <v>329</v>
      </c>
      <c r="F25">
        <v>0.36481799999999998</v>
      </c>
      <c r="G25">
        <v>0.39685399999999998</v>
      </c>
      <c r="H25">
        <v>0.440523</v>
      </c>
      <c r="I25">
        <v>0.49807400000000002</v>
      </c>
      <c r="J25">
        <v>0.56507499999999999</v>
      </c>
      <c r="K25">
        <v>0.636266</v>
      </c>
      <c r="L25">
        <v>0.71179899999999996</v>
      </c>
      <c r="M25">
        <v>0.78975200000000001</v>
      </c>
      <c r="N25">
        <v>0.86580000000000001</v>
      </c>
      <c r="O25">
        <v>0.94000700000000004</v>
      </c>
      <c r="P25">
        <v>1.012591</v>
      </c>
      <c r="Q25">
        <v>1.0836399999999999</v>
      </c>
      <c r="R25">
        <v>1.15425</v>
      </c>
      <c r="S25">
        <v>1.224977</v>
      </c>
      <c r="T25">
        <v>1.2941879999999999</v>
      </c>
      <c r="U25">
        <v>1.360819</v>
      </c>
      <c r="V25">
        <v>1.4249400000000001</v>
      </c>
      <c r="W25">
        <v>1.485957</v>
      </c>
      <c r="X25">
        <v>1.542327</v>
      </c>
      <c r="Y25">
        <v>1.5966009999999999</v>
      </c>
      <c r="Z25">
        <v>1.649411</v>
      </c>
      <c r="AA25">
        <v>1.7000040000000001</v>
      </c>
      <c r="AB25">
        <v>1.7481960000000001</v>
      </c>
      <c r="AC25">
        <v>1.794386</v>
      </c>
      <c r="AD25">
        <v>1.841316</v>
      </c>
      <c r="AE25">
        <v>1.886765</v>
      </c>
      <c r="AF25">
        <v>1.930704</v>
      </c>
      <c r="AG25">
        <v>1.973792</v>
      </c>
      <c r="AH25">
        <v>2.0174110000000001</v>
      </c>
      <c r="AI25" s="21">
        <v>6.3E-2</v>
      </c>
    </row>
    <row r="26" spans="1:35">
      <c r="A26" t="s">
        <v>1414</v>
      </c>
      <c r="B26" t="s">
        <v>1550</v>
      </c>
      <c r="C26" t="s">
        <v>1549</v>
      </c>
      <c r="D26" t="s">
        <v>329</v>
      </c>
      <c r="F26">
        <v>0.20380000000000001</v>
      </c>
      <c r="G26">
        <v>0.198907</v>
      </c>
      <c r="H26">
        <v>0.19409899999999999</v>
      </c>
      <c r="I26">
        <v>0.188969</v>
      </c>
      <c r="J26">
        <v>0.183365</v>
      </c>
      <c r="K26">
        <v>0.177172</v>
      </c>
      <c r="L26">
        <v>0.17025299999999999</v>
      </c>
      <c r="M26">
        <v>0.16253100000000001</v>
      </c>
      <c r="N26">
        <v>0.15404499999999999</v>
      </c>
      <c r="O26">
        <v>0.144848</v>
      </c>
      <c r="P26">
        <v>0.13513900000000001</v>
      </c>
      <c r="Q26">
        <v>0.12506999999999999</v>
      </c>
      <c r="R26">
        <v>0.115033</v>
      </c>
      <c r="S26">
        <v>0.105492</v>
      </c>
      <c r="T26">
        <v>9.6682000000000004E-2</v>
      </c>
      <c r="U26">
        <v>8.8872000000000007E-2</v>
      </c>
      <c r="V26">
        <v>8.2436999999999996E-2</v>
      </c>
      <c r="W26">
        <v>7.7460000000000001E-2</v>
      </c>
      <c r="X26">
        <v>7.3616000000000001E-2</v>
      </c>
      <c r="Y26">
        <v>7.0371000000000003E-2</v>
      </c>
      <c r="Z26">
        <v>6.8429000000000004E-2</v>
      </c>
      <c r="AA26">
        <v>6.7599000000000006E-2</v>
      </c>
      <c r="AB26">
        <v>6.7237000000000005E-2</v>
      </c>
      <c r="AC26">
        <v>6.7141000000000006E-2</v>
      </c>
      <c r="AD26">
        <v>6.7418000000000006E-2</v>
      </c>
      <c r="AE26">
        <v>6.7787E-2</v>
      </c>
      <c r="AF26">
        <v>6.8248000000000003E-2</v>
      </c>
      <c r="AG26">
        <v>6.8819000000000005E-2</v>
      </c>
      <c r="AH26">
        <v>6.9533999999999999E-2</v>
      </c>
      <c r="AI26" s="21">
        <v>-3.7999999999999999E-2</v>
      </c>
    </row>
    <row r="27" spans="1:35">
      <c r="A27" t="s">
        <v>315</v>
      </c>
      <c r="B27" t="s">
        <v>1548</v>
      </c>
      <c r="C27" t="s">
        <v>1547</v>
      </c>
      <c r="D27" t="s">
        <v>329</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1546</v>
      </c>
      <c r="C28" t="s">
        <v>1545</v>
      </c>
      <c r="D28" t="s">
        <v>329</v>
      </c>
      <c r="F28">
        <v>4.0432810000000003</v>
      </c>
      <c r="G28">
        <v>4.1357140000000001</v>
      </c>
      <c r="H28">
        <v>4.2333239999999996</v>
      </c>
      <c r="I28">
        <v>4.315175</v>
      </c>
      <c r="J28">
        <v>4.3889820000000004</v>
      </c>
      <c r="K28">
        <v>4.4505220000000003</v>
      </c>
      <c r="L28">
        <v>4.5010570000000003</v>
      </c>
      <c r="M28">
        <v>4.545293</v>
      </c>
      <c r="N28">
        <v>4.5855490000000003</v>
      </c>
      <c r="O28">
        <v>4.6257010000000003</v>
      </c>
      <c r="P28">
        <v>4.6667420000000002</v>
      </c>
      <c r="Q28">
        <v>4.7116889999999998</v>
      </c>
      <c r="R28">
        <v>4.7619199999999999</v>
      </c>
      <c r="S28">
        <v>4.8228499999999999</v>
      </c>
      <c r="T28">
        <v>4.8934340000000001</v>
      </c>
      <c r="U28">
        <v>4.9740549999999999</v>
      </c>
      <c r="V28">
        <v>5.0655799999999997</v>
      </c>
      <c r="W28">
        <v>5.1648009999999998</v>
      </c>
      <c r="X28">
        <v>5.2715829999999997</v>
      </c>
      <c r="Y28">
        <v>5.3775019999999998</v>
      </c>
      <c r="Z28">
        <v>5.4799689999999996</v>
      </c>
      <c r="AA28">
        <v>5.5760059999999996</v>
      </c>
      <c r="AB28">
        <v>5.6691219999999998</v>
      </c>
      <c r="AC28">
        <v>5.7604259999999998</v>
      </c>
      <c r="AD28">
        <v>5.8574469999999996</v>
      </c>
      <c r="AE28">
        <v>5.9517239999999996</v>
      </c>
      <c r="AF28">
        <v>6.0448500000000003</v>
      </c>
      <c r="AG28">
        <v>6.1363029999999998</v>
      </c>
      <c r="AH28">
        <v>6.2290400000000004</v>
      </c>
      <c r="AI28" s="21">
        <v>1.6E-2</v>
      </c>
    </row>
    <row r="29" spans="1:35">
      <c r="A29" t="s">
        <v>317</v>
      </c>
      <c r="B29" t="s">
        <v>1544</v>
      </c>
      <c r="C29" t="s">
        <v>1543</v>
      </c>
      <c r="D29" t="s">
        <v>329</v>
      </c>
      <c r="F29">
        <v>1.167E-2</v>
      </c>
      <c r="G29">
        <v>1.1011E-2</v>
      </c>
      <c r="H29">
        <v>1.0319999999999999E-2</v>
      </c>
      <c r="I29">
        <v>9.6080000000000002E-3</v>
      </c>
      <c r="J29">
        <v>8.8850000000000005E-3</v>
      </c>
      <c r="K29">
        <v>8.1499999999999993E-3</v>
      </c>
      <c r="L29">
        <v>7.4130000000000003E-3</v>
      </c>
      <c r="M29">
        <v>6.7200000000000003E-3</v>
      </c>
      <c r="N29">
        <v>6.1549999999999999E-3</v>
      </c>
      <c r="O29">
        <v>5.6230000000000004E-3</v>
      </c>
      <c r="P29">
        <v>5.1599999999999997E-3</v>
      </c>
      <c r="Q29">
        <v>4.7710000000000001E-3</v>
      </c>
      <c r="R29">
        <v>4.4600000000000004E-3</v>
      </c>
      <c r="S29">
        <v>4.2059999999999997E-3</v>
      </c>
      <c r="T29">
        <v>4.0049999999999999E-3</v>
      </c>
      <c r="U29">
        <v>3.8869999999999998E-3</v>
      </c>
      <c r="V29">
        <v>3.784E-3</v>
      </c>
      <c r="W29">
        <v>3.6979999999999999E-3</v>
      </c>
      <c r="X29">
        <v>3.6180000000000001E-3</v>
      </c>
      <c r="Y29">
        <v>3.5360000000000001E-3</v>
      </c>
      <c r="Z29">
        <v>3.4520000000000002E-3</v>
      </c>
      <c r="AA29">
        <v>3.3679999999999999E-3</v>
      </c>
      <c r="AB29">
        <v>3.2859999999999999E-3</v>
      </c>
      <c r="AC29">
        <v>3.2070000000000002E-3</v>
      </c>
      <c r="AD29">
        <v>3.13E-3</v>
      </c>
      <c r="AE29">
        <v>3.0599999999999998E-3</v>
      </c>
      <c r="AF29">
        <v>2.9970000000000001E-3</v>
      </c>
      <c r="AG29">
        <v>2.9390000000000002E-3</v>
      </c>
      <c r="AH29">
        <v>2.8890000000000001E-3</v>
      </c>
      <c r="AI29" s="21">
        <v>-4.9000000000000002E-2</v>
      </c>
    </row>
    <row r="30" spans="1:35">
      <c r="A30" t="s">
        <v>318</v>
      </c>
      <c r="B30" t="s">
        <v>1542</v>
      </c>
      <c r="C30" t="s">
        <v>1541</v>
      </c>
      <c r="D30" t="s">
        <v>329</v>
      </c>
      <c r="F30">
        <v>3.9599999999999998E-4</v>
      </c>
      <c r="G30">
        <v>4.4799999999999999E-4</v>
      </c>
      <c r="H30">
        <v>5.1500000000000005E-4</v>
      </c>
      <c r="I30">
        <v>5.8299999999999997E-4</v>
      </c>
      <c r="J30">
        <v>6.4199999999999999E-4</v>
      </c>
      <c r="K30">
        <v>6.9800000000000005E-4</v>
      </c>
      <c r="L30">
        <v>7.4700000000000005E-4</v>
      </c>
      <c r="M30">
        <v>7.94E-4</v>
      </c>
      <c r="N30">
        <v>8.3699999999999996E-4</v>
      </c>
      <c r="O30">
        <v>8.7799999999999998E-4</v>
      </c>
      <c r="P30">
        <v>9.1699999999999995E-4</v>
      </c>
      <c r="Q30">
        <v>9.5200000000000005E-4</v>
      </c>
      <c r="R30">
        <v>9.8499999999999998E-4</v>
      </c>
      <c r="S30">
        <v>1.0150000000000001E-3</v>
      </c>
      <c r="T30">
        <v>1.042E-3</v>
      </c>
      <c r="U30">
        <v>1.067E-3</v>
      </c>
      <c r="V30">
        <v>1.0870000000000001E-3</v>
      </c>
      <c r="W30">
        <v>1.103E-3</v>
      </c>
      <c r="X30">
        <v>1.1169999999999999E-3</v>
      </c>
      <c r="Y30">
        <v>1.127E-3</v>
      </c>
      <c r="Z30">
        <v>1.134E-3</v>
      </c>
      <c r="AA30">
        <v>1.139E-3</v>
      </c>
      <c r="AB30">
        <v>1.142E-3</v>
      </c>
      <c r="AC30">
        <v>1.145E-3</v>
      </c>
      <c r="AD30">
        <v>1.1460000000000001E-3</v>
      </c>
      <c r="AE30">
        <v>1.15E-3</v>
      </c>
      <c r="AF30">
        <v>1.1559999999999999E-3</v>
      </c>
      <c r="AG30">
        <v>1.163E-3</v>
      </c>
      <c r="AH30">
        <v>1.1720000000000001E-3</v>
      </c>
      <c r="AI30" s="21">
        <v>0.04</v>
      </c>
    </row>
    <row r="31" spans="1:35">
      <c r="A31" t="s">
        <v>319</v>
      </c>
      <c r="B31" t="s">
        <v>1540</v>
      </c>
      <c r="C31" t="s">
        <v>1539</v>
      </c>
      <c r="D31" t="s">
        <v>329</v>
      </c>
      <c r="F31">
        <v>2.127E-3</v>
      </c>
      <c r="G31">
        <v>1.895E-3</v>
      </c>
      <c r="H31">
        <v>1.7210000000000001E-3</v>
      </c>
      <c r="I31">
        <v>1.5950000000000001E-3</v>
      </c>
      <c r="J31">
        <v>1.539E-3</v>
      </c>
      <c r="K31">
        <v>1.5280000000000001E-3</v>
      </c>
      <c r="L31">
        <v>1.5200000000000001E-3</v>
      </c>
      <c r="M31">
        <v>1.516E-3</v>
      </c>
      <c r="N31">
        <v>1.513E-3</v>
      </c>
      <c r="O31">
        <v>1.513E-3</v>
      </c>
      <c r="P31">
        <v>1.513E-3</v>
      </c>
      <c r="Q31">
        <v>1.5150000000000001E-3</v>
      </c>
      <c r="R31">
        <v>1.5169999999999999E-3</v>
      </c>
      <c r="S31">
        <v>1.521E-3</v>
      </c>
      <c r="T31">
        <v>1.526E-3</v>
      </c>
      <c r="U31">
        <v>1.5319999999999999E-3</v>
      </c>
      <c r="V31">
        <v>1.539E-3</v>
      </c>
      <c r="W31">
        <v>1.5449999999999999E-3</v>
      </c>
      <c r="X31">
        <v>1.552E-3</v>
      </c>
      <c r="Y31">
        <v>1.5590000000000001E-3</v>
      </c>
      <c r="Z31">
        <v>1.565E-3</v>
      </c>
      <c r="AA31">
        <v>1.572E-3</v>
      </c>
      <c r="AB31">
        <v>1.5790000000000001E-3</v>
      </c>
      <c r="AC31">
        <v>1.5889999999999999E-3</v>
      </c>
      <c r="AD31">
        <v>1.601E-3</v>
      </c>
      <c r="AE31">
        <v>1.6199999999999999E-3</v>
      </c>
      <c r="AF31">
        <v>1.6429999999999999E-3</v>
      </c>
      <c r="AG31">
        <v>1.6689999999999999E-3</v>
      </c>
      <c r="AH31">
        <v>1.701E-3</v>
      </c>
      <c r="AI31" s="21">
        <v>-8.0000000000000002E-3</v>
      </c>
    </row>
    <row r="32" spans="1:35">
      <c r="A32" t="s">
        <v>320</v>
      </c>
      <c r="B32" t="s">
        <v>1538</v>
      </c>
      <c r="C32" t="s">
        <v>1537</v>
      </c>
      <c r="D32" t="s">
        <v>329</v>
      </c>
      <c r="F32">
        <v>4.1110000000000001E-3</v>
      </c>
      <c r="G32">
        <v>3.5379999999999999E-3</v>
      </c>
      <c r="H32">
        <v>3.065E-3</v>
      </c>
      <c r="I32">
        <v>2.679E-3</v>
      </c>
      <c r="J32">
        <v>2.4239999999999999E-3</v>
      </c>
      <c r="K32">
        <v>2.2720000000000001E-3</v>
      </c>
      <c r="L32">
        <v>2.1450000000000002E-3</v>
      </c>
      <c r="M32">
        <v>2.0409999999999998E-3</v>
      </c>
      <c r="N32">
        <v>1.9430000000000001E-3</v>
      </c>
      <c r="O32">
        <v>1.8519999999999999E-3</v>
      </c>
      <c r="P32">
        <v>1.766E-3</v>
      </c>
      <c r="Q32">
        <v>1.6850000000000001E-3</v>
      </c>
      <c r="R32">
        <v>1.609E-3</v>
      </c>
      <c r="S32">
        <v>1.5380000000000001E-3</v>
      </c>
      <c r="T32">
        <v>1.4710000000000001E-3</v>
      </c>
      <c r="U32">
        <v>1.407E-3</v>
      </c>
      <c r="V32">
        <v>1.3470000000000001E-3</v>
      </c>
      <c r="W32">
        <v>1.2899999999999999E-3</v>
      </c>
      <c r="X32">
        <v>1.2359999999999999E-3</v>
      </c>
      <c r="Y32">
        <v>1.1839999999999999E-3</v>
      </c>
      <c r="Z32">
        <v>1.134E-3</v>
      </c>
      <c r="AA32">
        <v>1.0870000000000001E-3</v>
      </c>
      <c r="AB32">
        <v>1.0430000000000001E-3</v>
      </c>
      <c r="AC32">
        <v>1.0009999999999999E-3</v>
      </c>
      <c r="AD32">
        <v>9.6199999999999996E-4</v>
      </c>
      <c r="AE32">
        <v>9.2599999999999996E-4</v>
      </c>
      <c r="AF32">
        <v>8.9300000000000002E-4</v>
      </c>
      <c r="AG32">
        <v>8.6300000000000005E-4</v>
      </c>
      <c r="AH32">
        <v>8.3500000000000002E-4</v>
      </c>
      <c r="AI32" s="21">
        <v>-5.5E-2</v>
      </c>
    </row>
    <row r="33" spans="1:35">
      <c r="A33" t="s">
        <v>321</v>
      </c>
      <c r="B33" t="s">
        <v>1536</v>
      </c>
      <c r="C33" t="s">
        <v>1535</v>
      </c>
      <c r="D33" t="s">
        <v>329</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1534</v>
      </c>
      <c r="C34" t="s">
        <v>1533</v>
      </c>
      <c r="D34" t="s">
        <v>329</v>
      </c>
      <c r="F34">
        <v>1.3587E-2</v>
      </c>
      <c r="G34">
        <v>1.5803000000000001E-2</v>
      </c>
      <c r="H34">
        <v>1.763E-2</v>
      </c>
      <c r="I34">
        <v>1.9188E-2</v>
      </c>
      <c r="J34">
        <v>2.0792999999999999E-2</v>
      </c>
      <c r="K34">
        <v>2.2505000000000001E-2</v>
      </c>
      <c r="L34">
        <v>2.4455999999999999E-2</v>
      </c>
      <c r="M34">
        <v>2.6512999999999998E-2</v>
      </c>
      <c r="N34">
        <v>2.8653000000000001E-2</v>
      </c>
      <c r="O34">
        <v>3.0816E-2</v>
      </c>
      <c r="P34">
        <v>3.2957E-2</v>
      </c>
      <c r="Q34">
        <v>3.5047000000000002E-2</v>
      </c>
      <c r="R34">
        <v>3.7092E-2</v>
      </c>
      <c r="S34">
        <v>3.9097E-2</v>
      </c>
      <c r="T34">
        <v>4.1031999999999999E-2</v>
      </c>
      <c r="U34">
        <v>4.2877999999999999E-2</v>
      </c>
      <c r="V34">
        <v>4.4512000000000003E-2</v>
      </c>
      <c r="W34">
        <v>4.5955000000000003E-2</v>
      </c>
      <c r="X34">
        <v>4.7208E-2</v>
      </c>
      <c r="Y34">
        <v>4.8261999999999999E-2</v>
      </c>
      <c r="Z34">
        <v>4.9187000000000002E-2</v>
      </c>
      <c r="AA34">
        <v>4.9936000000000001E-2</v>
      </c>
      <c r="AB34">
        <v>5.0540000000000002E-2</v>
      </c>
      <c r="AC34">
        <v>5.1006999999999997E-2</v>
      </c>
      <c r="AD34">
        <v>5.1504000000000001E-2</v>
      </c>
      <c r="AE34">
        <v>5.2042999999999999E-2</v>
      </c>
      <c r="AF34">
        <v>5.2475000000000001E-2</v>
      </c>
      <c r="AG34">
        <v>5.2817000000000003E-2</v>
      </c>
      <c r="AH34">
        <v>5.3061999999999998E-2</v>
      </c>
      <c r="AI34" s="21">
        <v>0.05</v>
      </c>
    </row>
    <row r="35" spans="1:35">
      <c r="A35" t="s">
        <v>323</v>
      </c>
      <c r="B35" t="s">
        <v>1532</v>
      </c>
      <c r="C35" t="s">
        <v>1531</v>
      </c>
      <c r="D35" t="s">
        <v>329</v>
      </c>
      <c r="F35">
        <v>10.943903000000001</v>
      </c>
      <c r="G35">
        <v>11.497054</v>
      </c>
      <c r="H35">
        <v>12.069993</v>
      </c>
      <c r="I35">
        <v>12.669632</v>
      </c>
      <c r="J35">
        <v>13.306467</v>
      </c>
      <c r="K35">
        <v>13.972225</v>
      </c>
      <c r="L35">
        <v>14.668062000000001</v>
      </c>
      <c r="M35">
        <v>15.418756999999999</v>
      </c>
      <c r="N35">
        <v>16.199821</v>
      </c>
      <c r="O35">
        <v>16.983360000000001</v>
      </c>
      <c r="P35">
        <v>17.788328</v>
      </c>
      <c r="Q35">
        <v>18.595082999999999</v>
      </c>
      <c r="R35">
        <v>19.407637000000001</v>
      </c>
      <c r="S35">
        <v>20.234331000000001</v>
      </c>
      <c r="T35">
        <v>21.076091999999999</v>
      </c>
      <c r="U35">
        <v>21.909863999999999</v>
      </c>
      <c r="V35">
        <v>22.727868999999998</v>
      </c>
      <c r="W35">
        <v>23.523249</v>
      </c>
      <c r="X35">
        <v>24.278811999999999</v>
      </c>
      <c r="Y35">
        <v>24.98554</v>
      </c>
      <c r="Z35">
        <v>25.642825999999999</v>
      </c>
      <c r="AA35">
        <v>26.237400000000001</v>
      </c>
      <c r="AB35">
        <v>26.780058</v>
      </c>
      <c r="AC35">
        <v>27.275333</v>
      </c>
      <c r="AD35">
        <v>27.797888</v>
      </c>
      <c r="AE35">
        <v>28.267787999999999</v>
      </c>
      <c r="AF35">
        <v>28.701488000000001</v>
      </c>
      <c r="AG35">
        <v>29.107707999999999</v>
      </c>
      <c r="AH35">
        <v>29.49736</v>
      </c>
      <c r="AI35" s="21">
        <v>3.5999999999999997E-2</v>
      </c>
    </row>
    <row r="36" spans="1:35">
      <c r="A36" t="s">
        <v>81</v>
      </c>
      <c r="B36" t="s">
        <v>1530</v>
      </c>
      <c r="C36" t="s">
        <v>1529</v>
      </c>
      <c r="D36" t="s">
        <v>329</v>
      </c>
      <c r="F36">
        <v>124.95826</v>
      </c>
      <c r="G36">
        <v>122.462273</v>
      </c>
      <c r="H36">
        <v>120.12342099999999</v>
      </c>
      <c r="I36">
        <v>117.699585</v>
      </c>
      <c r="J36">
        <v>115.25269299999999</v>
      </c>
      <c r="K36">
        <v>112.749374</v>
      </c>
      <c r="L36">
        <v>110.15595999999999</v>
      </c>
      <c r="M36">
        <v>107.578751</v>
      </c>
      <c r="N36">
        <v>105.001144</v>
      </c>
      <c r="O36">
        <v>102.44343600000001</v>
      </c>
      <c r="P36">
        <v>99.964104000000006</v>
      </c>
      <c r="Q36">
        <v>97.571167000000003</v>
      </c>
      <c r="R36">
        <v>95.309700000000007</v>
      </c>
      <c r="S36">
        <v>93.237015</v>
      </c>
      <c r="T36">
        <v>91.422882000000001</v>
      </c>
      <c r="U36">
        <v>89.865898000000001</v>
      </c>
      <c r="V36">
        <v>88.575683999999995</v>
      </c>
      <c r="W36">
        <v>87.519630000000006</v>
      </c>
      <c r="X36">
        <v>86.684036000000006</v>
      </c>
      <c r="Y36">
        <v>86.000381000000004</v>
      </c>
      <c r="Z36">
        <v>85.444976999999994</v>
      </c>
      <c r="AA36">
        <v>84.958618000000001</v>
      </c>
      <c r="AB36">
        <v>84.544380000000004</v>
      </c>
      <c r="AC36">
        <v>84.189635999999993</v>
      </c>
      <c r="AD36">
        <v>83.940201000000002</v>
      </c>
      <c r="AE36">
        <v>83.701430999999999</v>
      </c>
      <c r="AF36">
        <v>83.494018999999994</v>
      </c>
      <c r="AG36">
        <v>83.308784000000003</v>
      </c>
      <c r="AH36">
        <v>83.178237999999993</v>
      </c>
      <c r="AI36" s="21">
        <v>-1.4E-2</v>
      </c>
    </row>
    <row r="37" spans="1:35">
      <c r="A37" t="s">
        <v>324</v>
      </c>
    </row>
    <row r="38" spans="1:35">
      <c r="A38" t="s">
        <v>325</v>
      </c>
    </row>
    <row r="39" spans="1:35">
      <c r="A39" t="s">
        <v>310</v>
      </c>
      <c r="B39" t="s">
        <v>1528</v>
      </c>
      <c r="C39" t="s">
        <v>1527</v>
      </c>
      <c r="D39" t="s">
        <v>329</v>
      </c>
      <c r="F39">
        <v>117.886787</v>
      </c>
      <c r="G39">
        <v>120.284012</v>
      </c>
      <c r="H39">
        <v>122.892776</v>
      </c>
      <c r="I39">
        <v>125.63027200000001</v>
      </c>
      <c r="J39">
        <v>128.34510800000001</v>
      </c>
      <c r="K39">
        <v>130.92907700000001</v>
      </c>
      <c r="L39">
        <v>133.32522599999999</v>
      </c>
      <c r="M39">
        <v>135.63404800000001</v>
      </c>
      <c r="N39">
        <v>137.76855499999999</v>
      </c>
      <c r="O39">
        <v>139.750305</v>
      </c>
      <c r="P39">
        <v>141.53533899999999</v>
      </c>
      <c r="Q39">
        <v>143.134064</v>
      </c>
      <c r="R39">
        <v>144.51812699999999</v>
      </c>
      <c r="S39">
        <v>145.76585399999999</v>
      </c>
      <c r="T39">
        <v>146.887451</v>
      </c>
      <c r="U39">
        <v>147.90013099999999</v>
      </c>
      <c r="V39">
        <v>148.83334400000001</v>
      </c>
      <c r="W39">
        <v>149.705566</v>
      </c>
      <c r="X39">
        <v>150.58839399999999</v>
      </c>
      <c r="Y39">
        <v>151.434967</v>
      </c>
      <c r="Z39">
        <v>152.26075700000001</v>
      </c>
      <c r="AA39">
        <v>153.095032</v>
      </c>
      <c r="AB39">
        <v>153.94648699999999</v>
      </c>
      <c r="AC39">
        <v>154.83892800000001</v>
      </c>
      <c r="AD39">
        <v>155.685699</v>
      </c>
      <c r="AE39">
        <v>156.568253</v>
      </c>
      <c r="AF39">
        <v>157.45515399999999</v>
      </c>
      <c r="AG39">
        <v>158.39172400000001</v>
      </c>
      <c r="AH39">
        <v>159.39154099999999</v>
      </c>
      <c r="AI39" s="21">
        <v>1.0999999999999999E-2</v>
      </c>
    </row>
    <row r="40" spans="1:35">
      <c r="A40" t="s">
        <v>311</v>
      </c>
      <c r="B40" t="s">
        <v>1526</v>
      </c>
      <c r="C40" t="s">
        <v>1525</v>
      </c>
      <c r="D40" t="s">
        <v>329</v>
      </c>
      <c r="F40">
        <v>0.77402099999999996</v>
      </c>
      <c r="G40">
        <v>0.85321100000000005</v>
      </c>
      <c r="H40">
        <v>0.94013999999999998</v>
      </c>
      <c r="I40">
        <v>1.0323040000000001</v>
      </c>
      <c r="J40">
        <v>1.1262620000000001</v>
      </c>
      <c r="K40">
        <v>1.2212540000000001</v>
      </c>
      <c r="L40">
        <v>1.320392</v>
      </c>
      <c r="M40">
        <v>1.413743</v>
      </c>
      <c r="N40">
        <v>1.5011969999999999</v>
      </c>
      <c r="O40">
        <v>1.5822290000000001</v>
      </c>
      <c r="P40">
        <v>1.658838</v>
      </c>
      <c r="Q40">
        <v>1.730669</v>
      </c>
      <c r="R40">
        <v>1.799566</v>
      </c>
      <c r="S40">
        <v>1.864895</v>
      </c>
      <c r="T40">
        <v>1.929767</v>
      </c>
      <c r="U40">
        <v>1.9921169999999999</v>
      </c>
      <c r="V40">
        <v>2.0521129999999999</v>
      </c>
      <c r="W40">
        <v>2.1114459999999999</v>
      </c>
      <c r="X40">
        <v>2.1692300000000002</v>
      </c>
      <c r="Y40">
        <v>2.2242329999999999</v>
      </c>
      <c r="Z40">
        <v>2.2767569999999999</v>
      </c>
      <c r="AA40">
        <v>2.325599</v>
      </c>
      <c r="AB40">
        <v>2.372668</v>
      </c>
      <c r="AC40">
        <v>2.4181569999999999</v>
      </c>
      <c r="AD40">
        <v>2.4645570000000001</v>
      </c>
      <c r="AE40">
        <v>2.509754</v>
      </c>
      <c r="AF40">
        <v>2.5557530000000002</v>
      </c>
      <c r="AG40">
        <v>2.6019429999999999</v>
      </c>
      <c r="AH40">
        <v>2.6506690000000002</v>
      </c>
      <c r="AI40" s="21">
        <v>4.4999999999999998E-2</v>
      </c>
    </row>
    <row r="41" spans="1:35">
      <c r="A41" t="s">
        <v>326</v>
      </c>
      <c r="B41" t="s">
        <v>1524</v>
      </c>
      <c r="C41" t="s">
        <v>1523</v>
      </c>
      <c r="D41" t="s">
        <v>329</v>
      </c>
      <c r="F41">
        <v>118.66081200000001</v>
      </c>
      <c r="G41">
        <v>121.13722199999999</v>
      </c>
      <c r="H41">
        <v>123.832916</v>
      </c>
      <c r="I41">
        <v>126.662575</v>
      </c>
      <c r="J41">
        <v>129.47137499999999</v>
      </c>
      <c r="K41">
        <v>132.15033</v>
      </c>
      <c r="L41">
        <v>134.64561499999999</v>
      </c>
      <c r="M41">
        <v>137.04779099999999</v>
      </c>
      <c r="N41">
        <v>139.269745</v>
      </c>
      <c r="O41">
        <v>141.33253500000001</v>
      </c>
      <c r="P41">
        <v>143.19418300000001</v>
      </c>
      <c r="Q41">
        <v>144.86473100000001</v>
      </c>
      <c r="R41">
        <v>146.317688</v>
      </c>
      <c r="S41">
        <v>147.630753</v>
      </c>
      <c r="T41">
        <v>148.817215</v>
      </c>
      <c r="U41">
        <v>149.89224200000001</v>
      </c>
      <c r="V41">
        <v>150.88545199999999</v>
      </c>
      <c r="W41">
        <v>151.81701699999999</v>
      </c>
      <c r="X41">
        <v>152.75762900000001</v>
      </c>
      <c r="Y41">
        <v>153.65919500000001</v>
      </c>
      <c r="Z41">
        <v>154.537521</v>
      </c>
      <c r="AA41">
        <v>155.420624</v>
      </c>
      <c r="AB41">
        <v>156.319153</v>
      </c>
      <c r="AC41">
        <v>157.25708</v>
      </c>
      <c r="AD41">
        <v>158.15025299999999</v>
      </c>
      <c r="AE41">
        <v>159.078003</v>
      </c>
      <c r="AF41">
        <v>160.01091</v>
      </c>
      <c r="AG41">
        <v>160.99366800000001</v>
      </c>
      <c r="AH41">
        <v>162.04220599999999</v>
      </c>
      <c r="AI41" s="21">
        <v>1.0999999999999999E-2</v>
      </c>
    </row>
    <row r="42" spans="1:35">
      <c r="A42" t="s">
        <v>327</v>
      </c>
    </row>
    <row r="43" spans="1:35">
      <c r="A43" t="s">
        <v>314</v>
      </c>
      <c r="B43" t="s">
        <v>1522</v>
      </c>
      <c r="C43" t="s">
        <v>1521</v>
      </c>
      <c r="D43" t="s">
        <v>329</v>
      </c>
      <c r="F43">
        <v>15.713393999999999</v>
      </c>
      <c r="G43">
        <v>15.58339</v>
      </c>
      <c r="H43">
        <v>15.429836</v>
      </c>
      <c r="I43">
        <v>15.238759999999999</v>
      </c>
      <c r="J43">
        <v>15.003667999999999</v>
      </c>
      <c r="K43">
        <v>14.729768</v>
      </c>
      <c r="L43">
        <v>14.418824000000001</v>
      </c>
      <c r="M43">
        <v>14.077964</v>
      </c>
      <c r="N43">
        <v>13.711219</v>
      </c>
      <c r="O43">
        <v>13.327301</v>
      </c>
      <c r="P43">
        <v>12.94807</v>
      </c>
      <c r="Q43">
        <v>12.575521</v>
      </c>
      <c r="R43">
        <v>12.217373</v>
      </c>
      <c r="S43">
        <v>11.890112</v>
      </c>
      <c r="T43">
        <v>11.602482</v>
      </c>
      <c r="U43">
        <v>11.354369999999999</v>
      </c>
      <c r="V43">
        <v>11.152258</v>
      </c>
      <c r="W43">
        <v>10.991949</v>
      </c>
      <c r="X43">
        <v>10.863999</v>
      </c>
      <c r="Y43">
        <v>10.755198999999999</v>
      </c>
      <c r="Z43">
        <v>10.669739</v>
      </c>
      <c r="AA43">
        <v>10.600984</v>
      </c>
      <c r="AB43">
        <v>10.545685000000001</v>
      </c>
      <c r="AC43">
        <v>10.500133999999999</v>
      </c>
      <c r="AD43">
        <v>10.457166000000001</v>
      </c>
      <c r="AE43">
        <v>10.422086999999999</v>
      </c>
      <c r="AF43">
        <v>10.392211</v>
      </c>
      <c r="AG43">
        <v>10.370437000000001</v>
      </c>
      <c r="AH43">
        <v>10.357177</v>
      </c>
      <c r="AI43" s="21">
        <v>-1.4999999999999999E-2</v>
      </c>
    </row>
    <row r="44" spans="1:35">
      <c r="A44" t="s">
        <v>1424</v>
      </c>
      <c r="B44" t="s">
        <v>1520</v>
      </c>
      <c r="C44" t="s">
        <v>1418</v>
      </c>
      <c r="D44" t="s">
        <v>329</v>
      </c>
      <c r="F44">
        <v>6.2500000000000001E-4</v>
      </c>
      <c r="G44">
        <v>6.2799999999999998E-4</v>
      </c>
      <c r="H44">
        <v>6.3699999999999998E-4</v>
      </c>
      <c r="I44">
        <v>6.4700000000000001E-4</v>
      </c>
      <c r="J44">
        <v>6.5300000000000004E-4</v>
      </c>
      <c r="K44">
        <v>6.5899999999999997E-4</v>
      </c>
      <c r="L44">
        <v>6.6200000000000005E-4</v>
      </c>
      <c r="M44">
        <v>6.6100000000000002E-4</v>
      </c>
      <c r="N44">
        <v>6.5799999999999995E-4</v>
      </c>
      <c r="O44">
        <v>6.5200000000000002E-4</v>
      </c>
      <c r="P44">
        <v>6.4400000000000004E-4</v>
      </c>
      <c r="Q44">
        <v>6.3299999999999999E-4</v>
      </c>
      <c r="R44">
        <v>6.2100000000000002E-4</v>
      </c>
      <c r="S44">
        <v>6.0599999999999998E-4</v>
      </c>
      <c r="T44">
        <v>5.9000000000000003E-4</v>
      </c>
      <c r="U44">
        <v>5.7200000000000003E-4</v>
      </c>
      <c r="V44">
        <v>5.53E-4</v>
      </c>
      <c r="W44">
        <v>5.31E-4</v>
      </c>
      <c r="X44">
        <v>5.0699999999999996E-4</v>
      </c>
      <c r="Y44">
        <v>4.8200000000000001E-4</v>
      </c>
      <c r="Z44">
        <v>4.5600000000000003E-4</v>
      </c>
      <c r="AA44">
        <v>4.28E-4</v>
      </c>
      <c r="AB44">
        <v>4.0000000000000002E-4</v>
      </c>
      <c r="AC44">
        <v>3.7199999999999999E-4</v>
      </c>
      <c r="AD44">
        <v>3.4299999999999999E-4</v>
      </c>
      <c r="AE44">
        <v>3.1399999999999999E-4</v>
      </c>
      <c r="AF44">
        <v>2.8400000000000002E-4</v>
      </c>
      <c r="AG44">
        <v>2.5500000000000002E-4</v>
      </c>
      <c r="AH44">
        <v>2.2499999999999999E-4</v>
      </c>
      <c r="AI44" s="21">
        <v>-3.5999999999999997E-2</v>
      </c>
    </row>
    <row r="45" spans="1:35">
      <c r="A45" t="s">
        <v>1422</v>
      </c>
      <c r="B45" t="s">
        <v>1519</v>
      </c>
      <c r="C45" t="s">
        <v>1418</v>
      </c>
      <c r="D45" t="s">
        <v>329</v>
      </c>
      <c r="F45">
        <v>5.3358000000000003E-2</v>
      </c>
      <c r="G45">
        <v>7.6868000000000006E-2</v>
      </c>
      <c r="H45">
        <v>0.10803400000000001</v>
      </c>
      <c r="I45">
        <v>0.14524599999999999</v>
      </c>
      <c r="J45">
        <v>0.18510199999999999</v>
      </c>
      <c r="K45">
        <v>0.22530800000000001</v>
      </c>
      <c r="L45">
        <v>0.26521600000000001</v>
      </c>
      <c r="M45">
        <v>0.30553799999999998</v>
      </c>
      <c r="N45">
        <v>0.34304800000000002</v>
      </c>
      <c r="O45">
        <v>0.376162</v>
      </c>
      <c r="P45">
        <v>0.40619699999999997</v>
      </c>
      <c r="Q45">
        <v>0.43337300000000001</v>
      </c>
      <c r="R45">
        <v>0.45835300000000001</v>
      </c>
      <c r="S45">
        <v>0.48177799999999998</v>
      </c>
      <c r="T45">
        <v>0.503332</v>
      </c>
      <c r="U45">
        <v>0.52344800000000002</v>
      </c>
      <c r="V45">
        <v>0.542543</v>
      </c>
      <c r="W45">
        <v>0.56076499999999996</v>
      </c>
      <c r="X45">
        <v>0.57839200000000002</v>
      </c>
      <c r="Y45">
        <v>0.59515700000000005</v>
      </c>
      <c r="Z45">
        <v>0.61138199999999998</v>
      </c>
      <c r="AA45">
        <v>0.62727299999999997</v>
      </c>
      <c r="AB45">
        <v>0.643042</v>
      </c>
      <c r="AC45">
        <v>0.65921099999999999</v>
      </c>
      <c r="AD45">
        <v>0.67565200000000003</v>
      </c>
      <c r="AE45">
        <v>0.69272999999999996</v>
      </c>
      <c r="AF45">
        <v>0.71026500000000004</v>
      </c>
      <c r="AG45">
        <v>0.72919199999999995</v>
      </c>
      <c r="AH45">
        <v>0.74979099999999999</v>
      </c>
      <c r="AI45" s="21">
        <v>9.9000000000000005E-2</v>
      </c>
    </row>
    <row r="46" spans="1:35">
      <c r="A46" t="s">
        <v>1420</v>
      </c>
      <c r="B46" t="s">
        <v>1518</v>
      </c>
      <c r="C46" t="s">
        <v>1418</v>
      </c>
      <c r="D46" t="s">
        <v>329</v>
      </c>
      <c r="F46">
        <v>0.11713899999999999</v>
      </c>
      <c r="G46">
        <v>0.212451</v>
      </c>
      <c r="H46">
        <v>0.34578999999999999</v>
      </c>
      <c r="I46">
        <v>0.54533399999999999</v>
      </c>
      <c r="J46">
        <v>0.81651499999999999</v>
      </c>
      <c r="K46">
        <v>1.158399</v>
      </c>
      <c r="L46">
        <v>1.5794570000000001</v>
      </c>
      <c r="M46">
        <v>2.0827010000000001</v>
      </c>
      <c r="N46">
        <v>2.6440739999999998</v>
      </c>
      <c r="O46">
        <v>3.228691</v>
      </c>
      <c r="P46">
        <v>3.8400919999999998</v>
      </c>
      <c r="Q46">
        <v>4.4654889999999998</v>
      </c>
      <c r="R46">
        <v>5.1036250000000001</v>
      </c>
      <c r="S46">
        <v>5.7552599999999998</v>
      </c>
      <c r="T46">
        <v>6.415781</v>
      </c>
      <c r="U46">
        <v>7.0737870000000003</v>
      </c>
      <c r="V46">
        <v>7.7255890000000003</v>
      </c>
      <c r="W46">
        <v>8.3677700000000002</v>
      </c>
      <c r="X46">
        <v>8.9911150000000006</v>
      </c>
      <c r="Y46">
        <v>9.59619</v>
      </c>
      <c r="Z46">
        <v>10.183934000000001</v>
      </c>
      <c r="AA46">
        <v>10.747344999999999</v>
      </c>
      <c r="AB46">
        <v>11.284158</v>
      </c>
      <c r="AC46">
        <v>11.795484999999999</v>
      </c>
      <c r="AD46">
        <v>12.30078</v>
      </c>
      <c r="AE46">
        <v>12.777334</v>
      </c>
      <c r="AF46">
        <v>13.223928000000001</v>
      </c>
      <c r="AG46">
        <v>13.650435</v>
      </c>
      <c r="AH46">
        <v>14.059476999999999</v>
      </c>
      <c r="AI46" s="21">
        <v>0.186</v>
      </c>
    </row>
    <row r="47" spans="1:35">
      <c r="A47" t="s">
        <v>1417</v>
      </c>
      <c r="B47" t="s">
        <v>1517</v>
      </c>
      <c r="C47" t="s">
        <v>1516</v>
      </c>
      <c r="D47" t="s">
        <v>329</v>
      </c>
      <c r="F47">
        <v>0.25728299999999998</v>
      </c>
      <c r="G47">
        <v>0.35872500000000002</v>
      </c>
      <c r="H47">
        <v>0.48028500000000002</v>
      </c>
      <c r="I47">
        <v>0.61610600000000004</v>
      </c>
      <c r="J47">
        <v>0.76191900000000001</v>
      </c>
      <c r="K47">
        <v>0.90988400000000003</v>
      </c>
      <c r="L47">
        <v>1.0597300000000001</v>
      </c>
      <c r="M47">
        <v>1.2099310000000001</v>
      </c>
      <c r="N47">
        <v>1.3555870000000001</v>
      </c>
      <c r="O47">
        <v>1.4998469999999999</v>
      </c>
      <c r="P47">
        <v>1.641178</v>
      </c>
      <c r="Q47">
        <v>1.778902</v>
      </c>
      <c r="R47">
        <v>1.913405</v>
      </c>
      <c r="S47">
        <v>2.0450089999999999</v>
      </c>
      <c r="T47">
        <v>2.1710440000000002</v>
      </c>
      <c r="U47">
        <v>2.2905150000000001</v>
      </c>
      <c r="V47">
        <v>2.4035160000000002</v>
      </c>
      <c r="W47">
        <v>2.5091890000000001</v>
      </c>
      <c r="X47">
        <v>2.6066310000000001</v>
      </c>
      <c r="Y47">
        <v>2.6968969999999999</v>
      </c>
      <c r="Z47">
        <v>2.7801589999999998</v>
      </c>
      <c r="AA47">
        <v>2.8570709999999999</v>
      </c>
      <c r="AB47">
        <v>2.9271449999999999</v>
      </c>
      <c r="AC47">
        <v>2.991511</v>
      </c>
      <c r="AD47">
        <v>3.0508890000000002</v>
      </c>
      <c r="AE47">
        <v>3.105642</v>
      </c>
      <c r="AF47">
        <v>3.156174</v>
      </c>
      <c r="AG47">
        <v>3.2035719999999999</v>
      </c>
      <c r="AH47">
        <v>3.2491970000000001</v>
      </c>
      <c r="AI47" s="21">
        <v>9.5000000000000001E-2</v>
      </c>
    </row>
    <row r="48" spans="1:35">
      <c r="A48" t="s">
        <v>1414</v>
      </c>
      <c r="B48" t="s">
        <v>1515</v>
      </c>
      <c r="C48" t="s">
        <v>1514</v>
      </c>
      <c r="D48" t="s">
        <v>329</v>
      </c>
      <c r="F48">
        <v>9.7989999999999994E-2</v>
      </c>
      <c r="G48">
        <v>0.175986</v>
      </c>
      <c r="H48">
        <v>0.28397699999999998</v>
      </c>
      <c r="I48">
        <v>0.42488700000000001</v>
      </c>
      <c r="J48">
        <v>0.591252</v>
      </c>
      <c r="K48">
        <v>0.777891</v>
      </c>
      <c r="L48">
        <v>0.98496099999999998</v>
      </c>
      <c r="M48">
        <v>1.2083930000000001</v>
      </c>
      <c r="N48">
        <v>1.444842</v>
      </c>
      <c r="O48">
        <v>1.685235</v>
      </c>
      <c r="P48">
        <v>1.931497</v>
      </c>
      <c r="Q48">
        <v>2.1843919999999999</v>
      </c>
      <c r="R48">
        <v>2.4446110000000001</v>
      </c>
      <c r="S48">
        <v>2.7123940000000002</v>
      </c>
      <c r="T48">
        <v>2.9830909999999999</v>
      </c>
      <c r="U48">
        <v>3.2527659999999998</v>
      </c>
      <c r="V48">
        <v>3.5197509999999999</v>
      </c>
      <c r="W48">
        <v>3.7818879999999999</v>
      </c>
      <c r="X48">
        <v>4.034904</v>
      </c>
      <c r="Y48">
        <v>4.2790169999999996</v>
      </c>
      <c r="Z48">
        <v>4.5142030000000002</v>
      </c>
      <c r="AA48">
        <v>4.7387709999999998</v>
      </c>
      <c r="AB48">
        <v>4.9512409999999996</v>
      </c>
      <c r="AC48">
        <v>5.152997</v>
      </c>
      <c r="AD48">
        <v>5.3477399999999999</v>
      </c>
      <c r="AE48">
        <v>5.5320640000000001</v>
      </c>
      <c r="AF48">
        <v>5.7046029999999996</v>
      </c>
      <c r="AG48">
        <v>5.8681559999999999</v>
      </c>
      <c r="AH48">
        <v>6.024699</v>
      </c>
      <c r="AI48" s="21">
        <v>0.158</v>
      </c>
    </row>
    <row r="49" spans="1:36">
      <c r="A49" t="s">
        <v>315</v>
      </c>
      <c r="B49" t="s">
        <v>1513</v>
      </c>
      <c r="C49" t="s">
        <v>1512</v>
      </c>
      <c r="D49" t="s">
        <v>329</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6">
      <c r="A50" t="s">
        <v>316</v>
      </c>
      <c r="B50" t="s">
        <v>1511</v>
      </c>
      <c r="C50" t="s">
        <v>1510</v>
      </c>
      <c r="D50" t="s">
        <v>329</v>
      </c>
      <c r="F50">
        <v>1.7051270000000001</v>
      </c>
      <c r="G50">
        <v>2.1234500000000001</v>
      </c>
      <c r="H50">
        <v>2.5921080000000001</v>
      </c>
      <c r="I50">
        <v>3.0982020000000001</v>
      </c>
      <c r="J50">
        <v>3.6282619999999999</v>
      </c>
      <c r="K50">
        <v>4.1710669999999999</v>
      </c>
      <c r="L50">
        <v>4.7284579999999998</v>
      </c>
      <c r="M50">
        <v>5.2948459999999997</v>
      </c>
      <c r="N50">
        <v>5.859623</v>
      </c>
      <c r="O50">
        <v>6.4205509999999997</v>
      </c>
      <c r="P50">
        <v>6.973732</v>
      </c>
      <c r="Q50">
        <v>7.5206670000000004</v>
      </c>
      <c r="R50">
        <v>8.0622849999999993</v>
      </c>
      <c r="S50">
        <v>8.5996640000000006</v>
      </c>
      <c r="T50">
        <v>9.1249529999999996</v>
      </c>
      <c r="U50">
        <v>9.6330919999999995</v>
      </c>
      <c r="V50">
        <v>10.123214000000001</v>
      </c>
      <c r="W50">
        <v>10.592503000000001</v>
      </c>
      <c r="X50">
        <v>11.037089999999999</v>
      </c>
      <c r="Y50">
        <v>11.457216000000001</v>
      </c>
      <c r="Z50">
        <v>11.854656</v>
      </c>
      <c r="AA50">
        <v>12.228994</v>
      </c>
      <c r="AB50">
        <v>12.579977</v>
      </c>
      <c r="AC50">
        <v>12.913245999999999</v>
      </c>
      <c r="AD50">
        <v>13.235011999999999</v>
      </c>
      <c r="AE50">
        <v>13.541435999999999</v>
      </c>
      <c r="AF50">
        <v>13.831206</v>
      </c>
      <c r="AG50">
        <v>14.109266999999999</v>
      </c>
      <c r="AH50">
        <v>14.379716999999999</v>
      </c>
      <c r="AI50" s="21">
        <v>7.9000000000000001E-2</v>
      </c>
    </row>
    <row r="51" spans="1:36">
      <c r="A51" t="s">
        <v>317</v>
      </c>
      <c r="B51" t="s">
        <v>1509</v>
      </c>
      <c r="C51" t="s">
        <v>1508</v>
      </c>
      <c r="D51" t="s">
        <v>329</v>
      </c>
      <c r="F51">
        <v>3.055E-3</v>
      </c>
      <c r="G51">
        <v>3.1080000000000001E-3</v>
      </c>
      <c r="H51">
        <v>3.2450000000000001E-3</v>
      </c>
      <c r="I51">
        <v>3.3890000000000001E-3</v>
      </c>
      <c r="J51">
        <v>3.5200000000000001E-3</v>
      </c>
      <c r="K51">
        <v>3.6350000000000002E-3</v>
      </c>
      <c r="L51">
        <v>3.735E-3</v>
      </c>
      <c r="M51">
        <v>3.8440000000000002E-3</v>
      </c>
      <c r="N51">
        <v>3.947E-3</v>
      </c>
      <c r="O51">
        <v>4.0410000000000003E-3</v>
      </c>
      <c r="P51">
        <v>4.1320000000000003E-3</v>
      </c>
      <c r="Q51">
        <v>4.2160000000000001E-3</v>
      </c>
      <c r="R51">
        <v>4.2989999999999999E-3</v>
      </c>
      <c r="S51">
        <v>4.3779999999999999E-3</v>
      </c>
      <c r="T51">
        <v>4.4559999999999999E-3</v>
      </c>
      <c r="U51">
        <v>4.5399999999999998E-3</v>
      </c>
      <c r="V51">
        <v>4.6129999999999999E-3</v>
      </c>
      <c r="W51">
        <v>4.6820000000000004E-3</v>
      </c>
      <c r="X51">
        <v>4.7419999999999997E-3</v>
      </c>
      <c r="Y51">
        <v>4.79E-3</v>
      </c>
      <c r="Z51">
        <v>4.8269999999999997E-3</v>
      </c>
      <c r="AA51">
        <v>4.8539999999999998E-3</v>
      </c>
      <c r="AB51">
        <v>4.8780000000000004E-3</v>
      </c>
      <c r="AC51">
        <v>4.8960000000000002E-3</v>
      </c>
      <c r="AD51">
        <v>4.914E-3</v>
      </c>
      <c r="AE51">
        <v>4.9329999999999999E-3</v>
      </c>
      <c r="AF51">
        <v>4.9560000000000003E-3</v>
      </c>
      <c r="AG51">
        <v>4.9800000000000001E-3</v>
      </c>
      <c r="AH51">
        <v>5.0090000000000004E-3</v>
      </c>
      <c r="AI51" s="21">
        <v>1.7999999999999999E-2</v>
      </c>
    </row>
    <row r="52" spans="1:36">
      <c r="A52" t="s">
        <v>318</v>
      </c>
      <c r="B52" t="s">
        <v>1507</v>
      </c>
      <c r="C52" t="s">
        <v>1506</v>
      </c>
      <c r="D52" t="s">
        <v>329</v>
      </c>
      <c r="F52">
        <v>2.2200000000000002E-3</v>
      </c>
      <c r="G52">
        <v>2.081E-3</v>
      </c>
      <c r="H52">
        <v>2.0040000000000001E-3</v>
      </c>
      <c r="I52">
        <v>1.931E-3</v>
      </c>
      <c r="J52">
        <v>1.8630000000000001E-3</v>
      </c>
      <c r="K52">
        <v>1.8010000000000001E-3</v>
      </c>
      <c r="L52">
        <v>1.745E-3</v>
      </c>
      <c r="M52">
        <v>1.6930000000000001E-3</v>
      </c>
      <c r="N52">
        <v>1.645E-3</v>
      </c>
      <c r="O52">
        <v>1.6019999999999999E-3</v>
      </c>
      <c r="P52">
        <v>1.562E-3</v>
      </c>
      <c r="Q52">
        <v>1.5250000000000001E-3</v>
      </c>
      <c r="R52">
        <v>1.4909999999999999E-3</v>
      </c>
      <c r="S52">
        <v>1.4599999999999999E-3</v>
      </c>
      <c r="T52">
        <v>1.433E-3</v>
      </c>
      <c r="U52">
        <v>1.407E-3</v>
      </c>
      <c r="V52">
        <v>1.384E-3</v>
      </c>
      <c r="W52">
        <v>1.3619999999999999E-3</v>
      </c>
      <c r="X52">
        <v>1.3420000000000001E-3</v>
      </c>
      <c r="Y52">
        <v>1.323E-3</v>
      </c>
      <c r="Z52">
        <v>1.3060000000000001E-3</v>
      </c>
      <c r="AA52">
        <v>1.2899999999999999E-3</v>
      </c>
      <c r="AB52">
        <v>1.2750000000000001E-3</v>
      </c>
      <c r="AC52">
        <v>1.263E-3</v>
      </c>
      <c r="AD52">
        <v>1.2520000000000001E-3</v>
      </c>
      <c r="AE52">
        <v>1.243E-3</v>
      </c>
      <c r="AF52">
        <v>1.237E-3</v>
      </c>
      <c r="AG52">
        <v>1.2329999999999999E-3</v>
      </c>
      <c r="AH52">
        <v>1.232E-3</v>
      </c>
      <c r="AI52" s="21">
        <v>-2.1000000000000001E-2</v>
      </c>
    </row>
    <row r="53" spans="1:36">
      <c r="A53" t="s">
        <v>319</v>
      </c>
      <c r="B53" t="s">
        <v>1505</v>
      </c>
      <c r="C53" t="s">
        <v>1504</v>
      </c>
      <c r="D53" t="s">
        <v>329</v>
      </c>
      <c r="F53">
        <v>6.1710000000000003E-3</v>
      </c>
      <c r="G53">
        <v>6.2119999999999996E-3</v>
      </c>
      <c r="H53">
        <v>6.3860000000000002E-3</v>
      </c>
      <c r="I53">
        <v>6.6889999999999996E-3</v>
      </c>
      <c r="J53">
        <v>7.1320000000000003E-3</v>
      </c>
      <c r="K53">
        <v>7.6959999999999997E-3</v>
      </c>
      <c r="L53">
        <v>8.2900000000000005E-3</v>
      </c>
      <c r="M53">
        <v>8.9180000000000006E-3</v>
      </c>
      <c r="N53">
        <v>9.5569999999999995E-3</v>
      </c>
      <c r="O53">
        <v>1.0204E-2</v>
      </c>
      <c r="P53">
        <v>1.0855999999999999E-2</v>
      </c>
      <c r="Q53">
        <v>1.1506000000000001E-2</v>
      </c>
      <c r="R53">
        <v>1.2161999999999999E-2</v>
      </c>
      <c r="S53">
        <v>1.2827E-2</v>
      </c>
      <c r="T53">
        <v>1.3511E-2</v>
      </c>
      <c r="U53">
        <v>1.4201999999999999E-2</v>
      </c>
      <c r="V53">
        <v>1.4893999999999999E-2</v>
      </c>
      <c r="W53">
        <v>1.5594E-2</v>
      </c>
      <c r="X53">
        <v>1.6296999999999999E-2</v>
      </c>
      <c r="Y53">
        <v>1.6993000000000001E-2</v>
      </c>
      <c r="Z53">
        <v>1.7689E-2</v>
      </c>
      <c r="AA53">
        <v>1.8388999999999999E-2</v>
      </c>
      <c r="AB53">
        <v>1.9109999999999999E-2</v>
      </c>
      <c r="AC53">
        <v>1.9855999999999999E-2</v>
      </c>
      <c r="AD53">
        <v>2.0650999999999999E-2</v>
      </c>
      <c r="AE53">
        <v>2.1482999999999999E-2</v>
      </c>
      <c r="AF53">
        <v>2.2362E-2</v>
      </c>
      <c r="AG53">
        <v>2.3290000000000002E-2</v>
      </c>
      <c r="AH53">
        <v>2.4303999999999999E-2</v>
      </c>
      <c r="AI53" s="21">
        <v>0.05</v>
      </c>
    </row>
    <row r="54" spans="1:36">
      <c r="A54" t="s">
        <v>320</v>
      </c>
      <c r="B54" t="s">
        <v>1503</v>
      </c>
      <c r="C54" t="s">
        <v>1502</v>
      </c>
      <c r="D54" t="s">
        <v>329</v>
      </c>
      <c r="F54">
        <v>5.1320000000000003E-3</v>
      </c>
      <c r="G54">
        <v>4.7390000000000002E-3</v>
      </c>
      <c r="H54">
        <v>4.4869999999999997E-3</v>
      </c>
      <c r="I54">
        <v>4.2490000000000002E-3</v>
      </c>
      <c r="J54">
        <v>4.0239999999999998E-3</v>
      </c>
      <c r="K54">
        <v>3.813E-3</v>
      </c>
      <c r="L54">
        <v>3.6129999999999999E-3</v>
      </c>
      <c r="M54">
        <v>3.4250000000000001E-3</v>
      </c>
      <c r="N54">
        <v>3.2469999999999999E-3</v>
      </c>
      <c r="O54">
        <v>3.0790000000000001E-3</v>
      </c>
      <c r="P54">
        <v>2.9199999999999999E-3</v>
      </c>
      <c r="Q54">
        <v>2.7699999999999999E-3</v>
      </c>
      <c r="R54">
        <v>2.6280000000000001E-3</v>
      </c>
      <c r="S54">
        <v>2.4940000000000001E-3</v>
      </c>
      <c r="T54">
        <v>2.3679999999999999E-3</v>
      </c>
      <c r="U54">
        <v>2.248E-3</v>
      </c>
      <c r="V54">
        <v>2.1350000000000002E-3</v>
      </c>
      <c r="W54">
        <v>2.029E-3</v>
      </c>
      <c r="X54">
        <v>1.928E-3</v>
      </c>
      <c r="Y54">
        <v>1.8320000000000001E-3</v>
      </c>
      <c r="Z54">
        <v>1.7420000000000001E-3</v>
      </c>
      <c r="AA54">
        <v>1.6559999999999999E-3</v>
      </c>
      <c r="AB54">
        <v>1.575E-3</v>
      </c>
      <c r="AC54">
        <v>1.4989999999999999E-3</v>
      </c>
      <c r="AD54">
        <v>1.4270000000000001E-3</v>
      </c>
      <c r="AE54">
        <v>1.3600000000000001E-3</v>
      </c>
      <c r="AF54">
        <v>1.2960000000000001E-3</v>
      </c>
      <c r="AG54">
        <v>1.2359999999999999E-3</v>
      </c>
      <c r="AH54">
        <v>1.1800000000000001E-3</v>
      </c>
      <c r="AI54" s="21">
        <v>-5.0999999999999997E-2</v>
      </c>
    </row>
    <row r="55" spans="1:36">
      <c r="A55" t="s">
        <v>321</v>
      </c>
      <c r="B55" t="s">
        <v>1501</v>
      </c>
      <c r="C55" t="s">
        <v>1500</v>
      </c>
      <c r="D55" t="s">
        <v>329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6">
      <c r="A56" t="s">
        <v>322</v>
      </c>
      <c r="B56" t="s">
        <v>1499</v>
      </c>
      <c r="C56" t="s">
        <v>1498</v>
      </c>
      <c r="D56" t="s">
        <v>329</v>
      </c>
      <c r="F56">
        <v>1.9999999999999999E-6</v>
      </c>
      <c r="G56">
        <v>6.0000000000000002E-6</v>
      </c>
      <c r="H56">
        <v>1.2999999999999999E-5</v>
      </c>
      <c r="I56">
        <v>2.1999999999999999E-5</v>
      </c>
      <c r="J56">
        <v>3.3000000000000003E-5</v>
      </c>
      <c r="K56">
        <v>4.6E-5</v>
      </c>
      <c r="L56">
        <v>6.2000000000000003E-5</v>
      </c>
      <c r="M56">
        <v>7.8999999999999996E-5</v>
      </c>
      <c r="N56">
        <v>9.7999999999999997E-5</v>
      </c>
      <c r="O56">
        <v>1.1900000000000001E-4</v>
      </c>
      <c r="P56">
        <v>1.4100000000000001E-4</v>
      </c>
      <c r="Q56">
        <v>1.64E-4</v>
      </c>
      <c r="R56">
        <v>1.8900000000000001E-4</v>
      </c>
      <c r="S56">
        <v>2.14E-4</v>
      </c>
      <c r="T56">
        <v>2.41E-4</v>
      </c>
      <c r="U56">
        <v>2.6899999999999998E-4</v>
      </c>
      <c r="V56">
        <v>2.9799999999999998E-4</v>
      </c>
      <c r="W56">
        <v>3.28E-4</v>
      </c>
      <c r="X56">
        <v>3.59E-4</v>
      </c>
      <c r="Y56">
        <v>3.9100000000000002E-4</v>
      </c>
      <c r="Z56">
        <v>4.2400000000000001E-4</v>
      </c>
      <c r="AA56">
        <v>4.5800000000000002E-4</v>
      </c>
      <c r="AB56">
        <v>4.9200000000000003E-4</v>
      </c>
      <c r="AC56">
        <v>5.2700000000000002E-4</v>
      </c>
      <c r="AD56">
        <v>5.62E-4</v>
      </c>
      <c r="AE56">
        <v>5.9900000000000003E-4</v>
      </c>
      <c r="AF56">
        <v>6.3599999999999996E-4</v>
      </c>
      <c r="AG56">
        <v>6.7299999999999999E-4</v>
      </c>
      <c r="AH56">
        <v>7.1199999999999996E-4</v>
      </c>
      <c r="AI56" s="21">
        <v>0.23300000000000001</v>
      </c>
    </row>
    <row r="57" spans="1:36">
      <c r="A57" t="s">
        <v>328</v>
      </c>
      <c r="B57" t="s">
        <v>1497</v>
      </c>
      <c r="C57" t="s">
        <v>1496</v>
      </c>
      <c r="D57" t="s">
        <v>329</v>
      </c>
      <c r="F57">
        <v>17.961500000000001</v>
      </c>
      <c r="G57">
        <v>18.547642</v>
      </c>
      <c r="H57">
        <v>19.256799999999998</v>
      </c>
      <c r="I57">
        <v>20.085459</v>
      </c>
      <c r="J57">
        <v>21.003944000000001</v>
      </c>
      <c r="K57">
        <v>21.989965000000002</v>
      </c>
      <c r="L57">
        <v>23.054752000000001</v>
      </c>
      <c r="M57">
        <v>24.197991999999999</v>
      </c>
      <c r="N57">
        <v>25.377545999999999</v>
      </c>
      <c r="O57">
        <v>26.557483999999999</v>
      </c>
      <c r="P57">
        <v>27.761019000000001</v>
      </c>
      <c r="Q57">
        <v>28.97916</v>
      </c>
      <c r="R57">
        <v>30.221045</v>
      </c>
      <c r="S57">
        <v>31.506198999999999</v>
      </c>
      <c r="T57">
        <v>32.823279999999997</v>
      </c>
      <c r="U57">
        <v>34.151218</v>
      </c>
      <c r="V57">
        <v>35.490746000000001</v>
      </c>
      <c r="W57">
        <v>36.828594000000002</v>
      </c>
      <c r="X57">
        <v>38.137306000000002</v>
      </c>
      <c r="Y57">
        <v>39.405490999999998</v>
      </c>
      <c r="Z57">
        <v>40.640514000000003</v>
      </c>
      <c r="AA57">
        <v>41.827514999999998</v>
      </c>
      <c r="AB57">
        <v>42.958976999999997</v>
      </c>
      <c r="AC57">
        <v>44.040993</v>
      </c>
      <c r="AD57">
        <v>45.096386000000003</v>
      </c>
      <c r="AE57">
        <v>46.101222999999997</v>
      </c>
      <c r="AF57">
        <v>47.049160000000001</v>
      </c>
      <c r="AG57">
        <v>47.962722999999997</v>
      </c>
      <c r="AH57">
        <v>48.852718000000003</v>
      </c>
      <c r="AI57" s="21">
        <v>3.5999999999999997E-2</v>
      </c>
    </row>
    <row r="58" spans="1:36">
      <c r="A58" t="s">
        <v>80</v>
      </c>
      <c r="B58" t="s">
        <v>1495</v>
      </c>
      <c r="C58" t="s">
        <v>1494</v>
      </c>
      <c r="D58" t="s">
        <v>329</v>
      </c>
      <c r="F58">
        <v>136.62231399999999</v>
      </c>
      <c r="G58">
        <v>139.68485999999999</v>
      </c>
      <c r="H58">
        <v>143.08972199999999</v>
      </c>
      <c r="I58">
        <v>146.74803199999999</v>
      </c>
      <c r="J58">
        <v>150.475311</v>
      </c>
      <c r="K58">
        <v>154.140289</v>
      </c>
      <c r="L58">
        <v>157.70036300000001</v>
      </c>
      <c r="M58">
        <v>161.245789</v>
      </c>
      <c r="N58">
        <v>164.64729299999999</v>
      </c>
      <c r="O58">
        <v>167.89001500000001</v>
      </c>
      <c r="P58">
        <v>170.95519999999999</v>
      </c>
      <c r="Q58">
        <v>173.843887</v>
      </c>
      <c r="R58">
        <v>176.53872699999999</v>
      </c>
      <c r="S58">
        <v>179.13694799999999</v>
      </c>
      <c r="T58">
        <v>181.640503</v>
      </c>
      <c r="U58">
        <v>184.04345699999999</v>
      </c>
      <c r="V58">
        <v>186.37619000000001</v>
      </c>
      <c r="W58">
        <v>188.64561499999999</v>
      </c>
      <c r="X58">
        <v>190.89492799999999</v>
      </c>
      <c r="Y58">
        <v>193.064682</v>
      </c>
      <c r="Z58">
        <v>195.17804000000001</v>
      </c>
      <c r="AA58">
        <v>197.24813800000001</v>
      </c>
      <c r="AB58">
        <v>199.27813699999999</v>
      </c>
      <c r="AC58">
        <v>201.29806500000001</v>
      </c>
      <c r="AD58">
        <v>203.24664300000001</v>
      </c>
      <c r="AE58">
        <v>205.17922999999999</v>
      </c>
      <c r="AF58">
        <v>207.06007399999999</v>
      </c>
      <c r="AG58">
        <v>208.95639</v>
      </c>
      <c r="AH58">
        <v>210.89492799999999</v>
      </c>
      <c r="AI58" s="21">
        <v>1.6E-2</v>
      </c>
    </row>
    <row r="59" spans="1:36">
      <c r="A59" t="s">
        <v>79</v>
      </c>
      <c r="B59" t="s">
        <v>1493</v>
      </c>
      <c r="C59" t="s">
        <v>1492</v>
      </c>
      <c r="D59" t="s">
        <v>1491</v>
      </c>
      <c r="E59" t="s">
        <v>329</v>
      </c>
      <c r="G59">
        <v>261.58056599999998</v>
      </c>
      <c r="H59">
        <v>262.14712500000002</v>
      </c>
      <c r="I59">
        <v>263.21313500000002</v>
      </c>
      <c r="J59">
        <v>264.447632</v>
      </c>
      <c r="K59">
        <v>265.72799700000002</v>
      </c>
      <c r="L59">
        <v>266.88964800000002</v>
      </c>
      <c r="M59">
        <v>267.85632299999997</v>
      </c>
      <c r="N59">
        <v>268.824524</v>
      </c>
      <c r="O59">
        <v>269.648438</v>
      </c>
      <c r="P59">
        <v>270.33343500000001</v>
      </c>
      <c r="Q59">
        <v>270.91931199999999</v>
      </c>
      <c r="R59">
        <v>271.41503899999998</v>
      </c>
      <c r="S59">
        <v>271.84841899999998</v>
      </c>
      <c r="T59">
        <v>272.37396200000001</v>
      </c>
      <c r="U59">
        <v>273.06338499999998</v>
      </c>
      <c r="V59">
        <v>273.90936299999998</v>
      </c>
      <c r="W59">
        <v>274.95187399999998</v>
      </c>
      <c r="X59">
        <v>276.16525300000001</v>
      </c>
      <c r="Y59">
        <v>277.578979</v>
      </c>
      <c r="Z59">
        <v>279.06506300000001</v>
      </c>
      <c r="AA59">
        <v>280.62301600000001</v>
      </c>
      <c r="AB59">
        <v>282.20675699999998</v>
      </c>
      <c r="AC59">
        <v>283.82251000000002</v>
      </c>
      <c r="AD59">
        <v>285.48770100000002</v>
      </c>
      <c r="AE59">
        <v>287.18682899999999</v>
      </c>
      <c r="AF59">
        <v>288.88067599999999</v>
      </c>
      <c r="AG59">
        <v>290.55407700000001</v>
      </c>
      <c r="AH59">
        <v>292.26516700000002</v>
      </c>
      <c r="AI59">
        <v>294.07318099999998</v>
      </c>
      <c r="AJ59" s="21">
        <v>4.0000000000000001E-3</v>
      </c>
    </row>
    <row r="60" spans="1:36">
      <c r="A60" t="s">
        <v>1490</v>
      </c>
      <c r="B60" t="s">
        <v>1489</v>
      </c>
      <c r="C60" t="s">
        <v>1488</v>
      </c>
      <c r="D60" t="s">
        <v>329</v>
      </c>
      <c r="F60">
        <v>231.37249800000001</v>
      </c>
      <c r="G60">
        <v>230.753815</v>
      </c>
      <c r="H60">
        <v>230.483124</v>
      </c>
      <c r="I60">
        <v>230.22894299999999</v>
      </c>
      <c r="J60">
        <v>229.891434</v>
      </c>
      <c r="K60">
        <v>229.33741800000001</v>
      </c>
      <c r="L60">
        <v>228.47534200000001</v>
      </c>
      <c r="M60">
        <v>227.48718299999999</v>
      </c>
      <c r="N60">
        <v>226.29333500000001</v>
      </c>
      <c r="O60">
        <v>224.96279899999999</v>
      </c>
      <c r="P60">
        <v>223.491333</v>
      </c>
      <c r="Q60">
        <v>221.916473</v>
      </c>
      <c r="R60">
        <v>220.25041200000001</v>
      </c>
      <c r="S60">
        <v>218.61987300000001</v>
      </c>
      <c r="T60">
        <v>217.10348500000001</v>
      </c>
      <c r="U60">
        <v>215.74020400000001</v>
      </c>
      <c r="V60">
        <v>214.57688899999999</v>
      </c>
      <c r="W60">
        <v>213.606323</v>
      </c>
      <c r="X60">
        <v>212.90454099999999</v>
      </c>
      <c r="Y60">
        <v>212.366669</v>
      </c>
      <c r="Z60">
        <v>211.985107</v>
      </c>
      <c r="AA60">
        <v>211.743301</v>
      </c>
      <c r="AB60">
        <v>211.64236500000001</v>
      </c>
      <c r="AC60">
        <v>211.68899500000001</v>
      </c>
      <c r="AD60">
        <v>211.76769999999999</v>
      </c>
      <c r="AE60">
        <v>211.945267</v>
      </c>
      <c r="AF60">
        <v>212.194489</v>
      </c>
      <c r="AG60">
        <v>212.54281599999999</v>
      </c>
      <c r="AH60">
        <v>213.025452</v>
      </c>
      <c r="AI60" s="21">
        <v>-3.0000000000000001E-3</v>
      </c>
    </row>
    <row r="61" spans="1:36">
      <c r="A61" t="s">
        <v>1487</v>
      </c>
      <c r="B61" t="s">
        <v>1486</v>
      </c>
      <c r="C61" t="s">
        <v>1485</v>
      </c>
      <c r="D61" t="s">
        <v>329</v>
      </c>
      <c r="F61">
        <v>1.3026740000000001</v>
      </c>
      <c r="G61">
        <v>1.348635</v>
      </c>
      <c r="H61">
        <v>1.403216</v>
      </c>
      <c r="I61">
        <v>1.463587</v>
      </c>
      <c r="J61">
        <v>1.5261629999999999</v>
      </c>
      <c r="K61">
        <v>1.5900700000000001</v>
      </c>
      <c r="L61">
        <v>1.6581840000000001</v>
      </c>
      <c r="M61">
        <v>1.7206049999999999</v>
      </c>
      <c r="N61">
        <v>1.7777369999999999</v>
      </c>
      <c r="O61">
        <v>1.829806</v>
      </c>
      <c r="P61">
        <v>1.8786210000000001</v>
      </c>
      <c r="Q61">
        <v>1.924339</v>
      </c>
      <c r="R61">
        <v>1.969341</v>
      </c>
      <c r="S61">
        <v>2.0135550000000002</v>
      </c>
      <c r="T61">
        <v>2.0605090000000001</v>
      </c>
      <c r="U61">
        <v>2.1080779999999999</v>
      </c>
      <c r="V61">
        <v>2.1563850000000002</v>
      </c>
      <c r="W61">
        <v>2.2070729999999998</v>
      </c>
      <c r="X61">
        <v>2.2583129999999998</v>
      </c>
      <c r="Y61">
        <v>2.3073769999999998</v>
      </c>
      <c r="Z61">
        <v>2.3545530000000001</v>
      </c>
      <c r="AA61">
        <v>2.3985509999999999</v>
      </c>
      <c r="AB61">
        <v>2.4411170000000002</v>
      </c>
      <c r="AC61">
        <v>2.4823970000000002</v>
      </c>
      <c r="AD61">
        <v>2.5248629999999999</v>
      </c>
      <c r="AE61">
        <v>2.5663830000000001</v>
      </c>
      <c r="AF61">
        <v>2.608943</v>
      </c>
      <c r="AG61">
        <v>2.6519180000000002</v>
      </c>
      <c r="AH61">
        <v>2.697638</v>
      </c>
      <c r="AI61" s="21">
        <v>2.5999999999999999E-2</v>
      </c>
    </row>
    <row r="62" spans="1:36">
      <c r="A62" t="s">
        <v>1484</v>
      </c>
      <c r="B62" t="s">
        <v>1483</v>
      </c>
      <c r="C62" t="s">
        <v>1482</v>
      </c>
      <c r="D62" t="s">
        <v>329</v>
      </c>
      <c r="F62">
        <v>20.112950999999999</v>
      </c>
      <c r="G62">
        <v>19.807006999999999</v>
      </c>
      <c r="H62">
        <v>19.461297999999999</v>
      </c>
      <c r="I62">
        <v>19.059124000000001</v>
      </c>
      <c r="J62">
        <v>18.596809</v>
      </c>
      <c r="K62">
        <v>18.081195999999998</v>
      </c>
      <c r="L62">
        <v>17.518405999999999</v>
      </c>
      <c r="M62">
        <v>16.921655999999999</v>
      </c>
      <c r="N62">
        <v>16.300381000000002</v>
      </c>
      <c r="O62">
        <v>15.671162000000001</v>
      </c>
      <c r="P62">
        <v>15.061631999999999</v>
      </c>
      <c r="Q62">
        <v>14.478609000000001</v>
      </c>
      <c r="R62">
        <v>13.930773</v>
      </c>
      <c r="S62">
        <v>13.437405</v>
      </c>
      <c r="T62">
        <v>13.011602</v>
      </c>
      <c r="U62">
        <v>12.652915999999999</v>
      </c>
      <c r="V62">
        <v>12.360968</v>
      </c>
      <c r="W62">
        <v>12.130409</v>
      </c>
      <c r="X62">
        <v>11.948007</v>
      </c>
      <c r="Y62">
        <v>11.793393999999999</v>
      </c>
      <c r="Z62">
        <v>11.668161</v>
      </c>
      <c r="AA62">
        <v>11.564175000000001</v>
      </c>
      <c r="AB62">
        <v>11.478016999999999</v>
      </c>
      <c r="AC62">
        <v>11.404443000000001</v>
      </c>
      <c r="AD62">
        <v>11.336202999999999</v>
      </c>
      <c r="AE62">
        <v>11.277596000000001</v>
      </c>
      <c r="AF62">
        <v>11.225875</v>
      </c>
      <c r="AG62">
        <v>11.183749000000001</v>
      </c>
      <c r="AH62">
        <v>11.151662</v>
      </c>
      <c r="AI62" s="21">
        <v>-2.1000000000000001E-2</v>
      </c>
    </row>
    <row r="63" spans="1:36">
      <c r="A63" t="s">
        <v>334</v>
      </c>
      <c r="B63" t="s">
        <v>1481</v>
      </c>
      <c r="C63" t="s">
        <v>1480</v>
      </c>
      <c r="D63" t="s">
        <v>329</v>
      </c>
      <c r="F63">
        <v>2.0716770000000002</v>
      </c>
      <c r="G63">
        <v>2.799213</v>
      </c>
      <c r="H63">
        <v>3.5917940000000002</v>
      </c>
      <c r="I63">
        <v>4.5046220000000003</v>
      </c>
      <c r="J63">
        <v>5.5438919999999996</v>
      </c>
      <c r="K63">
        <v>6.7060490000000001</v>
      </c>
      <c r="L63">
        <v>7.9944240000000004</v>
      </c>
      <c r="M63">
        <v>9.4288059999999998</v>
      </c>
      <c r="N63">
        <v>10.953939</v>
      </c>
      <c r="O63">
        <v>12.493767</v>
      </c>
      <c r="P63">
        <v>14.064914</v>
      </c>
      <c r="Q63">
        <v>15.627122999999999</v>
      </c>
      <c r="R63">
        <v>17.179966</v>
      </c>
      <c r="S63">
        <v>18.723986</v>
      </c>
      <c r="T63">
        <v>20.253291999999998</v>
      </c>
      <c r="U63">
        <v>21.734611999999998</v>
      </c>
      <c r="V63">
        <v>23.162617000000001</v>
      </c>
      <c r="W63">
        <v>24.532043000000002</v>
      </c>
      <c r="X63">
        <v>25.822558999999998</v>
      </c>
      <c r="Y63">
        <v>27.039031999999999</v>
      </c>
      <c r="Z63">
        <v>28.185894000000001</v>
      </c>
      <c r="AA63">
        <v>29.248545</v>
      </c>
      <c r="AB63">
        <v>30.233184999999999</v>
      </c>
      <c r="AC63">
        <v>31.146191000000002</v>
      </c>
      <c r="AD63">
        <v>32.071102000000003</v>
      </c>
      <c r="AE63">
        <v>32.917580000000001</v>
      </c>
      <c r="AF63">
        <v>33.699337</v>
      </c>
      <c r="AG63">
        <v>34.435912999999999</v>
      </c>
      <c r="AH63">
        <v>35.136723000000003</v>
      </c>
      <c r="AI63" s="21">
        <v>0.106</v>
      </c>
    </row>
    <row r="64" spans="1:36">
      <c r="A64" t="s">
        <v>1479</v>
      </c>
      <c r="B64" t="s">
        <v>1478</v>
      </c>
      <c r="C64" t="s">
        <v>1477</v>
      </c>
      <c r="D64" t="s">
        <v>329</v>
      </c>
      <c r="F64">
        <v>0.92389100000000002</v>
      </c>
      <c r="G64">
        <v>1.130471</v>
      </c>
      <c r="H64">
        <v>1.398884</v>
      </c>
      <c r="I64">
        <v>1.728037</v>
      </c>
      <c r="J64">
        <v>2.1016110000000001</v>
      </c>
      <c r="K64">
        <v>2.5012120000000002</v>
      </c>
      <c r="L64">
        <v>2.926742</v>
      </c>
      <c r="M64">
        <v>3.3706070000000001</v>
      </c>
      <c r="N64">
        <v>3.8202739999999999</v>
      </c>
      <c r="O64">
        <v>4.2699369999999996</v>
      </c>
      <c r="P64">
        <v>4.7204050000000004</v>
      </c>
      <c r="Q64">
        <v>5.1720040000000003</v>
      </c>
      <c r="R64">
        <v>5.6272989999999998</v>
      </c>
      <c r="S64">
        <v>6.0878730000000001</v>
      </c>
      <c r="T64">
        <v>6.5450049999999997</v>
      </c>
      <c r="U64">
        <v>6.9929730000000001</v>
      </c>
      <c r="V64">
        <v>7.430644</v>
      </c>
      <c r="W64">
        <v>7.854495</v>
      </c>
      <c r="X64">
        <v>8.2574780000000008</v>
      </c>
      <c r="Y64">
        <v>8.6428860000000007</v>
      </c>
      <c r="Z64">
        <v>9.0122020000000003</v>
      </c>
      <c r="AA64">
        <v>9.3634430000000002</v>
      </c>
      <c r="AB64">
        <v>9.6938189999999995</v>
      </c>
      <c r="AC64">
        <v>10.006036</v>
      </c>
      <c r="AD64">
        <v>10.307363</v>
      </c>
      <c r="AE64">
        <v>10.592257999999999</v>
      </c>
      <c r="AF64">
        <v>10.859729</v>
      </c>
      <c r="AG64">
        <v>11.11434</v>
      </c>
      <c r="AH64">
        <v>11.360841000000001</v>
      </c>
      <c r="AI64" s="21">
        <v>9.4E-2</v>
      </c>
    </row>
    <row r="65" spans="1:35">
      <c r="A65" t="s">
        <v>1476</v>
      </c>
      <c r="B65" t="s">
        <v>1475</v>
      </c>
      <c r="C65" t="s">
        <v>1474</v>
      </c>
      <c r="D65" t="s">
        <v>329</v>
      </c>
      <c r="F65">
        <v>5.7484080000000004</v>
      </c>
      <c r="G65">
        <v>6.2591640000000002</v>
      </c>
      <c r="H65">
        <v>6.8254320000000002</v>
      </c>
      <c r="I65">
        <v>7.4133769999999997</v>
      </c>
      <c r="J65">
        <v>8.0172439999999998</v>
      </c>
      <c r="K65">
        <v>8.6215899999999994</v>
      </c>
      <c r="L65">
        <v>9.2295149999999992</v>
      </c>
      <c r="M65">
        <v>9.8401390000000006</v>
      </c>
      <c r="N65">
        <v>10.445171999999999</v>
      </c>
      <c r="O65">
        <v>11.046252000000001</v>
      </c>
      <c r="P65">
        <v>11.640473999999999</v>
      </c>
      <c r="Q65">
        <v>12.232355</v>
      </c>
      <c r="R65">
        <v>12.824204999999999</v>
      </c>
      <c r="S65">
        <v>13.422514</v>
      </c>
      <c r="T65">
        <v>14.018387000000001</v>
      </c>
      <c r="U65">
        <v>14.607146999999999</v>
      </c>
      <c r="V65">
        <v>15.188794</v>
      </c>
      <c r="W65">
        <v>15.757303</v>
      </c>
      <c r="X65">
        <v>16.308674</v>
      </c>
      <c r="Y65">
        <v>16.834719</v>
      </c>
      <c r="Z65">
        <v>17.334624999999999</v>
      </c>
      <c r="AA65">
        <v>17.805</v>
      </c>
      <c r="AB65">
        <v>18.249099999999999</v>
      </c>
      <c r="AC65">
        <v>18.673672</v>
      </c>
      <c r="AD65">
        <v>19.092459000000002</v>
      </c>
      <c r="AE65">
        <v>19.49316</v>
      </c>
      <c r="AF65">
        <v>19.876056999999999</v>
      </c>
      <c r="AG65">
        <v>20.245571000000002</v>
      </c>
      <c r="AH65">
        <v>20.608757000000001</v>
      </c>
      <c r="AI65" s="21">
        <v>4.7E-2</v>
      </c>
    </row>
    <row r="66" spans="1:35">
      <c r="A66" t="s">
        <v>1473</v>
      </c>
      <c r="B66" t="s">
        <v>1472</v>
      </c>
      <c r="C66" t="s">
        <v>1471</v>
      </c>
      <c r="D66" t="s">
        <v>329</v>
      </c>
      <c r="F66">
        <v>3.4882000000000003E-2</v>
      </c>
      <c r="G66">
        <v>3.3030999999999998E-2</v>
      </c>
      <c r="H66">
        <v>3.1743E-2</v>
      </c>
      <c r="I66">
        <v>3.0721999999999999E-2</v>
      </c>
      <c r="J66">
        <v>3.0030000000000001E-2</v>
      </c>
      <c r="K66">
        <v>2.9593999999999999E-2</v>
      </c>
      <c r="L66">
        <v>2.9208000000000001E-2</v>
      </c>
      <c r="M66">
        <v>2.8948999999999999E-2</v>
      </c>
      <c r="N66">
        <v>2.8844999999999999E-2</v>
      </c>
      <c r="O66">
        <v>2.8791000000000001E-2</v>
      </c>
      <c r="P66">
        <v>2.8825E-2</v>
      </c>
      <c r="Q66">
        <v>2.894E-2</v>
      </c>
      <c r="R66">
        <v>2.9152999999999998E-2</v>
      </c>
      <c r="S66">
        <v>2.9439E-2</v>
      </c>
      <c r="T66">
        <v>2.9812000000000002E-2</v>
      </c>
      <c r="U66">
        <v>3.0290999999999998E-2</v>
      </c>
      <c r="V66">
        <v>3.0783000000000001E-2</v>
      </c>
      <c r="W66">
        <v>3.1303999999999998E-2</v>
      </c>
      <c r="X66">
        <v>3.1833E-2</v>
      </c>
      <c r="Y66">
        <v>3.2343999999999998E-2</v>
      </c>
      <c r="Z66">
        <v>3.2849999999999997E-2</v>
      </c>
      <c r="AA66">
        <v>3.3355000000000003E-2</v>
      </c>
      <c r="AB66">
        <v>3.3889000000000002E-2</v>
      </c>
      <c r="AC66">
        <v>3.4455E-2</v>
      </c>
      <c r="AD66">
        <v>3.5082000000000002E-2</v>
      </c>
      <c r="AE66">
        <v>3.5774E-2</v>
      </c>
      <c r="AF66">
        <v>3.6539000000000002E-2</v>
      </c>
      <c r="AG66">
        <v>3.7373999999999998E-2</v>
      </c>
      <c r="AH66">
        <v>3.8323000000000003E-2</v>
      </c>
      <c r="AI66" s="21">
        <v>3.0000000000000001E-3</v>
      </c>
    </row>
    <row r="67" spans="1:35">
      <c r="A67" t="s">
        <v>337</v>
      </c>
      <c r="B67" t="s">
        <v>1470</v>
      </c>
      <c r="C67" t="s">
        <v>1469</v>
      </c>
      <c r="D67" t="s">
        <v>329</v>
      </c>
      <c r="F67">
        <v>1.3589E-2</v>
      </c>
      <c r="G67">
        <v>1.5809E-2</v>
      </c>
      <c r="H67">
        <v>1.7642999999999999E-2</v>
      </c>
      <c r="I67">
        <v>1.9210000000000001E-2</v>
      </c>
      <c r="J67">
        <v>2.0826000000000001E-2</v>
      </c>
      <c r="K67">
        <v>2.2551000000000002E-2</v>
      </c>
      <c r="L67">
        <v>2.4518000000000002E-2</v>
      </c>
      <c r="M67">
        <v>2.6592000000000001E-2</v>
      </c>
      <c r="N67">
        <v>2.8752E-2</v>
      </c>
      <c r="O67">
        <v>3.0935000000000001E-2</v>
      </c>
      <c r="P67">
        <v>3.3098000000000002E-2</v>
      </c>
      <c r="Q67">
        <v>3.5210999999999999E-2</v>
      </c>
      <c r="R67">
        <v>3.7281000000000002E-2</v>
      </c>
      <c r="S67">
        <v>3.9312E-2</v>
      </c>
      <c r="T67">
        <v>4.1272999999999997E-2</v>
      </c>
      <c r="U67">
        <v>4.3146999999999998E-2</v>
      </c>
      <c r="V67">
        <v>4.4810000000000003E-2</v>
      </c>
      <c r="W67">
        <v>4.6282999999999998E-2</v>
      </c>
      <c r="X67">
        <v>4.7567999999999999E-2</v>
      </c>
      <c r="Y67">
        <v>4.8653000000000002E-2</v>
      </c>
      <c r="Z67">
        <v>4.9611000000000002E-2</v>
      </c>
      <c r="AA67">
        <v>5.0394000000000001E-2</v>
      </c>
      <c r="AB67">
        <v>5.1031E-2</v>
      </c>
      <c r="AC67">
        <v>5.1534000000000003E-2</v>
      </c>
      <c r="AD67">
        <v>5.2067000000000002E-2</v>
      </c>
      <c r="AE67">
        <v>5.2642000000000001E-2</v>
      </c>
      <c r="AF67">
        <v>5.3110999999999998E-2</v>
      </c>
      <c r="AG67">
        <v>5.3490000000000003E-2</v>
      </c>
      <c r="AH67">
        <v>5.3773000000000001E-2</v>
      </c>
      <c r="AI67" s="21">
        <v>0.05</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I70"/>
  <sheetViews>
    <sheetView workbookViewId="0">
      <selection activeCell="C17" sqref="C17"/>
    </sheetView>
  </sheetViews>
  <sheetFormatPr defaultRowHeight="15"/>
  <cols>
    <col min="1" max="1" width="29.7109375" customWidth="1"/>
    <col min="3" max="3" width="23.4257812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330</v>
      </c>
    </row>
    <row r="11" spans="1:35">
      <c r="A11" t="s">
        <v>1468</v>
      </c>
    </row>
    <row r="12" spans="1:35">
      <c r="A12" t="s">
        <v>2342</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308</v>
      </c>
    </row>
    <row r="16" spans="1:35">
      <c r="A16" t="s">
        <v>309</v>
      </c>
    </row>
    <row r="17" spans="1:35">
      <c r="A17" t="s">
        <v>310</v>
      </c>
      <c r="B17" t="s">
        <v>1467</v>
      </c>
      <c r="C17" t="s">
        <v>1466</v>
      </c>
      <c r="D17" t="s">
        <v>331</v>
      </c>
      <c r="F17">
        <v>5006.548828</v>
      </c>
      <c r="G17">
        <v>4623.4965819999998</v>
      </c>
      <c r="H17">
        <v>4322.0991210000002</v>
      </c>
      <c r="I17">
        <v>4050.3803710000002</v>
      </c>
      <c r="J17">
        <v>3798.4448240000002</v>
      </c>
      <c r="K17">
        <v>3573.9875489999999</v>
      </c>
      <c r="L17">
        <v>3375.2902829999998</v>
      </c>
      <c r="M17">
        <v>3201.9536130000001</v>
      </c>
      <c r="N17">
        <v>3049.9338379999999</v>
      </c>
      <c r="O17">
        <v>2915.8713379999999</v>
      </c>
      <c r="P17">
        <v>2799.1982419999999</v>
      </c>
      <c r="Q17">
        <v>2695.3247070000002</v>
      </c>
      <c r="R17">
        <v>2605.9509280000002</v>
      </c>
      <c r="S17">
        <v>2531.272461</v>
      </c>
      <c r="T17">
        <v>2471.8771969999998</v>
      </c>
      <c r="U17">
        <v>2420.798828</v>
      </c>
      <c r="V17">
        <v>2375.9213869999999</v>
      </c>
      <c r="W17">
        <v>2335.8723140000002</v>
      </c>
      <c r="X17">
        <v>2299.6142580000001</v>
      </c>
      <c r="Y17">
        <v>2263.0639649999998</v>
      </c>
      <c r="Z17">
        <v>2226.7246089999999</v>
      </c>
      <c r="AA17">
        <v>2188.9047850000002</v>
      </c>
      <c r="AB17">
        <v>2153.0827640000002</v>
      </c>
      <c r="AC17">
        <v>2121.883057</v>
      </c>
      <c r="AD17">
        <v>2098.4035640000002</v>
      </c>
      <c r="AE17">
        <v>2073.5654300000001</v>
      </c>
      <c r="AF17">
        <v>2048.201172</v>
      </c>
      <c r="AG17">
        <v>2023.400879</v>
      </c>
      <c r="AH17">
        <v>2001.2680660000001</v>
      </c>
      <c r="AI17" s="21">
        <v>-3.2000000000000001E-2</v>
      </c>
    </row>
    <row r="18" spans="1:35">
      <c r="A18" t="s">
        <v>311</v>
      </c>
      <c r="B18" t="s">
        <v>1465</v>
      </c>
      <c r="C18" t="s">
        <v>1464</v>
      </c>
      <c r="D18" t="s">
        <v>331</v>
      </c>
      <c r="F18">
        <v>16.267254000000001</v>
      </c>
      <c r="G18">
        <v>14.041601</v>
      </c>
      <c r="H18">
        <v>12.078984</v>
      </c>
      <c r="I18">
        <v>10.340630000000001</v>
      </c>
      <c r="J18">
        <v>8.8101280000000006</v>
      </c>
      <c r="K18">
        <v>7.4528740000000004</v>
      </c>
      <c r="L18">
        <v>6.2475370000000003</v>
      </c>
      <c r="M18">
        <v>5.194445</v>
      </c>
      <c r="N18">
        <v>4.2915020000000004</v>
      </c>
      <c r="O18">
        <v>3.5278659999999999</v>
      </c>
      <c r="P18">
        <v>2.8928690000000001</v>
      </c>
      <c r="Q18">
        <v>2.3767160000000001</v>
      </c>
      <c r="R18">
        <v>1.9656169999999999</v>
      </c>
      <c r="S18">
        <v>1.6437999999999999</v>
      </c>
      <c r="T18">
        <v>1.3933960000000001</v>
      </c>
      <c r="U18">
        <v>1.1985239999999999</v>
      </c>
      <c r="V18">
        <v>1.0473939999999999</v>
      </c>
      <c r="W18">
        <v>0.92833699999999997</v>
      </c>
      <c r="X18">
        <v>0.82880399999999999</v>
      </c>
      <c r="Y18">
        <v>0.74240799999999996</v>
      </c>
      <c r="Z18">
        <v>0.66700499999999996</v>
      </c>
      <c r="AA18">
        <v>0.60045899999999996</v>
      </c>
      <c r="AB18">
        <v>0.54111399999999998</v>
      </c>
      <c r="AC18">
        <v>0.48800300000000002</v>
      </c>
      <c r="AD18">
        <v>0.44044299999999997</v>
      </c>
      <c r="AE18">
        <v>0.39783000000000002</v>
      </c>
      <c r="AF18">
        <v>0.359624</v>
      </c>
      <c r="AG18">
        <v>0.32534800000000003</v>
      </c>
      <c r="AH18">
        <v>0.29457699999999998</v>
      </c>
      <c r="AI18" s="21">
        <v>-0.13300000000000001</v>
      </c>
    </row>
    <row r="19" spans="1:35">
      <c r="A19" t="s">
        <v>312</v>
      </c>
      <c r="B19" t="s">
        <v>1463</v>
      </c>
      <c r="C19" t="s">
        <v>1462</v>
      </c>
      <c r="D19" t="s">
        <v>331</v>
      </c>
      <c r="F19">
        <v>5022.8159180000002</v>
      </c>
      <c r="G19">
        <v>4637.5380859999996</v>
      </c>
      <c r="H19">
        <v>4334.1782229999999</v>
      </c>
      <c r="I19">
        <v>4060.7209469999998</v>
      </c>
      <c r="J19">
        <v>3807.2548830000001</v>
      </c>
      <c r="K19">
        <v>3581.4404300000001</v>
      </c>
      <c r="L19">
        <v>3381.5378420000002</v>
      </c>
      <c r="M19">
        <v>3207.1479490000002</v>
      </c>
      <c r="N19">
        <v>3054.2253420000002</v>
      </c>
      <c r="O19">
        <v>2919.3991700000001</v>
      </c>
      <c r="P19">
        <v>2802.0910640000002</v>
      </c>
      <c r="Q19">
        <v>2697.7014159999999</v>
      </c>
      <c r="R19">
        <v>2607.9165039999998</v>
      </c>
      <c r="S19">
        <v>2532.91626</v>
      </c>
      <c r="T19">
        <v>2473.2705080000001</v>
      </c>
      <c r="U19">
        <v>2421.9973140000002</v>
      </c>
      <c r="V19">
        <v>2376.96875</v>
      </c>
      <c r="W19">
        <v>2336.8005370000001</v>
      </c>
      <c r="X19">
        <v>2300.443115</v>
      </c>
      <c r="Y19">
        <v>2263.8063959999999</v>
      </c>
      <c r="Z19">
        <v>2227.3916020000001</v>
      </c>
      <c r="AA19">
        <v>2189.5051269999999</v>
      </c>
      <c r="AB19">
        <v>2153.623779</v>
      </c>
      <c r="AC19">
        <v>2122.3710940000001</v>
      </c>
      <c r="AD19">
        <v>2098.8439939999998</v>
      </c>
      <c r="AE19">
        <v>2073.9633789999998</v>
      </c>
      <c r="AF19">
        <v>2048.5607909999999</v>
      </c>
      <c r="AG19">
        <v>2023.7261960000001</v>
      </c>
      <c r="AH19">
        <v>2001.5626219999999</v>
      </c>
      <c r="AI19" s="21">
        <v>-3.2000000000000001E-2</v>
      </c>
    </row>
    <row r="20" spans="1:35">
      <c r="A20" t="s">
        <v>313</v>
      </c>
    </row>
    <row r="21" spans="1:35">
      <c r="A21" t="s">
        <v>314</v>
      </c>
      <c r="B21" t="s">
        <v>1461</v>
      </c>
      <c r="C21" t="s">
        <v>1460</v>
      </c>
      <c r="D21" t="s">
        <v>331</v>
      </c>
      <c r="F21">
        <v>260.40920999999997</v>
      </c>
      <c r="G21">
        <v>233.988113</v>
      </c>
      <c r="H21">
        <v>209.63816800000001</v>
      </c>
      <c r="I21">
        <v>186.641312</v>
      </c>
      <c r="J21">
        <v>165.97789</v>
      </c>
      <c r="K21">
        <v>147.821091</v>
      </c>
      <c r="L21">
        <v>132.07270800000001</v>
      </c>
      <c r="M21">
        <v>118.785217</v>
      </c>
      <c r="N21">
        <v>107.733772</v>
      </c>
      <c r="O21">
        <v>98.722213999999994</v>
      </c>
      <c r="P21">
        <v>91.63073</v>
      </c>
      <c r="Q21">
        <v>86.220878999999996</v>
      </c>
      <c r="R21">
        <v>82.223006999999996</v>
      </c>
      <c r="S21">
        <v>79.438202000000004</v>
      </c>
      <c r="T21">
        <v>77.735916000000003</v>
      </c>
      <c r="U21">
        <v>76.541740000000004</v>
      </c>
      <c r="V21">
        <v>75.666542000000007</v>
      </c>
      <c r="W21">
        <v>75.034683000000001</v>
      </c>
      <c r="X21">
        <v>74.555442999999997</v>
      </c>
      <c r="Y21">
        <v>74.032272000000006</v>
      </c>
      <c r="Z21">
        <v>73.489875999999995</v>
      </c>
      <c r="AA21">
        <v>72.862831</v>
      </c>
      <c r="AB21">
        <v>72.320983999999996</v>
      </c>
      <c r="AC21">
        <v>71.990898000000001</v>
      </c>
      <c r="AD21">
        <v>72.008469000000005</v>
      </c>
      <c r="AE21">
        <v>71.941269000000005</v>
      </c>
      <c r="AF21">
        <v>71.822685000000007</v>
      </c>
      <c r="AG21">
        <v>71.715027000000006</v>
      </c>
      <c r="AH21">
        <v>71.534599</v>
      </c>
      <c r="AI21" s="21">
        <v>-4.4999999999999998E-2</v>
      </c>
    </row>
    <row r="22" spans="1:35">
      <c r="A22" t="s">
        <v>1424</v>
      </c>
      <c r="B22" t="s">
        <v>1459</v>
      </c>
      <c r="C22" t="s">
        <v>1418</v>
      </c>
      <c r="D22" t="s">
        <v>331</v>
      </c>
      <c r="F22">
        <v>11.328023999999999</v>
      </c>
      <c r="G22">
        <v>11.751799</v>
      </c>
      <c r="H22">
        <v>12.242355999999999</v>
      </c>
      <c r="I22">
        <v>12.619923999999999</v>
      </c>
      <c r="J22">
        <v>12.897100999999999</v>
      </c>
      <c r="K22">
        <v>13.181957000000001</v>
      </c>
      <c r="L22">
        <v>13.471306999999999</v>
      </c>
      <c r="M22">
        <v>13.783559</v>
      </c>
      <c r="N22">
        <v>14.123207000000001</v>
      </c>
      <c r="O22">
        <v>14.488545999999999</v>
      </c>
      <c r="P22">
        <v>14.888897999999999</v>
      </c>
      <c r="Q22">
        <v>15.317131</v>
      </c>
      <c r="R22">
        <v>15.792070000000001</v>
      </c>
      <c r="S22">
        <v>16.327549000000001</v>
      </c>
      <c r="T22">
        <v>16.936695</v>
      </c>
      <c r="U22">
        <v>17.576630000000002</v>
      </c>
      <c r="V22">
        <v>18.235157000000001</v>
      </c>
      <c r="W22">
        <v>18.903063</v>
      </c>
      <c r="X22">
        <v>19.57601</v>
      </c>
      <c r="Y22">
        <v>20.217279000000001</v>
      </c>
      <c r="Z22">
        <v>20.833856999999998</v>
      </c>
      <c r="AA22">
        <v>21.407917000000001</v>
      </c>
      <c r="AB22">
        <v>21.978210000000001</v>
      </c>
      <c r="AC22">
        <v>22.581918999999999</v>
      </c>
      <c r="AD22">
        <v>23.266811000000001</v>
      </c>
      <c r="AE22">
        <v>23.926888000000002</v>
      </c>
      <c r="AF22">
        <v>24.574036</v>
      </c>
      <c r="AG22">
        <v>25.223347</v>
      </c>
      <c r="AH22">
        <v>25.902096</v>
      </c>
      <c r="AI22" s="21">
        <v>0.03</v>
      </c>
    </row>
    <row r="23" spans="1:35">
      <c r="A23" t="s">
        <v>1422</v>
      </c>
      <c r="B23" t="s">
        <v>1458</v>
      </c>
      <c r="C23" t="s">
        <v>1418</v>
      </c>
      <c r="D23" t="s">
        <v>331</v>
      </c>
      <c r="F23">
        <v>17.462101000000001</v>
      </c>
      <c r="G23">
        <v>18.744710999999999</v>
      </c>
      <c r="H23">
        <v>21.541321</v>
      </c>
      <c r="I23">
        <v>25.222059000000002</v>
      </c>
      <c r="J23">
        <v>29.118895999999999</v>
      </c>
      <c r="K23">
        <v>33.205460000000002</v>
      </c>
      <c r="L23">
        <v>37.426132000000003</v>
      </c>
      <c r="M23">
        <v>41.846263999999998</v>
      </c>
      <c r="N23">
        <v>46.466693999999997</v>
      </c>
      <c r="O23">
        <v>51.259414999999997</v>
      </c>
      <c r="P23">
        <v>56.274909999999998</v>
      </c>
      <c r="Q23">
        <v>61.416988000000003</v>
      </c>
      <c r="R23">
        <v>66.797652999999997</v>
      </c>
      <c r="S23">
        <v>72.494193999999993</v>
      </c>
      <c r="T23">
        <v>78.615684999999999</v>
      </c>
      <c r="U23">
        <v>84.929885999999996</v>
      </c>
      <c r="V23">
        <v>91.387435999999994</v>
      </c>
      <c r="W23">
        <v>97.968834000000001</v>
      </c>
      <c r="X23">
        <v>104.64284499999999</v>
      </c>
      <c r="Y23">
        <v>111.18373099999999</v>
      </c>
      <c r="Z23">
        <v>117.624878</v>
      </c>
      <c r="AA23">
        <v>123.84116400000001</v>
      </c>
      <c r="AB23">
        <v>130.079071</v>
      </c>
      <c r="AC23">
        <v>136.56813</v>
      </c>
      <c r="AD23">
        <v>143.622345</v>
      </c>
      <c r="AE23">
        <v>150.508972</v>
      </c>
      <c r="AF23">
        <v>157.309113</v>
      </c>
      <c r="AG23">
        <v>164.12808200000001</v>
      </c>
      <c r="AH23">
        <v>171.15566999999999</v>
      </c>
      <c r="AI23" s="21">
        <v>8.5000000000000006E-2</v>
      </c>
    </row>
    <row r="24" spans="1:35">
      <c r="A24" t="s">
        <v>1420</v>
      </c>
      <c r="B24" t="s">
        <v>1457</v>
      </c>
      <c r="C24" t="s">
        <v>1418</v>
      </c>
      <c r="D24" t="s">
        <v>331</v>
      </c>
      <c r="F24">
        <v>55.467815000000002</v>
      </c>
      <c r="G24">
        <v>63.862431000000001</v>
      </c>
      <c r="H24">
        <v>72.749718000000001</v>
      </c>
      <c r="I24">
        <v>81.883339000000007</v>
      </c>
      <c r="J24">
        <v>90.405708000000004</v>
      </c>
      <c r="K24">
        <v>98.471451000000002</v>
      </c>
      <c r="L24">
        <v>106.067009</v>
      </c>
      <c r="M24">
        <v>113.402885</v>
      </c>
      <c r="N24">
        <v>120.48434399999999</v>
      </c>
      <c r="O24">
        <v>127.294693</v>
      </c>
      <c r="P24">
        <v>133.98381000000001</v>
      </c>
      <c r="Q24">
        <v>140.44589199999999</v>
      </c>
      <c r="R24">
        <v>146.910034</v>
      </c>
      <c r="S24">
        <v>153.54129</v>
      </c>
      <c r="T24">
        <v>160.56230199999999</v>
      </c>
      <c r="U24">
        <v>167.61523399999999</v>
      </c>
      <c r="V24">
        <v>174.68606600000001</v>
      </c>
      <c r="W24">
        <v>181.77105700000001</v>
      </c>
      <c r="X24">
        <v>188.86759900000001</v>
      </c>
      <c r="Y24">
        <v>195.655945</v>
      </c>
      <c r="Z24">
        <v>202.22496000000001</v>
      </c>
      <c r="AA24">
        <v>208.409515</v>
      </c>
      <c r="AB24">
        <v>214.599075</v>
      </c>
      <c r="AC24">
        <v>221.16119399999999</v>
      </c>
      <c r="AD24">
        <v>228.55313100000001</v>
      </c>
      <c r="AE24">
        <v>235.692307</v>
      </c>
      <c r="AF24">
        <v>242.69841</v>
      </c>
      <c r="AG24">
        <v>249.723175</v>
      </c>
      <c r="AH24">
        <v>257.04064899999997</v>
      </c>
      <c r="AI24" s="21">
        <v>5.6000000000000001E-2</v>
      </c>
    </row>
    <row r="25" spans="1:35">
      <c r="A25" t="s">
        <v>1417</v>
      </c>
      <c r="B25" t="s">
        <v>1456</v>
      </c>
      <c r="C25" t="s">
        <v>1455</v>
      </c>
      <c r="D25" t="s">
        <v>331</v>
      </c>
      <c r="F25">
        <v>18.620896999999999</v>
      </c>
      <c r="G25">
        <v>18.742386</v>
      </c>
      <c r="H25">
        <v>19.225785999999999</v>
      </c>
      <c r="I25">
        <v>19.769812000000002</v>
      </c>
      <c r="J25">
        <v>20.255057999999998</v>
      </c>
      <c r="K25">
        <v>20.684639000000001</v>
      </c>
      <c r="L25">
        <v>21.07461</v>
      </c>
      <c r="M25">
        <v>21.458030999999998</v>
      </c>
      <c r="N25">
        <v>21.848562000000001</v>
      </c>
      <c r="O25">
        <v>22.249832000000001</v>
      </c>
      <c r="P25">
        <v>22.686924000000001</v>
      </c>
      <c r="Q25">
        <v>23.151102000000002</v>
      </c>
      <c r="R25">
        <v>23.674931000000001</v>
      </c>
      <c r="S25">
        <v>24.288008000000001</v>
      </c>
      <c r="T25">
        <v>25.015554000000002</v>
      </c>
      <c r="U25">
        <v>25.810991000000001</v>
      </c>
      <c r="V25">
        <v>26.663719</v>
      </c>
      <c r="W25">
        <v>27.561453</v>
      </c>
      <c r="X25">
        <v>28.491934000000001</v>
      </c>
      <c r="Y25">
        <v>29.406262999999999</v>
      </c>
      <c r="Z25">
        <v>30.308496000000002</v>
      </c>
      <c r="AA25">
        <v>31.167662</v>
      </c>
      <c r="AB25">
        <v>32.028728000000001</v>
      </c>
      <c r="AC25">
        <v>32.935436000000003</v>
      </c>
      <c r="AD25">
        <v>33.948967000000003</v>
      </c>
      <c r="AE25">
        <v>34.930641000000001</v>
      </c>
      <c r="AF25">
        <v>35.897713000000003</v>
      </c>
      <c r="AG25">
        <v>36.868178999999998</v>
      </c>
      <c r="AH25">
        <v>37.873576999999997</v>
      </c>
      <c r="AI25" s="21">
        <v>2.5999999999999999E-2</v>
      </c>
    </row>
    <row r="26" spans="1:35">
      <c r="A26" t="s">
        <v>1414</v>
      </c>
      <c r="B26" t="s">
        <v>1454</v>
      </c>
      <c r="C26" t="s">
        <v>1453</v>
      </c>
      <c r="D26" t="s">
        <v>331</v>
      </c>
      <c r="F26">
        <v>9.1898499999999999</v>
      </c>
      <c r="G26">
        <v>9.2321910000000003</v>
      </c>
      <c r="H26">
        <v>9.5130649999999992</v>
      </c>
      <c r="I26">
        <v>9.8905469999999998</v>
      </c>
      <c r="J26">
        <v>10.297814000000001</v>
      </c>
      <c r="K26">
        <v>10.742392000000001</v>
      </c>
      <c r="L26">
        <v>11.226654999999999</v>
      </c>
      <c r="M26">
        <v>11.782159</v>
      </c>
      <c r="N26">
        <v>12.412929999999999</v>
      </c>
      <c r="O26">
        <v>13.113447000000001</v>
      </c>
      <c r="P26">
        <v>13.8957</v>
      </c>
      <c r="Q26">
        <v>14.741248000000001</v>
      </c>
      <c r="R26">
        <v>15.667826</v>
      </c>
      <c r="S26">
        <v>16.685068000000001</v>
      </c>
      <c r="T26">
        <v>17.809175</v>
      </c>
      <c r="U26">
        <v>18.991947</v>
      </c>
      <c r="V26">
        <v>20.221149</v>
      </c>
      <c r="W26">
        <v>21.486172</v>
      </c>
      <c r="X26">
        <v>22.775742000000001</v>
      </c>
      <c r="Y26">
        <v>24.045905999999999</v>
      </c>
      <c r="Z26">
        <v>25.302800999999999</v>
      </c>
      <c r="AA26">
        <v>26.519762</v>
      </c>
      <c r="AB26">
        <v>27.738803999999998</v>
      </c>
      <c r="AC26">
        <v>29.003209999999999</v>
      </c>
      <c r="AD26">
        <v>30.374689</v>
      </c>
      <c r="AE26">
        <v>31.715917999999999</v>
      </c>
      <c r="AF26">
        <v>33.043564000000003</v>
      </c>
      <c r="AG26">
        <v>34.375633000000001</v>
      </c>
      <c r="AH26">
        <v>35.743800999999998</v>
      </c>
      <c r="AI26" s="21">
        <v>0.05</v>
      </c>
    </row>
    <row r="27" spans="1:35">
      <c r="A27" t="s">
        <v>315</v>
      </c>
      <c r="B27" t="s">
        <v>1452</v>
      </c>
      <c r="C27" t="s">
        <v>1451</v>
      </c>
      <c r="D27" t="s">
        <v>331</v>
      </c>
      <c r="F27">
        <v>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t="s">
        <v>17</v>
      </c>
    </row>
    <row r="28" spans="1:35">
      <c r="A28" t="s">
        <v>316</v>
      </c>
      <c r="B28" t="s">
        <v>1450</v>
      </c>
      <c r="C28" t="s">
        <v>1449</v>
      </c>
      <c r="D28" t="s">
        <v>331</v>
      </c>
      <c r="F28">
        <v>223.61549400000001</v>
      </c>
      <c r="G28">
        <v>216.07962000000001</v>
      </c>
      <c r="H28">
        <v>210.169006</v>
      </c>
      <c r="I28">
        <v>203.94279499999999</v>
      </c>
      <c r="J28">
        <v>198.13800000000001</v>
      </c>
      <c r="K28">
        <v>193.12855500000001</v>
      </c>
      <c r="L28">
        <v>188.948227</v>
      </c>
      <c r="M28">
        <v>185.78183000000001</v>
      </c>
      <c r="N28">
        <v>183.58956900000001</v>
      </c>
      <c r="O28">
        <v>182.24688699999999</v>
      </c>
      <c r="P28">
        <v>181.81208799999999</v>
      </c>
      <c r="Q28">
        <v>182.02372700000001</v>
      </c>
      <c r="R28">
        <v>183.034592</v>
      </c>
      <c r="S28">
        <v>184.915085</v>
      </c>
      <c r="T28">
        <v>187.750809</v>
      </c>
      <c r="U28">
        <v>191.071381</v>
      </c>
      <c r="V28">
        <v>194.74928299999999</v>
      </c>
      <c r="W28">
        <v>198.695999</v>
      </c>
      <c r="X28">
        <v>202.83294699999999</v>
      </c>
      <c r="Y28">
        <v>206.79274000000001</v>
      </c>
      <c r="Z28">
        <v>210.62626599999999</v>
      </c>
      <c r="AA28">
        <v>214.15209999999999</v>
      </c>
      <c r="AB28">
        <v>217.717209</v>
      </c>
      <c r="AC28">
        <v>221.63664199999999</v>
      </c>
      <c r="AD28">
        <v>226.31954999999999</v>
      </c>
      <c r="AE28">
        <v>230.77928199999999</v>
      </c>
      <c r="AF28">
        <v>235.12669399999999</v>
      </c>
      <c r="AG28">
        <v>239.49491900000001</v>
      </c>
      <c r="AH28">
        <v>244.11679100000001</v>
      </c>
      <c r="AI28" s="21">
        <v>3.0000000000000001E-3</v>
      </c>
    </row>
    <row r="29" spans="1:35">
      <c r="A29" t="s">
        <v>317</v>
      </c>
      <c r="B29" t="s">
        <v>1448</v>
      </c>
      <c r="C29" t="s">
        <v>1447</v>
      </c>
      <c r="D29" t="s">
        <v>331</v>
      </c>
      <c r="F29">
        <v>11.524046999999999</v>
      </c>
      <c r="G29">
        <v>10.680966</v>
      </c>
      <c r="H29">
        <v>9.7907329999999995</v>
      </c>
      <c r="I29">
        <v>8.885427</v>
      </c>
      <c r="J29">
        <v>7.9903449999999996</v>
      </c>
      <c r="K29">
        <v>7.1033359999999997</v>
      </c>
      <c r="L29">
        <v>6.2375930000000004</v>
      </c>
      <c r="M29">
        <v>5.4280480000000004</v>
      </c>
      <c r="N29">
        <v>4.7586219999999999</v>
      </c>
      <c r="O29">
        <v>4.1292390000000001</v>
      </c>
      <c r="P29">
        <v>3.577585</v>
      </c>
      <c r="Q29">
        <v>3.1073620000000002</v>
      </c>
      <c r="R29">
        <v>2.7210860000000001</v>
      </c>
      <c r="S29">
        <v>2.3994659999999999</v>
      </c>
      <c r="T29">
        <v>2.1384289999999999</v>
      </c>
      <c r="U29">
        <v>1.9661150000000001</v>
      </c>
      <c r="V29">
        <v>1.819323</v>
      </c>
      <c r="W29">
        <v>1.697581</v>
      </c>
      <c r="X29">
        <v>1.589439</v>
      </c>
      <c r="Y29">
        <v>1.488186</v>
      </c>
      <c r="Z29">
        <v>1.393384</v>
      </c>
      <c r="AA29">
        <v>1.3046199999999999</v>
      </c>
      <c r="AB29">
        <v>1.221511</v>
      </c>
      <c r="AC29">
        <v>1.143696</v>
      </c>
      <c r="AD29">
        <v>1.0708390000000001</v>
      </c>
      <c r="AE29">
        <v>1.0026219999999999</v>
      </c>
      <c r="AF29">
        <v>0.93875200000000003</v>
      </c>
      <c r="AG29">
        <v>0.87895000000000001</v>
      </c>
      <c r="AH29">
        <v>0.82295799999999997</v>
      </c>
      <c r="AI29" s="21">
        <v>-0.09</v>
      </c>
    </row>
    <row r="30" spans="1:35">
      <c r="A30" t="s">
        <v>318</v>
      </c>
      <c r="B30" t="s">
        <v>1446</v>
      </c>
      <c r="C30" t="s">
        <v>1445</v>
      </c>
      <c r="D30" t="s">
        <v>331</v>
      </c>
      <c r="F30">
        <v>0.307861</v>
      </c>
      <c r="G30">
        <v>0.26491900000000002</v>
      </c>
      <c r="H30">
        <v>0.23980199999999999</v>
      </c>
      <c r="I30">
        <v>0.224525</v>
      </c>
      <c r="J30">
        <v>0.21022199999999999</v>
      </c>
      <c r="K30">
        <v>0.19683</v>
      </c>
      <c r="L30">
        <v>0.18429200000000001</v>
      </c>
      <c r="M30">
        <v>0.17255100000000001</v>
      </c>
      <c r="N30">
        <v>0.16155900000000001</v>
      </c>
      <c r="O30">
        <v>0.15126700000000001</v>
      </c>
      <c r="P30">
        <v>0.14163100000000001</v>
      </c>
      <c r="Q30">
        <v>0.132609</v>
      </c>
      <c r="R30">
        <v>0.12416099999999999</v>
      </c>
      <c r="S30">
        <v>0.11625199999999999</v>
      </c>
      <c r="T30">
        <v>0.108846</v>
      </c>
      <c r="U30">
        <v>0.101912</v>
      </c>
      <c r="V30">
        <v>9.5420000000000005E-2</v>
      </c>
      <c r="W30">
        <v>8.9341000000000004E-2</v>
      </c>
      <c r="X30">
        <v>8.3650000000000002E-2</v>
      </c>
      <c r="Y30">
        <v>7.8321000000000002E-2</v>
      </c>
      <c r="Z30">
        <v>7.3331999999999994E-2</v>
      </c>
      <c r="AA30">
        <v>6.8659999999999999E-2</v>
      </c>
      <c r="AB30">
        <v>6.4285999999999996E-2</v>
      </c>
      <c r="AC30">
        <v>6.0191000000000001E-2</v>
      </c>
      <c r="AD30">
        <v>5.6356999999999997E-2</v>
      </c>
      <c r="AE30">
        <v>5.2767000000000001E-2</v>
      </c>
      <c r="AF30">
        <v>4.9404999999999998E-2</v>
      </c>
      <c r="AG30">
        <v>4.6258000000000001E-2</v>
      </c>
      <c r="AH30">
        <v>4.3311000000000002E-2</v>
      </c>
      <c r="AI30" s="21">
        <v>-6.8000000000000005E-2</v>
      </c>
    </row>
    <row r="31" spans="1:35">
      <c r="A31" t="s">
        <v>319</v>
      </c>
      <c r="B31" t="s">
        <v>1444</v>
      </c>
      <c r="C31" t="s">
        <v>1443</v>
      </c>
      <c r="D31" t="s">
        <v>331</v>
      </c>
      <c r="F31">
        <v>2.0879910000000002</v>
      </c>
      <c r="G31">
        <v>1.7846089999999999</v>
      </c>
      <c r="H31">
        <v>1.535312</v>
      </c>
      <c r="I31">
        <v>1.3333470000000001</v>
      </c>
      <c r="J31">
        <v>1.206512</v>
      </c>
      <c r="K31">
        <v>1.127065</v>
      </c>
      <c r="L31">
        <v>1.055267</v>
      </c>
      <c r="M31">
        <v>0.988043</v>
      </c>
      <c r="N31">
        <v>0.92510099999999995</v>
      </c>
      <c r="O31">
        <v>0.86616800000000005</v>
      </c>
      <c r="P31">
        <v>0.81099100000000002</v>
      </c>
      <c r="Q31">
        <v>0.759328</v>
      </c>
      <c r="R31">
        <v>0.71095600000000003</v>
      </c>
      <c r="S31">
        <v>0.66566499999999995</v>
      </c>
      <c r="T31">
        <v>0.62326000000000004</v>
      </c>
      <c r="U31">
        <v>0.58355599999999996</v>
      </c>
      <c r="V31">
        <v>0.54638100000000001</v>
      </c>
      <c r="W31">
        <v>0.511575</v>
      </c>
      <c r="X31">
        <v>0.47898600000000002</v>
      </c>
      <c r="Y31">
        <v>0.44847300000000001</v>
      </c>
      <c r="Z31">
        <v>0.41990300000000003</v>
      </c>
      <c r="AA31">
        <v>0.393154</v>
      </c>
      <c r="AB31">
        <v>0.36810900000000002</v>
      </c>
      <c r="AC31">
        <v>0.34465899999999999</v>
      </c>
      <c r="AD31">
        <v>0.32270300000000002</v>
      </c>
      <c r="AE31">
        <v>0.302145</v>
      </c>
      <c r="AF31">
        <v>0.28289799999999998</v>
      </c>
      <c r="AG31">
        <v>0.264876</v>
      </c>
      <c r="AH31">
        <v>0.248003</v>
      </c>
      <c r="AI31" s="21">
        <v>-7.2999999999999995E-2</v>
      </c>
    </row>
    <row r="32" spans="1:35">
      <c r="A32" t="s">
        <v>320</v>
      </c>
      <c r="B32" t="s">
        <v>1442</v>
      </c>
      <c r="C32" t="s">
        <v>1441</v>
      </c>
      <c r="D32" t="s">
        <v>331</v>
      </c>
      <c r="F32">
        <v>4.0826789999999997</v>
      </c>
      <c r="G32">
        <v>3.4803980000000001</v>
      </c>
      <c r="H32">
        <v>2.9777900000000002</v>
      </c>
      <c r="I32">
        <v>2.5650409999999999</v>
      </c>
      <c r="J32">
        <v>2.2838059999999998</v>
      </c>
      <c r="K32">
        <v>2.1086070000000001</v>
      </c>
      <c r="L32">
        <v>1.959856</v>
      </c>
      <c r="M32">
        <v>1.8350059999999999</v>
      </c>
      <c r="N32">
        <v>1.7181090000000001</v>
      </c>
      <c r="O32">
        <v>1.60866</v>
      </c>
      <c r="P32">
        <v>1.5061819999999999</v>
      </c>
      <c r="Q32">
        <v>1.4102330000000001</v>
      </c>
      <c r="R32">
        <v>1.3203959999999999</v>
      </c>
      <c r="S32">
        <v>1.2362820000000001</v>
      </c>
      <c r="T32">
        <v>1.1575260000000001</v>
      </c>
      <c r="U32">
        <v>1.083788</v>
      </c>
      <c r="V32">
        <v>1.0147470000000001</v>
      </c>
      <c r="W32">
        <v>0.95010399999999995</v>
      </c>
      <c r="X32">
        <v>0.88957900000000001</v>
      </c>
      <c r="Y32">
        <v>0.83290900000000001</v>
      </c>
      <c r="Z32">
        <v>0.77985000000000004</v>
      </c>
      <c r="AA32">
        <v>0.73017100000000001</v>
      </c>
      <c r="AB32">
        <v>0.68365600000000004</v>
      </c>
      <c r="AC32">
        <v>0.64010500000000004</v>
      </c>
      <c r="AD32">
        <v>0.59932799999999997</v>
      </c>
      <c r="AE32">
        <v>0.56114900000000001</v>
      </c>
      <c r="AF32">
        <v>0.52540100000000001</v>
      </c>
      <c r="AG32">
        <v>0.49193100000000001</v>
      </c>
      <c r="AH32">
        <v>0.460594</v>
      </c>
      <c r="AI32" s="21">
        <v>-7.4999999999999997E-2</v>
      </c>
    </row>
    <row r="33" spans="1:35">
      <c r="A33" t="s">
        <v>321</v>
      </c>
      <c r="B33" t="s">
        <v>1440</v>
      </c>
      <c r="C33" t="s">
        <v>1439</v>
      </c>
      <c r="D33" t="s">
        <v>331</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t="s">
        <v>17</v>
      </c>
    </row>
    <row r="34" spans="1:35">
      <c r="A34" t="s">
        <v>322</v>
      </c>
      <c r="B34" t="s">
        <v>1438</v>
      </c>
      <c r="C34" t="s">
        <v>1437</v>
      </c>
      <c r="D34" t="s">
        <v>331</v>
      </c>
      <c r="F34">
        <v>0.695658</v>
      </c>
      <c r="G34">
        <v>0.69352499999999995</v>
      </c>
      <c r="H34">
        <v>0.730931</v>
      </c>
      <c r="I34">
        <v>0.79698999999999998</v>
      </c>
      <c r="J34">
        <v>0.88553999999999999</v>
      </c>
      <c r="K34">
        <v>0.98939999999999995</v>
      </c>
      <c r="L34">
        <v>1.10531</v>
      </c>
      <c r="M34">
        <v>1.234237</v>
      </c>
      <c r="N34">
        <v>1.3744749999999999</v>
      </c>
      <c r="O34">
        <v>1.5244759999999999</v>
      </c>
      <c r="P34">
        <v>1.6852279999999999</v>
      </c>
      <c r="Q34">
        <v>1.8541810000000001</v>
      </c>
      <c r="R34">
        <v>2.033293</v>
      </c>
      <c r="S34">
        <v>2.2237119999999999</v>
      </c>
      <c r="T34">
        <v>2.4270939999999999</v>
      </c>
      <c r="U34">
        <v>2.6390389999999999</v>
      </c>
      <c r="V34">
        <v>2.8586079999999998</v>
      </c>
      <c r="W34">
        <v>3.0842800000000001</v>
      </c>
      <c r="X34">
        <v>3.3144110000000002</v>
      </c>
      <c r="Y34">
        <v>3.5441980000000002</v>
      </c>
      <c r="Z34">
        <v>3.773129</v>
      </c>
      <c r="AA34">
        <v>3.9972880000000002</v>
      </c>
      <c r="AB34">
        <v>4.2207540000000003</v>
      </c>
      <c r="AC34">
        <v>4.4483009999999998</v>
      </c>
      <c r="AD34">
        <v>4.6884439999999996</v>
      </c>
      <c r="AE34">
        <v>4.9254730000000002</v>
      </c>
      <c r="AF34">
        <v>5.1619760000000001</v>
      </c>
      <c r="AG34">
        <v>5.3994140000000002</v>
      </c>
      <c r="AH34">
        <v>5.6399559999999997</v>
      </c>
      <c r="AI34" s="21">
        <v>7.8E-2</v>
      </c>
    </row>
    <row r="35" spans="1:35">
      <c r="A35" t="s">
        <v>323</v>
      </c>
      <c r="B35" t="s">
        <v>1436</v>
      </c>
      <c r="C35" t="s">
        <v>1435</v>
      </c>
      <c r="D35" t="s">
        <v>331</v>
      </c>
      <c r="F35">
        <v>614.79174799999998</v>
      </c>
      <c r="G35">
        <v>589.30566399999998</v>
      </c>
      <c r="H35">
        <v>570.35400400000003</v>
      </c>
      <c r="I35">
        <v>553.77508499999999</v>
      </c>
      <c r="J35">
        <v>539.66693099999998</v>
      </c>
      <c r="K35">
        <v>528.76080300000001</v>
      </c>
      <c r="L35">
        <v>520.828979</v>
      </c>
      <c r="M35">
        <v>516.49780299999998</v>
      </c>
      <c r="N35">
        <v>515.59692399999994</v>
      </c>
      <c r="O35">
        <v>517.65484600000002</v>
      </c>
      <c r="P35">
        <v>522.89471400000002</v>
      </c>
      <c r="Q35">
        <v>530.58074999999997</v>
      </c>
      <c r="R35">
        <v>541.01000999999997</v>
      </c>
      <c r="S35">
        <v>554.33074999999997</v>
      </c>
      <c r="T35">
        <v>570.881348</v>
      </c>
      <c r="U35">
        <v>588.91223100000002</v>
      </c>
      <c r="V35">
        <v>607.94378700000004</v>
      </c>
      <c r="W35">
        <v>627.75414999999998</v>
      </c>
      <c r="X35">
        <v>648.09857199999999</v>
      </c>
      <c r="Y35">
        <v>667.72619599999996</v>
      </c>
      <c r="Z35">
        <v>686.85070800000005</v>
      </c>
      <c r="AA35">
        <v>704.85485800000004</v>
      </c>
      <c r="AB35">
        <v>723.02038600000003</v>
      </c>
      <c r="AC35">
        <v>742.51434300000005</v>
      </c>
      <c r="AD35">
        <v>764.83160399999997</v>
      </c>
      <c r="AE35">
        <v>786.33947799999999</v>
      </c>
      <c r="AF35">
        <v>807.43066399999998</v>
      </c>
      <c r="AG35">
        <v>828.60986300000002</v>
      </c>
      <c r="AH35">
        <v>850.58196999999996</v>
      </c>
      <c r="AI35" s="21">
        <v>1.2E-2</v>
      </c>
    </row>
    <row r="36" spans="1:35">
      <c r="A36" t="s">
        <v>81</v>
      </c>
      <c r="B36" t="s">
        <v>1434</v>
      </c>
      <c r="C36" t="s">
        <v>1433</v>
      </c>
      <c r="D36" t="s">
        <v>331</v>
      </c>
      <c r="F36">
        <v>5637.607422</v>
      </c>
      <c r="G36">
        <v>5226.84375</v>
      </c>
      <c r="H36">
        <v>4904.5322269999997</v>
      </c>
      <c r="I36">
        <v>4614.4960940000001</v>
      </c>
      <c r="J36">
        <v>4346.921875</v>
      </c>
      <c r="K36">
        <v>4110.201172</v>
      </c>
      <c r="L36">
        <v>3902.3666990000002</v>
      </c>
      <c r="M36">
        <v>3723.6457519999999</v>
      </c>
      <c r="N36">
        <v>3569.8222660000001</v>
      </c>
      <c r="O36">
        <v>3437.0539549999999</v>
      </c>
      <c r="P36">
        <v>3324.9858399999998</v>
      </c>
      <c r="Q36">
        <v>3228.2822270000001</v>
      </c>
      <c r="R36">
        <v>3148.9265140000002</v>
      </c>
      <c r="S36">
        <v>3087.2470699999999</v>
      </c>
      <c r="T36">
        <v>3044.1518550000001</v>
      </c>
      <c r="U36">
        <v>3010.9096679999998</v>
      </c>
      <c r="V36">
        <v>2984.9125979999999</v>
      </c>
      <c r="W36">
        <v>2964.5546880000002</v>
      </c>
      <c r="X36">
        <v>2948.5417480000001</v>
      </c>
      <c r="Y36">
        <v>2931.5327149999998</v>
      </c>
      <c r="Z36">
        <v>2914.2421880000002</v>
      </c>
      <c r="AA36">
        <v>2894.3598630000001</v>
      </c>
      <c r="AB36">
        <v>2876.6440429999998</v>
      </c>
      <c r="AC36">
        <v>2864.8854980000001</v>
      </c>
      <c r="AD36">
        <v>2863.6755370000001</v>
      </c>
      <c r="AE36">
        <v>2860.3027339999999</v>
      </c>
      <c r="AF36">
        <v>2855.9914549999999</v>
      </c>
      <c r="AG36">
        <v>2852.3359380000002</v>
      </c>
      <c r="AH36">
        <v>2852.1445309999999</v>
      </c>
      <c r="AI36" s="21">
        <v>-2.4E-2</v>
      </c>
    </row>
    <row r="37" spans="1:35">
      <c r="A37" t="s">
        <v>324</v>
      </c>
    </row>
    <row r="38" spans="1:35">
      <c r="A38" t="s">
        <v>325</v>
      </c>
    </row>
    <row r="39" spans="1:35">
      <c r="A39" t="s">
        <v>310</v>
      </c>
      <c r="B39" t="s">
        <v>1432</v>
      </c>
      <c r="C39" t="s">
        <v>1431</v>
      </c>
      <c r="D39" t="s">
        <v>331</v>
      </c>
      <c r="F39">
        <v>7639.0830079999996</v>
      </c>
      <c r="G39">
        <v>7655.0961909999996</v>
      </c>
      <c r="H39">
        <v>7760.3139650000003</v>
      </c>
      <c r="I39">
        <v>7895.3627930000002</v>
      </c>
      <c r="J39">
        <v>8023.1142579999996</v>
      </c>
      <c r="K39">
        <v>8127.6328119999998</v>
      </c>
      <c r="L39">
        <v>8212.9814449999994</v>
      </c>
      <c r="M39">
        <v>8290.5888670000004</v>
      </c>
      <c r="N39">
        <v>8349.9736329999996</v>
      </c>
      <c r="O39">
        <v>8394.4511719999991</v>
      </c>
      <c r="P39">
        <v>8423.9824219999991</v>
      </c>
      <c r="Q39">
        <v>8440.4257809999999</v>
      </c>
      <c r="R39">
        <v>8451.6865230000003</v>
      </c>
      <c r="S39">
        <v>8465.3476559999999</v>
      </c>
      <c r="T39">
        <v>8480.6542969999991</v>
      </c>
      <c r="U39">
        <v>8497.1035159999992</v>
      </c>
      <c r="V39">
        <v>8516.1015619999998</v>
      </c>
      <c r="W39">
        <v>8536.0273440000001</v>
      </c>
      <c r="X39">
        <v>8559.6494139999995</v>
      </c>
      <c r="Y39">
        <v>8580.203125</v>
      </c>
      <c r="Z39">
        <v>8599.4804690000001</v>
      </c>
      <c r="AA39">
        <v>8618.3642579999996</v>
      </c>
      <c r="AB39">
        <v>8635.5253909999992</v>
      </c>
      <c r="AC39">
        <v>8659.0556639999995</v>
      </c>
      <c r="AD39">
        <v>8680.4677730000003</v>
      </c>
      <c r="AE39">
        <v>8702.9228519999997</v>
      </c>
      <c r="AF39">
        <v>8720.7890619999998</v>
      </c>
      <c r="AG39">
        <v>8742.2802730000003</v>
      </c>
      <c r="AH39">
        <v>8768.0771480000003</v>
      </c>
      <c r="AI39" s="21">
        <v>5.0000000000000001E-3</v>
      </c>
    </row>
    <row r="40" spans="1:35">
      <c r="A40" t="s">
        <v>311</v>
      </c>
      <c r="B40" t="s">
        <v>1430</v>
      </c>
      <c r="C40" t="s">
        <v>1429</v>
      </c>
      <c r="D40" t="s">
        <v>331</v>
      </c>
      <c r="F40">
        <v>60.554519999999997</v>
      </c>
      <c r="G40">
        <v>54.813412</v>
      </c>
      <c r="H40">
        <v>48.998947000000001</v>
      </c>
      <c r="I40">
        <v>43.883667000000003</v>
      </c>
      <c r="J40">
        <v>39.715415999999998</v>
      </c>
      <c r="K40">
        <v>35.790714000000001</v>
      </c>
      <c r="L40">
        <v>32.023296000000002</v>
      </c>
      <c r="M40">
        <v>28.420086000000001</v>
      </c>
      <c r="N40">
        <v>24.994423000000001</v>
      </c>
      <c r="O40">
        <v>21.770368999999999</v>
      </c>
      <c r="P40">
        <v>18.758324000000002</v>
      </c>
      <c r="Q40">
        <v>15.995414</v>
      </c>
      <c r="R40">
        <v>13.487584999999999</v>
      </c>
      <c r="S40">
        <v>11.270678999999999</v>
      </c>
      <c r="T40">
        <v>9.3356399999999997</v>
      </c>
      <c r="U40">
        <v>7.6824560000000002</v>
      </c>
      <c r="V40">
        <v>6.3136010000000002</v>
      </c>
      <c r="W40">
        <v>5.1956619999999996</v>
      </c>
      <c r="X40">
        <v>4.3157319999999997</v>
      </c>
      <c r="Y40">
        <v>3.6364559999999999</v>
      </c>
      <c r="Z40">
        <v>3.103021</v>
      </c>
      <c r="AA40">
        <v>2.68296</v>
      </c>
      <c r="AB40">
        <v>2.3479139999999998</v>
      </c>
      <c r="AC40">
        <v>2.093235</v>
      </c>
      <c r="AD40">
        <v>1.8931100000000001</v>
      </c>
      <c r="AE40">
        <v>1.714415</v>
      </c>
      <c r="AF40">
        <v>1.55453</v>
      </c>
      <c r="AG40">
        <v>1.411821</v>
      </c>
      <c r="AH40">
        <v>1.2844409999999999</v>
      </c>
      <c r="AI40" s="21">
        <v>-0.129</v>
      </c>
    </row>
    <row r="41" spans="1:35">
      <c r="A41" t="s">
        <v>326</v>
      </c>
      <c r="B41" t="s">
        <v>1428</v>
      </c>
      <c r="C41" t="s">
        <v>1427</v>
      </c>
      <c r="D41" t="s">
        <v>331</v>
      </c>
      <c r="F41">
        <v>7699.6376950000003</v>
      </c>
      <c r="G41">
        <v>7709.9096680000002</v>
      </c>
      <c r="H41">
        <v>7809.3129879999997</v>
      </c>
      <c r="I41">
        <v>7939.2465819999998</v>
      </c>
      <c r="J41">
        <v>8062.8295900000003</v>
      </c>
      <c r="K41">
        <v>8163.4233400000003</v>
      </c>
      <c r="L41">
        <v>8245.0048829999996</v>
      </c>
      <c r="M41">
        <v>8319.0087889999995</v>
      </c>
      <c r="N41">
        <v>8374.9677730000003</v>
      </c>
      <c r="O41">
        <v>8416.2216800000006</v>
      </c>
      <c r="P41">
        <v>8442.7412110000005</v>
      </c>
      <c r="Q41">
        <v>8456.4208980000003</v>
      </c>
      <c r="R41">
        <v>8465.1738280000009</v>
      </c>
      <c r="S41">
        <v>8476.6181639999995</v>
      </c>
      <c r="T41">
        <v>8489.9902340000008</v>
      </c>
      <c r="U41">
        <v>8504.7861329999996</v>
      </c>
      <c r="V41">
        <v>8522.4150389999995</v>
      </c>
      <c r="W41">
        <v>8541.2226559999999</v>
      </c>
      <c r="X41">
        <v>8563.9648440000001</v>
      </c>
      <c r="Y41">
        <v>8583.8398440000001</v>
      </c>
      <c r="Z41">
        <v>8602.5830079999996</v>
      </c>
      <c r="AA41">
        <v>8621.046875</v>
      </c>
      <c r="AB41">
        <v>8637.8730469999991</v>
      </c>
      <c r="AC41">
        <v>8661.1484380000002</v>
      </c>
      <c r="AD41">
        <v>8682.3613280000009</v>
      </c>
      <c r="AE41">
        <v>8704.6376949999994</v>
      </c>
      <c r="AF41">
        <v>8722.34375</v>
      </c>
      <c r="AG41">
        <v>8743.6923829999996</v>
      </c>
      <c r="AH41">
        <v>8769.3613280000009</v>
      </c>
      <c r="AI41" s="21">
        <v>5.0000000000000001E-3</v>
      </c>
    </row>
    <row r="42" spans="1:35">
      <c r="A42" t="s">
        <v>327</v>
      </c>
    </row>
    <row r="43" spans="1:35">
      <c r="A43" t="s">
        <v>314</v>
      </c>
      <c r="B43" t="s">
        <v>1426</v>
      </c>
      <c r="C43" t="s">
        <v>1425</v>
      </c>
      <c r="D43" t="s">
        <v>331</v>
      </c>
      <c r="F43">
        <v>1218.5097659999999</v>
      </c>
      <c r="G43">
        <v>1120.8608400000001</v>
      </c>
      <c r="H43">
        <v>1037.922607</v>
      </c>
      <c r="I43">
        <v>953.25146500000005</v>
      </c>
      <c r="J43">
        <v>874.385132</v>
      </c>
      <c r="K43">
        <v>799.14770499999997</v>
      </c>
      <c r="L43">
        <v>728.95617700000003</v>
      </c>
      <c r="M43">
        <v>665.63317900000004</v>
      </c>
      <c r="N43">
        <v>608.78552200000001</v>
      </c>
      <c r="O43">
        <v>558.96545400000002</v>
      </c>
      <c r="P43">
        <v>515.91949499999998</v>
      </c>
      <c r="Q43">
        <v>479.58041400000002</v>
      </c>
      <c r="R43">
        <v>449.99478099999999</v>
      </c>
      <c r="S43">
        <v>427.03121900000002</v>
      </c>
      <c r="T43">
        <v>409.60955799999999</v>
      </c>
      <c r="U43">
        <v>396.73980699999998</v>
      </c>
      <c r="V43">
        <v>387.82333399999999</v>
      </c>
      <c r="W43">
        <v>381.65939300000002</v>
      </c>
      <c r="X43">
        <v>377.57605000000001</v>
      </c>
      <c r="Y43">
        <v>374.55401599999999</v>
      </c>
      <c r="Z43">
        <v>372.48345899999998</v>
      </c>
      <c r="AA43">
        <v>371.24044800000001</v>
      </c>
      <c r="AB43">
        <v>370.602936</v>
      </c>
      <c r="AC43">
        <v>371.138733</v>
      </c>
      <c r="AD43">
        <v>371.85049400000003</v>
      </c>
      <c r="AE43">
        <v>372.85183699999999</v>
      </c>
      <c r="AF43">
        <v>373.50030500000003</v>
      </c>
      <c r="AG43">
        <v>374.77465799999999</v>
      </c>
      <c r="AH43">
        <v>376.67770400000001</v>
      </c>
      <c r="AI43" s="21">
        <v>-4.1000000000000002E-2</v>
      </c>
    </row>
    <row r="44" spans="1:35">
      <c r="A44" t="s">
        <v>1424</v>
      </c>
      <c r="B44" t="s">
        <v>1423</v>
      </c>
      <c r="C44" t="s">
        <v>1418</v>
      </c>
      <c r="D44" t="s">
        <v>331</v>
      </c>
      <c r="F44">
        <v>0.40278399999999998</v>
      </c>
      <c r="G44">
        <v>0.42450199999999999</v>
      </c>
      <c r="H44">
        <v>0.45090000000000002</v>
      </c>
      <c r="I44">
        <v>0.47550700000000001</v>
      </c>
      <c r="J44">
        <v>0.49552499999999999</v>
      </c>
      <c r="K44">
        <v>0.51174399999999998</v>
      </c>
      <c r="L44">
        <v>0.52413100000000001</v>
      </c>
      <c r="M44">
        <v>0.53337500000000004</v>
      </c>
      <c r="N44">
        <v>0.53922700000000001</v>
      </c>
      <c r="O44">
        <v>0.542153</v>
      </c>
      <c r="P44">
        <v>0.54225900000000005</v>
      </c>
      <c r="Q44">
        <v>0.53948099999999999</v>
      </c>
      <c r="R44">
        <v>0.53401699999999996</v>
      </c>
      <c r="S44">
        <v>0.52622400000000003</v>
      </c>
      <c r="T44">
        <v>0.516212</v>
      </c>
      <c r="U44">
        <v>0.50370999999999999</v>
      </c>
      <c r="V44">
        <v>0.48858099999999999</v>
      </c>
      <c r="W44">
        <v>0.471082</v>
      </c>
      <c r="X44">
        <v>0.45154100000000003</v>
      </c>
      <c r="Y44">
        <v>0.430114</v>
      </c>
      <c r="Z44">
        <v>0.40718300000000002</v>
      </c>
      <c r="AA44">
        <v>0.38306600000000002</v>
      </c>
      <c r="AB44">
        <v>0.35797499999999999</v>
      </c>
      <c r="AC44">
        <v>0.33221000000000001</v>
      </c>
      <c r="AD44">
        <v>0.30586600000000003</v>
      </c>
      <c r="AE44">
        <v>0.27916400000000002</v>
      </c>
      <c r="AF44">
        <v>0.25207499999999999</v>
      </c>
      <c r="AG44">
        <v>0.22464600000000001</v>
      </c>
      <c r="AH44">
        <v>0.196857</v>
      </c>
      <c r="AI44" s="21">
        <v>-2.5000000000000001E-2</v>
      </c>
    </row>
    <row r="45" spans="1:35">
      <c r="A45" t="s">
        <v>1422</v>
      </c>
      <c r="B45" t="s">
        <v>1421</v>
      </c>
      <c r="C45" t="s">
        <v>1418</v>
      </c>
      <c r="D45" t="s">
        <v>331</v>
      </c>
      <c r="F45">
        <v>7.4126669999999999</v>
      </c>
      <c r="G45">
        <v>13.531482</v>
      </c>
      <c r="H45">
        <v>22.335041</v>
      </c>
      <c r="I45">
        <v>33.406112999999998</v>
      </c>
      <c r="J45">
        <v>46.353321000000001</v>
      </c>
      <c r="K45">
        <v>60.676521000000001</v>
      </c>
      <c r="L45">
        <v>76.242644999999996</v>
      </c>
      <c r="M45">
        <v>93.138985000000005</v>
      </c>
      <c r="N45">
        <v>110.994789</v>
      </c>
      <c r="O45">
        <v>129.774933</v>
      </c>
      <c r="P45">
        <v>149.34217799999999</v>
      </c>
      <c r="Q45">
        <v>169.62480199999999</v>
      </c>
      <c r="R45">
        <v>190.79437300000001</v>
      </c>
      <c r="S45">
        <v>213.05165099999999</v>
      </c>
      <c r="T45">
        <v>236.29544100000001</v>
      </c>
      <c r="U45">
        <v>260.44390900000002</v>
      </c>
      <c r="V45">
        <v>285.51135299999999</v>
      </c>
      <c r="W45">
        <v>311.33316000000002</v>
      </c>
      <c r="X45">
        <v>338.007385</v>
      </c>
      <c r="Y45">
        <v>365.09576399999997</v>
      </c>
      <c r="Z45">
        <v>392.64248700000002</v>
      </c>
      <c r="AA45">
        <v>420.65603599999997</v>
      </c>
      <c r="AB45">
        <v>449.01431300000002</v>
      </c>
      <c r="AC45">
        <v>478.30361900000003</v>
      </c>
      <c r="AD45">
        <v>507.88632200000001</v>
      </c>
      <c r="AE45">
        <v>537.97442599999999</v>
      </c>
      <c r="AF45">
        <v>568.08892800000001</v>
      </c>
      <c r="AG45">
        <v>598.928223</v>
      </c>
      <c r="AH45">
        <v>630.58471699999996</v>
      </c>
      <c r="AI45" s="21">
        <v>0.17199999999999999</v>
      </c>
    </row>
    <row r="46" spans="1:35">
      <c r="A46" t="s">
        <v>1420</v>
      </c>
      <c r="B46" t="s">
        <v>1419</v>
      </c>
      <c r="C46" t="s">
        <v>1418</v>
      </c>
      <c r="D46" t="s">
        <v>331</v>
      </c>
      <c r="F46">
        <v>4.682086</v>
      </c>
      <c r="G46">
        <v>6.2229380000000001</v>
      </c>
      <c r="H46">
        <v>8.1345430000000007</v>
      </c>
      <c r="I46">
        <v>10.340325</v>
      </c>
      <c r="J46">
        <v>12.714148</v>
      </c>
      <c r="K46">
        <v>15.219875</v>
      </c>
      <c r="L46">
        <v>17.849283</v>
      </c>
      <c r="M46">
        <v>20.622627000000001</v>
      </c>
      <c r="N46">
        <v>23.482182000000002</v>
      </c>
      <c r="O46">
        <v>26.428581000000001</v>
      </c>
      <c r="P46">
        <v>29.444866000000001</v>
      </c>
      <c r="Q46">
        <v>32.522841999999997</v>
      </c>
      <c r="R46">
        <v>35.698284000000001</v>
      </c>
      <c r="S46">
        <v>39.007182999999998</v>
      </c>
      <c r="T46">
        <v>42.437012000000003</v>
      </c>
      <c r="U46">
        <v>45.980494999999998</v>
      </c>
      <c r="V46">
        <v>49.641651000000003</v>
      </c>
      <c r="W46">
        <v>53.398612999999997</v>
      </c>
      <c r="X46">
        <v>57.268452000000003</v>
      </c>
      <c r="Y46">
        <v>61.188079999999999</v>
      </c>
      <c r="Z46">
        <v>65.168548999999999</v>
      </c>
      <c r="AA46">
        <v>69.211051999999995</v>
      </c>
      <c r="AB46">
        <v>73.297386000000003</v>
      </c>
      <c r="AC46">
        <v>77.517409999999998</v>
      </c>
      <c r="AD46">
        <v>81.776482000000001</v>
      </c>
      <c r="AE46">
        <v>86.108940000000004</v>
      </c>
      <c r="AF46">
        <v>90.443427999999997</v>
      </c>
      <c r="AG46">
        <v>94.884017999999998</v>
      </c>
      <c r="AH46">
        <v>99.444466000000006</v>
      </c>
      <c r="AI46" s="21">
        <v>0.115</v>
      </c>
    </row>
    <row r="47" spans="1:35">
      <c r="A47" t="s">
        <v>1417</v>
      </c>
      <c r="B47" t="s">
        <v>1416</v>
      </c>
      <c r="C47" t="s">
        <v>1415</v>
      </c>
      <c r="D47" t="s">
        <v>331</v>
      </c>
      <c r="F47">
        <v>19.925865000000002</v>
      </c>
      <c r="G47">
        <v>21.544412999999999</v>
      </c>
      <c r="H47">
        <v>23.247982</v>
      </c>
      <c r="I47">
        <v>26.570222999999999</v>
      </c>
      <c r="J47">
        <v>29.872574</v>
      </c>
      <c r="K47">
        <v>33.027237</v>
      </c>
      <c r="L47">
        <v>36.027607000000003</v>
      </c>
      <c r="M47">
        <v>38.916355000000003</v>
      </c>
      <c r="N47">
        <v>41.642071000000001</v>
      </c>
      <c r="O47">
        <v>44.229751999999998</v>
      </c>
      <c r="P47">
        <v>46.675167000000002</v>
      </c>
      <c r="Q47">
        <v>48.983440000000002</v>
      </c>
      <c r="R47">
        <v>51.200951000000003</v>
      </c>
      <c r="S47">
        <v>53.372917000000001</v>
      </c>
      <c r="T47">
        <v>55.503917999999999</v>
      </c>
      <c r="U47">
        <v>57.604095000000001</v>
      </c>
      <c r="V47">
        <v>59.697902999999997</v>
      </c>
      <c r="W47">
        <v>61.780059999999999</v>
      </c>
      <c r="X47">
        <v>63.879299000000003</v>
      </c>
      <c r="Y47">
        <v>65.963065999999998</v>
      </c>
      <c r="Z47">
        <v>68.048286000000004</v>
      </c>
      <c r="AA47">
        <v>70.142859999999999</v>
      </c>
      <c r="AB47">
        <v>72.239493999999993</v>
      </c>
      <c r="AC47">
        <v>74.405258000000003</v>
      </c>
      <c r="AD47">
        <v>76.580680999999998</v>
      </c>
      <c r="AE47">
        <v>78.79007</v>
      </c>
      <c r="AF47">
        <v>80.991341000000006</v>
      </c>
      <c r="AG47">
        <v>83.242904999999993</v>
      </c>
      <c r="AH47">
        <v>85.554489000000004</v>
      </c>
      <c r="AI47" s="21">
        <v>5.2999999999999999E-2</v>
      </c>
    </row>
    <row r="48" spans="1:35">
      <c r="A48" t="s">
        <v>1414</v>
      </c>
      <c r="B48" t="s">
        <v>1413</v>
      </c>
      <c r="C48" t="s">
        <v>1412</v>
      </c>
      <c r="D48" t="s">
        <v>331</v>
      </c>
      <c r="F48">
        <v>1.216323</v>
      </c>
      <c r="G48">
        <v>1.8004869999999999</v>
      </c>
      <c r="H48">
        <v>2.6621299999999999</v>
      </c>
      <c r="I48">
        <v>3.8157960000000002</v>
      </c>
      <c r="J48">
        <v>5.2756109999999996</v>
      </c>
      <c r="K48">
        <v>6.9585080000000001</v>
      </c>
      <c r="L48">
        <v>8.8427710000000008</v>
      </c>
      <c r="M48">
        <v>10.92844</v>
      </c>
      <c r="N48">
        <v>13.17403</v>
      </c>
      <c r="O48">
        <v>15.571790999999999</v>
      </c>
      <c r="P48">
        <v>18.100981000000001</v>
      </c>
      <c r="Q48">
        <v>20.747391</v>
      </c>
      <c r="R48">
        <v>23.521432999999998</v>
      </c>
      <c r="S48">
        <v>26.438811999999999</v>
      </c>
      <c r="T48">
        <v>29.488754</v>
      </c>
      <c r="U48">
        <v>32.663853000000003</v>
      </c>
      <c r="V48">
        <v>35.966309000000003</v>
      </c>
      <c r="W48">
        <v>39.377879999999998</v>
      </c>
      <c r="X48">
        <v>42.906146999999997</v>
      </c>
      <c r="Y48">
        <v>46.508395999999998</v>
      </c>
      <c r="Z48">
        <v>50.184578000000002</v>
      </c>
      <c r="AA48">
        <v>53.931499000000002</v>
      </c>
      <c r="AB48">
        <v>57.733252999999998</v>
      </c>
      <c r="AC48">
        <v>61.644629999999999</v>
      </c>
      <c r="AD48">
        <v>65.605125000000001</v>
      </c>
      <c r="AE48">
        <v>69.635688999999999</v>
      </c>
      <c r="AF48">
        <v>73.692322000000004</v>
      </c>
      <c r="AG48">
        <v>77.833954000000006</v>
      </c>
      <c r="AH48">
        <v>82.071624999999997</v>
      </c>
      <c r="AI48" s="21">
        <v>0.16200000000000001</v>
      </c>
    </row>
    <row r="49" spans="1:35">
      <c r="A49" t="s">
        <v>315</v>
      </c>
      <c r="B49" t="s">
        <v>1411</v>
      </c>
      <c r="C49" t="s">
        <v>1410</v>
      </c>
      <c r="D49" t="s">
        <v>331</v>
      </c>
      <c r="F49">
        <v>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t="s">
        <v>17</v>
      </c>
    </row>
    <row r="50" spans="1:35">
      <c r="A50" t="s">
        <v>316</v>
      </c>
      <c r="B50" t="s">
        <v>1409</v>
      </c>
      <c r="C50" t="s">
        <v>1408</v>
      </c>
      <c r="D50" t="s">
        <v>331</v>
      </c>
      <c r="F50">
        <v>135.86802700000001</v>
      </c>
      <c r="G50">
        <v>160.33596800000001</v>
      </c>
      <c r="H50">
        <v>184.473557</v>
      </c>
      <c r="I50">
        <v>209.81907699999999</v>
      </c>
      <c r="J50">
        <v>234.51753199999999</v>
      </c>
      <c r="K50">
        <v>257.46469100000002</v>
      </c>
      <c r="L50">
        <v>278.54953</v>
      </c>
      <c r="M50">
        <v>298.11563100000001</v>
      </c>
      <c r="N50">
        <v>315.834991</v>
      </c>
      <c r="O50">
        <v>331.873718</v>
      </c>
      <c r="P50">
        <v>346.20721400000002</v>
      </c>
      <c r="Q50">
        <v>358.901276</v>
      </c>
      <c r="R50">
        <v>370.31750499999998</v>
      </c>
      <c r="S50">
        <v>380.79077100000001</v>
      </c>
      <c r="T50">
        <v>390.40115400000002</v>
      </c>
      <c r="U50">
        <v>399.24508700000001</v>
      </c>
      <c r="V50">
        <v>407.54202299999997</v>
      </c>
      <c r="W50">
        <v>415.30740400000002</v>
      </c>
      <c r="X50">
        <v>422.79144300000002</v>
      </c>
      <c r="Y50">
        <v>429.82556199999999</v>
      </c>
      <c r="Z50">
        <v>436.565155</v>
      </c>
      <c r="AA50">
        <v>443.109467</v>
      </c>
      <c r="AB50">
        <v>449.46087599999998</v>
      </c>
      <c r="AC50">
        <v>456.09204099999999</v>
      </c>
      <c r="AD50">
        <v>462.64462300000002</v>
      </c>
      <c r="AE50">
        <v>469.25631700000002</v>
      </c>
      <c r="AF50">
        <v>475.66360500000002</v>
      </c>
      <c r="AG50">
        <v>482.26095600000002</v>
      </c>
      <c r="AH50">
        <v>489.10043300000001</v>
      </c>
      <c r="AI50" s="21">
        <v>4.7E-2</v>
      </c>
    </row>
    <row r="51" spans="1:35">
      <c r="A51" t="s">
        <v>317</v>
      </c>
      <c r="B51" t="s">
        <v>1407</v>
      </c>
      <c r="C51" t="s">
        <v>1406</v>
      </c>
      <c r="D51" t="s">
        <v>331</v>
      </c>
      <c r="F51">
        <v>2.8394689999999998</v>
      </c>
      <c r="G51">
        <v>2.6402389999999998</v>
      </c>
      <c r="H51">
        <v>2.4714209999999999</v>
      </c>
      <c r="I51">
        <v>2.307671</v>
      </c>
      <c r="J51">
        <v>2.1489020000000001</v>
      </c>
      <c r="K51">
        <v>1.9944459999999999</v>
      </c>
      <c r="L51">
        <v>1.8519239999999999</v>
      </c>
      <c r="M51">
        <v>1.735058</v>
      </c>
      <c r="N51">
        <v>1.626692</v>
      </c>
      <c r="O51">
        <v>1.521126</v>
      </c>
      <c r="P51">
        <v>1.4203939999999999</v>
      </c>
      <c r="Q51">
        <v>1.3247119999999999</v>
      </c>
      <c r="R51">
        <v>1.23502</v>
      </c>
      <c r="S51">
        <v>1.1505069999999999</v>
      </c>
      <c r="T51">
        <v>1.0719479999999999</v>
      </c>
      <c r="U51">
        <v>1.010057</v>
      </c>
      <c r="V51">
        <v>0.95058600000000004</v>
      </c>
      <c r="W51">
        <v>0.89879100000000001</v>
      </c>
      <c r="X51">
        <v>0.84982899999999995</v>
      </c>
      <c r="Y51">
        <v>0.80354300000000001</v>
      </c>
      <c r="Z51">
        <v>0.75978599999999996</v>
      </c>
      <c r="AA51">
        <v>0.71842099999999998</v>
      </c>
      <c r="AB51">
        <v>0.679315</v>
      </c>
      <c r="AC51">
        <v>0.64234599999999997</v>
      </c>
      <c r="AD51">
        <v>0.60739500000000002</v>
      </c>
      <c r="AE51">
        <v>0.57435199999999997</v>
      </c>
      <c r="AF51">
        <v>0.54311299999999996</v>
      </c>
      <c r="AG51">
        <v>0.51357900000000001</v>
      </c>
      <c r="AH51">
        <v>0.48565700000000001</v>
      </c>
      <c r="AI51" s="21">
        <v>-6.0999999999999999E-2</v>
      </c>
    </row>
    <row r="52" spans="1:35">
      <c r="A52" t="s">
        <v>318</v>
      </c>
      <c r="B52" t="s">
        <v>1405</v>
      </c>
      <c r="C52" t="s">
        <v>1404</v>
      </c>
      <c r="D52" t="s">
        <v>331</v>
      </c>
      <c r="F52">
        <v>2.1852510000000001</v>
      </c>
      <c r="G52">
        <v>2.0150779999999999</v>
      </c>
      <c r="H52">
        <v>1.9048449999999999</v>
      </c>
      <c r="I52">
        <v>1.8006629999999999</v>
      </c>
      <c r="J52">
        <v>1.702199</v>
      </c>
      <c r="K52">
        <v>1.609138</v>
      </c>
      <c r="L52">
        <v>1.521183</v>
      </c>
      <c r="M52">
        <v>1.4380520000000001</v>
      </c>
      <c r="N52">
        <v>1.35948</v>
      </c>
      <c r="O52">
        <v>1.2852170000000001</v>
      </c>
      <c r="P52">
        <v>1.2150240000000001</v>
      </c>
      <c r="Q52">
        <v>1.1486780000000001</v>
      </c>
      <c r="R52">
        <v>1.085968</v>
      </c>
      <c r="S52">
        <v>1.0266930000000001</v>
      </c>
      <c r="T52">
        <v>0.970665</v>
      </c>
      <c r="U52">
        <v>0.91770499999999999</v>
      </c>
      <c r="V52">
        <v>0.867645</v>
      </c>
      <c r="W52">
        <v>0.82032499999999997</v>
      </c>
      <c r="X52">
        <v>0.77559500000000003</v>
      </c>
      <c r="Y52">
        <v>0.73331199999999996</v>
      </c>
      <c r="Z52">
        <v>0.69334200000000001</v>
      </c>
      <c r="AA52">
        <v>0.655559</v>
      </c>
      <c r="AB52">
        <v>0.619842</v>
      </c>
      <c r="AC52">
        <v>0.58607699999999996</v>
      </c>
      <c r="AD52">
        <v>0.55415800000000004</v>
      </c>
      <c r="AE52">
        <v>0.52398299999999998</v>
      </c>
      <c r="AF52">
        <v>0.49545699999999998</v>
      </c>
      <c r="AG52">
        <v>0.46848899999999999</v>
      </c>
      <c r="AH52">
        <v>0.44299500000000003</v>
      </c>
      <c r="AI52" s="21">
        <v>-5.5E-2</v>
      </c>
    </row>
    <row r="53" spans="1:35">
      <c r="A53" t="s">
        <v>319</v>
      </c>
      <c r="B53" t="s">
        <v>1403</v>
      </c>
      <c r="C53" t="s">
        <v>1402</v>
      </c>
      <c r="D53" t="s">
        <v>331</v>
      </c>
      <c r="F53">
        <v>5.7546530000000002</v>
      </c>
      <c r="G53">
        <v>5.1709949999999996</v>
      </c>
      <c r="H53">
        <v>4.6336570000000004</v>
      </c>
      <c r="I53">
        <v>4.2048030000000001</v>
      </c>
      <c r="J53">
        <v>3.890476</v>
      </c>
      <c r="K53">
        <v>3.6618270000000002</v>
      </c>
      <c r="L53">
        <v>3.461627</v>
      </c>
      <c r="M53">
        <v>3.272411</v>
      </c>
      <c r="N53">
        <v>3.0935739999999998</v>
      </c>
      <c r="O53">
        <v>2.924544</v>
      </c>
      <c r="P53">
        <v>2.764783</v>
      </c>
      <c r="Q53">
        <v>2.6137800000000002</v>
      </c>
      <c r="R53">
        <v>2.4710519999999998</v>
      </c>
      <c r="S53">
        <v>2.3361459999999998</v>
      </c>
      <c r="T53">
        <v>2.208631</v>
      </c>
      <c r="U53">
        <v>2.0880999999999998</v>
      </c>
      <c r="V53">
        <v>1.97417</v>
      </c>
      <c r="W53">
        <v>1.8664780000000001</v>
      </c>
      <c r="X53">
        <v>1.7646809999999999</v>
      </c>
      <c r="Y53">
        <v>1.668455</v>
      </c>
      <c r="Z53">
        <v>1.577494</v>
      </c>
      <c r="AA53">
        <v>1.4915099999999999</v>
      </c>
      <c r="AB53">
        <v>1.410229</v>
      </c>
      <c r="AC53">
        <v>1.3333919999999999</v>
      </c>
      <c r="AD53">
        <v>1.2607569999999999</v>
      </c>
      <c r="AE53">
        <v>1.192091</v>
      </c>
      <c r="AF53">
        <v>1.1271789999999999</v>
      </c>
      <c r="AG53">
        <v>1.0658129999999999</v>
      </c>
      <c r="AH53">
        <v>1.0078</v>
      </c>
      <c r="AI53" s="21">
        <v>-0.06</v>
      </c>
    </row>
    <row r="54" spans="1:35">
      <c r="A54" t="s">
        <v>320</v>
      </c>
      <c r="B54" t="s">
        <v>1401</v>
      </c>
      <c r="C54" t="s">
        <v>1400</v>
      </c>
      <c r="D54" t="s">
        <v>331</v>
      </c>
      <c r="F54">
        <v>5.1262449999999999</v>
      </c>
      <c r="G54">
        <v>4.7267590000000004</v>
      </c>
      <c r="H54">
        <v>4.4681829999999998</v>
      </c>
      <c r="I54">
        <v>4.2238020000000001</v>
      </c>
      <c r="J54">
        <v>3.9928349999999999</v>
      </c>
      <c r="K54">
        <v>3.7745419999999998</v>
      </c>
      <c r="L54">
        <v>3.568225</v>
      </c>
      <c r="M54">
        <v>3.373224</v>
      </c>
      <c r="N54">
        <v>3.1889189999999998</v>
      </c>
      <c r="O54">
        <v>3.0147189999999999</v>
      </c>
      <c r="P54">
        <v>2.8500670000000001</v>
      </c>
      <c r="Q54">
        <v>2.6944400000000002</v>
      </c>
      <c r="R54">
        <v>2.5473409999999999</v>
      </c>
      <c r="S54">
        <v>2.4083000000000001</v>
      </c>
      <c r="T54">
        <v>2.276875</v>
      </c>
      <c r="U54">
        <v>2.152647</v>
      </c>
      <c r="V54">
        <v>2.0352209999999999</v>
      </c>
      <c r="W54">
        <v>1.924223</v>
      </c>
      <c r="X54">
        <v>1.819299</v>
      </c>
      <c r="Y54">
        <v>1.7201169999999999</v>
      </c>
      <c r="Z54">
        <v>1.62636</v>
      </c>
      <c r="AA54">
        <v>1.5377320000000001</v>
      </c>
      <c r="AB54">
        <v>1.4539500000000001</v>
      </c>
      <c r="AC54">
        <v>1.3747480000000001</v>
      </c>
      <c r="AD54">
        <v>1.299876</v>
      </c>
      <c r="AE54">
        <v>1.229095</v>
      </c>
      <c r="AF54">
        <v>1.162182</v>
      </c>
      <c r="AG54">
        <v>1.0989249999999999</v>
      </c>
      <c r="AH54">
        <v>1.0391220000000001</v>
      </c>
      <c r="AI54" s="21">
        <v>-5.5E-2</v>
      </c>
    </row>
    <row r="55" spans="1:35">
      <c r="A55" t="s">
        <v>321</v>
      </c>
      <c r="B55" t="s">
        <v>1399</v>
      </c>
      <c r="C55" t="s">
        <v>1398</v>
      </c>
      <c r="D55" t="s">
        <v>331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t="s">
        <v>17</v>
      </c>
    </row>
    <row r="56" spans="1:35">
      <c r="A56" t="s">
        <v>322</v>
      </c>
      <c r="B56" t="s">
        <v>1397</v>
      </c>
      <c r="C56" t="s">
        <v>1396</v>
      </c>
      <c r="D56" t="s">
        <v>331</v>
      </c>
      <c r="F56">
        <v>2.0339999999999998E-3</v>
      </c>
      <c r="G56">
        <v>6.2049999999999996E-3</v>
      </c>
      <c r="H56">
        <v>1.2722000000000001E-2</v>
      </c>
      <c r="I56">
        <v>2.1700000000000001E-2</v>
      </c>
      <c r="J56">
        <v>3.3008999999999997E-2</v>
      </c>
      <c r="K56">
        <v>4.6428999999999998E-2</v>
      </c>
      <c r="L56">
        <v>6.1843000000000002E-2</v>
      </c>
      <c r="M56">
        <v>7.9235E-2</v>
      </c>
      <c r="N56">
        <v>9.8308999999999994E-2</v>
      </c>
      <c r="O56">
        <v>0.118946</v>
      </c>
      <c r="P56">
        <v>0.140962</v>
      </c>
      <c r="Q56">
        <v>0.164185</v>
      </c>
      <c r="R56">
        <v>0.188612</v>
      </c>
      <c r="S56">
        <v>0.214285</v>
      </c>
      <c r="T56">
        <v>0.241124</v>
      </c>
      <c r="U56">
        <v>0.26907399999999998</v>
      </c>
      <c r="V56">
        <v>0.298147</v>
      </c>
      <c r="W56">
        <v>0.328241</v>
      </c>
      <c r="X56">
        <v>0.359404</v>
      </c>
      <c r="Y56">
        <v>0.39135799999999998</v>
      </c>
      <c r="Z56">
        <v>0.42408899999999999</v>
      </c>
      <c r="AA56">
        <v>0.45756999999999998</v>
      </c>
      <c r="AB56">
        <v>0.49168200000000001</v>
      </c>
      <c r="AC56">
        <v>0.52675700000000003</v>
      </c>
      <c r="AD56">
        <v>0.56241099999999999</v>
      </c>
      <c r="AE56">
        <v>0.598777</v>
      </c>
      <c r="AF56">
        <v>0.63556699999999999</v>
      </c>
      <c r="AG56">
        <v>0.67315000000000003</v>
      </c>
      <c r="AH56">
        <v>0.71160800000000002</v>
      </c>
      <c r="AI56" s="21">
        <v>0.23300000000000001</v>
      </c>
    </row>
    <row r="57" spans="1:35">
      <c r="A57" t="s">
        <v>328</v>
      </c>
      <c r="B57" t="s">
        <v>1395</v>
      </c>
      <c r="C57" t="s">
        <v>1394</v>
      </c>
      <c r="D57" t="s">
        <v>331</v>
      </c>
      <c r="F57">
        <v>1403.9254149999999</v>
      </c>
      <c r="G57">
        <v>1339.2801509999999</v>
      </c>
      <c r="H57">
        <v>1292.7174070000001</v>
      </c>
      <c r="I57">
        <v>1250.237183</v>
      </c>
      <c r="J57">
        <v>1215.381226</v>
      </c>
      <c r="K57">
        <v>1184.0926509999999</v>
      </c>
      <c r="L57">
        <v>1157.4570309999999</v>
      </c>
      <c r="M57">
        <v>1137.7867429999999</v>
      </c>
      <c r="N57">
        <v>1123.8199460000001</v>
      </c>
      <c r="O57">
        <v>1116.2508539999999</v>
      </c>
      <c r="P57">
        <v>1114.6232910000001</v>
      </c>
      <c r="Q57">
        <v>1118.8454589999999</v>
      </c>
      <c r="R57">
        <v>1129.5892329999999</v>
      </c>
      <c r="S57">
        <v>1147.3548579999999</v>
      </c>
      <c r="T57">
        <v>1171.02124</v>
      </c>
      <c r="U57">
        <v>1199.61853</v>
      </c>
      <c r="V57">
        <v>1232.7967530000001</v>
      </c>
      <c r="W57">
        <v>1269.1655270000001</v>
      </c>
      <c r="X57">
        <v>1308.4490969999999</v>
      </c>
      <c r="Y57">
        <v>1348.881836</v>
      </c>
      <c r="Z57">
        <v>1390.580811</v>
      </c>
      <c r="AA57">
        <v>1433.535034</v>
      </c>
      <c r="AB57">
        <v>1477.3614500000001</v>
      </c>
      <c r="AC57">
        <v>1523.897217</v>
      </c>
      <c r="AD57">
        <v>1570.9343260000001</v>
      </c>
      <c r="AE57">
        <v>1619.0146480000001</v>
      </c>
      <c r="AF57">
        <v>1666.595703</v>
      </c>
      <c r="AG57">
        <v>1715.9692379999999</v>
      </c>
      <c r="AH57">
        <v>1767.3173830000001</v>
      </c>
      <c r="AI57" s="21">
        <v>8.0000000000000002E-3</v>
      </c>
    </row>
    <row r="58" spans="1:35">
      <c r="A58" t="s">
        <v>80</v>
      </c>
      <c r="B58" t="s">
        <v>1393</v>
      </c>
      <c r="C58" t="s">
        <v>1392</v>
      </c>
      <c r="D58" t="s">
        <v>331</v>
      </c>
      <c r="F58">
        <v>9103.5634769999997</v>
      </c>
      <c r="G58">
        <v>9049.1894530000009</v>
      </c>
      <c r="H58">
        <v>9102.0302730000003</v>
      </c>
      <c r="I58">
        <v>9189.4833980000003</v>
      </c>
      <c r="J58">
        <v>9278.2109380000002</v>
      </c>
      <c r="K58">
        <v>9347.515625</v>
      </c>
      <c r="L58">
        <v>9402.4619139999995</v>
      </c>
      <c r="M58">
        <v>9456.7958980000003</v>
      </c>
      <c r="N58">
        <v>9498.7880860000005</v>
      </c>
      <c r="O58">
        <v>9532.4726559999999</v>
      </c>
      <c r="P58">
        <v>9557.3642579999996</v>
      </c>
      <c r="Q58">
        <v>9575.2666019999997</v>
      </c>
      <c r="R58">
        <v>9594.7626949999994</v>
      </c>
      <c r="S58">
        <v>9623.9726559999999</v>
      </c>
      <c r="T58">
        <v>9661.0117190000001</v>
      </c>
      <c r="U58">
        <v>9704.4042969999991</v>
      </c>
      <c r="V58">
        <v>9755.2119139999995</v>
      </c>
      <c r="W58">
        <v>9810.3886719999991</v>
      </c>
      <c r="X58">
        <v>9872.4140619999998</v>
      </c>
      <c r="Y58">
        <v>9932.7216800000006</v>
      </c>
      <c r="Z58">
        <v>9993.1640619999998</v>
      </c>
      <c r="AA58">
        <v>10054.582031</v>
      </c>
      <c r="AB58">
        <v>10115.234375</v>
      </c>
      <c r="AC58">
        <v>10185.045898</v>
      </c>
      <c r="AD58">
        <v>10253.295898</v>
      </c>
      <c r="AE58">
        <v>10323.652344</v>
      </c>
      <c r="AF58">
        <v>10388.939453000001</v>
      </c>
      <c r="AG58">
        <v>10459.662109000001</v>
      </c>
      <c r="AH58">
        <v>10536.678711</v>
      </c>
      <c r="AI58" s="21">
        <v>5.0000000000000001E-3</v>
      </c>
    </row>
    <row r="59" spans="1:35">
      <c r="A59" t="s">
        <v>239</v>
      </c>
      <c r="B59" t="s">
        <v>1391</v>
      </c>
      <c r="C59" t="s">
        <v>1390</v>
      </c>
      <c r="D59" t="s">
        <v>331</v>
      </c>
      <c r="F59">
        <v>14741.170898</v>
      </c>
      <c r="G59">
        <v>14276.033203000001</v>
      </c>
      <c r="H59">
        <v>14006.5625</v>
      </c>
      <c r="I59">
        <v>13803.979492</v>
      </c>
      <c r="J59">
        <v>13625.132812</v>
      </c>
      <c r="K59">
        <v>13457.716796999999</v>
      </c>
      <c r="L59">
        <v>13304.828125</v>
      </c>
      <c r="M59">
        <v>13180.441406</v>
      </c>
      <c r="N59">
        <v>13068.610352</v>
      </c>
      <c r="O59">
        <v>12969.526367</v>
      </c>
      <c r="P59">
        <v>12882.349609000001</v>
      </c>
      <c r="Q59">
        <v>12803.548828000001</v>
      </c>
      <c r="R59">
        <v>12743.689453000001</v>
      </c>
      <c r="S59">
        <v>12711.219727</v>
      </c>
      <c r="T59">
        <v>12705.164062</v>
      </c>
      <c r="U59">
        <v>12715.314453000001</v>
      </c>
      <c r="V59">
        <v>12740.125</v>
      </c>
      <c r="W59">
        <v>12774.943359000001</v>
      </c>
      <c r="X59">
        <v>12820.956055000001</v>
      </c>
      <c r="Y59">
        <v>12864.253906</v>
      </c>
      <c r="Z59">
        <v>12907.40625</v>
      </c>
      <c r="AA59">
        <v>12948.941406</v>
      </c>
      <c r="AB59">
        <v>12991.878906</v>
      </c>
      <c r="AC59">
        <v>13049.931640999999</v>
      </c>
      <c r="AD59">
        <v>13116.971680000001</v>
      </c>
      <c r="AE59">
        <v>13183.955078000001</v>
      </c>
      <c r="AF59">
        <v>13244.930664</v>
      </c>
      <c r="AG59">
        <v>13311.998046999999</v>
      </c>
      <c r="AH59">
        <v>13388.823242</v>
      </c>
      <c r="AI59" s="21">
        <v>-3.0000000000000001E-3</v>
      </c>
    </row>
    <row r="60" spans="1:35">
      <c r="A60" t="s">
        <v>332</v>
      </c>
    </row>
    <row r="61" spans="1:35">
      <c r="A61" t="s">
        <v>283</v>
      </c>
      <c r="B61" t="s">
        <v>1389</v>
      </c>
      <c r="C61" t="s">
        <v>1388</v>
      </c>
      <c r="D61" t="s">
        <v>331</v>
      </c>
      <c r="F61">
        <v>8031.3188479999999</v>
      </c>
      <c r="G61">
        <v>7940.3720700000003</v>
      </c>
      <c r="H61">
        <v>7903.7353519999997</v>
      </c>
      <c r="I61">
        <v>7909.8017579999996</v>
      </c>
      <c r="J61">
        <v>7940.830078</v>
      </c>
      <c r="K61">
        <v>7987.8505859999996</v>
      </c>
      <c r="L61">
        <v>8042.6831050000001</v>
      </c>
      <c r="M61">
        <v>8101.8808589999999</v>
      </c>
      <c r="N61">
        <v>8168.1220700000003</v>
      </c>
      <c r="O61">
        <v>8235.2177730000003</v>
      </c>
      <c r="P61">
        <v>8306.8525389999995</v>
      </c>
      <c r="Q61">
        <v>8373.7109380000002</v>
      </c>
      <c r="R61">
        <v>8435.4941409999992</v>
      </c>
      <c r="S61">
        <v>8494.0546880000002</v>
      </c>
      <c r="T61">
        <v>8552.7587889999995</v>
      </c>
      <c r="U61">
        <v>8606.1826170000004</v>
      </c>
      <c r="V61">
        <v>8658.1015619999998</v>
      </c>
      <c r="W61">
        <v>8711.0576170000004</v>
      </c>
      <c r="X61">
        <v>8762.5673829999996</v>
      </c>
      <c r="Y61">
        <v>8814.5947269999997</v>
      </c>
      <c r="Z61">
        <v>8864.6865230000003</v>
      </c>
      <c r="AA61">
        <v>8916.5878909999992</v>
      </c>
      <c r="AB61">
        <v>8972.7021480000003</v>
      </c>
      <c r="AC61">
        <v>9027.6074219999991</v>
      </c>
      <c r="AD61">
        <v>9080.1376949999994</v>
      </c>
      <c r="AE61">
        <v>9132.8710940000001</v>
      </c>
      <c r="AF61">
        <v>9182.9980469999991</v>
      </c>
      <c r="AG61">
        <v>9228.2011719999991</v>
      </c>
      <c r="AH61">
        <v>9269.6210940000001</v>
      </c>
      <c r="AI61" s="21">
        <v>5.0000000000000001E-3</v>
      </c>
    </row>
    <row r="62" spans="1:35">
      <c r="A62" t="s">
        <v>297</v>
      </c>
      <c r="B62" t="s">
        <v>1387</v>
      </c>
      <c r="C62" t="s">
        <v>1386</v>
      </c>
      <c r="D62" t="s">
        <v>331</v>
      </c>
      <c r="F62">
        <v>5201.8085940000001</v>
      </c>
      <c r="G62">
        <v>5250.8969729999999</v>
      </c>
      <c r="H62">
        <v>5302.2626950000003</v>
      </c>
      <c r="I62">
        <v>5353.2270509999998</v>
      </c>
      <c r="J62">
        <v>5399.2612300000001</v>
      </c>
      <c r="K62">
        <v>5437.2954099999997</v>
      </c>
      <c r="L62">
        <v>5468.6098629999997</v>
      </c>
      <c r="M62">
        <v>5492.0893550000001</v>
      </c>
      <c r="N62">
        <v>5507.6777339999999</v>
      </c>
      <c r="O62">
        <v>5512.2534180000002</v>
      </c>
      <c r="P62">
        <v>5521.1801759999998</v>
      </c>
      <c r="Q62">
        <v>5519.0473629999997</v>
      </c>
      <c r="R62">
        <v>5513.2485349999997</v>
      </c>
      <c r="S62">
        <v>5500.6274409999996</v>
      </c>
      <c r="T62">
        <v>5486.0024409999996</v>
      </c>
      <c r="U62">
        <v>5469.0234380000002</v>
      </c>
      <c r="V62">
        <v>5449.0185549999997</v>
      </c>
      <c r="W62">
        <v>5431.8198240000002</v>
      </c>
      <c r="X62">
        <v>5414.2065430000002</v>
      </c>
      <c r="Y62">
        <v>5406.3969729999999</v>
      </c>
      <c r="Z62">
        <v>5405.3071289999998</v>
      </c>
      <c r="AA62">
        <v>5420.1103519999997</v>
      </c>
      <c r="AB62">
        <v>5445.6806640000004</v>
      </c>
      <c r="AC62">
        <v>5472.6030270000001</v>
      </c>
      <c r="AD62">
        <v>5500.2749020000001</v>
      </c>
      <c r="AE62">
        <v>5530.6381840000004</v>
      </c>
      <c r="AF62">
        <v>5561.6923829999996</v>
      </c>
      <c r="AG62">
        <v>5585.7548829999996</v>
      </c>
      <c r="AH62">
        <v>5608.0507809999999</v>
      </c>
      <c r="AI62" s="21">
        <v>3.0000000000000001E-3</v>
      </c>
    </row>
    <row r="63" spans="1:35">
      <c r="A63" t="s">
        <v>278</v>
      </c>
      <c r="B63" t="s">
        <v>1385</v>
      </c>
      <c r="C63" t="s">
        <v>1384</v>
      </c>
      <c r="D63" t="s">
        <v>331</v>
      </c>
      <c r="F63">
        <v>2.7199999999999998E-2</v>
      </c>
      <c r="G63">
        <v>0.446405</v>
      </c>
      <c r="H63">
        <v>0.88520500000000002</v>
      </c>
      <c r="I63">
        <v>1.334503</v>
      </c>
      <c r="J63">
        <v>1.8046040000000001</v>
      </c>
      <c r="K63">
        <v>2.2977280000000002</v>
      </c>
      <c r="L63">
        <v>2.8189009999999999</v>
      </c>
      <c r="M63">
        <v>3.3765900000000002</v>
      </c>
      <c r="N63">
        <v>3.9795349999999998</v>
      </c>
      <c r="O63">
        <v>4.6397399999999998</v>
      </c>
      <c r="P63">
        <v>5.3691800000000001</v>
      </c>
      <c r="Q63">
        <v>6.1793230000000001</v>
      </c>
      <c r="R63">
        <v>7.0851259999999998</v>
      </c>
      <c r="S63">
        <v>8.1084790000000009</v>
      </c>
      <c r="T63">
        <v>9.2763559999999998</v>
      </c>
      <c r="U63">
        <v>10.613517999999999</v>
      </c>
      <c r="V63">
        <v>12.144465</v>
      </c>
      <c r="W63">
        <v>13.896808999999999</v>
      </c>
      <c r="X63">
        <v>15.894682</v>
      </c>
      <c r="Y63">
        <v>18.155231000000001</v>
      </c>
      <c r="Z63">
        <v>20.693428000000001</v>
      </c>
      <c r="AA63">
        <v>23.531113000000001</v>
      </c>
      <c r="AB63">
        <v>26.681090999999999</v>
      </c>
      <c r="AC63">
        <v>30.170033</v>
      </c>
      <c r="AD63">
        <v>33.996665999999998</v>
      </c>
      <c r="AE63">
        <v>38.143760999999998</v>
      </c>
      <c r="AF63">
        <v>42.573020999999997</v>
      </c>
      <c r="AG63">
        <v>47.273494999999997</v>
      </c>
      <c r="AH63">
        <v>52.222855000000003</v>
      </c>
      <c r="AI63" s="21">
        <v>0.31</v>
      </c>
    </row>
    <row r="64" spans="1:35">
      <c r="A64" t="s">
        <v>277</v>
      </c>
      <c r="B64" t="s">
        <v>1383</v>
      </c>
      <c r="C64" t="s">
        <v>1382</v>
      </c>
      <c r="D64" t="s">
        <v>331</v>
      </c>
      <c r="F64">
        <v>12.657215000000001</v>
      </c>
      <c r="G64">
        <v>12.253945999999999</v>
      </c>
      <c r="H64">
        <v>11.837052999999999</v>
      </c>
      <c r="I64">
        <v>11.405747</v>
      </c>
      <c r="J64">
        <v>10.958615999999999</v>
      </c>
      <c r="K64">
        <v>10.497102999999999</v>
      </c>
      <c r="L64">
        <v>10.004996999999999</v>
      </c>
      <c r="M64">
        <v>9.5020070000000008</v>
      </c>
      <c r="N64">
        <v>8.9698100000000007</v>
      </c>
      <c r="O64">
        <v>8.4179040000000001</v>
      </c>
      <c r="P64">
        <v>7.8272069999999996</v>
      </c>
      <c r="Q64">
        <v>7.1769290000000003</v>
      </c>
      <c r="R64">
        <v>6.5703300000000002</v>
      </c>
      <c r="S64">
        <v>6.0011219999999996</v>
      </c>
      <c r="T64">
        <v>5.4681610000000003</v>
      </c>
      <c r="U64">
        <v>4.9728019999999997</v>
      </c>
      <c r="V64">
        <v>4.5123030000000002</v>
      </c>
      <c r="W64">
        <v>4.0931480000000002</v>
      </c>
      <c r="X64">
        <v>3.7105700000000001</v>
      </c>
      <c r="Y64">
        <v>3.3614989999999998</v>
      </c>
      <c r="Z64">
        <v>3.0438139999999998</v>
      </c>
      <c r="AA64">
        <v>2.7556120000000002</v>
      </c>
      <c r="AB64">
        <v>2.4947569999999999</v>
      </c>
      <c r="AC64">
        <v>2.2507510000000002</v>
      </c>
      <c r="AD64">
        <v>1.9678009999999999</v>
      </c>
      <c r="AE64">
        <v>1.629623</v>
      </c>
      <c r="AF64">
        <v>1.333248</v>
      </c>
      <c r="AG64">
        <v>1.052214</v>
      </c>
      <c r="AH64">
        <v>0.83661700000000006</v>
      </c>
      <c r="AI64" s="21">
        <v>-9.1999999999999998E-2</v>
      </c>
    </row>
    <row r="65" spans="1:35">
      <c r="A65" t="s">
        <v>333</v>
      </c>
      <c r="B65" t="s">
        <v>1381</v>
      </c>
      <c r="C65" t="s">
        <v>1380</v>
      </c>
      <c r="D65" t="s">
        <v>331</v>
      </c>
      <c r="F65">
        <v>1568.900635</v>
      </c>
      <c r="G65">
        <v>1592.0656739999999</v>
      </c>
      <c r="H65">
        <v>1617.6141359999999</v>
      </c>
      <c r="I65">
        <v>1642.889404</v>
      </c>
      <c r="J65">
        <v>1666.8477780000001</v>
      </c>
      <c r="K65">
        <v>1689.6022949999999</v>
      </c>
      <c r="L65">
        <v>1709.506836</v>
      </c>
      <c r="M65">
        <v>1727.1770019999999</v>
      </c>
      <c r="N65">
        <v>1742.9711910000001</v>
      </c>
      <c r="O65">
        <v>1757.8314210000001</v>
      </c>
      <c r="P65">
        <v>1771.9936520000001</v>
      </c>
      <c r="Q65">
        <v>1785.9129640000001</v>
      </c>
      <c r="R65">
        <v>1799.8901370000001</v>
      </c>
      <c r="S65">
        <v>1814.896606</v>
      </c>
      <c r="T65">
        <v>1830.9842530000001</v>
      </c>
      <c r="U65">
        <v>1848.5692140000001</v>
      </c>
      <c r="V65">
        <v>1867.8732910000001</v>
      </c>
      <c r="W65">
        <v>1889.3264160000001</v>
      </c>
      <c r="X65">
        <v>1913.0802000000001</v>
      </c>
      <c r="Y65">
        <v>1938.9139399999999</v>
      </c>
      <c r="Z65">
        <v>1966.8549800000001</v>
      </c>
      <c r="AA65">
        <v>1997.009155</v>
      </c>
      <c r="AB65">
        <v>2025.797241</v>
      </c>
      <c r="AC65">
        <v>2053.891846</v>
      </c>
      <c r="AD65">
        <v>2081.9648440000001</v>
      </c>
      <c r="AE65">
        <v>2106.8190920000002</v>
      </c>
      <c r="AF65">
        <v>2130.8447270000001</v>
      </c>
      <c r="AG65">
        <v>2151.36499</v>
      </c>
      <c r="AH65">
        <v>2171.7822270000001</v>
      </c>
      <c r="AI65" s="21">
        <v>1.2E-2</v>
      </c>
    </row>
    <row r="66" spans="1:35">
      <c r="A66" t="s">
        <v>334</v>
      </c>
      <c r="B66" t="s">
        <v>1379</v>
      </c>
      <c r="C66" t="s">
        <v>1378</v>
      </c>
      <c r="D66" t="s">
        <v>331</v>
      </c>
      <c r="F66">
        <v>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t="s">
        <v>17</v>
      </c>
    </row>
    <row r="67" spans="1:35">
      <c r="A67" t="s">
        <v>335</v>
      </c>
      <c r="B67" t="s">
        <v>1377</v>
      </c>
      <c r="C67" t="s">
        <v>1376</v>
      </c>
      <c r="D67" t="s">
        <v>331</v>
      </c>
      <c r="F67">
        <v>0</v>
      </c>
      <c r="G67">
        <v>0.787767</v>
      </c>
      <c r="H67">
        <v>1.5879289999999999</v>
      </c>
      <c r="I67">
        <v>2.3966599999999998</v>
      </c>
      <c r="J67">
        <v>3.208523</v>
      </c>
      <c r="K67">
        <v>4.0274260000000002</v>
      </c>
      <c r="L67">
        <v>4.8601450000000002</v>
      </c>
      <c r="M67">
        <v>5.7169280000000002</v>
      </c>
      <c r="N67">
        <v>6.6017650000000003</v>
      </c>
      <c r="O67">
        <v>7.5191460000000001</v>
      </c>
      <c r="P67">
        <v>8.4768489999999996</v>
      </c>
      <c r="Q67">
        <v>9.4802370000000007</v>
      </c>
      <c r="R67">
        <v>10.536694000000001</v>
      </c>
      <c r="S67">
        <v>11.657214</v>
      </c>
      <c r="T67">
        <v>12.856301999999999</v>
      </c>
      <c r="U67">
        <v>14.143478</v>
      </c>
      <c r="V67">
        <v>15.531952</v>
      </c>
      <c r="W67">
        <v>17.031109000000001</v>
      </c>
      <c r="X67">
        <v>18.651724000000002</v>
      </c>
      <c r="Y67">
        <v>20.389593000000001</v>
      </c>
      <c r="Z67">
        <v>22.245595999999999</v>
      </c>
      <c r="AA67">
        <v>24.213246999999999</v>
      </c>
      <c r="AB67">
        <v>26.284991999999999</v>
      </c>
      <c r="AC67">
        <v>28.463531</v>
      </c>
      <c r="AD67">
        <v>30.733688000000001</v>
      </c>
      <c r="AE67">
        <v>33.074711000000001</v>
      </c>
      <c r="AF67">
        <v>35.461925999999998</v>
      </c>
      <c r="AG67">
        <v>37.891818999999998</v>
      </c>
      <c r="AH67">
        <v>40.35284</v>
      </c>
      <c r="AI67" t="s">
        <v>17</v>
      </c>
    </row>
    <row r="68" spans="1:35">
      <c r="A68" t="s">
        <v>336</v>
      </c>
      <c r="B68" t="s">
        <v>1375</v>
      </c>
      <c r="C68" t="s">
        <v>1374</v>
      </c>
      <c r="D68" t="s">
        <v>331</v>
      </c>
      <c r="F68">
        <v>0</v>
      </c>
      <c r="G68">
        <v>0.855433</v>
      </c>
      <c r="H68">
        <v>1.733762</v>
      </c>
      <c r="I68">
        <v>2.6065299999999998</v>
      </c>
      <c r="J68">
        <v>3.4725510000000002</v>
      </c>
      <c r="K68">
        <v>4.3335290000000004</v>
      </c>
      <c r="L68">
        <v>5.1927940000000001</v>
      </c>
      <c r="M68">
        <v>6.0617429999999999</v>
      </c>
      <c r="N68">
        <v>6.9501559999999998</v>
      </c>
      <c r="O68">
        <v>7.8712400000000002</v>
      </c>
      <c r="P68">
        <v>8.836157</v>
      </c>
      <c r="Q68">
        <v>9.8554539999999999</v>
      </c>
      <c r="R68">
        <v>10.940022000000001</v>
      </c>
      <c r="S68">
        <v>12.10994</v>
      </c>
      <c r="T68">
        <v>13.379708000000001</v>
      </c>
      <c r="U68">
        <v>14.764685</v>
      </c>
      <c r="V68">
        <v>16.280159000000001</v>
      </c>
      <c r="W68">
        <v>17.941573999999999</v>
      </c>
      <c r="X68">
        <v>19.761744</v>
      </c>
      <c r="Y68">
        <v>21.739498000000001</v>
      </c>
      <c r="Z68">
        <v>23.876650000000001</v>
      </c>
      <c r="AA68">
        <v>26.169352</v>
      </c>
      <c r="AB68">
        <v>28.600905999999998</v>
      </c>
      <c r="AC68">
        <v>31.175287000000001</v>
      </c>
      <c r="AD68">
        <v>33.863022000000001</v>
      </c>
      <c r="AE68">
        <v>36.644165000000001</v>
      </c>
      <c r="AF68">
        <v>39.482059</v>
      </c>
      <c r="AG68">
        <v>42.376590999999998</v>
      </c>
      <c r="AH68">
        <v>45.306109999999997</v>
      </c>
      <c r="AI68" t="s">
        <v>17</v>
      </c>
    </row>
    <row r="69" spans="1:35">
      <c r="A69" t="s">
        <v>337</v>
      </c>
      <c r="B69" t="s">
        <v>1373</v>
      </c>
      <c r="C69" t="s">
        <v>1372</v>
      </c>
      <c r="D69" t="s">
        <v>331</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t="s">
        <v>17</v>
      </c>
    </row>
    <row r="70" spans="1:35">
      <c r="A70" t="s">
        <v>338</v>
      </c>
      <c r="B70" t="s">
        <v>1371</v>
      </c>
      <c r="C70" t="s">
        <v>1370</v>
      </c>
      <c r="D70" t="s">
        <v>331</v>
      </c>
      <c r="F70">
        <v>14814.711914</v>
      </c>
      <c r="G70">
        <v>14797.678711</v>
      </c>
      <c r="H70">
        <v>14839.655273</v>
      </c>
      <c r="I70">
        <v>14923.662109000001</v>
      </c>
      <c r="J70">
        <v>15026.384765999999</v>
      </c>
      <c r="K70">
        <v>15135.905273</v>
      </c>
      <c r="L70">
        <v>15243.676758</v>
      </c>
      <c r="M70">
        <v>15345.804688</v>
      </c>
      <c r="N70">
        <v>15445.272461</v>
      </c>
      <c r="O70">
        <v>15533.75</v>
      </c>
      <c r="P70">
        <v>15630.535156</v>
      </c>
      <c r="Q70">
        <v>15711.363281</v>
      </c>
      <c r="R70">
        <v>15783.764648</v>
      </c>
      <c r="S70">
        <v>15847.455078000001</v>
      </c>
      <c r="T70">
        <v>15910.726562</v>
      </c>
      <c r="U70">
        <v>15968.269531</v>
      </c>
      <c r="V70">
        <v>16023.462890999999</v>
      </c>
      <c r="W70">
        <v>16085.165039</v>
      </c>
      <c r="X70">
        <v>16147.872069999999</v>
      </c>
      <c r="Y70">
        <v>16223.551758</v>
      </c>
      <c r="Z70">
        <v>16306.708008</v>
      </c>
      <c r="AA70">
        <v>16410.376952999999</v>
      </c>
      <c r="AB70">
        <v>16528.242188</v>
      </c>
      <c r="AC70">
        <v>16646.162109000001</v>
      </c>
      <c r="AD70">
        <v>16762.939452999999</v>
      </c>
      <c r="AE70">
        <v>16879.820312</v>
      </c>
      <c r="AF70">
        <v>16994.386718999998</v>
      </c>
      <c r="AG70">
        <v>17093.916015999999</v>
      </c>
      <c r="AH70">
        <v>17188.173827999999</v>
      </c>
      <c r="AI70" s="21">
        <v>5.0000000000000001E-3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I191"/>
  <sheetViews>
    <sheetView workbookViewId="0">
      <selection activeCell="H8" sqref="H8"/>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0" spans="1:35">
      <c r="A10" t="s">
        <v>339</v>
      </c>
    </row>
    <row r="11" spans="1:35">
      <c r="A11" t="s">
        <v>2332</v>
      </c>
    </row>
    <row r="12" spans="1:35">
      <c r="A12" t="s">
        <v>2343</v>
      </c>
    </row>
    <row r="13" spans="1:35">
      <c r="A13" t="s">
        <v>302</v>
      </c>
    </row>
    <row r="14" spans="1:35">
      <c r="B14" t="s">
        <v>303</v>
      </c>
      <c r="C14" t="s">
        <v>304</v>
      </c>
      <c r="D14" t="s">
        <v>305</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1368</v>
      </c>
    </row>
    <row r="15" spans="1:35">
      <c r="A15" t="s">
        <v>20</v>
      </c>
    </row>
    <row r="16" spans="1:35">
      <c r="A16" t="s">
        <v>340</v>
      </c>
      <c r="B16" t="s">
        <v>2331</v>
      </c>
      <c r="C16" t="s">
        <v>2330</v>
      </c>
      <c r="D16" t="s">
        <v>305</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s="21">
        <v>1.6E-2</v>
      </c>
    </row>
    <row r="17" spans="1:35">
      <c r="A17" t="s">
        <v>341</v>
      </c>
      <c r="B17" t="s">
        <v>2329</v>
      </c>
      <c r="C17" t="s">
        <v>2328</v>
      </c>
      <c r="D17" t="s">
        <v>305</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s="21">
        <v>1.6E-2</v>
      </c>
    </row>
    <row r="18" spans="1:35">
      <c r="A18" t="s">
        <v>342</v>
      </c>
      <c r="B18" t="s">
        <v>2327</v>
      </c>
      <c r="C18" t="s">
        <v>2326</v>
      </c>
      <c r="D18" t="s">
        <v>305</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s="21">
        <v>1.6E-2</v>
      </c>
    </row>
    <row r="19" spans="1:35">
      <c r="A19" t="s">
        <v>343</v>
      </c>
      <c r="B19" t="s">
        <v>2325</v>
      </c>
      <c r="C19" t="s">
        <v>2324</v>
      </c>
      <c r="D19" t="s">
        <v>305</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s="21">
        <v>1.4999999999999999E-2</v>
      </c>
    </row>
    <row r="20" spans="1:35">
      <c r="A20" t="s">
        <v>344</v>
      </c>
      <c r="B20" t="s">
        <v>2323</v>
      </c>
      <c r="C20" t="s">
        <v>2322</v>
      </c>
      <c r="D20" t="s">
        <v>305</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s="21">
        <v>1.2999999999999999E-2</v>
      </c>
    </row>
    <row r="21" spans="1:35">
      <c r="A21" t="s">
        <v>341</v>
      </c>
      <c r="B21" t="s">
        <v>2321</v>
      </c>
      <c r="C21" t="s">
        <v>2320</v>
      </c>
      <c r="D21" t="s">
        <v>305</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s="21">
        <v>1.2E-2</v>
      </c>
    </row>
    <row r="22" spans="1:35">
      <c r="A22" t="s">
        <v>342</v>
      </c>
      <c r="B22" t="s">
        <v>2319</v>
      </c>
      <c r="C22" t="s">
        <v>2318</v>
      </c>
      <c r="D22" t="s">
        <v>305</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s="21">
        <v>1.2999999999999999E-2</v>
      </c>
    </row>
    <row r="23" spans="1:35">
      <c r="A23" t="s">
        <v>343</v>
      </c>
      <c r="B23" t="s">
        <v>2317</v>
      </c>
      <c r="C23" t="s">
        <v>2316</v>
      </c>
      <c r="D23" t="s">
        <v>305</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s="21">
        <v>1.4E-2</v>
      </c>
    </row>
    <row r="24" spans="1:35">
      <c r="A24" t="s">
        <v>345</v>
      </c>
      <c r="B24" t="s">
        <v>2315</v>
      </c>
      <c r="C24" t="s">
        <v>2314</v>
      </c>
      <c r="D24" t="s">
        <v>305</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s="21">
        <v>0.03</v>
      </c>
    </row>
    <row r="25" spans="1:35">
      <c r="A25" t="s">
        <v>341</v>
      </c>
      <c r="B25" t="s">
        <v>2313</v>
      </c>
      <c r="C25" t="s">
        <v>2312</v>
      </c>
      <c r="D25" t="s">
        <v>305</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s="21">
        <v>0.03</v>
      </c>
    </row>
    <row r="26" spans="1:35">
      <c r="A26" t="s">
        <v>342</v>
      </c>
      <c r="B26" t="s">
        <v>2311</v>
      </c>
      <c r="C26" t="s">
        <v>2310</v>
      </c>
      <c r="D26" t="s">
        <v>305</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s="21">
        <v>2.5999999999999999E-2</v>
      </c>
    </row>
    <row r="27" spans="1:35">
      <c r="A27" t="s">
        <v>343</v>
      </c>
      <c r="B27" t="s">
        <v>2309</v>
      </c>
      <c r="C27" t="s">
        <v>2308</v>
      </c>
      <c r="D27" t="s">
        <v>305</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s="21">
        <v>3.3000000000000002E-2</v>
      </c>
    </row>
    <row r="28" spans="1:35">
      <c r="A28" t="s">
        <v>346</v>
      </c>
      <c r="B28" t="s">
        <v>2307</v>
      </c>
      <c r="C28" t="s">
        <v>2306</v>
      </c>
      <c r="D28" t="s">
        <v>305</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s="21">
        <v>1.7000000000000001E-2</v>
      </c>
    </row>
    <row r="29" spans="1:35">
      <c r="A29" t="s">
        <v>341</v>
      </c>
      <c r="B29" t="s">
        <v>2305</v>
      </c>
      <c r="C29" t="s">
        <v>2304</v>
      </c>
      <c r="D29" t="s">
        <v>305</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s="21">
        <v>1.4E-2</v>
      </c>
    </row>
    <row r="30" spans="1:35">
      <c r="A30" t="s">
        <v>342</v>
      </c>
      <c r="B30" t="s">
        <v>2303</v>
      </c>
      <c r="C30" t="s">
        <v>2302</v>
      </c>
      <c r="D30" t="s">
        <v>305</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s="21">
        <v>1.4999999999999999E-2</v>
      </c>
    </row>
    <row r="31" spans="1:35">
      <c r="A31" t="s">
        <v>343</v>
      </c>
      <c r="B31" t="s">
        <v>2301</v>
      </c>
      <c r="C31" t="s">
        <v>2300</v>
      </c>
      <c r="D31" t="s">
        <v>305</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s="21">
        <v>2.4E-2</v>
      </c>
    </row>
    <row r="32" spans="1:35">
      <c r="A32" t="s">
        <v>347</v>
      </c>
      <c r="B32" t="s">
        <v>2299</v>
      </c>
      <c r="C32" t="s">
        <v>2298</v>
      </c>
      <c r="D32" t="s">
        <v>305</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s="21">
        <v>1E-3</v>
      </c>
    </row>
    <row r="33" spans="1:35">
      <c r="A33" t="s">
        <v>341</v>
      </c>
      <c r="B33" t="s">
        <v>2297</v>
      </c>
      <c r="C33" t="s">
        <v>2296</v>
      </c>
      <c r="D33" t="s">
        <v>305</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s="21">
        <v>2E-3</v>
      </c>
    </row>
    <row r="34" spans="1:35">
      <c r="A34" t="s">
        <v>342</v>
      </c>
      <c r="B34" t="s">
        <v>2295</v>
      </c>
      <c r="C34" t="s">
        <v>2294</v>
      </c>
      <c r="D34" t="s">
        <v>305</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s="21">
        <v>-1E-3</v>
      </c>
    </row>
    <row r="35" spans="1:35">
      <c r="A35" t="s">
        <v>343</v>
      </c>
      <c r="B35" t="s">
        <v>2293</v>
      </c>
      <c r="C35" t="s">
        <v>2292</v>
      </c>
      <c r="D35" t="s">
        <v>305</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s="21">
        <v>0</v>
      </c>
    </row>
    <row r="36" spans="1:35">
      <c r="A36" t="s">
        <v>348</v>
      </c>
      <c r="B36" t="s">
        <v>2291</v>
      </c>
      <c r="C36" t="s">
        <v>2290</v>
      </c>
      <c r="D36" t="s">
        <v>305</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s="21">
        <v>1.4E-2</v>
      </c>
    </row>
    <row r="37" spans="1:35">
      <c r="A37" t="s">
        <v>341</v>
      </c>
      <c r="B37" t="s">
        <v>2289</v>
      </c>
      <c r="C37" t="s">
        <v>2288</v>
      </c>
      <c r="D37" t="s">
        <v>305</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s="21">
        <v>0.01</v>
      </c>
    </row>
    <row r="38" spans="1:35">
      <c r="A38" t="s">
        <v>342</v>
      </c>
      <c r="B38" t="s">
        <v>2287</v>
      </c>
      <c r="C38" t="s">
        <v>2286</v>
      </c>
      <c r="D38" t="s">
        <v>305</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s="21">
        <v>0.02</v>
      </c>
    </row>
    <row r="39" spans="1:35">
      <c r="A39" t="s">
        <v>343</v>
      </c>
      <c r="B39" t="s">
        <v>2285</v>
      </c>
      <c r="C39" t="s">
        <v>2284</v>
      </c>
      <c r="D39" t="s">
        <v>305</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s="21">
        <v>1.9E-2</v>
      </c>
    </row>
    <row r="40" spans="1:35">
      <c r="A40" t="s">
        <v>349</v>
      </c>
      <c r="B40" t="s">
        <v>2283</v>
      </c>
      <c r="C40" t="s">
        <v>2282</v>
      </c>
      <c r="D40" t="s">
        <v>305</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s="21">
        <v>6.0000000000000001E-3</v>
      </c>
    </row>
    <row r="41" spans="1:35">
      <c r="A41" t="s">
        <v>341</v>
      </c>
      <c r="B41" t="s">
        <v>2281</v>
      </c>
      <c r="C41" t="s">
        <v>2280</v>
      </c>
      <c r="D41" t="s">
        <v>305</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s="21">
        <v>4.0000000000000001E-3</v>
      </c>
    </row>
    <row r="42" spans="1:35">
      <c r="A42" t="s">
        <v>342</v>
      </c>
      <c r="B42" t="s">
        <v>2279</v>
      </c>
      <c r="C42" t="s">
        <v>2278</v>
      </c>
      <c r="D42" t="s">
        <v>305</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s="21">
        <v>8.0000000000000002E-3</v>
      </c>
    </row>
    <row r="43" spans="1:35">
      <c r="A43" t="s">
        <v>343</v>
      </c>
      <c r="B43" t="s">
        <v>2277</v>
      </c>
      <c r="C43" t="s">
        <v>2276</v>
      </c>
      <c r="D43" t="s">
        <v>305</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s="21">
        <v>1.4E-2</v>
      </c>
    </row>
    <row r="44" spans="1:35">
      <c r="A44" t="s">
        <v>350</v>
      </c>
      <c r="B44" t="s">
        <v>2275</v>
      </c>
      <c r="C44" t="s">
        <v>2274</v>
      </c>
      <c r="D44" t="s">
        <v>305</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s="21">
        <v>1.2999999999999999E-2</v>
      </c>
    </row>
    <row r="45" spans="1:35">
      <c r="A45" t="s">
        <v>341</v>
      </c>
      <c r="B45" t="s">
        <v>2273</v>
      </c>
      <c r="C45" t="s">
        <v>2272</v>
      </c>
      <c r="D45" t="s">
        <v>305</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s="21">
        <v>1.4E-2</v>
      </c>
    </row>
    <row r="46" spans="1:35">
      <c r="A46" t="s">
        <v>342</v>
      </c>
      <c r="B46" t="s">
        <v>2271</v>
      </c>
      <c r="C46" t="s">
        <v>2270</v>
      </c>
      <c r="D46" t="s">
        <v>305</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s="21">
        <v>1.2999999999999999E-2</v>
      </c>
    </row>
    <row r="47" spans="1:35">
      <c r="A47" t="s">
        <v>343</v>
      </c>
      <c r="B47" t="s">
        <v>2269</v>
      </c>
      <c r="C47" t="s">
        <v>2268</v>
      </c>
      <c r="D47" t="s">
        <v>305</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s="21">
        <v>1.0999999999999999E-2</v>
      </c>
    </row>
    <row r="48" spans="1:35">
      <c r="A48" t="s">
        <v>351</v>
      </c>
      <c r="B48" t="s">
        <v>2267</v>
      </c>
      <c r="C48" t="s">
        <v>2266</v>
      </c>
      <c r="D48" t="s">
        <v>305</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s="21">
        <v>1.4E-2</v>
      </c>
    </row>
    <row r="49" spans="1:35">
      <c r="A49" t="s">
        <v>341</v>
      </c>
      <c r="B49" t="s">
        <v>2265</v>
      </c>
      <c r="C49" t="s">
        <v>2264</v>
      </c>
      <c r="D49" t="s">
        <v>305</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s="21">
        <v>1.2E-2</v>
      </c>
    </row>
    <row r="50" spans="1:35">
      <c r="A50" t="s">
        <v>342</v>
      </c>
      <c r="B50" t="s">
        <v>2263</v>
      </c>
      <c r="C50" t="s">
        <v>2262</v>
      </c>
      <c r="D50" t="s">
        <v>305</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s="21">
        <v>6.0000000000000001E-3</v>
      </c>
    </row>
    <row r="51" spans="1:35">
      <c r="A51" t="s">
        <v>343</v>
      </c>
      <c r="B51" t="s">
        <v>2261</v>
      </c>
      <c r="C51" t="s">
        <v>2260</v>
      </c>
      <c r="D51" t="s">
        <v>305</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s="21">
        <v>2.1000000000000001E-2</v>
      </c>
    </row>
    <row r="52" spans="1:35">
      <c r="A52" t="s">
        <v>352</v>
      </c>
      <c r="B52" t="s">
        <v>2259</v>
      </c>
      <c r="C52" t="s">
        <v>2258</v>
      </c>
      <c r="D52" t="s">
        <v>305</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s="21">
        <v>3.3000000000000002E-2</v>
      </c>
    </row>
    <row r="53" spans="1:35">
      <c r="A53" t="s">
        <v>341</v>
      </c>
      <c r="B53" t="s">
        <v>2257</v>
      </c>
      <c r="C53" t="s">
        <v>2256</v>
      </c>
      <c r="D53" t="s">
        <v>305</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s="21">
        <v>3.2000000000000001E-2</v>
      </c>
    </row>
    <row r="54" spans="1:35">
      <c r="A54" t="s">
        <v>342</v>
      </c>
      <c r="B54" t="s">
        <v>2255</v>
      </c>
      <c r="C54" t="s">
        <v>2254</v>
      </c>
      <c r="D54" t="s">
        <v>305</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s="21">
        <v>3.4000000000000002E-2</v>
      </c>
    </row>
    <row r="55" spans="1:35">
      <c r="A55" t="s">
        <v>343</v>
      </c>
      <c r="B55" t="s">
        <v>2253</v>
      </c>
      <c r="C55" t="s">
        <v>2252</v>
      </c>
      <c r="D55" t="s">
        <v>305</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s="21">
        <v>2.9000000000000001E-2</v>
      </c>
    </row>
    <row r="56" spans="1:35">
      <c r="A56" t="s">
        <v>353</v>
      </c>
      <c r="B56" t="s">
        <v>2251</v>
      </c>
      <c r="C56" t="s">
        <v>2250</v>
      </c>
      <c r="D56" t="s">
        <v>305</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s="21">
        <v>4.2000000000000003E-2</v>
      </c>
    </row>
    <row r="57" spans="1:35">
      <c r="A57" t="s">
        <v>341</v>
      </c>
      <c r="B57" t="s">
        <v>2249</v>
      </c>
      <c r="C57" t="s">
        <v>2248</v>
      </c>
      <c r="D57" t="s">
        <v>305</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s="21">
        <v>4.1000000000000002E-2</v>
      </c>
    </row>
    <row r="58" spans="1:35">
      <c r="A58" t="s">
        <v>342</v>
      </c>
      <c r="B58" t="s">
        <v>2247</v>
      </c>
      <c r="C58" t="s">
        <v>2246</v>
      </c>
      <c r="D58" t="s">
        <v>305</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s="21">
        <v>4.1000000000000002E-2</v>
      </c>
    </row>
    <row r="59" spans="1:35">
      <c r="A59" t="s">
        <v>343</v>
      </c>
      <c r="B59" t="s">
        <v>2245</v>
      </c>
      <c r="C59" t="s">
        <v>2244</v>
      </c>
      <c r="D59" t="s">
        <v>305</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s="21">
        <v>4.5999999999999999E-2</v>
      </c>
    </row>
    <row r="60" spans="1:35">
      <c r="A60" t="s">
        <v>354</v>
      </c>
      <c r="B60" t="s">
        <v>2243</v>
      </c>
      <c r="C60" t="s">
        <v>2242</v>
      </c>
      <c r="D60" t="s">
        <v>305</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s="21">
        <v>3.3000000000000002E-2</v>
      </c>
    </row>
    <row r="61" spans="1:35">
      <c r="A61" t="s">
        <v>341</v>
      </c>
      <c r="B61" t="s">
        <v>2241</v>
      </c>
      <c r="C61" t="s">
        <v>2240</v>
      </c>
      <c r="D61" t="s">
        <v>305</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s="21">
        <v>3.5999999999999997E-2</v>
      </c>
    </row>
    <row r="62" spans="1:35">
      <c r="A62" t="s">
        <v>342</v>
      </c>
      <c r="B62" t="s">
        <v>2239</v>
      </c>
      <c r="C62" t="s">
        <v>2238</v>
      </c>
      <c r="D62" t="s">
        <v>305</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s="21">
        <v>2.5000000000000001E-2</v>
      </c>
    </row>
    <row r="63" spans="1:35">
      <c r="A63" t="s">
        <v>343</v>
      </c>
      <c r="B63" t="s">
        <v>2237</v>
      </c>
      <c r="C63" t="s">
        <v>2236</v>
      </c>
      <c r="D63" t="s">
        <v>305</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s="21">
        <v>3.4000000000000002E-2</v>
      </c>
    </row>
    <row r="64" spans="1:35">
      <c r="A64" t="s">
        <v>355</v>
      </c>
      <c r="B64" t="s">
        <v>2235</v>
      </c>
      <c r="C64" t="s">
        <v>2234</v>
      </c>
      <c r="D64" t="s">
        <v>305</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s="21">
        <v>0.03</v>
      </c>
    </row>
    <row r="65" spans="1:35">
      <c r="A65" t="s">
        <v>341</v>
      </c>
      <c r="B65" t="s">
        <v>2233</v>
      </c>
      <c r="C65" t="s">
        <v>2232</v>
      </c>
      <c r="D65" t="s">
        <v>305</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s="21">
        <v>0.03</v>
      </c>
    </row>
    <row r="66" spans="1:35">
      <c r="A66" t="s">
        <v>342</v>
      </c>
      <c r="B66" t="s">
        <v>2231</v>
      </c>
      <c r="C66" t="s">
        <v>2230</v>
      </c>
      <c r="D66" t="s">
        <v>305</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s="21">
        <v>2.8000000000000001E-2</v>
      </c>
    </row>
    <row r="67" spans="1:35">
      <c r="A67" t="s">
        <v>343</v>
      </c>
      <c r="B67" t="s">
        <v>2229</v>
      </c>
      <c r="C67" t="s">
        <v>2228</v>
      </c>
      <c r="D67" t="s">
        <v>305</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s="21">
        <v>3.5999999999999997E-2</v>
      </c>
    </row>
    <row r="68" spans="1:35">
      <c r="A68" t="s">
        <v>15</v>
      </c>
      <c r="B68" t="s">
        <v>2227</v>
      </c>
      <c r="C68" t="s">
        <v>2226</v>
      </c>
      <c r="D68" t="s">
        <v>305</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s="21">
        <v>3.7999999999999999E-2</v>
      </c>
    </row>
    <row r="69" spans="1:35">
      <c r="A69" t="s">
        <v>19</v>
      </c>
    </row>
    <row r="70" spans="1:35">
      <c r="A70" t="s">
        <v>340</v>
      </c>
      <c r="B70" t="s">
        <v>2225</v>
      </c>
      <c r="C70" t="s">
        <v>2224</v>
      </c>
      <c r="D70" t="s">
        <v>305</v>
      </c>
      <c r="F70">
        <v>554.21826199999998</v>
      </c>
      <c r="G70">
        <v>558.18225099999995</v>
      </c>
      <c r="H70">
        <v>616.61242700000003</v>
      </c>
      <c r="I70">
        <v>642.00720200000001</v>
      </c>
      <c r="J70">
        <v>677.56213400000001</v>
      </c>
      <c r="K70">
        <v>703.04217500000004</v>
      </c>
      <c r="L70">
        <v>726.45831299999998</v>
      </c>
      <c r="M70">
        <v>751.31414800000005</v>
      </c>
      <c r="N70">
        <v>777.54492200000004</v>
      </c>
      <c r="O70">
        <v>805.10766599999999</v>
      </c>
      <c r="P70">
        <v>833.80895999999996</v>
      </c>
      <c r="Q70">
        <v>863.57214399999998</v>
      </c>
      <c r="R70">
        <v>894.38806199999999</v>
      </c>
      <c r="S70">
        <v>926.25329599999998</v>
      </c>
      <c r="T70">
        <v>959.52636700000005</v>
      </c>
      <c r="U70">
        <v>993.94397000000004</v>
      </c>
      <c r="V70">
        <v>1029.4589840000001</v>
      </c>
      <c r="W70">
        <v>1066.0639650000001</v>
      </c>
      <c r="X70">
        <v>1103.774658</v>
      </c>
      <c r="Y70">
        <v>1142.943237</v>
      </c>
      <c r="Z70">
        <v>1183.2827150000001</v>
      </c>
      <c r="AA70">
        <v>1224.766357</v>
      </c>
      <c r="AB70">
        <v>1267.4079589999999</v>
      </c>
      <c r="AC70">
        <v>1311.251831</v>
      </c>
      <c r="AD70">
        <v>1356.5870359999999</v>
      </c>
      <c r="AE70">
        <v>1403.1583250000001</v>
      </c>
      <c r="AF70">
        <v>1450.9521480000001</v>
      </c>
      <c r="AG70">
        <v>1499.9804690000001</v>
      </c>
      <c r="AH70">
        <v>1550.2852780000001</v>
      </c>
      <c r="AI70" s="21">
        <v>3.6999999999999998E-2</v>
      </c>
    </row>
    <row r="71" spans="1:35">
      <c r="A71" t="s">
        <v>341</v>
      </c>
      <c r="B71" t="s">
        <v>2223</v>
      </c>
      <c r="C71" t="s">
        <v>2222</v>
      </c>
      <c r="D71" t="s">
        <v>305</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s="21">
        <v>3.3000000000000002E-2</v>
      </c>
    </row>
    <row r="72" spans="1:35">
      <c r="A72" t="s">
        <v>342</v>
      </c>
      <c r="B72" t="s">
        <v>2221</v>
      </c>
      <c r="C72" t="s">
        <v>2220</v>
      </c>
      <c r="D72" t="s">
        <v>305</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s="21">
        <v>4.1000000000000002E-2</v>
      </c>
    </row>
    <row r="73" spans="1:35">
      <c r="A73" t="s">
        <v>343</v>
      </c>
      <c r="B73" t="s">
        <v>2219</v>
      </c>
      <c r="C73" t="s">
        <v>2218</v>
      </c>
      <c r="D73" t="s">
        <v>305</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s="21">
        <v>7.0000000000000001E-3</v>
      </c>
    </row>
    <row r="74" spans="1:35">
      <c r="A74" t="s">
        <v>344</v>
      </c>
      <c r="B74" t="s">
        <v>2217</v>
      </c>
      <c r="C74" t="s">
        <v>2216</v>
      </c>
      <c r="D74" t="s">
        <v>305</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s="21">
        <v>7.0000000000000001E-3</v>
      </c>
    </row>
    <row r="75" spans="1:35">
      <c r="A75" t="s">
        <v>341</v>
      </c>
      <c r="B75" t="s">
        <v>2215</v>
      </c>
      <c r="C75" t="s">
        <v>2214</v>
      </c>
      <c r="D75" t="s">
        <v>305</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s="21">
        <v>5.0000000000000001E-3</v>
      </c>
    </row>
    <row r="76" spans="1:35">
      <c r="A76" t="s">
        <v>342</v>
      </c>
      <c r="B76" t="s">
        <v>2213</v>
      </c>
      <c r="C76" t="s">
        <v>2212</v>
      </c>
      <c r="D76" t="s">
        <v>305</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s="21">
        <v>6.0000000000000001E-3</v>
      </c>
    </row>
    <row r="77" spans="1:35">
      <c r="A77" t="s">
        <v>343</v>
      </c>
      <c r="B77" t="s">
        <v>2211</v>
      </c>
      <c r="C77" t="s">
        <v>2210</v>
      </c>
      <c r="D77" t="s">
        <v>305</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s="21">
        <v>2.7E-2</v>
      </c>
    </row>
    <row r="78" spans="1:35">
      <c r="A78" t="s">
        <v>345</v>
      </c>
      <c r="B78" t="s">
        <v>2209</v>
      </c>
      <c r="C78" t="s">
        <v>2208</v>
      </c>
      <c r="D78" t="s">
        <v>305</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s="21">
        <v>2.7E-2</v>
      </c>
    </row>
    <row r="79" spans="1:35">
      <c r="A79" t="s">
        <v>341</v>
      </c>
      <c r="B79" t="s">
        <v>2207</v>
      </c>
      <c r="C79" t="s">
        <v>2206</v>
      </c>
      <c r="D79" t="s">
        <v>305</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s="21">
        <v>3.5999999999999997E-2</v>
      </c>
    </row>
    <row r="80" spans="1:35">
      <c r="A80" t="s">
        <v>342</v>
      </c>
      <c r="B80" t="s">
        <v>2205</v>
      </c>
      <c r="C80" t="s">
        <v>2204</v>
      </c>
      <c r="D80" t="s">
        <v>305</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s="21">
        <v>2.4E-2</v>
      </c>
    </row>
    <row r="81" spans="1:35">
      <c r="A81" t="s">
        <v>343</v>
      </c>
      <c r="B81" t="s">
        <v>2203</v>
      </c>
      <c r="C81" t="s">
        <v>2202</v>
      </c>
      <c r="D81" t="s">
        <v>305</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s="21">
        <v>2.3E-2</v>
      </c>
    </row>
    <row r="82" spans="1:35">
      <c r="A82" t="s">
        <v>346</v>
      </c>
      <c r="B82" t="s">
        <v>2201</v>
      </c>
      <c r="C82" t="s">
        <v>2200</v>
      </c>
      <c r="D82" t="s">
        <v>305</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s="21">
        <v>2.3E-2</v>
      </c>
    </row>
    <row r="83" spans="1:35">
      <c r="A83" t="s">
        <v>341</v>
      </c>
      <c r="B83" t="s">
        <v>2199</v>
      </c>
      <c r="C83" t="s">
        <v>2198</v>
      </c>
      <c r="D83" t="s">
        <v>305</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s="21">
        <v>2.1000000000000001E-2</v>
      </c>
    </row>
    <row r="84" spans="1:35">
      <c r="A84" t="s">
        <v>342</v>
      </c>
      <c r="B84" t="s">
        <v>2197</v>
      </c>
      <c r="C84" t="s">
        <v>2196</v>
      </c>
      <c r="D84" t="s">
        <v>305</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s="21">
        <v>2.3E-2</v>
      </c>
    </row>
    <row r="85" spans="1:35">
      <c r="A85" t="s">
        <v>343</v>
      </c>
      <c r="B85" t="s">
        <v>2195</v>
      </c>
      <c r="C85" t="s">
        <v>2194</v>
      </c>
      <c r="D85" t="s">
        <v>305</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s="21">
        <v>1.9E-2</v>
      </c>
    </row>
    <row r="86" spans="1:35">
      <c r="A86" t="s">
        <v>347</v>
      </c>
      <c r="B86" t="s">
        <v>2193</v>
      </c>
      <c r="C86" t="s">
        <v>2192</v>
      </c>
      <c r="D86" t="s">
        <v>305</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s="21">
        <v>1.7999999999999999E-2</v>
      </c>
    </row>
    <row r="87" spans="1:35">
      <c r="A87" t="s">
        <v>341</v>
      </c>
      <c r="B87" t="s">
        <v>2191</v>
      </c>
      <c r="C87" t="s">
        <v>2190</v>
      </c>
      <c r="D87" t="s">
        <v>305</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s="21">
        <v>3.1E-2</v>
      </c>
    </row>
    <row r="88" spans="1:35">
      <c r="A88" t="s">
        <v>342</v>
      </c>
      <c r="B88" t="s">
        <v>2189</v>
      </c>
      <c r="C88" t="s">
        <v>2188</v>
      </c>
      <c r="D88" t="s">
        <v>305</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s="21">
        <v>1.7000000000000001E-2</v>
      </c>
    </row>
    <row r="89" spans="1:35">
      <c r="A89" t="s">
        <v>343</v>
      </c>
      <c r="B89" t="s">
        <v>2187</v>
      </c>
      <c r="C89" t="s">
        <v>2186</v>
      </c>
      <c r="D89" t="s">
        <v>305</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s="21">
        <v>2.5000000000000001E-2</v>
      </c>
    </row>
    <row r="90" spans="1:35">
      <c r="A90" t="s">
        <v>348</v>
      </c>
      <c r="B90" t="s">
        <v>2185</v>
      </c>
      <c r="C90" t="s">
        <v>2184</v>
      </c>
      <c r="D90" t="s">
        <v>305</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s="21">
        <v>2.3E-2</v>
      </c>
    </row>
    <row r="91" spans="1:35">
      <c r="A91" t="s">
        <v>341</v>
      </c>
      <c r="B91" t="s">
        <v>2183</v>
      </c>
      <c r="C91" t="s">
        <v>2182</v>
      </c>
      <c r="D91" t="s">
        <v>305</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s="21">
        <v>3.7999999999999999E-2</v>
      </c>
    </row>
    <row r="92" spans="1:35">
      <c r="A92" t="s">
        <v>342</v>
      </c>
      <c r="B92" t="s">
        <v>2181</v>
      </c>
      <c r="C92" t="s">
        <v>2180</v>
      </c>
      <c r="D92" t="s">
        <v>305</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s="21">
        <v>2.3E-2</v>
      </c>
    </row>
    <row r="93" spans="1:35">
      <c r="A93" t="s">
        <v>343</v>
      </c>
      <c r="B93" t="s">
        <v>2179</v>
      </c>
      <c r="C93" t="s">
        <v>2178</v>
      </c>
      <c r="D93" t="s">
        <v>305</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s="21">
        <v>4.2000000000000003E-2</v>
      </c>
    </row>
    <row r="94" spans="1:35">
      <c r="A94" t="s">
        <v>349</v>
      </c>
      <c r="B94" t="s">
        <v>2177</v>
      </c>
      <c r="C94" t="s">
        <v>2176</v>
      </c>
      <c r="D94" t="s">
        <v>305</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s="21">
        <v>4.2000000000000003E-2</v>
      </c>
    </row>
    <row r="95" spans="1:35">
      <c r="A95" t="s">
        <v>341</v>
      </c>
      <c r="B95" t="s">
        <v>2175</v>
      </c>
      <c r="C95" t="s">
        <v>2174</v>
      </c>
      <c r="D95" t="s">
        <v>305</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s="21">
        <v>4.5999999999999999E-2</v>
      </c>
    </row>
    <row r="96" spans="1:35">
      <c r="A96" t="s">
        <v>342</v>
      </c>
      <c r="B96" t="s">
        <v>2173</v>
      </c>
      <c r="C96" t="s">
        <v>2172</v>
      </c>
      <c r="D96" t="s">
        <v>305</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s="21">
        <v>4.1000000000000002E-2</v>
      </c>
    </row>
    <row r="97" spans="1:35">
      <c r="A97" t="s">
        <v>343</v>
      </c>
      <c r="B97" t="s">
        <v>2171</v>
      </c>
      <c r="C97" t="s">
        <v>2170</v>
      </c>
      <c r="D97" t="s">
        <v>305</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s="21">
        <v>3.1E-2</v>
      </c>
    </row>
    <row r="98" spans="1:35">
      <c r="A98" t="s">
        <v>350</v>
      </c>
      <c r="B98" t="s">
        <v>2169</v>
      </c>
      <c r="C98" t="s">
        <v>2168</v>
      </c>
      <c r="D98" t="s">
        <v>305</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s="21">
        <v>3.1E-2</v>
      </c>
    </row>
    <row r="99" spans="1:35">
      <c r="A99" t="s">
        <v>341</v>
      </c>
      <c r="B99" t="s">
        <v>2167</v>
      </c>
      <c r="C99" t="s">
        <v>2166</v>
      </c>
      <c r="D99" t="s">
        <v>305</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s="21">
        <v>3.3000000000000002E-2</v>
      </c>
    </row>
    <row r="100" spans="1:35">
      <c r="A100" t="s">
        <v>342</v>
      </c>
      <c r="B100" t="s">
        <v>2165</v>
      </c>
      <c r="C100" t="s">
        <v>2164</v>
      </c>
      <c r="D100" t="s">
        <v>305</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s="21">
        <v>3.2000000000000001E-2</v>
      </c>
    </row>
    <row r="101" spans="1:35">
      <c r="A101" t="s">
        <v>343</v>
      </c>
      <c r="B101" t="s">
        <v>2163</v>
      </c>
      <c r="C101" t="s">
        <v>2162</v>
      </c>
      <c r="D101" t="s">
        <v>305</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s="21">
        <v>2.5000000000000001E-2</v>
      </c>
    </row>
    <row r="102" spans="1:35">
      <c r="A102" t="s">
        <v>351</v>
      </c>
      <c r="B102" t="s">
        <v>2161</v>
      </c>
      <c r="C102" t="s">
        <v>2160</v>
      </c>
      <c r="D102" t="s">
        <v>305</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s="21">
        <v>2.1000000000000001E-2</v>
      </c>
    </row>
    <row r="103" spans="1:35">
      <c r="A103" t="s">
        <v>341</v>
      </c>
      <c r="B103" t="s">
        <v>2159</v>
      </c>
      <c r="C103" t="s">
        <v>2158</v>
      </c>
      <c r="D103" t="s">
        <v>305</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s="21">
        <v>3.4000000000000002E-2</v>
      </c>
    </row>
    <row r="104" spans="1:35">
      <c r="A104" t="s">
        <v>342</v>
      </c>
      <c r="B104" t="s">
        <v>2157</v>
      </c>
      <c r="C104" t="s">
        <v>2156</v>
      </c>
      <c r="D104" t="s">
        <v>305</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s="21">
        <v>1.7999999999999999E-2</v>
      </c>
    </row>
    <row r="105" spans="1:35">
      <c r="A105" t="s">
        <v>343</v>
      </c>
      <c r="B105" t="s">
        <v>2155</v>
      </c>
      <c r="C105" t="s">
        <v>2154</v>
      </c>
      <c r="D105" t="s">
        <v>305</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s="21">
        <v>3.9E-2</v>
      </c>
    </row>
    <row r="106" spans="1:35">
      <c r="A106" t="s">
        <v>352</v>
      </c>
      <c r="B106" t="s">
        <v>2153</v>
      </c>
      <c r="C106" t="s">
        <v>2152</v>
      </c>
      <c r="D106" t="s">
        <v>305</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s="21">
        <v>3.5999999999999997E-2</v>
      </c>
    </row>
    <row r="107" spans="1:35">
      <c r="A107" t="s">
        <v>341</v>
      </c>
      <c r="B107" t="s">
        <v>2151</v>
      </c>
      <c r="C107" t="s">
        <v>2150</v>
      </c>
      <c r="D107" t="s">
        <v>305</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s="21">
        <v>6.0999999999999999E-2</v>
      </c>
    </row>
    <row r="108" spans="1:35">
      <c r="A108" t="s">
        <v>342</v>
      </c>
      <c r="B108" t="s">
        <v>2149</v>
      </c>
      <c r="C108" t="s">
        <v>2148</v>
      </c>
      <c r="D108" t="s">
        <v>305</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s="21">
        <v>3.5000000000000003E-2</v>
      </c>
    </row>
    <row r="109" spans="1:35">
      <c r="A109" t="s">
        <v>343</v>
      </c>
      <c r="B109" t="s">
        <v>2147</v>
      </c>
      <c r="C109" t="s">
        <v>2146</v>
      </c>
      <c r="D109" t="s">
        <v>305</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s="21">
        <v>3.2000000000000001E-2</v>
      </c>
    </row>
    <row r="110" spans="1:35">
      <c r="A110" t="s">
        <v>353</v>
      </c>
      <c r="B110" t="s">
        <v>2145</v>
      </c>
      <c r="C110" t="s">
        <v>2144</v>
      </c>
      <c r="D110" t="s">
        <v>305</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s="21">
        <v>2.9000000000000001E-2</v>
      </c>
    </row>
    <row r="111" spans="1:35">
      <c r="A111" t="s">
        <v>341</v>
      </c>
      <c r="B111" t="s">
        <v>2143</v>
      </c>
      <c r="C111" t="s">
        <v>2142</v>
      </c>
      <c r="D111" t="s">
        <v>305</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s="21">
        <v>3.7999999999999999E-2</v>
      </c>
    </row>
    <row r="112" spans="1:35">
      <c r="A112" t="s">
        <v>342</v>
      </c>
      <c r="B112" t="s">
        <v>2141</v>
      </c>
      <c r="C112" t="s">
        <v>2140</v>
      </c>
      <c r="D112" t="s">
        <v>305</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s="21">
        <v>1.0999999999999999E-2</v>
      </c>
    </row>
    <row r="113" spans="1:35">
      <c r="A113" t="s">
        <v>343</v>
      </c>
      <c r="B113" t="s">
        <v>2139</v>
      </c>
      <c r="C113" t="s">
        <v>2138</v>
      </c>
      <c r="D113" t="s">
        <v>305</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s="21">
        <v>1.7000000000000001E-2</v>
      </c>
    </row>
    <row r="114" spans="1:35">
      <c r="A114" t="s">
        <v>354</v>
      </c>
      <c r="B114" t="s">
        <v>2137</v>
      </c>
      <c r="C114" t="s">
        <v>2136</v>
      </c>
      <c r="D114" t="s">
        <v>305</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s="21">
        <v>1.7000000000000001E-2</v>
      </c>
    </row>
    <row r="115" spans="1:35">
      <c r="A115" t="s">
        <v>341</v>
      </c>
      <c r="B115" t="s">
        <v>2135</v>
      </c>
      <c r="C115" t="s">
        <v>2134</v>
      </c>
      <c r="D115" t="s">
        <v>305</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s="21">
        <v>3.4000000000000002E-2</v>
      </c>
    </row>
    <row r="116" spans="1:35">
      <c r="A116" t="s">
        <v>342</v>
      </c>
      <c r="B116" t="s">
        <v>2133</v>
      </c>
      <c r="C116" t="s">
        <v>2132</v>
      </c>
      <c r="D116" t="s">
        <v>305</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s="21">
        <v>1.2999999999999999E-2</v>
      </c>
    </row>
    <row r="117" spans="1:35">
      <c r="A117" t="s">
        <v>343</v>
      </c>
      <c r="B117" t="s">
        <v>2131</v>
      </c>
      <c r="C117" t="s">
        <v>2130</v>
      </c>
      <c r="D117" t="s">
        <v>305</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s="21">
        <v>4.3999999999999997E-2</v>
      </c>
    </row>
    <row r="118" spans="1:35">
      <c r="A118" t="s">
        <v>355</v>
      </c>
      <c r="B118" t="s">
        <v>2129</v>
      </c>
      <c r="C118" t="s">
        <v>2128</v>
      </c>
      <c r="D118" t="s">
        <v>305</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s="21">
        <v>4.3999999999999997E-2</v>
      </c>
    </row>
    <row r="119" spans="1:35">
      <c r="A119" t="s">
        <v>341</v>
      </c>
      <c r="B119" t="s">
        <v>2127</v>
      </c>
      <c r="C119" t="s">
        <v>2126</v>
      </c>
      <c r="D119" t="s">
        <v>305</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s="21">
        <v>4.3999999999999997E-2</v>
      </c>
    </row>
    <row r="120" spans="1:35">
      <c r="A120" t="s">
        <v>342</v>
      </c>
      <c r="B120" t="s">
        <v>2125</v>
      </c>
      <c r="C120" t="s">
        <v>2124</v>
      </c>
      <c r="D120" t="s">
        <v>305</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s="21">
        <v>4.3999999999999997E-2</v>
      </c>
    </row>
    <row r="121" spans="1:35">
      <c r="A121" t="s">
        <v>343</v>
      </c>
      <c r="B121" t="s">
        <v>2123</v>
      </c>
      <c r="C121" t="s">
        <v>2122</v>
      </c>
      <c r="D121" t="s">
        <v>305</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s="21">
        <v>3.5999999999999997E-2</v>
      </c>
    </row>
    <row r="122" spans="1:35">
      <c r="A122" t="s">
        <v>15</v>
      </c>
      <c r="B122" t="s">
        <v>2121</v>
      </c>
      <c r="C122" t="s">
        <v>2120</v>
      </c>
      <c r="D122" t="s">
        <v>305</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s="21">
        <v>3.3000000000000002E-2</v>
      </c>
    </row>
    <row r="123" spans="1:35">
      <c r="A123" t="s">
        <v>18</v>
      </c>
    </row>
    <row r="124" spans="1:35">
      <c r="A124" t="s">
        <v>340</v>
      </c>
      <c r="B124" t="s">
        <v>2119</v>
      </c>
      <c r="C124" t="s">
        <v>2118</v>
      </c>
      <c r="D124" t="s">
        <v>305</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s="21">
        <v>0.06</v>
      </c>
    </row>
    <row r="125" spans="1:35">
      <c r="A125" t="s">
        <v>341</v>
      </c>
      <c r="B125" t="s">
        <v>2117</v>
      </c>
      <c r="C125" t="s">
        <v>2116</v>
      </c>
      <c r="D125" t="s">
        <v>305</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s="21">
        <v>3.1E-2</v>
      </c>
    </row>
    <row r="126" spans="1:35">
      <c r="A126" t="s">
        <v>342</v>
      </c>
      <c r="B126" t="s">
        <v>2115</v>
      </c>
      <c r="C126" t="s">
        <v>2114</v>
      </c>
      <c r="D126" t="s">
        <v>305</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s="21">
        <v>6.0999999999999999E-2</v>
      </c>
    </row>
    <row r="127" spans="1:35">
      <c r="A127" t="s">
        <v>343</v>
      </c>
      <c r="B127" t="s">
        <v>2113</v>
      </c>
      <c r="C127" t="s">
        <v>2112</v>
      </c>
      <c r="D127" t="s">
        <v>305</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s="21">
        <v>6.0999999999999999E-2</v>
      </c>
    </row>
    <row r="128" spans="1:35">
      <c r="A128" t="s">
        <v>344</v>
      </c>
      <c r="B128" t="s">
        <v>2111</v>
      </c>
      <c r="C128" t="s">
        <v>2110</v>
      </c>
      <c r="D128" t="s">
        <v>305</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s="21">
        <v>7.8E-2</v>
      </c>
    </row>
    <row r="129" spans="1:35">
      <c r="A129" t="s">
        <v>341</v>
      </c>
      <c r="B129" t="s">
        <v>2109</v>
      </c>
      <c r="C129" t="s">
        <v>2108</v>
      </c>
      <c r="D129" t="s">
        <v>305</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s="21">
        <v>5.7000000000000002E-2</v>
      </c>
    </row>
    <row r="130" spans="1:35">
      <c r="A130" t="s">
        <v>342</v>
      </c>
      <c r="B130" t="s">
        <v>2107</v>
      </c>
      <c r="C130" t="s">
        <v>2106</v>
      </c>
      <c r="D130" t="s">
        <v>305</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s="21">
        <v>0.05</v>
      </c>
    </row>
    <row r="131" spans="1:35">
      <c r="A131" t="s">
        <v>343</v>
      </c>
      <c r="B131" t="s">
        <v>2105</v>
      </c>
      <c r="C131" t="s">
        <v>2104</v>
      </c>
      <c r="D131" t="s">
        <v>305</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s="21">
        <v>4.8000000000000001E-2</v>
      </c>
    </row>
    <row r="132" spans="1:35">
      <c r="A132" t="s">
        <v>345</v>
      </c>
      <c r="B132" t="s">
        <v>2103</v>
      </c>
      <c r="C132" t="s">
        <v>2102</v>
      </c>
      <c r="D132" t="s">
        <v>305</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s="21">
        <v>6.0999999999999999E-2</v>
      </c>
    </row>
    <row r="133" spans="1:35">
      <c r="A133" t="s">
        <v>341</v>
      </c>
      <c r="B133" t="s">
        <v>2101</v>
      </c>
      <c r="C133" t="s">
        <v>2100</v>
      </c>
      <c r="D133" t="s">
        <v>305</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s="21">
        <v>4.5999999999999999E-2</v>
      </c>
    </row>
    <row r="134" spans="1:35">
      <c r="A134" t="s">
        <v>342</v>
      </c>
      <c r="B134" t="s">
        <v>2099</v>
      </c>
      <c r="C134" t="s">
        <v>2098</v>
      </c>
      <c r="D134" t="s">
        <v>305</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s="21">
        <v>6.0999999999999999E-2</v>
      </c>
    </row>
    <row r="135" spans="1:35">
      <c r="A135" t="s">
        <v>343</v>
      </c>
      <c r="B135" t="s">
        <v>2097</v>
      </c>
      <c r="C135" t="s">
        <v>2096</v>
      </c>
      <c r="D135" t="s">
        <v>305</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s="21">
        <v>6.2E-2</v>
      </c>
    </row>
    <row r="136" spans="1:35">
      <c r="A136" t="s">
        <v>346</v>
      </c>
      <c r="B136" t="s">
        <v>2095</v>
      </c>
      <c r="C136" t="s">
        <v>2094</v>
      </c>
      <c r="D136" t="s">
        <v>305</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s="21">
        <v>6.3E-2</v>
      </c>
    </row>
    <row r="137" spans="1:35">
      <c r="A137" t="s">
        <v>341</v>
      </c>
      <c r="B137" t="s">
        <v>2093</v>
      </c>
      <c r="C137" t="s">
        <v>2092</v>
      </c>
      <c r="D137" t="s">
        <v>305</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s="21">
        <v>5.3999999999999999E-2</v>
      </c>
    </row>
    <row r="138" spans="1:35">
      <c r="A138" t="s">
        <v>342</v>
      </c>
      <c r="B138" t="s">
        <v>2091</v>
      </c>
      <c r="C138" t="s">
        <v>2090</v>
      </c>
      <c r="D138" t="s">
        <v>305</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s="21">
        <v>0.06</v>
      </c>
    </row>
    <row r="139" spans="1:35">
      <c r="A139" t="s">
        <v>343</v>
      </c>
      <c r="B139" t="s">
        <v>2089</v>
      </c>
      <c r="C139" t="s">
        <v>2088</v>
      </c>
      <c r="D139" t="s">
        <v>305</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s="21">
        <v>5.2999999999999999E-2</v>
      </c>
    </row>
    <row r="140" spans="1:35">
      <c r="A140" t="s">
        <v>347</v>
      </c>
      <c r="B140" t="s">
        <v>2087</v>
      </c>
      <c r="C140" t="s">
        <v>2086</v>
      </c>
      <c r="D140" t="s">
        <v>305</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s="21">
        <v>5.3999999999999999E-2</v>
      </c>
    </row>
    <row r="141" spans="1:35">
      <c r="A141" t="s">
        <v>341</v>
      </c>
      <c r="B141" t="s">
        <v>2085</v>
      </c>
      <c r="C141" t="s">
        <v>2084</v>
      </c>
      <c r="D141" t="s">
        <v>305</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s="21">
        <v>7.0999999999999994E-2</v>
      </c>
    </row>
    <row r="142" spans="1:35">
      <c r="A142" t="s">
        <v>342</v>
      </c>
      <c r="B142" t="s">
        <v>2083</v>
      </c>
      <c r="C142" t="s">
        <v>2082</v>
      </c>
      <c r="D142" t="s">
        <v>305</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s="21">
        <v>1.4E-2</v>
      </c>
    </row>
    <row r="143" spans="1:35">
      <c r="A143" t="s">
        <v>343</v>
      </c>
      <c r="B143" t="s">
        <v>2081</v>
      </c>
      <c r="C143" t="s">
        <v>2080</v>
      </c>
      <c r="D143" t="s">
        <v>305</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s="21">
        <v>1.2999999999999999E-2</v>
      </c>
    </row>
    <row r="144" spans="1:35">
      <c r="A144" t="s">
        <v>348</v>
      </c>
      <c r="B144" t="s">
        <v>2079</v>
      </c>
      <c r="C144" t="s">
        <v>2078</v>
      </c>
      <c r="D144" t="s">
        <v>305</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s="21">
        <v>0.03</v>
      </c>
    </row>
    <row r="145" spans="1:35">
      <c r="A145" t="s">
        <v>341</v>
      </c>
      <c r="B145" t="s">
        <v>2077</v>
      </c>
      <c r="C145" t="s">
        <v>2076</v>
      </c>
      <c r="D145" t="s">
        <v>305</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s="21">
        <v>1.0999999999999999E-2</v>
      </c>
    </row>
    <row r="146" spans="1:35">
      <c r="A146" t="s">
        <v>342</v>
      </c>
      <c r="B146" t="s">
        <v>2075</v>
      </c>
      <c r="C146" t="s">
        <v>2074</v>
      </c>
      <c r="D146" t="s">
        <v>305</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s="21">
        <v>4.1000000000000002E-2</v>
      </c>
    </row>
    <row r="147" spans="1:35">
      <c r="A147" t="s">
        <v>343</v>
      </c>
      <c r="B147" t="s">
        <v>2073</v>
      </c>
      <c r="C147" t="s">
        <v>2072</v>
      </c>
      <c r="D147" t="s">
        <v>305</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s="21">
        <v>4.2999999999999997E-2</v>
      </c>
    </row>
    <row r="148" spans="1:35">
      <c r="A148" t="s">
        <v>349</v>
      </c>
      <c r="B148" t="s">
        <v>2071</v>
      </c>
      <c r="C148" t="s">
        <v>2070</v>
      </c>
      <c r="D148" t="s">
        <v>305</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s="21">
        <v>5.0999999999999997E-2</v>
      </c>
    </row>
    <row r="149" spans="1:35">
      <c r="A149" t="s">
        <v>341</v>
      </c>
      <c r="B149" t="s">
        <v>2069</v>
      </c>
      <c r="C149" t="s">
        <v>2068</v>
      </c>
      <c r="D149" t="s">
        <v>305</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s="21">
        <v>3.6999999999999998E-2</v>
      </c>
    </row>
    <row r="150" spans="1:35">
      <c r="A150" t="s">
        <v>342</v>
      </c>
      <c r="B150" t="s">
        <v>2067</v>
      </c>
      <c r="C150" t="s">
        <v>2066</v>
      </c>
      <c r="D150" t="s">
        <v>305</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s="21">
        <v>3.4000000000000002E-2</v>
      </c>
    </row>
    <row r="151" spans="1:35">
      <c r="A151" t="s">
        <v>343</v>
      </c>
      <c r="B151" t="s">
        <v>2065</v>
      </c>
      <c r="C151" t="s">
        <v>2064</v>
      </c>
      <c r="D151" t="s">
        <v>305</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s="21">
        <v>3.2000000000000001E-2</v>
      </c>
    </row>
    <row r="152" spans="1:35">
      <c r="A152" t="s">
        <v>350</v>
      </c>
      <c r="B152" t="s">
        <v>2063</v>
      </c>
      <c r="C152" t="s">
        <v>2062</v>
      </c>
      <c r="D152" t="s">
        <v>305</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s="21">
        <v>4.8000000000000001E-2</v>
      </c>
    </row>
    <row r="153" spans="1:35">
      <c r="A153" t="s">
        <v>341</v>
      </c>
      <c r="B153" t="s">
        <v>2061</v>
      </c>
      <c r="C153" t="s">
        <v>2060</v>
      </c>
      <c r="D153" t="s">
        <v>305</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s="21">
        <v>3.1E-2</v>
      </c>
    </row>
    <row r="154" spans="1:35">
      <c r="A154" t="s">
        <v>342</v>
      </c>
      <c r="B154" t="s">
        <v>2059</v>
      </c>
      <c r="C154" t="s">
        <v>2058</v>
      </c>
      <c r="D154" t="s">
        <v>305</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s="21">
        <v>-5.0000000000000001E-3</v>
      </c>
    </row>
    <row r="155" spans="1:35">
      <c r="A155" t="s">
        <v>343</v>
      </c>
      <c r="B155" t="s">
        <v>2057</v>
      </c>
      <c r="C155" t="s">
        <v>2056</v>
      </c>
      <c r="D155" t="s">
        <v>305</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s="21">
        <v>0</v>
      </c>
    </row>
    <row r="156" spans="1:35">
      <c r="A156" t="s">
        <v>351</v>
      </c>
      <c r="B156" t="s">
        <v>2055</v>
      </c>
      <c r="C156" t="s">
        <v>2054</v>
      </c>
      <c r="D156" t="s">
        <v>305</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s="21">
        <v>-3.3000000000000002E-2</v>
      </c>
    </row>
    <row r="157" spans="1:35">
      <c r="A157" t="s">
        <v>341</v>
      </c>
      <c r="B157" t="s">
        <v>2053</v>
      </c>
      <c r="C157" t="s">
        <v>2052</v>
      </c>
      <c r="D157" t="s">
        <v>305</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s="21">
        <v>0</v>
      </c>
    </row>
    <row r="158" spans="1:35">
      <c r="A158" t="s">
        <v>342</v>
      </c>
      <c r="B158" t="s">
        <v>2051</v>
      </c>
      <c r="C158" t="s">
        <v>2050</v>
      </c>
      <c r="D158" t="s">
        <v>305</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s="21">
        <v>-4.7E-2</v>
      </c>
    </row>
    <row r="159" spans="1:35">
      <c r="A159" t="s">
        <v>343</v>
      </c>
      <c r="B159" t="s">
        <v>2049</v>
      </c>
      <c r="C159" t="s">
        <v>2048</v>
      </c>
      <c r="D159" t="s">
        <v>305</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s="21">
        <v>-8.2000000000000003E-2</v>
      </c>
    </row>
    <row r="160" spans="1:35">
      <c r="A160" t="s">
        <v>352</v>
      </c>
      <c r="B160" t="s">
        <v>2047</v>
      </c>
      <c r="C160" t="s">
        <v>2046</v>
      </c>
      <c r="D160" t="s">
        <v>305</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s="21">
        <v>-9.0999999999999998E-2</v>
      </c>
    </row>
    <row r="161" spans="1:35">
      <c r="A161" t="s">
        <v>341</v>
      </c>
      <c r="B161" t="s">
        <v>2045</v>
      </c>
      <c r="C161" t="s">
        <v>2044</v>
      </c>
      <c r="D161" t="s">
        <v>305</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s="21">
        <v>-2.3E-2</v>
      </c>
    </row>
    <row r="162" spans="1:35">
      <c r="A162" t="s">
        <v>342</v>
      </c>
      <c r="B162" t="s">
        <v>2043</v>
      </c>
      <c r="C162" t="s">
        <v>2042</v>
      </c>
      <c r="D162" t="s">
        <v>305</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s="21">
        <v>-3.4000000000000002E-2</v>
      </c>
    </row>
    <row r="163" spans="1:35">
      <c r="A163" t="s">
        <v>343</v>
      </c>
      <c r="B163" t="s">
        <v>2041</v>
      </c>
      <c r="C163" t="s">
        <v>2040</v>
      </c>
      <c r="D163" t="s">
        <v>305</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s="21">
        <v>-3.1E-2</v>
      </c>
    </row>
    <row r="164" spans="1:35">
      <c r="A164" t="s">
        <v>353</v>
      </c>
      <c r="B164" t="s">
        <v>2039</v>
      </c>
      <c r="C164" t="s">
        <v>2038</v>
      </c>
      <c r="D164" t="s">
        <v>305</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s="21">
        <v>-8.5000000000000006E-2</v>
      </c>
    </row>
    <row r="165" spans="1:35">
      <c r="A165" t="s">
        <v>341</v>
      </c>
      <c r="B165" t="s">
        <v>2037</v>
      </c>
      <c r="C165" t="s">
        <v>2036</v>
      </c>
      <c r="D165" t="s">
        <v>305</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s="21">
        <v>-2.1000000000000001E-2</v>
      </c>
    </row>
    <row r="166" spans="1:35">
      <c r="A166" t="s">
        <v>342</v>
      </c>
      <c r="B166" t="s">
        <v>2035</v>
      </c>
      <c r="C166" t="s">
        <v>2034</v>
      </c>
      <c r="D166" t="s">
        <v>305</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s="21">
        <v>-5.6000000000000001E-2</v>
      </c>
    </row>
    <row r="167" spans="1:35">
      <c r="A167" t="s">
        <v>343</v>
      </c>
      <c r="B167" t="s">
        <v>2033</v>
      </c>
      <c r="C167" t="s">
        <v>2032</v>
      </c>
      <c r="D167" t="s">
        <v>305</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s="21">
        <v>-7.4999999999999997E-2</v>
      </c>
    </row>
    <row r="168" spans="1:35">
      <c r="A168" t="s">
        <v>354</v>
      </c>
      <c r="B168" t="s">
        <v>2031</v>
      </c>
      <c r="C168" t="s">
        <v>2030</v>
      </c>
      <c r="D168" t="s">
        <v>305</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s="21">
        <v>-6.4000000000000001E-2</v>
      </c>
    </row>
    <row r="169" spans="1:35">
      <c r="A169" t="s">
        <v>341</v>
      </c>
      <c r="B169" t="s">
        <v>2029</v>
      </c>
      <c r="C169" t="s">
        <v>2028</v>
      </c>
      <c r="D169" t="s">
        <v>305</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s="21">
        <v>-1.0999999999999999E-2</v>
      </c>
    </row>
    <row r="170" spans="1:35">
      <c r="A170" t="s">
        <v>342</v>
      </c>
      <c r="B170" t="s">
        <v>2027</v>
      </c>
      <c r="C170" t="s">
        <v>2026</v>
      </c>
      <c r="D170" t="s">
        <v>305</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s="21">
        <v>-0.11600000000000001</v>
      </c>
    </row>
    <row r="171" spans="1:35">
      <c r="A171" t="s">
        <v>343</v>
      </c>
      <c r="B171" t="s">
        <v>2025</v>
      </c>
      <c r="C171" t="s">
        <v>2024</v>
      </c>
      <c r="D171" t="s">
        <v>305</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s="21">
        <v>-0.104</v>
      </c>
    </row>
    <row r="172" spans="1:35">
      <c r="A172" t="s">
        <v>355</v>
      </c>
      <c r="B172" t="s">
        <v>2023</v>
      </c>
      <c r="C172" t="s">
        <v>2022</v>
      </c>
      <c r="D172" t="s">
        <v>305</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s="21">
        <v>-0.14000000000000001</v>
      </c>
    </row>
    <row r="173" spans="1:35">
      <c r="A173" t="s">
        <v>341</v>
      </c>
      <c r="B173" t="s">
        <v>2021</v>
      </c>
      <c r="C173" t="s">
        <v>2020</v>
      </c>
      <c r="D173" t="s">
        <v>305</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s="21">
        <v>-9.7000000000000003E-2</v>
      </c>
    </row>
    <row r="174" spans="1:35">
      <c r="A174" t="s">
        <v>342</v>
      </c>
      <c r="B174" t="s">
        <v>2019</v>
      </c>
      <c r="C174" t="s">
        <v>2018</v>
      </c>
      <c r="D174" t="s">
        <v>305</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s="21">
        <v>-6.0999999999999999E-2</v>
      </c>
    </row>
    <row r="175" spans="1:35">
      <c r="A175" t="s">
        <v>343</v>
      </c>
      <c r="B175" t="s">
        <v>2017</v>
      </c>
      <c r="C175" t="s">
        <v>2016</v>
      </c>
      <c r="D175" t="s">
        <v>305</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s="21">
        <v>-0.13200000000000001</v>
      </c>
    </row>
    <row r="176" spans="1:35">
      <c r="A176" t="s">
        <v>15</v>
      </c>
      <c r="B176" t="s">
        <v>2015</v>
      </c>
      <c r="C176" t="s">
        <v>2014</v>
      </c>
      <c r="D176" t="s">
        <v>305</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s="21">
        <v>-6.9000000000000006E-2</v>
      </c>
    </row>
    <row r="177" spans="1:35">
      <c r="A177" t="s">
        <v>16</v>
      </c>
    </row>
    <row r="178" spans="1:35">
      <c r="A178" t="s">
        <v>340</v>
      </c>
      <c r="B178" t="s">
        <v>2013</v>
      </c>
      <c r="C178" t="s">
        <v>2012</v>
      </c>
      <c r="D178" t="s">
        <v>305</v>
      </c>
      <c r="F178">
        <v>126.288307</v>
      </c>
      <c r="G178">
        <v>61.771155999999998</v>
      </c>
      <c r="H178">
        <v>48.788840999999998</v>
      </c>
      <c r="I178">
        <v>47.228012</v>
      </c>
      <c r="J178">
        <v>47.228012</v>
      </c>
      <c r="K178">
        <v>47.228012</v>
      </c>
      <c r="L178">
        <v>47.228012</v>
      </c>
      <c r="M178">
        <v>47.228012</v>
      </c>
      <c r="N178">
        <v>47.228012</v>
      </c>
      <c r="O178">
        <v>47.228012</v>
      </c>
      <c r="P178">
        <v>47.228012</v>
      </c>
      <c r="Q178">
        <v>47.228012</v>
      </c>
      <c r="R178">
        <v>47.228012</v>
      </c>
      <c r="S178">
        <v>47.228012</v>
      </c>
      <c r="T178">
        <v>47.228012</v>
      </c>
      <c r="U178">
        <v>47.228012</v>
      </c>
      <c r="V178">
        <v>47.228012</v>
      </c>
      <c r="W178">
        <v>47.228012</v>
      </c>
      <c r="X178">
        <v>47.228012</v>
      </c>
      <c r="Y178">
        <v>47.228012</v>
      </c>
      <c r="Z178">
        <v>47.228012</v>
      </c>
      <c r="AA178">
        <v>47.228012</v>
      </c>
      <c r="AB178">
        <v>47.228012</v>
      </c>
      <c r="AC178">
        <v>47.228012</v>
      </c>
      <c r="AD178">
        <v>47.228012</v>
      </c>
      <c r="AE178">
        <v>47.228012</v>
      </c>
      <c r="AF178">
        <v>47.228012</v>
      </c>
      <c r="AG178">
        <v>47.228012</v>
      </c>
      <c r="AH178">
        <v>47.228012</v>
      </c>
      <c r="AI178" s="21">
        <v>-3.5000000000000003E-2</v>
      </c>
    </row>
    <row r="179" spans="1:35">
      <c r="A179" t="s">
        <v>344</v>
      </c>
      <c r="B179" t="s">
        <v>2011</v>
      </c>
      <c r="C179" t="s">
        <v>2010</v>
      </c>
      <c r="D179" t="s">
        <v>305</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s="21">
        <v>-7.8E-2</v>
      </c>
    </row>
    <row r="180" spans="1:35">
      <c r="A180" t="s">
        <v>345</v>
      </c>
      <c r="B180" t="s">
        <v>2009</v>
      </c>
      <c r="C180" t="s">
        <v>2008</v>
      </c>
      <c r="D180" t="s">
        <v>305</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s="21">
        <v>-6.4000000000000001E-2</v>
      </c>
    </row>
    <row r="181" spans="1:35">
      <c r="A181" t="s">
        <v>346</v>
      </c>
      <c r="B181" t="s">
        <v>2007</v>
      </c>
      <c r="C181" t="s">
        <v>2006</v>
      </c>
      <c r="D181" t="s">
        <v>305</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s="21">
        <v>-0.13100000000000001</v>
      </c>
    </row>
    <row r="182" spans="1:35">
      <c r="A182" t="s">
        <v>347</v>
      </c>
      <c r="B182" t="s">
        <v>2005</v>
      </c>
      <c r="C182" t="s">
        <v>2004</v>
      </c>
      <c r="D182" t="s">
        <v>305</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s="21">
        <v>-5.0000000000000001E-3</v>
      </c>
    </row>
    <row r="183" spans="1:35">
      <c r="A183" t="s">
        <v>348</v>
      </c>
      <c r="B183" t="s">
        <v>2003</v>
      </c>
      <c r="C183" t="s">
        <v>2002</v>
      </c>
      <c r="D183" t="s">
        <v>305</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s="21">
        <v>-4.0000000000000001E-3</v>
      </c>
    </row>
    <row r="184" spans="1:35">
      <c r="A184" t="s">
        <v>349</v>
      </c>
      <c r="B184" t="s">
        <v>2001</v>
      </c>
      <c r="C184" t="s">
        <v>2000</v>
      </c>
      <c r="D184" t="s">
        <v>305</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s="21">
        <v>0</v>
      </c>
    </row>
    <row r="185" spans="1:35">
      <c r="A185" t="s">
        <v>350</v>
      </c>
      <c r="B185" t="s">
        <v>1999</v>
      </c>
      <c r="C185" t="s">
        <v>1998</v>
      </c>
      <c r="D185" t="s">
        <v>305</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s="21">
        <v>-2.1999999999999999E-2</v>
      </c>
    </row>
    <row r="186" spans="1:35">
      <c r="A186" t="s">
        <v>351</v>
      </c>
      <c r="B186" t="s">
        <v>1997</v>
      </c>
      <c r="C186" t="s">
        <v>1996</v>
      </c>
      <c r="D186" t="s">
        <v>305</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s="21">
        <v>0</v>
      </c>
    </row>
    <row r="187" spans="1:35">
      <c r="A187" t="s">
        <v>352</v>
      </c>
      <c r="B187" t="s">
        <v>1995</v>
      </c>
      <c r="C187" t="s">
        <v>1994</v>
      </c>
      <c r="D187" t="s">
        <v>305</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s="21">
        <v>-3.6999999999999998E-2</v>
      </c>
    </row>
    <row r="188" spans="1:35">
      <c r="A188" t="s">
        <v>353</v>
      </c>
      <c r="B188" t="s">
        <v>1993</v>
      </c>
      <c r="C188" t="s">
        <v>1992</v>
      </c>
      <c r="D188" t="s">
        <v>305</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s="21">
        <v>-3.9E-2</v>
      </c>
    </row>
    <row r="189" spans="1:35">
      <c r="A189" t="s">
        <v>354</v>
      </c>
      <c r="B189" t="s">
        <v>1991</v>
      </c>
      <c r="C189" t="s">
        <v>1990</v>
      </c>
      <c r="D189" t="s">
        <v>305</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s="21">
        <v>-4.2999999999999997E-2</v>
      </c>
    </row>
    <row r="190" spans="1:35">
      <c r="A190" t="s">
        <v>355</v>
      </c>
      <c r="B190" t="s">
        <v>1989</v>
      </c>
      <c r="C190" t="s">
        <v>1988</v>
      </c>
      <c r="D190" t="s">
        <v>305</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s="21">
        <v>-3.2000000000000001E-2</v>
      </c>
    </row>
    <row r="191" spans="1:35">
      <c r="A191" t="s">
        <v>15</v>
      </c>
      <c r="B191" t="s">
        <v>1987</v>
      </c>
      <c r="C191" t="s">
        <v>1986</v>
      </c>
      <c r="D191" t="s">
        <v>305</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s="21">
        <v>-4.1000000000000002E-2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I262"/>
  <sheetViews>
    <sheetView workbookViewId="0"/>
  </sheetViews>
  <sheetFormatPr defaultRowHeight="15" customHeight="1"/>
  <cols>
    <col min="1" max="1" width="41.42578125" customWidth="1"/>
  </cols>
  <sheetData>
    <row r="1" spans="1:35">
      <c r="B1" t="s">
        <v>303</v>
      </c>
      <c r="C1" t="s">
        <v>304</v>
      </c>
      <c r="D1" t="s">
        <v>305</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1368</v>
      </c>
    </row>
    <row r="11" spans="1:35" ht="15.75" customHeight="1">
      <c r="A11" t="s">
        <v>356</v>
      </c>
    </row>
    <row r="12" spans="1:35">
      <c r="A12" t="s">
        <v>1985</v>
      </c>
    </row>
    <row r="13" spans="1:35">
      <c r="A13" t="s">
        <v>2344</v>
      </c>
    </row>
    <row r="14" spans="1:35">
      <c r="A14" t="s">
        <v>302</v>
      </c>
    </row>
    <row r="15" spans="1:35">
      <c r="B15" t="s">
        <v>303</v>
      </c>
      <c r="C15" t="s">
        <v>304</v>
      </c>
      <c r="D15" t="s">
        <v>305</v>
      </c>
      <c r="E15">
        <v>2021</v>
      </c>
      <c r="F15">
        <v>2022</v>
      </c>
      <c r="G15">
        <v>2023</v>
      </c>
      <c r="H15">
        <v>2024</v>
      </c>
      <c r="I15">
        <v>2025</v>
      </c>
      <c r="J15">
        <v>2026</v>
      </c>
      <c r="K15">
        <v>2027</v>
      </c>
      <c r="L15">
        <v>2028</v>
      </c>
      <c r="M15">
        <v>2029</v>
      </c>
      <c r="N15">
        <v>2030</v>
      </c>
      <c r="O15">
        <v>2031</v>
      </c>
      <c r="P15">
        <v>2032</v>
      </c>
      <c r="Q15">
        <v>2033</v>
      </c>
      <c r="R15">
        <v>2034</v>
      </c>
      <c r="S15">
        <v>2035</v>
      </c>
      <c r="T15">
        <v>2036</v>
      </c>
      <c r="U15">
        <v>2037</v>
      </c>
      <c r="V15">
        <v>2038</v>
      </c>
      <c r="W15">
        <v>2039</v>
      </c>
      <c r="X15">
        <v>2040</v>
      </c>
      <c r="Y15">
        <v>2041</v>
      </c>
      <c r="Z15">
        <v>2042</v>
      </c>
      <c r="AA15">
        <v>2043</v>
      </c>
      <c r="AB15">
        <v>2044</v>
      </c>
      <c r="AC15">
        <v>2045</v>
      </c>
      <c r="AD15">
        <v>2046</v>
      </c>
      <c r="AE15">
        <v>2047</v>
      </c>
      <c r="AF15">
        <v>2048</v>
      </c>
      <c r="AG15">
        <v>2049</v>
      </c>
      <c r="AH15">
        <v>2050</v>
      </c>
      <c r="AI15" t="s">
        <v>1368</v>
      </c>
    </row>
    <row r="16" spans="1:35">
      <c r="A16" t="s">
        <v>33</v>
      </c>
    </row>
    <row r="17" spans="1:35">
      <c r="A17" t="s">
        <v>357</v>
      </c>
    </row>
    <row r="18" spans="1:35">
      <c r="A18" t="s">
        <v>358</v>
      </c>
    </row>
    <row r="19" spans="1:35">
      <c r="A19" t="s">
        <v>297</v>
      </c>
      <c r="B19" t="s">
        <v>1984</v>
      </c>
      <c r="C19" t="s">
        <v>1983</v>
      </c>
      <c r="D19" t="s">
        <v>359</v>
      </c>
      <c r="F19">
        <v>54.392623999999998</v>
      </c>
      <c r="G19">
        <v>53.187412000000002</v>
      </c>
      <c r="H19">
        <v>52.529724000000002</v>
      </c>
      <c r="I19">
        <v>52.479733000000003</v>
      </c>
      <c r="J19">
        <v>52.720959000000001</v>
      </c>
      <c r="K19">
        <v>52.851050999999998</v>
      </c>
      <c r="L19">
        <v>52.993167999999997</v>
      </c>
      <c r="M19">
        <v>53.175175000000003</v>
      </c>
      <c r="N19">
        <v>53.566817999999998</v>
      </c>
      <c r="O19">
        <v>54.220244999999998</v>
      </c>
      <c r="P19">
        <v>55.079853</v>
      </c>
      <c r="Q19">
        <v>55.840674999999997</v>
      </c>
      <c r="R19">
        <v>56.638934999999996</v>
      </c>
      <c r="S19">
        <v>57.504395000000002</v>
      </c>
      <c r="T19">
        <v>58.304447000000003</v>
      </c>
      <c r="U19">
        <v>59.176174000000003</v>
      </c>
      <c r="V19">
        <v>60.063701999999999</v>
      </c>
      <c r="W19">
        <v>61.000945999999999</v>
      </c>
      <c r="X19">
        <v>62.044392000000002</v>
      </c>
      <c r="Y19">
        <v>63.120776999999997</v>
      </c>
      <c r="Z19">
        <v>64.186768000000001</v>
      </c>
      <c r="AA19">
        <v>65.249404999999996</v>
      </c>
      <c r="AB19">
        <v>66.318534999999997</v>
      </c>
      <c r="AC19">
        <v>67.468947999999997</v>
      </c>
      <c r="AD19">
        <v>68.816581999999997</v>
      </c>
      <c r="AE19">
        <v>70.243613999999994</v>
      </c>
      <c r="AF19">
        <v>71.603301999999999</v>
      </c>
      <c r="AG19">
        <v>73.056640999999999</v>
      </c>
      <c r="AH19">
        <v>74.779610000000005</v>
      </c>
      <c r="AI19" s="21">
        <v>1.0999999999999999E-2</v>
      </c>
    </row>
    <row r="20" spans="1:35">
      <c r="A20" t="s">
        <v>283</v>
      </c>
      <c r="B20" t="s">
        <v>1982</v>
      </c>
      <c r="C20" t="s">
        <v>1981</v>
      </c>
      <c r="D20" t="s">
        <v>359</v>
      </c>
      <c r="F20">
        <v>16.846205000000001</v>
      </c>
      <c r="G20">
        <v>17.761892</v>
      </c>
      <c r="H20">
        <v>18.763459999999998</v>
      </c>
      <c r="I20">
        <v>19.899121999999998</v>
      </c>
      <c r="J20">
        <v>21.083855</v>
      </c>
      <c r="K20">
        <v>22.151053999999998</v>
      </c>
      <c r="L20">
        <v>23.138805000000001</v>
      </c>
      <c r="M20">
        <v>24.075592</v>
      </c>
      <c r="N20">
        <v>25.031351000000001</v>
      </c>
      <c r="O20">
        <v>26.026824999999999</v>
      </c>
      <c r="P20">
        <v>27.096857</v>
      </c>
      <c r="Q20">
        <v>28.109197999999999</v>
      </c>
      <c r="R20">
        <v>29.092110000000002</v>
      </c>
      <c r="S20">
        <v>30.063576000000001</v>
      </c>
      <c r="T20">
        <v>30.988947</v>
      </c>
      <c r="U20">
        <v>31.943773</v>
      </c>
      <c r="V20">
        <v>32.878410000000002</v>
      </c>
      <c r="W20">
        <v>33.782879000000001</v>
      </c>
      <c r="X20">
        <v>34.707160999999999</v>
      </c>
      <c r="Y20">
        <v>35.655670000000001</v>
      </c>
      <c r="Z20">
        <v>36.558773000000002</v>
      </c>
      <c r="AA20">
        <v>37.368586999999998</v>
      </c>
      <c r="AB20">
        <v>38.121651</v>
      </c>
      <c r="AC20">
        <v>38.871417999999998</v>
      </c>
      <c r="AD20">
        <v>39.695540999999999</v>
      </c>
      <c r="AE20">
        <v>40.532322000000001</v>
      </c>
      <c r="AF20">
        <v>41.299179000000002</v>
      </c>
      <c r="AG20">
        <v>42.100203999999998</v>
      </c>
      <c r="AH20">
        <v>43.049956999999999</v>
      </c>
      <c r="AI20" s="21">
        <v>3.4000000000000002E-2</v>
      </c>
    </row>
    <row r="21" spans="1:35">
      <c r="A21" t="s">
        <v>278</v>
      </c>
      <c r="B21" t="s">
        <v>1980</v>
      </c>
      <c r="C21" t="s">
        <v>1979</v>
      </c>
      <c r="D21" t="s">
        <v>359</v>
      </c>
      <c r="F21">
        <v>5.8500000000000002E-4</v>
      </c>
      <c r="G21">
        <v>7.6309999999999998E-3</v>
      </c>
      <c r="H21">
        <v>1.4685E-2</v>
      </c>
      <c r="I21">
        <v>2.1224E-2</v>
      </c>
      <c r="J21">
        <v>2.7498000000000002E-2</v>
      </c>
      <c r="K21">
        <v>3.3387E-2</v>
      </c>
      <c r="L21">
        <v>3.8968000000000003E-2</v>
      </c>
      <c r="M21">
        <v>4.4345000000000002E-2</v>
      </c>
      <c r="N21">
        <v>4.9703999999999998E-2</v>
      </c>
      <c r="O21">
        <v>5.5247999999999998E-2</v>
      </c>
      <c r="P21">
        <v>6.1055999999999999E-2</v>
      </c>
      <c r="Q21">
        <v>6.6844000000000001E-2</v>
      </c>
      <c r="R21">
        <v>7.2696999999999998E-2</v>
      </c>
      <c r="S21">
        <v>7.8773999999999997E-2</v>
      </c>
      <c r="T21">
        <v>8.5073999999999997E-2</v>
      </c>
      <c r="U21">
        <v>9.1911000000000007E-2</v>
      </c>
      <c r="V21">
        <v>9.9267999999999995E-2</v>
      </c>
      <c r="W21">
        <v>0.10728699999999999</v>
      </c>
      <c r="X21">
        <v>0.116186</v>
      </c>
      <c r="Y21">
        <v>0.125999</v>
      </c>
      <c r="Z21">
        <v>0.13661799999999999</v>
      </c>
      <c r="AA21">
        <v>0.14805499999999999</v>
      </c>
      <c r="AB21">
        <v>0.160189</v>
      </c>
      <c r="AC21">
        <v>0.173373</v>
      </c>
      <c r="AD21">
        <v>0.18800800000000001</v>
      </c>
      <c r="AE21">
        <v>0.203789</v>
      </c>
      <c r="AF21">
        <v>0.22024199999999999</v>
      </c>
      <c r="AG21">
        <v>0.237737</v>
      </c>
      <c r="AH21">
        <v>0.256857</v>
      </c>
      <c r="AI21" s="21">
        <v>0.24299999999999999</v>
      </c>
    </row>
    <row r="22" spans="1:35">
      <c r="A22" t="s">
        <v>277</v>
      </c>
      <c r="B22" t="s">
        <v>1978</v>
      </c>
      <c r="C22" t="s">
        <v>1977</v>
      </c>
      <c r="D22" t="s">
        <v>359</v>
      </c>
      <c r="F22">
        <v>1.5417999999999999E-2</v>
      </c>
      <c r="G22">
        <v>1.3986E-2</v>
      </c>
      <c r="H22">
        <v>1.2747E-2</v>
      </c>
      <c r="I22">
        <v>1.1705E-2</v>
      </c>
      <c r="J22">
        <v>1.0794E-2</v>
      </c>
      <c r="K22">
        <v>9.9299999999999996E-3</v>
      </c>
      <c r="L22">
        <v>9.1299999999999992E-3</v>
      </c>
      <c r="M22">
        <v>8.3929999999999994E-3</v>
      </c>
      <c r="N22">
        <v>7.7320000000000002E-3</v>
      </c>
      <c r="O22">
        <v>7.1459999999999996E-3</v>
      </c>
      <c r="P22">
        <v>6.6239999999999997E-3</v>
      </c>
      <c r="Q22">
        <v>6.0930000000000003E-3</v>
      </c>
      <c r="R22">
        <v>5.5430000000000002E-3</v>
      </c>
      <c r="S22">
        <v>4.9630000000000004E-3</v>
      </c>
      <c r="T22">
        <v>4.3689999999999996E-3</v>
      </c>
      <c r="U22">
        <v>3.7439999999999999E-3</v>
      </c>
      <c r="V22">
        <v>3.1649999999999998E-3</v>
      </c>
      <c r="W22">
        <v>2.637E-3</v>
      </c>
      <c r="X22">
        <v>2.1050000000000001E-3</v>
      </c>
      <c r="Y22">
        <v>1.683E-3</v>
      </c>
      <c r="Z22">
        <v>1.3730000000000001E-3</v>
      </c>
      <c r="AA22">
        <v>1.147E-3</v>
      </c>
      <c r="AB22">
        <v>1E-3</v>
      </c>
      <c r="AC22">
        <v>8.9899999999999995E-4</v>
      </c>
      <c r="AD22">
        <v>8.1999999999999998E-4</v>
      </c>
      <c r="AE22">
        <v>7.6900000000000004E-4</v>
      </c>
      <c r="AF22">
        <v>7.0299999999999996E-4</v>
      </c>
      <c r="AG22">
        <v>6.2500000000000001E-4</v>
      </c>
      <c r="AH22">
        <v>5.2899999999999996E-4</v>
      </c>
      <c r="AI22" s="21">
        <v>-0.113</v>
      </c>
    </row>
    <row r="23" spans="1:35">
      <c r="A23" t="s">
        <v>333</v>
      </c>
      <c r="B23" t="s">
        <v>1976</v>
      </c>
      <c r="C23" t="s">
        <v>1975</v>
      </c>
      <c r="D23" t="s">
        <v>359</v>
      </c>
      <c r="F23">
        <v>3.793104</v>
      </c>
      <c r="G23">
        <v>3.7339889999999998</v>
      </c>
      <c r="H23">
        <v>3.7011970000000001</v>
      </c>
      <c r="I23">
        <v>3.6948340000000002</v>
      </c>
      <c r="J23">
        <v>3.7055539999999998</v>
      </c>
      <c r="K23">
        <v>3.7133219999999998</v>
      </c>
      <c r="L23">
        <v>3.7223549999999999</v>
      </c>
      <c r="M23">
        <v>3.7376019999999999</v>
      </c>
      <c r="N23">
        <v>3.7636449999999999</v>
      </c>
      <c r="O23">
        <v>3.8070430000000002</v>
      </c>
      <c r="P23">
        <v>3.8642319999999999</v>
      </c>
      <c r="Q23">
        <v>3.9146670000000001</v>
      </c>
      <c r="R23">
        <v>3.9473159999999998</v>
      </c>
      <c r="S23">
        <v>3.9684680000000001</v>
      </c>
      <c r="T23">
        <v>3.9718550000000001</v>
      </c>
      <c r="U23">
        <v>3.975454</v>
      </c>
      <c r="V23">
        <v>3.964083</v>
      </c>
      <c r="W23">
        <v>3.9534349999999998</v>
      </c>
      <c r="X23">
        <v>3.955495</v>
      </c>
      <c r="Y23">
        <v>3.9734389999999999</v>
      </c>
      <c r="Z23">
        <v>4.000788</v>
      </c>
      <c r="AA23">
        <v>4.0414599999999998</v>
      </c>
      <c r="AB23">
        <v>4.0953679999999997</v>
      </c>
      <c r="AC23">
        <v>4.15557</v>
      </c>
      <c r="AD23">
        <v>4.2257569999999998</v>
      </c>
      <c r="AE23">
        <v>4.2996879999999997</v>
      </c>
      <c r="AF23">
        <v>4.3678400000000002</v>
      </c>
      <c r="AG23">
        <v>4.4369680000000002</v>
      </c>
      <c r="AH23">
        <v>4.5171900000000003</v>
      </c>
      <c r="AI23" s="21">
        <v>6.0000000000000001E-3</v>
      </c>
    </row>
    <row r="24" spans="1:35">
      <c r="A24" t="s">
        <v>334</v>
      </c>
      <c r="B24" t="s">
        <v>1974</v>
      </c>
      <c r="C24" t="s">
        <v>1973</v>
      </c>
      <c r="D24" t="s">
        <v>359</v>
      </c>
      <c r="F24">
        <v>8.03E-4</v>
      </c>
      <c r="G24">
        <v>7.2599999999999997E-4</v>
      </c>
      <c r="H24">
        <v>6.6500000000000001E-4</v>
      </c>
      <c r="I24">
        <v>6.1799999999999995E-4</v>
      </c>
      <c r="J24">
        <v>5.8399999999999999E-4</v>
      </c>
      <c r="K24">
        <v>5.5699999999999999E-4</v>
      </c>
      <c r="L24">
        <v>5.3600000000000002E-4</v>
      </c>
      <c r="M24">
        <v>5.04E-4</v>
      </c>
      <c r="N24">
        <v>4.6299999999999998E-4</v>
      </c>
      <c r="O24">
        <v>4.2499999999999998E-4</v>
      </c>
      <c r="P24">
        <v>3.9199999999999999E-4</v>
      </c>
      <c r="Q24">
        <v>3.3E-4</v>
      </c>
      <c r="R24">
        <v>2.5999999999999998E-4</v>
      </c>
      <c r="S24">
        <v>2.05E-4</v>
      </c>
      <c r="T24">
        <v>1.6100000000000001E-4</v>
      </c>
      <c r="U24">
        <v>1.26E-4</v>
      </c>
      <c r="V24">
        <v>9.8999999999999994E-5</v>
      </c>
      <c r="W24">
        <v>7.7000000000000001E-5</v>
      </c>
      <c r="X24">
        <v>6.8999999999999997E-5</v>
      </c>
      <c r="Y24">
        <v>6.7000000000000002E-5</v>
      </c>
      <c r="Z24">
        <v>6.6000000000000005E-5</v>
      </c>
      <c r="AA24">
        <v>6.3999999999999997E-5</v>
      </c>
      <c r="AB24">
        <v>5.1999999999999997E-5</v>
      </c>
      <c r="AC24">
        <v>3.6000000000000001E-5</v>
      </c>
      <c r="AD24">
        <v>2.5999999999999998E-5</v>
      </c>
      <c r="AE24">
        <v>1.8E-5</v>
      </c>
      <c r="AF24">
        <v>1.2999999999999999E-5</v>
      </c>
      <c r="AG24">
        <v>9.0000000000000002E-6</v>
      </c>
      <c r="AH24">
        <v>6.0000000000000002E-6</v>
      </c>
      <c r="AI24" s="21">
        <v>-0.159</v>
      </c>
    </row>
    <row r="25" spans="1:35">
      <c r="A25" t="s">
        <v>336</v>
      </c>
      <c r="B25" t="s">
        <v>1972</v>
      </c>
      <c r="C25" t="s">
        <v>1971</v>
      </c>
      <c r="D25" t="s">
        <v>359</v>
      </c>
      <c r="F25">
        <v>0</v>
      </c>
      <c r="G25">
        <v>5.7910000000000001E-3</v>
      </c>
      <c r="H25">
        <v>1.1641E-2</v>
      </c>
      <c r="I25">
        <v>1.7745E-2</v>
      </c>
      <c r="J25">
        <v>2.4024E-2</v>
      </c>
      <c r="K25">
        <v>3.0276999999999998E-2</v>
      </c>
      <c r="L25">
        <v>3.6507999999999999E-2</v>
      </c>
      <c r="M25">
        <v>4.2764999999999997E-2</v>
      </c>
      <c r="N25">
        <v>4.9185E-2</v>
      </c>
      <c r="O25">
        <v>5.5924000000000001E-2</v>
      </c>
      <c r="P25">
        <v>6.3112000000000001E-2</v>
      </c>
      <c r="Q25">
        <v>7.0484000000000005E-2</v>
      </c>
      <c r="R25">
        <v>7.8226000000000004E-2</v>
      </c>
      <c r="S25">
        <v>8.6534E-2</v>
      </c>
      <c r="T25">
        <v>9.5422000000000007E-2</v>
      </c>
      <c r="U25">
        <v>0.10527400000000001</v>
      </c>
      <c r="V25">
        <v>0.11618100000000001</v>
      </c>
      <c r="W25">
        <v>0.128332</v>
      </c>
      <c r="X25">
        <v>0.14206299999999999</v>
      </c>
      <c r="Y25">
        <v>0.157389</v>
      </c>
      <c r="Z25">
        <v>0.17405100000000001</v>
      </c>
      <c r="AA25">
        <v>0.19183600000000001</v>
      </c>
      <c r="AB25">
        <v>0.21071500000000001</v>
      </c>
      <c r="AC25">
        <v>0.23088900000000001</v>
      </c>
      <c r="AD25">
        <v>0.25246600000000002</v>
      </c>
      <c r="AE25">
        <v>0.27496199999999998</v>
      </c>
      <c r="AF25">
        <v>0.29769299999999999</v>
      </c>
      <c r="AG25">
        <v>0.32119900000000001</v>
      </c>
      <c r="AH25">
        <v>0.34622399999999998</v>
      </c>
      <c r="AI25" t="s">
        <v>17</v>
      </c>
    </row>
    <row r="26" spans="1:35">
      <c r="A26" t="s">
        <v>335</v>
      </c>
      <c r="B26" t="s">
        <v>1970</v>
      </c>
      <c r="C26" t="s">
        <v>1969</v>
      </c>
      <c r="D26" t="s">
        <v>359</v>
      </c>
      <c r="F26">
        <v>0</v>
      </c>
      <c r="G26">
        <v>6.025E-3</v>
      </c>
      <c r="H26">
        <v>1.2128999999999999E-2</v>
      </c>
      <c r="I26">
        <v>1.8395000000000002E-2</v>
      </c>
      <c r="J26">
        <v>2.4749E-2</v>
      </c>
      <c r="K26">
        <v>3.0966E-2</v>
      </c>
      <c r="L26">
        <v>3.7011000000000002E-2</v>
      </c>
      <c r="M26">
        <v>4.2945999999999998E-2</v>
      </c>
      <c r="N26">
        <v>4.8956E-2</v>
      </c>
      <c r="O26">
        <v>5.5273999999999997E-2</v>
      </c>
      <c r="P26">
        <v>6.2050000000000001E-2</v>
      </c>
      <c r="Q26">
        <v>6.9098000000000007E-2</v>
      </c>
      <c r="R26">
        <v>7.6633999999999994E-2</v>
      </c>
      <c r="S26">
        <v>8.4903000000000006E-2</v>
      </c>
      <c r="T26">
        <v>9.3932000000000002E-2</v>
      </c>
      <c r="U26">
        <v>0.104143</v>
      </c>
      <c r="V26">
        <v>0.115635</v>
      </c>
      <c r="W26">
        <v>0.12864999999999999</v>
      </c>
      <c r="X26">
        <v>0.14353199999999999</v>
      </c>
      <c r="Y26">
        <v>0.160333</v>
      </c>
      <c r="Z26">
        <v>0.17879300000000001</v>
      </c>
      <c r="AA26">
        <v>0.198736</v>
      </c>
      <c r="AB26">
        <v>0.21998000000000001</v>
      </c>
      <c r="AC26">
        <v>0.24280499999999999</v>
      </c>
      <c r="AD26">
        <v>0.26719799999999999</v>
      </c>
      <c r="AE26">
        <v>0.29270299999999999</v>
      </c>
      <c r="AF26">
        <v>0.318521</v>
      </c>
      <c r="AG26">
        <v>0.34528500000000001</v>
      </c>
      <c r="AH26">
        <v>0.37370199999999998</v>
      </c>
      <c r="AI26" t="s">
        <v>17</v>
      </c>
    </row>
    <row r="27" spans="1:35">
      <c r="A27" t="s">
        <v>337</v>
      </c>
      <c r="B27" t="s">
        <v>1968</v>
      </c>
      <c r="C27" t="s">
        <v>1967</v>
      </c>
      <c r="D27" t="s">
        <v>359</v>
      </c>
      <c r="F27">
        <v>0</v>
      </c>
      <c r="G27">
        <v>0</v>
      </c>
      <c r="H27">
        <v>1.9999999999999999E-6</v>
      </c>
      <c r="I27">
        <v>3.9999999999999998E-6</v>
      </c>
      <c r="J27">
        <v>6.0000000000000002E-6</v>
      </c>
      <c r="K27">
        <v>7.9999999999999996E-6</v>
      </c>
      <c r="L27">
        <v>1.0000000000000001E-5</v>
      </c>
      <c r="M27">
        <v>1.1E-5</v>
      </c>
      <c r="N27">
        <v>1.2999999999999999E-5</v>
      </c>
      <c r="O27">
        <v>1.5E-5</v>
      </c>
      <c r="P27">
        <v>1.7E-5</v>
      </c>
      <c r="Q27">
        <v>1.8E-5</v>
      </c>
      <c r="R27">
        <v>2.0000000000000002E-5</v>
      </c>
      <c r="S27">
        <v>2.0999999999999999E-5</v>
      </c>
      <c r="T27">
        <v>2.1999999999999999E-5</v>
      </c>
      <c r="U27">
        <v>2.3E-5</v>
      </c>
      <c r="V27">
        <v>2.4000000000000001E-5</v>
      </c>
      <c r="W27">
        <v>2.5000000000000001E-5</v>
      </c>
      <c r="X27">
        <v>2.5999999999999998E-5</v>
      </c>
      <c r="Y27">
        <v>2.6999999999999999E-5</v>
      </c>
      <c r="Z27">
        <v>2.8E-5</v>
      </c>
      <c r="AA27">
        <v>2.8E-5</v>
      </c>
      <c r="AB27">
        <v>2.8E-5</v>
      </c>
      <c r="AC27">
        <v>2.9E-5</v>
      </c>
      <c r="AD27">
        <v>2.9E-5</v>
      </c>
      <c r="AE27">
        <v>2.8E-5</v>
      </c>
      <c r="AF27">
        <v>2.8E-5</v>
      </c>
      <c r="AG27">
        <v>2.6999999999999999E-5</v>
      </c>
      <c r="AH27">
        <v>2.6999999999999999E-5</v>
      </c>
      <c r="AI27" t="s">
        <v>17</v>
      </c>
    </row>
    <row r="28" spans="1:35">
      <c r="A28" t="s">
        <v>360</v>
      </c>
      <c r="B28" t="s">
        <v>1966</v>
      </c>
      <c r="C28" t="s">
        <v>1965</v>
      </c>
      <c r="D28" t="s">
        <v>359</v>
      </c>
      <c r="F28">
        <v>75.048714000000004</v>
      </c>
      <c r="G28">
        <v>74.717513999999994</v>
      </c>
      <c r="H28">
        <v>75.046081999999998</v>
      </c>
      <c r="I28">
        <v>76.143508999999995</v>
      </c>
      <c r="J28">
        <v>77.597999999999999</v>
      </c>
      <c r="K28">
        <v>78.820419000000001</v>
      </c>
      <c r="L28">
        <v>79.976401999999993</v>
      </c>
      <c r="M28">
        <v>81.127167</v>
      </c>
      <c r="N28">
        <v>82.517714999999995</v>
      </c>
      <c r="O28">
        <v>84.228110999999998</v>
      </c>
      <c r="P28">
        <v>86.234122999999997</v>
      </c>
      <c r="Q28">
        <v>88.077529999999996</v>
      </c>
      <c r="R28">
        <v>89.911659</v>
      </c>
      <c r="S28">
        <v>91.791747999999998</v>
      </c>
      <c r="T28">
        <v>93.544196999999997</v>
      </c>
      <c r="U28">
        <v>95.400565999999998</v>
      </c>
      <c r="V28">
        <v>97.240463000000005</v>
      </c>
      <c r="W28">
        <v>99.104270999999997</v>
      </c>
      <c r="X28">
        <v>101.111</v>
      </c>
      <c r="Y28">
        <v>103.19528200000001</v>
      </c>
      <c r="Z28">
        <v>105.237099</v>
      </c>
      <c r="AA28">
        <v>107.199234</v>
      </c>
      <c r="AB28">
        <v>109.127678</v>
      </c>
      <c r="AC28">
        <v>111.1437</v>
      </c>
      <c r="AD28">
        <v>113.446144</v>
      </c>
      <c r="AE28">
        <v>115.847984</v>
      </c>
      <c r="AF28">
        <v>118.10760500000001</v>
      </c>
      <c r="AG28">
        <v>120.49865</v>
      </c>
      <c r="AH28">
        <v>123.323883</v>
      </c>
      <c r="AI28" s="21">
        <v>1.7999999999999999E-2</v>
      </c>
    </row>
    <row r="29" spans="1:35">
      <c r="A29" t="s">
        <v>361</v>
      </c>
    </row>
    <row r="30" spans="1:35">
      <c r="A30" t="s">
        <v>297</v>
      </c>
      <c r="B30" t="s">
        <v>1964</v>
      </c>
      <c r="C30" t="s">
        <v>1963</v>
      </c>
      <c r="D30" t="s">
        <v>359</v>
      </c>
      <c r="F30">
        <v>39.558543999999998</v>
      </c>
      <c r="G30">
        <v>39.337626999999998</v>
      </c>
      <c r="H30">
        <v>39.299655999999999</v>
      </c>
      <c r="I30">
        <v>39.581608000000003</v>
      </c>
      <c r="J30">
        <v>40.110664</v>
      </c>
      <c r="K30">
        <v>40.671706999999998</v>
      </c>
      <c r="L30">
        <v>41.263809000000002</v>
      </c>
      <c r="M30">
        <v>41.765324</v>
      </c>
      <c r="N30">
        <v>42.233722999999998</v>
      </c>
      <c r="O30">
        <v>42.755890000000001</v>
      </c>
      <c r="P30">
        <v>43.429985000000002</v>
      </c>
      <c r="Q30">
        <v>44.019016000000001</v>
      </c>
      <c r="R30">
        <v>44.583286000000001</v>
      </c>
      <c r="S30">
        <v>45.18047</v>
      </c>
      <c r="T30">
        <v>45.736732000000003</v>
      </c>
      <c r="U30">
        <v>46.355182999999997</v>
      </c>
      <c r="V30">
        <v>46.957836</v>
      </c>
      <c r="W30">
        <v>47.563808000000002</v>
      </c>
      <c r="X30">
        <v>48.222565000000003</v>
      </c>
      <c r="Y30">
        <v>48.907677</v>
      </c>
      <c r="Z30">
        <v>49.573700000000002</v>
      </c>
      <c r="AA30">
        <v>50.240974000000001</v>
      </c>
      <c r="AB30">
        <v>50.887698999999998</v>
      </c>
      <c r="AC30">
        <v>51.487983999999997</v>
      </c>
      <c r="AD30">
        <v>52.142113000000002</v>
      </c>
      <c r="AE30">
        <v>52.823295999999999</v>
      </c>
      <c r="AF30">
        <v>53.454895</v>
      </c>
      <c r="AG30">
        <v>54.11842</v>
      </c>
      <c r="AH30">
        <v>54.955475</v>
      </c>
      <c r="AI30" s="21">
        <v>1.2E-2</v>
      </c>
    </row>
    <row r="31" spans="1:35">
      <c r="A31" t="s">
        <v>283</v>
      </c>
      <c r="B31" t="s">
        <v>1962</v>
      </c>
      <c r="C31" t="s">
        <v>1961</v>
      </c>
      <c r="D31" t="s">
        <v>359</v>
      </c>
      <c r="F31">
        <v>19.487116</v>
      </c>
      <c r="G31">
        <v>19.215472999999999</v>
      </c>
      <c r="H31">
        <v>19.072890999999998</v>
      </c>
      <c r="I31">
        <v>19.059853</v>
      </c>
      <c r="J31">
        <v>19.182478</v>
      </c>
      <c r="K31">
        <v>19.313580999999999</v>
      </c>
      <c r="L31">
        <v>19.478919999999999</v>
      </c>
      <c r="M31">
        <v>19.629051</v>
      </c>
      <c r="N31">
        <v>19.775127000000001</v>
      </c>
      <c r="O31">
        <v>19.949099</v>
      </c>
      <c r="P31">
        <v>20.215589999999999</v>
      </c>
      <c r="Q31">
        <v>20.442692000000001</v>
      </c>
      <c r="R31">
        <v>20.670752</v>
      </c>
      <c r="S31">
        <v>20.911200000000001</v>
      </c>
      <c r="T31">
        <v>21.112674999999999</v>
      </c>
      <c r="U31">
        <v>21.367301999999999</v>
      </c>
      <c r="V31">
        <v>21.576695999999998</v>
      </c>
      <c r="W31">
        <v>21.845286999999999</v>
      </c>
      <c r="X31">
        <v>22.114789999999999</v>
      </c>
      <c r="Y31">
        <v>22.415617000000001</v>
      </c>
      <c r="Z31">
        <v>22.714939000000001</v>
      </c>
      <c r="AA31">
        <v>23.016795999999999</v>
      </c>
      <c r="AB31">
        <v>23.311952999999999</v>
      </c>
      <c r="AC31">
        <v>23.583117999999999</v>
      </c>
      <c r="AD31">
        <v>23.878855000000001</v>
      </c>
      <c r="AE31">
        <v>24.179131999999999</v>
      </c>
      <c r="AF31">
        <v>24.450662999999999</v>
      </c>
      <c r="AG31">
        <v>24.739687</v>
      </c>
      <c r="AH31">
        <v>25.097049999999999</v>
      </c>
      <c r="AI31" s="21">
        <v>8.9999999999999993E-3</v>
      </c>
    </row>
    <row r="32" spans="1:35">
      <c r="A32" t="s">
        <v>278</v>
      </c>
      <c r="B32" t="s">
        <v>1960</v>
      </c>
      <c r="C32" t="s">
        <v>1959</v>
      </c>
      <c r="D32" t="s">
        <v>359</v>
      </c>
      <c r="F32">
        <v>3.5519000000000002E-2</v>
      </c>
      <c r="G32">
        <v>3.6849E-2</v>
      </c>
      <c r="H32">
        <v>3.8300000000000001E-2</v>
      </c>
      <c r="I32">
        <v>3.9927999999999998E-2</v>
      </c>
      <c r="J32">
        <v>4.1890999999999998E-2</v>
      </c>
      <c r="K32">
        <v>4.3984000000000002E-2</v>
      </c>
      <c r="L32">
        <v>4.6241999999999998E-2</v>
      </c>
      <c r="M32">
        <v>4.8501000000000002E-2</v>
      </c>
      <c r="N32">
        <v>5.0944999999999997E-2</v>
      </c>
      <c r="O32">
        <v>5.3742999999999999E-2</v>
      </c>
      <c r="P32">
        <v>5.7158E-2</v>
      </c>
      <c r="Q32">
        <v>6.1107000000000002E-2</v>
      </c>
      <c r="R32">
        <v>6.5478999999999996E-2</v>
      </c>
      <c r="S32">
        <v>6.9911000000000001E-2</v>
      </c>
      <c r="T32">
        <v>7.4637999999999996E-2</v>
      </c>
      <c r="U32">
        <v>7.9952999999999996E-2</v>
      </c>
      <c r="V32">
        <v>8.5781999999999997E-2</v>
      </c>
      <c r="W32">
        <v>9.2218999999999995E-2</v>
      </c>
      <c r="X32">
        <v>9.9416000000000004E-2</v>
      </c>
      <c r="Y32">
        <v>0.10742400000000001</v>
      </c>
      <c r="Z32">
        <v>0.115934</v>
      </c>
      <c r="AA32">
        <v>0.124888</v>
      </c>
      <c r="AB32">
        <v>0.13411600000000001</v>
      </c>
      <c r="AC32">
        <v>0.143486</v>
      </c>
      <c r="AD32">
        <v>0.153252</v>
      </c>
      <c r="AE32">
        <v>0.16322400000000001</v>
      </c>
      <c r="AF32">
        <v>0.17308100000000001</v>
      </c>
      <c r="AG32">
        <v>0.18249199999999999</v>
      </c>
      <c r="AH32">
        <v>0.19253300000000001</v>
      </c>
      <c r="AI32" s="21">
        <v>6.2E-2</v>
      </c>
    </row>
    <row r="33" spans="1:35">
      <c r="A33" t="s">
        <v>277</v>
      </c>
      <c r="B33" t="s">
        <v>1958</v>
      </c>
      <c r="C33" t="s">
        <v>1957</v>
      </c>
      <c r="D33" t="s">
        <v>359</v>
      </c>
      <c r="F33">
        <v>4.0710999999999997E-2</v>
      </c>
      <c r="G33">
        <v>3.8744000000000001E-2</v>
      </c>
      <c r="H33">
        <v>3.6801E-2</v>
      </c>
      <c r="I33">
        <v>3.5048999999999997E-2</v>
      </c>
      <c r="J33">
        <v>3.3437000000000001E-2</v>
      </c>
      <c r="K33">
        <v>3.1725999999999997E-2</v>
      </c>
      <c r="L33">
        <v>3.0068000000000001E-2</v>
      </c>
      <c r="M33">
        <v>2.8327000000000001E-2</v>
      </c>
      <c r="N33">
        <v>2.6554000000000001E-2</v>
      </c>
      <c r="O33">
        <v>2.4896000000000001E-2</v>
      </c>
      <c r="P33">
        <v>2.3394999999999999E-2</v>
      </c>
      <c r="Q33">
        <v>2.1885999999999999E-2</v>
      </c>
      <c r="R33">
        <v>2.0383999999999999E-2</v>
      </c>
      <c r="S33">
        <v>1.8924E-2</v>
      </c>
      <c r="T33">
        <v>1.7500999999999999E-2</v>
      </c>
      <c r="U33">
        <v>1.6240000000000001E-2</v>
      </c>
      <c r="V33">
        <v>1.5091E-2</v>
      </c>
      <c r="W33">
        <v>1.4094000000000001E-2</v>
      </c>
      <c r="X33">
        <v>1.316E-2</v>
      </c>
      <c r="Y33">
        <v>1.2222E-2</v>
      </c>
      <c r="Z33">
        <v>1.1379999999999999E-2</v>
      </c>
      <c r="AA33">
        <v>1.0423999999999999E-2</v>
      </c>
      <c r="AB33">
        <v>9.4500000000000001E-3</v>
      </c>
      <c r="AC33">
        <v>8.6359999999999996E-3</v>
      </c>
      <c r="AD33">
        <v>7.9539999999999993E-3</v>
      </c>
      <c r="AE33">
        <v>7.2659999999999999E-3</v>
      </c>
      <c r="AF33">
        <v>6.5680000000000001E-3</v>
      </c>
      <c r="AG33">
        <v>5.9379999999999997E-3</v>
      </c>
      <c r="AH33">
        <v>5.4149999999999997E-3</v>
      </c>
      <c r="AI33" s="21">
        <v>-7.0000000000000007E-2</v>
      </c>
    </row>
    <row r="34" spans="1:35">
      <c r="A34" t="s">
        <v>333</v>
      </c>
      <c r="B34" t="s">
        <v>1956</v>
      </c>
      <c r="C34" t="s">
        <v>1955</v>
      </c>
      <c r="D34" t="s">
        <v>359</v>
      </c>
      <c r="F34">
        <v>0.56798599999999999</v>
      </c>
      <c r="G34">
        <v>0.59782800000000003</v>
      </c>
      <c r="H34">
        <v>0.637764</v>
      </c>
      <c r="I34">
        <v>0.68537099999999995</v>
      </c>
      <c r="J34">
        <v>0.74296300000000004</v>
      </c>
      <c r="K34">
        <v>0.80857800000000002</v>
      </c>
      <c r="L34">
        <v>0.87989099999999998</v>
      </c>
      <c r="M34">
        <v>0.95517399999999997</v>
      </c>
      <c r="N34">
        <v>1.0367869999999999</v>
      </c>
      <c r="O34">
        <v>1.129257</v>
      </c>
      <c r="P34">
        <v>1.2372430000000001</v>
      </c>
      <c r="Q34">
        <v>1.3557220000000001</v>
      </c>
      <c r="R34">
        <v>1.486297</v>
      </c>
      <c r="S34">
        <v>1.6277839999999999</v>
      </c>
      <c r="T34">
        <v>1.7695620000000001</v>
      </c>
      <c r="U34">
        <v>1.9196610000000001</v>
      </c>
      <c r="V34">
        <v>2.070964</v>
      </c>
      <c r="W34">
        <v>2.2238769999999999</v>
      </c>
      <c r="X34">
        <v>2.3845040000000002</v>
      </c>
      <c r="Y34">
        <v>2.5457839999999998</v>
      </c>
      <c r="Z34">
        <v>2.7054459999999998</v>
      </c>
      <c r="AA34">
        <v>2.8628369999999999</v>
      </c>
      <c r="AB34">
        <v>3.0127489999999999</v>
      </c>
      <c r="AC34">
        <v>3.1550750000000001</v>
      </c>
      <c r="AD34">
        <v>3.292932</v>
      </c>
      <c r="AE34">
        <v>3.4261879999999998</v>
      </c>
      <c r="AF34">
        <v>3.547679</v>
      </c>
      <c r="AG34">
        <v>3.667386</v>
      </c>
      <c r="AH34">
        <v>3.7930950000000001</v>
      </c>
      <c r="AI34" s="21">
        <v>7.0000000000000007E-2</v>
      </c>
    </row>
    <row r="35" spans="1:35">
      <c r="A35" t="s">
        <v>334</v>
      </c>
      <c r="B35" t="s">
        <v>1954</v>
      </c>
      <c r="C35" t="s">
        <v>1953</v>
      </c>
      <c r="D35" t="s">
        <v>359</v>
      </c>
      <c r="F35">
        <v>4.7990000000000003E-3</v>
      </c>
      <c r="G35">
        <v>5.7080000000000004E-3</v>
      </c>
      <c r="H35">
        <v>6.4009999999999996E-3</v>
      </c>
      <c r="I35">
        <v>6.9449999999999998E-3</v>
      </c>
      <c r="J35">
        <v>7.3709999999999999E-3</v>
      </c>
      <c r="K35">
        <v>7.6620000000000004E-3</v>
      </c>
      <c r="L35">
        <v>7.8370000000000002E-3</v>
      </c>
      <c r="M35">
        <v>7.9019999999999993E-3</v>
      </c>
      <c r="N35">
        <v>7.8869999999999999E-3</v>
      </c>
      <c r="O35">
        <v>7.8220000000000008E-3</v>
      </c>
      <c r="P35">
        <v>7.7270000000000004E-3</v>
      </c>
      <c r="Q35">
        <v>7.5750000000000001E-3</v>
      </c>
      <c r="R35">
        <v>7.3740000000000003E-3</v>
      </c>
      <c r="S35">
        <v>7.1599999999999997E-3</v>
      </c>
      <c r="T35">
        <v>6.8789999999999997E-3</v>
      </c>
      <c r="U35">
        <v>6.5760000000000002E-3</v>
      </c>
      <c r="V35">
        <v>6.319E-3</v>
      </c>
      <c r="W35">
        <v>6.0559999999999998E-3</v>
      </c>
      <c r="X35">
        <v>5.7580000000000001E-3</v>
      </c>
      <c r="Y35">
        <v>5.4679999999999998E-3</v>
      </c>
      <c r="Z35">
        <v>5.1850000000000004E-3</v>
      </c>
      <c r="AA35">
        <v>4.9100000000000003E-3</v>
      </c>
      <c r="AB35">
        <v>4.6449999999999998E-3</v>
      </c>
      <c r="AC35">
        <v>4.3909999999999999E-3</v>
      </c>
      <c r="AD35">
        <v>4.1580000000000002E-3</v>
      </c>
      <c r="AE35">
        <v>3.9370000000000004E-3</v>
      </c>
      <c r="AF35">
        <v>3.7230000000000002E-3</v>
      </c>
      <c r="AG35">
        <v>3.516E-3</v>
      </c>
      <c r="AH35">
        <v>3.3319999999999999E-3</v>
      </c>
      <c r="AI35" s="21">
        <v>-1.2999999999999999E-2</v>
      </c>
    </row>
    <row r="36" spans="1:35">
      <c r="A36" t="s">
        <v>336</v>
      </c>
      <c r="B36" t="s">
        <v>1952</v>
      </c>
      <c r="C36" t="s">
        <v>1951</v>
      </c>
      <c r="D36" t="s">
        <v>359</v>
      </c>
      <c r="F36">
        <v>0</v>
      </c>
      <c r="G36">
        <v>0</v>
      </c>
      <c r="H36">
        <v>4.8300000000000001E-3</v>
      </c>
      <c r="I36">
        <v>9.332E-3</v>
      </c>
      <c r="J36">
        <v>1.3625E-2</v>
      </c>
      <c r="K36">
        <v>1.7784000000000001E-2</v>
      </c>
      <c r="L36">
        <v>2.1821E-2</v>
      </c>
      <c r="M36">
        <v>2.5634000000000001E-2</v>
      </c>
      <c r="N36">
        <v>2.9242000000000001E-2</v>
      </c>
      <c r="O36">
        <v>3.2780999999999998E-2</v>
      </c>
      <c r="P36">
        <v>3.644E-2</v>
      </c>
      <c r="Q36">
        <v>4.0143999999999999E-2</v>
      </c>
      <c r="R36">
        <v>4.3930999999999998E-2</v>
      </c>
      <c r="S36">
        <v>4.7813000000000001E-2</v>
      </c>
      <c r="T36">
        <v>5.1763000000000003E-2</v>
      </c>
      <c r="U36">
        <v>5.5931000000000002E-2</v>
      </c>
      <c r="V36">
        <v>6.0281000000000001E-2</v>
      </c>
      <c r="W36">
        <v>6.4887E-2</v>
      </c>
      <c r="X36">
        <v>6.9919999999999996E-2</v>
      </c>
      <c r="Y36">
        <v>7.5448000000000001E-2</v>
      </c>
      <c r="Z36">
        <v>8.1417000000000003E-2</v>
      </c>
      <c r="AA36">
        <v>8.7566000000000005E-2</v>
      </c>
      <c r="AB36">
        <v>9.4056000000000001E-2</v>
      </c>
      <c r="AC36">
        <v>0.10083300000000001</v>
      </c>
      <c r="AD36">
        <v>0.108103</v>
      </c>
      <c r="AE36">
        <v>0.11576599999999999</v>
      </c>
      <c r="AF36">
        <v>0.123626</v>
      </c>
      <c r="AG36">
        <v>0.131829</v>
      </c>
      <c r="AH36">
        <v>0.140711</v>
      </c>
      <c r="AI36" t="s">
        <v>17</v>
      </c>
    </row>
    <row r="37" spans="1:35">
      <c r="A37" t="s">
        <v>335</v>
      </c>
      <c r="B37" t="s">
        <v>1950</v>
      </c>
      <c r="C37" t="s">
        <v>1949</v>
      </c>
      <c r="D37" t="s">
        <v>359</v>
      </c>
      <c r="F37">
        <v>0</v>
      </c>
      <c r="G37">
        <v>0</v>
      </c>
      <c r="H37">
        <v>4.6990000000000001E-3</v>
      </c>
      <c r="I37">
        <v>8.9820000000000004E-3</v>
      </c>
      <c r="J37">
        <v>1.3004E-2</v>
      </c>
      <c r="K37">
        <v>1.6833000000000001E-2</v>
      </c>
      <c r="L37">
        <v>2.0468E-2</v>
      </c>
      <c r="M37">
        <v>2.3865000000000001E-2</v>
      </c>
      <c r="N37">
        <v>2.7097E-2</v>
      </c>
      <c r="O37">
        <v>3.0356999999999999E-2</v>
      </c>
      <c r="P37">
        <v>3.3845E-2</v>
      </c>
      <c r="Q37">
        <v>3.7533999999999998E-2</v>
      </c>
      <c r="R37">
        <v>4.1471000000000001E-2</v>
      </c>
      <c r="S37">
        <v>4.5675E-2</v>
      </c>
      <c r="T37">
        <v>5.0146000000000003E-2</v>
      </c>
      <c r="U37">
        <v>5.5066999999999998E-2</v>
      </c>
      <c r="V37">
        <v>6.0408000000000003E-2</v>
      </c>
      <c r="W37">
        <v>6.6288E-2</v>
      </c>
      <c r="X37">
        <v>7.2910000000000003E-2</v>
      </c>
      <c r="Y37">
        <v>8.0391000000000004E-2</v>
      </c>
      <c r="Z37">
        <v>8.8689000000000004E-2</v>
      </c>
      <c r="AA37">
        <v>9.7592999999999999E-2</v>
      </c>
      <c r="AB37">
        <v>0.107179</v>
      </c>
      <c r="AC37">
        <v>0.11736099999999999</v>
      </c>
      <c r="AD37">
        <v>0.12828400000000001</v>
      </c>
      <c r="AE37">
        <v>0.139872</v>
      </c>
      <c r="AF37">
        <v>0.15181700000000001</v>
      </c>
      <c r="AG37">
        <v>0.16430400000000001</v>
      </c>
      <c r="AH37">
        <v>0.177619</v>
      </c>
      <c r="AI37" t="s">
        <v>17</v>
      </c>
    </row>
    <row r="38" spans="1:35">
      <c r="A38" t="s">
        <v>337</v>
      </c>
      <c r="B38" t="s">
        <v>1948</v>
      </c>
      <c r="C38" t="s">
        <v>1947</v>
      </c>
      <c r="D38" t="s">
        <v>359</v>
      </c>
      <c r="F38">
        <v>0</v>
      </c>
      <c r="G38">
        <v>0</v>
      </c>
      <c r="H38">
        <v>8.0780000000000001E-3</v>
      </c>
      <c r="I38">
        <v>1.5644999999999999E-2</v>
      </c>
      <c r="J38">
        <v>2.2988999999999999E-2</v>
      </c>
      <c r="K38">
        <v>3.0179000000000001E-2</v>
      </c>
      <c r="L38">
        <v>3.7161E-2</v>
      </c>
      <c r="M38">
        <v>4.3795000000000001E-2</v>
      </c>
      <c r="N38">
        <v>5.0102000000000001E-2</v>
      </c>
      <c r="O38">
        <v>5.6294999999999998E-2</v>
      </c>
      <c r="P38">
        <v>6.2640000000000001E-2</v>
      </c>
      <c r="Q38">
        <v>6.8956000000000003E-2</v>
      </c>
      <c r="R38">
        <v>7.5354000000000004E-2</v>
      </c>
      <c r="S38">
        <v>8.1948999999999994E-2</v>
      </c>
      <c r="T38">
        <v>8.8664000000000007E-2</v>
      </c>
      <c r="U38">
        <v>9.5808000000000004E-2</v>
      </c>
      <c r="V38">
        <v>0.103379</v>
      </c>
      <c r="W38">
        <v>0.11151700000000001</v>
      </c>
      <c r="X38">
        <v>0.12053700000000001</v>
      </c>
      <c r="Y38">
        <v>0.13056699999999999</v>
      </c>
      <c r="Z38">
        <v>0.14152300000000001</v>
      </c>
      <c r="AA38">
        <v>0.152972</v>
      </c>
      <c r="AB38">
        <v>0.16517100000000001</v>
      </c>
      <c r="AC38">
        <v>0.178007</v>
      </c>
      <c r="AD38">
        <v>0.191833</v>
      </c>
      <c r="AE38">
        <v>0.20646700000000001</v>
      </c>
      <c r="AF38">
        <v>0.22154599999999999</v>
      </c>
      <c r="AG38">
        <v>0.23730999999999999</v>
      </c>
      <c r="AH38">
        <v>0.25435600000000003</v>
      </c>
      <c r="AI38" t="s">
        <v>17</v>
      </c>
    </row>
    <row r="39" spans="1:35">
      <c r="A39" t="s">
        <v>362</v>
      </c>
      <c r="B39" t="s">
        <v>1946</v>
      </c>
      <c r="C39" t="s">
        <v>1945</v>
      </c>
      <c r="D39" t="s">
        <v>359</v>
      </c>
      <c r="F39">
        <v>59.694575999999998</v>
      </c>
      <c r="G39">
        <v>59.232098000000001</v>
      </c>
      <c r="H39">
        <v>59.109397999999999</v>
      </c>
      <c r="I39">
        <v>59.442653999999997</v>
      </c>
      <c r="J39">
        <v>60.168362000000002</v>
      </c>
      <c r="K39">
        <v>60.942036000000002</v>
      </c>
      <c r="L39">
        <v>61.786160000000002</v>
      </c>
      <c r="M39">
        <v>62.527434999999997</v>
      </c>
      <c r="N39">
        <v>63.237366000000002</v>
      </c>
      <c r="O39">
        <v>64.040108000000004</v>
      </c>
      <c r="P39">
        <v>65.104018999999994</v>
      </c>
      <c r="Q39">
        <v>66.054314000000005</v>
      </c>
      <c r="R39">
        <v>66.994217000000006</v>
      </c>
      <c r="S39">
        <v>67.990768000000003</v>
      </c>
      <c r="T39">
        <v>68.908278999999993</v>
      </c>
      <c r="U39">
        <v>69.951363000000001</v>
      </c>
      <c r="V39">
        <v>70.936751999999998</v>
      </c>
      <c r="W39">
        <v>71.987885000000006</v>
      </c>
      <c r="X39">
        <v>73.103226000000006</v>
      </c>
      <c r="Y39">
        <v>74.280495000000002</v>
      </c>
      <c r="Z39">
        <v>75.437995999999998</v>
      </c>
      <c r="AA39">
        <v>76.598990999999998</v>
      </c>
      <c r="AB39">
        <v>77.726692</v>
      </c>
      <c r="AC39">
        <v>78.778594999999996</v>
      </c>
      <c r="AD39">
        <v>79.907218999999998</v>
      </c>
      <c r="AE39">
        <v>81.064887999999996</v>
      </c>
      <c r="AF39">
        <v>82.133056999999994</v>
      </c>
      <c r="AG39">
        <v>83.250366</v>
      </c>
      <c r="AH39">
        <v>84.619040999999996</v>
      </c>
      <c r="AI39" s="21">
        <v>1.2999999999999999E-2</v>
      </c>
    </row>
    <row r="40" spans="1:35">
      <c r="A40" t="s">
        <v>363</v>
      </c>
    </row>
    <row r="41" spans="1:35">
      <c r="A41" t="s">
        <v>297</v>
      </c>
      <c r="B41" t="s">
        <v>1944</v>
      </c>
      <c r="C41" t="s">
        <v>1943</v>
      </c>
      <c r="D41" t="s">
        <v>359</v>
      </c>
      <c r="F41">
        <v>184.85647599999999</v>
      </c>
      <c r="G41">
        <v>184.36309800000001</v>
      </c>
      <c r="H41">
        <v>184.53233299999999</v>
      </c>
      <c r="I41">
        <v>185.92311100000001</v>
      </c>
      <c r="J41">
        <v>188.09622200000001</v>
      </c>
      <c r="K41">
        <v>189.92868000000001</v>
      </c>
      <c r="L41">
        <v>191.46675099999999</v>
      </c>
      <c r="M41">
        <v>192.31585699999999</v>
      </c>
      <c r="N41">
        <v>192.75872799999999</v>
      </c>
      <c r="O41">
        <v>193.261459</v>
      </c>
      <c r="P41">
        <v>194.18498199999999</v>
      </c>
      <c r="Q41">
        <v>194.74160800000001</v>
      </c>
      <c r="R41">
        <v>195.212692</v>
      </c>
      <c r="S41">
        <v>195.789413</v>
      </c>
      <c r="T41">
        <v>196.09771699999999</v>
      </c>
      <c r="U41">
        <v>196.645309</v>
      </c>
      <c r="V41">
        <v>197.177887</v>
      </c>
      <c r="W41">
        <v>197.587006</v>
      </c>
      <c r="X41">
        <v>198.118088</v>
      </c>
      <c r="Y41">
        <v>198.717422</v>
      </c>
      <c r="Z41">
        <v>199.29679899999999</v>
      </c>
      <c r="AA41">
        <v>199.71180699999999</v>
      </c>
      <c r="AB41">
        <v>199.916168</v>
      </c>
      <c r="AC41">
        <v>199.88377399999999</v>
      </c>
      <c r="AD41">
        <v>199.97645600000001</v>
      </c>
      <c r="AE41">
        <v>200.03840600000001</v>
      </c>
      <c r="AF41">
        <v>199.82255599999999</v>
      </c>
      <c r="AG41">
        <v>199.676208</v>
      </c>
      <c r="AH41">
        <v>200.11251799999999</v>
      </c>
      <c r="AI41" s="21">
        <v>3.0000000000000001E-3</v>
      </c>
    </row>
    <row r="42" spans="1:35">
      <c r="A42" t="s">
        <v>283</v>
      </c>
      <c r="B42" t="s">
        <v>1942</v>
      </c>
      <c r="C42" t="s">
        <v>1941</v>
      </c>
      <c r="D42" t="s">
        <v>359</v>
      </c>
      <c r="F42">
        <v>0.177811</v>
      </c>
      <c r="G42">
        <v>0.177786</v>
      </c>
      <c r="H42">
        <v>0.18096300000000001</v>
      </c>
      <c r="I42">
        <v>0.18684300000000001</v>
      </c>
      <c r="J42">
        <v>0.19617399999999999</v>
      </c>
      <c r="K42">
        <v>0.207373</v>
      </c>
      <c r="L42">
        <v>0.21936700000000001</v>
      </c>
      <c r="M42">
        <v>0.23114199999999999</v>
      </c>
      <c r="N42">
        <v>0.243587</v>
      </c>
      <c r="O42">
        <v>0.25589200000000001</v>
      </c>
      <c r="P42">
        <v>0.26813500000000001</v>
      </c>
      <c r="Q42">
        <v>0.27929500000000002</v>
      </c>
      <c r="R42">
        <v>0.28943799999999997</v>
      </c>
      <c r="S42">
        <v>0.29867300000000002</v>
      </c>
      <c r="T42">
        <v>0.30595</v>
      </c>
      <c r="U42">
        <v>0.31252000000000002</v>
      </c>
      <c r="V42">
        <v>0.317911</v>
      </c>
      <c r="W42">
        <v>0.32267299999999999</v>
      </c>
      <c r="X42">
        <v>0.32754699999999998</v>
      </c>
      <c r="Y42">
        <v>0.33221099999999998</v>
      </c>
      <c r="Z42">
        <v>0.33520299999999997</v>
      </c>
      <c r="AA42">
        <v>0.33737800000000001</v>
      </c>
      <c r="AB42">
        <v>0.33995199999999998</v>
      </c>
      <c r="AC42">
        <v>0.34246199999999999</v>
      </c>
      <c r="AD42">
        <v>0.34548699999999999</v>
      </c>
      <c r="AE42">
        <v>0.34853699999999999</v>
      </c>
      <c r="AF42">
        <v>0.351078</v>
      </c>
      <c r="AG42">
        <v>0.35373399999999999</v>
      </c>
      <c r="AH42">
        <v>0.35739300000000002</v>
      </c>
      <c r="AI42" s="21">
        <v>2.5000000000000001E-2</v>
      </c>
    </row>
    <row r="43" spans="1:35">
      <c r="A43" t="s">
        <v>278</v>
      </c>
      <c r="B43" t="s">
        <v>1940</v>
      </c>
      <c r="C43" t="s">
        <v>1939</v>
      </c>
      <c r="D43" t="s">
        <v>359</v>
      </c>
      <c r="F43">
        <v>2.7640999999999999E-2</v>
      </c>
      <c r="G43">
        <v>3.0197000000000002E-2</v>
      </c>
      <c r="H43">
        <v>3.2635999999999998E-2</v>
      </c>
      <c r="I43">
        <v>3.4937000000000003E-2</v>
      </c>
      <c r="J43">
        <v>3.7206000000000003E-2</v>
      </c>
      <c r="K43">
        <v>3.9183000000000003E-2</v>
      </c>
      <c r="L43">
        <v>4.0808999999999998E-2</v>
      </c>
      <c r="M43">
        <v>4.1921E-2</v>
      </c>
      <c r="N43">
        <v>4.2710999999999999E-2</v>
      </c>
      <c r="O43">
        <v>4.3318000000000002E-2</v>
      </c>
      <c r="P43">
        <v>4.3885E-2</v>
      </c>
      <c r="Q43">
        <v>4.4438999999999999E-2</v>
      </c>
      <c r="R43">
        <v>4.5072000000000001E-2</v>
      </c>
      <c r="S43">
        <v>4.5765E-2</v>
      </c>
      <c r="T43">
        <v>4.6310999999999998E-2</v>
      </c>
      <c r="U43">
        <v>4.6865999999999998E-2</v>
      </c>
      <c r="V43">
        <v>4.7247999999999998E-2</v>
      </c>
      <c r="W43">
        <v>4.7566999999999998E-2</v>
      </c>
      <c r="X43">
        <v>4.7884999999999997E-2</v>
      </c>
      <c r="Y43">
        <v>4.8297E-2</v>
      </c>
      <c r="Z43">
        <v>4.8665E-2</v>
      </c>
      <c r="AA43">
        <v>4.8979000000000002E-2</v>
      </c>
      <c r="AB43">
        <v>4.9224999999999998E-2</v>
      </c>
      <c r="AC43">
        <v>4.9414E-2</v>
      </c>
      <c r="AD43">
        <v>4.9660999999999997E-2</v>
      </c>
      <c r="AE43">
        <v>4.9919999999999999E-2</v>
      </c>
      <c r="AF43">
        <v>5.0112999999999998E-2</v>
      </c>
      <c r="AG43">
        <v>5.0276000000000001E-2</v>
      </c>
      <c r="AH43">
        <v>5.0529999999999999E-2</v>
      </c>
      <c r="AI43" s="21">
        <v>2.1999999999999999E-2</v>
      </c>
    </row>
    <row r="44" spans="1:35">
      <c r="A44" t="s">
        <v>277</v>
      </c>
      <c r="B44" t="s">
        <v>1938</v>
      </c>
      <c r="C44" t="s">
        <v>1937</v>
      </c>
      <c r="D44" t="s">
        <v>359</v>
      </c>
      <c r="F44">
        <v>2.1454529999999998</v>
      </c>
      <c r="G44">
        <v>2.1948080000000001</v>
      </c>
      <c r="H44">
        <v>2.238753</v>
      </c>
      <c r="I44">
        <v>2.2810100000000002</v>
      </c>
      <c r="J44">
        <v>2.3176160000000001</v>
      </c>
      <c r="K44">
        <v>2.333008</v>
      </c>
      <c r="L44">
        <v>2.3302770000000002</v>
      </c>
      <c r="M44">
        <v>2.3079909999999999</v>
      </c>
      <c r="N44">
        <v>2.2735799999999999</v>
      </c>
      <c r="O44">
        <v>2.2439960000000001</v>
      </c>
      <c r="P44">
        <v>2.2315640000000001</v>
      </c>
      <c r="Q44">
        <v>2.2348680000000001</v>
      </c>
      <c r="R44">
        <v>2.258435</v>
      </c>
      <c r="S44">
        <v>2.300837</v>
      </c>
      <c r="T44">
        <v>2.3548930000000001</v>
      </c>
      <c r="U44">
        <v>2.4257279999999999</v>
      </c>
      <c r="V44">
        <v>2.5085950000000001</v>
      </c>
      <c r="W44">
        <v>2.603091</v>
      </c>
      <c r="X44">
        <v>2.7135720000000001</v>
      </c>
      <c r="Y44">
        <v>2.839585</v>
      </c>
      <c r="Z44">
        <v>2.9759509999999998</v>
      </c>
      <c r="AA44">
        <v>3.1213359999999999</v>
      </c>
      <c r="AB44">
        <v>3.2739780000000001</v>
      </c>
      <c r="AC44">
        <v>3.4313400000000001</v>
      </c>
      <c r="AD44">
        <v>3.5991050000000002</v>
      </c>
      <c r="AE44">
        <v>3.7760549999999999</v>
      </c>
      <c r="AF44">
        <v>3.9549439999999998</v>
      </c>
      <c r="AG44">
        <v>4.1425939999999999</v>
      </c>
      <c r="AH44">
        <v>4.3523269999999998</v>
      </c>
      <c r="AI44" s="21">
        <v>2.5999999999999999E-2</v>
      </c>
    </row>
    <row r="45" spans="1:35">
      <c r="A45" t="s">
        <v>333</v>
      </c>
      <c r="B45" t="s">
        <v>1936</v>
      </c>
      <c r="C45" t="s">
        <v>1935</v>
      </c>
      <c r="D45" t="s">
        <v>359</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t="s">
        <v>17</v>
      </c>
    </row>
    <row r="46" spans="1:35">
      <c r="A46" t="s">
        <v>334</v>
      </c>
      <c r="B46" t="s">
        <v>1934</v>
      </c>
      <c r="C46" t="s">
        <v>1933</v>
      </c>
      <c r="D46" t="s">
        <v>359</v>
      </c>
      <c r="F46">
        <v>4.2640000000000004E-3</v>
      </c>
      <c r="G46">
        <v>4.9620000000000003E-3</v>
      </c>
      <c r="H46">
        <v>5.5589999999999997E-3</v>
      </c>
      <c r="I46">
        <v>6.0879999999999997E-3</v>
      </c>
      <c r="J46">
        <v>6.5510000000000004E-3</v>
      </c>
      <c r="K46">
        <v>6.9119999999999997E-3</v>
      </c>
      <c r="L46">
        <v>7.1720000000000004E-3</v>
      </c>
      <c r="M46">
        <v>7.3239999999999998E-3</v>
      </c>
      <c r="N46">
        <v>7.3829999999999998E-3</v>
      </c>
      <c r="O46">
        <v>7.3670000000000003E-3</v>
      </c>
      <c r="P46">
        <v>7.2839999999999997E-3</v>
      </c>
      <c r="Q46">
        <v>7.1079999999999997E-3</v>
      </c>
      <c r="R46">
        <v>6.8630000000000002E-3</v>
      </c>
      <c r="S46">
        <v>6.574E-3</v>
      </c>
      <c r="T46">
        <v>6.2440000000000004E-3</v>
      </c>
      <c r="U46">
        <v>5.9220000000000002E-3</v>
      </c>
      <c r="V46">
        <v>5.6039999999999996E-3</v>
      </c>
      <c r="W46">
        <v>5.2440000000000004E-3</v>
      </c>
      <c r="X46">
        <v>4.8760000000000001E-3</v>
      </c>
      <c r="Y46">
        <v>4.5599999999999998E-3</v>
      </c>
      <c r="Z46">
        <v>4.2989999999999999E-3</v>
      </c>
      <c r="AA46">
        <v>4.0299999999999997E-3</v>
      </c>
      <c r="AB46">
        <v>3.7850000000000002E-3</v>
      </c>
      <c r="AC46">
        <v>3.5599999999999998E-3</v>
      </c>
      <c r="AD46">
        <v>3.3570000000000002E-3</v>
      </c>
      <c r="AE46">
        <v>3.1700000000000001E-3</v>
      </c>
      <c r="AF46">
        <v>2.9910000000000002E-3</v>
      </c>
      <c r="AG46">
        <v>2.826E-3</v>
      </c>
      <c r="AH46">
        <v>2.6809999999999998E-3</v>
      </c>
      <c r="AI46" s="21">
        <v>-1.6E-2</v>
      </c>
    </row>
    <row r="47" spans="1:35">
      <c r="A47" t="s">
        <v>336</v>
      </c>
      <c r="B47" t="s">
        <v>1932</v>
      </c>
      <c r="C47" t="s">
        <v>1931</v>
      </c>
      <c r="D47" t="s">
        <v>359</v>
      </c>
      <c r="F47">
        <v>0</v>
      </c>
      <c r="G47">
        <v>0</v>
      </c>
      <c r="H47">
        <v>1.2459999999999999E-3</v>
      </c>
      <c r="I47">
        <v>2.4299999999999999E-3</v>
      </c>
      <c r="J47">
        <v>3.5999999999999999E-3</v>
      </c>
      <c r="K47">
        <v>4.7790000000000003E-3</v>
      </c>
      <c r="L47">
        <v>5.9699999999999996E-3</v>
      </c>
      <c r="M47">
        <v>7.1459999999999996E-3</v>
      </c>
      <c r="N47">
        <v>8.3099999999999997E-3</v>
      </c>
      <c r="O47">
        <v>9.4830000000000001E-3</v>
      </c>
      <c r="P47">
        <v>1.0697E-2</v>
      </c>
      <c r="Q47">
        <v>1.1908E-2</v>
      </c>
      <c r="R47">
        <v>1.3110999999999999E-2</v>
      </c>
      <c r="S47">
        <v>1.4297000000000001E-2</v>
      </c>
      <c r="T47">
        <v>1.5442000000000001E-2</v>
      </c>
      <c r="U47">
        <v>1.6583000000000001E-2</v>
      </c>
      <c r="V47">
        <v>1.7701999999999999E-2</v>
      </c>
      <c r="W47">
        <v>1.8821000000000001E-2</v>
      </c>
      <c r="X47">
        <v>1.9993E-2</v>
      </c>
      <c r="Y47">
        <v>2.1249000000000001E-2</v>
      </c>
      <c r="Z47">
        <v>2.2599000000000001E-2</v>
      </c>
      <c r="AA47">
        <v>2.4008999999999999E-2</v>
      </c>
      <c r="AB47">
        <v>2.5467E-2</v>
      </c>
      <c r="AC47">
        <v>2.7012999999999999E-2</v>
      </c>
      <c r="AD47">
        <v>2.8766E-2</v>
      </c>
      <c r="AE47">
        <v>3.0682000000000001E-2</v>
      </c>
      <c r="AF47">
        <v>3.2723000000000002E-2</v>
      </c>
      <c r="AG47">
        <v>3.4948E-2</v>
      </c>
      <c r="AH47">
        <v>3.7458999999999999E-2</v>
      </c>
      <c r="AI47" t="s">
        <v>17</v>
      </c>
    </row>
    <row r="48" spans="1:35">
      <c r="A48" t="s">
        <v>335</v>
      </c>
      <c r="B48" t="s">
        <v>1930</v>
      </c>
      <c r="C48" t="s">
        <v>1929</v>
      </c>
      <c r="D48" t="s">
        <v>359</v>
      </c>
      <c r="F48">
        <v>0</v>
      </c>
      <c r="G48">
        <v>0</v>
      </c>
      <c r="H48">
        <v>2.7629999999999998E-3</v>
      </c>
      <c r="I48">
        <v>5.3410000000000003E-3</v>
      </c>
      <c r="J48">
        <v>7.8609999999999999E-3</v>
      </c>
      <c r="K48">
        <v>1.0366999999999999E-2</v>
      </c>
      <c r="L48">
        <v>1.2848999999999999E-2</v>
      </c>
      <c r="M48">
        <v>1.5254999999999999E-2</v>
      </c>
      <c r="N48">
        <v>1.7602E-2</v>
      </c>
      <c r="O48">
        <v>1.9949999999999999E-2</v>
      </c>
      <c r="P48">
        <v>2.2349999999999998E-2</v>
      </c>
      <c r="Q48">
        <v>2.4709999999999999E-2</v>
      </c>
      <c r="R48">
        <v>2.7015999999999998E-2</v>
      </c>
      <c r="S48">
        <v>2.9253000000000001E-2</v>
      </c>
      <c r="T48">
        <v>3.1358999999999998E-2</v>
      </c>
      <c r="U48">
        <v>3.3411999999999997E-2</v>
      </c>
      <c r="V48">
        <v>3.5375999999999998E-2</v>
      </c>
      <c r="W48">
        <v>3.7298999999999999E-2</v>
      </c>
      <c r="X48">
        <v>3.9281999999999997E-2</v>
      </c>
      <c r="Y48">
        <v>4.1389000000000002E-2</v>
      </c>
      <c r="Z48">
        <v>4.3633999999999999E-2</v>
      </c>
      <c r="AA48">
        <v>4.5939000000000001E-2</v>
      </c>
      <c r="AB48">
        <v>4.8251000000000002E-2</v>
      </c>
      <c r="AC48">
        <v>5.0642E-2</v>
      </c>
      <c r="AD48">
        <v>5.3318999999999998E-2</v>
      </c>
      <c r="AE48">
        <v>5.6163999999999999E-2</v>
      </c>
      <c r="AF48">
        <v>5.9069999999999998E-2</v>
      </c>
      <c r="AG48">
        <v>6.2129999999999998E-2</v>
      </c>
      <c r="AH48">
        <v>6.5481999999999999E-2</v>
      </c>
      <c r="AI48" t="s">
        <v>17</v>
      </c>
    </row>
    <row r="49" spans="1:35">
      <c r="A49" t="s">
        <v>337</v>
      </c>
      <c r="B49" t="s">
        <v>1928</v>
      </c>
      <c r="C49" t="s">
        <v>1927</v>
      </c>
      <c r="D49" t="s">
        <v>359</v>
      </c>
      <c r="F49">
        <v>0</v>
      </c>
      <c r="G49">
        <v>0</v>
      </c>
      <c r="H49">
        <v>6.7799999999999996E-3</v>
      </c>
      <c r="I49">
        <v>1.3259E-2</v>
      </c>
      <c r="J49">
        <v>1.9751000000000001E-2</v>
      </c>
      <c r="K49">
        <v>2.6343999999999999E-2</v>
      </c>
      <c r="L49">
        <v>3.2989999999999998E-2</v>
      </c>
      <c r="M49">
        <v>3.9545999999999998E-2</v>
      </c>
      <c r="N49">
        <v>4.5989000000000002E-2</v>
      </c>
      <c r="O49">
        <v>5.2422999999999997E-2</v>
      </c>
      <c r="P49">
        <v>5.8964999999999997E-2</v>
      </c>
      <c r="Q49">
        <v>6.5315999999999999E-2</v>
      </c>
      <c r="R49">
        <v>7.1456000000000006E-2</v>
      </c>
      <c r="S49">
        <v>7.7359999999999998E-2</v>
      </c>
      <c r="T49">
        <v>8.2834000000000005E-2</v>
      </c>
      <c r="U49">
        <v>8.8063000000000002E-2</v>
      </c>
      <c r="V49">
        <v>9.2966999999999994E-2</v>
      </c>
      <c r="W49">
        <v>9.7628999999999994E-2</v>
      </c>
      <c r="X49">
        <v>0.102295</v>
      </c>
      <c r="Y49">
        <v>0.107098</v>
      </c>
      <c r="Z49">
        <v>0.112072</v>
      </c>
      <c r="AA49">
        <v>0.117018</v>
      </c>
      <c r="AB49">
        <v>0.121867</v>
      </c>
      <c r="AC49">
        <v>0.126833</v>
      </c>
      <c r="AD49">
        <v>0.13251499999999999</v>
      </c>
      <c r="AE49">
        <v>0.13867199999999999</v>
      </c>
      <c r="AF49">
        <v>0.14514199999999999</v>
      </c>
      <c r="AG49">
        <v>0.15223400000000001</v>
      </c>
      <c r="AH49">
        <v>0.16041800000000001</v>
      </c>
      <c r="AI49" t="s">
        <v>17</v>
      </c>
    </row>
    <row r="50" spans="1:35">
      <c r="A50" t="s">
        <v>364</v>
      </c>
      <c r="B50" t="s">
        <v>1926</v>
      </c>
      <c r="C50" t="s">
        <v>1925</v>
      </c>
      <c r="D50" t="s">
        <v>359</v>
      </c>
      <c r="F50">
        <v>187.21160900000001</v>
      </c>
      <c r="G50">
        <v>186.77065999999999</v>
      </c>
      <c r="H50">
        <v>187.000778</v>
      </c>
      <c r="I50">
        <v>188.45283499999999</v>
      </c>
      <c r="J50">
        <v>190.68485999999999</v>
      </c>
      <c r="K50">
        <v>192.55638099999999</v>
      </c>
      <c r="L50">
        <v>194.11634799999999</v>
      </c>
      <c r="M50">
        <v>194.965881</v>
      </c>
      <c r="N50">
        <v>195.39752200000001</v>
      </c>
      <c r="O50">
        <v>195.89364599999999</v>
      </c>
      <c r="P50">
        <v>196.827133</v>
      </c>
      <c r="Q50">
        <v>197.409042</v>
      </c>
      <c r="R50">
        <v>197.923721</v>
      </c>
      <c r="S50">
        <v>198.56163000000001</v>
      </c>
      <c r="T50">
        <v>198.940033</v>
      </c>
      <c r="U50">
        <v>199.57363900000001</v>
      </c>
      <c r="V50">
        <v>200.20254499999999</v>
      </c>
      <c r="W50">
        <v>200.71847500000001</v>
      </c>
      <c r="X50">
        <v>201.372726</v>
      </c>
      <c r="Y50">
        <v>202.11119099999999</v>
      </c>
      <c r="Z50">
        <v>202.83833300000001</v>
      </c>
      <c r="AA50">
        <v>203.409256</v>
      </c>
      <c r="AB50">
        <v>203.777603</v>
      </c>
      <c r="AC50">
        <v>203.91366600000001</v>
      </c>
      <c r="AD50">
        <v>204.18713399999999</v>
      </c>
      <c r="AE50">
        <v>204.44009399999999</v>
      </c>
      <c r="AF50">
        <v>204.41752600000001</v>
      </c>
      <c r="AG50">
        <v>204.47378499999999</v>
      </c>
      <c r="AH50">
        <v>205.13784799999999</v>
      </c>
      <c r="AI50" s="21">
        <v>3.0000000000000001E-3</v>
      </c>
    </row>
    <row r="51" spans="1:35">
      <c r="A51" t="s">
        <v>365</v>
      </c>
      <c r="B51" t="s">
        <v>1924</v>
      </c>
      <c r="C51" t="s">
        <v>1923</v>
      </c>
      <c r="D51" t="s">
        <v>359</v>
      </c>
      <c r="F51">
        <v>321.95382699999999</v>
      </c>
      <c r="G51">
        <v>320.71957400000002</v>
      </c>
      <c r="H51">
        <v>321.15536500000002</v>
      </c>
      <c r="I51">
        <v>324.03747600000003</v>
      </c>
      <c r="J51">
        <v>328.449524</v>
      </c>
      <c r="K51">
        <v>332.317474</v>
      </c>
      <c r="L51">
        <v>335.87713600000001</v>
      </c>
      <c r="M51">
        <v>338.61987299999998</v>
      </c>
      <c r="N51">
        <v>341.150757</v>
      </c>
      <c r="O51">
        <v>344.15997299999998</v>
      </c>
      <c r="P51">
        <v>348.16451999999998</v>
      </c>
      <c r="Q51">
        <v>351.53851300000002</v>
      </c>
      <c r="R51">
        <v>354.827271</v>
      </c>
      <c r="S51">
        <v>358.34310900000003</v>
      </c>
      <c r="T51">
        <v>361.39160199999998</v>
      </c>
      <c r="U51">
        <v>364.92498799999998</v>
      </c>
      <c r="V51">
        <v>368.37805200000003</v>
      </c>
      <c r="W51">
        <v>371.80917399999998</v>
      </c>
      <c r="X51">
        <v>375.585419</v>
      </c>
      <c r="Y51">
        <v>379.58303799999999</v>
      </c>
      <c r="Z51">
        <v>383.51110799999998</v>
      </c>
      <c r="AA51">
        <v>387.20507800000001</v>
      </c>
      <c r="AB51">
        <v>390.63012700000002</v>
      </c>
      <c r="AC51">
        <v>393.83450299999998</v>
      </c>
      <c r="AD51">
        <v>397.53842200000003</v>
      </c>
      <c r="AE51">
        <v>401.35025000000002</v>
      </c>
      <c r="AF51">
        <v>404.65438799999998</v>
      </c>
      <c r="AG51">
        <v>408.21890300000001</v>
      </c>
      <c r="AH51">
        <v>413.07754499999999</v>
      </c>
      <c r="AI51" s="21">
        <v>8.9999999999999993E-3</v>
      </c>
    </row>
    <row r="52" spans="1:35">
      <c r="A52" t="s">
        <v>366</v>
      </c>
    </row>
    <row r="53" spans="1:35">
      <c r="A53" t="s">
        <v>358</v>
      </c>
    </row>
    <row r="54" spans="1:35">
      <c r="A54" t="s">
        <v>297</v>
      </c>
      <c r="B54" t="s">
        <v>1922</v>
      </c>
      <c r="C54" t="s">
        <v>1921</v>
      </c>
      <c r="D54" t="s">
        <v>306</v>
      </c>
      <c r="F54">
        <v>503.23831200000001</v>
      </c>
      <c r="G54">
        <v>484.80926499999998</v>
      </c>
      <c r="H54">
        <v>470.10183699999999</v>
      </c>
      <c r="I54">
        <v>459.78448500000002</v>
      </c>
      <c r="J54">
        <v>451.87814300000002</v>
      </c>
      <c r="K54">
        <v>443.24606299999999</v>
      </c>
      <c r="L54">
        <v>435.43273900000003</v>
      </c>
      <c r="M54">
        <v>428.57592799999998</v>
      </c>
      <c r="N54">
        <v>424.18490600000001</v>
      </c>
      <c r="O54">
        <v>422.56686400000001</v>
      </c>
      <c r="P54">
        <v>423.05703699999998</v>
      </c>
      <c r="Q54">
        <v>423.25711100000001</v>
      </c>
      <c r="R54">
        <v>424.284088</v>
      </c>
      <c r="S54">
        <v>426.25698899999998</v>
      </c>
      <c r="T54">
        <v>428.07437099999999</v>
      </c>
      <c r="U54">
        <v>430.74142499999999</v>
      </c>
      <c r="V54">
        <v>433.84167500000001</v>
      </c>
      <c r="W54">
        <v>437.71460000000002</v>
      </c>
      <c r="X54">
        <v>442.68820199999999</v>
      </c>
      <c r="Y54">
        <v>448.15237400000001</v>
      </c>
      <c r="Z54">
        <v>453.842896</v>
      </c>
      <c r="AA54">
        <v>459.89022799999998</v>
      </c>
      <c r="AB54">
        <v>466.29980499999999</v>
      </c>
      <c r="AC54">
        <v>473.53125</v>
      </c>
      <c r="AD54">
        <v>482.34017899999998</v>
      </c>
      <c r="AE54">
        <v>491.89630099999999</v>
      </c>
      <c r="AF54">
        <v>501.23675500000002</v>
      </c>
      <c r="AG54">
        <v>511.31161500000002</v>
      </c>
      <c r="AH54">
        <v>523.31237799999997</v>
      </c>
      <c r="AI54" s="21">
        <v>1E-3</v>
      </c>
    </row>
    <row r="55" spans="1:35">
      <c r="A55" t="s">
        <v>283</v>
      </c>
      <c r="B55" t="s">
        <v>1920</v>
      </c>
      <c r="C55" t="s">
        <v>1919</v>
      </c>
      <c r="D55" t="s">
        <v>306</v>
      </c>
      <c r="F55">
        <v>196.41987599999999</v>
      </c>
      <c r="G55">
        <v>201.42117300000001</v>
      </c>
      <c r="H55">
        <v>206.93258700000001</v>
      </c>
      <c r="I55">
        <v>213.48280299999999</v>
      </c>
      <c r="J55">
        <v>220.532242</v>
      </c>
      <c r="K55">
        <v>226.21765099999999</v>
      </c>
      <c r="L55">
        <v>231.31050099999999</v>
      </c>
      <c r="M55">
        <v>235.959091</v>
      </c>
      <c r="N55">
        <v>241.020599</v>
      </c>
      <c r="O55">
        <v>246.62307699999999</v>
      </c>
      <c r="P55">
        <v>253.26930200000001</v>
      </c>
      <c r="Q55">
        <v>259.52279700000003</v>
      </c>
      <c r="R55">
        <v>265.59988399999997</v>
      </c>
      <c r="S55">
        <v>271.63848899999999</v>
      </c>
      <c r="T55">
        <v>277.36450200000002</v>
      </c>
      <c r="U55">
        <v>283.44360399999999</v>
      </c>
      <c r="V55">
        <v>289.37484699999999</v>
      </c>
      <c r="W55">
        <v>295.02786300000002</v>
      </c>
      <c r="X55">
        <v>300.90585299999998</v>
      </c>
      <c r="Y55">
        <v>307.12255900000002</v>
      </c>
      <c r="Z55">
        <v>313.00485200000003</v>
      </c>
      <c r="AA55">
        <v>318.11236600000001</v>
      </c>
      <c r="AB55">
        <v>322.94775399999997</v>
      </c>
      <c r="AC55">
        <v>327.87622099999999</v>
      </c>
      <c r="AD55">
        <v>333.58059700000001</v>
      </c>
      <c r="AE55">
        <v>339.54461700000002</v>
      </c>
      <c r="AF55">
        <v>345.05282599999998</v>
      </c>
      <c r="AG55">
        <v>350.95578</v>
      </c>
      <c r="AH55">
        <v>358.22073399999999</v>
      </c>
      <c r="AI55" s="21">
        <v>2.1999999999999999E-2</v>
      </c>
    </row>
    <row r="56" spans="1:35">
      <c r="A56" t="s">
        <v>278</v>
      </c>
      <c r="B56" t="s">
        <v>1918</v>
      </c>
      <c r="C56" t="s">
        <v>1917</v>
      </c>
      <c r="D56" t="s">
        <v>306</v>
      </c>
      <c r="F56">
        <v>8.8240000000000002E-3</v>
      </c>
      <c r="G56">
        <v>7.9077999999999996E-2</v>
      </c>
      <c r="H56">
        <v>0.148368</v>
      </c>
      <c r="I56">
        <v>0.21179600000000001</v>
      </c>
      <c r="J56">
        <v>0.27223000000000003</v>
      </c>
      <c r="K56">
        <v>0.32808500000000002</v>
      </c>
      <c r="L56">
        <v>0.38041599999999998</v>
      </c>
      <c r="M56">
        <v>0.42970399999999997</v>
      </c>
      <c r="N56">
        <v>0.47746899999999998</v>
      </c>
      <c r="O56">
        <v>0.52570099999999997</v>
      </c>
      <c r="P56">
        <v>0.57518100000000005</v>
      </c>
      <c r="Q56">
        <v>0.62354500000000002</v>
      </c>
      <c r="R56">
        <v>0.67189600000000005</v>
      </c>
      <c r="S56">
        <v>0.72209299999999998</v>
      </c>
      <c r="T56">
        <v>0.774258</v>
      </c>
      <c r="U56">
        <v>0.83129299999999995</v>
      </c>
      <c r="V56">
        <v>0.89303100000000002</v>
      </c>
      <c r="W56">
        <v>0.96070500000000003</v>
      </c>
      <c r="X56">
        <v>1.0362130000000001</v>
      </c>
      <c r="Y56">
        <v>1.1198399999999999</v>
      </c>
      <c r="Z56">
        <v>1.2106049999999999</v>
      </c>
      <c r="AA56">
        <v>1.308586</v>
      </c>
      <c r="AB56">
        <v>1.4124559999999999</v>
      </c>
      <c r="AC56">
        <v>1.5254019999999999</v>
      </c>
      <c r="AD56">
        <v>1.6511499999999999</v>
      </c>
      <c r="AE56">
        <v>1.7869219999999999</v>
      </c>
      <c r="AF56">
        <v>1.9285939999999999</v>
      </c>
      <c r="AG56">
        <v>2.0794359999999998</v>
      </c>
      <c r="AH56">
        <v>2.2445430000000002</v>
      </c>
      <c r="AI56" s="21">
        <v>0.219</v>
      </c>
    </row>
    <row r="57" spans="1:35">
      <c r="A57" t="s">
        <v>277</v>
      </c>
      <c r="B57" t="s">
        <v>1916</v>
      </c>
      <c r="C57" t="s">
        <v>1915</v>
      </c>
      <c r="D57" t="s">
        <v>306</v>
      </c>
      <c r="F57">
        <v>0.19211600000000001</v>
      </c>
      <c r="G57">
        <v>0.174257</v>
      </c>
      <c r="H57">
        <v>0.158799</v>
      </c>
      <c r="I57">
        <v>0.14580599999999999</v>
      </c>
      <c r="J57">
        <v>0.134438</v>
      </c>
      <c r="K57">
        <v>0.123654</v>
      </c>
      <c r="L57">
        <v>0.113679</v>
      </c>
      <c r="M57">
        <v>0.10448499999999999</v>
      </c>
      <c r="N57">
        <v>9.6243999999999996E-2</v>
      </c>
      <c r="O57">
        <v>8.8942999999999994E-2</v>
      </c>
      <c r="P57">
        <v>8.2427E-2</v>
      </c>
      <c r="Q57">
        <v>7.5772999999999993E-2</v>
      </c>
      <c r="R57">
        <v>6.8821999999999994E-2</v>
      </c>
      <c r="S57">
        <v>6.1432E-2</v>
      </c>
      <c r="T57">
        <v>5.3884000000000001E-2</v>
      </c>
      <c r="U57">
        <v>4.5974000000000001E-2</v>
      </c>
      <c r="V57">
        <v>3.8684999999999997E-2</v>
      </c>
      <c r="W57">
        <v>3.2133000000000002E-2</v>
      </c>
      <c r="X57">
        <v>2.5618999999999999E-2</v>
      </c>
      <c r="Y57">
        <v>2.0525000000000002E-2</v>
      </c>
      <c r="Z57">
        <v>1.6806999999999999E-2</v>
      </c>
      <c r="AA57">
        <v>1.4121999999999999E-2</v>
      </c>
      <c r="AB57">
        <v>1.2397999999999999E-2</v>
      </c>
      <c r="AC57">
        <v>1.1207999999999999E-2</v>
      </c>
      <c r="AD57">
        <v>1.0267E-2</v>
      </c>
      <c r="AE57">
        <v>9.6069999999999992E-3</v>
      </c>
      <c r="AF57">
        <v>8.7349999999999997E-3</v>
      </c>
      <c r="AG57">
        <v>7.7340000000000004E-3</v>
      </c>
      <c r="AH57">
        <v>6.4900000000000001E-3</v>
      </c>
      <c r="AI57" s="21">
        <v>-0.114</v>
      </c>
    </row>
    <row r="58" spans="1:35">
      <c r="A58" t="s">
        <v>333</v>
      </c>
      <c r="B58" t="s">
        <v>1914</v>
      </c>
      <c r="C58" t="s">
        <v>1913</v>
      </c>
      <c r="D58" t="s">
        <v>306</v>
      </c>
      <c r="F58">
        <v>45.964244999999998</v>
      </c>
      <c r="G58">
        <v>44.611794000000003</v>
      </c>
      <c r="H58">
        <v>43.499820999999997</v>
      </c>
      <c r="I58">
        <v>42.670467000000002</v>
      </c>
      <c r="J58">
        <v>42.056103</v>
      </c>
      <c r="K58">
        <v>41.417850000000001</v>
      </c>
      <c r="L58">
        <v>40.858673000000003</v>
      </c>
      <c r="M58">
        <v>40.401375000000002</v>
      </c>
      <c r="N58">
        <v>40.094642999999998</v>
      </c>
      <c r="O58">
        <v>39.995682000000002</v>
      </c>
      <c r="P58">
        <v>40.077168</v>
      </c>
      <c r="Q58">
        <v>40.087780000000002</v>
      </c>
      <c r="R58">
        <v>39.881618000000003</v>
      </c>
      <c r="S58">
        <v>39.530631999999997</v>
      </c>
      <c r="T58">
        <v>38.979152999999997</v>
      </c>
      <c r="U58">
        <v>38.427227000000002</v>
      </c>
      <c r="V58">
        <v>37.705452000000001</v>
      </c>
      <c r="W58">
        <v>37.000895999999997</v>
      </c>
      <c r="X58">
        <v>36.440112999999997</v>
      </c>
      <c r="Y58">
        <v>36.083660000000002</v>
      </c>
      <c r="Z58">
        <v>35.872028</v>
      </c>
      <c r="AA58">
        <v>35.852294999999998</v>
      </c>
      <c r="AB58">
        <v>36.018428999999998</v>
      </c>
      <c r="AC58">
        <v>36.285957000000003</v>
      </c>
      <c r="AD58">
        <v>36.676158999999998</v>
      </c>
      <c r="AE58">
        <v>37.130253000000003</v>
      </c>
      <c r="AF58">
        <v>37.561069000000003</v>
      </c>
      <c r="AG58">
        <v>38.004097000000002</v>
      </c>
      <c r="AH58">
        <v>38.549273999999997</v>
      </c>
      <c r="AI58" s="21">
        <v>-6.0000000000000001E-3</v>
      </c>
    </row>
    <row r="59" spans="1:35">
      <c r="A59" t="s">
        <v>334</v>
      </c>
      <c r="B59" t="s">
        <v>1912</v>
      </c>
      <c r="C59" t="s">
        <v>1911</v>
      </c>
      <c r="D59" t="s">
        <v>306</v>
      </c>
      <c r="F59">
        <v>4.6179999999999997E-3</v>
      </c>
      <c r="G59">
        <v>4.1770000000000002E-3</v>
      </c>
      <c r="H59">
        <v>3.8210000000000002E-3</v>
      </c>
      <c r="I59">
        <v>3.5539999999999999E-3</v>
      </c>
      <c r="J59">
        <v>3.3570000000000002E-3</v>
      </c>
      <c r="K59">
        <v>3.2000000000000002E-3</v>
      </c>
      <c r="L59">
        <v>3.0839999999999999E-3</v>
      </c>
      <c r="M59">
        <v>2.8990000000000001E-3</v>
      </c>
      <c r="N59">
        <v>2.6640000000000001E-3</v>
      </c>
      <c r="O59">
        <v>2.4459999999999998E-3</v>
      </c>
      <c r="P59">
        <v>2.2529999999999998E-3</v>
      </c>
      <c r="Q59">
        <v>1.897E-3</v>
      </c>
      <c r="R59">
        <v>1.495E-3</v>
      </c>
      <c r="S59">
        <v>1.176E-3</v>
      </c>
      <c r="T59">
        <v>9.2299999999999999E-4</v>
      </c>
      <c r="U59">
        <v>7.2400000000000003E-4</v>
      </c>
      <c r="V59">
        <v>5.6800000000000004E-4</v>
      </c>
      <c r="W59">
        <v>4.44E-4</v>
      </c>
      <c r="X59">
        <v>3.9599999999999998E-4</v>
      </c>
      <c r="Y59">
        <v>3.8699999999999997E-4</v>
      </c>
      <c r="Z59">
        <v>3.7800000000000003E-4</v>
      </c>
      <c r="AA59">
        <v>3.68E-4</v>
      </c>
      <c r="AB59">
        <v>2.9799999999999998E-4</v>
      </c>
      <c r="AC59">
        <v>2.0900000000000001E-4</v>
      </c>
      <c r="AD59">
        <v>1.47E-4</v>
      </c>
      <c r="AE59">
        <v>1.03E-4</v>
      </c>
      <c r="AF59">
        <v>7.2999999999999999E-5</v>
      </c>
      <c r="AG59">
        <v>5.1E-5</v>
      </c>
      <c r="AH59">
        <v>3.6000000000000001E-5</v>
      </c>
      <c r="AI59" s="21">
        <v>-0.159</v>
      </c>
    </row>
    <row r="60" spans="1:35">
      <c r="A60" t="s">
        <v>336</v>
      </c>
      <c r="B60" t="s">
        <v>1910</v>
      </c>
      <c r="C60" t="s">
        <v>1909</v>
      </c>
      <c r="D60" t="s">
        <v>306</v>
      </c>
      <c r="F60">
        <v>0</v>
      </c>
      <c r="G60">
        <v>3.4696999999999999E-2</v>
      </c>
      <c r="H60">
        <v>6.8790000000000004E-2</v>
      </c>
      <c r="I60">
        <v>0.10378999999999999</v>
      </c>
      <c r="J60">
        <v>0.13921900000000001</v>
      </c>
      <c r="K60">
        <v>0.17366699999999999</v>
      </c>
      <c r="L60">
        <v>0.207235</v>
      </c>
      <c r="M60">
        <v>0.239813</v>
      </c>
      <c r="N60">
        <v>0.27203899999999998</v>
      </c>
      <c r="O60">
        <v>0.30468499999999998</v>
      </c>
      <c r="P60">
        <v>0.338422</v>
      </c>
      <c r="Q60">
        <v>0.37222899999999998</v>
      </c>
      <c r="R60">
        <v>0.40734900000000002</v>
      </c>
      <c r="S60">
        <v>0.444994</v>
      </c>
      <c r="T60">
        <v>0.48526599999999998</v>
      </c>
      <c r="U60">
        <v>0.53018200000000004</v>
      </c>
      <c r="V60">
        <v>0.58024100000000001</v>
      </c>
      <c r="W60">
        <v>0.63640699999999994</v>
      </c>
      <c r="X60">
        <v>0.70034300000000005</v>
      </c>
      <c r="Y60">
        <v>0.77213600000000004</v>
      </c>
      <c r="Z60">
        <v>0.85035000000000005</v>
      </c>
      <c r="AA60">
        <v>0.93393899999999996</v>
      </c>
      <c r="AB60">
        <v>1.022764</v>
      </c>
      <c r="AC60">
        <v>1.1177969999999999</v>
      </c>
      <c r="AD60">
        <v>1.219284</v>
      </c>
      <c r="AE60">
        <v>1.324989</v>
      </c>
      <c r="AF60">
        <v>1.431711</v>
      </c>
      <c r="AG60">
        <v>1.542152</v>
      </c>
      <c r="AH60">
        <v>1.6598889999999999</v>
      </c>
      <c r="AI60" t="s">
        <v>17</v>
      </c>
    </row>
    <row r="61" spans="1:35">
      <c r="A61" t="s">
        <v>335</v>
      </c>
      <c r="B61" t="s">
        <v>1908</v>
      </c>
      <c r="C61" t="s">
        <v>1907</v>
      </c>
      <c r="D61" t="s">
        <v>306</v>
      </c>
      <c r="F61">
        <v>0</v>
      </c>
      <c r="G61">
        <v>3.9742E-2</v>
      </c>
      <c r="H61">
        <v>7.9436000000000007E-2</v>
      </c>
      <c r="I61">
        <v>0.11969100000000001</v>
      </c>
      <c r="J61">
        <v>0.160329</v>
      </c>
      <c r="K61">
        <v>0.19969200000000001</v>
      </c>
      <c r="L61">
        <v>0.23766300000000001</v>
      </c>
      <c r="M61">
        <v>0.27445999999999998</v>
      </c>
      <c r="N61">
        <v>0.311191</v>
      </c>
      <c r="O61">
        <v>0.34926800000000002</v>
      </c>
      <c r="P61">
        <v>0.38959700000000003</v>
      </c>
      <c r="Q61">
        <v>0.43108600000000002</v>
      </c>
      <c r="R61">
        <v>0.47512700000000002</v>
      </c>
      <c r="S61">
        <v>0.523366</v>
      </c>
      <c r="T61">
        <v>0.57591300000000001</v>
      </c>
      <c r="U61">
        <v>0.63542900000000002</v>
      </c>
      <c r="V61">
        <v>0.70260500000000004</v>
      </c>
      <c r="W61">
        <v>0.77890000000000004</v>
      </c>
      <c r="X61">
        <v>0.86641400000000002</v>
      </c>
      <c r="Y61">
        <v>0.96546299999999996</v>
      </c>
      <c r="Z61">
        <v>1.074376</v>
      </c>
      <c r="AA61">
        <v>1.1920660000000001</v>
      </c>
      <c r="AB61">
        <v>1.317839</v>
      </c>
      <c r="AC61">
        <v>1.452814</v>
      </c>
      <c r="AD61">
        <v>1.5967849999999999</v>
      </c>
      <c r="AE61">
        <v>1.746942</v>
      </c>
      <c r="AF61">
        <v>1.89845</v>
      </c>
      <c r="AG61">
        <v>2.054983</v>
      </c>
      <c r="AH61">
        <v>2.2206440000000001</v>
      </c>
      <c r="AI61" t="s">
        <v>17</v>
      </c>
    </row>
    <row r="62" spans="1:35">
      <c r="A62" t="s">
        <v>337</v>
      </c>
      <c r="B62" t="s">
        <v>1906</v>
      </c>
      <c r="C62" t="s">
        <v>1905</v>
      </c>
      <c r="D62" t="s">
        <v>306</v>
      </c>
      <c r="F62">
        <v>0</v>
      </c>
      <c r="G62">
        <v>0</v>
      </c>
      <c r="H62">
        <v>1.4E-5</v>
      </c>
      <c r="I62">
        <v>3.0000000000000001E-5</v>
      </c>
      <c r="J62">
        <v>4.6999999999999997E-5</v>
      </c>
      <c r="K62">
        <v>6.3E-5</v>
      </c>
      <c r="L62">
        <v>8.0000000000000007E-5</v>
      </c>
      <c r="M62">
        <v>9.5000000000000005E-5</v>
      </c>
      <c r="N62">
        <v>1.1E-4</v>
      </c>
      <c r="O62">
        <v>1.25E-4</v>
      </c>
      <c r="P62">
        <v>1.3999999999999999E-4</v>
      </c>
      <c r="Q62">
        <v>1.5300000000000001E-4</v>
      </c>
      <c r="R62">
        <v>1.66E-4</v>
      </c>
      <c r="S62">
        <v>1.7699999999999999E-4</v>
      </c>
      <c r="T62">
        <v>1.8799999999999999E-4</v>
      </c>
      <c r="U62">
        <v>1.9699999999999999E-4</v>
      </c>
      <c r="V62">
        <v>2.0599999999999999E-4</v>
      </c>
      <c r="W62">
        <v>2.1499999999999999E-4</v>
      </c>
      <c r="X62">
        <v>2.22E-4</v>
      </c>
      <c r="Y62">
        <v>2.2900000000000001E-4</v>
      </c>
      <c r="Z62">
        <v>2.3499999999999999E-4</v>
      </c>
      <c r="AA62">
        <v>2.3900000000000001E-4</v>
      </c>
      <c r="AB62">
        <v>2.41E-4</v>
      </c>
      <c r="AC62">
        <v>2.43E-4</v>
      </c>
      <c r="AD62">
        <v>2.43E-4</v>
      </c>
      <c r="AE62">
        <v>2.41E-4</v>
      </c>
      <c r="AF62">
        <v>2.3800000000000001E-4</v>
      </c>
      <c r="AG62">
        <v>2.32E-4</v>
      </c>
      <c r="AH62">
        <v>2.2599999999999999E-4</v>
      </c>
      <c r="AI62" t="s">
        <v>17</v>
      </c>
    </row>
    <row r="63" spans="1:35">
      <c r="A63" t="s">
        <v>360</v>
      </c>
      <c r="B63" t="s">
        <v>1904</v>
      </c>
      <c r="C63" t="s">
        <v>1903</v>
      </c>
      <c r="D63" t="s">
        <v>306</v>
      </c>
      <c r="F63">
        <v>745.82800299999997</v>
      </c>
      <c r="G63">
        <v>731.17419400000006</v>
      </c>
      <c r="H63">
        <v>720.99334699999997</v>
      </c>
      <c r="I63">
        <v>716.52270499999997</v>
      </c>
      <c r="J63">
        <v>715.17602499999998</v>
      </c>
      <c r="K63">
        <v>711.70977800000003</v>
      </c>
      <c r="L63">
        <v>708.54400599999997</v>
      </c>
      <c r="M63">
        <v>705.98767099999998</v>
      </c>
      <c r="N63">
        <v>706.45977800000003</v>
      </c>
      <c r="O63">
        <v>710.45648200000005</v>
      </c>
      <c r="P63">
        <v>717.79107699999997</v>
      </c>
      <c r="Q63">
        <v>724.37237500000003</v>
      </c>
      <c r="R63">
        <v>731.39025900000001</v>
      </c>
      <c r="S63">
        <v>739.17913799999997</v>
      </c>
      <c r="T63">
        <v>746.30835000000002</v>
      </c>
      <c r="U63">
        <v>754.65625</v>
      </c>
      <c r="V63">
        <v>763.13678000000004</v>
      </c>
      <c r="W63">
        <v>772.15191700000003</v>
      </c>
      <c r="X63">
        <v>782.66351299999997</v>
      </c>
      <c r="Y63">
        <v>794.23699999999997</v>
      </c>
      <c r="Z63">
        <v>805.87268100000006</v>
      </c>
      <c r="AA63">
        <v>817.30413799999997</v>
      </c>
      <c r="AB63">
        <v>829.03204300000004</v>
      </c>
      <c r="AC63">
        <v>841.80078100000003</v>
      </c>
      <c r="AD63">
        <v>857.074524</v>
      </c>
      <c r="AE63">
        <v>873.44000200000005</v>
      </c>
      <c r="AF63">
        <v>889.11822500000005</v>
      </c>
      <c r="AG63">
        <v>905.955872</v>
      </c>
      <c r="AH63">
        <v>926.21386700000005</v>
      </c>
      <c r="AI63" s="21">
        <v>8.0000000000000002E-3</v>
      </c>
    </row>
    <row r="64" spans="1:35">
      <c r="A64" t="s">
        <v>361</v>
      </c>
    </row>
    <row r="65" spans="1:35">
      <c r="A65" t="s">
        <v>297</v>
      </c>
      <c r="B65" t="s">
        <v>1902</v>
      </c>
      <c r="C65" t="s">
        <v>1901</v>
      </c>
      <c r="D65" t="s">
        <v>306</v>
      </c>
      <c r="F65">
        <v>596.79718000000003</v>
      </c>
      <c r="G65">
        <v>582.57031199999994</v>
      </c>
      <c r="H65">
        <v>570.54583700000001</v>
      </c>
      <c r="I65">
        <v>562.60992399999998</v>
      </c>
      <c r="J65">
        <v>557.47637899999995</v>
      </c>
      <c r="K65">
        <v>552.10058600000002</v>
      </c>
      <c r="L65">
        <v>547.56726100000003</v>
      </c>
      <c r="M65">
        <v>541.83489999999995</v>
      </c>
      <c r="N65">
        <v>535.99304199999995</v>
      </c>
      <c r="O65">
        <v>531.105774</v>
      </c>
      <c r="P65">
        <v>528.55798300000004</v>
      </c>
      <c r="Q65">
        <v>525.61999500000002</v>
      </c>
      <c r="R65">
        <v>523.05523700000003</v>
      </c>
      <c r="S65">
        <v>521.635132</v>
      </c>
      <c r="T65">
        <v>520.47326699999996</v>
      </c>
      <c r="U65">
        <v>520.68817100000001</v>
      </c>
      <c r="V65">
        <v>521.26672399999995</v>
      </c>
      <c r="W65">
        <v>522.35955799999999</v>
      </c>
      <c r="X65">
        <v>524.42358400000001</v>
      </c>
      <c r="Y65">
        <v>527.08154300000001</v>
      </c>
      <c r="Z65">
        <v>529.90252699999996</v>
      </c>
      <c r="AA65">
        <v>533.30059800000004</v>
      </c>
      <c r="AB65">
        <v>536.98974599999997</v>
      </c>
      <c r="AC65">
        <v>540.51788299999998</v>
      </c>
      <c r="AD65">
        <v>544.76953100000003</v>
      </c>
      <c r="AE65">
        <v>549.50622599999997</v>
      </c>
      <c r="AF65">
        <v>553.89520300000004</v>
      </c>
      <c r="AG65">
        <v>558.68853799999999</v>
      </c>
      <c r="AH65">
        <v>565.29272500000002</v>
      </c>
      <c r="AI65" s="21">
        <v>-2E-3</v>
      </c>
    </row>
    <row r="66" spans="1:35">
      <c r="A66" t="s">
        <v>283</v>
      </c>
      <c r="B66" t="s">
        <v>1900</v>
      </c>
      <c r="C66" t="s">
        <v>1899</v>
      </c>
      <c r="D66" t="s">
        <v>306</v>
      </c>
      <c r="F66">
        <v>361.09713699999998</v>
      </c>
      <c r="G66">
        <v>352.45266700000002</v>
      </c>
      <c r="H66">
        <v>345.87948599999999</v>
      </c>
      <c r="I66">
        <v>341.195312</v>
      </c>
      <c r="J66">
        <v>338.49740600000001</v>
      </c>
      <c r="K66">
        <v>335.44927999999999</v>
      </c>
      <c r="L66">
        <v>333.12942500000003</v>
      </c>
      <c r="M66">
        <v>330.41744999999997</v>
      </c>
      <c r="N66">
        <v>327.605164</v>
      </c>
      <c r="O66">
        <v>325.20840500000003</v>
      </c>
      <c r="P66">
        <v>324.38137799999998</v>
      </c>
      <c r="Q66">
        <v>322.96948200000003</v>
      </c>
      <c r="R66">
        <v>321.80856299999999</v>
      </c>
      <c r="S66">
        <v>321.02459700000003</v>
      </c>
      <c r="T66">
        <v>319.85522500000002</v>
      </c>
      <c r="U66">
        <v>319.80575599999997</v>
      </c>
      <c r="V66">
        <v>319.18862899999999</v>
      </c>
      <c r="W66">
        <v>319.81021099999998</v>
      </c>
      <c r="X66">
        <v>320.52459700000003</v>
      </c>
      <c r="Y66">
        <v>321.91735799999998</v>
      </c>
      <c r="Z66">
        <v>323.479828</v>
      </c>
      <c r="AA66">
        <v>325.354736</v>
      </c>
      <c r="AB66">
        <v>327.38092</v>
      </c>
      <c r="AC66">
        <v>329.19854700000002</v>
      </c>
      <c r="AD66">
        <v>331.44744900000001</v>
      </c>
      <c r="AE66">
        <v>333.82504299999999</v>
      </c>
      <c r="AF66">
        <v>335.92965700000002</v>
      </c>
      <c r="AG66">
        <v>338.38473499999998</v>
      </c>
      <c r="AH66">
        <v>341.79480000000001</v>
      </c>
      <c r="AI66" s="21">
        <v>-2E-3</v>
      </c>
    </row>
    <row r="67" spans="1:35">
      <c r="A67" t="s">
        <v>278</v>
      </c>
      <c r="B67" t="s">
        <v>1898</v>
      </c>
      <c r="C67" t="s">
        <v>1897</v>
      </c>
      <c r="D67" t="s">
        <v>306</v>
      </c>
      <c r="F67">
        <v>0.66559500000000005</v>
      </c>
      <c r="G67">
        <v>0.68273300000000003</v>
      </c>
      <c r="H67">
        <v>0.70085900000000001</v>
      </c>
      <c r="I67">
        <v>0.72075599999999995</v>
      </c>
      <c r="J67">
        <v>0.74448800000000004</v>
      </c>
      <c r="K67">
        <v>0.76778900000000005</v>
      </c>
      <c r="L67">
        <v>0.79256400000000005</v>
      </c>
      <c r="M67">
        <v>0.81504200000000004</v>
      </c>
      <c r="N67">
        <v>0.83886099999999997</v>
      </c>
      <c r="O67">
        <v>0.86650700000000003</v>
      </c>
      <c r="P67">
        <v>0.90220500000000003</v>
      </c>
      <c r="Q67">
        <v>0.94494599999999995</v>
      </c>
      <c r="R67">
        <v>0.99329800000000001</v>
      </c>
      <c r="S67">
        <v>1.0406519999999999</v>
      </c>
      <c r="T67">
        <v>1.0919840000000001</v>
      </c>
      <c r="U67">
        <v>1.1519010000000001</v>
      </c>
      <c r="V67">
        <v>1.219368</v>
      </c>
      <c r="W67">
        <v>1.295874</v>
      </c>
      <c r="X67">
        <v>1.3836520000000001</v>
      </c>
      <c r="Y67">
        <v>1.4835039999999999</v>
      </c>
      <c r="Z67">
        <v>1.590991</v>
      </c>
      <c r="AA67">
        <v>1.705203</v>
      </c>
      <c r="AB67">
        <v>1.8237920000000001</v>
      </c>
      <c r="AC67">
        <v>1.9449419999999999</v>
      </c>
      <c r="AD67">
        <v>2.071958</v>
      </c>
      <c r="AE67">
        <v>2.202169</v>
      </c>
      <c r="AF67">
        <v>2.3311099999999998</v>
      </c>
      <c r="AG67">
        <v>2.4515280000000002</v>
      </c>
      <c r="AH67">
        <v>2.5810140000000001</v>
      </c>
      <c r="AI67" s="21">
        <v>0.05</v>
      </c>
    </row>
    <row r="68" spans="1:35">
      <c r="A68" t="s">
        <v>277</v>
      </c>
      <c r="B68" t="s">
        <v>1896</v>
      </c>
      <c r="C68" t="s">
        <v>1895</v>
      </c>
      <c r="D68" t="s">
        <v>306</v>
      </c>
      <c r="F68">
        <v>0.76194399999999995</v>
      </c>
      <c r="G68">
        <v>0.71869899999999998</v>
      </c>
      <c r="H68">
        <v>0.67632099999999995</v>
      </c>
      <c r="I68">
        <v>0.637992</v>
      </c>
      <c r="J68">
        <v>0.60286899999999999</v>
      </c>
      <c r="K68">
        <v>0.56657000000000002</v>
      </c>
      <c r="L68">
        <v>0.53246199999999999</v>
      </c>
      <c r="M68">
        <v>0.49757600000000002</v>
      </c>
      <c r="N68">
        <v>0.46278799999999998</v>
      </c>
      <c r="O68">
        <v>0.43082799999999999</v>
      </c>
      <c r="P68">
        <v>0.40238600000000002</v>
      </c>
      <c r="Q68">
        <v>0.37443300000000002</v>
      </c>
      <c r="R68">
        <v>0.346945</v>
      </c>
      <c r="S68">
        <v>0.32059799999999999</v>
      </c>
      <c r="T68">
        <v>0.29521900000000001</v>
      </c>
      <c r="U68">
        <v>0.27301599999999998</v>
      </c>
      <c r="V68">
        <v>0.253025</v>
      </c>
      <c r="W68">
        <v>0.23599700000000001</v>
      </c>
      <c r="X68">
        <v>0.22023300000000001</v>
      </c>
      <c r="Y68">
        <v>0.204292</v>
      </c>
      <c r="Z68">
        <v>0.19014900000000001</v>
      </c>
      <c r="AA68">
        <v>0.17355699999999999</v>
      </c>
      <c r="AB68">
        <v>0.156469</v>
      </c>
      <c r="AC68">
        <v>0.14242199999999999</v>
      </c>
      <c r="AD68">
        <v>0.13080600000000001</v>
      </c>
      <c r="AE68">
        <v>0.11888700000000001</v>
      </c>
      <c r="AF68">
        <v>0.106766</v>
      </c>
      <c r="AG68">
        <v>9.5868999999999996E-2</v>
      </c>
      <c r="AH68">
        <v>8.6902999999999994E-2</v>
      </c>
      <c r="AI68" s="21">
        <v>-7.4999999999999997E-2</v>
      </c>
    </row>
    <row r="69" spans="1:35">
      <c r="A69" t="s">
        <v>333</v>
      </c>
      <c r="B69" t="s">
        <v>1894</v>
      </c>
      <c r="C69" t="s">
        <v>1893</v>
      </c>
      <c r="D69" t="s">
        <v>306</v>
      </c>
      <c r="F69">
        <v>10.331885</v>
      </c>
      <c r="G69">
        <v>10.758182</v>
      </c>
      <c r="H69">
        <v>11.321586</v>
      </c>
      <c r="I69">
        <v>11.975374</v>
      </c>
      <c r="J69">
        <v>12.744726</v>
      </c>
      <c r="K69">
        <v>13.587192999999999</v>
      </c>
      <c r="L69">
        <v>14.506133999999999</v>
      </c>
      <c r="M69">
        <v>15.44483</v>
      </c>
      <c r="N69">
        <v>16.450348000000002</v>
      </c>
      <c r="O69">
        <v>17.581883999999999</v>
      </c>
      <c r="P69">
        <v>18.915562000000001</v>
      </c>
      <c r="Q69">
        <v>20.372982</v>
      </c>
      <c r="R69">
        <v>22.01041</v>
      </c>
      <c r="S69">
        <v>23.794563</v>
      </c>
      <c r="T69">
        <v>25.577529999999999</v>
      </c>
      <c r="U69">
        <v>27.489719000000001</v>
      </c>
      <c r="V69">
        <v>29.423684999999999</v>
      </c>
      <c r="W69">
        <v>31.3827</v>
      </c>
      <c r="X69">
        <v>33.470939999999999</v>
      </c>
      <c r="Y69">
        <v>35.564487</v>
      </c>
      <c r="Z69">
        <v>37.641945</v>
      </c>
      <c r="AA69">
        <v>39.693420000000003</v>
      </c>
      <c r="AB69">
        <v>41.646500000000003</v>
      </c>
      <c r="AC69">
        <v>43.501041000000001</v>
      </c>
      <c r="AD69">
        <v>45.296207000000003</v>
      </c>
      <c r="AE69">
        <v>47.027523000000002</v>
      </c>
      <c r="AF69">
        <v>48.595694999999999</v>
      </c>
      <c r="AG69">
        <v>50.145443</v>
      </c>
      <c r="AH69">
        <v>51.783786999999997</v>
      </c>
      <c r="AI69" s="21">
        <v>5.8999999999999997E-2</v>
      </c>
    </row>
    <row r="70" spans="1:35">
      <c r="A70" t="s">
        <v>334</v>
      </c>
      <c r="B70" t="s">
        <v>1892</v>
      </c>
      <c r="C70" t="s">
        <v>1891</v>
      </c>
      <c r="D70" t="s">
        <v>306</v>
      </c>
      <c r="F70">
        <v>3.8241999999999998E-2</v>
      </c>
      <c r="G70">
        <v>4.5435000000000003E-2</v>
      </c>
      <c r="H70">
        <v>5.0754000000000001E-2</v>
      </c>
      <c r="I70">
        <v>5.4753000000000003E-2</v>
      </c>
      <c r="J70">
        <v>5.7683999999999999E-2</v>
      </c>
      <c r="K70">
        <v>5.9468E-2</v>
      </c>
      <c r="L70">
        <v>6.0365000000000002E-2</v>
      </c>
      <c r="M70">
        <v>6.0382999999999999E-2</v>
      </c>
      <c r="N70">
        <v>5.9790000000000003E-2</v>
      </c>
      <c r="O70">
        <v>5.8833999999999997E-2</v>
      </c>
      <c r="P70">
        <v>5.7679000000000001E-2</v>
      </c>
      <c r="Q70">
        <v>5.6148999999999998E-2</v>
      </c>
      <c r="R70">
        <v>5.4413999999999997E-2</v>
      </c>
      <c r="S70">
        <v>5.2582999999999998E-2</v>
      </c>
      <c r="T70">
        <v>5.0235000000000002E-2</v>
      </c>
      <c r="U70">
        <v>4.7787000000000003E-2</v>
      </c>
      <c r="V70">
        <v>4.5777999999999999E-2</v>
      </c>
      <c r="W70">
        <v>4.3761000000000001E-2</v>
      </c>
      <c r="X70">
        <v>4.1475999999999999E-2</v>
      </c>
      <c r="Y70">
        <v>3.9280000000000002E-2</v>
      </c>
      <c r="Z70">
        <v>3.7173999999999999E-2</v>
      </c>
      <c r="AA70">
        <v>3.5144000000000002E-2</v>
      </c>
      <c r="AB70">
        <v>3.3201000000000001E-2</v>
      </c>
      <c r="AC70">
        <v>3.1363000000000002E-2</v>
      </c>
      <c r="AD70">
        <v>2.9679000000000001E-2</v>
      </c>
      <c r="AE70">
        <v>2.809E-2</v>
      </c>
      <c r="AF70">
        <v>2.6553E-2</v>
      </c>
      <c r="AG70">
        <v>2.5127E-2</v>
      </c>
      <c r="AH70">
        <v>2.3810000000000001E-2</v>
      </c>
      <c r="AI70" s="21">
        <v>-1.7000000000000001E-2</v>
      </c>
    </row>
    <row r="71" spans="1:35">
      <c r="A71" t="s">
        <v>336</v>
      </c>
      <c r="B71" t="s">
        <v>1890</v>
      </c>
      <c r="C71" t="s">
        <v>1889</v>
      </c>
      <c r="D71" t="s">
        <v>306</v>
      </c>
      <c r="F71">
        <v>0</v>
      </c>
      <c r="G71">
        <v>0</v>
      </c>
      <c r="H71">
        <v>4.6031000000000002E-2</v>
      </c>
      <c r="I71">
        <v>8.7363999999999997E-2</v>
      </c>
      <c r="J71">
        <v>0.125998</v>
      </c>
      <c r="K71">
        <v>0.162359</v>
      </c>
      <c r="L71">
        <v>0.19692899999999999</v>
      </c>
      <c r="M71">
        <v>0.22856599999999999</v>
      </c>
      <c r="N71">
        <v>0.25760300000000003</v>
      </c>
      <c r="O71">
        <v>0.28515600000000002</v>
      </c>
      <c r="P71">
        <v>0.31272899999999998</v>
      </c>
      <c r="Q71">
        <v>0.339615</v>
      </c>
      <c r="R71">
        <v>0.36632999999999999</v>
      </c>
      <c r="S71">
        <v>0.39357700000000001</v>
      </c>
      <c r="T71">
        <v>0.42073300000000002</v>
      </c>
      <c r="U71">
        <v>0.44928600000000002</v>
      </c>
      <c r="V71">
        <v>0.47926000000000002</v>
      </c>
      <c r="W71">
        <v>0.51125699999999996</v>
      </c>
      <c r="X71">
        <v>0.54663899999999999</v>
      </c>
      <c r="Y71">
        <v>0.58593899999999999</v>
      </c>
      <c r="Z71">
        <v>0.62877000000000005</v>
      </c>
      <c r="AA71">
        <v>0.672651</v>
      </c>
      <c r="AB71">
        <v>0.71931100000000003</v>
      </c>
      <c r="AC71">
        <v>0.76830799999999999</v>
      </c>
      <c r="AD71">
        <v>0.82118100000000005</v>
      </c>
      <c r="AE71">
        <v>0.877112</v>
      </c>
      <c r="AF71">
        <v>0.93461899999999998</v>
      </c>
      <c r="AG71">
        <v>0.99479200000000001</v>
      </c>
      <c r="AH71">
        <v>1.0601590000000001</v>
      </c>
      <c r="AI71" t="s">
        <v>17</v>
      </c>
    </row>
    <row r="72" spans="1:35">
      <c r="A72" t="s">
        <v>335</v>
      </c>
      <c r="B72" t="s">
        <v>1888</v>
      </c>
      <c r="C72" t="s">
        <v>1887</v>
      </c>
      <c r="D72" t="s">
        <v>306</v>
      </c>
      <c r="F72">
        <v>0</v>
      </c>
      <c r="G72">
        <v>0</v>
      </c>
      <c r="H72">
        <v>5.5973000000000002E-2</v>
      </c>
      <c r="I72">
        <v>0.10538500000000001</v>
      </c>
      <c r="J72">
        <v>0.15109300000000001</v>
      </c>
      <c r="K72">
        <v>0.193687</v>
      </c>
      <c r="L72">
        <v>0.233462</v>
      </c>
      <c r="M72">
        <v>0.26946999999999999</v>
      </c>
      <c r="N72">
        <v>0.30264600000000003</v>
      </c>
      <c r="O72">
        <v>0.33501599999999998</v>
      </c>
      <c r="P72">
        <v>0.368535</v>
      </c>
      <c r="Q72">
        <v>0.40277000000000002</v>
      </c>
      <c r="R72">
        <v>0.43828299999999998</v>
      </c>
      <c r="S72">
        <v>0.47615099999999999</v>
      </c>
      <c r="T72">
        <v>0.51575199999999999</v>
      </c>
      <c r="U72">
        <v>0.55924499999999999</v>
      </c>
      <c r="V72">
        <v>0.606796</v>
      </c>
      <c r="W72">
        <v>0.65962699999999996</v>
      </c>
      <c r="X72">
        <v>0.71974099999999996</v>
      </c>
      <c r="Y72">
        <v>0.78828900000000002</v>
      </c>
      <c r="Z72">
        <v>0.86488600000000004</v>
      </c>
      <c r="AA72">
        <v>0.94691499999999995</v>
      </c>
      <c r="AB72">
        <v>1.0356989999999999</v>
      </c>
      <c r="AC72">
        <v>1.130374</v>
      </c>
      <c r="AD72">
        <v>1.23231</v>
      </c>
      <c r="AE72">
        <v>1.340697</v>
      </c>
      <c r="AF72">
        <v>1.452583</v>
      </c>
      <c r="AG72">
        <v>1.5697239999999999</v>
      </c>
      <c r="AH72">
        <v>1.6954130000000001</v>
      </c>
      <c r="AI72" t="s">
        <v>17</v>
      </c>
    </row>
    <row r="73" spans="1:35">
      <c r="A73" t="s">
        <v>337</v>
      </c>
      <c r="B73" t="s">
        <v>1886</v>
      </c>
      <c r="C73" t="s">
        <v>1885</v>
      </c>
      <c r="D73" t="s">
        <v>306</v>
      </c>
      <c r="F73">
        <v>0</v>
      </c>
      <c r="G73">
        <v>0</v>
      </c>
      <c r="H73">
        <v>9.7281999999999993E-2</v>
      </c>
      <c r="I73">
        <v>0.18842100000000001</v>
      </c>
      <c r="J73">
        <v>0.27685799999999999</v>
      </c>
      <c r="K73">
        <v>0.363454</v>
      </c>
      <c r="L73">
        <v>0.44753700000000002</v>
      </c>
      <c r="M73">
        <v>0.52742900000000004</v>
      </c>
      <c r="N73">
        <v>0.60339299999999996</v>
      </c>
      <c r="O73">
        <v>0.67797099999999999</v>
      </c>
      <c r="P73">
        <v>0.75438000000000005</v>
      </c>
      <c r="Q73">
        <v>0.83045100000000005</v>
      </c>
      <c r="R73">
        <v>0.90750299999999995</v>
      </c>
      <c r="S73">
        <v>0.98692000000000002</v>
      </c>
      <c r="T73">
        <v>1.0677970000000001</v>
      </c>
      <c r="U73">
        <v>1.153837</v>
      </c>
      <c r="V73">
        <v>1.2450049999999999</v>
      </c>
      <c r="W73">
        <v>1.3430200000000001</v>
      </c>
      <c r="X73">
        <v>1.4516439999999999</v>
      </c>
      <c r="Y73">
        <v>1.572443</v>
      </c>
      <c r="Z73">
        <v>1.7043809999999999</v>
      </c>
      <c r="AA73">
        <v>1.8422590000000001</v>
      </c>
      <c r="AB73">
        <v>1.9891760000000001</v>
      </c>
      <c r="AC73">
        <v>2.1437659999999998</v>
      </c>
      <c r="AD73">
        <v>2.310273</v>
      </c>
      <c r="AE73">
        <v>2.48651</v>
      </c>
      <c r="AF73">
        <v>2.6681050000000002</v>
      </c>
      <c r="AG73">
        <v>2.8579460000000001</v>
      </c>
      <c r="AH73">
        <v>3.0632440000000001</v>
      </c>
      <c r="AI73" t="s">
        <v>17</v>
      </c>
    </row>
    <row r="74" spans="1:35">
      <c r="A74" t="s">
        <v>362</v>
      </c>
      <c r="B74" t="s">
        <v>1884</v>
      </c>
      <c r="C74" t="s">
        <v>1883</v>
      </c>
      <c r="D74" t="s">
        <v>306</v>
      </c>
      <c r="F74">
        <v>969.69219999999996</v>
      </c>
      <c r="G74">
        <v>947.22790499999996</v>
      </c>
      <c r="H74">
        <v>929.37390100000005</v>
      </c>
      <c r="I74">
        <v>917.57488999999998</v>
      </c>
      <c r="J74">
        <v>910.67767300000003</v>
      </c>
      <c r="K74">
        <v>903.25073199999997</v>
      </c>
      <c r="L74">
        <v>897.46606399999996</v>
      </c>
      <c r="M74">
        <v>890.09558100000004</v>
      </c>
      <c r="N74">
        <v>882.57385299999999</v>
      </c>
      <c r="O74">
        <v>876.55035399999997</v>
      </c>
      <c r="P74">
        <v>874.65283199999999</v>
      </c>
      <c r="Q74">
        <v>871.910706</v>
      </c>
      <c r="R74">
        <v>869.98089600000003</v>
      </c>
      <c r="S74">
        <v>869.72479199999998</v>
      </c>
      <c r="T74">
        <v>869.347534</v>
      </c>
      <c r="U74">
        <v>871.618469</v>
      </c>
      <c r="V74">
        <v>873.72820999999999</v>
      </c>
      <c r="W74">
        <v>877.64209000000005</v>
      </c>
      <c r="X74">
        <v>882.78265399999998</v>
      </c>
      <c r="Y74">
        <v>889.23706100000004</v>
      </c>
      <c r="Z74">
        <v>896.04046600000004</v>
      </c>
      <c r="AA74">
        <v>903.72448699999995</v>
      </c>
      <c r="AB74">
        <v>911.77453600000001</v>
      </c>
      <c r="AC74">
        <v>919.37823500000002</v>
      </c>
      <c r="AD74">
        <v>928.10968000000003</v>
      </c>
      <c r="AE74">
        <v>937.41241500000001</v>
      </c>
      <c r="AF74">
        <v>945.94018600000004</v>
      </c>
      <c r="AG74">
        <v>955.21374500000002</v>
      </c>
      <c r="AH74">
        <v>967.38214100000005</v>
      </c>
      <c r="AI74" s="21">
        <v>0</v>
      </c>
    </row>
    <row r="75" spans="1:35">
      <c r="A75" t="s">
        <v>363</v>
      </c>
    </row>
    <row r="76" spans="1:35">
      <c r="A76" t="s">
        <v>297</v>
      </c>
      <c r="B76" t="s">
        <v>1882</v>
      </c>
      <c r="C76" t="s">
        <v>1881</v>
      </c>
      <c r="D76" t="s">
        <v>306</v>
      </c>
      <c r="F76">
        <v>4152.294922</v>
      </c>
      <c r="G76">
        <v>4082.8315429999998</v>
      </c>
      <c r="H76">
        <v>4021.451172</v>
      </c>
      <c r="I76">
        <v>3982.2763669999999</v>
      </c>
      <c r="J76">
        <v>3955.953125</v>
      </c>
      <c r="K76">
        <v>3919.7482909999999</v>
      </c>
      <c r="L76">
        <v>3881.1032709999999</v>
      </c>
      <c r="M76">
        <v>3831.7788089999999</v>
      </c>
      <c r="N76">
        <v>3778.5307619999999</v>
      </c>
      <c r="O76">
        <v>3730.3295899999998</v>
      </c>
      <c r="P76">
        <v>3694.220703</v>
      </c>
      <c r="Q76">
        <v>3656.8642580000001</v>
      </c>
      <c r="R76">
        <v>3623.7570799999999</v>
      </c>
      <c r="S76">
        <v>3598.0146479999999</v>
      </c>
      <c r="T76">
        <v>3572.140625</v>
      </c>
      <c r="U76">
        <v>3555.0131839999999</v>
      </c>
      <c r="V76">
        <v>3541.656982</v>
      </c>
      <c r="W76">
        <v>3529.0092770000001</v>
      </c>
      <c r="X76">
        <v>3520.9711910000001</v>
      </c>
      <c r="Y76">
        <v>3515.9072270000001</v>
      </c>
      <c r="Z76">
        <v>3513.1889649999998</v>
      </c>
      <c r="AA76">
        <v>3509.6179200000001</v>
      </c>
      <c r="AB76">
        <v>3504.0908199999999</v>
      </c>
      <c r="AC76">
        <v>3495.7058109999998</v>
      </c>
      <c r="AD76">
        <v>3490.008057</v>
      </c>
      <c r="AE76">
        <v>3484.0903320000002</v>
      </c>
      <c r="AF76">
        <v>3473.501953</v>
      </c>
      <c r="AG76">
        <v>3463.9399410000001</v>
      </c>
      <c r="AH76">
        <v>3464.1235350000002</v>
      </c>
      <c r="AI76" s="21">
        <v>-6.0000000000000001E-3</v>
      </c>
    </row>
    <row r="77" spans="1:35">
      <c r="A77" t="s">
        <v>283</v>
      </c>
      <c r="B77" t="s">
        <v>1880</v>
      </c>
      <c r="C77" t="s">
        <v>1879</v>
      </c>
      <c r="D77" t="s">
        <v>306</v>
      </c>
      <c r="F77">
        <v>3.9674480000000001</v>
      </c>
      <c r="G77">
        <v>3.9112100000000001</v>
      </c>
      <c r="H77">
        <v>3.927975</v>
      </c>
      <c r="I77">
        <v>4.0033329999999996</v>
      </c>
      <c r="J77">
        <v>4.154909</v>
      </c>
      <c r="K77">
        <v>4.3465829999999999</v>
      </c>
      <c r="L77">
        <v>4.5559409999999998</v>
      </c>
      <c r="M77">
        <v>4.7584520000000001</v>
      </c>
      <c r="N77">
        <v>4.9760099999999996</v>
      </c>
      <c r="O77">
        <v>5.1881700000000004</v>
      </c>
      <c r="P77">
        <v>5.3957819999999996</v>
      </c>
      <c r="Q77">
        <v>5.5792359999999999</v>
      </c>
      <c r="R77">
        <v>5.7431809999999999</v>
      </c>
      <c r="S77">
        <v>5.8900360000000003</v>
      </c>
      <c r="T77">
        <v>5.9984260000000003</v>
      </c>
      <c r="U77">
        <v>6.0940690000000002</v>
      </c>
      <c r="V77">
        <v>6.1672099999999999</v>
      </c>
      <c r="W77">
        <v>6.22837</v>
      </c>
      <c r="X77">
        <v>6.2926219999999997</v>
      </c>
      <c r="Y77">
        <v>6.356681</v>
      </c>
      <c r="Z77">
        <v>6.3895749999999998</v>
      </c>
      <c r="AA77">
        <v>6.4071030000000002</v>
      </c>
      <c r="AB77">
        <v>6.4340310000000001</v>
      </c>
      <c r="AC77">
        <v>6.4656529999999997</v>
      </c>
      <c r="AD77">
        <v>6.5095479999999997</v>
      </c>
      <c r="AE77">
        <v>6.5554730000000001</v>
      </c>
      <c r="AF77">
        <v>6.5929979999999997</v>
      </c>
      <c r="AG77">
        <v>6.6332560000000003</v>
      </c>
      <c r="AH77">
        <v>6.6926329999999998</v>
      </c>
      <c r="AI77" s="21">
        <v>1.9E-2</v>
      </c>
    </row>
    <row r="78" spans="1:35">
      <c r="A78" t="s">
        <v>278</v>
      </c>
      <c r="B78" t="s">
        <v>1878</v>
      </c>
      <c r="C78" t="s">
        <v>1877</v>
      </c>
      <c r="D78" t="s">
        <v>306</v>
      </c>
      <c r="F78">
        <v>0.57084699999999999</v>
      </c>
      <c r="G78">
        <v>0.62436700000000001</v>
      </c>
      <c r="H78">
        <v>0.67565299999999995</v>
      </c>
      <c r="I78">
        <v>0.72345599999999999</v>
      </c>
      <c r="J78">
        <v>0.76954900000000004</v>
      </c>
      <c r="K78">
        <v>0.80783199999999999</v>
      </c>
      <c r="L78">
        <v>0.83759799999999995</v>
      </c>
      <c r="M78">
        <v>0.85494300000000001</v>
      </c>
      <c r="N78">
        <v>0.86416899999999996</v>
      </c>
      <c r="O78">
        <v>0.86825799999999997</v>
      </c>
      <c r="P78">
        <v>0.87042299999999995</v>
      </c>
      <c r="Q78">
        <v>0.87198200000000003</v>
      </c>
      <c r="R78">
        <v>0.876027</v>
      </c>
      <c r="S78">
        <v>0.88223799999999997</v>
      </c>
      <c r="T78">
        <v>0.88616399999999995</v>
      </c>
      <c r="U78">
        <v>0.890656</v>
      </c>
      <c r="V78">
        <v>0.89219300000000001</v>
      </c>
      <c r="W78">
        <v>0.89300599999999997</v>
      </c>
      <c r="X78">
        <v>0.89404300000000003</v>
      </c>
      <c r="Y78">
        <v>0.89725900000000003</v>
      </c>
      <c r="Z78">
        <v>0.90047600000000005</v>
      </c>
      <c r="AA78">
        <v>0.90321899999999999</v>
      </c>
      <c r="AB78">
        <v>0.90516799999999997</v>
      </c>
      <c r="AC78">
        <v>0.90654199999999996</v>
      </c>
      <c r="AD78">
        <v>0.90933900000000001</v>
      </c>
      <c r="AE78">
        <v>0.91265600000000002</v>
      </c>
      <c r="AF78">
        <v>0.91492600000000002</v>
      </c>
      <c r="AG78">
        <v>0.91651300000000002</v>
      </c>
      <c r="AH78">
        <v>0.91947900000000005</v>
      </c>
      <c r="AI78" s="21">
        <v>1.7000000000000001E-2</v>
      </c>
    </row>
    <row r="79" spans="1:35">
      <c r="A79" t="s">
        <v>277</v>
      </c>
      <c r="B79" t="s">
        <v>1876</v>
      </c>
      <c r="C79" t="s">
        <v>1875</v>
      </c>
      <c r="D79" t="s">
        <v>306</v>
      </c>
      <c r="F79">
        <v>50.390869000000002</v>
      </c>
      <c r="G79">
        <v>50.880237999999999</v>
      </c>
      <c r="H79">
        <v>51.130661000000003</v>
      </c>
      <c r="I79">
        <v>51.278004000000003</v>
      </c>
      <c r="J79">
        <v>51.266300000000001</v>
      </c>
      <c r="K79">
        <v>50.763759999999998</v>
      </c>
      <c r="L79">
        <v>49.941105</v>
      </c>
      <c r="M79">
        <v>48.755848</v>
      </c>
      <c r="N79">
        <v>47.376193999999998</v>
      </c>
      <c r="O79">
        <v>46.136257000000001</v>
      </c>
      <c r="P79">
        <v>45.289948000000003</v>
      </c>
      <c r="Q79">
        <v>44.815620000000003</v>
      </c>
      <c r="R79">
        <v>44.797992999999998</v>
      </c>
      <c r="S79">
        <v>45.188122</v>
      </c>
      <c r="T79">
        <v>45.832714000000003</v>
      </c>
      <c r="U79">
        <v>46.829082</v>
      </c>
      <c r="V79">
        <v>48.081806</v>
      </c>
      <c r="W79">
        <v>49.582222000000002</v>
      </c>
      <c r="X79">
        <v>51.412018000000003</v>
      </c>
      <c r="Y79">
        <v>53.560184</v>
      </c>
      <c r="Z79">
        <v>55.921677000000003</v>
      </c>
      <c r="AA79">
        <v>58.465366000000003</v>
      </c>
      <c r="AB79">
        <v>61.153961000000002</v>
      </c>
      <c r="AC79">
        <v>63.935595999999997</v>
      </c>
      <c r="AD79">
        <v>66.919730999999999</v>
      </c>
      <c r="AE79">
        <v>70.067229999999995</v>
      </c>
      <c r="AF79">
        <v>73.232262000000006</v>
      </c>
      <c r="AG79">
        <v>76.543907000000004</v>
      </c>
      <c r="AH79">
        <v>80.243094999999997</v>
      </c>
      <c r="AI79" s="21">
        <v>1.7000000000000001E-2</v>
      </c>
    </row>
    <row r="80" spans="1:35">
      <c r="A80" t="s">
        <v>333</v>
      </c>
      <c r="B80" t="s">
        <v>1874</v>
      </c>
      <c r="C80" t="s">
        <v>1873</v>
      </c>
      <c r="D80" t="s">
        <v>306</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t="s">
        <v>17</v>
      </c>
    </row>
    <row r="81" spans="1:35">
      <c r="A81" t="s">
        <v>334</v>
      </c>
      <c r="B81" t="s">
        <v>1872</v>
      </c>
      <c r="C81" t="s">
        <v>1871</v>
      </c>
      <c r="D81" t="s">
        <v>306</v>
      </c>
      <c r="F81">
        <v>4.7272000000000002E-2</v>
      </c>
      <c r="G81">
        <v>5.6365999999999999E-2</v>
      </c>
      <c r="H81">
        <v>6.4062999999999995E-2</v>
      </c>
      <c r="I81">
        <v>7.0821999999999996E-2</v>
      </c>
      <c r="J81">
        <v>7.6726000000000003E-2</v>
      </c>
      <c r="K81">
        <v>8.1382999999999997E-2</v>
      </c>
      <c r="L81">
        <v>8.4830000000000003E-2</v>
      </c>
      <c r="M81">
        <v>8.6957999999999994E-2</v>
      </c>
      <c r="N81">
        <v>8.7952000000000002E-2</v>
      </c>
      <c r="O81">
        <v>8.8012999999999994E-2</v>
      </c>
      <c r="P81">
        <v>8.7249999999999994E-2</v>
      </c>
      <c r="Q81">
        <v>8.5333000000000006E-2</v>
      </c>
      <c r="R81">
        <v>8.2535999999999998E-2</v>
      </c>
      <c r="S81">
        <v>7.9114000000000004E-2</v>
      </c>
      <c r="T81">
        <v>7.5203999999999993E-2</v>
      </c>
      <c r="U81">
        <v>7.1353E-2</v>
      </c>
      <c r="V81">
        <v>6.7466999999999999E-2</v>
      </c>
      <c r="W81">
        <v>6.3056000000000001E-2</v>
      </c>
      <c r="X81">
        <v>5.8637000000000002E-2</v>
      </c>
      <c r="Y81">
        <v>5.4799E-2</v>
      </c>
      <c r="Z81">
        <v>5.1536999999999999E-2</v>
      </c>
      <c r="AA81">
        <v>4.8205999999999999E-2</v>
      </c>
      <c r="AB81">
        <v>4.5224E-2</v>
      </c>
      <c r="AC81">
        <v>4.2495999999999999E-2</v>
      </c>
      <c r="AD81">
        <v>4.0057000000000002E-2</v>
      </c>
      <c r="AE81">
        <v>3.7803999999999997E-2</v>
      </c>
      <c r="AF81">
        <v>3.5659000000000003E-2</v>
      </c>
      <c r="AG81">
        <v>3.3694000000000002E-2</v>
      </c>
      <c r="AH81">
        <v>3.1962999999999998E-2</v>
      </c>
      <c r="AI81" s="21">
        <v>-1.4E-2</v>
      </c>
    </row>
    <row r="82" spans="1:35">
      <c r="A82" t="s">
        <v>336</v>
      </c>
      <c r="B82" t="s">
        <v>1870</v>
      </c>
      <c r="C82" t="s">
        <v>1869</v>
      </c>
      <c r="D82" t="s">
        <v>306</v>
      </c>
      <c r="F82">
        <v>0</v>
      </c>
      <c r="G82">
        <v>0</v>
      </c>
      <c r="H82">
        <v>0.111749</v>
      </c>
      <c r="I82">
        <v>0.12651799999999999</v>
      </c>
      <c r="J82">
        <v>0.14269399999999999</v>
      </c>
      <c r="K82">
        <v>0.15934000000000001</v>
      </c>
      <c r="L82">
        <v>0.17621300000000001</v>
      </c>
      <c r="M82">
        <v>0.19222800000000001</v>
      </c>
      <c r="N82">
        <v>0.20724500000000001</v>
      </c>
      <c r="O82">
        <v>0.22140099999999999</v>
      </c>
      <c r="P82">
        <v>0.23488800000000001</v>
      </c>
      <c r="Q82">
        <v>0.24656900000000001</v>
      </c>
      <c r="R82">
        <v>0.25659700000000002</v>
      </c>
      <c r="S82">
        <v>0.26520700000000003</v>
      </c>
      <c r="T82">
        <v>0.27205200000000002</v>
      </c>
      <c r="U82">
        <v>0.278225</v>
      </c>
      <c r="V82">
        <v>0.28399799999999997</v>
      </c>
      <c r="W82">
        <v>0.29017999999999999</v>
      </c>
      <c r="X82">
        <v>0.29806500000000002</v>
      </c>
      <c r="Y82">
        <v>0.30863000000000002</v>
      </c>
      <c r="Z82">
        <v>0.32256400000000002</v>
      </c>
      <c r="AA82">
        <v>0.334818</v>
      </c>
      <c r="AB82">
        <v>0.34677599999999997</v>
      </c>
      <c r="AC82">
        <v>0.36227599999999999</v>
      </c>
      <c r="AD82">
        <v>0.384801</v>
      </c>
      <c r="AE82">
        <v>0.40742899999999999</v>
      </c>
      <c r="AF82">
        <v>0.43170500000000001</v>
      </c>
      <c r="AG82">
        <v>0.458424</v>
      </c>
      <c r="AH82">
        <v>0.48888399999999999</v>
      </c>
      <c r="AI82" t="s">
        <v>17</v>
      </c>
    </row>
    <row r="83" spans="1:35">
      <c r="A83" t="s">
        <v>335</v>
      </c>
      <c r="B83" t="s">
        <v>1868</v>
      </c>
      <c r="C83" t="s">
        <v>1867</v>
      </c>
      <c r="D83" t="s">
        <v>306</v>
      </c>
      <c r="F83">
        <v>0</v>
      </c>
      <c r="G83">
        <v>0</v>
      </c>
      <c r="H83">
        <v>0.23414399999999999</v>
      </c>
      <c r="I83">
        <v>0.26273600000000003</v>
      </c>
      <c r="J83">
        <v>0.29418100000000003</v>
      </c>
      <c r="K83">
        <v>0.326345</v>
      </c>
      <c r="L83">
        <v>0.35836099999999999</v>
      </c>
      <c r="M83">
        <v>0.388214</v>
      </c>
      <c r="N83">
        <v>0.41574299999999997</v>
      </c>
      <c r="O83">
        <v>0.44134699999999999</v>
      </c>
      <c r="P83">
        <v>0.46522400000000003</v>
      </c>
      <c r="Q83">
        <v>0.485016</v>
      </c>
      <c r="R83">
        <v>0.50097899999999995</v>
      </c>
      <c r="S83">
        <v>0.51362799999999997</v>
      </c>
      <c r="T83">
        <v>0.522262</v>
      </c>
      <c r="U83">
        <v>0.52908999999999995</v>
      </c>
      <c r="V83">
        <v>0.53469299999999997</v>
      </c>
      <c r="W83">
        <v>0.54074299999999997</v>
      </c>
      <c r="X83">
        <v>0.54972399999999999</v>
      </c>
      <c r="Y83">
        <v>0.56356499999999998</v>
      </c>
      <c r="Z83">
        <v>0.58364300000000002</v>
      </c>
      <c r="AA83">
        <v>0.59923099999999996</v>
      </c>
      <c r="AB83">
        <v>0.613008</v>
      </c>
      <c r="AC83">
        <v>0.63285800000000003</v>
      </c>
      <c r="AD83">
        <v>0.66527599999999998</v>
      </c>
      <c r="AE83">
        <v>0.69548399999999999</v>
      </c>
      <c r="AF83">
        <v>0.72656200000000004</v>
      </c>
      <c r="AG83">
        <v>0.75966500000000003</v>
      </c>
      <c r="AH83">
        <v>0.79641600000000001</v>
      </c>
      <c r="AI83" t="s">
        <v>17</v>
      </c>
    </row>
    <row r="84" spans="1:35">
      <c r="A84" t="s">
        <v>337</v>
      </c>
      <c r="B84" t="s">
        <v>1866</v>
      </c>
      <c r="C84" t="s">
        <v>1865</v>
      </c>
      <c r="D84" t="s">
        <v>306</v>
      </c>
      <c r="F84">
        <v>0</v>
      </c>
      <c r="G84">
        <v>0</v>
      </c>
      <c r="H84">
        <v>0.13243099999999999</v>
      </c>
      <c r="I84">
        <v>0.25880199999999998</v>
      </c>
      <c r="J84">
        <v>0.385407</v>
      </c>
      <c r="K84">
        <v>0.51399799999999995</v>
      </c>
      <c r="L84">
        <v>0.64363300000000001</v>
      </c>
      <c r="M84">
        <v>0.77151199999999998</v>
      </c>
      <c r="N84">
        <v>0.89717499999999994</v>
      </c>
      <c r="O84">
        <v>1.0226690000000001</v>
      </c>
      <c r="P84">
        <v>1.1502559999999999</v>
      </c>
      <c r="Q84">
        <v>1.2741119999999999</v>
      </c>
      <c r="R84">
        <v>1.393794</v>
      </c>
      <c r="S84">
        <v>1.5088429999999999</v>
      </c>
      <c r="T84">
        <v>1.6154120000000001</v>
      </c>
      <c r="U84">
        <v>1.717117</v>
      </c>
      <c r="V84">
        <v>1.812324</v>
      </c>
      <c r="W84">
        <v>1.902677</v>
      </c>
      <c r="X84">
        <v>1.9929779999999999</v>
      </c>
      <c r="Y84">
        <v>2.0859009999999998</v>
      </c>
      <c r="Z84">
        <v>2.1821549999999998</v>
      </c>
      <c r="AA84">
        <v>2.2778990000000001</v>
      </c>
      <c r="AB84">
        <v>2.3718539999999999</v>
      </c>
      <c r="AC84">
        <v>2.4681579999999999</v>
      </c>
      <c r="AD84">
        <v>2.5784799999999999</v>
      </c>
      <c r="AE84">
        <v>2.69808</v>
      </c>
      <c r="AF84">
        <v>2.8237719999999999</v>
      </c>
      <c r="AG84">
        <v>2.9616039999999999</v>
      </c>
      <c r="AH84">
        <v>3.1206100000000001</v>
      </c>
      <c r="AI84" t="s">
        <v>17</v>
      </c>
    </row>
    <row r="85" spans="1:35">
      <c r="A85" t="s">
        <v>364</v>
      </c>
      <c r="B85" t="s">
        <v>1864</v>
      </c>
      <c r="C85" t="s">
        <v>1863</v>
      </c>
      <c r="D85" t="s">
        <v>306</v>
      </c>
      <c r="F85">
        <v>4207.2734380000002</v>
      </c>
      <c r="G85">
        <v>4138.3027339999999</v>
      </c>
      <c r="H85">
        <v>4077.727539</v>
      </c>
      <c r="I85">
        <v>4039.0002439999998</v>
      </c>
      <c r="J85">
        <v>4013.0429690000001</v>
      </c>
      <c r="K85">
        <v>3976.7485350000002</v>
      </c>
      <c r="L85">
        <v>3937.7006839999999</v>
      </c>
      <c r="M85">
        <v>3887.586182</v>
      </c>
      <c r="N85">
        <v>3833.3564449999999</v>
      </c>
      <c r="O85">
        <v>3784.2958979999999</v>
      </c>
      <c r="P85">
        <v>3747.7145999999998</v>
      </c>
      <c r="Q85">
        <v>3710.2214359999998</v>
      </c>
      <c r="R85">
        <v>3677.4077149999998</v>
      </c>
      <c r="S85">
        <v>3652.3427729999999</v>
      </c>
      <c r="T85">
        <v>3627.3422850000002</v>
      </c>
      <c r="U85">
        <v>3611.421875</v>
      </c>
      <c r="V85">
        <v>3599.4953609999998</v>
      </c>
      <c r="W85">
        <v>3588.5097660000001</v>
      </c>
      <c r="X85">
        <v>3582.46875</v>
      </c>
      <c r="Y85">
        <v>3579.7346189999998</v>
      </c>
      <c r="Z85">
        <v>3579.5410160000001</v>
      </c>
      <c r="AA85">
        <v>3578.6530760000001</v>
      </c>
      <c r="AB85">
        <v>3575.961182</v>
      </c>
      <c r="AC85">
        <v>3570.5195309999999</v>
      </c>
      <c r="AD85">
        <v>3568.0158689999998</v>
      </c>
      <c r="AE85">
        <v>3565.4648440000001</v>
      </c>
      <c r="AF85">
        <v>3558.258789</v>
      </c>
      <c r="AG85">
        <v>3552.2460940000001</v>
      </c>
      <c r="AH85">
        <v>3556.4155270000001</v>
      </c>
      <c r="AI85" s="21">
        <v>-6.0000000000000001E-3</v>
      </c>
    </row>
    <row r="86" spans="1:35">
      <c r="A86" t="s">
        <v>358</v>
      </c>
      <c r="B86" t="s">
        <v>367</v>
      </c>
      <c r="C86" t="s">
        <v>368</v>
      </c>
    </row>
    <row r="87" spans="1:35">
      <c r="A87" t="s">
        <v>297</v>
      </c>
      <c r="B87" t="s">
        <v>1862</v>
      </c>
      <c r="C87" t="s">
        <v>1861</v>
      </c>
      <c r="D87" t="s">
        <v>306</v>
      </c>
      <c r="F87">
        <v>5252.3305659999996</v>
      </c>
      <c r="G87">
        <v>5150.2109380000002</v>
      </c>
      <c r="H87">
        <v>5062.0986329999996</v>
      </c>
      <c r="I87">
        <v>5004.6708980000003</v>
      </c>
      <c r="J87">
        <v>4965.3076170000004</v>
      </c>
      <c r="K87">
        <v>4915.0947269999997</v>
      </c>
      <c r="L87">
        <v>4864.1035160000001</v>
      </c>
      <c r="M87">
        <v>4802.189453</v>
      </c>
      <c r="N87">
        <v>4738.7089839999999</v>
      </c>
      <c r="O87">
        <v>4684.001953</v>
      </c>
      <c r="P87">
        <v>4645.8359380000002</v>
      </c>
      <c r="Q87">
        <v>4605.7412109999996</v>
      </c>
      <c r="R87">
        <v>4571.0966799999997</v>
      </c>
      <c r="S87">
        <v>4545.9067379999997</v>
      </c>
      <c r="T87">
        <v>4520.6884769999997</v>
      </c>
      <c r="U87">
        <v>4506.4428710000002</v>
      </c>
      <c r="V87">
        <v>4496.765625</v>
      </c>
      <c r="W87">
        <v>4489.0834960000002</v>
      </c>
      <c r="X87">
        <v>4488.0830079999996</v>
      </c>
      <c r="Y87">
        <v>4491.1411129999997</v>
      </c>
      <c r="Z87">
        <v>4496.9345700000003</v>
      </c>
      <c r="AA87">
        <v>4502.8085940000001</v>
      </c>
      <c r="AB87">
        <v>4507.3803710000002</v>
      </c>
      <c r="AC87">
        <v>4509.7548829999996</v>
      </c>
      <c r="AD87">
        <v>4517.1176759999998</v>
      </c>
      <c r="AE87">
        <v>4525.4931640000004</v>
      </c>
      <c r="AF87">
        <v>4528.6337890000004</v>
      </c>
      <c r="AG87">
        <v>4533.9399409999996</v>
      </c>
      <c r="AH87">
        <v>4552.7285160000001</v>
      </c>
      <c r="AI87" s="21">
        <v>-5.0000000000000001E-3</v>
      </c>
    </row>
    <row r="88" spans="1:35">
      <c r="A88" t="s">
        <v>283</v>
      </c>
      <c r="B88" t="s">
        <v>1860</v>
      </c>
      <c r="C88" t="s">
        <v>1859</v>
      </c>
      <c r="D88" t="s">
        <v>306</v>
      </c>
      <c r="F88">
        <v>561.48449700000003</v>
      </c>
      <c r="G88">
        <v>557.785034</v>
      </c>
      <c r="H88">
        <v>556.74005099999999</v>
      </c>
      <c r="I88">
        <v>558.68145800000002</v>
      </c>
      <c r="J88">
        <v>563.18457000000001</v>
      </c>
      <c r="K88">
        <v>566.01348900000005</v>
      </c>
      <c r="L88">
        <v>568.99591099999998</v>
      </c>
      <c r="M88">
        <v>571.13494900000001</v>
      </c>
      <c r="N88">
        <v>573.60174600000005</v>
      </c>
      <c r="O88">
        <v>577.01965299999995</v>
      </c>
      <c r="P88">
        <v>583.04650900000001</v>
      </c>
      <c r="Q88">
        <v>588.07153300000004</v>
      </c>
      <c r="R88">
        <v>593.151611</v>
      </c>
      <c r="S88">
        <v>598.55310099999997</v>
      </c>
      <c r="T88">
        <v>603.21813999999995</v>
      </c>
      <c r="U88">
        <v>609.34344499999997</v>
      </c>
      <c r="V88">
        <v>614.73071300000004</v>
      </c>
      <c r="W88">
        <v>621.06646699999999</v>
      </c>
      <c r="X88">
        <v>627.72302200000001</v>
      </c>
      <c r="Y88">
        <v>635.39660600000002</v>
      </c>
      <c r="Z88">
        <v>642.87426800000003</v>
      </c>
      <c r="AA88">
        <v>649.87420699999996</v>
      </c>
      <c r="AB88">
        <v>656.76269500000001</v>
      </c>
      <c r="AC88">
        <v>663.54040499999996</v>
      </c>
      <c r="AD88">
        <v>671.537598</v>
      </c>
      <c r="AE88">
        <v>679.92511000000002</v>
      </c>
      <c r="AF88">
        <v>687.57550000000003</v>
      </c>
      <c r="AG88">
        <v>695.97375499999998</v>
      </c>
      <c r="AH88">
        <v>706.70812999999998</v>
      </c>
      <c r="AI88" s="21">
        <v>8.0000000000000002E-3</v>
      </c>
    </row>
    <row r="89" spans="1:35">
      <c r="A89" t="s">
        <v>278</v>
      </c>
      <c r="B89" t="s">
        <v>1858</v>
      </c>
      <c r="C89" t="s">
        <v>1857</v>
      </c>
      <c r="D89" t="s">
        <v>306</v>
      </c>
      <c r="F89">
        <v>1.2452650000000001</v>
      </c>
      <c r="G89">
        <v>1.3861779999999999</v>
      </c>
      <c r="H89">
        <v>1.52488</v>
      </c>
      <c r="I89">
        <v>1.6560079999999999</v>
      </c>
      <c r="J89">
        <v>1.7862659999999999</v>
      </c>
      <c r="K89">
        <v>1.903707</v>
      </c>
      <c r="L89">
        <v>2.0105780000000002</v>
      </c>
      <c r="M89">
        <v>2.099688</v>
      </c>
      <c r="N89">
        <v>2.1804990000000002</v>
      </c>
      <c r="O89">
        <v>2.2604660000000001</v>
      </c>
      <c r="P89">
        <v>2.3478080000000001</v>
      </c>
      <c r="Q89">
        <v>2.4404729999999999</v>
      </c>
      <c r="R89">
        <v>2.5412210000000002</v>
      </c>
      <c r="S89">
        <v>2.6449829999999999</v>
      </c>
      <c r="T89">
        <v>2.752405</v>
      </c>
      <c r="U89">
        <v>2.8738489999999999</v>
      </c>
      <c r="V89">
        <v>3.004591</v>
      </c>
      <c r="W89">
        <v>3.1495850000000001</v>
      </c>
      <c r="X89">
        <v>3.3139080000000001</v>
      </c>
      <c r="Y89">
        <v>3.5006020000000002</v>
      </c>
      <c r="Z89">
        <v>3.7020719999999998</v>
      </c>
      <c r="AA89">
        <v>3.9170069999999999</v>
      </c>
      <c r="AB89">
        <v>4.1414150000000003</v>
      </c>
      <c r="AC89">
        <v>4.3768859999999998</v>
      </c>
      <c r="AD89">
        <v>4.632447</v>
      </c>
      <c r="AE89">
        <v>4.9017460000000002</v>
      </c>
      <c r="AF89">
        <v>5.1746309999999998</v>
      </c>
      <c r="AG89">
        <v>5.4474770000000001</v>
      </c>
      <c r="AH89">
        <v>5.7450359999999998</v>
      </c>
      <c r="AI89" s="21">
        <v>5.6000000000000001E-2</v>
      </c>
    </row>
    <row r="90" spans="1:35">
      <c r="A90" t="s">
        <v>277</v>
      </c>
      <c r="B90" t="s">
        <v>1856</v>
      </c>
      <c r="C90" t="s">
        <v>1855</v>
      </c>
      <c r="D90" t="s">
        <v>306</v>
      </c>
      <c r="F90">
        <v>51.344929</v>
      </c>
      <c r="G90">
        <v>51.773192999999999</v>
      </c>
      <c r="H90">
        <v>51.965781999999997</v>
      </c>
      <c r="I90">
        <v>52.061802</v>
      </c>
      <c r="J90">
        <v>52.003608999999997</v>
      </c>
      <c r="K90">
        <v>51.453983000000001</v>
      </c>
      <c r="L90">
        <v>50.587246</v>
      </c>
      <c r="M90">
        <v>49.357909999999997</v>
      </c>
      <c r="N90">
        <v>47.935226</v>
      </c>
      <c r="O90">
        <v>46.656028999999997</v>
      </c>
      <c r="P90">
        <v>45.774760999999998</v>
      </c>
      <c r="Q90">
        <v>45.265827000000002</v>
      </c>
      <c r="R90">
        <v>45.213760000000001</v>
      </c>
      <c r="S90">
        <v>45.570152</v>
      </c>
      <c r="T90">
        <v>46.181815999999998</v>
      </c>
      <c r="U90">
        <v>47.148071000000002</v>
      </c>
      <c r="V90">
        <v>48.373516000000002</v>
      </c>
      <c r="W90">
        <v>49.850352999999998</v>
      </c>
      <c r="X90">
        <v>51.657871</v>
      </c>
      <c r="Y90">
        <v>53.785004000000001</v>
      </c>
      <c r="Z90">
        <v>56.128632000000003</v>
      </c>
      <c r="AA90">
        <v>58.653046000000003</v>
      </c>
      <c r="AB90">
        <v>61.322830000000003</v>
      </c>
      <c r="AC90">
        <v>64.089225999999996</v>
      </c>
      <c r="AD90">
        <v>67.060805999999999</v>
      </c>
      <c r="AE90">
        <v>70.195723999999998</v>
      </c>
      <c r="AF90">
        <v>73.347763</v>
      </c>
      <c r="AG90">
        <v>76.647514000000001</v>
      </c>
      <c r="AH90">
        <v>80.336487000000005</v>
      </c>
      <c r="AI90" s="21">
        <v>1.6E-2</v>
      </c>
    </row>
    <row r="91" spans="1:35">
      <c r="A91" t="s">
        <v>333</v>
      </c>
      <c r="B91" t="s">
        <v>1854</v>
      </c>
      <c r="C91" t="s">
        <v>1853</v>
      </c>
      <c r="D91" t="s">
        <v>306</v>
      </c>
      <c r="F91">
        <v>56.296131000000003</v>
      </c>
      <c r="G91">
        <v>55.369976000000001</v>
      </c>
      <c r="H91">
        <v>54.821407000000001</v>
      </c>
      <c r="I91">
        <v>54.645843999999997</v>
      </c>
      <c r="J91">
        <v>54.800826999999998</v>
      </c>
      <c r="K91">
        <v>55.005043000000001</v>
      </c>
      <c r="L91">
        <v>55.364806999999999</v>
      </c>
      <c r="M91">
        <v>55.846207</v>
      </c>
      <c r="N91">
        <v>56.544991000000003</v>
      </c>
      <c r="O91">
        <v>57.577567999999999</v>
      </c>
      <c r="P91">
        <v>58.992728999999997</v>
      </c>
      <c r="Q91">
        <v>60.460762000000003</v>
      </c>
      <c r="R91">
        <v>61.892029000000001</v>
      </c>
      <c r="S91">
        <v>63.325195000000001</v>
      </c>
      <c r="T91">
        <v>64.556685999999999</v>
      </c>
      <c r="U91">
        <v>65.916945999999996</v>
      </c>
      <c r="V91">
        <v>67.129135000000005</v>
      </c>
      <c r="W91">
        <v>68.383598000000006</v>
      </c>
      <c r="X91">
        <v>69.911057</v>
      </c>
      <c r="Y91">
        <v>71.648148000000006</v>
      </c>
      <c r="Z91">
        <v>73.513976999999997</v>
      </c>
      <c r="AA91">
        <v>75.545715000000001</v>
      </c>
      <c r="AB91">
        <v>77.664931999999993</v>
      </c>
      <c r="AC91">
        <v>79.787002999999999</v>
      </c>
      <c r="AD91">
        <v>81.972365999999994</v>
      </c>
      <c r="AE91">
        <v>84.157775999999998</v>
      </c>
      <c r="AF91">
        <v>86.156768999999997</v>
      </c>
      <c r="AG91">
        <v>88.149535999999998</v>
      </c>
      <c r="AH91">
        <v>90.333061000000001</v>
      </c>
      <c r="AI91" s="21">
        <v>1.7000000000000001E-2</v>
      </c>
    </row>
    <row r="92" spans="1:35">
      <c r="A92" t="s">
        <v>334</v>
      </c>
      <c r="B92" t="s">
        <v>1852</v>
      </c>
      <c r="C92" t="s">
        <v>1851</v>
      </c>
      <c r="D92" t="s">
        <v>306</v>
      </c>
      <c r="F92">
        <v>9.0132000000000004E-2</v>
      </c>
      <c r="G92">
        <v>0.105979</v>
      </c>
      <c r="H92">
        <v>0.11863799999999999</v>
      </c>
      <c r="I92">
        <v>0.12912899999999999</v>
      </c>
      <c r="J92">
        <v>0.137766</v>
      </c>
      <c r="K92">
        <v>0.14405100000000001</v>
      </c>
      <c r="L92">
        <v>0.14827899999999999</v>
      </c>
      <c r="M92">
        <v>0.15024000000000001</v>
      </c>
      <c r="N92">
        <v>0.15040500000000001</v>
      </c>
      <c r="O92">
        <v>0.14929400000000001</v>
      </c>
      <c r="P92">
        <v>0.14718300000000001</v>
      </c>
      <c r="Q92">
        <v>0.14337900000000001</v>
      </c>
      <c r="R92">
        <v>0.13844500000000001</v>
      </c>
      <c r="S92">
        <v>0.13287299999999999</v>
      </c>
      <c r="T92">
        <v>0.126362</v>
      </c>
      <c r="U92">
        <v>0.119864</v>
      </c>
      <c r="V92">
        <v>0.113812</v>
      </c>
      <c r="W92">
        <v>0.107261</v>
      </c>
      <c r="X92">
        <v>0.100509</v>
      </c>
      <c r="Y92">
        <v>9.4465999999999994E-2</v>
      </c>
      <c r="Z92">
        <v>8.9089000000000002E-2</v>
      </c>
      <c r="AA92">
        <v>8.3718000000000001E-2</v>
      </c>
      <c r="AB92">
        <v>7.8723000000000001E-2</v>
      </c>
      <c r="AC92">
        <v>7.4067999999999995E-2</v>
      </c>
      <c r="AD92">
        <v>6.9883000000000001E-2</v>
      </c>
      <c r="AE92">
        <v>6.5998000000000001E-2</v>
      </c>
      <c r="AF92">
        <v>6.2285E-2</v>
      </c>
      <c r="AG92">
        <v>5.8872000000000001E-2</v>
      </c>
      <c r="AH92">
        <v>5.5808999999999997E-2</v>
      </c>
      <c r="AI92" s="21">
        <v>-1.7000000000000001E-2</v>
      </c>
    </row>
    <row r="93" spans="1:35">
      <c r="A93" t="s">
        <v>336</v>
      </c>
      <c r="B93" t="s">
        <v>1850</v>
      </c>
      <c r="C93" t="s">
        <v>1849</v>
      </c>
      <c r="D93" t="s">
        <v>306</v>
      </c>
      <c r="F93">
        <v>0</v>
      </c>
      <c r="G93">
        <v>3.4696999999999999E-2</v>
      </c>
      <c r="H93">
        <v>0.22656999999999999</v>
      </c>
      <c r="I93">
        <v>0.31767200000000001</v>
      </c>
      <c r="J93">
        <v>0.40790999999999999</v>
      </c>
      <c r="K93">
        <v>0.495367</v>
      </c>
      <c r="L93">
        <v>0.58037700000000003</v>
      </c>
      <c r="M93">
        <v>0.66060700000000006</v>
      </c>
      <c r="N93">
        <v>0.73688600000000004</v>
      </c>
      <c r="O93">
        <v>0.81124300000000005</v>
      </c>
      <c r="P93">
        <v>0.88603900000000002</v>
      </c>
      <c r="Q93">
        <v>0.95841299999999996</v>
      </c>
      <c r="R93">
        <v>1.030276</v>
      </c>
      <c r="S93">
        <v>1.1037779999999999</v>
      </c>
      <c r="T93">
        <v>1.1780520000000001</v>
      </c>
      <c r="U93">
        <v>1.2576940000000001</v>
      </c>
      <c r="V93">
        <v>1.343499</v>
      </c>
      <c r="W93">
        <v>1.4378439999999999</v>
      </c>
      <c r="X93">
        <v>1.5450470000000001</v>
      </c>
      <c r="Y93">
        <v>1.6667050000000001</v>
      </c>
      <c r="Z93">
        <v>1.8016829999999999</v>
      </c>
      <c r="AA93">
        <v>1.9414089999999999</v>
      </c>
      <c r="AB93">
        <v>2.088851</v>
      </c>
      <c r="AC93">
        <v>2.2483810000000002</v>
      </c>
      <c r="AD93">
        <v>2.4252669999999998</v>
      </c>
      <c r="AE93">
        <v>2.6095299999999999</v>
      </c>
      <c r="AF93">
        <v>2.798035</v>
      </c>
      <c r="AG93">
        <v>2.995368</v>
      </c>
      <c r="AH93">
        <v>3.2089319999999999</v>
      </c>
      <c r="AI93" t="s">
        <v>17</v>
      </c>
    </row>
    <row r="94" spans="1:35">
      <c r="A94" t="s">
        <v>335</v>
      </c>
      <c r="B94" t="s">
        <v>1848</v>
      </c>
      <c r="C94" t="s">
        <v>1847</v>
      </c>
      <c r="D94" t="s">
        <v>306</v>
      </c>
      <c r="F94">
        <v>0</v>
      </c>
      <c r="G94">
        <v>3.9742E-2</v>
      </c>
      <c r="H94">
        <v>0.36955300000000002</v>
      </c>
      <c r="I94">
        <v>0.48781200000000002</v>
      </c>
      <c r="J94">
        <v>0.605603</v>
      </c>
      <c r="K94">
        <v>0.71972499999999995</v>
      </c>
      <c r="L94">
        <v>0.82948599999999995</v>
      </c>
      <c r="M94">
        <v>0.93214399999999997</v>
      </c>
      <c r="N94">
        <v>1.0295799999999999</v>
      </c>
      <c r="O94">
        <v>1.1256299999999999</v>
      </c>
      <c r="P94">
        <v>1.223357</v>
      </c>
      <c r="Q94">
        <v>1.3188709999999999</v>
      </c>
      <c r="R94">
        <v>1.4143889999999999</v>
      </c>
      <c r="S94">
        <v>1.513145</v>
      </c>
      <c r="T94">
        <v>1.6139269999999999</v>
      </c>
      <c r="U94">
        <v>1.7237640000000001</v>
      </c>
      <c r="V94">
        <v>1.8440939999999999</v>
      </c>
      <c r="W94">
        <v>1.979271</v>
      </c>
      <c r="X94">
        <v>2.1358799999999998</v>
      </c>
      <c r="Y94">
        <v>2.3173180000000002</v>
      </c>
      <c r="Z94">
        <v>2.522904</v>
      </c>
      <c r="AA94">
        <v>2.7382110000000002</v>
      </c>
      <c r="AB94">
        <v>2.9665469999999998</v>
      </c>
      <c r="AC94">
        <v>3.2160470000000001</v>
      </c>
      <c r="AD94">
        <v>3.49437</v>
      </c>
      <c r="AE94">
        <v>3.7831229999999998</v>
      </c>
      <c r="AF94">
        <v>4.0775949999999996</v>
      </c>
      <c r="AG94">
        <v>4.3843719999999999</v>
      </c>
      <c r="AH94">
        <v>4.712472</v>
      </c>
      <c r="AI94" t="s">
        <v>17</v>
      </c>
    </row>
    <row r="95" spans="1:35">
      <c r="A95" t="s">
        <v>337</v>
      </c>
      <c r="B95" t="s">
        <v>1846</v>
      </c>
      <c r="C95" t="s">
        <v>1845</v>
      </c>
      <c r="D95" t="s">
        <v>306</v>
      </c>
      <c r="F95">
        <v>0</v>
      </c>
      <c r="G95">
        <v>0</v>
      </c>
      <c r="H95">
        <v>0.22972699999999999</v>
      </c>
      <c r="I95">
        <v>0.44725199999999998</v>
      </c>
      <c r="J95">
        <v>0.66231200000000001</v>
      </c>
      <c r="K95">
        <v>0.87751500000000004</v>
      </c>
      <c r="L95">
        <v>1.0912500000000001</v>
      </c>
      <c r="M95">
        <v>1.2990360000000001</v>
      </c>
      <c r="N95">
        <v>1.5006790000000001</v>
      </c>
      <c r="O95">
        <v>1.7007650000000001</v>
      </c>
      <c r="P95">
        <v>1.904776</v>
      </c>
      <c r="Q95">
        <v>2.1047159999999998</v>
      </c>
      <c r="R95">
        <v>2.3014619999999999</v>
      </c>
      <c r="S95">
        <v>2.49594</v>
      </c>
      <c r="T95">
        <v>2.6833969999999998</v>
      </c>
      <c r="U95">
        <v>2.8711519999999999</v>
      </c>
      <c r="V95">
        <v>3.0575359999999998</v>
      </c>
      <c r="W95">
        <v>3.245911</v>
      </c>
      <c r="X95">
        <v>3.4448439999999998</v>
      </c>
      <c r="Y95">
        <v>3.6585730000000001</v>
      </c>
      <c r="Z95">
        <v>3.886771</v>
      </c>
      <c r="AA95">
        <v>4.1203969999999996</v>
      </c>
      <c r="AB95">
        <v>4.3612710000000003</v>
      </c>
      <c r="AC95">
        <v>4.6121660000000002</v>
      </c>
      <c r="AD95">
        <v>4.8889959999999997</v>
      </c>
      <c r="AE95">
        <v>5.184831</v>
      </c>
      <c r="AF95">
        <v>5.4921150000000001</v>
      </c>
      <c r="AG95">
        <v>5.8197830000000002</v>
      </c>
      <c r="AH95">
        <v>6.1840799999999998</v>
      </c>
      <c r="AI95" t="s">
        <v>17</v>
      </c>
    </row>
    <row r="96" spans="1:35">
      <c r="A96" t="s">
        <v>188</v>
      </c>
      <c r="B96" t="s">
        <v>1844</v>
      </c>
      <c r="C96" t="s">
        <v>1843</v>
      </c>
      <c r="D96" t="s">
        <v>306</v>
      </c>
      <c r="F96">
        <v>5922.7944340000004</v>
      </c>
      <c r="G96">
        <v>5816.705078</v>
      </c>
      <c r="H96">
        <v>5728.095703</v>
      </c>
      <c r="I96">
        <v>5673.0986329999996</v>
      </c>
      <c r="J96">
        <v>5638.8974609999996</v>
      </c>
      <c r="K96">
        <v>5591.7060549999997</v>
      </c>
      <c r="L96">
        <v>5543.7099609999996</v>
      </c>
      <c r="M96">
        <v>5483.6723629999997</v>
      </c>
      <c r="N96">
        <v>5422.3881840000004</v>
      </c>
      <c r="O96">
        <v>5371.3041990000002</v>
      </c>
      <c r="P96">
        <v>5340.1577150000003</v>
      </c>
      <c r="Q96">
        <v>5306.5058589999999</v>
      </c>
      <c r="R96">
        <v>5278.78125</v>
      </c>
      <c r="S96">
        <v>5261.2451170000004</v>
      </c>
      <c r="T96">
        <v>5243.0034180000002</v>
      </c>
      <c r="U96">
        <v>5237.6967770000001</v>
      </c>
      <c r="V96">
        <v>5236.3603519999997</v>
      </c>
      <c r="W96">
        <v>5238.3046880000002</v>
      </c>
      <c r="X96">
        <v>5247.9135740000002</v>
      </c>
      <c r="Y96">
        <v>5263.2055659999996</v>
      </c>
      <c r="Z96">
        <v>5281.453125</v>
      </c>
      <c r="AA96">
        <v>5299.6840819999998</v>
      </c>
      <c r="AB96">
        <v>5316.767578</v>
      </c>
      <c r="AC96">
        <v>5331.7001950000003</v>
      </c>
      <c r="AD96">
        <v>5353.1962890000004</v>
      </c>
      <c r="AE96">
        <v>5376.3159180000002</v>
      </c>
      <c r="AF96">
        <v>5393.3193359999996</v>
      </c>
      <c r="AG96">
        <v>5413.4169920000004</v>
      </c>
      <c r="AH96">
        <v>5450.013672</v>
      </c>
      <c r="AI96" s="21">
        <v>-3.0000000000000001E-3</v>
      </c>
    </row>
    <row r="97" spans="1:35">
      <c r="A97" t="s">
        <v>369</v>
      </c>
    </row>
    <row r="98" spans="1:35">
      <c r="A98" t="s">
        <v>358</v>
      </c>
    </row>
    <row r="99" spans="1:35">
      <c r="A99" t="s">
        <v>297</v>
      </c>
      <c r="B99" t="s">
        <v>1842</v>
      </c>
      <c r="C99" t="s">
        <v>1841</v>
      </c>
      <c r="D99" t="s">
        <v>370</v>
      </c>
      <c r="F99">
        <v>14.991417999999999</v>
      </c>
      <c r="G99">
        <v>15.216495999999999</v>
      </c>
      <c r="H99">
        <v>15.498507</v>
      </c>
      <c r="I99">
        <v>15.831193000000001</v>
      </c>
      <c r="J99">
        <v>16.182243</v>
      </c>
      <c r="K99">
        <v>16.538081999999999</v>
      </c>
      <c r="L99">
        <v>16.880116000000001</v>
      </c>
      <c r="M99">
        <v>17.209087</v>
      </c>
      <c r="N99">
        <v>17.515287000000001</v>
      </c>
      <c r="O99">
        <v>17.796841000000001</v>
      </c>
      <c r="P99">
        <v>18.058009999999999</v>
      </c>
      <c r="Q99">
        <v>18.298815000000001</v>
      </c>
      <c r="R99">
        <v>18.515478000000002</v>
      </c>
      <c r="S99">
        <v>18.711390999999999</v>
      </c>
      <c r="T99">
        <v>18.891172000000001</v>
      </c>
      <c r="U99">
        <v>19.054907</v>
      </c>
      <c r="V99">
        <v>19.202491999999999</v>
      </c>
      <c r="W99">
        <v>19.329568999999999</v>
      </c>
      <c r="X99">
        <v>19.439314</v>
      </c>
      <c r="Y99">
        <v>19.535429000000001</v>
      </c>
      <c r="Z99">
        <v>19.61628</v>
      </c>
      <c r="AA99">
        <v>19.678816000000001</v>
      </c>
      <c r="AB99">
        <v>19.726330000000001</v>
      </c>
      <c r="AC99">
        <v>19.762045000000001</v>
      </c>
      <c r="AD99">
        <v>19.788633000000001</v>
      </c>
      <c r="AE99">
        <v>19.806604</v>
      </c>
      <c r="AF99">
        <v>19.813744</v>
      </c>
      <c r="AG99">
        <v>19.817585000000001</v>
      </c>
      <c r="AH99">
        <v>19.819794000000002</v>
      </c>
      <c r="AI99" s="21">
        <v>0.01</v>
      </c>
    </row>
    <row r="100" spans="1:35">
      <c r="A100" t="s">
        <v>283</v>
      </c>
      <c r="B100" t="s">
        <v>1840</v>
      </c>
      <c r="C100" t="s">
        <v>1839</v>
      </c>
      <c r="D100" t="s">
        <v>371</v>
      </c>
      <c r="F100">
        <v>10.726876000000001</v>
      </c>
      <c r="G100">
        <v>11.029114999999999</v>
      </c>
      <c r="H100">
        <v>11.340722</v>
      </c>
      <c r="I100">
        <v>11.658097</v>
      </c>
      <c r="J100">
        <v>11.957341</v>
      </c>
      <c r="K100">
        <v>12.246843</v>
      </c>
      <c r="L100">
        <v>12.511288</v>
      </c>
      <c r="M100">
        <v>12.761357</v>
      </c>
      <c r="N100">
        <v>12.989336</v>
      </c>
      <c r="O100">
        <v>13.199085999999999</v>
      </c>
      <c r="P100">
        <v>13.381130000000001</v>
      </c>
      <c r="Q100">
        <v>13.546595999999999</v>
      </c>
      <c r="R100">
        <v>13.699472</v>
      </c>
      <c r="S100">
        <v>13.842229</v>
      </c>
      <c r="T100">
        <v>13.973739</v>
      </c>
      <c r="U100">
        <v>14.095364</v>
      </c>
      <c r="V100">
        <v>14.210414999999999</v>
      </c>
      <c r="W100">
        <v>14.321558</v>
      </c>
      <c r="X100">
        <v>14.425992000000001</v>
      </c>
      <c r="Y100">
        <v>14.520219000000001</v>
      </c>
      <c r="Z100">
        <v>14.608215</v>
      </c>
      <c r="AA100">
        <v>14.692059</v>
      </c>
      <c r="AB100">
        <v>14.763736</v>
      </c>
      <c r="AC100">
        <v>14.827795999999999</v>
      </c>
      <c r="AD100">
        <v>14.883236999999999</v>
      </c>
      <c r="AE100">
        <v>14.930063000000001</v>
      </c>
      <c r="AF100">
        <v>14.969678</v>
      </c>
      <c r="AG100">
        <v>15.003341000000001</v>
      </c>
      <c r="AH100">
        <v>15.030684000000001</v>
      </c>
      <c r="AI100" s="21">
        <v>1.2E-2</v>
      </c>
    </row>
    <row r="101" spans="1:35">
      <c r="A101" t="s">
        <v>278</v>
      </c>
      <c r="B101" t="s">
        <v>1838</v>
      </c>
      <c r="C101" t="s">
        <v>1837</v>
      </c>
      <c r="D101" t="s">
        <v>371</v>
      </c>
      <c r="F101">
        <v>8.2871159999999993</v>
      </c>
      <c r="G101">
        <v>12.070017</v>
      </c>
      <c r="H101">
        <v>12.378905</v>
      </c>
      <c r="I101">
        <v>12.533067000000001</v>
      </c>
      <c r="J101">
        <v>12.633637</v>
      </c>
      <c r="K101">
        <v>12.727520999999999</v>
      </c>
      <c r="L101">
        <v>12.811731999999999</v>
      </c>
      <c r="M101">
        <v>12.9071</v>
      </c>
      <c r="N101">
        <v>13.019793999999999</v>
      </c>
      <c r="O101">
        <v>13.144209</v>
      </c>
      <c r="P101">
        <v>13.276356</v>
      </c>
      <c r="Q101">
        <v>13.407525</v>
      </c>
      <c r="R101">
        <v>13.532327</v>
      </c>
      <c r="S101">
        <v>13.644149000000001</v>
      </c>
      <c r="T101">
        <v>13.742635</v>
      </c>
      <c r="U101">
        <v>13.828310999999999</v>
      </c>
      <c r="V101">
        <v>13.902666</v>
      </c>
      <c r="W101">
        <v>13.967390999999999</v>
      </c>
      <c r="X101">
        <v>14.023659</v>
      </c>
      <c r="Y101">
        <v>14.072395999999999</v>
      </c>
      <c r="Z101">
        <v>14.11443</v>
      </c>
      <c r="AA101">
        <v>14.150719</v>
      </c>
      <c r="AB101">
        <v>14.184551000000001</v>
      </c>
      <c r="AC101">
        <v>14.215185999999999</v>
      </c>
      <c r="AD101">
        <v>14.241229000000001</v>
      </c>
      <c r="AE101">
        <v>14.26371</v>
      </c>
      <c r="AF101">
        <v>14.282851000000001</v>
      </c>
      <c r="AG101">
        <v>14.299067000000001</v>
      </c>
      <c r="AH101">
        <v>14.312678</v>
      </c>
      <c r="AI101" s="21">
        <v>0.02</v>
      </c>
    </row>
    <row r="102" spans="1:35">
      <c r="A102" t="s">
        <v>277</v>
      </c>
      <c r="B102" t="s">
        <v>1836</v>
      </c>
      <c r="C102" t="s">
        <v>1835</v>
      </c>
      <c r="D102" t="s">
        <v>371</v>
      </c>
      <c r="F102">
        <v>10.037065</v>
      </c>
      <c r="G102">
        <v>10.03825</v>
      </c>
      <c r="H102">
        <v>10.039481</v>
      </c>
      <c r="I102">
        <v>10.040760000000001</v>
      </c>
      <c r="J102">
        <v>10.04208</v>
      </c>
      <c r="K102">
        <v>10.043437000000001</v>
      </c>
      <c r="L102">
        <v>10.044827</v>
      </c>
      <c r="M102">
        <v>10.046251</v>
      </c>
      <c r="N102">
        <v>10.047701</v>
      </c>
      <c r="O102">
        <v>10.049175999999999</v>
      </c>
      <c r="P102">
        <v>10.050672</v>
      </c>
      <c r="Q102">
        <v>10.057157</v>
      </c>
      <c r="R102">
        <v>10.073521</v>
      </c>
      <c r="S102">
        <v>10.105247</v>
      </c>
      <c r="T102">
        <v>10.140972</v>
      </c>
      <c r="U102">
        <v>10.185604</v>
      </c>
      <c r="V102">
        <v>10.231821</v>
      </c>
      <c r="W102">
        <v>10.265867999999999</v>
      </c>
      <c r="X102">
        <v>10.275093</v>
      </c>
      <c r="Y102">
        <v>10.25789</v>
      </c>
      <c r="Z102">
        <v>10.216537000000001</v>
      </c>
      <c r="AA102">
        <v>10.161300000000001</v>
      </c>
      <c r="AB102">
        <v>10.092753999999999</v>
      </c>
      <c r="AC102">
        <v>10.027177</v>
      </c>
      <c r="AD102">
        <v>9.99404</v>
      </c>
      <c r="AE102">
        <v>10.014455</v>
      </c>
      <c r="AF102">
        <v>10.061934000000001</v>
      </c>
      <c r="AG102">
        <v>10.114001</v>
      </c>
      <c r="AH102">
        <v>10.188727</v>
      </c>
      <c r="AI102" s="21">
        <v>1E-3</v>
      </c>
    </row>
    <row r="103" spans="1:35">
      <c r="A103" t="s">
        <v>333</v>
      </c>
      <c r="B103" t="s">
        <v>1834</v>
      </c>
      <c r="C103" t="s">
        <v>1833</v>
      </c>
      <c r="D103" t="s">
        <v>371</v>
      </c>
      <c r="F103">
        <v>10.321225</v>
      </c>
      <c r="G103">
        <v>10.468386000000001</v>
      </c>
      <c r="H103">
        <v>10.641707</v>
      </c>
      <c r="I103">
        <v>10.829888</v>
      </c>
      <c r="J103">
        <v>11.019978999999999</v>
      </c>
      <c r="K103">
        <v>11.213248</v>
      </c>
      <c r="L103">
        <v>11.394366</v>
      </c>
      <c r="M103">
        <v>11.570538000000001</v>
      </c>
      <c r="N103">
        <v>11.740290999999999</v>
      </c>
      <c r="O103">
        <v>11.905053000000001</v>
      </c>
      <c r="P103">
        <v>12.059313</v>
      </c>
      <c r="Q103">
        <v>12.213480000000001</v>
      </c>
      <c r="R103">
        <v>12.379014</v>
      </c>
      <c r="S103">
        <v>12.555837</v>
      </c>
      <c r="T103">
        <v>12.744346</v>
      </c>
      <c r="U103">
        <v>12.939107999999999</v>
      </c>
      <c r="V103">
        <v>13.149075</v>
      </c>
      <c r="W103">
        <v>13.363464</v>
      </c>
      <c r="X103">
        <v>13.576193</v>
      </c>
      <c r="Y103">
        <v>13.772496</v>
      </c>
      <c r="Z103">
        <v>13.949099</v>
      </c>
      <c r="AA103">
        <v>14.098661999999999</v>
      </c>
      <c r="AB103">
        <v>14.220824</v>
      </c>
      <c r="AC103">
        <v>14.323482</v>
      </c>
      <c r="AD103">
        <v>14.410444</v>
      </c>
      <c r="AE103">
        <v>14.483241</v>
      </c>
      <c r="AF103">
        <v>14.544046</v>
      </c>
      <c r="AG103">
        <v>14.60201</v>
      </c>
      <c r="AH103">
        <v>14.655778</v>
      </c>
      <c r="AI103" s="21">
        <v>1.2999999999999999E-2</v>
      </c>
    </row>
    <row r="104" spans="1:35">
      <c r="A104" t="s">
        <v>334</v>
      </c>
      <c r="B104" t="s">
        <v>1832</v>
      </c>
      <c r="C104" t="s">
        <v>1831</v>
      </c>
      <c r="D104" t="s">
        <v>370</v>
      </c>
      <c r="F104">
        <v>24.120543999999999</v>
      </c>
      <c r="G104">
        <v>24.120650999999999</v>
      </c>
      <c r="H104">
        <v>24.120832</v>
      </c>
      <c r="I104">
        <v>24.121077</v>
      </c>
      <c r="J104">
        <v>24.121357</v>
      </c>
      <c r="K104">
        <v>24.121646999999999</v>
      </c>
      <c r="L104">
        <v>24.121905999999999</v>
      </c>
      <c r="M104">
        <v>24.1206</v>
      </c>
      <c r="N104">
        <v>24.120342000000001</v>
      </c>
      <c r="O104">
        <v>24.120311999999998</v>
      </c>
      <c r="P104">
        <v>24.120283000000001</v>
      </c>
      <c r="Q104">
        <v>24.116168999999999</v>
      </c>
      <c r="R104">
        <v>24.116142</v>
      </c>
      <c r="S104">
        <v>24.116114</v>
      </c>
      <c r="T104">
        <v>24.116087</v>
      </c>
      <c r="U104">
        <v>24.116057999999999</v>
      </c>
      <c r="V104">
        <v>24.116029999999999</v>
      </c>
      <c r="W104">
        <v>24.116002999999999</v>
      </c>
      <c r="X104">
        <v>24.121919999999999</v>
      </c>
      <c r="Y104">
        <v>24.121894999999999</v>
      </c>
      <c r="Z104">
        <v>24.121872</v>
      </c>
      <c r="AA104">
        <v>24.121846999999999</v>
      </c>
      <c r="AB104">
        <v>24.121846999999999</v>
      </c>
      <c r="AC104">
        <v>24.121846999999999</v>
      </c>
      <c r="AD104">
        <v>24.121846999999999</v>
      </c>
      <c r="AE104">
        <v>24.121846999999999</v>
      </c>
      <c r="AF104">
        <v>24.121846999999999</v>
      </c>
      <c r="AG104">
        <v>24.121846999999999</v>
      </c>
      <c r="AH104">
        <v>24.121849000000001</v>
      </c>
      <c r="AI104" s="21">
        <v>0</v>
      </c>
    </row>
    <row r="105" spans="1:35">
      <c r="A105" t="s">
        <v>336</v>
      </c>
      <c r="B105" t="s">
        <v>1830</v>
      </c>
      <c r="C105" t="s">
        <v>1829</v>
      </c>
      <c r="D105" t="s">
        <v>370</v>
      </c>
      <c r="F105">
        <v>0</v>
      </c>
      <c r="G105">
        <v>23.149469</v>
      </c>
      <c r="H105">
        <v>23.472180999999999</v>
      </c>
      <c r="I105">
        <v>23.713379</v>
      </c>
      <c r="J105">
        <v>23.934065</v>
      </c>
      <c r="K105">
        <v>24.180558999999999</v>
      </c>
      <c r="L105">
        <v>24.434350999999999</v>
      </c>
      <c r="M105">
        <v>24.733726999999998</v>
      </c>
      <c r="N105">
        <v>25.076927000000001</v>
      </c>
      <c r="O105">
        <v>25.458096999999999</v>
      </c>
      <c r="P105">
        <v>25.866046999999998</v>
      </c>
      <c r="Q105">
        <v>26.263549999999999</v>
      </c>
      <c r="R105">
        <v>26.635529999999999</v>
      </c>
      <c r="S105">
        <v>26.971720000000001</v>
      </c>
      <c r="T105">
        <v>27.273852999999999</v>
      </c>
      <c r="U105">
        <v>27.540438000000002</v>
      </c>
      <c r="V105">
        <v>27.771664000000001</v>
      </c>
      <c r="W105">
        <v>27.968972999999998</v>
      </c>
      <c r="X105">
        <v>28.134948999999999</v>
      </c>
      <c r="Y105">
        <v>28.272074</v>
      </c>
      <c r="Z105">
        <v>28.389306999999999</v>
      </c>
      <c r="AA105">
        <v>28.489751999999999</v>
      </c>
      <c r="AB105">
        <v>28.575668</v>
      </c>
      <c r="AC105">
        <v>28.649501999999998</v>
      </c>
      <c r="AD105">
        <v>28.719356999999999</v>
      </c>
      <c r="AE105">
        <v>28.78302</v>
      </c>
      <c r="AF105">
        <v>28.839659000000001</v>
      </c>
      <c r="AG105">
        <v>28.888365</v>
      </c>
      <c r="AH105">
        <v>28.930430999999999</v>
      </c>
      <c r="AI105" t="s">
        <v>17</v>
      </c>
    </row>
    <row r="106" spans="1:35">
      <c r="A106" t="s">
        <v>335</v>
      </c>
      <c r="B106" t="s">
        <v>1828</v>
      </c>
      <c r="C106" t="s">
        <v>1827</v>
      </c>
      <c r="D106" t="s">
        <v>371</v>
      </c>
      <c r="F106">
        <v>0</v>
      </c>
      <c r="G106">
        <v>18.959842999999999</v>
      </c>
      <c r="H106">
        <v>19.097798999999998</v>
      </c>
      <c r="I106">
        <v>19.221861000000001</v>
      </c>
      <c r="J106">
        <v>19.306705000000001</v>
      </c>
      <c r="K106">
        <v>19.394665</v>
      </c>
      <c r="L106">
        <v>19.477266</v>
      </c>
      <c r="M106">
        <v>19.57037</v>
      </c>
      <c r="N106">
        <v>19.676134000000001</v>
      </c>
      <c r="O106">
        <v>19.793496999999999</v>
      </c>
      <c r="P106">
        <v>19.919716000000001</v>
      </c>
      <c r="Q106">
        <v>20.047338</v>
      </c>
      <c r="R106">
        <v>20.172951000000001</v>
      </c>
      <c r="S106">
        <v>20.289746999999998</v>
      </c>
      <c r="T106">
        <v>20.399184999999999</v>
      </c>
      <c r="U106">
        <v>20.498297000000001</v>
      </c>
      <c r="V106">
        <v>20.584267000000001</v>
      </c>
      <c r="W106">
        <v>20.657764</v>
      </c>
      <c r="X106">
        <v>20.719555</v>
      </c>
      <c r="Y106">
        <v>20.770308</v>
      </c>
      <c r="Z106">
        <v>20.813773999999999</v>
      </c>
      <c r="AA106">
        <v>20.851306999999998</v>
      </c>
      <c r="AB106">
        <v>20.877443</v>
      </c>
      <c r="AC106">
        <v>20.902785999999999</v>
      </c>
      <c r="AD106">
        <v>20.928736000000001</v>
      </c>
      <c r="AE106">
        <v>20.955839000000001</v>
      </c>
      <c r="AF106">
        <v>20.984338999999999</v>
      </c>
      <c r="AG106">
        <v>21.014859999999999</v>
      </c>
      <c r="AH106">
        <v>21.047606999999999</v>
      </c>
      <c r="AI106" t="s">
        <v>17</v>
      </c>
    </row>
    <row r="107" spans="1:35">
      <c r="A107" t="s">
        <v>337</v>
      </c>
      <c r="B107" t="s">
        <v>1826</v>
      </c>
      <c r="C107" t="s">
        <v>1825</v>
      </c>
      <c r="D107" t="s">
        <v>370</v>
      </c>
      <c r="F107">
        <v>0</v>
      </c>
      <c r="G107">
        <v>0</v>
      </c>
      <c r="H107">
        <v>18.589186000000002</v>
      </c>
      <c r="I107">
        <v>17.317968</v>
      </c>
      <c r="J107">
        <v>16.950768</v>
      </c>
      <c r="K107">
        <v>16.763815000000001</v>
      </c>
      <c r="L107">
        <v>16.648444999999999</v>
      </c>
      <c r="M107">
        <v>16.569084</v>
      </c>
      <c r="N107">
        <v>16.510998000000001</v>
      </c>
      <c r="O107">
        <v>16.466656</v>
      </c>
      <c r="P107">
        <v>16.431818</v>
      </c>
      <c r="Q107">
        <v>16.404015000000001</v>
      </c>
      <c r="R107">
        <v>16.381551999999999</v>
      </c>
      <c r="S107">
        <v>16.363289000000002</v>
      </c>
      <c r="T107">
        <v>16.348462999999999</v>
      </c>
      <c r="U107">
        <v>16.336552000000001</v>
      </c>
      <c r="V107">
        <v>16.327078</v>
      </c>
      <c r="W107">
        <v>16.319696</v>
      </c>
      <c r="X107">
        <v>16.314050999999999</v>
      </c>
      <c r="Y107">
        <v>16.30987</v>
      </c>
      <c r="Z107">
        <v>16.306847000000001</v>
      </c>
      <c r="AA107">
        <v>16.301434</v>
      </c>
      <c r="AB107">
        <v>16.296316000000001</v>
      </c>
      <c r="AC107">
        <v>16.291889000000001</v>
      </c>
      <c r="AD107">
        <v>16.288053999999999</v>
      </c>
      <c r="AE107">
        <v>16.279157999999999</v>
      </c>
      <c r="AF107">
        <v>16.272285</v>
      </c>
      <c r="AG107">
        <v>16.266923999999999</v>
      </c>
      <c r="AH107">
        <v>16.262709000000001</v>
      </c>
      <c r="AI107" t="s">
        <v>17</v>
      </c>
    </row>
    <row r="108" spans="1:35">
      <c r="A108" t="s">
        <v>372</v>
      </c>
      <c r="B108" t="s">
        <v>1824</v>
      </c>
      <c r="C108" t="s">
        <v>1823</v>
      </c>
      <c r="F108">
        <v>13.701998</v>
      </c>
      <c r="G108">
        <v>13.894455000000001</v>
      </c>
      <c r="H108">
        <v>14.1332</v>
      </c>
      <c r="I108">
        <v>14.411139</v>
      </c>
      <c r="J108">
        <v>14.696726999999999</v>
      </c>
      <c r="K108">
        <v>14.984973999999999</v>
      </c>
      <c r="L108">
        <v>15.258081000000001</v>
      </c>
      <c r="M108">
        <v>15.520238000000001</v>
      </c>
      <c r="N108">
        <v>15.762815</v>
      </c>
      <c r="O108">
        <v>15.987064999999999</v>
      </c>
      <c r="P108">
        <v>16.188490000000002</v>
      </c>
      <c r="Q108">
        <v>16.371717</v>
      </c>
      <c r="R108">
        <v>16.538298000000001</v>
      </c>
      <c r="S108">
        <v>16.691216000000001</v>
      </c>
      <c r="T108">
        <v>16.830991999999998</v>
      </c>
      <c r="U108">
        <v>16.958241999999998</v>
      </c>
      <c r="V108">
        <v>17.075382000000001</v>
      </c>
      <c r="W108">
        <v>17.182625000000002</v>
      </c>
      <c r="X108">
        <v>17.279478000000001</v>
      </c>
      <c r="Y108">
        <v>17.364405000000001</v>
      </c>
      <c r="Z108">
        <v>17.440176000000001</v>
      </c>
      <c r="AA108">
        <v>17.507937999999999</v>
      </c>
      <c r="AB108">
        <v>17.564014</v>
      </c>
      <c r="AC108">
        <v>17.611903999999999</v>
      </c>
      <c r="AD108">
        <v>17.652002</v>
      </c>
      <c r="AE108">
        <v>17.684301000000001</v>
      </c>
      <c r="AF108">
        <v>17.708280999999999</v>
      </c>
      <c r="AG108">
        <v>17.728021999999999</v>
      </c>
      <c r="AH108">
        <v>17.743794999999999</v>
      </c>
      <c r="AI108" s="21">
        <v>8.9999999999999993E-3</v>
      </c>
    </row>
    <row r="109" spans="1:35">
      <c r="A109" t="s">
        <v>361</v>
      </c>
    </row>
    <row r="110" spans="1:35">
      <c r="A110" t="s">
        <v>297</v>
      </c>
      <c r="B110" t="s">
        <v>1822</v>
      </c>
      <c r="C110" t="s">
        <v>1821</v>
      </c>
      <c r="D110" t="s">
        <v>370</v>
      </c>
      <c r="F110">
        <v>9.1936929999999997</v>
      </c>
      <c r="G110">
        <v>9.3656079999999999</v>
      </c>
      <c r="H110">
        <v>9.5537709999999993</v>
      </c>
      <c r="I110">
        <v>9.7580460000000002</v>
      </c>
      <c r="J110">
        <v>9.9795289999999994</v>
      </c>
      <c r="K110">
        <v>10.217642</v>
      </c>
      <c r="L110">
        <v>10.452211999999999</v>
      </c>
      <c r="M110">
        <v>10.691178000000001</v>
      </c>
      <c r="N110">
        <v>10.928903</v>
      </c>
      <c r="O110">
        <v>11.165851</v>
      </c>
      <c r="P110">
        <v>11.396546000000001</v>
      </c>
      <c r="Q110">
        <v>11.615690000000001</v>
      </c>
      <c r="R110">
        <v>11.822267999999999</v>
      </c>
      <c r="S110">
        <v>12.013245</v>
      </c>
      <c r="T110">
        <v>12.188295</v>
      </c>
      <c r="U110">
        <v>12.348012000000001</v>
      </c>
      <c r="V110">
        <v>12.494664999999999</v>
      </c>
      <c r="W110">
        <v>12.629422999999999</v>
      </c>
      <c r="X110">
        <v>12.753945</v>
      </c>
      <c r="Y110">
        <v>12.869916999999999</v>
      </c>
      <c r="Z110">
        <v>12.975726</v>
      </c>
      <c r="AA110">
        <v>13.066599</v>
      </c>
      <c r="AB110">
        <v>13.143876000000001</v>
      </c>
      <c r="AC110">
        <v>13.212106</v>
      </c>
      <c r="AD110">
        <v>13.275549</v>
      </c>
      <c r="AE110">
        <v>13.33305</v>
      </c>
      <c r="AF110">
        <v>13.385566000000001</v>
      </c>
      <c r="AG110">
        <v>13.435430999999999</v>
      </c>
      <c r="AH110">
        <v>13.483851</v>
      </c>
      <c r="AI110" s="21">
        <v>1.4E-2</v>
      </c>
    </row>
    <row r="111" spans="1:35">
      <c r="A111" t="s">
        <v>283</v>
      </c>
      <c r="B111" t="s">
        <v>1820</v>
      </c>
      <c r="C111" t="s">
        <v>1819</v>
      </c>
      <c r="D111" t="s">
        <v>371</v>
      </c>
      <c r="F111">
        <v>6.749625</v>
      </c>
      <c r="G111">
        <v>6.8187819999999997</v>
      </c>
      <c r="H111">
        <v>6.8968119999999997</v>
      </c>
      <c r="I111">
        <v>6.9867109999999997</v>
      </c>
      <c r="J111">
        <v>7.0877090000000003</v>
      </c>
      <c r="K111">
        <v>7.2009949999999998</v>
      </c>
      <c r="L111">
        <v>7.3132250000000001</v>
      </c>
      <c r="M111">
        <v>7.4300740000000003</v>
      </c>
      <c r="N111">
        <v>7.5496179999999997</v>
      </c>
      <c r="O111">
        <v>7.6721680000000001</v>
      </c>
      <c r="P111">
        <v>7.7944769999999997</v>
      </c>
      <c r="Q111">
        <v>7.9165010000000002</v>
      </c>
      <c r="R111">
        <v>8.0336940000000006</v>
      </c>
      <c r="S111">
        <v>8.1469880000000003</v>
      </c>
      <c r="T111">
        <v>8.2555569999999996</v>
      </c>
      <c r="U111">
        <v>8.3564089999999993</v>
      </c>
      <c r="V111">
        <v>8.4546189999999992</v>
      </c>
      <c r="W111">
        <v>8.5432349999999992</v>
      </c>
      <c r="X111">
        <v>8.6293539999999993</v>
      </c>
      <c r="Y111">
        <v>8.708888</v>
      </c>
      <c r="Z111">
        <v>8.7825589999999991</v>
      </c>
      <c r="AA111">
        <v>8.8479890000000001</v>
      </c>
      <c r="AB111">
        <v>8.9059849999999994</v>
      </c>
      <c r="AC111">
        <v>8.9598390000000006</v>
      </c>
      <c r="AD111">
        <v>9.0106319999999993</v>
      </c>
      <c r="AE111">
        <v>9.0589600000000008</v>
      </c>
      <c r="AF111">
        <v>9.1032890000000002</v>
      </c>
      <c r="AG111">
        <v>9.1440789999999996</v>
      </c>
      <c r="AH111">
        <v>9.1836179999999992</v>
      </c>
      <c r="AI111" s="21">
        <v>1.0999999999999999E-2</v>
      </c>
    </row>
    <row r="112" spans="1:35">
      <c r="A112" t="s">
        <v>278</v>
      </c>
      <c r="B112" t="s">
        <v>1818</v>
      </c>
      <c r="C112" t="s">
        <v>1817</v>
      </c>
      <c r="D112" t="s">
        <v>371</v>
      </c>
      <c r="F112">
        <v>6.6743629999999996</v>
      </c>
      <c r="G112">
        <v>6.7503399999999996</v>
      </c>
      <c r="H112">
        <v>6.8347340000000001</v>
      </c>
      <c r="I112">
        <v>6.9285519999999998</v>
      </c>
      <c r="J112">
        <v>7.0375389999999998</v>
      </c>
      <c r="K112">
        <v>7.1648250000000004</v>
      </c>
      <c r="L112">
        <v>7.2973169999999996</v>
      </c>
      <c r="M112">
        <v>7.4426379999999996</v>
      </c>
      <c r="N112">
        <v>7.595675</v>
      </c>
      <c r="O112">
        <v>7.7572469999999996</v>
      </c>
      <c r="P112">
        <v>7.9236519999999997</v>
      </c>
      <c r="Q112">
        <v>8.0880279999999996</v>
      </c>
      <c r="R112">
        <v>8.2448350000000001</v>
      </c>
      <c r="S112">
        <v>8.4022679999999994</v>
      </c>
      <c r="T112">
        <v>8.5486609999999992</v>
      </c>
      <c r="U112">
        <v>8.6811869999999995</v>
      </c>
      <c r="V112">
        <v>8.7986620000000002</v>
      </c>
      <c r="W112">
        <v>8.9005259999999993</v>
      </c>
      <c r="X112">
        <v>8.9864390000000007</v>
      </c>
      <c r="Y112">
        <v>9.0566899999999997</v>
      </c>
      <c r="Z112">
        <v>9.1138080000000006</v>
      </c>
      <c r="AA112">
        <v>9.1601370000000006</v>
      </c>
      <c r="AB112">
        <v>9.1973389999999995</v>
      </c>
      <c r="AC112">
        <v>9.2269989999999993</v>
      </c>
      <c r="AD112">
        <v>9.2508189999999999</v>
      </c>
      <c r="AE112">
        <v>9.2702109999999998</v>
      </c>
      <c r="AF112">
        <v>9.2862960000000001</v>
      </c>
      <c r="AG112">
        <v>9.3103250000000006</v>
      </c>
      <c r="AH112">
        <v>9.3297629999999998</v>
      </c>
      <c r="AI112" s="21">
        <v>1.2E-2</v>
      </c>
    </row>
    <row r="113" spans="1:35">
      <c r="A113" t="s">
        <v>277</v>
      </c>
      <c r="B113" t="s">
        <v>1816</v>
      </c>
      <c r="C113" t="s">
        <v>1815</v>
      </c>
      <c r="D113" t="s">
        <v>371</v>
      </c>
      <c r="F113">
        <v>6.6825780000000004</v>
      </c>
      <c r="G113">
        <v>6.7423450000000003</v>
      </c>
      <c r="H113">
        <v>6.8055500000000002</v>
      </c>
      <c r="I113">
        <v>6.8709239999999996</v>
      </c>
      <c r="J113">
        <v>6.936928</v>
      </c>
      <c r="K113">
        <v>7.0035639999999999</v>
      </c>
      <c r="L113">
        <v>7.0627769999999996</v>
      </c>
      <c r="M113">
        <v>7.1203580000000004</v>
      </c>
      <c r="N113">
        <v>7.1764029999999996</v>
      </c>
      <c r="O113">
        <v>7.227449</v>
      </c>
      <c r="P113">
        <v>7.2715829999999997</v>
      </c>
      <c r="Q113">
        <v>7.310689</v>
      </c>
      <c r="R113">
        <v>7.3482479999999999</v>
      </c>
      <c r="S113">
        <v>7.3825830000000003</v>
      </c>
      <c r="T113">
        <v>7.4144519999999998</v>
      </c>
      <c r="U113">
        <v>7.4396360000000001</v>
      </c>
      <c r="V113">
        <v>7.4596830000000001</v>
      </c>
      <c r="W113">
        <v>7.4693519999999998</v>
      </c>
      <c r="X113">
        <v>7.4733830000000001</v>
      </c>
      <c r="Y113">
        <v>7.4823339999999998</v>
      </c>
      <c r="Z113">
        <v>7.4853820000000004</v>
      </c>
      <c r="AA113">
        <v>7.5116059999999996</v>
      </c>
      <c r="AB113">
        <v>7.5539040000000002</v>
      </c>
      <c r="AC113">
        <v>7.5841479999999999</v>
      </c>
      <c r="AD113">
        <v>7.6054649999999997</v>
      </c>
      <c r="AE113">
        <v>7.643802</v>
      </c>
      <c r="AF113">
        <v>7.6943020000000004</v>
      </c>
      <c r="AG113">
        <v>7.7469619999999999</v>
      </c>
      <c r="AH113">
        <v>7.7930609999999998</v>
      </c>
      <c r="AI113" s="21">
        <v>6.0000000000000001E-3</v>
      </c>
    </row>
    <row r="114" spans="1:35">
      <c r="A114" t="s">
        <v>333</v>
      </c>
      <c r="B114" t="s">
        <v>1814</v>
      </c>
      <c r="C114" t="s">
        <v>1813</v>
      </c>
      <c r="D114" t="s">
        <v>373</v>
      </c>
      <c r="F114">
        <v>6.8756690000000003</v>
      </c>
      <c r="G114">
        <v>6.9501460000000002</v>
      </c>
      <c r="H114">
        <v>7.0454549999999996</v>
      </c>
      <c r="I114">
        <v>7.1580300000000001</v>
      </c>
      <c r="J114">
        <v>7.2911039999999998</v>
      </c>
      <c r="K114">
        <v>7.4430180000000004</v>
      </c>
      <c r="L114">
        <v>7.5863610000000001</v>
      </c>
      <c r="M114">
        <v>7.7349189999999997</v>
      </c>
      <c r="N114">
        <v>7.8826219999999996</v>
      </c>
      <c r="O114">
        <v>8.0331209999999995</v>
      </c>
      <c r="P114">
        <v>8.1807379999999998</v>
      </c>
      <c r="Q114">
        <v>8.3228650000000002</v>
      </c>
      <c r="R114">
        <v>8.4456779999999991</v>
      </c>
      <c r="S114">
        <v>8.5560939999999999</v>
      </c>
      <c r="T114">
        <v>8.6529340000000001</v>
      </c>
      <c r="U114">
        <v>8.7339490000000009</v>
      </c>
      <c r="V114">
        <v>8.803032</v>
      </c>
      <c r="W114">
        <v>8.8629239999999996</v>
      </c>
      <c r="X114">
        <v>8.910183</v>
      </c>
      <c r="Y114">
        <v>8.9528590000000001</v>
      </c>
      <c r="Z114">
        <v>8.9892479999999999</v>
      </c>
      <c r="AA114">
        <v>9.0205870000000008</v>
      </c>
      <c r="AB114">
        <v>9.0477559999999997</v>
      </c>
      <c r="AC114">
        <v>9.0712449999999993</v>
      </c>
      <c r="AD114">
        <v>9.0923820000000006</v>
      </c>
      <c r="AE114">
        <v>9.1120409999999996</v>
      </c>
      <c r="AF114">
        <v>9.1306829999999994</v>
      </c>
      <c r="AG114">
        <v>9.1470629999999993</v>
      </c>
      <c r="AH114">
        <v>9.1612849999999995</v>
      </c>
      <c r="AI114" s="21">
        <v>0.01</v>
      </c>
    </row>
    <row r="115" spans="1:35">
      <c r="A115" t="s">
        <v>334</v>
      </c>
      <c r="B115" t="s">
        <v>1812</v>
      </c>
      <c r="C115" t="s">
        <v>1811</v>
      </c>
      <c r="D115" t="s">
        <v>371</v>
      </c>
      <c r="F115">
        <v>17.406853000000002</v>
      </c>
      <c r="G115">
        <v>17.424419</v>
      </c>
      <c r="H115">
        <v>17.492840000000001</v>
      </c>
      <c r="I115">
        <v>17.594168</v>
      </c>
      <c r="J115">
        <v>17.723022</v>
      </c>
      <c r="K115">
        <v>17.870365</v>
      </c>
      <c r="L115">
        <v>18.006972999999999</v>
      </c>
      <c r="M115">
        <v>18.150782</v>
      </c>
      <c r="N115">
        <v>18.295826000000002</v>
      </c>
      <c r="O115">
        <v>18.440176000000001</v>
      </c>
      <c r="P115">
        <v>18.580342999999999</v>
      </c>
      <c r="Q115">
        <v>18.711387999999999</v>
      </c>
      <c r="R115">
        <v>18.795469000000001</v>
      </c>
      <c r="S115">
        <v>18.886208</v>
      </c>
      <c r="T115">
        <v>18.994534999999999</v>
      </c>
      <c r="U115">
        <v>19.086106999999998</v>
      </c>
      <c r="V115">
        <v>19.144750999999999</v>
      </c>
      <c r="W115">
        <v>19.193377999999999</v>
      </c>
      <c r="X115">
        <v>19.256512000000001</v>
      </c>
      <c r="Y115">
        <v>19.306592999999999</v>
      </c>
      <c r="Z115">
        <v>19.347332000000002</v>
      </c>
      <c r="AA115">
        <v>19.379252999999999</v>
      </c>
      <c r="AB115">
        <v>19.403368</v>
      </c>
      <c r="AC115">
        <v>19.420500000000001</v>
      </c>
      <c r="AD115">
        <v>19.432022</v>
      </c>
      <c r="AE115">
        <v>19.441696</v>
      </c>
      <c r="AF115">
        <v>19.448132999999999</v>
      </c>
      <c r="AG115">
        <v>19.409203000000002</v>
      </c>
      <c r="AH115">
        <v>19.409485</v>
      </c>
      <c r="AI115" s="21">
        <v>4.0000000000000001E-3</v>
      </c>
    </row>
    <row r="116" spans="1:35">
      <c r="A116" t="s">
        <v>336</v>
      </c>
      <c r="B116" t="s">
        <v>1810</v>
      </c>
      <c r="C116" t="s">
        <v>1809</v>
      </c>
      <c r="D116" t="s">
        <v>371</v>
      </c>
      <c r="F116">
        <v>0</v>
      </c>
      <c r="G116">
        <v>0</v>
      </c>
      <c r="H116">
        <v>14.553951</v>
      </c>
      <c r="I116">
        <v>14.815011999999999</v>
      </c>
      <c r="J116">
        <v>14.998927999999999</v>
      </c>
      <c r="K116">
        <v>15.192572</v>
      </c>
      <c r="L116">
        <v>15.368869</v>
      </c>
      <c r="M116">
        <v>15.555434</v>
      </c>
      <c r="N116">
        <v>15.744630000000001</v>
      </c>
      <c r="O116">
        <v>15.944782999999999</v>
      </c>
      <c r="P116">
        <v>16.161604000000001</v>
      </c>
      <c r="Q116">
        <v>16.394955</v>
      </c>
      <c r="R116">
        <v>16.63316</v>
      </c>
      <c r="S116">
        <v>16.849796000000001</v>
      </c>
      <c r="T116">
        <v>17.064274000000001</v>
      </c>
      <c r="U116">
        <v>17.266493000000001</v>
      </c>
      <c r="V116">
        <v>17.445629</v>
      </c>
      <c r="W116">
        <v>17.603285</v>
      </c>
      <c r="X116">
        <v>17.74091</v>
      </c>
      <c r="Y116">
        <v>17.859545000000001</v>
      </c>
      <c r="Z116">
        <v>17.959697999999999</v>
      </c>
      <c r="AA116">
        <v>18.056013</v>
      </c>
      <c r="AB116">
        <v>18.136147000000001</v>
      </c>
      <c r="AC116">
        <v>18.203022000000001</v>
      </c>
      <c r="AD116">
        <v>18.258938000000001</v>
      </c>
      <c r="AE116">
        <v>18.306379</v>
      </c>
      <c r="AF116">
        <v>18.346488999999998</v>
      </c>
      <c r="AG116">
        <v>18.380383999999999</v>
      </c>
      <c r="AH116">
        <v>18.409164000000001</v>
      </c>
      <c r="AI116" t="s">
        <v>17</v>
      </c>
    </row>
    <row r="117" spans="1:35">
      <c r="A117" t="s">
        <v>335</v>
      </c>
      <c r="B117" t="s">
        <v>1808</v>
      </c>
      <c r="C117" t="s">
        <v>1807</v>
      </c>
      <c r="D117" t="s">
        <v>371</v>
      </c>
      <c r="F117">
        <v>0</v>
      </c>
      <c r="G117">
        <v>0</v>
      </c>
      <c r="H117">
        <v>10.500607</v>
      </c>
      <c r="I117">
        <v>10.659801</v>
      </c>
      <c r="J117">
        <v>10.764203999999999</v>
      </c>
      <c r="K117">
        <v>10.869498999999999</v>
      </c>
      <c r="L117">
        <v>10.965210000000001</v>
      </c>
      <c r="M117">
        <v>11.076699</v>
      </c>
      <c r="N117">
        <v>11.197986</v>
      </c>
      <c r="O117">
        <v>11.333318999999999</v>
      </c>
      <c r="P117">
        <v>11.486076000000001</v>
      </c>
      <c r="Q117">
        <v>11.655321000000001</v>
      </c>
      <c r="R117">
        <v>11.834339</v>
      </c>
      <c r="S117">
        <v>11.997350000000001</v>
      </c>
      <c r="T117">
        <v>12.160628000000001</v>
      </c>
      <c r="U117">
        <v>12.31541</v>
      </c>
      <c r="V117">
        <v>12.45102</v>
      </c>
      <c r="W117">
        <v>12.568764</v>
      </c>
      <c r="X117">
        <v>12.669667</v>
      </c>
      <c r="Y117">
        <v>12.754915</v>
      </c>
      <c r="Z117">
        <v>12.825293</v>
      </c>
      <c r="AA117">
        <v>12.890333999999999</v>
      </c>
      <c r="AB117">
        <v>12.942886</v>
      </c>
      <c r="AC117">
        <v>12.985455</v>
      </c>
      <c r="AD117">
        <v>13.019958000000001</v>
      </c>
      <c r="AE117">
        <v>13.048401999999999</v>
      </c>
      <c r="AF117">
        <v>13.071823999999999</v>
      </c>
      <c r="AG117">
        <v>13.091234999999999</v>
      </c>
      <c r="AH117">
        <v>13.10303</v>
      </c>
      <c r="AI117" t="s">
        <v>17</v>
      </c>
    </row>
    <row r="118" spans="1:35">
      <c r="A118" t="s">
        <v>337</v>
      </c>
      <c r="B118" t="s">
        <v>1806</v>
      </c>
      <c r="C118" t="s">
        <v>1805</v>
      </c>
      <c r="D118" t="s">
        <v>371</v>
      </c>
      <c r="F118">
        <v>0</v>
      </c>
      <c r="G118">
        <v>0</v>
      </c>
      <c r="H118">
        <v>11.516576000000001</v>
      </c>
      <c r="I118">
        <v>11.516745</v>
      </c>
      <c r="J118">
        <v>11.516781999999999</v>
      </c>
      <c r="K118">
        <v>11.516798</v>
      </c>
      <c r="L118">
        <v>11.516812</v>
      </c>
      <c r="M118">
        <v>11.516826</v>
      </c>
      <c r="N118">
        <v>11.51684</v>
      </c>
      <c r="O118">
        <v>11.516855</v>
      </c>
      <c r="P118">
        <v>11.516871999999999</v>
      </c>
      <c r="Q118">
        <v>11.516886</v>
      </c>
      <c r="R118">
        <v>11.516901000000001</v>
      </c>
      <c r="S118">
        <v>11.516908000000001</v>
      </c>
      <c r="T118">
        <v>11.516905</v>
      </c>
      <c r="U118">
        <v>11.516907</v>
      </c>
      <c r="V118">
        <v>11.516909</v>
      </c>
      <c r="W118">
        <v>11.516912</v>
      </c>
      <c r="X118">
        <v>11.516919</v>
      </c>
      <c r="Y118">
        <v>11.516923999999999</v>
      </c>
      <c r="Z118">
        <v>11.516925000000001</v>
      </c>
      <c r="AA118">
        <v>11.516932000000001</v>
      </c>
      <c r="AB118">
        <v>11.516935999999999</v>
      </c>
      <c r="AC118">
        <v>11.516940999999999</v>
      </c>
      <c r="AD118">
        <v>11.516942999999999</v>
      </c>
      <c r="AE118">
        <v>11.516949</v>
      </c>
      <c r="AF118">
        <v>11.516953000000001</v>
      </c>
      <c r="AG118">
        <v>11.516953000000001</v>
      </c>
      <c r="AH118">
        <v>11.516959</v>
      </c>
      <c r="AI118" t="s">
        <v>17</v>
      </c>
    </row>
    <row r="119" spans="1:35">
      <c r="A119" t="s">
        <v>374</v>
      </c>
      <c r="B119" t="s">
        <v>1804</v>
      </c>
      <c r="C119" t="s">
        <v>1803</v>
      </c>
      <c r="F119">
        <v>8.2098399999999998</v>
      </c>
      <c r="G119">
        <v>8.3404410000000002</v>
      </c>
      <c r="H119">
        <v>8.4829690000000006</v>
      </c>
      <c r="I119">
        <v>8.6408909999999999</v>
      </c>
      <c r="J119">
        <v>8.8129430000000006</v>
      </c>
      <c r="K119">
        <v>9.0002259999999996</v>
      </c>
      <c r="L119">
        <v>9.1844359999999998</v>
      </c>
      <c r="M119">
        <v>9.3722469999999998</v>
      </c>
      <c r="N119">
        <v>9.5603230000000003</v>
      </c>
      <c r="O119">
        <v>9.7494200000000006</v>
      </c>
      <c r="P119">
        <v>9.9342159999999993</v>
      </c>
      <c r="Q119">
        <v>10.112831999999999</v>
      </c>
      <c r="R119">
        <v>10.281893999999999</v>
      </c>
      <c r="S119">
        <v>10.441013999999999</v>
      </c>
      <c r="T119">
        <v>10.590353</v>
      </c>
      <c r="U119">
        <v>10.726647</v>
      </c>
      <c r="V119">
        <v>10.856488000000001</v>
      </c>
      <c r="W119">
        <v>10.972559</v>
      </c>
      <c r="X119">
        <v>11.083036</v>
      </c>
      <c r="Y119">
        <v>11.184754999999999</v>
      </c>
      <c r="Z119">
        <v>11.277801999999999</v>
      </c>
      <c r="AA119">
        <v>11.358744</v>
      </c>
      <c r="AB119">
        <v>11.428658</v>
      </c>
      <c r="AC119">
        <v>11.491809999999999</v>
      </c>
      <c r="AD119">
        <v>11.55086</v>
      </c>
      <c r="AE119">
        <v>11.605866000000001</v>
      </c>
      <c r="AF119">
        <v>11.656457</v>
      </c>
      <c r="AG119">
        <v>11.703754999999999</v>
      </c>
      <c r="AH119">
        <v>11.750068000000001</v>
      </c>
      <c r="AI119" s="21">
        <v>1.2999999999999999E-2</v>
      </c>
    </row>
    <row r="120" spans="1:35">
      <c r="A120" t="s">
        <v>363</v>
      </c>
    </row>
    <row r="121" spans="1:35">
      <c r="A121" t="s">
        <v>297</v>
      </c>
      <c r="B121" t="s">
        <v>1802</v>
      </c>
      <c r="C121" t="s">
        <v>1801</v>
      </c>
      <c r="D121" t="s">
        <v>370</v>
      </c>
      <c r="F121">
        <v>6.174798</v>
      </c>
      <c r="G121">
        <v>6.2630949999999999</v>
      </c>
      <c r="H121">
        <v>6.3645230000000002</v>
      </c>
      <c r="I121">
        <v>6.4755140000000004</v>
      </c>
      <c r="J121">
        <v>6.5947199999999997</v>
      </c>
      <c r="K121">
        <v>6.7204090000000001</v>
      </c>
      <c r="L121">
        <v>6.8422190000000001</v>
      </c>
      <c r="M121">
        <v>6.9609690000000004</v>
      </c>
      <c r="N121">
        <v>7.0752560000000004</v>
      </c>
      <c r="O121">
        <v>7.1852980000000004</v>
      </c>
      <c r="P121">
        <v>7.2900910000000003</v>
      </c>
      <c r="Q121">
        <v>7.3855190000000004</v>
      </c>
      <c r="R121">
        <v>7.4707850000000002</v>
      </c>
      <c r="S121">
        <v>7.5460839999999996</v>
      </c>
      <c r="T121">
        <v>7.6121340000000002</v>
      </c>
      <c r="U121">
        <v>7.6693059999999997</v>
      </c>
      <c r="V121">
        <v>7.7178800000000001</v>
      </c>
      <c r="W121">
        <v>7.7600699999999998</v>
      </c>
      <c r="X121">
        <v>7.7969379999999999</v>
      </c>
      <c r="Y121">
        <v>7.8299960000000004</v>
      </c>
      <c r="Z121">
        <v>7.8573079999999997</v>
      </c>
      <c r="AA121">
        <v>7.880395</v>
      </c>
      <c r="AB121">
        <v>7.8999480000000002</v>
      </c>
      <c r="AC121">
        <v>7.9169460000000003</v>
      </c>
      <c r="AD121">
        <v>7.9330990000000003</v>
      </c>
      <c r="AE121">
        <v>7.9487300000000003</v>
      </c>
      <c r="AF121">
        <v>7.9641529999999996</v>
      </c>
      <c r="AG121">
        <v>7.9801409999999997</v>
      </c>
      <c r="AH121">
        <v>7.9969340000000004</v>
      </c>
      <c r="AI121" s="21">
        <v>8.9999999999999993E-3</v>
      </c>
    </row>
    <row r="122" spans="1:35">
      <c r="A122" t="s">
        <v>283</v>
      </c>
      <c r="B122" t="s">
        <v>1800</v>
      </c>
      <c r="C122" t="s">
        <v>1799</v>
      </c>
      <c r="D122" t="s">
        <v>371</v>
      </c>
      <c r="F122">
        <v>5.6053519999999999</v>
      </c>
      <c r="G122">
        <v>5.6851630000000002</v>
      </c>
      <c r="H122">
        <v>5.7620750000000003</v>
      </c>
      <c r="I122">
        <v>5.8372330000000003</v>
      </c>
      <c r="J122">
        <v>5.9050890000000003</v>
      </c>
      <c r="K122">
        <v>5.9668659999999996</v>
      </c>
      <c r="L122">
        <v>6.0218819999999997</v>
      </c>
      <c r="M122">
        <v>6.0750270000000004</v>
      </c>
      <c r="N122">
        <v>6.1221620000000003</v>
      </c>
      <c r="O122">
        <v>6.1683779999999997</v>
      </c>
      <c r="P122">
        <v>6.2146990000000004</v>
      </c>
      <c r="Q122">
        <v>6.2603840000000002</v>
      </c>
      <c r="R122">
        <v>6.3023579999999999</v>
      </c>
      <c r="S122">
        <v>6.3409950000000004</v>
      </c>
      <c r="T122">
        <v>6.3776359999999999</v>
      </c>
      <c r="U122">
        <v>6.4116439999999999</v>
      </c>
      <c r="V122">
        <v>6.4439479999999998</v>
      </c>
      <c r="W122">
        <v>6.4750249999999996</v>
      </c>
      <c r="X122">
        <v>6.5043160000000002</v>
      </c>
      <c r="Y122">
        <v>6.5290499999999998</v>
      </c>
      <c r="Z122">
        <v>6.5526530000000003</v>
      </c>
      <c r="AA122">
        <v>6.5760810000000003</v>
      </c>
      <c r="AB122">
        <v>6.5977519999999998</v>
      </c>
      <c r="AC122">
        <v>6.6134740000000001</v>
      </c>
      <c r="AD122">
        <v>6.6265970000000003</v>
      </c>
      <c r="AE122">
        <v>6.6380759999999999</v>
      </c>
      <c r="AF122">
        <v>6.6483280000000002</v>
      </c>
      <c r="AG122">
        <v>6.6579069999999998</v>
      </c>
      <c r="AH122">
        <v>6.6670059999999998</v>
      </c>
      <c r="AI122" s="21">
        <v>6.0000000000000001E-3</v>
      </c>
    </row>
    <row r="123" spans="1:35">
      <c r="A123" t="s">
        <v>278</v>
      </c>
      <c r="B123" t="s">
        <v>1798</v>
      </c>
      <c r="C123" t="s">
        <v>1797</v>
      </c>
      <c r="D123" t="s">
        <v>371</v>
      </c>
      <c r="F123">
        <v>6.0561619999999996</v>
      </c>
      <c r="G123">
        <v>6.0490139999999997</v>
      </c>
      <c r="H123">
        <v>6.0413300000000003</v>
      </c>
      <c r="I123">
        <v>6.0397550000000004</v>
      </c>
      <c r="J123">
        <v>6.0466559999999996</v>
      </c>
      <c r="K123">
        <v>6.0661889999999996</v>
      </c>
      <c r="L123">
        <v>6.0933279999999996</v>
      </c>
      <c r="M123">
        <v>6.1323319999999999</v>
      </c>
      <c r="N123">
        <v>6.1810369999999999</v>
      </c>
      <c r="O123">
        <v>6.2393669999999997</v>
      </c>
      <c r="P123">
        <v>6.3051560000000002</v>
      </c>
      <c r="Q123">
        <v>6.3731140000000002</v>
      </c>
      <c r="R123">
        <v>6.4338220000000002</v>
      </c>
      <c r="S123">
        <v>6.4864230000000003</v>
      </c>
      <c r="T123">
        <v>6.5340740000000004</v>
      </c>
      <c r="U123">
        <v>6.5780960000000004</v>
      </c>
      <c r="V123">
        <v>6.6189390000000001</v>
      </c>
      <c r="W123">
        <v>6.656015</v>
      </c>
      <c r="X123">
        <v>6.6907750000000004</v>
      </c>
      <c r="Y123">
        <v>6.7222429999999997</v>
      </c>
      <c r="Z123">
        <v>6.7477010000000002</v>
      </c>
      <c r="AA123">
        <v>6.7691860000000004</v>
      </c>
      <c r="AB123">
        <v>6.7874949999999998</v>
      </c>
      <c r="AC123">
        <v>6.802632</v>
      </c>
      <c r="AD123">
        <v>6.8150360000000001</v>
      </c>
      <c r="AE123">
        <v>6.8253909999999998</v>
      </c>
      <c r="AF123">
        <v>6.8345450000000003</v>
      </c>
      <c r="AG123">
        <v>6.8446889999999998</v>
      </c>
      <c r="AH123">
        <v>6.8567840000000002</v>
      </c>
      <c r="AI123" s="21">
        <v>4.0000000000000001E-3</v>
      </c>
    </row>
    <row r="124" spans="1:35">
      <c r="A124" t="s">
        <v>277</v>
      </c>
      <c r="B124" t="s">
        <v>1796</v>
      </c>
      <c r="C124" t="s">
        <v>1795</v>
      </c>
      <c r="D124" t="s">
        <v>370</v>
      </c>
      <c r="F124">
        <v>5.905322</v>
      </c>
      <c r="G124">
        <v>5.9830639999999997</v>
      </c>
      <c r="H124">
        <v>6.0729699999999998</v>
      </c>
      <c r="I124">
        <v>6.1697509999999998</v>
      </c>
      <c r="J124">
        <v>6.2701130000000003</v>
      </c>
      <c r="K124">
        <v>6.3741599999999998</v>
      </c>
      <c r="L124">
        <v>6.4715020000000001</v>
      </c>
      <c r="M124">
        <v>6.5653430000000004</v>
      </c>
      <c r="N124">
        <v>6.6557139999999997</v>
      </c>
      <c r="O124">
        <v>6.7455530000000001</v>
      </c>
      <c r="P124">
        <v>6.8333729999999999</v>
      </c>
      <c r="Q124">
        <v>6.9156950000000004</v>
      </c>
      <c r="R124">
        <v>6.9910300000000003</v>
      </c>
      <c r="S124">
        <v>7.0602270000000003</v>
      </c>
      <c r="T124">
        <v>7.1236040000000003</v>
      </c>
      <c r="U124">
        <v>7.1804309999999996</v>
      </c>
      <c r="V124">
        <v>7.2303940000000004</v>
      </c>
      <c r="W124">
        <v>7.2732939999999999</v>
      </c>
      <c r="X124">
        <v>7.3093329999999996</v>
      </c>
      <c r="Y124">
        <v>7.3391260000000003</v>
      </c>
      <c r="Z124">
        <v>7.3641690000000004</v>
      </c>
      <c r="AA124">
        <v>7.3857489999999997</v>
      </c>
      <c r="AB124">
        <v>7.4047210000000003</v>
      </c>
      <c r="AC124">
        <v>7.4218250000000001</v>
      </c>
      <c r="AD124">
        <v>7.4367340000000004</v>
      </c>
      <c r="AE124">
        <v>7.451314</v>
      </c>
      <c r="AF124">
        <v>7.4666230000000002</v>
      </c>
      <c r="AG124">
        <v>7.4822319999999998</v>
      </c>
      <c r="AH124">
        <v>7.498291</v>
      </c>
      <c r="AI124" s="21">
        <v>8.9999999999999993E-3</v>
      </c>
    </row>
    <row r="125" spans="1:35">
      <c r="A125" t="s">
        <v>333</v>
      </c>
      <c r="B125" t="s">
        <v>1794</v>
      </c>
      <c r="C125" t="s">
        <v>1793</v>
      </c>
      <c r="D125" t="s">
        <v>371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t="s">
        <v>17</v>
      </c>
    </row>
    <row r="126" spans="1:35">
      <c r="A126" t="s">
        <v>334</v>
      </c>
      <c r="B126" t="s">
        <v>1792</v>
      </c>
      <c r="C126" t="s">
        <v>1791</v>
      </c>
      <c r="D126" t="s">
        <v>370</v>
      </c>
      <c r="F126">
        <v>12.511471999999999</v>
      </c>
      <c r="G126">
        <v>12.210798</v>
      </c>
      <c r="H126">
        <v>12.035378</v>
      </c>
      <c r="I126">
        <v>11.922769000000001</v>
      </c>
      <c r="J126">
        <v>11.842131</v>
      </c>
      <c r="K126">
        <v>11.780157000000001</v>
      </c>
      <c r="L126">
        <v>11.726812000000001</v>
      </c>
      <c r="M126">
        <v>11.681986</v>
      </c>
      <c r="N126">
        <v>11.643143999999999</v>
      </c>
      <c r="O126">
        <v>11.608420000000001</v>
      </c>
      <c r="P126">
        <v>11.577750999999999</v>
      </c>
      <c r="Q126">
        <v>11.55185</v>
      </c>
      <c r="R126">
        <v>11.532499</v>
      </c>
      <c r="S126">
        <v>11.522676000000001</v>
      </c>
      <c r="T126">
        <v>11.51253</v>
      </c>
      <c r="U126">
        <v>11.507656000000001</v>
      </c>
      <c r="V126">
        <v>11.514357</v>
      </c>
      <c r="W126">
        <v>11.526049</v>
      </c>
      <c r="X126">
        <v>11.521922999999999</v>
      </c>
      <c r="Y126">
        <v>11.528378</v>
      </c>
      <c r="Z126">
        <v>11.553936999999999</v>
      </c>
      <c r="AA126">
        <v>11.578481999999999</v>
      </c>
      <c r="AB126">
        <v>11.590909</v>
      </c>
      <c r="AC126">
        <v>11.599613</v>
      </c>
      <c r="AD126">
        <v>11.605518999999999</v>
      </c>
      <c r="AE126">
        <v>11.609627</v>
      </c>
      <c r="AF126">
        <v>11.612548</v>
      </c>
      <c r="AG126">
        <v>11.614598000000001</v>
      </c>
      <c r="AH126">
        <v>11.615857</v>
      </c>
      <c r="AI126" s="21">
        <v>-3.0000000000000001E-3</v>
      </c>
    </row>
    <row r="127" spans="1:35">
      <c r="A127" t="s">
        <v>336</v>
      </c>
      <c r="B127" t="s">
        <v>1790</v>
      </c>
      <c r="C127" t="s">
        <v>1789</v>
      </c>
      <c r="D127" t="s">
        <v>370</v>
      </c>
      <c r="F127">
        <v>0</v>
      </c>
      <c r="G127">
        <v>0</v>
      </c>
      <c r="H127">
        <v>1.546108</v>
      </c>
      <c r="I127">
        <v>2.664183</v>
      </c>
      <c r="J127">
        <v>3.4990290000000002</v>
      </c>
      <c r="K127">
        <v>4.1596690000000001</v>
      </c>
      <c r="L127">
        <v>4.6990999999999996</v>
      </c>
      <c r="M127">
        <v>5.1562080000000003</v>
      </c>
      <c r="N127">
        <v>5.5611940000000004</v>
      </c>
      <c r="O127">
        <v>5.9406049999999997</v>
      </c>
      <c r="P127">
        <v>6.3162120000000002</v>
      </c>
      <c r="Q127">
        <v>6.6977019999999996</v>
      </c>
      <c r="R127">
        <v>7.0859899999999998</v>
      </c>
      <c r="S127">
        <v>7.4756780000000003</v>
      </c>
      <c r="T127">
        <v>7.8704789999999996</v>
      </c>
      <c r="U127">
        <v>8.2631910000000008</v>
      </c>
      <c r="V127">
        <v>8.6400120000000005</v>
      </c>
      <c r="W127">
        <v>8.9883590000000009</v>
      </c>
      <c r="X127">
        <v>9.2928049999999995</v>
      </c>
      <c r="Y127">
        <v>9.5358350000000005</v>
      </c>
      <c r="Z127">
        <v>9.700844</v>
      </c>
      <c r="AA127">
        <v>9.9268219999999996</v>
      </c>
      <c r="AB127">
        <v>10.164901</v>
      </c>
      <c r="AC127">
        <v>10.319011</v>
      </c>
      <c r="AD127">
        <v>10.344773</v>
      </c>
      <c r="AE127">
        <v>10.42065</v>
      </c>
      <c r="AF127">
        <v>10.488389</v>
      </c>
      <c r="AG127">
        <v>10.548454</v>
      </c>
      <c r="AH127">
        <v>10.601648000000001</v>
      </c>
      <c r="AI127" t="s">
        <v>17</v>
      </c>
    </row>
    <row r="128" spans="1:35">
      <c r="A128" t="s">
        <v>335</v>
      </c>
      <c r="B128" t="s">
        <v>1788</v>
      </c>
      <c r="C128" t="s">
        <v>1787</v>
      </c>
      <c r="D128" t="s">
        <v>371</v>
      </c>
      <c r="F128">
        <v>0</v>
      </c>
      <c r="G128">
        <v>0</v>
      </c>
      <c r="H128">
        <v>1.475894</v>
      </c>
      <c r="I128">
        <v>2.5423819999999999</v>
      </c>
      <c r="J128">
        <v>3.3420420000000002</v>
      </c>
      <c r="K128">
        <v>3.9731420000000002</v>
      </c>
      <c r="L128">
        <v>4.4840580000000001</v>
      </c>
      <c r="M128">
        <v>4.9145440000000002</v>
      </c>
      <c r="N128">
        <v>5.2951240000000004</v>
      </c>
      <c r="O128">
        <v>5.6530180000000003</v>
      </c>
      <c r="P128">
        <v>6.0081530000000001</v>
      </c>
      <c r="Q128">
        <v>6.3713059999999997</v>
      </c>
      <c r="R128">
        <v>6.7437389999999997</v>
      </c>
      <c r="S128">
        <v>7.1219239999999999</v>
      </c>
      <c r="T128">
        <v>7.5077629999999997</v>
      </c>
      <c r="U128">
        <v>7.8949509999999998</v>
      </c>
      <c r="V128">
        <v>8.2699909999999992</v>
      </c>
      <c r="W128">
        <v>8.6198800000000002</v>
      </c>
      <c r="X128">
        <v>8.9274210000000007</v>
      </c>
      <c r="Y128">
        <v>9.1725209999999997</v>
      </c>
      <c r="Z128">
        <v>9.3351539999999993</v>
      </c>
      <c r="AA128">
        <v>9.5703130000000005</v>
      </c>
      <c r="AB128">
        <v>9.8242899999999995</v>
      </c>
      <c r="AC128">
        <v>9.9863700000000009</v>
      </c>
      <c r="AD128">
        <v>10.00128</v>
      </c>
      <c r="AE128">
        <v>10.076916000000001</v>
      </c>
      <c r="AF128">
        <v>10.144606</v>
      </c>
      <c r="AG128">
        <v>10.20481</v>
      </c>
      <c r="AH128">
        <v>10.258661</v>
      </c>
      <c r="AI128" t="s">
        <v>17</v>
      </c>
    </row>
    <row r="129" spans="1:35">
      <c r="A129" t="s">
        <v>337</v>
      </c>
      <c r="B129" t="s">
        <v>1786</v>
      </c>
      <c r="C129" t="s">
        <v>1785</v>
      </c>
      <c r="D129" t="s">
        <v>370</v>
      </c>
      <c r="F129">
        <v>0</v>
      </c>
      <c r="G129">
        <v>0</v>
      </c>
      <c r="H129">
        <v>7.1006340000000003</v>
      </c>
      <c r="I129">
        <v>7.1057309999999996</v>
      </c>
      <c r="J129">
        <v>7.1073639999999996</v>
      </c>
      <c r="K129">
        <v>7.1081630000000002</v>
      </c>
      <c r="L129">
        <v>7.1086039999999997</v>
      </c>
      <c r="M129">
        <v>7.1088789999999999</v>
      </c>
      <c r="N129">
        <v>7.1090270000000002</v>
      </c>
      <c r="O129">
        <v>7.1090970000000002</v>
      </c>
      <c r="P129">
        <v>7.1091550000000003</v>
      </c>
      <c r="Q129">
        <v>7.1092209999999998</v>
      </c>
      <c r="R129">
        <v>7.1092950000000004</v>
      </c>
      <c r="S129">
        <v>7.1093820000000001</v>
      </c>
      <c r="T129">
        <v>7.1094809999999997</v>
      </c>
      <c r="U129">
        <v>7.1095889999999997</v>
      </c>
      <c r="V129">
        <v>7.1097070000000002</v>
      </c>
      <c r="W129">
        <v>7.1098350000000003</v>
      </c>
      <c r="X129">
        <v>7.109972</v>
      </c>
      <c r="Y129">
        <v>7.1101159999999997</v>
      </c>
      <c r="Z129">
        <v>7.1102699999999999</v>
      </c>
      <c r="AA129">
        <v>7.1104589999999996</v>
      </c>
      <c r="AB129">
        <v>7.110671</v>
      </c>
      <c r="AC129">
        <v>7.1108859999999998</v>
      </c>
      <c r="AD129">
        <v>7.1110879999999996</v>
      </c>
      <c r="AE129">
        <v>7.1113179999999998</v>
      </c>
      <c r="AF129">
        <v>7.1115579999999996</v>
      </c>
      <c r="AG129">
        <v>7.111809</v>
      </c>
      <c r="AH129">
        <v>7.1120650000000003</v>
      </c>
      <c r="AI129" t="s">
        <v>17</v>
      </c>
    </row>
    <row r="130" spans="1:35">
      <c r="A130" t="s">
        <v>375</v>
      </c>
      <c r="B130" t="s">
        <v>1784</v>
      </c>
      <c r="C130" t="s">
        <v>1783</v>
      </c>
      <c r="F130">
        <v>6.1709569999999996</v>
      </c>
      <c r="G130">
        <v>6.2590110000000001</v>
      </c>
      <c r="H130">
        <v>6.3601650000000003</v>
      </c>
      <c r="I130">
        <v>6.4708430000000003</v>
      </c>
      <c r="J130">
        <v>6.589664</v>
      </c>
      <c r="K130">
        <v>6.7149279999999996</v>
      </c>
      <c r="L130">
        <v>6.8362869999999996</v>
      </c>
      <c r="M130">
        <v>6.9546010000000003</v>
      </c>
      <c r="N130">
        <v>7.068473</v>
      </c>
      <c r="O130">
        <v>7.1781480000000002</v>
      </c>
      <c r="P130">
        <v>7.282597</v>
      </c>
      <c r="Q130">
        <v>7.3776999999999999</v>
      </c>
      <c r="R130">
        <v>7.4626390000000002</v>
      </c>
      <c r="S130">
        <v>7.5376300000000001</v>
      </c>
      <c r="T130">
        <v>7.6034009999999999</v>
      </c>
      <c r="U130">
        <v>7.6603089999999998</v>
      </c>
      <c r="V130">
        <v>7.7086389999999998</v>
      </c>
      <c r="W130">
        <v>7.750559</v>
      </c>
      <c r="X130">
        <v>7.7871069999999998</v>
      </c>
      <c r="Y130">
        <v>7.819769</v>
      </c>
      <c r="Z130">
        <v>7.8466990000000001</v>
      </c>
      <c r="AA130">
        <v>7.8693970000000002</v>
      </c>
      <c r="AB130">
        <v>7.8885500000000004</v>
      </c>
      <c r="AC130">
        <v>7.9051289999999996</v>
      </c>
      <c r="AD130">
        <v>7.9208100000000004</v>
      </c>
      <c r="AE130">
        <v>7.9359409999999997</v>
      </c>
      <c r="AF130">
        <v>7.9508619999999999</v>
      </c>
      <c r="AG130">
        <v>7.9663209999999998</v>
      </c>
      <c r="AH130">
        <v>7.9825520000000001</v>
      </c>
      <c r="AI130" s="21">
        <v>8.9999999999999993E-3</v>
      </c>
    </row>
    <row r="131" spans="1:35">
      <c r="A131" t="s">
        <v>376</v>
      </c>
      <c r="B131" t="s">
        <v>1782</v>
      </c>
      <c r="C131" t="s">
        <v>1781</v>
      </c>
      <c r="F131">
        <v>7.4724060000000003</v>
      </c>
      <c r="G131">
        <v>7.5785309999999999</v>
      </c>
      <c r="H131">
        <v>7.7053209999999996</v>
      </c>
      <c r="I131">
        <v>7.8485909999999999</v>
      </c>
      <c r="J131">
        <v>8.0023800000000005</v>
      </c>
      <c r="K131">
        <v>8.1636780000000009</v>
      </c>
      <c r="L131">
        <v>8.3212820000000001</v>
      </c>
      <c r="M131">
        <v>8.4797530000000005</v>
      </c>
      <c r="N131">
        <v>8.6382940000000001</v>
      </c>
      <c r="O131">
        <v>8.7959300000000002</v>
      </c>
      <c r="P131">
        <v>8.9485519999999994</v>
      </c>
      <c r="Q131">
        <v>9.0909969999999998</v>
      </c>
      <c r="R131">
        <v>9.2225169999999999</v>
      </c>
      <c r="S131">
        <v>9.3430680000000006</v>
      </c>
      <c r="T131">
        <v>9.4533190000000005</v>
      </c>
      <c r="U131">
        <v>9.5530659999999994</v>
      </c>
      <c r="V131">
        <v>9.6434460000000009</v>
      </c>
      <c r="W131">
        <v>9.7267150000000004</v>
      </c>
      <c r="X131">
        <v>9.8045980000000004</v>
      </c>
      <c r="Y131">
        <v>9.8772749999999991</v>
      </c>
      <c r="Z131">
        <v>9.9424340000000004</v>
      </c>
      <c r="AA131">
        <v>10.001575000000001</v>
      </c>
      <c r="AB131">
        <v>10.055849</v>
      </c>
      <c r="AC131">
        <v>10.108461999999999</v>
      </c>
      <c r="AD131">
        <v>10.161237</v>
      </c>
      <c r="AE131">
        <v>10.213322</v>
      </c>
      <c r="AF131">
        <v>10.263771999999999</v>
      </c>
      <c r="AG131">
        <v>10.314520999999999</v>
      </c>
      <c r="AH131">
        <v>10.365862999999999</v>
      </c>
      <c r="AI131" s="21">
        <v>1.2E-2</v>
      </c>
    </row>
    <row r="132" spans="1:35">
      <c r="A132" t="s">
        <v>377</v>
      </c>
    </row>
    <row r="133" spans="1:35">
      <c r="A133" t="s">
        <v>358</v>
      </c>
    </row>
    <row r="134" spans="1:35">
      <c r="A134" t="s">
        <v>297</v>
      </c>
      <c r="B134" t="s">
        <v>1780</v>
      </c>
      <c r="C134" t="s">
        <v>1779</v>
      </c>
      <c r="D134" t="s">
        <v>329</v>
      </c>
      <c r="F134">
        <v>3.0155479999999999</v>
      </c>
      <c r="G134">
        <v>3.0975450000000002</v>
      </c>
      <c r="H134">
        <v>3.1834560000000001</v>
      </c>
      <c r="I134">
        <v>3.2715930000000002</v>
      </c>
      <c r="J134">
        <v>3.3587579999999999</v>
      </c>
      <c r="K134">
        <v>3.4430320000000001</v>
      </c>
      <c r="L134">
        <v>3.5241380000000002</v>
      </c>
      <c r="M134">
        <v>3.6023369999999999</v>
      </c>
      <c r="N134">
        <v>3.6774779999999998</v>
      </c>
      <c r="O134">
        <v>3.7492040000000002</v>
      </c>
      <c r="P134">
        <v>3.8192210000000002</v>
      </c>
      <c r="Q134">
        <v>3.8820770000000002</v>
      </c>
      <c r="R134">
        <v>3.9423219999999999</v>
      </c>
      <c r="S134">
        <v>4.0002969999999998</v>
      </c>
      <c r="T134">
        <v>4.0587710000000001</v>
      </c>
      <c r="U134">
        <v>4.1174879999999998</v>
      </c>
      <c r="V134">
        <v>4.1771779999999996</v>
      </c>
      <c r="W134">
        <v>4.2348249999999998</v>
      </c>
      <c r="X134">
        <v>4.2897980000000002</v>
      </c>
      <c r="Y134">
        <v>4.3460570000000001</v>
      </c>
      <c r="Z134">
        <v>4.4020840000000003</v>
      </c>
      <c r="AA134">
        <v>4.4646600000000003</v>
      </c>
      <c r="AB134">
        <v>4.531682</v>
      </c>
      <c r="AC134">
        <v>4.5975450000000002</v>
      </c>
      <c r="AD134">
        <v>4.6616299999999997</v>
      </c>
      <c r="AE134">
        <v>4.7283970000000002</v>
      </c>
      <c r="AF134">
        <v>4.796106</v>
      </c>
      <c r="AG134">
        <v>4.8608450000000003</v>
      </c>
      <c r="AH134">
        <v>4.9257439999999999</v>
      </c>
      <c r="AI134" s="21">
        <v>1.7999999999999999E-2</v>
      </c>
    </row>
    <row r="135" spans="1:35">
      <c r="A135" t="s">
        <v>283</v>
      </c>
      <c r="B135" t="s">
        <v>1778</v>
      </c>
      <c r="C135" t="s">
        <v>1777</v>
      </c>
      <c r="D135" t="s">
        <v>329</v>
      </c>
      <c r="F135">
        <v>1.3121959999999999</v>
      </c>
      <c r="G135">
        <v>1.390077</v>
      </c>
      <c r="H135">
        <v>1.475538</v>
      </c>
      <c r="I135">
        <v>1.5668089999999999</v>
      </c>
      <c r="J135">
        <v>1.6607769999999999</v>
      </c>
      <c r="K135">
        <v>1.755242</v>
      </c>
      <c r="L135">
        <v>1.8484970000000001</v>
      </c>
      <c r="M135">
        <v>1.9400980000000001</v>
      </c>
      <c r="N135">
        <v>2.0310440000000001</v>
      </c>
      <c r="O135">
        <v>2.1199050000000002</v>
      </c>
      <c r="P135">
        <v>2.2087729999999999</v>
      </c>
      <c r="Q135">
        <v>2.2942230000000001</v>
      </c>
      <c r="R135">
        <v>2.378069</v>
      </c>
      <c r="S135">
        <v>2.4599419999999999</v>
      </c>
      <c r="T135">
        <v>2.5430779999999999</v>
      </c>
      <c r="U135">
        <v>2.6269550000000002</v>
      </c>
      <c r="V135">
        <v>2.7103890000000002</v>
      </c>
      <c r="W135">
        <v>2.793024</v>
      </c>
      <c r="X135">
        <v>2.8754759999999999</v>
      </c>
      <c r="Y135">
        <v>2.9603380000000001</v>
      </c>
      <c r="Z135">
        <v>3.0429689999999998</v>
      </c>
      <c r="AA135">
        <v>3.128209</v>
      </c>
      <c r="AB135">
        <v>3.2178049999999998</v>
      </c>
      <c r="AC135">
        <v>3.3088250000000001</v>
      </c>
      <c r="AD135">
        <v>3.3999440000000001</v>
      </c>
      <c r="AE135">
        <v>3.492642</v>
      </c>
      <c r="AF135">
        <v>3.5847199999999999</v>
      </c>
      <c r="AG135">
        <v>3.6734100000000001</v>
      </c>
      <c r="AH135">
        <v>3.7600479999999998</v>
      </c>
      <c r="AI135" s="21">
        <v>3.7999999999999999E-2</v>
      </c>
    </row>
    <row r="136" spans="1:35">
      <c r="A136" t="s">
        <v>278</v>
      </c>
      <c r="B136" t="s">
        <v>1776</v>
      </c>
      <c r="C136" t="s">
        <v>1775</v>
      </c>
      <c r="D136" t="s">
        <v>329</v>
      </c>
      <c r="F136">
        <v>1.18E-4</v>
      </c>
      <c r="G136">
        <v>3.9100000000000002E-4</v>
      </c>
      <c r="H136">
        <v>6.7400000000000001E-4</v>
      </c>
      <c r="I136">
        <v>9.5699999999999995E-4</v>
      </c>
      <c r="J136">
        <v>1.2470000000000001E-3</v>
      </c>
      <c r="K136">
        <v>1.542E-3</v>
      </c>
      <c r="L136">
        <v>1.843E-3</v>
      </c>
      <c r="M136">
        <v>2.1510000000000001E-3</v>
      </c>
      <c r="N136">
        <v>2.4689999999999998E-3</v>
      </c>
      <c r="O136">
        <v>2.7989999999999998E-3</v>
      </c>
      <c r="P136">
        <v>3.143E-3</v>
      </c>
      <c r="Q136">
        <v>3.5010000000000002E-3</v>
      </c>
      <c r="R136">
        <v>3.859E-3</v>
      </c>
      <c r="S136">
        <v>4.2300000000000003E-3</v>
      </c>
      <c r="T136">
        <v>4.6340000000000001E-3</v>
      </c>
      <c r="U136">
        <v>5.071E-3</v>
      </c>
      <c r="V136">
        <v>5.5459999999999997E-3</v>
      </c>
      <c r="W136">
        <v>6.0610000000000004E-3</v>
      </c>
      <c r="X136">
        <v>6.6210000000000001E-3</v>
      </c>
      <c r="Y136">
        <v>7.228E-3</v>
      </c>
      <c r="Z136">
        <v>7.8829999999999994E-3</v>
      </c>
      <c r="AA136">
        <v>8.5920000000000007E-3</v>
      </c>
      <c r="AB136">
        <v>9.3589999999999993E-3</v>
      </c>
      <c r="AC136">
        <v>1.0192E-2</v>
      </c>
      <c r="AD136">
        <v>1.1091E-2</v>
      </c>
      <c r="AE136">
        <v>1.2054E-2</v>
      </c>
      <c r="AF136">
        <v>1.3077999999999999E-2</v>
      </c>
      <c r="AG136">
        <v>1.4161E-2</v>
      </c>
      <c r="AH136">
        <v>1.5303000000000001E-2</v>
      </c>
      <c r="AI136" s="21">
        <v>0.19</v>
      </c>
    </row>
    <row r="137" spans="1:35">
      <c r="A137" t="s">
        <v>277</v>
      </c>
      <c r="B137" t="s">
        <v>1774</v>
      </c>
      <c r="C137" t="s">
        <v>1773</v>
      </c>
      <c r="D137" t="s">
        <v>329</v>
      </c>
      <c r="F137">
        <v>8.1099999999999998E-4</v>
      </c>
      <c r="G137">
        <v>8.0800000000000002E-4</v>
      </c>
      <c r="H137">
        <v>8.0500000000000005E-4</v>
      </c>
      <c r="I137">
        <v>8.0099999999999995E-4</v>
      </c>
      <c r="J137">
        <v>7.9600000000000005E-4</v>
      </c>
      <c r="K137">
        <v>7.9100000000000004E-4</v>
      </c>
      <c r="L137">
        <v>7.8399999999999997E-4</v>
      </c>
      <c r="M137">
        <v>7.7800000000000005E-4</v>
      </c>
      <c r="N137">
        <v>7.6999999999999996E-4</v>
      </c>
      <c r="O137">
        <v>7.6199999999999998E-4</v>
      </c>
      <c r="P137">
        <v>7.5299999999999998E-4</v>
      </c>
      <c r="Q137">
        <v>7.4299999999999995E-4</v>
      </c>
      <c r="R137">
        <v>7.3300000000000004E-4</v>
      </c>
      <c r="S137">
        <v>7.2199999999999999E-4</v>
      </c>
      <c r="T137">
        <v>7.1100000000000004E-4</v>
      </c>
      <c r="U137">
        <v>6.9899999999999997E-4</v>
      </c>
      <c r="V137">
        <v>6.8599999999999998E-4</v>
      </c>
      <c r="W137">
        <v>6.7299999999999999E-4</v>
      </c>
      <c r="X137">
        <v>6.6E-4</v>
      </c>
      <c r="Y137">
        <v>6.4599999999999998E-4</v>
      </c>
      <c r="Z137">
        <v>6.3199999999999997E-4</v>
      </c>
      <c r="AA137">
        <v>6.1700000000000004E-4</v>
      </c>
      <c r="AB137">
        <v>6.02E-4</v>
      </c>
      <c r="AC137">
        <v>5.8699999999999996E-4</v>
      </c>
      <c r="AD137">
        <v>5.6400000000000005E-4</v>
      </c>
      <c r="AE137">
        <v>5.2999999999999998E-4</v>
      </c>
      <c r="AF137">
        <v>4.8200000000000001E-4</v>
      </c>
      <c r="AG137">
        <v>4.2700000000000002E-4</v>
      </c>
      <c r="AH137">
        <v>3.5799999999999997E-4</v>
      </c>
      <c r="AI137" s="21">
        <v>-2.9000000000000001E-2</v>
      </c>
    </row>
    <row r="138" spans="1:35">
      <c r="A138" t="s">
        <v>333</v>
      </c>
      <c r="B138" t="s">
        <v>1772</v>
      </c>
      <c r="C138" t="s">
        <v>1771</v>
      </c>
      <c r="D138" t="s">
        <v>329</v>
      </c>
      <c r="F138">
        <v>0.228495</v>
      </c>
      <c r="G138">
        <v>0.23946799999999999</v>
      </c>
      <c r="H138">
        <v>0.25094</v>
      </c>
      <c r="I138">
        <v>0.26208999999999999</v>
      </c>
      <c r="J138">
        <v>0.27283400000000002</v>
      </c>
      <c r="K138">
        <v>0.28325600000000001</v>
      </c>
      <c r="L138">
        <v>0.29306500000000002</v>
      </c>
      <c r="M138">
        <v>0.30256499999999997</v>
      </c>
      <c r="N138">
        <v>0.311807</v>
      </c>
      <c r="O138">
        <v>0.32098700000000002</v>
      </c>
      <c r="P138">
        <v>0.32999000000000001</v>
      </c>
      <c r="Q138">
        <v>0.33899699999999999</v>
      </c>
      <c r="R138">
        <v>0.34797400000000001</v>
      </c>
      <c r="S138">
        <v>0.35700599999999999</v>
      </c>
      <c r="T138">
        <v>0.36603000000000002</v>
      </c>
      <c r="U138">
        <v>0.37504999999999999</v>
      </c>
      <c r="V138">
        <v>0.38404199999999999</v>
      </c>
      <c r="W138">
        <v>0.39302700000000002</v>
      </c>
      <c r="X138">
        <v>0.402001</v>
      </c>
      <c r="Y138">
        <v>0.41092400000000001</v>
      </c>
      <c r="Z138">
        <v>0.419794</v>
      </c>
      <c r="AA138">
        <v>0.42865399999999998</v>
      </c>
      <c r="AB138">
        <v>0.43625900000000001</v>
      </c>
      <c r="AC138">
        <v>0.44089800000000001</v>
      </c>
      <c r="AD138">
        <v>0.44327499999999997</v>
      </c>
      <c r="AE138">
        <v>0.44412699999999999</v>
      </c>
      <c r="AF138">
        <v>0.44450499999999998</v>
      </c>
      <c r="AG138">
        <v>0.44182100000000002</v>
      </c>
      <c r="AH138">
        <v>0.43831300000000001</v>
      </c>
      <c r="AI138" s="21">
        <v>2.4E-2</v>
      </c>
    </row>
    <row r="139" spans="1:35">
      <c r="A139" t="s">
        <v>334</v>
      </c>
      <c r="B139" t="s">
        <v>1770</v>
      </c>
      <c r="C139" t="s">
        <v>1769</v>
      </c>
      <c r="D139" t="s">
        <v>329</v>
      </c>
      <c r="F139">
        <v>6.7000000000000002E-5</v>
      </c>
      <c r="G139">
        <v>6.6000000000000005E-5</v>
      </c>
      <c r="H139">
        <v>6.4999999999999994E-5</v>
      </c>
      <c r="I139">
        <v>6.4999999999999994E-5</v>
      </c>
      <c r="J139">
        <v>6.3999999999999997E-5</v>
      </c>
      <c r="K139">
        <v>6.3E-5</v>
      </c>
      <c r="L139">
        <v>6.2000000000000003E-5</v>
      </c>
      <c r="M139">
        <v>6.0999999999999999E-5</v>
      </c>
      <c r="N139">
        <v>6.0000000000000002E-5</v>
      </c>
      <c r="O139">
        <v>5.8999999999999998E-5</v>
      </c>
      <c r="P139">
        <v>5.8E-5</v>
      </c>
      <c r="Q139">
        <v>5.7000000000000003E-5</v>
      </c>
      <c r="R139">
        <v>5.5999999999999999E-5</v>
      </c>
      <c r="S139">
        <v>5.5000000000000002E-5</v>
      </c>
      <c r="T139">
        <v>5.3999999999999998E-5</v>
      </c>
      <c r="U139">
        <v>5.3000000000000001E-5</v>
      </c>
      <c r="V139">
        <v>5.1E-5</v>
      </c>
      <c r="W139">
        <v>5.0000000000000002E-5</v>
      </c>
      <c r="X139">
        <v>4.8999999999999998E-5</v>
      </c>
      <c r="Y139">
        <v>4.6999999999999997E-5</v>
      </c>
      <c r="Z139">
        <v>4.6E-5</v>
      </c>
      <c r="AA139">
        <v>4.5000000000000003E-5</v>
      </c>
      <c r="AB139">
        <v>3.6000000000000001E-5</v>
      </c>
      <c r="AC139">
        <v>2.5000000000000001E-5</v>
      </c>
      <c r="AD139">
        <v>1.8E-5</v>
      </c>
      <c r="AE139">
        <v>1.2E-5</v>
      </c>
      <c r="AF139">
        <v>9.0000000000000002E-6</v>
      </c>
      <c r="AG139">
        <v>6.0000000000000002E-6</v>
      </c>
      <c r="AH139">
        <v>3.9999999999999998E-6</v>
      </c>
      <c r="AI139" s="21">
        <v>-9.4E-2</v>
      </c>
    </row>
    <row r="140" spans="1:35">
      <c r="A140" t="s">
        <v>336</v>
      </c>
      <c r="B140" t="s">
        <v>1768</v>
      </c>
      <c r="C140" t="s">
        <v>1767</v>
      </c>
      <c r="D140" t="s">
        <v>329</v>
      </c>
      <c r="F140">
        <v>0</v>
      </c>
      <c r="G140">
        <v>3.1599999999999998E-4</v>
      </c>
      <c r="H140">
        <v>6.4700000000000001E-4</v>
      </c>
      <c r="I140">
        <v>9.8799999999999995E-4</v>
      </c>
      <c r="J140">
        <v>1.3370000000000001E-3</v>
      </c>
      <c r="K140">
        <v>1.6949999999999999E-3</v>
      </c>
      <c r="L140">
        <v>2.0669999999999998E-3</v>
      </c>
      <c r="M140">
        <v>2.4559999999999998E-3</v>
      </c>
      <c r="N140">
        <v>2.8660000000000001E-3</v>
      </c>
      <c r="O140">
        <v>3.3E-3</v>
      </c>
      <c r="P140">
        <v>3.7629999999999999E-3</v>
      </c>
      <c r="Q140">
        <v>4.2560000000000002E-3</v>
      </c>
      <c r="R140">
        <v>4.7840000000000001E-3</v>
      </c>
      <c r="S140">
        <v>5.3569999999999998E-3</v>
      </c>
      <c r="T140">
        <v>5.9829999999999996E-3</v>
      </c>
      <c r="U140">
        <v>6.6709999999999998E-3</v>
      </c>
      <c r="V140">
        <v>7.4289999999999998E-3</v>
      </c>
      <c r="W140">
        <v>8.2660000000000008E-3</v>
      </c>
      <c r="X140">
        <v>9.1909999999999995E-3</v>
      </c>
      <c r="Y140">
        <v>1.0203E-2</v>
      </c>
      <c r="Z140">
        <v>1.1304E-2</v>
      </c>
      <c r="AA140">
        <v>1.2494999999999999E-2</v>
      </c>
      <c r="AB140">
        <v>1.3772E-2</v>
      </c>
      <c r="AC140">
        <v>1.5141E-2</v>
      </c>
      <c r="AD140">
        <v>1.6594999999999999E-2</v>
      </c>
      <c r="AE140">
        <v>1.8123E-2</v>
      </c>
      <c r="AF140">
        <v>1.9715E-2</v>
      </c>
      <c r="AG140">
        <v>2.1368000000000002E-2</v>
      </c>
      <c r="AH140">
        <v>2.308E-2</v>
      </c>
      <c r="AI140" t="s">
        <v>17</v>
      </c>
    </row>
    <row r="141" spans="1:35">
      <c r="A141" t="s">
        <v>335</v>
      </c>
      <c r="B141" t="s">
        <v>1766</v>
      </c>
      <c r="C141" t="s">
        <v>1765</v>
      </c>
      <c r="D141" t="s">
        <v>329</v>
      </c>
      <c r="F141">
        <v>0</v>
      </c>
      <c r="G141">
        <v>3.2899999999999997E-4</v>
      </c>
      <c r="H141">
        <v>6.7400000000000001E-4</v>
      </c>
      <c r="I141">
        <v>1.024E-3</v>
      </c>
      <c r="J141">
        <v>1.377E-3</v>
      </c>
      <c r="K141">
        <v>1.7340000000000001E-3</v>
      </c>
      <c r="L141">
        <v>2.0950000000000001E-3</v>
      </c>
      <c r="M141">
        <v>2.467E-3</v>
      </c>
      <c r="N141">
        <v>2.856E-3</v>
      </c>
      <c r="O141">
        <v>3.2680000000000001E-3</v>
      </c>
      <c r="P141">
        <v>3.7100000000000002E-3</v>
      </c>
      <c r="Q141">
        <v>4.1869999999999997E-3</v>
      </c>
      <c r="R141">
        <v>4.705E-3</v>
      </c>
      <c r="S141">
        <v>5.2760000000000003E-3</v>
      </c>
      <c r="T141">
        <v>5.9090000000000002E-3</v>
      </c>
      <c r="U141">
        <v>6.6140000000000001E-3</v>
      </c>
      <c r="V141">
        <v>7.4009999999999996E-3</v>
      </c>
      <c r="W141">
        <v>8.2810000000000002E-3</v>
      </c>
      <c r="X141">
        <v>9.2630000000000004E-3</v>
      </c>
      <c r="Y141">
        <v>1.0349000000000001E-2</v>
      </c>
      <c r="Z141">
        <v>1.1542999999999999E-2</v>
      </c>
      <c r="AA141">
        <v>1.2847000000000001E-2</v>
      </c>
      <c r="AB141">
        <v>1.4251E-2</v>
      </c>
      <c r="AC141">
        <v>1.5765000000000001E-2</v>
      </c>
      <c r="AD141">
        <v>1.7374000000000001E-2</v>
      </c>
      <c r="AE141">
        <v>1.9071000000000001E-2</v>
      </c>
      <c r="AF141">
        <v>2.0840999999999998E-2</v>
      </c>
      <c r="AG141">
        <v>2.2685E-2</v>
      </c>
      <c r="AH141">
        <v>2.4594000000000001E-2</v>
      </c>
      <c r="AI141" t="s">
        <v>17</v>
      </c>
    </row>
    <row r="142" spans="1:35">
      <c r="A142" t="s">
        <v>337</v>
      </c>
      <c r="B142" t="s">
        <v>1764</v>
      </c>
      <c r="C142" t="s">
        <v>1763</v>
      </c>
      <c r="D142" t="s">
        <v>329</v>
      </c>
      <c r="F142">
        <v>0</v>
      </c>
      <c r="G142">
        <v>0</v>
      </c>
      <c r="H142">
        <v>0</v>
      </c>
      <c r="I142">
        <v>0</v>
      </c>
      <c r="J142">
        <v>0</v>
      </c>
      <c r="K142">
        <v>0</v>
      </c>
      <c r="L142">
        <v>9.9999999999999995E-7</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1.9999999999999999E-6</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t="s">
        <v>17</v>
      </c>
    </row>
    <row r="143" spans="1:35">
      <c r="A143" t="s">
        <v>360</v>
      </c>
      <c r="B143" t="s">
        <v>1762</v>
      </c>
      <c r="C143" t="s">
        <v>1761</v>
      </c>
      <c r="D143" t="s">
        <v>329</v>
      </c>
      <c r="F143">
        <v>4.5572350000000004</v>
      </c>
      <c r="G143">
        <v>4.7290020000000004</v>
      </c>
      <c r="H143">
        <v>4.9127999999999998</v>
      </c>
      <c r="I143">
        <v>5.1043260000000004</v>
      </c>
      <c r="J143">
        <v>5.2971899999999996</v>
      </c>
      <c r="K143">
        <v>5.487355</v>
      </c>
      <c r="L143">
        <v>5.6725500000000002</v>
      </c>
      <c r="M143">
        <v>5.8529099999999996</v>
      </c>
      <c r="N143">
        <v>6.02935</v>
      </c>
      <c r="O143">
        <v>6.2002790000000001</v>
      </c>
      <c r="P143">
        <v>6.3694100000000002</v>
      </c>
      <c r="Q143">
        <v>6.5280370000000003</v>
      </c>
      <c r="R143">
        <v>6.6825029999999996</v>
      </c>
      <c r="S143">
        <v>6.8328829999999998</v>
      </c>
      <c r="T143">
        <v>6.9851679999999998</v>
      </c>
      <c r="U143">
        <v>7.1385949999999996</v>
      </c>
      <c r="V143">
        <v>7.2927179999999998</v>
      </c>
      <c r="W143">
        <v>7.444204</v>
      </c>
      <c r="X143">
        <v>7.5930559999999998</v>
      </c>
      <c r="Y143">
        <v>7.7457929999999999</v>
      </c>
      <c r="Z143">
        <v>7.8962500000000002</v>
      </c>
      <c r="AA143">
        <v>8.0561190000000007</v>
      </c>
      <c r="AB143">
        <v>8.2237679999999997</v>
      </c>
      <c r="AC143">
        <v>8.3889849999999999</v>
      </c>
      <c r="AD143">
        <v>8.5504960000000008</v>
      </c>
      <c r="AE143">
        <v>8.7149520000000003</v>
      </c>
      <c r="AF143">
        <v>8.8794520000000006</v>
      </c>
      <c r="AG143">
        <v>9.0347190000000008</v>
      </c>
      <c r="AH143">
        <v>9.1874509999999994</v>
      </c>
      <c r="AI143" s="21">
        <v>2.5000000000000001E-2</v>
      </c>
    </row>
    <row r="144" spans="1:35">
      <c r="A144" t="s">
        <v>361</v>
      </c>
    </row>
    <row r="145" spans="1:35">
      <c r="A145" t="s">
        <v>297</v>
      </c>
      <c r="B145" t="s">
        <v>1760</v>
      </c>
      <c r="C145" t="s">
        <v>1759</v>
      </c>
      <c r="D145" t="s">
        <v>329</v>
      </c>
      <c r="F145">
        <v>2.2437369999999999</v>
      </c>
      <c r="G145">
        <v>2.286295</v>
      </c>
      <c r="H145">
        <v>2.3282590000000001</v>
      </c>
      <c r="I145">
        <v>2.3705020000000001</v>
      </c>
      <c r="J145">
        <v>2.414231</v>
      </c>
      <c r="K145">
        <v>2.4601289999999998</v>
      </c>
      <c r="L145">
        <v>2.5065369999999998</v>
      </c>
      <c r="M145">
        <v>2.5488789999999999</v>
      </c>
      <c r="N145">
        <v>2.5876809999999999</v>
      </c>
      <c r="O145">
        <v>2.6220119999999998</v>
      </c>
      <c r="P145">
        <v>2.655789</v>
      </c>
      <c r="Q145">
        <v>2.685311</v>
      </c>
      <c r="R145">
        <v>2.7116950000000002</v>
      </c>
      <c r="S145">
        <v>2.7389969999999999</v>
      </c>
      <c r="T145">
        <v>2.7686130000000002</v>
      </c>
      <c r="U145">
        <v>2.7995800000000002</v>
      </c>
      <c r="V145">
        <v>2.8301050000000001</v>
      </c>
      <c r="W145">
        <v>2.8587389999999999</v>
      </c>
      <c r="X145">
        <v>2.8855249999999999</v>
      </c>
      <c r="Y145">
        <v>2.9108130000000001</v>
      </c>
      <c r="Z145">
        <v>2.9366029999999999</v>
      </c>
      <c r="AA145">
        <v>2.96862</v>
      </c>
      <c r="AB145">
        <v>3.0048659999999998</v>
      </c>
      <c r="AC145">
        <v>3.0403660000000001</v>
      </c>
      <c r="AD145">
        <v>3.0729690000000001</v>
      </c>
      <c r="AE145">
        <v>3.1057389999999998</v>
      </c>
      <c r="AF145">
        <v>3.1385649999999998</v>
      </c>
      <c r="AG145">
        <v>3.1691940000000001</v>
      </c>
      <c r="AH145">
        <v>3.1979829999999998</v>
      </c>
      <c r="AI145" s="21">
        <v>1.2999999999999999E-2</v>
      </c>
    </row>
    <row r="146" spans="1:35">
      <c r="A146" t="s">
        <v>283</v>
      </c>
      <c r="B146" t="s">
        <v>1758</v>
      </c>
      <c r="C146" t="s">
        <v>1757</v>
      </c>
      <c r="D146" t="s">
        <v>329</v>
      </c>
      <c r="F146">
        <v>1.5028010000000001</v>
      </c>
      <c r="G146">
        <v>1.5106599999999999</v>
      </c>
      <c r="H146">
        <v>1.521682</v>
      </c>
      <c r="I146">
        <v>1.536027</v>
      </c>
      <c r="J146">
        <v>1.553299</v>
      </c>
      <c r="K146">
        <v>1.5740670000000001</v>
      </c>
      <c r="L146">
        <v>1.595553</v>
      </c>
      <c r="M146">
        <v>1.615586</v>
      </c>
      <c r="N146">
        <v>1.634533</v>
      </c>
      <c r="O146">
        <v>1.6496409999999999</v>
      </c>
      <c r="P146">
        <v>1.6660779999999999</v>
      </c>
      <c r="Q146">
        <v>1.679308</v>
      </c>
      <c r="R146">
        <v>1.691457</v>
      </c>
      <c r="S146">
        <v>1.7060569999999999</v>
      </c>
      <c r="T146">
        <v>1.72157</v>
      </c>
      <c r="U146">
        <v>1.7378290000000001</v>
      </c>
      <c r="V146">
        <v>1.753844</v>
      </c>
      <c r="W146">
        <v>1.770923</v>
      </c>
      <c r="X146">
        <v>1.786276</v>
      </c>
      <c r="Y146">
        <v>1.802689</v>
      </c>
      <c r="Z146">
        <v>1.8201099999999999</v>
      </c>
      <c r="AA146">
        <v>1.840473</v>
      </c>
      <c r="AB146">
        <v>1.862393</v>
      </c>
      <c r="AC146">
        <v>1.8824430000000001</v>
      </c>
      <c r="AD146">
        <v>1.900587</v>
      </c>
      <c r="AE146">
        <v>1.9178740000000001</v>
      </c>
      <c r="AF146">
        <v>1.9347449999999999</v>
      </c>
      <c r="AG146">
        <v>1.9508810000000001</v>
      </c>
      <c r="AH146">
        <v>1.9650270000000001</v>
      </c>
      <c r="AI146" s="21">
        <v>0.01</v>
      </c>
    </row>
    <row r="147" spans="1:35">
      <c r="A147" t="s">
        <v>278</v>
      </c>
      <c r="B147" t="s">
        <v>1756</v>
      </c>
      <c r="C147" t="s">
        <v>1755</v>
      </c>
      <c r="D147" t="s">
        <v>329</v>
      </c>
      <c r="F147">
        <v>2.4919999999999999E-3</v>
      </c>
      <c r="G147">
        <v>2.5119999999999999E-3</v>
      </c>
      <c r="H147">
        <v>2.565E-3</v>
      </c>
      <c r="I147">
        <v>2.6389999999999999E-3</v>
      </c>
      <c r="J147">
        <v>2.7409999999999999E-3</v>
      </c>
      <c r="K147">
        <v>2.8609999999999998E-3</v>
      </c>
      <c r="L147">
        <v>2.9970000000000001E-3</v>
      </c>
      <c r="M147">
        <v>3.1280000000000001E-3</v>
      </c>
      <c r="N147">
        <v>3.2650000000000001E-3</v>
      </c>
      <c r="O147">
        <v>3.4060000000000002E-3</v>
      </c>
      <c r="P147">
        <v>3.5660000000000002E-3</v>
      </c>
      <c r="Q147">
        <v>3.7569999999999999E-3</v>
      </c>
      <c r="R147">
        <v>3.9490000000000003E-3</v>
      </c>
      <c r="S147">
        <v>4.1520000000000003E-3</v>
      </c>
      <c r="T147">
        <v>4.3949999999999996E-3</v>
      </c>
      <c r="U147">
        <v>4.6769999999999997E-3</v>
      </c>
      <c r="V147">
        <v>4.9950000000000003E-3</v>
      </c>
      <c r="W147">
        <v>5.3480000000000003E-3</v>
      </c>
      <c r="X147">
        <v>5.7359999999999998E-3</v>
      </c>
      <c r="Y147">
        <v>6.1580000000000003E-3</v>
      </c>
      <c r="Z147">
        <v>6.6080000000000002E-3</v>
      </c>
      <c r="AA147">
        <v>7.0899999999999999E-3</v>
      </c>
      <c r="AB147">
        <v>7.5950000000000002E-3</v>
      </c>
      <c r="AC147">
        <v>8.116E-3</v>
      </c>
      <c r="AD147">
        <v>8.6529999999999992E-3</v>
      </c>
      <c r="AE147">
        <v>9.2040000000000004E-3</v>
      </c>
      <c r="AF147">
        <v>9.7710000000000002E-3</v>
      </c>
      <c r="AG147">
        <v>1.0267999999999999E-2</v>
      </c>
      <c r="AH147">
        <v>1.0788000000000001E-2</v>
      </c>
      <c r="AI147" s="21">
        <v>5.3999999999999999E-2</v>
      </c>
    </row>
    <row r="148" spans="1:35">
      <c r="A148" t="s">
        <v>277</v>
      </c>
      <c r="B148" t="s">
        <v>1754</v>
      </c>
      <c r="C148" t="s">
        <v>1753</v>
      </c>
      <c r="D148" t="s">
        <v>329</v>
      </c>
      <c r="F148">
        <v>2.4350000000000001E-3</v>
      </c>
      <c r="G148">
        <v>2.467E-3</v>
      </c>
      <c r="H148">
        <v>2.4859999999999999E-3</v>
      </c>
      <c r="I148">
        <v>2.493E-3</v>
      </c>
      <c r="J148">
        <v>2.4880000000000002E-3</v>
      </c>
      <c r="K148">
        <v>2.4729999999999999E-3</v>
      </c>
      <c r="L148">
        <v>2.4499999999999999E-3</v>
      </c>
      <c r="M148">
        <v>2.4160000000000002E-3</v>
      </c>
      <c r="N148">
        <v>2.3749999999999999E-3</v>
      </c>
      <c r="O148">
        <v>2.3249999999999998E-3</v>
      </c>
      <c r="P148">
        <v>2.2680000000000001E-3</v>
      </c>
      <c r="Q148">
        <v>2.2060000000000001E-3</v>
      </c>
      <c r="R148">
        <v>2.137E-3</v>
      </c>
      <c r="S148">
        <v>2.062E-3</v>
      </c>
      <c r="T148">
        <v>1.977E-3</v>
      </c>
      <c r="U148">
        <v>1.89E-3</v>
      </c>
      <c r="V148">
        <v>1.802E-3</v>
      </c>
      <c r="W148">
        <v>1.719E-3</v>
      </c>
      <c r="X148">
        <v>1.6410000000000001E-3</v>
      </c>
      <c r="Y148">
        <v>1.5510000000000001E-3</v>
      </c>
      <c r="Z148">
        <v>1.47E-3</v>
      </c>
      <c r="AA148">
        <v>1.3649999999999999E-3</v>
      </c>
      <c r="AB148">
        <v>1.2509999999999999E-3</v>
      </c>
      <c r="AC148">
        <v>1.158E-3</v>
      </c>
      <c r="AD148">
        <v>1.077E-3</v>
      </c>
      <c r="AE148">
        <v>9.9200000000000004E-4</v>
      </c>
      <c r="AF148">
        <v>9.0200000000000002E-4</v>
      </c>
      <c r="AG148">
        <v>8.1999999999999998E-4</v>
      </c>
      <c r="AH148">
        <v>7.5000000000000002E-4</v>
      </c>
      <c r="AI148" s="21">
        <v>-4.1000000000000002E-2</v>
      </c>
    </row>
    <row r="149" spans="1:35">
      <c r="A149" t="s">
        <v>333</v>
      </c>
      <c r="B149" t="s">
        <v>1752</v>
      </c>
      <c r="C149" t="s">
        <v>1751</v>
      </c>
      <c r="D149" t="s">
        <v>329</v>
      </c>
      <c r="F149">
        <v>3.3721000000000001E-2</v>
      </c>
      <c r="G149">
        <v>3.7009E-2</v>
      </c>
      <c r="H149">
        <v>4.0771000000000002E-2</v>
      </c>
      <c r="I149">
        <v>4.4796000000000002E-2</v>
      </c>
      <c r="J149">
        <v>4.9252999999999998E-2</v>
      </c>
      <c r="K149">
        <v>5.4266000000000002E-2</v>
      </c>
      <c r="L149">
        <v>5.9671000000000002E-2</v>
      </c>
      <c r="M149">
        <v>6.5405000000000005E-2</v>
      </c>
      <c r="N149">
        <v>7.1421999999999999E-2</v>
      </c>
      <c r="O149">
        <v>7.7891000000000002E-2</v>
      </c>
      <c r="P149">
        <v>8.4977999999999998E-2</v>
      </c>
      <c r="Q149">
        <v>9.2817999999999998E-2</v>
      </c>
      <c r="R149">
        <v>0.101296</v>
      </c>
      <c r="S149">
        <v>0.11043600000000001</v>
      </c>
      <c r="T149">
        <v>0.120042</v>
      </c>
      <c r="U149">
        <v>0.13008800000000001</v>
      </c>
      <c r="V149">
        <v>0.140457</v>
      </c>
      <c r="W149">
        <v>0.15113299999999999</v>
      </c>
      <c r="X149">
        <v>0.16206599999999999</v>
      </c>
      <c r="Y149">
        <v>0.17324300000000001</v>
      </c>
      <c r="Z149">
        <v>0.184556</v>
      </c>
      <c r="AA149">
        <v>0.19605900000000001</v>
      </c>
      <c r="AB149">
        <v>0.20741200000000001</v>
      </c>
      <c r="AC149">
        <v>0.21848600000000001</v>
      </c>
      <c r="AD149">
        <v>0.22906399999999999</v>
      </c>
      <c r="AE149">
        <v>0.239314</v>
      </c>
      <c r="AF149">
        <v>0.24909800000000001</v>
      </c>
      <c r="AG149">
        <v>0.25861600000000001</v>
      </c>
      <c r="AH149">
        <v>0.26780399999999999</v>
      </c>
      <c r="AI149" s="21">
        <v>7.6999999999999999E-2</v>
      </c>
    </row>
    <row r="150" spans="1:35">
      <c r="A150" t="s">
        <v>334</v>
      </c>
      <c r="B150" t="s">
        <v>1750</v>
      </c>
      <c r="C150" t="s">
        <v>1749</v>
      </c>
      <c r="D150" t="s">
        <v>329</v>
      </c>
      <c r="F150">
        <v>2.4399999999999999E-4</v>
      </c>
      <c r="G150">
        <v>3.0200000000000002E-4</v>
      </c>
      <c r="H150">
        <v>3.5399999999999999E-4</v>
      </c>
      <c r="I150">
        <v>3.9800000000000002E-4</v>
      </c>
      <c r="J150">
        <v>4.3800000000000002E-4</v>
      </c>
      <c r="K150">
        <v>4.7199999999999998E-4</v>
      </c>
      <c r="L150">
        <v>5.0199999999999995E-4</v>
      </c>
      <c r="M150">
        <v>5.2599999999999999E-4</v>
      </c>
      <c r="N150">
        <v>5.4500000000000002E-4</v>
      </c>
      <c r="O150">
        <v>5.5900000000000004E-4</v>
      </c>
      <c r="P150">
        <v>5.6899999999999995E-4</v>
      </c>
      <c r="Q150">
        <v>5.7600000000000001E-4</v>
      </c>
      <c r="R150">
        <v>5.7899999999999998E-4</v>
      </c>
      <c r="S150">
        <v>5.7899999999999998E-4</v>
      </c>
      <c r="T150">
        <v>5.7700000000000004E-4</v>
      </c>
      <c r="U150">
        <v>5.71E-4</v>
      </c>
      <c r="V150">
        <v>5.6300000000000002E-4</v>
      </c>
      <c r="W150">
        <v>5.53E-4</v>
      </c>
      <c r="X150">
        <v>5.4100000000000003E-4</v>
      </c>
      <c r="Y150">
        <v>5.2800000000000004E-4</v>
      </c>
      <c r="Z150">
        <v>5.13E-4</v>
      </c>
      <c r="AA150">
        <v>4.9700000000000005E-4</v>
      </c>
      <c r="AB150">
        <v>4.8000000000000001E-4</v>
      </c>
      <c r="AC150">
        <v>4.6200000000000001E-4</v>
      </c>
      <c r="AD150">
        <v>4.44E-4</v>
      </c>
      <c r="AE150">
        <v>4.26E-4</v>
      </c>
      <c r="AF150">
        <v>4.08E-4</v>
      </c>
      <c r="AG150">
        <v>3.8900000000000002E-4</v>
      </c>
      <c r="AH150">
        <v>3.7100000000000002E-4</v>
      </c>
      <c r="AI150" s="21">
        <v>1.4999999999999999E-2</v>
      </c>
    </row>
    <row r="151" spans="1:35">
      <c r="A151" t="s">
        <v>336</v>
      </c>
      <c r="B151" t="s">
        <v>1748</v>
      </c>
      <c r="C151" t="s">
        <v>1747</v>
      </c>
      <c r="D151" t="s">
        <v>329</v>
      </c>
      <c r="F151">
        <v>0</v>
      </c>
      <c r="G151">
        <v>0</v>
      </c>
      <c r="H151">
        <v>2.2499999999999999E-4</v>
      </c>
      <c r="I151">
        <v>4.5199999999999998E-4</v>
      </c>
      <c r="J151">
        <v>6.8199999999999999E-4</v>
      </c>
      <c r="K151">
        <v>9.2100000000000005E-4</v>
      </c>
      <c r="L151">
        <v>1.1659999999999999E-3</v>
      </c>
      <c r="M151">
        <v>1.413E-3</v>
      </c>
      <c r="N151">
        <v>1.6570000000000001E-3</v>
      </c>
      <c r="O151">
        <v>1.9009999999999999E-3</v>
      </c>
      <c r="P151">
        <v>2.1510000000000001E-3</v>
      </c>
      <c r="Q151">
        <v>2.4130000000000002E-3</v>
      </c>
      <c r="R151">
        <v>2.6849999999999999E-3</v>
      </c>
      <c r="S151">
        <v>2.9680000000000002E-3</v>
      </c>
      <c r="T151">
        <v>3.264E-3</v>
      </c>
      <c r="U151">
        <v>3.5739999999999999E-3</v>
      </c>
      <c r="V151">
        <v>3.8990000000000001E-3</v>
      </c>
      <c r="W151">
        <v>4.241E-3</v>
      </c>
      <c r="X151">
        <v>4.6030000000000003E-3</v>
      </c>
      <c r="Y151">
        <v>4.9880000000000002E-3</v>
      </c>
      <c r="Z151">
        <v>5.3949999999999996E-3</v>
      </c>
      <c r="AA151">
        <v>5.8279999999999998E-3</v>
      </c>
      <c r="AB151">
        <v>6.2830000000000004E-3</v>
      </c>
      <c r="AC151">
        <v>6.7559999999999999E-3</v>
      </c>
      <c r="AD151">
        <v>7.2459999999999998E-3</v>
      </c>
      <c r="AE151">
        <v>7.757E-3</v>
      </c>
      <c r="AF151">
        <v>8.2869999999999992E-3</v>
      </c>
      <c r="AG151">
        <v>8.8350000000000008E-3</v>
      </c>
      <c r="AH151">
        <v>9.3989999999999994E-3</v>
      </c>
      <c r="AI151" t="s">
        <v>17</v>
      </c>
    </row>
    <row r="152" spans="1:35">
      <c r="A152" t="s">
        <v>335</v>
      </c>
      <c r="B152" t="s">
        <v>1746</v>
      </c>
      <c r="C152" t="s">
        <v>1745</v>
      </c>
      <c r="D152" t="s">
        <v>329</v>
      </c>
      <c r="F152">
        <v>0</v>
      </c>
      <c r="G152">
        <v>0</v>
      </c>
      <c r="H152">
        <v>2.1900000000000001E-4</v>
      </c>
      <c r="I152">
        <v>4.35E-4</v>
      </c>
      <c r="J152">
        <v>6.5200000000000002E-4</v>
      </c>
      <c r="K152">
        <v>8.7200000000000005E-4</v>
      </c>
      <c r="L152">
        <v>1.096E-3</v>
      </c>
      <c r="M152">
        <v>1.3179999999999999E-3</v>
      </c>
      <c r="N152">
        <v>1.539E-3</v>
      </c>
      <c r="O152">
        <v>1.7639999999999999E-3</v>
      </c>
      <c r="P152">
        <v>2.0010000000000002E-3</v>
      </c>
      <c r="Q152">
        <v>2.2560000000000002E-3</v>
      </c>
      <c r="R152">
        <v>2.529E-3</v>
      </c>
      <c r="S152">
        <v>2.8219999999999999E-3</v>
      </c>
      <c r="T152">
        <v>3.1380000000000002E-3</v>
      </c>
      <c r="U152">
        <v>3.48E-3</v>
      </c>
      <c r="V152">
        <v>3.8500000000000001E-3</v>
      </c>
      <c r="W152">
        <v>4.2529999999999998E-3</v>
      </c>
      <c r="X152">
        <v>4.6940000000000003E-3</v>
      </c>
      <c r="Y152">
        <v>5.1770000000000002E-3</v>
      </c>
      <c r="Z152">
        <v>5.7060000000000001E-3</v>
      </c>
      <c r="AA152">
        <v>6.2849999999999998E-3</v>
      </c>
      <c r="AB152">
        <v>6.9100000000000003E-3</v>
      </c>
      <c r="AC152">
        <v>7.5719999999999997E-3</v>
      </c>
      <c r="AD152">
        <v>8.2699999999999996E-3</v>
      </c>
      <c r="AE152">
        <v>9.0060000000000001E-3</v>
      </c>
      <c r="AF152">
        <v>9.7789999999999995E-3</v>
      </c>
      <c r="AG152">
        <v>1.0584E-2</v>
      </c>
      <c r="AH152">
        <v>1.1415E-2</v>
      </c>
      <c r="AI152" t="s">
        <v>17</v>
      </c>
    </row>
    <row r="153" spans="1:35">
      <c r="A153" t="s">
        <v>337</v>
      </c>
      <c r="B153" t="s">
        <v>1744</v>
      </c>
      <c r="C153" t="s">
        <v>1743</v>
      </c>
      <c r="D153" t="s">
        <v>329</v>
      </c>
      <c r="F153">
        <v>0</v>
      </c>
      <c r="G153">
        <v>0</v>
      </c>
      <c r="H153">
        <v>3.7599999999999998E-4</v>
      </c>
      <c r="I153">
        <v>7.5799999999999999E-4</v>
      </c>
      <c r="J153">
        <v>1.1509999999999999E-3</v>
      </c>
      <c r="K153">
        <v>1.5610000000000001E-3</v>
      </c>
      <c r="L153">
        <v>1.9840000000000001E-3</v>
      </c>
      <c r="M153">
        <v>2.4109999999999999E-3</v>
      </c>
      <c r="N153">
        <v>2.8349999999999998E-3</v>
      </c>
      <c r="O153">
        <v>3.2590000000000002E-3</v>
      </c>
      <c r="P153">
        <v>3.692E-3</v>
      </c>
      <c r="Q153">
        <v>4.1390000000000003E-3</v>
      </c>
      <c r="R153">
        <v>4.6020000000000002E-3</v>
      </c>
      <c r="S153">
        <v>5.084E-3</v>
      </c>
      <c r="T153">
        <v>5.5890000000000002E-3</v>
      </c>
      <c r="U153">
        <v>6.1209999999999997E-3</v>
      </c>
      <c r="V153">
        <v>6.6839999999999998E-3</v>
      </c>
      <c r="W153">
        <v>7.2820000000000003E-3</v>
      </c>
      <c r="X153">
        <v>7.9209999999999992E-3</v>
      </c>
      <c r="Y153">
        <v>8.6079999999999993E-3</v>
      </c>
      <c r="Z153">
        <v>9.3430000000000006E-3</v>
      </c>
      <c r="AA153">
        <v>1.0130999999999999E-2</v>
      </c>
      <c r="AB153">
        <v>1.0968E-2</v>
      </c>
      <c r="AC153">
        <v>1.1842999999999999E-2</v>
      </c>
      <c r="AD153">
        <v>1.2758E-2</v>
      </c>
      <c r="AE153">
        <v>1.3715E-2</v>
      </c>
      <c r="AF153">
        <v>1.4716E-2</v>
      </c>
      <c r="AG153">
        <v>1.5751999999999999E-2</v>
      </c>
      <c r="AH153">
        <v>1.6823000000000001E-2</v>
      </c>
      <c r="AI153" t="s">
        <v>17</v>
      </c>
    </row>
    <row r="154" spans="1:35">
      <c r="A154" t="s">
        <v>362</v>
      </c>
      <c r="B154" t="s">
        <v>1742</v>
      </c>
      <c r="C154" t="s">
        <v>1741</v>
      </c>
      <c r="D154" t="s">
        <v>329</v>
      </c>
      <c r="F154">
        <v>3.7854269999999999</v>
      </c>
      <c r="G154">
        <v>3.8392460000000002</v>
      </c>
      <c r="H154">
        <v>3.896935</v>
      </c>
      <c r="I154">
        <v>3.9585020000000002</v>
      </c>
      <c r="J154">
        <v>4.0249319999999997</v>
      </c>
      <c r="K154">
        <v>4.097626</v>
      </c>
      <c r="L154">
        <v>4.1719590000000002</v>
      </c>
      <c r="M154">
        <v>4.2410829999999997</v>
      </c>
      <c r="N154">
        <v>4.3058509999999997</v>
      </c>
      <c r="O154">
        <v>4.3627609999999999</v>
      </c>
      <c r="P154">
        <v>4.4210929999999999</v>
      </c>
      <c r="Q154">
        <v>4.4727800000000002</v>
      </c>
      <c r="R154">
        <v>4.5209279999999996</v>
      </c>
      <c r="S154">
        <v>4.5731520000000003</v>
      </c>
      <c r="T154">
        <v>4.6291640000000003</v>
      </c>
      <c r="U154">
        <v>4.6878130000000002</v>
      </c>
      <c r="V154">
        <v>4.7462020000000003</v>
      </c>
      <c r="W154">
        <v>4.8041939999999999</v>
      </c>
      <c r="X154">
        <v>4.8590020000000003</v>
      </c>
      <c r="Y154">
        <v>4.9137469999999999</v>
      </c>
      <c r="Z154">
        <v>4.9703020000000002</v>
      </c>
      <c r="AA154">
        <v>5.0363410000000002</v>
      </c>
      <c r="AB154">
        <v>5.1081560000000001</v>
      </c>
      <c r="AC154">
        <v>5.1772010000000002</v>
      </c>
      <c r="AD154">
        <v>5.2410680000000003</v>
      </c>
      <c r="AE154">
        <v>5.3040250000000002</v>
      </c>
      <c r="AF154">
        <v>5.3662710000000002</v>
      </c>
      <c r="AG154">
        <v>5.4253349999999996</v>
      </c>
      <c r="AH154">
        <v>5.4803610000000003</v>
      </c>
      <c r="AI154" s="21">
        <v>1.2999999999999999E-2</v>
      </c>
    </row>
    <row r="155" spans="1:35">
      <c r="A155" t="s">
        <v>363</v>
      </c>
    </row>
    <row r="156" spans="1:35">
      <c r="A156" t="s">
        <v>297</v>
      </c>
      <c r="B156" t="s">
        <v>1740</v>
      </c>
      <c r="C156" t="s">
        <v>1739</v>
      </c>
      <c r="D156" t="s">
        <v>329</v>
      </c>
      <c r="F156">
        <v>5.2064019999999998</v>
      </c>
      <c r="G156">
        <v>5.2888780000000004</v>
      </c>
      <c r="H156">
        <v>5.3703010000000004</v>
      </c>
      <c r="I156">
        <v>5.4525410000000001</v>
      </c>
      <c r="J156">
        <v>5.5382790000000002</v>
      </c>
      <c r="K156">
        <v>5.627815</v>
      </c>
      <c r="L156">
        <v>5.7139410000000002</v>
      </c>
      <c r="M156">
        <v>5.7869250000000001</v>
      </c>
      <c r="N156">
        <v>5.8481120000000004</v>
      </c>
      <c r="O156">
        <v>5.9006040000000004</v>
      </c>
      <c r="P156">
        <v>5.9465589999999997</v>
      </c>
      <c r="Q156">
        <v>5.9845050000000004</v>
      </c>
      <c r="R156">
        <v>6.0113009999999996</v>
      </c>
      <c r="S156">
        <v>6.0395349999999999</v>
      </c>
      <c r="T156">
        <v>6.0732929999999996</v>
      </c>
      <c r="U156">
        <v>6.1074250000000001</v>
      </c>
      <c r="V156">
        <v>6.1398859999999997</v>
      </c>
      <c r="W156">
        <v>6.1630339999999997</v>
      </c>
      <c r="X156">
        <v>6.179583</v>
      </c>
      <c r="Y156">
        <v>6.1844590000000004</v>
      </c>
      <c r="Z156">
        <v>6.1998239999999996</v>
      </c>
      <c r="AA156">
        <v>6.2213029999999998</v>
      </c>
      <c r="AB156">
        <v>6.2479550000000001</v>
      </c>
      <c r="AC156">
        <v>6.2727950000000003</v>
      </c>
      <c r="AD156">
        <v>6.2884719999999996</v>
      </c>
      <c r="AE156">
        <v>6.2973910000000002</v>
      </c>
      <c r="AF156">
        <v>6.3017019999999997</v>
      </c>
      <c r="AG156">
        <v>6.2968999999999999</v>
      </c>
      <c r="AH156">
        <v>6.2831700000000001</v>
      </c>
      <c r="AI156" s="21">
        <v>7.0000000000000001E-3</v>
      </c>
    </row>
    <row r="157" spans="1:35">
      <c r="A157" t="s">
        <v>283</v>
      </c>
      <c r="B157" t="s">
        <v>1738</v>
      </c>
      <c r="C157" t="s">
        <v>1737</v>
      </c>
      <c r="D157" t="s">
        <v>329</v>
      </c>
      <c r="F157">
        <v>4.3720000000000002E-2</v>
      </c>
      <c r="G157">
        <v>3.9244000000000001E-2</v>
      </c>
      <c r="H157">
        <v>3.5563999999999998E-2</v>
      </c>
      <c r="I157">
        <v>3.2551999999999998E-2</v>
      </c>
      <c r="J157">
        <v>3.0339000000000001E-2</v>
      </c>
      <c r="K157">
        <v>2.8802999999999999E-2</v>
      </c>
      <c r="L157">
        <v>2.7737999999999999E-2</v>
      </c>
      <c r="M157">
        <v>2.6907E-2</v>
      </c>
      <c r="N157">
        <v>2.6339000000000001E-2</v>
      </c>
      <c r="O157">
        <v>2.5862E-2</v>
      </c>
      <c r="P157">
        <v>2.5571E-2</v>
      </c>
      <c r="Q157">
        <v>2.5485000000000001E-2</v>
      </c>
      <c r="R157">
        <v>2.5562000000000001E-2</v>
      </c>
      <c r="S157">
        <v>2.5825000000000001E-2</v>
      </c>
      <c r="T157">
        <v>2.6147E-2</v>
      </c>
      <c r="U157">
        <v>2.6608E-2</v>
      </c>
      <c r="V157">
        <v>2.7149E-2</v>
      </c>
      <c r="W157">
        <v>2.7682999999999999E-2</v>
      </c>
      <c r="X157">
        <v>2.8167000000000001E-2</v>
      </c>
      <c r="Y157">
        <v>2.8698999999999999E-2</v>
      </c>
      <c r="Z157">
        <v>2.913E-2</v>
      </c>
      <c r="AA157">
        <v>2.9527000000000001E-2</v>
      </c>
      <c r="AB157">
        <v>2.9994E-2</v>
      </c>
      <c r="AC157">
        <v>3.0487E-2</v>
      </c>
      <c r="AD157">
        <v>3.0977000000000001E-2</v>
      </c>
      <c r="AE157">
        <v>3.1455999999999998E-2</v>
      </c>
      <c r="AF157">
        <v>3.1931000000000001E-2</v>
      </c>
      <c r="AG157">
        <v>3.2369000000000002E-2</v>
      </c>
      <c r="AH157">
        <v>3.2777000000000001E-2</v>
      </c>
      <c r="AI157" s="21">
        <v>-0.01</v>
      </c>
    </row>
    <row r="158" spans="1:35">
      <c r="A158" t="s">
        <v>278</v>
      </c>
      <c r="B158" t="s">
        <v>1736</v>
      </c>
      <c r="C158" t="s">
        <v>1735</v>
      </c>
      <c r="D158" t="s">
        <v>329</v>
      </c>
      <c r="F158">
        <v>3.2079999999999999E-3</v>
      </c>
      <c r="G158">
        <v>3.1340000000000001E-3</v>
      </c>
      <c r="H158">
        <v>3.0799999999999998E-3</v>
      </c>
      <c r="I158">
        <v>3.0439999999999998E-3</v>
      </c>
      <c r="J158">
        <v>3.052E-3</v>
      </c>
      <c r="K158">
        <v>3.0769999999999999E-3</v>
      </c>
      <c r="L158">
        <v>3.0990000000000002E-3</v>
      </c>
      <c r="M158">
        <v>3.0829999999999998E-3</v>
      </c>
      <c r="N158">
        <v>3.075E-3</v>
      </c>
      <c r="O158">
        <v>3.068E-3</v>
      </c>
      <c r="P158">
        <v>3.058E-3</v>
      </c>
      <c r="Q158">
        <v>3.0829999999999998E-3</v>
      </c>
      <c r="R158">
        <v>3.1280000000000001E-3</v>
      </c>
      <c r="S158">
        <v>3.1879999999999999E-3</v>
      </c>
      <c r="T158">
        <v>3.2569999999999999E-3</v>
      </c>
      <c r="U158">
        <v>3.3300000000000001E-3</v>
      </c>
      <c r="V158">
        <v>3.405E-3</v>
      </c>
      <c r="W158">
        <v>3.4789999999999999E-3</v>
      </c>
      <c r="X158">
        <v>3.5530000000000002E-3</v>
      </c>
      <c r="Y158">
        <v>3.6229999999999999E-3</v>
      </c>
      <c r="Z158">
        <v>3.6909999999999998E-3</v>
      </c>
      <c r="AA158">
        <v>3.7550000000000001E-3</v>
      </c>
      <c r="AB158">
        <v>3.8159999999999999E-3</v>
      </c>
      <c r="AC158">
        <v>3.8709999999999999E-3</v>
      </c>
      <c r="AD158">
        <v>3.921E-3</v>
      </c>
      <c r="AE158">
        <v>3.967E-3</v>
      </c>
      <c r="AF158">
        <v>4.0090000000000004E-3</v>
      </c>
      <c r="AG158">
        <v>4.0270000000000002E-3</v>
      </c>
      <c r="AH158">
        <v>4.0179999999999999E-3</v>
      </c>
      <c r="AI158" s="21">
        <v>8.0000000000000002E-3</v>
      </c>
    </row>
    <row r="159" spans="1:35">
      <c r="A159" t="s">
        <v>277</v>
      </c>
      <c r="B159" t="s">
        <v>1734</v>
      </c>
      <c r="C159" t="s">
        <v>1733</v>
      </c>
      <c r="D159" t="s">
        <v>329</v>
      </c>
      <c r="F159">
        <v>4.9806000000000003E-2</v>
      </c>
      <c r="G159">
        <v>5.3505999999999998E-2</v>
      </c>
      <c r="H159">
        <v>5.7007000000000002E-2</v>
      </c>
      <c r="I159">
        <v>6.0267000000000001E-2</v>
      </c>
      <c r="J159">
        <v>6.3335000000000002E-2</v>
      </c>
      <c r="K159">
        <v>6.6187999999999997E-2</v>
      </c>
      <c r="L159">
        <v>6.8793000000000007E-2</v>
      </c>
      <c r="M159">
        <v>7.1056999999999995E-2</v>
      </c>
      <c r="N159">
        <v>7.2950000000000001E-2</v>
      </c>
      <c r="O159">
        <v>7.4646000000000004E-2</v>
      </c>
      <c r="P159">
        <v>7.6287999999999995E-2</v>
      </c>
      <c r="Q159">
        <v>7.7964000000000006E-2</v>
      </c>
      <c r="R159">
        <v>7.9705999999999999E-2</v>
      </c>
      <c r="S159">
        <v>8.1534999999999996E-2</v>
      </c>
      <c r="T159">
        <v>8.3455000000000001E-2</v>
      </c>
      <c r="U159">
        <v>8.5483000000000003E-2</v>
      </c>
      <c r="V159">
        <v>8.7620000000000003E-2</v>
      </c>
      <c r="W159">
        <v>8.9883000000000005E-2</v>
      </c>
      <c r="X159">
        <v>9.2301999999999995E-2</v>
      </c>
      <c r="Y159">
        <v>9.4889000000000001E-2</v>
      </c>
      <c r="Z159">
        <v>9.7609000000000001E-2</v>
      </c>
      <c r="AA159">
        <v>0.100438</v>
      </c>
      <c r="AB159">
        <v>0.103409</v>
      </c>
      <c r="AC159">
        <v>0.106421</v>
      </c>
      <c r="AD159">
        <v>0.109391</v>
      </c>
      <c r="AE159">
        <v>0.112428</v>
      </c>
      <c r="AF159">
        <v>0.11534700000000001</v>
      </c>
      <c r="AG159">
        <v>0.11822199999999999</v>
      </c>
      <c r="AH159">
        <v>0.12117</v>
      </c>
      <c r="AI159" s="21">
        <v>3.2000000000000001E-2</v>
      </c>
    </row>
    <row r="160" spans="1:35">
      <c r="A160" t="s">
        <v>333</v>
      </c>
      <c r="B160" t="s">
        <v>1732</v>
      </c>
      <c r="C160" t="s">
        <v>1731</v>
      </c>
      <c r="D160" t="s">
        <v>329</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t="s">
        <v>17</v>
      </c>
    </row>
    <row r="161" spans="1:35">
      <c r="A161" t="s">
        <v>334</v>
      </c>
      <c r="B161" t="s">
        <v>1730</v>
      </c>
      <c r="C161" t="s">
        <v>1729</v>
      </c>
      <c r="D161" t="s">
        <v>329</v>
      </c>
      <c r="F161">
        <v>2.13E-4</v>
      </c>
      <c r="G161">
        <v>2.5500000000000002E-4</v>
      </c>
      <c r="H161">
        <v>2.92E-4</v>
      </c>
      <c r="I161">
        <v>3.2400000000000001E-4</v>
      </c>
      <c r="J161">
        <v>3.5199999999999999E-4</v>
      </c>
      <c r="K161">
        <v>3.77E-4</v>
      </c>
      <c r="L161">
        <v>3.9899999999999999E-4</v>
      </c>
      <c r="M161">
        <v>4.17E-4</v>
      </c>
      <c r="N161">
        <v>4.3100000000000001E-4</v>
      </c>
      <c r="O161">
        <v>4.4200000000000001E-4</v>
      </c>
      <c r="P161">
        <v>4.5100000000000001E-4</v>
      </c>
      <c r="Q161">
        <v>4.57E-4</v>
      </c>
      <c r="R161">
        <v>4.6200000000000001E-4</v>
      </c>
      <c r="S161">
        <v>4.64E-4</v>
      </c>
      <c r="T161">
        <v>4.64E-4</v>
      </c>
      <c r="U161">
        <v>4.6299999999999998E-4</v>
      </c>
      <c r="V161">
        <v>4.5899999999999999E-4</v>
      </c>
      <c r="W161">
        <v>4.55E-4</v>
      </c>
      <c r="X161">
        <v>4.4900000000000002E-4</v>
      </c>
      <c r="Y161">
        <v>4.4200000000000001E-4</v>
      </c>
      <c r="Z161">
        <v>4.3399999999999998E-4</v>
      </c>
      <c r="AA161">
        <v>4.2499999999999998E-4</v>
      </c>
      <c r="AB161">
        <v>4.15E-4</v>
      </c>
      <c r="AC161">
        <v>4.0400000000000001E-4</v>
      </c>
      <c r="AD161">
        <v>3.9300000000000001E-4</v>
      </c>
      <c r="AE161">
        <v>3.8200000000000002E-4</v>
      </c>
      <c r="AF161">
        <v>3.6999999999999999E-4</v>
      </c>
      <c r="AG161">
        <v>3.5799999999999997E-4</v>
      </c>
      <c r="AH161">
        <v>3.4600000000000001E-4</v>
      </c>
      <c r="AI161" s="21">
        <v>1.7000000000000001E-2</v>
      </c>
    </row>
    <row r="162" spans="1:35">
      <c r="A162" t="s">
        <v>336</v>
      </c>
      <c r="B162" t="s">
        <v>1728</v>
      </c>
      <c r="C162" t="s">
        <v>1727</v>
      </c>
      <c r="D162" t="s">
        <v>329</v>
      </c>
      <c r="F162">
        <v>0</v>
      </c>
      <c r="G162">
        <v>0</v>
      </c>
      <c r="H162">
        <v>1.2400000000000001E-4</v>
      </c>
      <c r="I162">
        <v>2.4699999999999999E-4</v>
      </c>
      <c r="J162">
        <v>3.7100000000000002E-4</v>
      </c>
      <c r="K162">
        <v>4.9700000000000005E-4</v>
      </c>
      <c r="L162">
        <v>6.2600000000000004E-4</v>
      </c>
      <c r="M162">
        <v>7.54E-4</v>
      </c>
      <c r="N162">
        <v>8.8099999999999995E-4</v>
      </c>
      <c r="O162">
        <v>1.0059999999999999E-3</v>
      </c>
      <c r="P162">
        <v>1.134E-3</v>
      </c>
      <c r="Q162">
        <v>1.266E-3</v>
      </c>
      <c r="R162">
        <v>1.403E-3</v>
      </c>
      <c r="S162">
        <v>1.5430000000000001E-3</v>
      </c>
      <c r="T162">
        <v>1.689E-3</v>
      </c>
      <c r="U162">
        <v>1.8400000000000001E-3</v>
      </c>
      <c r="V162">
        <v>1.9970000000000001E-3</v>
      </c>
      <c r="W162">
        <v>2.1589999999999999E-3</v>
      </c>
      <c r="X162">
        <v>2.33E-3</v>
      </c>
      <c r="Y162">
        <v>2.5089999999999999E-3</v>
      </c>
      <c r="Z162">
        <v>2.6970000000000002E-3</v>
      </c>
      <c r="AA162">
        <v>2.8969999999999998E-3</v>
      </c>
      <c r="AB162">
        <v>3.1080000000000001E-3</v>
      </c>
      <c r="AC162">
        <v>3.3279999999999998E-3</v>
      </c>
      <c r="AD162">
        <v>3.5590000000000001E-3</v>
      </c>
      <c r="AE162">
        <v>3.803E-3</v>
      </c>
      <c r="AF162">
        <v>4.0629999999999998E-3</v>
      </c>
      <c r="AG162">
        <v>4.3379999999999998E-3</v>
      </c>
      <c r="AH162">
        <v>4.6299999999999996E-3</v>
      </c>
      <c r="AI162" t="s">
        <v>17</v>
      </c>
    </row>
    <row r="163" spans="1:35">
      <c r="A163" t="s">
        <v>335</v>
      </c>
      <c r="B163" t="s">
        <v>1726</v>
      </c>
      <c r="C163" t="s">
        <v>1725</v>
      </c>
      <c r="D163" t="s">
        <v>329</v>
      </c>
      <c r="F163">
        <v>0</v>
      </c>
      <c r="G163">
        <v>0</v>
      </c>
      <c r="H163">
        <v>2.7500000000000002E-4</v>
      </c>
      <c r="I163">
        <v>5.44E-4</v>
      </c>
      <c r="J163">
        <v>8.0999999999999996E-4</v>
      </c>
      <c r="K163">
        <v>1.0790000000000001E-3</v>
      </c>
      <c r="L163">
        <v>1.348E-3</v>
      </c>
      <c r="M163">
        <v>1.6100000000000001E-3</v>
      </c>
      <c r="N163">
        <v>1.866E-3</v>
      </c>
      <c r="O163">
        <v>2.117E-3</v>
      </c>
      <c r="P163">
        <v>2.3709999999999998E-3</v>
      </c>
      <c r="Q163">
        <v>2.6310000000000001E-3</v>
      </c>
      <c r="R163">
        <v>2.8960000000000001E-3</v>
      </c>
      <c r="S163">
        <v>3.166E-3</v>
      </c>
      <c r="T163">
        <v>3.4429999999999999E-3</v>
      </c>
      <c r="U163">
        <v>3.7269999999999998E-3</v>
      </c>
      <c r="V163">
        <v>4.0179999999999999E-3</v>
      </c>
      <c r="W163">
        <v>4.3169999999999997E-3</v>
      </c>
      <c r="X163">
        <v>4.6259999999999999E-3</v>
      </c>
      <c r="Y163">
        <v>4.9480000000000001E-3</v>
      </c>
      <c r="Z163">
        <v>5.2830000000000004E-3</v>
      </c>
      <c r="AA163">
        <v>5.6319999999999999E-3</v>
      </c>
      <c r="AB163">
        <v>5.9940000000000002E-3</v>
      </c>
      <c r="AC163">
        <v>6.3629999999999997E-3</v>
      </c>
      <c r="AD163">
        <v>6.7409999999999996E-3</v>
      </c>
      <c r="AE163">
        <v>7.1279999999999998E-3</v>
      </c>
      <c r="AF163">
        <v>7.5269999999999998E-3</v>
      </c>
      <c r="AG163">
        <v>7.9330000000000008E-3</v>
      </c>
      <c r="AH163">
        <v>8.3479999999999995E-3</v>
      </c>
      <c r="AI163" t="s">
        <v>17</v>
      </c>
    </row>
    <row r="164" spans="1:35">
      <c r="A164" t="s">
        <v>337</v>
      </c>
      <c r="B164" t="s">
        <v>1724</v>
      </c>
      <c r="C164" t="s">
        <v>1723</v>
      </c>
      <c r="D164" t="s">
        <v>329</v>
      </c>
      <c r="F164">
        <v>0</v>
      </c>
      <c r="G164">
        <v>0</v>
      </c>
      <c r="H164">
        <v>4.0999999999999999E-4</v>
      </c>
      <c r="I164">
        <v>8.1999999999999998E-4</v>
      </c>
      <c r="J164">
        <v>1.2359999999999999E-3</v>
      </c>
      <c r="K164">
        <v>1.6659999999999999E-3</v>
      </c>
      <c r="L164">
        <v>2.1020000000000001E-3</v>
      </c>
      <c r="M164">
        <v>2.5360000000000001E-3</v>
      </c>
      <c r="N164">
        <v>2.9610000000000001E-3</v>
      </c>
      <c r="O164">
        <v>3.3800000000000002E-3</v>
      </c>
      <c r="P164">
        <v>3.7989999999999999E-3</v>
      </c>
      <c r="Q164">
        <v>4.2220000000000001E-3</v>
      </c>
      <c r="R164">
        <v>4.6490000000000004E-3</v>
      </c>
      <c r="S164">
        <v>5.0800000000000003E-3</v>
      </c>
      <c r="T164">
        <v>5.5160000000000001E-3</v>
      </c>
      <c r="U164">
        <v>5.9569999999999996E-3</v>
      </c>
      <c r="V164">
        <v>6.404E-3</v>
      </c>
      <c r="W164">
        <v>6.8560000000000001E-3</v>
      </c>
      <c r="X164">
        <v>7.3169999999999997E-3</v>
      </c>
      <c r="Y164">
        <v>7.7889999999999999E-3</v>
      </c>
      <c r="Z164">
        <v>8.2699999999999996E-3</v>
      </c>
      <c r="AA164">
        <v>8.7650000000000002E-3</v>
      </c>
      <c r="AB164">
        <v>9.2700000000000005E-3</v>
      </c>
      <c r="AC164">
        <v>9.783E-3</v>
      </c>
      <c r="AD164">
        <v>1.0307E-2</v>
      </c>
      <c r="AE164">
        <v>1.0848999999999999E-2</v>
      </c>
      <c r="AF164">
        <v>1.1415E-2</v>
      </c>
      <c r="AG164">
        <v>1.2005E-2</v>
      </c>
      <c r="AH164">
        <v>1.2626E-2</v>
      </c>
      <c r="AI164" t="s">
        <v>17</v>
      </c>
    </row>
    <row r="165" spans="1:35">
      <c r="A165" t="s">
        <v>364</v>
      </c>
      <c r="B165" t="s">
        <v>1722</v>
      </c>
      <c r="C165" t="s">
        <v>1721</v>
      </c>
      <c r="D165" t="s">
        <v>329</v>
      </c>
      <c r="F165">
        <v>5.3033510000000001</v>
      </c>
      <c r="G165">
        <v>5.3850160000000002</v>
      </c>
      <c r="H165">
        <v>5.4670500000000004</v>
      </c>
      <c r="I165">
        <v>5.5503419999999997</v>
      </c>
      <c r="J165">
        <v>5.6377740000000003</v>
      </c>
      <c r="K165">
        <v>5.7295040000000004</v>
      </c>
      <c r="L165">
        <v>5.8180490000000002</v>
      </c>
      <c r="M165">
        <v>5.8932869999999999</v>
      </c>
      <c r="N165">
        <v>5.9566129999999999</v>
      </c>
      <c r="O165">
        <v>6.011126</v>
      </c>
      <c r="P165">
        <v>6.0592329999999999</v>
      </c>
      <c r="Q165">
        <v>6.0996160000000001</v>
      </c>
      <c r="R165">
        <v>6.1291029999999997</v>
      </c>
      <c r="S165">
        <v>6.1603370000000002</v>
      </c>
      <c r="T165">
        <v>6.1972659999999999</v>
      </c>
      <c r="U165">
        <v>6.2348379999999999</v>
      </c>
      <c r="V165">
        <v>6.2709359999999998</v>
      </c>
      <c r="W165">
        <v>6.2978690000000004</v>
      </c>
      <c r="X165">
        <v>6.318327</v>
      </c>
      <c r="Y165">
        <v>6.3273599999999997</v>
      </c>
      <c r="Z165">
        <v>6.3469429999999996</v>
      </c>
      <c r="AA165">
        <v>6.3727369999999999</v>
      </c>
      <c r="AB165">
        <v>6.4039590000000004</v>
      </c>
      <c r="AC165">
        <v>6.4334600000000002</v>
      </c>
      <c r="AD165">
        <v>6.4537589999999998</v>
      </c>
      <c r="AE165">
        <v>6.4674019999999999</v>
      </c>
      <c r="AF165">
        <v>6.4763640000000002</v>
      </c>
      <c r="AG165">
        <v>6.476153</v>
      </c>
      <c r="AH165">
        <v>6.4670829999999997</v>
      </c>
      <c r="AI165" s="21">
        <v>7.0000000000000001E-3</v>
      </c>
    </row>
    <row r="166" spans="1:35">
      <c r="A166" t="s">
        <v>79</v>
      </c>
      <c r="B166" t="s">
        <v>1720</v>
      </c>
      <c r="C166" t="s">
        <v>1719</v>
      </c>
      <c r="D166" t="s">
        <v>329</v>
      </c>
      <c r="F166">
        <v>13.646018</v>
      </c>
      <c r="G166">
        <v>13.95327</v>
      </c>
      <c r="H166">
        <v>14.276797999999999</v>
      </c>
      <c r="I166">
        <v>14.613163</v>
      </c>
      <c r="J166">
        <v>14.959908</v>
      </c>
      <c r="K166">
        <v>15.314479</v>
      </c>
      <c r="L166">
        <v>15.662544</v>
      </c>
      <c r="M166">
        <v>15.987280999999999</v>
      </c>
      <c r="N166">
        <v>16.291819</v>
      </c>
      <c r="O166">
        <v>16.574141999999998</v>
      </c>
      <c r="P166">
        <v>16.849737000000001</v>
      </c>
      <c r="Q166">
        <v>17.100439000000001</v>
      </c>
      <c r="R166">
        <v>17.332543999999999</v>
      </c>
      <c r="S166">
        <v>17.566399000000001</v>
      </c>
      <c r="T166">
        <v>17.811584</v>
      </c>
      <c r="U166">
        <v>18.061226000000001</v>
      </c>
      <c r="V166">
        <v>18.309864000000001</v>
      </c>
      <c r="W166">
        <v>18.546267</v>
      </c>
      <c r="X166">
        <v>18.770368999999999</v>
      </c>
      <c r="Y166">
        <v>18.986908</v>
      </c>
      <c r="Z166">
        <v>19.213488000000002</v>
      </c>
      <c r="AA166">
        <v>19.465219000000001</v>
      </c>
      <c r="AB166">
        <v>19.735880000000002</v>
      </c>
      <c r="AC166">
        <v>19.999655000000001</v>
      </c>
      <c r="AD166">
        <v>20.24531</v>
      </c>
      <c r="AE166">
        <v>20.486383</v>
      </c>
      <c r="AF166">
        <v>20.722092</v>
      </c>
      <c r="AG166">
        <v>20.936222000000001</v>
      </c>
      <c r="AH166">
        <v>21.134900999999999</v>
      </c>
      <c r="AI166" s="21">
        <v>1.6E-2</v>
      </c>
    </row>
    <row r="167" spans="1:35">
      <c r="A167" t="s">
        <v>32</v>
      </c>
    </row>
    <row r="168" spans="1:35">
      <c r="A168" t="s">
        <v>369</v>
      </c>
    </row>
    <row r="169" spans="1:35">
      <c r="A169" t="s">
        <v>358</v>
      </c>
    </row>
    <row r="170" spans="1:35">
      <c r="A170" t="s">
        <v>297</v>
      </c>
      <c r="B170" t="s">
        <v>1718</v>
      </c>
      <c r="C170" t="s">
        <v>1717</v>
      </c>
      <c r="D170" t="s">
        <v>370</v>
      </c>
      <c r="F170">
        <v>17.217651</v>
      </c>
      <c r="G170">
        <v>17.743234999999999</v>
      </c>
      <c r="H170">
        <v>18.596025000000001</v>
      </c>
      <c r="I170">
        <v>19.408501000000001</v>
      </c>
      <c r="J170">
        <v>19.821732999999998</v>
      </c>
      <c r="K170">
        <v>20.081854</v>
      </c>
      <c r="L170">
        <v>20.115541</v>
      </c>
      <c r="M170">
        <v>20.175732</v>
      </c>
      <c r="N170">
        <v>20.175187999999999</v>
      </c>
      <c r="O170">
        <v>20.160620000000002</v>
      </c>
      <c r="P170">
        <v>20.126877</v>
      </c>
      <c r="Q170">
        <v>20.083185</v>
      </c>
      <c r="R170">
        <v>20.045784000000001</v>
      </c>
      <c r="S170">
        <v>20.013750000000002</v>
      </c>
      <c r="T170">
        <v>19.985996</v>
      </c>
      <c r="U170">
        <v>19.962015000000001</v>
      </c>
      <c r="V170">
        <v>19.941241999999999</v>
      </c>
      <c r="W170">
        <v>19.923152999999999</v>
      </c>
      <c r="X170">
        <v>19.907523999999999</v>
      </c>
      <c r="Y170">
        <v>19.893719000000001</v>
      </c>
      <c r="Z170">
        <v>19.881819</v>
      </c>
      <c r="AA170">
        <v>19.871511000000002</v>
      </c>
      <c r="AB170">
        <v>19.862354</v>
      </c>
      <c r="AC170">
        <v>19.854208</v>
      </c>
      <c r="AD170">
        <v>19.847239999999999</v>
      </c>
      <c r="AE170">
        <v>19.841653999999998</v>
      </c>
      <c r="AF170">
        <v>19.799841000000001</v>
      </c>
      <c r="AG170">
        <v>19.799527999999999</v>
      </c>
      <c r="AH170">
        <v>19.801586</v>
      </c>
      <c r="AI170" s="21">
        <v>5.0000000000000001E-3</v>
      </c>
    </row>
    <row r="171" spans="1:35">
      <c r="A171" t="s">
        <v>283</v>
      </c>
      <c r="B171" t="s">
        <v>1716</v>
      </c>
      <c r="C171" t="s">
        <v>1715</v>
      </c>
      <c r="D171" t="s">
        <v>371</v>
      </c>
      <c r="F171">
        <v>12.59516</v>
      </c>
      <c r="G171">
        <v>13.424738</v>
      </c>
      <c r="H171">
        <v>13.843267000000001</v>
      </c>
      <c r="I171">
        <v>14.275459</v>
      </c>
      <c r="J171">
        <v>14.428558000000001</v>
      </c>
      <c r="K171">
        <v>14.685053</v>
      </c>
      <c r="L171">
        <v>14.690815000000001</v>
      </c>
      <c r="M171">
        <v>14.856868</v>
      </c>
      <c r="N171">
        <v>14.931994</v>
      </c>
      <c r="O171">
        <v>14.986435</v>
      </c>
      <c r="P171">
        <v>14.919237000000001</v>
      </c>
      <c r="Q171">
        <v>15.001118999999999</v>
      </c>
      <c r="R171">
        <v>15.069096999999999</v>
      </c>
      <c r="S171">
        <v>15.113496</v>
      </c>
      <c r="T171">
        <v>15.145144</v>
      </c>
      <c r="U171">
        <v>15.166649</v>
      </c>
      <c r="V171">
        <v>15.177457</v>
      </c>
      <c r="W171">
        <v>15.176923</v>
      </c>
      <c r="X171">
        <v>15.17581</v>
      </c>
      <c r="Y171">
        <v>15.174847</v>
      </c>
      <c r="Z171">
        <v>15.174041000000001</v>
      </c>
      <c r="AA171">
        <v>15.173346</v>
      </c>
      <c r="AB171">
        <v>15.172763</v>
      </c>
      <c r="AC171">
        <v>15.172198</v>
      </c>
      <c r="AD171">
        <v>15.171754</v>
      </c>
      <c r="AE171">
        <v>15.171353999999999</v>
      </c>
      <c r="AF171">
        <v>15.171044</v>
      </c>
      <c r="AG171">
        <v>15.170722</v>
      </c>
      <c r="AH171">
        <v>15.170489999999999</v>
      </c>
      <c r="AI171" s="21">
        <v>7.0000000000000001E-3</v>
      </c>
    </row>
    <row r="172" spans="1:35">
      <c r="A172" t="s">
        <v>278</v>
      </c>
      <c r="B172" t="s">
        <v>1714</v>
      </c>
      <c r="C172" t="s">
        <v>1713</v>
      </c>
      <c r="D172" t="s">
        <v>371</v>
      </c>
      <c r="F172">
        <v>12.370099</v>
      </c>
      <c r="G172">
        <v>12.423861</v>
      </c>
      <c r="H172">
        <v>12.630001999999999</v>
      </c>
      <c r="I172">
        <v>12.778555000000001</v>
      </c>
      <c r="J172">
        <v>12.863218</v>
      </c>
      <c r="K172">
        <v>13.019094000000001</v>
      </c>
      <c r="L172">
        <v>13.145066</v>
      </c>
      <c r="M172">
        <v>13.360619</v>
      </c>
      <c r="N172">
        <v>13.615053</v>
      </c>
      <c r="O172">
        <v>13.851718</v>
      </c>
      <c r="P172">
        <v>14.074310000000001</v>
      </c>
      <c r="Q172">
        <v>14.236444000000001</v>
      </c>
      <c r="R172">
        <v>14.328803000000001</v>
      </c>
      <c r="S172">
        <v>14.355442</v>
      </c>
      <c r="T172">
        <v>14.372279000000001</v>
      </c>
      <c r="U172">
        <v>14.372299</v>
      </c>
      <c r="V172">
        <v>14.369871</v>
      </c>
      <c r="W172">
        <v>14.368024999999999</v>
      </c>
      <c r="X172">
        <v>14.366300000000001</v>
      </c>
      <c r="Y172">
        <v>14.365119999999999</v>
      </c>
      <c r="Z172">
        <v>14.364024000000001</v>
      </c>
      <c r="AA172">
        <v>14.363379999999999</v>
      </c>
      <c r="AB172">
        <v>14.362422</v>
      </c>
      <c r="AC172">
        <v>14.361484000000001</v>
      </c>
      <c r="AD172">
        <v>14.3536</v>
      </c>
      <c r="AE172">
        <v>14.353339</v>
      </c>
      <c r="AF172">
        <v>14.353724</v>
      </c>
      <c r="AG172">
        <v>14.355268000000001</v>
      </c>
      <c r="AH172">
        <v>14.357434</v>
      </c>
      <c r="AI172" s="21">
        <v>5.0000000000000001E-3</v>
      </c>
    </row>
    <row r="173" spans="1:35">
      <c r="A173" t="s">
        <v>277</v>
      </c>
      <c r="B173" t="s">
        <v>1712</v>
      </c>
      <c r="C173" t="s">
        <v>1711</v>
      </c>
      <c r="D173" t="s">
        <v>371</v>
      </c>
      <c r="F173">
        <v>12.486860999999999</v>
      </c>
      <c r="G173">
        <v>12.486863</v>
      </c>
      <c r="H173">
        <v>12.48686</v>
      </c>
      <c r="I173">
        <v>12.486863</v>
      </c>
      <c r="J173">
        <v>12.486863</v>
      </c>
      <c r="K173">
        <v>12.486863</v>
      </c>
      <c r="L173">
        <v>12.486860999999999</v>
      </c>
      <c r="M173">
        <v>12.486864000000001</v>
      </c>
      <c r="N173">
        <v>12.486863</v>
      </c>
      <c r="O173">
        <v>12.486863</v>
      </c>
      <c r="P173">
        <v>12.486863</v>
      </c>
      <c r="Q173">
        <v>12.486863</v>
      </c>
      <c r="R173">
        <v>12.486860999999999</v>
      </c>
      <c r="S173">
        <v>12.486860999999999</v>
      </c>
      <c r="T173">
        <v>12.486860999999999</v>
      </c>
      <c r="U173">
        <v>12.486863</v>
      </c>
      <c r="V173">
        <v>12.48686</v>
      </c>
      <c r="W173">
        <v>12.48686</v>
      </c>
      <c r="X173">
        <v>12.486860999999999</v>
      </c>
      <c r="Y173">
        <v>12.48686</v>
      </c>
      <c r="Z173">
        <v>12.486863</v>
      </c>
      <c r="AA173">
        <v>12.486863</v>
      </c>
      <c r="AB173">
        <v>12.486860999999999</v>
      </c>
      <c r="AC173">
        <v>12.486863</v>
      </c>
      <c r="AD173">
        <v>12.48686</v>
      </c>
      <c r="AE173">
        <v>12.486863</v>
      </c>
      <c r="AF173">
        <v>12.486860999999999</v>
      </c>
      <c r="AG173">
        <v>12.486863</v>
      </c>
      <c r="AH173">
        <v>12.486863</v>
      </c>
      <c r="AI173" s="21">
        <v>0</v>
      </c>
    </row>
    <row r="174" spans="1:35">
      <c r="A174" t="s">
        <v>333</v>
      </c>
      <c r="B174" t="s">
        <v>1710</v>
      </c>
      <c r="C174" t="s">
        <v>1709</v>
      </c>
      <c r="D174" t="s">
        <v>371</v>
      </c>
      <c r="F174">
        <v>12.846411</v>
      </c>
      <c r="G174">
        <v>13.218121999999999</v>
      </c>
      <c r="H174">
        <v>13.627822999999999</v>
      </c>
      <c r="I174">
        <v>14.042638999999999</v>
      </c>
      <c r="J174">
        <v>14.186604000000001</v>
      </c>
      <c r="K174">
        <v>14.434004</v>
      </c>
      <c r="L174">
        <v>14.442583000000001</v>
      </c>
      <c r="M174">
        <v>14.608980000000001</v>
      </c>
      <c r="N174">
        <v>14.684302000000001</v>
      </c>
      <c r="O174">
        <v>14.735426</v>
      </c>
      <c r="P174">
        <v>14.661357000000001</v>
      </c>
      <c r="Q174">
        <v>14.739395</v>
      </c>
      <c r="R174">
        <v>14.804073000000001</v>
      </c>
      <c r="S174">
        <v>14.848421</v>
      </c>
      <c r="T174">
        <v>14.881249</v>
      </c>
      <c r="U174">
        <v>14.904825000000001</v>
      </c>
      <c r="V174">
        <v>14.916617</v>
      </c>
      <c r="W174">
        <v>14.917142</v>
      </c>
      <c r="X174">
        <v>14.915953</v>
      </c>
      <c r="Y174">
        <v>14.915247000000001</v>
      </c>
      <c r="Z174">
        <v>14.914173</v>
      </c>
      <c r="AA174">
        <v>14.913214999999999</v>
      </c>
      <c r="AB174">
        <v>14.911542000000001</v>
      </c>
      <c r="AC174">
        <v>14.911346999999999</v>
      </c>
      <c r="AD174">
        <v>14.910938</v>
      </c>
      <c r="AE174">
        <v>14.912041</v>
      </c>
      <c r="AF174">
        <v>14.912226</v>
      </c>
      <c r="AG174">
        <v>14.913921999999999</v>
      </c>
      <c r="AH174">
        <v>14.914241000000001</v>
      </c>
      <c r="AI174" s="21">
        <v>5.0000000000000001E-3</v>
      </c>
    </row>
    <row r="175" spans="1:35">
      <c r="A175" t="s">
        <v>334</v>
      </c>
      <c r="B175" t="s">
        <v>1708</v>
      </c>
      <c r="C175" t="s">
        <v>1707</v>
      </c>
      <c r="D175" t="s">
        <v>370</v>
      </c>
      <c r="F175">
        <v>27.219131000000001</v>
      </c>
      <c r="G175">
        <v>27.246206000000001</v>
      </c>
      <c r="H175">
        <v>27.281466000000002</v>
      </c>
      <c r="I175">
        <v>27.325966000000001</v>
      </c>
      <c r="J175">
        <v>27.380199000000001</v>
      </c>
      <c r="K175">
        <v>27.443327</v>
      </c>
      <c r="L175">
        <v>27.474117</v>
      </c>
      <c r="M175">
        <v>27.529731999999999</v>
      </c>
      <c r="N175">
        <v>27.583223</v>
      </c>
      <c r="O175">
        <v>27.632815999999998</v>
      </c>
      <c r="P175">
        <v>27.676708000000001</v>
      </c>
      <c r="Q175">
        <v>27.703455000000002</v>
      </c>
      <c r="R175">
        <v>27.712814000000002</v>
      </c>
      <c r="S175">
        <v>27.721041</v>
      </c>
      <c r="T175">
        <v>27.722708000000001</v>
      </c>
      <c r="U175">
        <v>27.722674999999999</v>
      </c>
      <c r="V175">
        <v>27.722640999999999</v>
      </c>
      <c r="W175">
        <v>27.722618000000001</v>
      </c>
      <c r="X175">
        <v>27.722601000000001</v>
      </c>
      <c r="Y175">
        <v>27.722587999999998</v>
      </c>
      <c r="Z175">
        <v>27.722577999999999</v>
      </c>
      <c r="AA175">
        <v>27.722570000000001</v>
      </c>
      <c r="AB175">
        <v>27.722560999999999</v>
      </c>
      <c r="AC175">
        <v>27.722559</v>
      </c>
      <c r="AD175">
        <v>27.722549000000001</v>
      </c>
      <c r="AE175">
        <v>27.722548</v>
      </c>
      <c r="AF175">
        <v>27.722542000000001</v>
      </c>
      <c r="AG175">
        <v>27.722543999999999</v>
      </c>
      <c r="AH175">
        <v>27.722542000000001</v>
      </c>
      <c r="AI175" s="21">
        <v>1E-3</v>
      </c>
    </row>
    <row r="176" spans="1:35">
      <c r="A176" t="s">
        <v>336</v>
      </c>
      <c r="B176" t="s">
        <v>1706</v>
      </c>
      <c r="C176" t="s">
        <v>1705</v>
      </c>
      <c r="D176" t="s">
        <v>370</v>
      </c>
      <c r="F176">
        <v>0</v>
      </c>
      <c r="G176">
        <v>23.149469</v>
      </c>
      <c r="H176">
        <v>23.788757</v>
      </c>
      <c r="I176">
        <v>24.201412000000001</v>
      </c>
      <c r="J176">
        <v>24.593264000000001</v>
      </c>
      <c r="K176">
        <v>25.140753</v>
      </c>
      <c r="L176">
        <v>25.620788999999998</v>
      </c>
      <c r="M176">
        <v>26.339625999999999</v>
      </c>
      <c r="N176">
        <v>27.120087000000002</v>
      </c>
      <c r="O176">
        <v>27.894962</v>
      </c>
      <c r="P176">
        <v>28.583632999999999</v>
      </c>
      <c r="Q176">
        <v>28.93169</v>
      </c>
      <c r="R176">
        <v>29.087039999999998</v>
      </c>
      <c r="S176">
        <v>29.106612999999999</v>
      </c>
      <c r="T176">
        <v>29.125404</v>
      </c>
      <c r="U176">
        <v>29.129776</v>
      </c>
      <c r="V176">
        <v>29.124500000000001</v>
      </c>
      <c r="W176">
        <v>29.119802</v>
      </c>
      <c r="X176">
        <v>29.115503</v>
      </c>
      <c r="Y176">
        <v>29.111118000000001</v>
      </c>
      <c r="Z176">
        <v>29.106992999999999</v>
      </c>
      <c r="AA176">
        <v>29.103442999999999</v>
      </c>
      <c r="AB176">
        <v>29.100300000000001</v>
      </c>
      <c r="AC176">
        <v>29.097477000000001</v>
      </c>
      <c r="AD176">
        <v>29.095098</v>
      </c>
      <c r="AE176">
        <v>29.093209999999999</v>
      </c>
      <c r="AF176">
        <v>29.091781999999998</v>
      </c>
      <c r="AG176">
        <v>29.083096000000001</v>
      </c>
      <c r="AH176">
        <v>29.086570999999999</v>
      </c>
      <c r="AI176" t="s">
        <v>17</v>
      </c>
    </row>
    <row r="177" spans="1:35">
      <c r="A177" t="s">
        <v>335</v>
      </c>
      <c r="B177" t="s">
        <v>1704</v>
      </c>
      <c r="C177" t="s">
        <v>1703</v>
      </c>
      <c r="D177" t="s">
        <v>371</v>
      </c>
      <c r="F177">
        <v>0</v>
      </c>
      <c r="G177">
        <v>18.959845000000001</v>
      </c>
      <c r="H177">
        <v>19.230974</v>
      </c>
      <c r="I177">
        <v>19.473016999999999</v>
      </c>
      <c r="J177">
        <v>19.562275</v>
      </c>
      <c r="K177">
        <v>19.736988</v>
      </c>
      <c r="L177">
        <v>19.864495999999999</v>
      </c>
      <c r="M177">
        <v>20.069866000000001</v>
      </c>
      <c r="N177">
        <v>20.301096000000001</v>
      </c>
      <c r="O177">
        <v>20.525687999999999</v>
      </c>
      <c r="P177">
        <v>20.728285</v>
      </c>
      <c r="Q177">
        <v>20.866682000000001</v>
      </c>
      <c r="R177">
        <v>20.968336000000001</v>
      </c>
      <c r="S177">
        <v>21.002409</v>
      </c>
      <c r="T177">
        <v>21.046901999999999</v>
      </c>
      <c r="U177">
        <v>21.067965999999998</v>
      </c>
      <c r="V177">
        <v>21.064533000000001</v>
      </c>
      <c r="W177">
        <v>21.062408000000001</v>
      </c>
      <c r="X177">
        <v>21.060576999999999</v>
      </c>
      <c r="Y177">
        <v>21.057089000000001</v>
      </c>
      <c r="Z177">
        <v>21.059256000000001</v>
      </c>
      <c r="AA177">
        <v>21.063654</v>
      </c>
      <c r="AB177">
        <v>21.017776000000001</v>
      </c>
      <c r="AC177">
        <v>21.046399999999998</v>
      </c>
      <c r="AD177">
        <v>21.070132999999998</v>
      </c>
      <c r="AE177">
        <v>21.104872</v>
      </c>
      <c r="AF177">
        <v>21.148212000000001</v>
      </c>
      <c r="AG177">
        <v>21.199916999999999</v>
      </c>
      <c r="AH177">
        <v>21.257977</v>
      </c>
      <c r="AI177" t="s">
        <v>17</v>
      </c>
    </row>
    <row r="178" spans="1:35">
      <c r="A178" t="s">
        <v>337</v>
      </c>
      <c r="B178" t="s">
        <v>1702</v>
      </c>
      <c r="C178" t="s">
        <v>1701</v>
      </c>
      <c r="D178" t="s">
        <v>370</v>
      </c>
      <c r="F178">
        <v>0</v>
      </c>
      <c r="G178">
        <v>0</v>
      </c>
      <c r="H178">
        <v>18.589186000000002</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t="s">
        <v>17</v>
      </c>
    </row>
    <row r="179" spans="1:35">
      <c r="A179" t="s">
        <v>372</v>
      </c>
      <c r="B179" t="s">
        <v>1700</v>
      </c>
      <c r="C179" t="s">
        <v>1699</v>
      </c>
      <c r="F179">
        <v>15.487391000000001</v>
      </c>
      <c r="G179">
        <v>16.165934</v>
      </c>
      <c r="H179">
        <v>16.852744999999999</v>
      </c>
      <c r="I179">
        <v>17.521813999999999</v>
      </c>
      <c r="J179">
        <v>17.836521000000001</v>
      </c>
      <c r="K179">
        <v>18.110120999999999</v>
      </c>
      <c r="L179">
        <v>18.140739</v>
      </c>
      <c r="M179">
        <v>18.257238000000001</v>
      </c>
      <c r="N179">
        <v>18.297186</v>
      </c>
      <c r="O179">
        <v>18.318868999999999</v>
      </c>
      <c r="P179">
        <v>18.275967000000001</v>
      </c>
      <c r="Q179">
        <v>18.290842000000001</v>
      </c>
      <c r="R179">
        <v>18.302257999999998</v>
      </c>
      <c r="S179">
        <v>18.305890999999999</v>
      </c>
      <c r="T179">
        <v>18.306034</v>
      </c>
      <c r="U179">
        <v>18.303612000000001</v>
      </c>
      <c r="V179">
        <v>18.298258000000001</v>
      </c>
      <c r="W179">
        <v>18.289453999999999</v>
      </c>
      <c r="X179">
        <v>18.281590000000001</v>
      </c>
      <c r="Y179">
        <v>18.27459</v>
      </c>
      <c r="Z179">
        <v>18.26857</v>
      </c>
      <c r="AA179">
        <v>18.263286999999998</v>
      </c>
      <c r="AB179">
        <v>18.258537</v>
      </c>
      <c r="AC179">
        <v>18.25423</v>
      </c>
      <c r="AD179">
        <v>18.250519000000001</v>
      </c>
      <c r="AE179">
        <v>18.247578000000001</v>
      </c>
      <c r="AF179">
        <v>18.222587999999998</v>
      </c>
      <c r="AG179">
        <v>18.222778000000002</v>
      </c>
      <c r="AH179">
        <v>18.224402999999999</v>
      </c>
      <c r="AI179" s="21">
        <v>6.0000000000000001E-3</v>
      </c>
    </row>
    <row r="180" spans="1:35">
      <c r="A180" t="s">
        <v>361</v>
      </c>
    </row>
    <row r="181" spans="1:35">
      <c r="A181" t="s">
        <v>297</v>
      </c>
      <c r="B181" t="s">
        <v>1698</v>
      </c>
      <c r="C181" t="s">
        <v>1697</v>
      </c>
      <c r="D181" t="s">
        <v>370</v>
      </c>
      <c r="F181">
        <v>10.573097000000001</v>
      </c>
      <c r="G181">
        <v>11.142485000000001</v>
      </c>
      <c r="H181">
        <v>11.550504999999999</v>
      </c>
      <c r="I181">
        <v>11.977176</v>
      </c>
      <c r="J181">
        <v>12.42301</v>
      </c>
      <c r="K181">
        <v>12.830263</v>
      </c>
      <c r="L181">
        <v>12.987424000000001</v>
      </c>
      <c r="M181">
        <v>13.305011</v>
      </c>
      <c r="N181">
        <v>13.589658</v>
      </c>
      <c r="O181">
        <v>13.852079</v>
      </c>
      <c r="P181">
        <v>13.977544999999999</v>
      </c>
      <c r="Q181">
        <v>13.952327</v>
      </c>
      <c r="R181">
        <v>13.932137000000001</v>
      </c>
      <c r="S181">
        <v>13.905892</v>
      </c>
      <c r="T181">
        <v>13.899329</v>
      </c>
      <c r="U181">
        <v>13.892861</v>
      </c>
      <c r="V181">
        <v>13.886645</v>
      </c>
      <c r="W181">
        <v>13.880846999999999</v>
      </c>
      <c r="X181">
        <v>13.875050999999999</v>
      </c>
      <c r="Y181">
        <v>13.869313</v>
      </c>
      <c r="Z181">
        <v>13.864424</v>
      </c>
      <c r="AA181">
        <v>13.860239</v>
      </c>
      <c r="AB181">
        <v>13.8566</v>
      </c>
      <c r="AC181">
        <v>13.853432</v>
      </c>
      <c r="AD181">
        <v>13.850702</v>
      </c>
      <c r="AE181">
        <v>13.848376999999999</v>
      </c>
      <c r="AF181">
        <v>13.846394</v>
      </c>
      <c r="AG181">
        <v>13.844652999999999</v>
      </c>
      <c r="AH181">
        <v>13.843116999999999</v>
      </c>
      <c r="AI181" s="21">
        <v>0.01</v>
      </c>
    </row>
    <row r="182" spans="1:35">
      <c r="A182" t="s">
        <v>283</v>
      </c>
      <c r="B182" t="s">
        <v>1696</v>
      </c>
      <c r="C182" t="s">
        <v>1695</v>
      </c>
      <c r="D182" t="s">
        <v>371</v>
      </c>
      <c r="F182">
        <v>7.5911910000000002</v>
      </c>
      <c r="G182">
        <v>7.6611630000000002</v>
      </c>
      <c r="H182">
        <v>7.8782069999999997</v>
      </c>
      <c r="I182">
        <v>8.1282580000000006</v>
      </c>
      <c r="J182">
        <v>8.4002669999999995</v>
      </c>
      <c r="K182">
        <v>8.6649030000000007</v>
      </c>
      <c r="L182">
        <v>8.7525060000000003</v>
      </c>
      <c r="M182">
        <v>8.9603819999999992</v>
      </c>
      <c r="N182">
        <v>9.1422589999999992</v>
      </c>
      <c r="O182">
        <v>9.3097940000000001</v>
      </c>
      <c r="P182">
        <v>9.4206289999999999</v>
      </c>
      <c r="Q182">
        <v>9.4643309999999996</v>
      </c>
      <c r="R182">
        <v>9.4966589999999993</v>
      </c>
      <c r="S182">
        <v>9.5174789999999998</v>
      </c>
      <c r="T182">
        <v>9.5179650000000002</v>
      </c>
      <c r="U182">
        <v>9.5173430000000003</v>
      </c>
      <c r="V182">
        <v>9.5168689999999998</v>
      </c>
      <c r="W182">
        <v>9.5165019999999991</v>
      </c>
      <c r="X182">
        <v>9.5162209999999998</v>
      </c>
      <c r="Y182">
        <v>9.516</v>
      </c>
      <c r="Z182">
        <v>9.5158260000000006</v>
      </c>
      <c r="AA182">
        <v>9.5156919999999996</v>
      </c>
      <c r="AB182">
        <v>9.5155860000000008</v>
      </c>
      <c r="AC182">
        <v>9.5155010000000004</v>
      </c>
      <c r="AD182">
        <v>9.5154379999999996</v>
      </c>
      <c r="AE182">
        <v>9.51539</v>
      </c>
      <c r="AF182">
        <v>9.5153510000000008</v>
      </c>
      <c r="AG182">
        <v>9.5153219999999994</v>
      </c>
      <c r="AH182">
        <v>9.5152990000000006</v>
      </c>
      <c r="AI182" s="21">
        <v>8.0000000000000002E-3</v>
      </c>
    </row>
    <row r="183" spans="1:35">
      <c r="A183" t="s">
        <v>278</v>
      </c>
      <c r="B183" t="s">
        <v>1694</v>
      </c>
      <c r="C183" t="s">
        <v>1693</v>
      </c>
      <c r="D183" t="s">
        <v>371</v>
      </c>
      <c r="F183">
        <v>7.1242470000000004</v>
      </c>
      <c r="G183">
        <v>7.2168130000000001</v>
      </c>
      <c r="H183">
        <v>7.3563900000000002</v>
      </c>
      <c r="I183">
        <v>7.5275650000000001</v>
      </c>
      <c r="J183">
        <v>7.7367249999999999</v>
      </c>
      <c r="K183">
        <v>7.9800310000000003</v>
      </c>
      <c r="L183">
        <v>8.1323980000000002</v>
      </c>
      <c r="M183">
        <v>8.3864009999999993</v>
      </c>
      <c r="N183">
        <v>8.6378269999999997</v>
      </c>
      <c r="O183">
        <v>8.8904259999999997</v>
      </c>
      <c r="P183">
        <v>9.1115209999999998</v>
      </c>
      <c r="Q183">
        <v>9.2799289999999992</v>
      </c>
      <c r="R183">
        <v>9.3770019999999992</v>
      </c>
      <c r="S183">
        <v>9.4107590000000005</v>
      </c>
      <c r="T183">
        <v>9.4246560000000006</v>
      </c>
      <c r="U183">
        <v>9.4245020000000004</v>
      </c>
      <c r="V183">
        <v>9.4241159999999997</v>
      </c>
      <c r="W183">
        <v>9.4238</v>
      </c>
      <c r="X183">
        <v>9.4235679999999995</v>
      </c>
      <c r="Y183">
        <v>9.4233779999999996</v>
      </c>
      <c r="Z183">
        <v>9.4232479999999992</v>
      </c>
      <c r="AA183">
        <v>9.4231280000000002</v>
      </c>
      <c r="AB183">
        <v>9.4230619999999998</v>
      </c>
      <c r="AC183">
        <v>9.423019</v>
      </c>
      <c r="AD183">
        <v>9.4229979999999998</v>
      </c>
      <c r="AE183">
        <v>9.4229979999999998</v>
      </c>
      <c r="AF183">
        <v>9.4230040000000006</v>
      </c>
      <c r="AG183">
        <v>9.4230070000000001</v>
      </c>
      <c r="AH183">
        <v>9.4230029999999996</v>
      </c>
      <c r="AI183" s="21">
        <v>0.01</v>
      </c>
    </row>
    <row r="184" spans="1:35">
      <c r="A184" t="s">
        <v>277</v>
      </c>
      <c r="B184" t="s">
        <v>1692</v>
      </c>
      <c r="C184" t="s">
        <v>1691</v>
      </c>
      <c r="D184" t="s">
        <v>371</v>
      </c>
      <c r="F184">
        <v>7.292211</v>
      </c>
      <c r="G184">
        <v>7.4884079999999997</v>
      </c>
      <c r="H184">
        <v>7.6983680000000003</v>
      </c>
      <c r="I184">
        <v>7.9397979999999997</v>
      </c>
      <c r="J184">
        <v>8.1937759999999997</v>
      </c>
      <c r="K184">
        <v>8.4428420000000006</v>
      </c>
      <c r="L184">
        <v>8.5494730000000008</v>
      </c>
      <c r="M184">
        <v>8.7347490000000008</v>
      </c>
      <c r="N184">
        <v>8.8995069999999998</v>
      </c>
      <c r="O184">
        <v>9.0537989999999997</v>
      </c>
      <c r="P184">
        <v>9.1548890000000007</v>
      </c>
      <c r="Q184">
        <v>9.1676400000000005</v>
      </c>
      <c r="R184">
        <v>9.1625399999999999</v>
      </c>
      <c r="S184">
        <v>9.1586540000000003</v>
      </c>
      <c r="T184">
        <v>9.1556639999999998</v>
      </c>
      <c r="U184">
        <v>9.1533379999999998</v>
      </c>
      <c r="V184">
        <v>9.1515199999999997</v>
      </c>
      <c r="W184">
        <v>9.1500839999999997</v>
      </c>
      <c r="X184">
        <v>9.1489410000000007</v>
      </c>
      <c r="Y184">
        <v>9.1480250000000005</v>
      </c>
      <c r="Z184">
        <v>9.1472890000000007</v>
      </c>
      <c r="AA184">
        <v>9.1466879999999993</v>
      </c>
      <c r="AB184">
        <v>9.1461900000000007</v>
      </c>
      <c r="AC184">
        <v>9.1457750000000004</v>
      </c>
      <c r="AD184">
        <v>9.1454409999999999</v>
      </c>
      <c r="AE184">
        <v>9.1451709999999995</v>
      </c>
      <c r="AF184">
        <v>9.1449479999999994</v>
      </c>
      <c r="AG184">
        <v>9.1447570000000002</v>
      </c>
      <c r="AH184">
        <v>9.1445919999999994</v>
      </c>
      <c r="AI184" s="21">
        <v>8.0000000000000002E-3</v>
      </c>
    </row>
    <row r="185" spans="1:35">
      <c r="A185" t="s">
        <v>333</v>
      </c>
      <c r="B185" t="s">
        <v>1690</v>
      </c>
      <c r="C185" t="s">
        <v>1689</v>
      </c>
      <c r="D185" t="s">
        <v>373</v>
      </c>
      <c r="F185">
        <v>7.268243</v>
      </c>
      <c r="G185">
        <v>7.4635480000000003</v>
      </c>
      <c r="H185">
        <v>7.6750480000000003</v>
      </c>
      <c r="I185">
        <v>7.9198219999999999</v>
      </c>
      <c r="J185">
        <v>8.185416</v>
      </c>
      <c r="K185">
        <v>8.4430309999999995</v>
      </c>
      <c r="L185">
        <v>8.5276650000000007</v>
      </c>
      <c r="M185">
        <v>8.7294079999999994</v>
      </c>
      <c r="N185">
        <v>8.9058630000000001</v>
      </c>
      <c r="O185">
        <v>9.0684369999999994</v>
      </c>
      <c r="P185">
        <v>9.1760070000000002</v>
      </c>
      <c r="Q185">
        <v>9.2184139999999992</v>
      </c>
      <c r="R185">
        <v>9.2498050000000003</v>
      </c>
      <c r="S185">
        <v>9.2703319999999998</v>
      </c>
      <c r="T185">
        <v>9.2718019999999992</v>
      </c>
      <c r="U185">
        <v>9.2710109999999997</v>
      </c>
      <c r="V185">
        <v>9.2704079999999998</v>
      </c>
      <c r="W185">
        <v>9.269933</v>
      </c>
      <c r="X185">
        <v>9.2696070000000006</v>
      </c>
      <c r="Y185">
        <v>9.2693589999999997</v>
      </c>
      <c r="Z185">
        <v>9.2692110000000003</v>
      </c>
      <c r="AA185">
        <v>9.2690979999999996</v>
      </c>
      <c r="AB185">
        <v>9.2690529999999995</v>
      </c>
      <c r="AC185">
        <v>9.2689599999999999</v>
      </c>
      <c r="AD185">
        <v>9.2688970000000008</v>
      </c>
      <c r="AE185">
        <v>9.2687869999999997</v>
      </c>
      <c r="AF185">
        <v>9.2687290000000004</v>
      </c>
      <c r="AG185">
        <v>9.2686460000000004</v>
      </c>
      <c r="AH185">
        <v>9.2686039999999998</v>
      </c>
      <c r="AI185" s="21">
        <v>8.9999999999999993E-3</v>
      </c>
    </row>
    <row r="186" spans="1:35">
      <c r="A186" t="s">
        <v>334</v>
      </c>
      <c r="B186" t="s">
        <v>1688</v>
      </c>
      <c r="C186" t="s">
        <v>1687</v>
      </c>
      <c r="D186" t="s">
        <v>371</v>
      </c>
      <c r="F186">
        <v>17.261649999999999</v>
      </c>
      <c r="G186">
        <v>17.508261000000001</v>
      </c>
      <c r="H186">
        <v>17.854417999999999</v>
      </c>
      <c r="I186">
        <v>18.277363000000001</v>
      </c>
      <c r="J186">
        <v>18.790918000000001</v>
      </c>
      <c r="K186">
        <v>19.316697999999999</v>
      </c>
      <c r="L186">
        <v>19.565182</v>
      </c>
      <c r="M186">
        <v>20.084275999999999</v>
      </c>
      <c r="N186">
        <v>20.588906999999999</v>
      </c>
      <c r="O186">
        <v>21.061657</v>
      </c>
      <c r="P186">
        <v>21.391763999999998</v>
      </c>
      <c r="Q186">
        <v>21.534663999999999</v>
      </c>
      <c r="R186">
        <v>21.618568</v>
      </c>
      <c r="S186">
        <v>21.688912999999999</v>
      </c>
      <c r="T186">
        <v>21.743261</v>
      </c>
      <c r="U186">
        <v>21.778696</v>
      </c>
      <c r="V186">
        <v>21.801825000000001</v>
      </c>
      <c r="W186">
        <v>21.804839999999999</v>
      </c>
      <c r="X186">
        <v>21.806774000000001</v>
      </c>
      <c r="Y186">
        <v>21.808716</v>
      </c>
      <c r="Z186">
        <v>21.810666999999999</v>
      </c>
      <c r="AA186">
        <v>21.812643000000001</v>
      </c>
      <c r="AB186">
        <v>21.814662999999999</v>
      </c>
      <c r="AC186">
        <v>21.816706</v>
      </c>
      <c r="AD186">
        <v>21.818787</v>
      </c>
      <c r="AE186">
        <v>21.821026</v>
      </c>
      <c r="AF186">
        <v>21.823440999999999</v>
      </c>
      <c r="AG186">
        <v>21.825979</v>
      </c>
      <c r="AH186">
        <v>21.828533</v>
      </c>
      <c r="AI186" s="21">
        <v>8.0000000000000002E-3</v>
      </c>
    </row>
    <row r="187" spans="1:35">
      <c r="A187" t="s">
        <v>336</v>
      </c>
      <c r="B187" t="s">
        <v>1686</v>
      </c>
      <c r="C187" t="s">
        <v>1685</v>
      </c>
      <c r="D187" t="s">
        <v>371</v>
      </c>
      <c r="F187">
        <v>0</v>
      </c>
      <c r="G187">
        <v>0</v>
      </c>
      <c r="H187">
        <v>14.553951</v>
      </c>
      <c r="I187">
        <v>15.06725</v>
      </c>
      <c r="J187">
        <v>15.341901</v>
      </c>
      <c r="K187">
        <v>15.710222999999999</v>
      </c>
      <c r="L187">
        <v>15.970879</v>
      </c>
      <c r="M187">
        <v>16.342666999999999</v>
      </c>
      <c r="N187">
        <v>16.697527000000001</v>
      </c>
      <c r="O187">
        <v>17.096664000000001</v>
      </c>
      <c r="P187">
        <v>17.514284</v>
      </c>
      <c r="Q187">
        <v>17.923280999999999</v>
      </c>
      <c r="R187">
        <v>18.248905000000001</v>
      </c>
      <c r="S187">
        <v>18.335930000000001</v>
      </c>
      <c r="T187">
        <v>18.547796000000002</v>
      </c>
      <c r="U187">
        <v>18.661673</v>
      </c>
      <c r="V187">
        <v>18.668140000000001</v>
      </c>
      <c r="W187">
        <v>18.668623</v>
      </c>
      <c r="X187">
        <v>18.665022</v>
      </c>
      <c r="Y187">
        <v>18.661655</v>
      </c>
      <c r="Z187">
        <v>18.658579</v>
      </c>
      <c r="AA187">
        <v>18.654143999999999</v>
      </c>
      <c r="AB187">
        <v>18.648935000000002</v>
      </c>
      <c r="AC187">
        <v>18.644413</v>
      </c>
      <c r="AD187">
        <v>18.640536999999998</v>
      </c>
      <c r="AE187">
        <v>18.637250999999999</v>
      </c>
      <c r="AF187">
        <v>18.63447</v>
      </c>
      <c r="AG187">
        <v>18.632059000000002</v>
      </c>
      <c r="AH187">
        <v>18.629958999999999</v>
      </c>
      <c r="AI187" t="s">
        <v>17</v>
      </c>
    </row>
    <row r="188" spans="1:35">
      <c r="A188" t="s">
        <v>335</v>
      </c>
      <c r="B188" t="s">
        <v>1684</v>
      </c>
      <c r="C188" t="s">
        <v>1683</v>
      </c>
      <c r="D188" t="s">
        <v>371</v>
      </c>
      <c r="F188">
        <v>0</v>
      </c>
      <c r="G188">
        <v>0</v>
      </c>
      <c r="H188">
        <v>10.500607</v>
      </c>
      <c r="I188">
        <v>10.816065</v>
      </c>
      <c r="J188">
        <v>10.962262000000001</v>
      </c>
      <c r="K188">
        <v>11.156472000000001</v>
      </c>
      <c r="L188">
        <v>11.301285999999999</v>
      </c>
      <c r="M188">
        <v>11.561089000000001</v>
      </c>
      <c r="N188">
        <v>11.822108999999999</v>
      </c>
      <c r="O188">
        <v>12.112679</v>
      </c>
      <c r="P188">
        <v>12.419242000000001</v>
      </c>
      <c r="Q188">
        <v>12.713984999999999</v>
      </c>
      <c r="R188">
        <v>12.972481999999999</v>
      </c>
      <c r="S188">
        <v>13.026942</v>
      </c>
      <c r="T188">
        <v>13.184941</v>
      </c>
      <c r="U188">
        <v>13.26976</v>
      </c>
      <c r="V188">
        <v>13.268578</v>
      </c>
      <c r="W188">
        <v>13.262771000000001</v>
      </c>
      <c r="X188">
        <v>13.254457</v>
      </c>
      <c r="Y188">
        <v>13.247040999999999</v>
      </c>
      <c r="Z188">
        <v>13.24062</v>
      </c>
      <c r="AA188">
        <v>13.234921999999999</v>
      </c>
      <c r="AB188">
        <v>13.230038</v>
      </c>
      <c r="AC188">
        <v>13.225935</v>
      </c>
      <c r="AD188">
        <v>13.222815000000001</v>
      </c>
      <c r="AE188">
        <v>13.220615</v>
      </c>
      <c r="AF188">
        <v>13.219594000000001</v>
      </c>
      <c r="AG188">
        <v>13.219208999999999</v>
      </c>
      <c r="AH188">
        <v>13.183807</v>
      </c>
      <c r="AI188" t="s">
        <v>17</v>
      </c>
    </row>
    <row r="189" spans="1:35">
      <c r="A189" t="s">
        <v>337</v>
      </c>
      <c r="B189" t="s">
        <v>1682</v>
      </c>
      <c r="C189" t="s">
        <v>1681</v>
      </c>
      <c r="D189" t="s">
        <v>371</v>
      </c>
      <c r="F189">
        <v>0</v>
      </c>
      <c r="G189">
        <v>0</v>
      </c>
      <c r="H189">
        <v>11.516576000000001</v>
      </c>
      <c r="I189">
        <v>11.5169</v>
      </c>
      <c r="J189">
        <v>11.51685</v>
      </c>
      <c r="K189">
        <v>11.516837000000001</v>
      </c>
      <c r="L189">
        <v>11.516859</v>
      </c>
      <c r="M189">
        <v>11.51688</v>
      </c>
      <c r="N189">
        <v>11.516907</v>
      </c>
      <c r="O189">
        <v>11.516935</v>
      </c>
      <c r="P189">
        <v>11.516961999999999</v>
      </c>
      <c r="Q189">
        <v>11.516977000000001</v>
      </c>
      <c r="R189">
        <v>11.516978999999999</v>
      </c>
      <c r="S189">
        <v>11.51695</v>
      </c>
      <c r="T189">
        <v>11.51689</v>
      </c>
      <c r="U189">
        <v>11.516907</v>
      </c>
      <c r="V189">
        <v>11.516923999999999</v>
      </c>
      <c r="W189">
        <v>11.516938</v>
      </c>
      <c r="X189">
        <v>11.516947999999999</v>
      </c>
      <c r="Y189">
        <v>11.516954999999999</v>
      </c>
      <c r="Z189">
        <v>11.516959999999999</v>
      </c>
      <c r="AA189">
        <v>11.516964</v>
      </c>
      <c r="AB189">
        <v>11.516964</v>
      </c>
      <c r="AC189">
        <v>11.516968</v>
      </c>
      <c r="AD189">
        <v>11.516969</v>
      </c>
      <c r="AE189">
        <v>11.516973</v>
      </c>
      <c r="AF189">
        <v>11.516973999999999</v>
      </c>
      <c r="AG189">
        <v>11.516978</v>
      </c>
      <c r="AH189">
        <v>11.516980999999999</v>
      </c>
      <c r="AI189" t="s">
        <v>17</v>
      </c>
    </row>
    <row r="190" spans="1:35">
      <c r="A190" t="s">
        <v>374</v>
      </c>
      <c r="B190" t="s">
        <v>1680</v>
      </c>
      <c r="C190" t="s">
        <v>1679</v>
      </c>
      <c r="F190">
        <v>9.5247820000000001</v>
      </c>
      <c r="G190">
        <v>9.8885430000000003</v>
      </c>
      <c r="H190">
        <v>10.224921</v>
      </c>
      <c r="I190">
        <v>10.587244999999999</v>
      </c>
      <c r="J190">
        <v>10.97054</v>
      </c>
      <c r="K190">
        <v>11.328587000000001</v>
      </c>
      <c r="L190">
        <v>11.461983</v>
      </c>
      <c r="M190">
        <v>11.742497999999999</v>
      </c>
      <c r="N190">
        <v>11.992036000000001</v>
      </c>
      <c r="O190">
        <v>12.222080999999999</v>
      </c>
      <c r="P190">
        <v>12.347753000000001</v>
      </c>
      <c r="Q190">
        <v>12.356037000000001</v>
      </c>
      <c r="R190">
        <v>12.361373</v>
      </c>
      <c r="S190">
        <v>12.357457</v>
      </c>
      <c r="T190">
        <v>12.355285</v>
      </c>
      <c r="U190">
        <v>12.352421</v>
      </c>
      <c r="V190">
        <v>12.349617</v>
      </c>
      <c r="W190">
        <v>12.34694</v>
      </c>
      <c r="X190">
        <v>12.344196</v>
      </c>
      <c r="Y190">
        <v>12.341397000000001</v>
      </c>
      <c r="Z190">
        <v>12.33905</v>
      </c>
      <c r="AA190">
        <v>12.337028</v>
      </c>
      <c r="AB190">
        <v>12.335281999999999</v>
      </c>
      <c r="AC190">
        <v>12.333774</v>
      </c>
      <c r="AD190">
        <v>12.332497999999999</v>
      </c>
      <c r="AE190">
        <v>12.33145</v>
      </c>
      <c r="AF190">
        <v>12.330605</v>
      </c>
      <c r="AG190">
        <v>12.329912999999999</v>
      </c>
      <c r="AH190">
        <v>12.329328</v>
      </c>
      <c r="AI190" s="21">
        <v>8.9999999999999993E-3</v>
      </c>
    </row>
    <row r="191" spans="1:35">
      <c r="A191" t="s">
        <v>363</v>
      </c>
    </row>
    <row r="192" spans="1:35">
      <c r="A192" t="s">
        <v>297</v>
      </c>
      <c r="B192" t="s">
        <v>1678</v>
      </c>
      <c r="C192" t="s">
        <v>1677</v>
      </c>
      <c r="D192" t="s">
        <v>370</v>
      </c>
      <c r="F192">
        <v>6.6741390000000003</v>
      </c>
      <c r="G192">
        <v>6.8852849999999997</v>
      </c>
      <c r="H192">
        <v>7.1006530000000003</v>
      </c>
      <c r="I192">
        <v>7.3028760000000004</v>
      </c>
      <c r="J192">
        <v>7.4948119999999996</v>
      </c>
      <c r="K192">
        <v>7.663227</v>
      </c>
      <c r="L192">
        <v>7.7350300000000001</v>
      </c>
      <c r="M192">
        <v>7.8437489999999999</v>
      </c>
      <c r="N192">
        <v>7.9559100000000003</v>
      </c>
      <c r="O192">
        <v>8.0614980000000003</v>
      </c>
      <c r="P192">
        <v>8.1245209999999997</v>
      </c>
      <c r="Q192">
        <v>8.1302219999999998</v>
      </c>
      <c r="R192">
        <v>8.1312309999999997</v>
      </c>
      <c r="S192">
        <v>8.1314919999999997</v>
      </c>
      <c r="T192">
        <v>8.1320390000000007</v>
      </c>
      <c r="U192">
        <v>8.132225</v>
      </c>
      <c r="V192">
        <v>8.1321949999999994</v>
      </c>
      <c r="W192">
        <v>8.1307700000000001</v>
      </c>
      <c r="X192">
        <v>8.1306799999999999</v>
      </c>
      <c r="Y192">
        <v>8.1299430000000008</v>
      </c>
      <c r="Z192">
        <v>8.1248360000000002</v>
      </c>
      <c r="AA192">
        <v>8.1218679999999992</v>
      </c>
      <c r="AB192">
        <v>8.1227850000000004</v>
      </c>
      <c r="AC192">
        <v>8.1243200000000009</v>
      </c>
      <c r="AD192">
        <v>8.1272590000000005</v>
      </c>
      <c r="AE192">
        <v>8.1302529999999997</v>
      </c>
      <c r="AF192">
        <v>8.1340679999999992</v>
      </c>
      <c r="AG192">
        <v>8.1372649999999993</v>
      </c>
      <c r="AH192">
        <v>8.1407100000000003</v>
      </c>
      <c r="AI192" s="21">
        <v>7.0000000000000001E-3</v>
      </c>
    </row>
    <row r="193" spans="1:35">
      <c r="A193" t="s">
        <v>283</v>
      </c>
      <c r="B193" t="s">
        <v>1676</v>
      </c>
      <c r="C193" t="s">
        <v>1675</v>
      </c>
      <c r="D193" t="s">
        <v>371</v>
      </c>
      <c r="F193">
        <v>6.9596289999999996</v>
      </c>
      <c r="G193">
        <v>5.9529370000000004</v>
      </c>
      <c r="H193">
        <v>6.0073610000000004</v>
      </c>
      <c r="I193">
        <v>6.0720479999999997</v>
      </c>
      <c r="J193">
        <v>6.1373980000000001</v>
      </c>
      <c r="K193">
        <v>6.2228519999999996</v>
      </c>
      <c r="L193">
        <v>6.2788729999999999</v>
      </c>
      <c r="M193">
        <v>6.3708169999999997</v>
      </c>
      <c r="N193">
        <v>6.4585290000000004</v>
      </c>
      <c r="O193">
        <v>6.5475839999999996</v>
      </c>
      <c r="P193">
        <v>6.6296109999999997</v>
      </c>
      <c r="Q193">
        <v>6.6995250000000004</v>
      </c>
      <c r="R193">
        <v>6.7108980000000003</v>
      </c>
      <c r="S193">
        <v>6.7106630000000003</v>
      </c>
      <c r="T193">
        <v>6.7066330000000001</v>
      </c>
      <c r="U193">
        <v>6.7053219999999998</v>
      </c>
      <c r="V193">
        <v>6.7082680000000003</v>
      </c>
      <c r="W193">
        <v>6.711773</v>
      </c>
      <c r="X193">
        <v>6.7035689999999999</v>
      </c>
      <c r="Y193">
        <v>6.7096999999999998</v>
      </c>
      <c r="Z193">
        <v>6.7159459999999997</v>
      </c>
      <c r="AA193">
        <v>6.7233270000000003</v>
      </c>
      <c r="AB193">
        <v>6.7327940000000002</v>
      </c>
      <c r="AC193">
        <v>6.7314930000000004</v>
      </c>
      <c r="AD193">
        <v>6.7413860000000003</v>
      </c>
      <c r="AE193">
        <v>6.7536569999999996</v>
      </c>
      <c r="AF193">
        <v>6.7673569999999996</v>
      </c>
      <c r="AG193">
        <v>6.7780480000000001</v>
      </c>
      <c r="AH193">
        <v>6.7935040000000004</v>
      </c>
      <c r="AI193" s="21">
        <v>-1E-3</v>
      </c>
    </row>
    <row r="194" spans="1:35">
      <c r="A194" t="s">
        <v>278</v>
      </c>
      <c r="B194" t="s">
        <v>1674</v>
      </c>
      <c r="C194" t="s">
        <v>1673</v>
      </c>
      <c r="D194" t="s">
        <v>371</v>
      </c>
      <c r="F194">
        <v>6.8185469999999997</v>
      </c>
      <c r="G194">
        <v>5.9032249999999999</v>
      </c>
      <c r="H194">
        <v>5.9652900000000004</v>
      </c>
      <c r="I194">
        <v>6.0359860000000003</v>
      </c>
      <c r="J194">
        <v>6.1126189999999996</v>
      </c>
      <c r="K194">
        <v>6.2137469999999997</v>
      </c>
      <c r="L194">
        <v>6.279903</v>
      </c>
      <c r="M194">
        <v>6.3897709999999996</v>
      </c>
      <c r="N194">
        <v>6.5028079999999999</v>
      </c>
      <c r="O194">
        <v>6.6191000000000004</v>
      </c>
      <c r="P194">
        <v>6.7335399999999996</v>
      </c>
      <c r="Q194">
        <v>6.8337839999999996</v>
      </c>
      <c r="R194">
        <v>6.8738299999999999</v>
      </c>
      <c r="S194">
        <v>6.8977680000000001</v>
      </c>
      <c r="T194">
        <v>6.9141079999999997</v>
      </c>
      <c r="U194">
        <v>6.9316990000000001</v>
      </c>
      <c r="V194">
        <v>6.9468240000000003</v>
      </c>
      <c r="W194">
        <v>6.9481419999999998</v>
      </c>
      <c r="X194">
        <v>6.9544230000000002</v>
      </c>
      <c r="Y194">
        <v>6.9588419999999998</v>
      </c>
      <c r="Z194">
        <v>6.9626419999999998</v>
      </c>
      <c r="AA194">
        <v>6.9627559999999997</v>
      </c>
      <c r="AB194">
        <v>6.967187</v>
      </c>
      <c r="AC194">
        <v>6.9683719999999996</v>
      </c>
      <c r="AD194">
        <v>6.9689730000000001</v>
      </c>
      <c r="AE194">
        <v>6.9715740000000004</v>
      </c>
      <c r="AF194">
        <v>6.9744000000000002</v>
      </c>
      <c r="AG194">
        <v>6.9764480000000004</v>
      </c>
      <c r="AH194">
        <v>6.9796610000000001</v>
      </c>
      <c r="AI194" s="21">
        <v>1E-3</v>
      </c>
    </row>
    <row r="195" spans="1:35">
      <c r="A195" t="s">
        <v>277</v>
      </c>
      <c r="B195" t="s">
        <v>1672</v>
      </c>
      <c r="C195" t="s">
        <v>1671</v>
      </c>
      <c r="D195" t="s">
        <v>370</v>
      </c>
      <c r="F195">
        <v>6.2555990000000001</v>
      </c>
      <c r="G195">
        <v>6.4593990000000003</v>
      </c>
      <c r="H195">
        <v>6.6792319999999998</v>
      </c>
      <c r="I195">
        <v>6.8722630000000002</v>
      </c>
      <c r="J195">
        <v>7.0303750000000003</v>
      </c>
      <c r="K195">
        <v>7.197673</v>
      </c>
      <c r="L195">
        <v>7.2429790000000001</v>
      </c>
      <c r="M195">
        <v>7.3378269999999999</v>
      </c>
      <c r="N195">
        <v>7.4347209999999997</v>
      </c>
      <c r="O195">
        <v>7.5286330000000001</v>
      </c>
      <c r="P195">
        <v>7.5792349999999997</v>
      </c>
      <c r="Q195">
        <v>7.5904689999999997</v>
      </c>
      <c r="R195">
        <v>7.592085</v>
      </c>
      <c r="S195">
        <v>7.5954969999999999</v>
      </c>
      <c r="T195">
        <v>7.5945070000000001</v>
      </c>
      <c r="U195">
        <v>7.5939490000000003</v>
      </c>
      <c r="V195">
        <v>7.5919169999999996</v>
      </c>
      <c r="W195">
        <v>7.5879479999999999</v>
      </c>
      <c r="X195">
        <v>7.5832319999999998</v>
      </c>
      <c r="Y195">
        <v>7.5789249999999999</v>
      </c>
      <c r="Z195">
        <v>7.5766530000000003</v>
      </c>
      <c r="AA195">
        <v>7.5721049999999996</v>
      </c>
      <c r="AB195">
        <v>7.5735400000000004</v>
      </c>
      <c r="AC195">
        <v>7.5757190000000003</v>
      </c>
      <c r="AD195">
        <v>7.5675840000000001</v>
      </c>
      <c r="AE195">
        <v>7.5741889999999996</v>
      </c>
      <c r="AF195">
        <v>7.5766689999999999</v>
      </c>
      <c r="AG195">
        <v>7.5783950000000004</v>
      </c>
      <c r="AH195">
        <v>7.5872270000000004</v>
      </c>
      <c r="AI195" s="21">
        <v>7.0000000000000001E-3</v>
      </c>
    </row>
    <row r="196" spans="1:35">
      <c r="A196" t="s">
        <v>333</v>
      </c>
      <c r="B196" t="s">
        <v>1670</v>
      </c>
      <c r="C196" t="s">
        <v>1669</v>
      </c>
      <c r="D196" t="s">
        <v>371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t="s">
        <v>17</v>
      </c>
    </row>
    <row r="197" spans="1:35">
      <c r="A197" t="s">
        <v>334</v>
      </c>
      <c r="B197" t="s">
        <v>1668</v>
      </c>
      <c r="C197" t="s">
        <v>1667</v>
      </c>
      <c r="D197" t="s">
        <v>370</v>
      </c>
      <c r="F197">
        <v>10.834061999999999</v>
      </c>
      <c r="G197">
        <v>10.882393</v>
      </c>
      <c r="H197">
        <v>10.964416999999999</v>
      </c>
      <c r="I197">
        <v>11.061455</v>
      </c>
      <c r="J197">
        <v>11.153900999999999</v>
      </c>
      <c r="K197">
        <v>11.253285</v>
      </c>
      <c r="L197">
        <v>11.296942</v>
      </c>
      <c r="M197">
        <v>11.379332</v>
      </c>
      <c r="N197">
        <v>11.454438</v>
      </c>
      <c r="O197">
        <v>11.507104</v>
      </c>
      <c r="P197">
        <v>11.546773</v>
      </c>
      <c r="Q197">
        <v>11.565410999999999</v>
      </c>
      <c r="R197">
        <v>11.569518</v>
      </c>
      <c r="S197">
        <v>11.570686</v>
      </c>
      <c r="T197">
        <v>11.571607</v>
      </c>
      <c r="U197">
        <v>11.572569</v>
      </c>
      <c r="V197">
        <v>11.573530999999999</v>
      </c>
      <c r="W197">
        <v>11.574866</v>
      </c>
      <c r="X197">
        <v>11.57612</v>
      </c>
      <c r="Y197">
        <v>11.575917</v>
      </c>
      <c r="Z197">
        <v>11.578455</v>
      </c>
      <c r="AA197">
        <v>11.581327</v>
      </c>
      <c r="AB197">
        <v>11.584543</v>
      </c>
      <c r="AC197">
        <v>11.58811</v>
      </c>
      <c r="AD197">
        <v>11.592025</v>
      </c>
      <c r="AE197">
        <v>11.596264</v>
      </c>
      <c r="AF197">
        <v>11.600784000000001</v>
      </c>
      <c r="AG197">
        <v>11.605504</v>
      </c>
      <c r="AH197">
        <v>11.610388</v>
      </c>
      <c r="AI197" s="21">
        <v>2E-3</v>
      </c>
    </row>
    <row r="198" spans="1:35">
      <c r="A198" t="s">
        <v>336</v>
      </c>
      <c r="B198" t="s">
        <v>1666</v>
      </c>
      <c r="C198" t="s">
        <v>1665</v>
      </c>
      <c r="D198" t="s">
        <v>370</v>
      </c>
      <c r="F198">
        <v>0</v>
      </c>
      <c r="G198">
        <v>0</v>
      </c>
      <c r="H198">
        <v>1.546108</v>
      </c>
      <c r="I198">
        <v>9.1605530000000002</v>
      </c>
      <c r="J198">
        <v>9.3005800000000001</v>
      </c>
      <c r="K198">
        <v>9.4671909999999997</v>
      </c>
      <c r="L198">
        <v>9.5727759999999993</v>
      </c>
      <c r="M198">
        <v>9.7524759999999997</v>
      </c>
      <c r="N198">
        <v>9.9656310000000001</v>
      </c>
      <c r="O198">
        <v>10.195888999999999</v>
      </c>
      <c r="P198">
        <v>10.426992</v>
      </c>
      <c r="Q198">
        <v>10.635256999999999</v>
      </c>
      <c r="R198">
        <v>10.808609000000001</v>
      </c>
      <c r="S198">
        <v>10.854663</v>
      </c>
      <c r="T198">
        <v>10.974729</v>
      </c>
      <c r="U198">
        <v>11.053928000000001</v>
      </c>
      <c r="V198">
        <v>11.057185</v>
      </c>
      <c r="W198">
        <v>11.058393000000001</v>
      </c>
      <c r="X198">
        <v>11.058843</v>
      </c>
      <c r="Y198">
        <v>11.059227999999999</v>
      </c>
      <c r="Z198">
        <v>11.059545999999999</v>
      </c>
      <c r="AA198">
        <v>11.059043000000001</v>
      </c>
      <c r="AB198">
        <v>11.057752000000001</v>
      </c>
      <c r="AC198">
        <v>11.056799</v>
      </c>
      <c r="AD198">
        <v>11.056058999999999</v>
      </c>
      <c r="AE198">
        <v>11.055630000000001</v>
      </c>
      <c r="AF198">
        <v>11.055448999999999</v>
      </c>
      <c r="AG198">
        <v>11.055422999999999</v>
      </c>
      <c r="AH198">
        <v>11.055533</v>
      </c>
      <c r="AI198" t="s">
        <v>17</v>
      </c>
    </row>
    <row r="199" spans="1:35">
      <c r="A199" t="s">
        <v>335</v>
      </c>
      <c r="B199" t="s">
        <v>1664</v>
      </c>
      <c r="C199" t="s">
        <v>1663</v>
      </c>
      <c r="D199" t="s">
        <v>371</v>
      </c>
      <c r="F199">
        <v>0</v>
      </c>
      <c r="G199">
        <v>0</v>
      </c>
      <c r="H199">
        <v>1.475894</v>
      </c>
      <c r="I199">
        <v>9.1378389999999996</v>
      </c>
      <c r="J199">
        <v>9.2392439999999993</v>
      </c>
      <c r="K199">
        <v>9.3649430000000002</v>
      </c>
      <c r="L199">
        <v>9.4529390000000006</v>
      </c>
      <c r="M199">
        <v>9.6037499999999998</v>
      </c>
      <c r="N199">
        <v>9.7867789999999992</v>
      </c>
      <c r="O199">
        <v>9.9874130000000001</v>
      </c>
      <c r="P199">
        <v>10.191250999999999</v>
      </c>
      <c r="Q199">
        <v>10.398272</v>
      </c>
      <c r="R199">
        <v>10.578143000000001</v>
      </c>
      <c r="S199">
        <v>10.638639</v>
      </c>
      <c r="T199">
        <v>10.754894</v>
      </c>
      <c r="U199">
        <v>10.829401000000001</v>
      </c>
      <c r="V199">
        <v>10.826708999999999</v>
      </c>
      <c r="W199">
        <v>10.823515</v>
      </c>
      <c r="X199">
        <v>10.820962</v>
      </c>
      <c r="Y199">
        <v>10.818721999999999</v>
      </c>
      <c r="Z199">
        <v>10.816976</v>
      </c>
      <c r="AA199">
        <v>10.815467999999999</v>
      </c>
      <c r="AB199">
        <v>10.814412000000001</v>
      </c>
      <c r="AC199">
        <v>10.81321</v>
      </c>
      <c r="AD199">
        <v>10.812366000000001</v>
      </c>
      <c r="AE199">
        <v>10.811446</v>
      </c>
      <c r="AF199">
        <v>10.811028</v>
      </c>
      <c r="AG199">
        <v>10.810542</v>
      </c>
      <c r="AH199">
        <v>10.81532</v>
      </c>
      <c r="AI199" t="s">
        <v>17</v>
      </c>
    </row>
    <row r="200" spans="1:35">
      <c r="A200" t="s">
        <v>337</v>
      </c>
      <c r="B200" t="s">
        <v>1662</v>
      </c>
      <c r="C200" t="s">
        <v>1661</v>
      </c>
      <c r="D200" t="s">
        <v>370</v>
      </c>
      <c r="F200">
        <v>0</v>
      </c>
      <c r="G200">
        <v>0</v>
      </c>
      <c r="H200">
        <v>7.1006340000000003</v>
      </c>
      <c r="I200">
        <v>7.1107129999999996</v>
      </c>
      <c r="J200">
        <v>7.1105650000000002</v>
      </c>
      <c r="K200">
        <v>7.1104979999999998</v>
      </c>
      <c r="L200">
        <v>7.1103259999999997</v>
      </c>
      <c r="M200">
        <v>7.1101960000000002</v>
      </c>
      <c r="N200">
        <v>7.1098470000000002</v>
      </c>
      <c r="O200">
        <v>7.1094480000000004</v>
      </c>
      <c r="P200">
        <v>7.1093760000000001</v>
      </c>
      <c r="Q200">
        <v>7.1094819999999999</v>
      </c>
      <c r="R200">
        <v>7.1096539999999999</v>
      </c>
      <c r="S200">
        <v>7.1098749999999997</v>
      </c>
      <c r="T200">
        <v>7.1101169999999998</v>
      </c>
      <c r="U200">
        <v>7.110366</v>
      </c>
      <c r="V200">
        <v>7.110633</v>
      </c>
      <c r="W200">
        <v>7.1109080000000002</v>
      </c>
      <c r="X200">
        <v>7.1111890000000004</v>
      </c>
      <c r="Y200">
        <v>7.1114670000000002</v>
      </c>
      <c r="Z200">
        <v>7.1117710000000001</v>
      </c>
      <c r="AA200">
        <v>7.112063</v>
      </c>
      <c r="AB200">
        <v>7.1123690000000002</v>
      </c>
      <c r="AC200">
        <v>7.1126670000000001</v>
      </c>
      <c r="AD200">
        <v>7.1129499999999997</v>
      </c>
      <c r="AE200">
        <v>7.1132410000000004</v>
      </c>
      <c r="AF200">
        <v>7.113537</v>
      </c>
      <c r="AG200">
        <v>7.1138349999999999</v>
      </c>
      <c r="AH200">
        <v>7.1141290000000001</v>
      </c>
      <c r="AI200" t="s">
        <v>17</v>
      </c>
    </row>
    <row r="201" spans="1:35">
      <c r="A201" t="s">
        <v>375</v>
      </c>
      <c r="B201" t="s">
        <v>1660</v>
      </c>
      <c r="C201" t="s">
        <v>1659</v>
      </c>
      <c r="F201">
        <v>6.6682579999999998</v>
      </c>
      <c r="G201">
        <v>6.8778709999999998</v>
      </c>
      <c r="H201">
        <v>7.093121</v>
      </c>
      <c r="I201">
        <v>7.29514</v>
      </c>
      <c r="J201">
        <v>7.4865729999999999</v>
      </c>
      <c r="K201">
        <v>7.6551429999999998</v>
      </c>
      <c r="L201">
        <v>7.7268739999999996</v>
      </c>
      <c r="M201">
        <v>7.8356810000000001</v>
      </c>
      <c r="N201">
        <v>7.9478730000000004</v>
      </c>
      <c r="O201">
        <v>8.0532990000000009</v>
      </c>
      <c r="P201">
        <v>8.1160700000000006</v>
      </c>
      <c r="Q201">
        <v>8.1216530000000002</v>
      </c>
      <c r="R201">
        <v>8.1223130000000001</v>
      </c>
      <c r="S201">
        <v>8.1222189999999994</v>
      </c>
      <c r="T201">
        <v>8.1223200000000002</v>
      </c>
      <c r="U201">
        <v>8.1220510000000008</v>
      </c>
      <c r="V201">
        <v>8.1215309999999992</v>
      </c>
      <c r="W201">
        <v>8.1195880000000002</v>
      </c>
      <c r="X201">
        <v>8.1188830000000003</v>
      </c>
      <c r="Y201">
        <v>8.1175420000000003</v>
      </c>
      <c r="Z201">
        <v>8.1119409999999998</v>
      </c>
      <c r="AA201">
        <v>8.1083350000000003</v>
      </c>
      <c r="AB201">
        <v>8.1086290000000005</v>
      </c>
      <c r="AC201">
        <v>8.1095199999999998</v>
      </c>
      <c r="AD201">
        <v>8.1115200000000005</v>
      </c>
      <c r="AE201">
        <v>8.1139039999999998</v>
      </c>
      <c r="AF201">
        <v>8.1169639999999994</v>
      </c>
      <c r="AG201">
        <v>8.1193819999999999</v>
      </c>
      <c r="AH201">
        <v>8.1222469999999998</v>
      </c>
      <c r="AI201" s="21">
        <v>7.0000000000000001E-3</v>
      </c>
    </row>
    <row r="202" spans="1:35">
      <c r="A202" t="s">
        <v>376</v>
      </c>
      <c r="B202" t="s">
        <v>1658</v>
      </c>
      <c r="C202" t="s">
        <v>1657</v>
      </c>
      <c r="F202">
        <v>7.9143220000000003</v>
      </c>
      <c r="G202">
        <v>8.2052589999999999</v>
      </c>
      <c r="H202">
        <v>8.5296900000000004</v>
      </c>
      <c r="I202">
        <v>8.8359380000000005</v>
      </c>
      <c r="J202">
        <v>9.0870700000000006</v>
      </c>
      <c r="K202">
        <v>9.2903500000000001</v>
      </c>
      <c r="L202">
        <v>9.3778360000000003</v>
      </c>
      <c r="M202">
        <v>9.5450739999999996</v>
      </c>
      <c r="N202">
        <v>9.7218040000000006</v>
      </c>
      <c r="O202">
        <v>9.8842239999999997</v>
      </c>
      <c r="P202">
        <v>9.9741850000000003</v>
      </c>
      <c r="Q202">
        <v>9.9937349999999991</v>
      </c>
      <c r="R202">
        <v>10.014434</v>
      </c>
      <c r="S202">
        <v>10.036740999999999</v>
      </c>
      <c r="T202">
        <v>10.062286</v>
      </c>
      <c r="U202">
        <v>10.086017</v>
      </c>
      <c r="V202">
        <v>10.112781999999999</v>
      </c>
      <c r="W202">
        <v>10.137606</v>
      </c>
      <c r="X202">
        <v>10.162179999999999</v>
      </c>
      <c r="Y202">
        <v>10.179931</v>
      </c>
      <c r="Z202">
        <v>10.198067999999999</v>
      </c>
      <c r="AA202">
        <v>10.214041</v>
      </c>
      <c r="AB202">
        <v>10.242611</v>
      </c>
      <c r="AC202">
        <v>10.288869</v>
      </c>
      <c r="AD202">
        <v>10.332796999999999</v>
      </c>
      <c r="AE202">
        <v>10.365648999999999</v>
      </c>
      <c r="AF202">
        <v>10.388572999999999</v>
      </c>
      <c r="AG202">
        <v>10.421341999999999</v>
      </c>
      <c r="AH202">
        <v>10.451606999999999</v>
      </c>
      <c r="AI202" s="21">
        <v>0.01</v>
      </c>
    </row>
    <row r="203" spans="1:35">
      <c r="A203" t="s">
        <v>378</v>
      </c>
    </row>
    <row r="204" spans="1:35">
      <c r="A204" t="s">
        <v>358</v>
      </c>
    </row>
    <row r="205" spans="1:35">
      <c r="A205" t="s">
        <v>297</v>
      </c>
      <c r="B205" t="s">
        <v>1656</v>
      </c>
      <c r="C205" t="s">
        <v>1655</v>
      </c>
      <c r="D205" t="s">
        <v>331</v>
      </c>
      <c r="F205">
        <v>136.77049299999999</v>
      </c>
      <c r="G205">
        <v>142.56779499999999</v>
      </c>
      <c r="H205">
        <v>150.771683</v>
      </c>
      <c r="I205">
        <v>157.08109999999999</v>
      </c>
      <c r="J205">
        <v>160.30355800000001</v>
      </c>
      <c r="K205">
        <v>162.00412</v>
      </c>
      <c r="L205">
        <v>163.38394199999999</v>
      </c>
      <c r="M205">
        <v>165.319534</v>
      </c>
      <c r="N205">
        <v>166.83865399999999</v>
      </c>
      <c r="O205">
        <v>168.393936</v>
      </c>
      <c r="P205">
        <v>170.32385300000001</v>
      </c>
      <c r="Q205">
        <v>171.88102699999999</v>
      </c>
      <c r="R205">
        <v>174.06727599999999</v>
      </c>
      <c r="S205">
        <v>177.34086600000001</v>
      </c>
      <c r="T205">
        <v>181.10180700000001</v>
      </c>
      <c r="U205">
        <v>184.59545900000001</v>
      </c>
      <c r="V205">
        <v>188.38859600000001</v>
      </c>
      <c r="W205">
        <v>191.97610499999999</v>
      </c>
      <c r="X205">
        <v>195.80365</v>
      </c>
      <c r="Y205">
        <v>198.572205</v>
      </c>
      <c r="Z205">
        <v>201.28009</v>
      </c>
      <c r="AA205">
        <v>203.783401</v>
      </c>
      <c r="AB205">
        <v>206.34025600000001</v>
      </c>
      <c r="AC205">
        <v>210.204849</v>
      </c>
      <c r="AD205">
        <v>213.990906</v>
      </c>
      <c r="AE205">
        <v>217.19418300000001</v>
      </c>
      <c r="AF205">
        <v>219.837097</v>
      </c>
      <c r="AG205">
        <v>223.46331799999999</v>
      </c>
      <c r="AH205">
        <v>227.60270700000001</v>
      </c>
      <c r="AI205" s="21">
        <v>1.7999999999999999E-2</v>
      </c>
    </row>
    <row r="206" spans="1:35">
      <c r="A206" t="s">
        <v>283</v>
      </c>
      <c r="B206" t="s">
        <v>1654</v>
      </c>
      <c r="C206" t="s">
        <v>1653</v>
      </c>
      <c r="D206" t="s">
        <v>331</v>
      </c>
      <c r="F206">
        <v>103.59671</v>
      </c>
      <c r="G206">
        <v>106.848747</v>
      </c>
      <c r="H206">
        <v>111.904686</v>
      </c>
      <c r="I206">
        <v>115.554222</v>
      </c>
      <c r="J206">
        <v>116.96676600000001</v>
      </c>
      <c r="K206">
        <v>117.32727800000001</v>
      </c>
      <c r="L206">
        <v>117.518852</v>
      </c>
      <c r="M206">
        <v>118.16703</v>
      </c>
      <c r="N206">
        <v>118.568787</v>
      </c>
      <c r="O206">
        <v>119.044769</v>
      </c>
      <c r="P206">
        <v>119.82862900000001</v>
      </c>
      <c r="Q206">
        <v>120.389702</v>
      </c>
      <c r="R206">
        <v>121.42692599999999</v>
      </c>
      <c r="S206">
        <v>123.25087000000001</v>
      </c>
      <c r="T206">
        <v>125.43590500000001</v>
      </c>
      <c r="U206">
        <v>127.456306</v>
      </c>
      <c r="V206">
        <v>129.702652</v>
      </c>
      <c r="W206">
        <v>131.82530199999999</v>
      </c>
      <c r="X206">
        <v>134.129547</v>
      </c>
      <c r="Y206">
        <v>135.72537199999999</v>
      </c>
      <c r="Z206">
        <v>137.29719499999999</v>
      </c>
      <c r="AA206">
        <v>138.74612400000001</v>
      </c>
      <c r="AB206">
        <v>140.24710099999999</v>
      </c>
      <c r="AC206">
        <v>142.65003999999999</v>
      </c>
      <c r="AD206">
        <v>145.01057399999999</v>
      </c>
      <c r="AE206">
        <v>146.987076</v>
      </c>
      <c r="AF206">
        <v>148.59549000000001</v>
      </c>
      <c r="AG206">
        <v>150.87861599999999</v>
      </c>
      <c r="AH206">
        <v>153.516571</v>
      </c>
      <c r="AI206" s="21">
        <v>1.4E-2</v>
      </c>
    </row>
    <row r="207" spans="1:35">
      <c r="A207" t="s">
        <v>278</v>
      </c>
      <c r="B207" t="s">
        <v>1652</v>
      </c>
      <c r="C207" t="s">
        <v>1651</v>
      </c>
      <c r="D207" t="s">
        <v>331</v>
      </c>
      <c r="F207">
        <v>0</v>
      </c>
      <c r="G207">
        <v>0.27569399999999999</v>
      </c>
      <c r="H207">
        <v>0.28487499999999999</v>
      </c>
      <c r="I207">
        <v>0.28564000000000001</v>
      </c>
      <c r="J207">
        <v>0.29235</v>
      </c>
      <c r="K207">
        <v>0.29807899999999998</v>
      </c>
      <c r="L207">
        <v>0.303676</v>
      </c>
      <c r="M207">
        <v>0.31213600000000002</v>
      </c>
      <c r="N207">
        <v>0.32277899999999998</v>
      </c>
      <c r="O207">
        <v>0.33666600000000002</v>
      </c>
      <c r="P207">
        <v>0.35173100000000002</v>
      </c>
      <c r="Q207">
        <v>0.36679499999999998</v>
      </c>
      <c r="R207">
        <v>0.38325999999999999</v>
      </c>
      <c r="S207">
        <v>0.40495500000000001</v>
      </c>
      <c r="T207">
        <v>0.43248700000000001</v>
      </c>
      <c r="U207">
        <v>0.46502100000000002</v>
      </c>
      <c r="V207">
        <v>0.50168199999999996</v>
      </c>
      <c r="W207">
        <v>0.54403000000000001</v>
      </c>
      <c r="X207">
        <v>0.59080999999999995</v>
      </c>
      <c r="Y207">
        <v>0.64069900000000002</v>
      </c>
      <c r="Z207">
        <v>0.693214</v>
      </c>
      <c r="AA207">
        <v>0.75207100000000005</v>
      </c>
      <c r="AB207">
        <v>0.81472999999999995</v>
      </c>
      <c r="AC207">
        <v>0.88600299999999999</v>
      </c>
      <c r="AD207">
        <v>0.95893600000000001</v>
      </c>
      <c r="AE207">
        <v>1.030097</v>
      </c>
      <c r="AF207">
        <v>1.0986610000000001</v>
      </c>
      <c r="AG207">
        <v>1.166161</v>
      </c>
      <c r="AH207">
        <v>1.234235</v>
      </c>
      <c r="AI207" t="s">
        <v>17</v>
      </c>
    </row>
    <row r="208" spans="1:35">
      <c r="A208" t="s">
        <v>277</v>
      </c>
      <c r="B208" t="s">
        <v>1650</v>
      </c>
      <c r="C208" t="s">
        <v>1649</v>
      </c>
      <c r="D208" t="s">
        <v>331</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t="s">
        <v>17</v>
      </c>
    </row>
    <row r="209" spans="1:35">
      <c r="A209" t="s">
        <v>333</v>
      </c>
      <c r="B209" t="s">
        <v>1648</v>
      </c>
      <c r="C209" t="s">
        <v>1647</v>
      </c>
      <c r="D209" t="s">
        <v>331</v>
      </c>
      <c r="F209">
        <v>11.755768</v>
      </c>
      <c r="G209">
        <v>11.862360000000001</v>
      </c>
      <c r="H209">
        <v>12.543434</v>
      </c>
      <c r="I209">
        <v>12.408045</v>
      </c>
      <c r="J209">
        <v>12.201530999999999</v>
      </c>
      <c r="K209">
        <v>12.086430999999999</v>
      </c>
      <c r="L209">
        <v>11.693008000000001</v>
      </c>
      <c r="M209">
        <v>11.609571000000001</v>
      </c>
      <c r="N209">
        <v>11.587203000000001</v>
      </c>
      <c r="O209">
        <v>11.766098</v>
      </c>
      <c r="P209">
        <v>11.835867</v>
      </c>
      <c r="Q209">
        <v>12.092966000000001</v>
      </c>
      <c r="R209">
        <v>12.317826999999999</v>
      </c>
      <c r="S209">
        <v>12.631629</v>
      </c>
      <c r="T209">
        <v>12.885059999999999</v>
      </c>
      <c r="U209">
        <v>13.143001999999999</v>
      </c>
      <c r="V209">
        <v>13.377981</v>
      </c>
      <c r="W209">
        <v>13.633929999999999</v>
      </c>
      <c r="X209">
        <v>13.884437</v>
      </c>
      <c r="Y209">
        <v>14.094258</v>
      </c>
      <c r="Z209">
        <v>14.300129999999999</v>
      </c>
      <c r="AA209">
        <v>14.546765000000001</v>
      </c>
      <c r="AB209">
        <v>14.697861</v>
      </c>
      <c r="AC209">
        <v>14.965305000000001</v>
      </c>
      <c r="AD209">
        <v>15.107173</v>
      </c>
      <c r="AE209">
        <v>15.276312000000001</v>
      </c>
      <c r="AF209">
        <v>15.38072</v>
      </c>
      <c r="AG209">
        <v>15.579879</v>
      </c>
      <c r="AH209">
        <v>15.731930999999999</v>
      </c>
      <c r="AI209" s="21">
        <v>0.01</v>
      </c>
    </row>
    <row r="210" spans="1:35">
      <c r="A210" t="s">
        <v>334</v>
      </c>
      <c r="B210" t="s">
        <v>1646</v>
      </c>
      <c r="C210" t="s">
        <v>1645</v>
      </c>
      <c r="D210" t="s">
        <v>331</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t="s">
        <v>17</v>
      </c>
    </row>
    <row r="211" spans="1:35">
      <c r="A211" t="s">
        <v>336</v>
      </c>
      <c r="B211" t="s">
        <v>1644</v>
      </c>
      <c r="C211" t="s">
        <v>1643</v>
      </c>
      <c r="D211" t="s">
        <v>331</v>
      </c>
      <c r="F211">
        <v>0</v>
      </c>
      <c r="G211">
        <v>0.31605299999999997</v>
      </c>
      <c r="H211">
        <v>0.33107700000000001</v>
      </c>
      <c r="I211">
        <v>0.34040199999999998</v>
      </c>
      <c r="J211">
        <v>0.349107</v>
      </c>
      <c r="K211">
        <v>0.35911599999999999</v>
      </c>
      <c r="L211">
        <v>0.37227199999999999</v>
      </c>
      <c r="M211">
        <v>0.39096999999999998</v>
      </c>
      <c r="N211">
        <v>0.41283500000000001</v>
      </c>
      <c r="O211">
        <v>0.43845699999999999</v>
      </c>
      <c r="P211">
        <v>0.46888299999999999</v>
      </c>
      <c r="Q211">
        <v>0.50065899999999997</v>
      </c>
      <c r="R211">
        <v>0.53854100000000005</v>
      </c>
      <c r="S211">
        <v>0.585642</v>
      </c>
      <c r="T211">
        <v>0.64264399999999999</v>
      </c>
      <c r="U211">
        <v>0.70755999999999997</v>
      </c>
      <c r="V211">
        <v>0.78264699999999998</v>
      </c>
      <c r="W211">
        <v>0.86579399999999995</v>
      </c>
      <c r="X211">
        <v>0.95799100000000004</v>
      </c>
      <c r="Y211">
        <v>1.0510919999999999</v>
      </c>
      <c r="Z211">
        <v>1.1473150000000001</v>
      </c>
      <c r="AA211">
        <v>1.243325</v>
      </c>
      <c r="AB211">
        <v>1.3379430000000001</v>
      </c>
      <c r="AC211">
        <v>1.437713</v>
      </c>
      <c r="AD211">
        <v>1.532467</v>
      </c>
      <c r="AE211">
        <v>1.6170869999999999</v>
      </c>
      <c r="AF211">
        <v>1.6923090000000001</v>
      </c>
      <c r="AG211">
        <v>1.7661230000000001</v>
      </c>
      <c r="AH211">
        <v>1.8381050000000001</v>
      </c>
      <c r="AI211" t="s">
        <v>17</v>
      </c>
    </row>
    <row r="212" spans="1:35">
      <c r="A212" t="s">
        <v>335</v>
      </c>
      <c r="B212" t="s">
        <v>1642</v>
      </c>
      <c r="C212" t="s">
        <v>1641</v>
      </c>
      <c r="D212" t="s">
        <v>331</v>
      </c>
      <c r="F212">
        <v>0</v>
      </c>
      <c r="G212">
        <v>0.32879999999999998</v>
      </c>
      <c r="H212">
        <v>0.34547</v>
      </c>
      <c r="I212">
        <v>0.34941499999999998</v>
      </c>
      <c r="J212">
        <v>0.35311300000000001</v>
      </c>
      <c r="K212">
        <v>0.35725600000000002</v>
      </c>
      <c r="L212">
        <v>0.36241400000000001</v>
      </c>
      <c r="M212">
        <v>0.37389899999999998</v>
      </c>
      <c r="N212">
        <v>0.391291</v>
      </c>
      <c r="O212">
        <v>0.41677700000000001</v>
      </c>
      <c r="P212">
        <v>0.44823800000000003</v>
      </c>
      <c r="Q212">
        <v>0.48479499999999998</v>
      </c>
      <c r="R212">
        <v>0.52864800000000001</v>
      </c>
      <c r="S212">
        <v>0.58403799999999995</v>
      </c>
      <c r="T212">
        <v>0.64941700000000002</v>
      </c>
      <c r="U212">
        <v>0.72499999999999998</v>
      </c>
      <c r="V212">
        <v>0.81109100000000001</v>
      </c>
      <c r="W212">
        <v>0.90827100000000005</v>
      </c>
      <c r="X212">
        <v>1.0153730000000001</v>
      </c>
      <c r="Y212">
        <v>1.125429</v>
      </c>
      <c r="Z212">
        <v>1.239638</v>
      </c>
      <c r="AA212">
        <v>1.3565320000000001</v>
      </c>
      <c r="AB212">
        <v>1.4644839999999999</v>
      </c>
      <c r="AC212">
        <v>1.5821670000000001</v>
      </c>
      <c r="AD212">
        <v>1.6880930000000001</v>
      </c>
      <c r="AE212">
        <v>1.7864690000000001</v>
      </c>
      <c r="AF212">
        <v>1.8713010000000001</v>
      </c>
      <c r="AG212">
        <v>1.9580740000000001</v>
      </c>
      <c r="AH212">
        <v>2.0376029999999998</v>
      </c>
      <c r="AI212" t="s">
        <v>17</v>
      </c>
    </row>
    <row r="213" spans="1:35">
      <c r="A213" t="s">
        <v>337</v>
      </c>
      <c r="B213" t="s">
        <v>1640</v>
      </c>
      <c r="C213" t="s">
        <v>1639</v>
      </c>
      <c r="D213" t="s">
        <v>331</v>
      </c>
      <c r="F213">
        <v>0</v>
      </c>
      <c r="G213">
        <v>0</v>
      </c>
      <c r="H213">
        <v>1.0399999999999999E-4</v>
      </c>
      <c r="I213">
        <v>1.07E-4</v>
      </c>
      <c r="J213">
        <v>1.0900000000000001E-4</v>
      </c>
      <c r="K213">
        <v>1.0900000000000001E-4</v>
      </c>
      <c r="L213">
        <v>1.0900000000000001E-4</v>
      </c>
      <c r="M213">
        <v>1.1E-4</v>
      </c>
      <c r="N213">
        <v>1.1E-4</v>
      </c>
      <c r="O213">
        <v>1.1E-4</v>
      </c>
      <c r="P213">
        <v>1.1E-4</v>
      </c>
      <c r="Q213">
        <v>1.0900000000000001E-4</v>
      </c>
      <c r="R213">
        <v>1.0900000000000001E-4</v>
      </c>
      <c r="S213">
        <v>1.0900000000000001E-4</v>
      </c>
      <c r="T213">
        <v>1.08E-4</v>
      </c>
      <c r="U213">
        <v>1.07E-4</v>
      </c>
      <c r="V213">
        <v>1.06E-4</v>
      </c>
      <c r="W213">
        <v>1.0399999999999999E-4</v>
      </c>
      <c r="X213">
        <v>1.01E-4</v>
      </c>
      <c r="Y213">
        <v>9.7E-5</v>
      </c>
      <c r="Z213">
        <v>9.2E-5</v>
      </c>
      <c r="AA213">
        <v>8.6000000000000003E-5</v>
      </c>
      <c r="AB213">
        <v>8.0000000000000007E-5</v>
      </c>
      <c r="AC213">
        <v>7.3999999999999996E-5</v>
      </c>
      <c r="AD213">
        <v>6.7999999999999999E-5</v>
      </c>
      <c r="AE213">
        <v>6.0999999999999999E-5</v>
      </c>
      <c r="AF213">
        <v>5.3999999999999998E-5</v>
      </c>
      <c r="AG213">
        <v>4.8000000000000001E-5</v>
      </c>
      <c r="AH213">
        <v>4.1999999999999998E-5</v>
      </c>
      <c r="AI213" t="s">
        <v>17</v>
      </c>
    </row>
    <row r="214" spans="1:35">
      <c r="A214" t="s">
        <v>360</v>
      </c>
      <c r="B214" t="s">
        <v>1638</v>
      </c>
      <c r="C214" t="s">
        <v>1637</v>
      </c>
      <c r="D214" t="s">
        <v>331</v>
      </c>
      <c r="F214">
        <v>252.12297100000001</v>
      </c>
      <c r="G214">
        <v>262.199432</v>
      </c>
      <c r="H214">
        <v>276.18127399999997</v>
      </c>
      <c r="I214">
        <v>286.01892099999998</v>
      </c>
      <c r="J214">
        <v>290.46655299999998</v>
      </c>
      <c r="K214">
        <v>292.43240400000002</v>
      </c>
      <c r="L214">
        <v>293.63424700000002</v>
      </c>
      <c r="M214">
        <v>296.173248</v>
      </c>
      <c r="N214">
        <v>298.12170400000002</v>
      </c>
      <c r="O214">
        <v>300.39685100000003</v>
      </c>
      <c r="P214">
        <v>303.257294</v>
      </c>
      <c r="Q214">
        <v>305.71603399999998</v>
      </c>
      <c r="R214">
        <v>309.26257299999997</v>
      </c>
      <c r="S214">
        <v>314.79812600000002</v>
      </c>
      <c r="T214">
        <v>321.14746100000002</v>
      </c>
      <c r="U214">
        <v>327.09249899999998</v>
      </c>
      <c r="V214">
        <v>333.56478900000002</v>
      </c>
      <c r="W214">
        <v>339.75351000000001</v>
      </c>
      <c r="X214">
        <v>346.38189699999998</v>
      </c>
      <c r="Y214">
        <v>351.209137</v>
      </c>
      <c r="Z214">
        <v>355.95761099999999</v>
      </c>
      <c r="AA214">
        <v>360.42837500000002</v>
      </c>
      <c r="AB214">
        <v>364.902466</v>
      </c>
      <c r="AC214">
        <v>371.72610500000002</v>
      </c>
      <c r="AD214">
        <v>378.28823899999998</v>
      </c>
      <c r="AE214">
        <v>383.89129600000001</v>
      </c>
      <c r="AF214">
        <v>388.47567700000002</v>
      </c>
      <c r="AG214">
        <v>394.81222500000001</v>
      </c>
      <c r="AH214">
        <v>401.96115099999997</v>
      </c>
      <c r="AI214" s="21">
        <v>1.7000000000000001E-2</v>
      </c>
    </row>
    <row r="215" spans="1:35">
      <c r="A215" t="s">
        <v>361</v>
      </c>
    </row>
    <row r="216" spans="1:35">
      <c r="A216" t="s">
        <v>297</v>
      </c>
      <c r="B216" t="s">
        <v>1636</v>
      </c>
      <c r="C216" t="s">
        <v>1635</v>
      </c>
      <c r="D216" t="s">
        <v>331</v>
      </c>
      <c r="F216">
        <v>108.315331</v>
      </c>
      <c r="G216">
        <v>111.86180899999999</v>
      </c>
      <c r="H216">
        <v>112.663895</v>
      </c>
      <c r="I216">
        <v>113.75501300000001</v>
      </c>
      <c r="J216">
        <v>116.360794</v>
      </c>
      <c r="K216">
        <v>120.664314</v>
      </c>
      <c r="L216">
        <v>123.277176</v>
      </c>
      <c r="M216">
        <v>123.222191</v>
      </c>
      <c r="N216">
        <v>121.07485200000001</v>
      </c>
      <c r="O216">
        <v>119.570702</v>
      </c>
      <c r="P216">
        <v>120.336288</v>
      </c>
      <c r="Q216">
        <v>121.886032</v>
      </c>
      <c r="R216">
        <v>123.167618</v>
      </c>
      <c r="S216">
        <v>124.72809599999999</v>
      </c>
      <c r="T216">
        <v>126.319824</v>
      </c>
      <c r="U216">
        <v>127.848488</v>
      </c>
      <c r="V216">
        <v>129.178223</v>
      </c>
      <c r="W216">
        <v>130.386765</v>
      </c>
      <c r="X216">
        <v>131.92759699999999</v>
      </c>
      <c r="Y216">
        <v>133.48138399999999</v>
      </c>
      <c r="Z216">
        <v>134.51525899999999</v>
      </c>
      <c r="AA216">
        <v>135.85908499999999</v>
      </c>
      <c r="AB216">
        <v>136.21057099999999</v>
      </c>
      <c r="AC216">
        <v>135.419983</v>
      </c>
      <c r="AD216">
        <v>135.072632</v>
      </c>
      <c r="AE216">
        <v>135.62127699999999</v>
      </c>
      <c r="AF216">
        <v>136.81350699999999</v>
      </c>
      <c r="AG216">
        <v>137.64428699999999</v>
      </c>
      <c r="AH216">
        <v>139.15571600000001</v>
      </c>
      <c r="AI216" s="21">
        <v>8.9999999999999993E-3</v>
      </c>
    </row>
    <row r="217" spans="1:35">
      <c r="A217" t="s">
        <v>283</v>
      </c>
      <c r="B217" t="s">
        <v>1634</v>
      </c>
      <c r="C217" t="s">
        <v>1633</v>
      </c>
      <c r="D217" t="s">
        <v>331</v>
      </c>
      <c r="F217">
        <v>68.839256000000006</v>
      </c>
      <c r="G217">
        <v>70.735229000000004</v>
      </c>
      <c r="H217">
        <v>70.912659000000005</v>
      </c>
      <c r="I217">
        <v>71.294334000000006</v>
      </c>
      <c r="J217">
        <v>72.641609000000003</v>
      </c>
      <c r="K217">
        <v>75.056540999999996</v>
      </c>
      <c r="L217">
        <v>76.427368000000001</v>
      </c>
      <c r="M217">
        <v>76.160088000000002</v>
      </c>
      <c r="N217">
        <v>74.622658000000001</v>
      </c>
      <c r="O217">
        <v>73.505134999999996</v>
      </c>
      <c r="P217">
        <v>73.799858</v>
      </c>
      <c r="Q217">
        <v>74.586723000000006</v>
      </c>
      <c r="R217">
        <v>75.219261000000003</v>
      </c>
      <c r="S217">
        <v>76.031173999999993</v>
      </c>
      <c r="T217">
        <v>76.870277000000002</v>
      </c>
      <c r="U217">
        <v>77.678650000000005</v>
      </c>
      <c r="V217">
        <v>78.373497</v>
      </c>
      <c r="W217">
        <v>79.001953</v>
      </c>
      <c r="X217">
        <v>79.838211000000001</v>
      </c>
      <c r="Y217">
        <v>80.688086999999996</v>
      </c>
      <c r="Z217">
        <v>81.229370000000003</v>
      </c>
      <c r="AA217">
        <v>81.963241999999994</v>
      </c>
      <c r="AB217">
        <v>82.103797999999998</v>
      </c>
      <c r="AC217">
        <v>81.561913000000004</v>
      </c>
      <c r="AD217">
        <v>81.292777999999998</v>
      </c>
      <c r="AE217">
        <v>81.567595999999995</v>
      </c>
      <c r="AF217">
        <v>82.233161999999993</v>
      </c>
      <c r="AG217">
        <v>82.684783999999993</v>
      </c>
      <c r="AH217">
        <v>83.548218000000006</v>
      </c>
      <c r="AI217" s="21">
        <v>7.0000000000000001E-3</v>
      </c>
    </row>
    <row r="218" spans="1:35">
      <c r="A218" t="s">
        <v>278</v>
      </c>
      <c r="B218" t="s">
        <v>1632</v>
      </c>
      <c r="C218" t="s">
        <v>1631</v>
      </c>
      <c r="D218" t="s">
        <v>331</v>
      </c>
      <c r="F218">
        <v>0.19042999999999999</v>
      </c>
      <c r="G218">
        <v>0.19422300000000001</v>
      </c>
      <c r="H218">
        <v>0.19656999999999999</v>
      </c>
      <c r="I218">
        <v>0.196077</v>
      </c>
      <c r="J218">
        <v>0.20480999999999999</v>
      </c>
      <c r="K218">
        <v>0.21737600000000001</v>
      </c>
      <c r="L218">
        <v>0.22798099999999999</v>
      </c>
      <c r="M218">
        <v>0.23441400000000001</v>
      </c>
      <c r="N218">
        <v>0.23872599999999999</v>
      </c>
      <c r="O218">
        <v>0.247721</v>
      </c>
      <c r="P218">
        <v>0.263905</v>
      </c>
      <c r="Q218">
        <v>0.28577399999999997</v>
      </c>
      <c r="R218">
        <v>0.307006</v>
      </c>
      <c r="S218">
        <v>0.33141100000000001</v>
      </c>
      <c r="T218">
        <v>0.35905500000000001</v>
      </c>
      <c r="U218">
        <v>0.39071699999999998</v>
      </c>
      <c r="V218">
        <v>0.42327700000000001</v>
      </c>
      <c r="W218">
        <v>0.45851599999999998</v>
      </c>
      <c r="X218">
        <v>0.49489499999999997</v>
      </c>
      <c r="Y218">
        <v>0.53306299999999995</v>
      </c>
      <c r="Z218">
        <v>0.56726100000000002</v>
      </c>
      <c r="AA218">
        <v>0.60443800000000003</v>
      </c>
      <c r="AB218">
        <v>0.63577700000000004</v>
      </c>
      <c r="AC218">
        <v>0.65985499999999997</v>
      </c>
      <c r="AD218">
        <v>0.68360100000000001</v>
      </c>
      <c r="AE218">
        <v>0.70903000000000005</v>
      </c>
      <c r="AF218">
        <v>0.73458299999999999</v>
      </c>
      <c r="AG218">
        <v>0.75465000000000004</v>
      </c>
      <c r="AH218">
        <v>0.77672799999999997</v>
      </c>
      <c r="AI218" s="21">
        <v>5.0999999999999997E-2</v>
      </c>
    </row>
    <row r="219" spans="1:35">
      <c r="A219" t="s">
        <v>277</v>
      </c>
      <c r="B219" t="s">
        <v>1630</v>
      </c>
      <c r="C219" t="s">
        <v>1629</v>
      </c>
      <c r="D219" t="s">
        <v>331</v>
      </c>
      <c r="F219">
        <v>8.8756000000000002E-2</v>
      </c>
      <c r="G219">
        <v>8.0241000000000007E-2</v>
      </c>
      <c r="H219">
        <v>7.1048E-2</v>
      </c>
      <c r="I219">
        <v>6.2378000000000003E-2</v>
      </c>
      <c r="J219">
        <v>5.543E-2</v>
      </c>
      <c r="K219">
        <v>4.9847000000000002E-2</v>
      </c>
      <c r="L219">
        <v>4.4072E-2</v>
      </c>
      <c r="M219">
        <v>3.8059999999999997E-2</v>
      </c>
      <c r="N219">
        <v>3.2244000000000002E-2</v>
      </c>
      <c r="O219">
        <v>2.7390000000000001E-2</v>
      </c>
      <c r="P219">
        <v>2.3635E-2</v>
      </c>
      <c r="Q219">
        <v>2.0455000000000001E-2</v>
      </c>
      <c r="R219">
        <v>1.7596000000000001E-2</v>
      </c>
      <c r="S219">
        <v>1.512E-2</v>
      </c>
      <c r="T219">
        <v>1.2947999999999999E-2</v>
      </c>
      <c r="U219">
        <v>1.1051E-2</v>
      </c>
      <c r="V219">
        <v>9.3919999999999993E-3</v>
      </c>
      <c r="W219">
        <v>7.9559999999999995E-3</v>
      </c>
      <c r="X219">
        <v>6.7409999999999996E-3</v>
      </c>
      <c r="Y219">
        <v>5.7010000000000003E-3</v>
      </c>
      <c r="Z219">
        <v>4.7920000000000003E-3</v>
      </c>
      <c r="AA219">
        <v>4.0299999999999997E-3</v>
      </c>
      <c r="AB219">
        <v>3.3570000000000002E-3</v>
      </c>
      <c r="AC219">
        <v>2.7699999999999999E-3</v>
      </c>
      <c r="AD219">
        <v>2.2889999999999998E-3</v>
      </c>
      <c r="AE219">
        <v>1.9040000000000001E-3</v>
      </c>
      <c r="AF219">
        <v>1.5900000000000001E-3</v>
      </c>
      <c r="AG219">
        <v>1.323E-3</v>
      </c>
      <c r="AH219">
        <v>1.106E-3</v>
      </c>
      <c r="AI219" s="21">
        <v>-0.14499999999999999</v>
      </c>
    </row>
    <row r="220" spans="1:35">
      <c r="A220" t="s">
        <v>333</v>
      </c>
      <c r="B220" t="s">
        <v>1628</v>
      </c>
      <c r="C220" t="s">
        <v>1627</v>
      </c>
      <c r="D220" t="s">
        <v>331</v>
      </c>
      <c r="F220">
        <v>3.1209169999999999</v>
      </c>
      <c r="G220">
        <v>3.562824</v>
      </c>
      <c r="H220">
        <v>4.1059590000000004</v>
      </c>
      <c r="I220">
        <v>4.4477089999999997</v>
      </c>
      <c r="J220">
        <v>4.9635889999999998</v>
      </c>
      <c r="K220">
        <v>5.6116510000000002</v>
      </c>
      <c r="L220">
        <v>6.101458</v>
      </c>
      <c r="M220">
        <v>6.5357409999999998</v>
      </c>
      <c r="N220">
        <v>6.9304500000000004</v>
      </c>
      <c r="O220">
        <v>7.5008939999999997</v>
      </c>
      <c r="P220">
        <v>8.2456250000000004</v>
      </c>
      <c r="Q220">
        <v>9.1310850000000006</v>
      </c>
      <c r="R220">
        <v>9.9110980000000009</v>
      </c>
      <c r="S220">
        <v>10.721723000000001</v>
      </c>
      <c r="T220">
        <v>11.346403</v>
      </c>
      <c r="U220">
        <v>11.955226</v>
      </c>
      <c r="V220">
        <v>12.458663</v>
      </c>
      <c r="W220">
        <v>12.958193</v>
      </c>
      <c r="X220">
        <v>13.419568999999999</v>
      </c>
      <c r="Y220">
        <v>13.88363</v>
      </c>
      <c r="Z220">
        <v>14.252980000000001</v>
      </c>
      <c r="AA220">
        <v>14.691565000000001</v>
      </c>
      <c r="AB220">
        <v>14.861463000000001</v>
      </c>
      <c r="AC220">
        <v>14.905587000000001</v>
      </c>
      <c r="AD220">
        <v>14.814135</v>
      </c>
      <c r="AE220">
        <v>14.890703999999999</v>
      </c>
      <c r="AF220">
        <v>14.942218</v>
      </c>
      <c r="AG220">
        <v>15.033702999999999</v>
      </c>
      <c r="AH220">
        <v>15.088609</v>
      </c>
      <c r="AI220" s="21">
        <v>5.8000000000000003E-2</v>
      </c>
    </row>
    <row r="221" spans="1:35">
      <c r="A221" t="s">
        <v>334</v>
      </c>
      <c r="B221" t="s">
        <v>1626</v>
      </c>
      <c r="C221" t="s">
        <v>1625</v>
      </c>
      <c r="D221" t="s">
        <v>331</v>
      </c>
      <c r="F221">
        <v>6.5137E-2</v>
      </c>
      <c r="G221">
        <v>5.9175999999999999E-2</v>
      </c>
      <c r="H221">
        <v>5.2366000000000003E-2</v>
      </c>
      <c r="I221">
        <v>4.6144999999999999E-2</v>
      </c>
      <c r="J221">
        <v>4.1158E-2</v>
      </c>
      <c r="K221">
        <v>3.7145999999999998E-2</v>
      </c>
      <c r="L221">
        <v>3.2967000000000003E-2</v>
      </c>
      <c r="M221">
        <v>2.8586E-2</v>
      </c>
      <c r="N221">
        <v>2.4323000000000001E-2</v>
      </c>
      <c r="O221">
        <v>2.0753000000000001E-2</v>
      </c>
      <c r="P221">
        <v>1.7988000000000001E-2</v>
      </c>
      <c r="Q221">
        <v>1.5639E-2</v>
      </c>
      <c r="R221">
        <v>1.3513000000000001E-2</v>
      </c>
      <c r="S221">
        <v>1.1663E-2</v>
      </c>
      <c r="T221">
        <v>1.0030000000000001E-2</v>
      </c>
      <c r="U221">
        <v>8.5970000000000005E-3</v>
      </c>
      <c r="V221">
        <v>7.3359999999999996E-3</v>
      </c>
      <c r="W221">
        <v>6.241E-3</v>
      </c>
      <c r="X221">
        <v>5.3090000000000004E-3</v>
      </c>
      <c r="Y221">
        <v>4.5069999999999997E-3</v>
      </c>
      <c r="Z221">
        <v>3.8040000000000001E-3</v>
      </c>
      <c r="AA221">
        <v>3.212E-3</v>
      </c>
      <c r="AB221">
        <v>2.6870000000000002E-3</v>
      </c>
      <c r="AC221">
        <v>2.2260000000000001E-3</v>
      </c>
      <c r="AD221">
        <v>1.8489999999999999E-3</v>
      </c>
      <c r="AE221">
        <v>1.5460000000000001E-3</v>
      </c>
      <c r="AF221">
        <v>1.2979999999999999E-3</v>
      </c>
      <c r="AG221">
        <v>1.0870000000000001E-3</v>
      </c>
      <c r="AH221">
        <v>9.1399999999999999E-4</v>
      </c>
      <c r="AI221" s="21">
        <v>-0.14099999999999999</v>
      </c>
    </row>
    <row r="222" spans="1:35">
      <c r="A222" t="s">
        <v>336</v>
      </c>
      <c r="B222" t="s">
        <v>1624</v>
      </c>
      <c r="C222" t="s">
        <v>1623</v>
      </c>
      <c r="D222" t="s">
        <v>331</v>
      </c>
      <c r="F222">
        <v>0</v>
      </c>
      <c r="G222">
        <v>0</v>
      </c>
      <c r="H222">
        <v>0.22504299999999999</v>
      </c>
      <c r="I222">
        <v>0.22714799999999999</v>
      </c>
      <c r="J222">
        <v>0.23027900000000001</v>
      </c>
      <c r="K222">
        <v>0.23857500000000001</v>
      </c>
      <c r="L222">
        <v>0.24623999999999999</v>
      </c>
      <c r="M222">
        <v>0.24834500000000001</v>
      </c>
      <c r="N222">
        <v>0.247229</v>
      </c>
      <c r="O222">
        <v>0.249005</v>
      </c>
      <c r="P222">
        <v>0.25837700000000002</v>
      </c>
      <c r="Q222">
        <v>0.27263700000000002</v>
      </c>
      <c r="R222">
        <v>0.28715600000000002</v>
      </c>
      <c r="S222">
        <v>0.30215799999999998</v>
      </c>
      <c r="T222">
        <v>0.320687</v>
      </c>
      <c r="U222">
        <v>0.34081499999999998</v>
      </c>
      <c r="V222">
        <v>0.36212299999999997</v>
      </c>
      <c r="W222">
        <v>0.38599099999999997</v>
      </c>
      <c r="X222">
        <v>0.41384599999999999</v>
      </c>
      <c r="Y222">
        <v>0.44478200000000001</v>
      </c>
      <c r="Z222">
        <v>0.47659899999999999</v>
      </c>
      <c r="AA222">
        <v>0.51157799999999998</v>
      </c>
      <c r="AB222">
        <v>0.54397300000000004</v>
      </c>
      <c r="AC222">
        <v>0.57172999999999996</v>
      </c>
      <c r="AD222">
        <v>0.60040700000000002</v>
      </c>
      <c r="AE222">
        <v>0.631637</v>
      </c>
      <c r="AF222">
        <v>0.66413</v>
      </c>
      <c r="AG222">
        <v>0.69267100000000004</v>
      </c>
      <c r="AH222">
        <v>0.72231699999999999</v>
      </c>
      <c r="AI222" t="s">
        <v>17</v>
      </c>
    </row>
    <row r="223" spans="1:35">
      <c r="A223" t="s">
        <v>335</v>
      </c>
      <c r="B223" t="s">
        <v>1622</v>
      </c>
      <c r="C223" t="s">
        <v>1621</v>
      </c>
      <c r="D223" t="s">
        <v>331</v>
      </c>
      <c r="F223">
        <v>0</v>
      </c>
      <c r="G223">
        <v>0</v>
      </c>
      <c r="H223">
        <v>0.21895000000000001</v>
      </c>
      <c r="I223">
        <v>0.21643299999999999</v>
      </c>
      <c r="J223">
        <v>0.21639600000000001</v>
      </c>
      <c r="K223">
        <v>0.22101599999999999</v>
      </c>
      <c r="L223">
        <v>0.22417100000000001</v>
      </c>
      <c r="M223">
        <v>0.224302</v>
      </c>
      <c r="N223">
        <v>0.22405600000000001</v>
      </c>
      <c r="O223">
        <v>0.22989499999999999</v>
      </c>
      <c r="P223">
        <v>0.244149</v>
      </c>
      <c r="Q223">
        <v>0.265212</v>
      </c>
      <c r="R223">
        <v>0.28737600000000002</v>
      </c>
      <c r="S223">
        <v>0.31066100000000002</v>
      </c>
      <c r="T223">
        <v>0.33900400000000003</v>
      </c>
      <c r="U223">
        <v>0.37101699999999999</v>
      </c>
      <c r="V223">
        <v>0.404947</v>
      </c>
      <c r="W223">
        <v>0.44428299999999998</v>
      </c>
      <c r="X223">
        <v>0.48955100000000001</v>
      </c>
      <c r="Y223">
        <v>0.54082399999999997</v>
      </c>
      <c r="Z223">
        <v>0.59456699999999996</v>
      </c>
      <c r="AA223">
        <v>0.65479900000000002</v>
      </c>
      <c r="AB223">
        <v>0.70982199999999995</v>
      </c>
      <c r="AC223">
        <v>0.75931499999999996</v>
      </c>
      <c r="AD223">
        <v>0.80587200000000003</v>
      </c>
      <c r="AE223">
        <v>0.85718000000000005</v>
      </c>
      <c r="AF223">
        <v>0.90732199999999996</v>
      </c>
      <c r="AG223">
        <v>0.95350299999999999</v>
      </c>
      <c r="AH223">
        <v>0.99503299999999995</v>
      </c>
      <c r="AI223" t="s">
        <v>17</v>
      </c>
    </row>
    <row r="224" spans="1:35">
      <c r="A224" t="s">
        <v>337</v>
      </c>
      <c r="B224" t="s">
        <v>1620</v>
      </c>
      <c r="C224" t="s">
        <v>1619</v>
      </c>
      <c r="D224" t="s">
        <v>331</v>
      </c>
      <c r="F224">
        <v>0</v>
      </c>
      <c r="G224">
        <v>0</v>
      </c>
      <c r="H224">
        <v>0.37634600000000001</v>
      </c>
      <c r="I224">
        <v>0.38173499999999999</v>
      </c>
      <c r="J224">
        <v>0.39291799999999999</v>
      </c>
      <c r="K224">
        <v>0.410806</v>
      </c>
      <c r="L224">
        <v>0.42415799999999998</v>
      </c>
      <c r="M224">
        <v>0.42967499999999997</v>
      </c>
      <c r="N224">
        <v>0.42928899999999998</v>
      </c>
      <c r="O224">
        <v>0.43275599999999997</v>
      </c>
      <c r="P224">
        <v>0.44654500000000003</v>
      </c>
      <c r="Q224">
        <v>0.46606599999999998</v>
      </c>
      <c r="R224">
        <v>0.487985</v>
      </c>
      <c r="S224">
        <v>0.515046</v>
      </c>
      <c r="T224">
        <v>0.54696100000000003</v>
      </c>
      <c r="U224">
        <v>0.58394299999999999</v>
      </c>
      <c r="V224">
        <v>0.62582199999999999</v>
      </c>
      <c r="W224">
        <v>0.67317400000000005</v>
      </c>
      <c r="X224">
        <v>0.72845700000000002</v>
      </c>
      <c r="Y224">
        <v>0.789906</v>
      </c>
      <c r="Z224">
        <v>0.85352700000000004</v>
      </c>
      <c r="AA224">
        <v>0.92321799999999998</v>
      </c>
      <c r="AB224">
        <v>0.98855099999999996</v>
      </c>
      <c r="AC224">
        <v>1.0453749999999999</v>
      </c>
      <c r="AD224">
        <v>1.1034539999999999</v>
      </c>
      <c r="AE224">
        <v>1.1658329999999999</v>
      </c>
      <c r="AF224">
        <v>1.2301740000000001</v>
      </c>
      <c r="AG224">
        <v>1.2869170000000001</v>
      </c>
      <c r="AH224">
        <v>1.345232</v>
      </c>
      <c r="AI224" t="s">
        <v>17</v>
      </c>
    </row>
    <row r="225" spans="1:35">
      <c r="A225" t="s">
        <v>362</v>
      </c>
      <c r="B225" t="s">
        <v>1618</v>
      </c>
      <c r="C225" t="s">
        <v>1617</v>
      </c>
      <c r="D225" t="s">
        <v>331</v>
      </c>
      <c r="F225">
        <v>180.61982699999999</v>
      </c>
      <c r="G225">
        <v>186.49350000000001</v>
      </c>
      <c r="H225">
        <v>188.82283000000001</v>
      </c>
      <c r="I225">
        <v>190.626938</v>
      </c>
      <c r="J225">
        <v>195.106979</v>
      </c>
      <c r="K225">
        <v>202.50727800000001</v>
      </c>
      <c r="L225">
        <v>207.005585</v>
      </c>
      <c r="M225">
        <v>207.12138400000001</v>
      </c>
      <c r="N225">
        <v>203.823837</v>
      </c>
      <c r="O225">
        <v>201.78428600000001</v>
      </c>
      <c r="P225">
        <v>203.63635300000001</v>
      </c>
      <c r="Q225">
        <v>206.92961099999999</v>
      </c>
      <c r="R225">
        <v>209.69859299999999</v>
      </c>
      <c r="S225">
        <v>212.967072</v>
      </c>
      <c r="T225">
        <v>216.125214</v>
      </c>
      <c r="U225">
        <v>219.188492</v>
      </c>
      <c r="V225">
        <v>221.84333799999999</v>
      </c>
      <c r="W225">
        <v>224.323059</v>
      </c>
      <c r="X225">
        <v>227.32418799999999</v>
      </c>
      <c r="Y225">
        <v>230.371872</v>
      </c>
      <c r="Z225">
        <v>232.498154</v>
      </c>
      <c r="AA225">
        <v>235.21517900000001</v>
      </c>
      <c r="AB225">
        <v>236.05999800000001</v>
      </c>
      <c r="AC225">
        <v>234.92872600000001</v>
      </c>
      <c r="AD225">
        <v>234.37702899999999</v>
      </c>
      <c r="AE225">
        <v>235.44674699999999</v>
      </c>
      <c r="AF225">
        <v>237.52796900000001</v>
      </c>
      <c r="AG225">
        <v>239.052933</v>
      </c>
      <c r="AH225">
        <v>241.633881</v>
      </c>
      <c r="AI225" s="21">
        <v>0.01</v>
      </c>
    </row>
    <row r="226" spans="1:35">
      <c r="A226" t="s">
        <v>363</v>
      </c>
    </row>
    <row r="227" spans="1:35">
      <c r="A227" t="s">
        <v>297</v>
      </c>
      <c r="B227" t="s">
        <v>1616</v>
      </c>
      <c r="C227" t="s">
        <v>1615</v>
      </c>
      <c r="D227" t="s">
        <v>331</v>
      </c>
      <c r="F227">
        <v>273.15377799999999</v>
      </c>
      <c r="G227">
        <v>277.07376099999999</v>
      </c>
      <c r="H227">
        <v>274.69210800000002</v>
      </c>
      <c r="I227">
        <v>272.49237099999999</v>
      </c>
      <c r="J227">
        <v>274.15902699999998</v>
      </c>
      <c r="K227">
        <v>279.90683000000001</v>
      </c>
      <c r="L227">
        <v>281.52694700000001</v>
      </c>
      <c r="M227">
        <v>277.27740499999999</v>
      </c>
      <c r="N227">
        <v>268.671448</v>
      </c>
      <c r="O227">
        <v>261.83212300000002</v>
      </c>
      <c r="P227">
        <v>260.10656699999998</v>
      </c>
      <c r="Q227">
        <v>260.1875</v>
      </c>
      <c r="R227">
        <v>259.58990499999999</v>
      </c>
      <c r="S227">
        <v>259.61502100000001</v>
      </c>
      <c r="T227">
        <v>259.50140399999998</v>
      </c>
      <c r="U227">
        <v>259.26907299999999</v>
      </c>
      <c r="V227">
        <v>258.56124899999998</v>
      </c>
      <c r="W227">
        <v>257.66332999999997</v>
      </c>
      <c r="X227">
        <v>257.36483800000002</v>
      </c>
      <c r="Y227">
        <v>257.10897799999998</v>
      </c>
      <c r="Z227">
        <v>255.83055100000001</v>
      </c>
      <c r="AA227">
        <v>255.20024100000001</v>
      </c>
      <c r="AB227">
        <v>252.56401099999999</v>
      </c>
      <c r="AC227">
        <v>247.90344200000001</v>
      </c>
      <c r="AD227">
        <v>243.960342</v>
      </c>
      <c r="AE227">
        <v>241.76246599999999</v>
      </c>
      <c r="AF227">
        <v>240.633118</v>
      </c>
      <c r="AG227">
        <v>238.96373</v>
      </c>
      <c r="AH227">
        <v>238.36341899999999</v>
      </c>
      <c r="AI227" s="21">
        <v>-5.0000000000000001E-3</v>
      </c>
    </row>
    <row r="228" spans="1:35">
      <c r="A228" t="s">
        <v>283</v>
      </c>
      <c r="B228" t="s">
        <v>1614</v>
      </c>
      <c r="C228" t="s">
        <v>1613</v>
      </c>
      <c r="D228" t="s">
        <v>331</v>
      </c>
      <c r="F228">
        <v>1.4683170000000001</v>
      </c>
      <c r="G228">
        <v>1.4740150000000001</v>
      </c>
      <c r="H228">
        <v>1.4485300000000001</v>
      </c>
      <c r="I228">
        <v>1.4262159999999999</v>
      </c>
      <c r="J228">
        <v>1.425861</v>
      </c>
      <c r="K228">
        <v>1.447959</v>
      </c>
      <c r="L228">
        <v>1.44973</v>
      </c>
      <c r="M228">
        <v>1.4223749999999999</v>
      </c>
      <c r="N228">
        <v>1.373761</v>
      </c>
      <c r="O228">
        <v>1.3351310000000001</v>
      </c>
      <c r="P228">
        <v>1.323261</v>
      </c>
      <c r="Q228">
        <v>1.3210850000000001</v>
      </c>
      <c r="R228">
        <v>1.315885</v>
      </c>
      <c r="S228">
        <v>1.314187</v>
      </c>
      <c r="T228">
        <v>1.312079</v>
      </c>
      <c r="U228">
        <v>1.309604</v>
      </c>
      <c r="V228">
        <v>1.3049500000000001</v>
      </c>
      <c r="W228">
        <v>1.2995000000000001</v>
      </c>
      <c r="X228">
        <v>1.2972220000000001</v>
      </c>
      <c r="Y228">
        <v>1.295293</v>
      </c>
      <c r="Z228">
        <v>1.2883119999999999</v>
      </c>
      <c r="AA228">
        <v>1.284683</v>
      </c>
      <c r="AB228">
        <v>1.2710330000000001</v>
      </c>
      <c r="AC228">
        <v>1.2472639999999999</v>
      </c>
      <c r="AD228">
        <v>1.227174</v>
      </c>
      <c r="AE228">
        <v>1.215902</v>
      </c>
      <c r="AF228">
        <v>1.2100420000000001</v>
      </c>
      <c r="AG228">
        <v>1.2014899999999999</v>
      </c>
      <c r="AH228">
        <v>1.198337</v>
      </c>
      <c r="AI228" s="21">
        <v>-7.0000000000000001E-3</v>
      </c>
    </row>
    <row r="229" spans="1:35">
      <c r="A229" t="s">
        <v>278</v>
      </c>
      <c r="B229" t="s">
        <v>1612</v>
      </c>
      <c r="C229" t="s">
        <v>1611</v>
      </c>
      <c r="D229" t="s">
        <v>331</v>
      </c>
      <c r="F229">
        <v>0.173008</v>
      </c>
      <c r="G229">
        <v>0.17172299999999999</v>
      </c>
      <c r="H229">
        <v>0.169068</v>
      </c>
      <c r="I229">
        <v>0.164576</v>
      </c>
      <c r="J229">
        <v>0.16542399999999999</v>
      </c>
      <c r="K229">
        <v>0.16841900000000001</v>
      </c>
      <c r="L229">
        <v>0.168487</v>
      </c>
      <c r="M229">
        <v>0.164966</v>
      </c>
      <c r="N229">
        <v>0.158774</v>
      </c>
      <c r="O229">
        <v>0.15432899999999999</v>
      </c>
      <c r="P229">
        <v>0.15285599999999999</v>
      </c>
      <c r="Q229">
        <v>0.15282999999999999</v>
      </c>
      <c r="R229">
        <v>0.15127099999999999</v>
      </c>
      <c r="S229">
        <v>0.15037500000000001</v>
      </c>
      <c r="T229">
        <v>0.14968300000000001</v>
      </c>
      <c r="U229">
        <v>0.149451</v>
      </c>
      <c r="V229">
        <v>0.14862800000000001</v>
      </c>
      <c r="W229">
        <v>0.14777999999999999</v>
      </c>
      <c r="X229">
        <v>0.14705699999999999</v>
      </c>
      <c r="Y229">
        <v>0.14660300000000001</v>
      </c>
      <c r="Z229">
        <v>0.14538499999999999</v>
      </c>
      <c r="AA229">
        <v>0.14497399999999999</v>
      </c>
      <c r="AB229">
        <v>0.14352400000000001</v>
      </c>
      <c r="AC229">
        <v>0.14100499999999999</v>
      </c>
      <c r="AD229">
        <v>0.13896900000000001</v>
      </c>
      <c r="AE229">
        <v>0.13796600000000001</v>
      </c>
      <c r="AF229">
        <v>0.137487</v>
      </c>
      <c r="AG229">
        <v>0.13655200000000001</v>
      </c>
      <c r="AH229">
        <v>0.13630700000000001</v>
      </c>
      <c r="AI229" s="21">
        <v>-8.0000000000000002E-3</v>
      </c>
    </row>
    <row r="230" spans="1:35">
      <c r="A230" t="s">
        <v>277</v>
      </c>
      <c r="B230" t="s">
        <v>1610</v>
      </c>
      <c r="C230" t="s">
        <v>1609</v>
      </c>
      <c r="D230" t="s">
        <v>331</v>
      </c>
      <c r="F230">
        <v>4.3201349999999996</v>
      </c>
      <c r="G230">
        <v>4.0431869999999996</v>
      </c>
      <c r="H230">
        <v>3.9238460000000002</v>
      </c>
      <c r="I230">
        <v>3.769495</v>
      </c>
      <c r="J230">
        <v>3.6716500000000001</v>
      </c>
      <c r="K230">
        <v>3.5551919999999999</v>
      </c>
      <c r="L230">
        <v>3.410104</v>
      </c>
      <c r="M230">
        <v>3.1770309999999999</v>
      </c>
      <c r="N230">
        <v>2.9144230000000002</v>
      </c>
      <c r="O230">
        <v>2.829548</v>
      </c>
      <c r="P230">
        <v>2.8854839999999999</v>
      </c>
      <c r="Q230">
        <v>3.0298370000000001</v>
      </c>
      <c r="R230">
        <v>3.2043180000000002</v>
      </c>
      <c r="S230">
        <v>3.3965519999999998</v>
      </c>
      <c r="T230">
        <v>3.5950709999999999</v>
      </c>
      <c r="U230">
        <v>3.8028870000000001</v>
      </c>
      <c r="V230">
        <v>4.0112290000000002</v>
      </c>
      <c r="W230">
        <v>4.2221770000000003</v>
      </c>
      <c r="X230">
        <v>4.4554580000000001</v>
      </c>
      <c r="Y230">
        <v>4.7012130000000001</v>
      </c>
      <c r="Z230">
        <v>4.9360179999999998</v>
      </c>
      <c r="AA230">
        <v>5.2028869999999996</v>
      </c>
      <c r="AB230">
        <v>5.4368910000000001</v>
      </c>
      <c r="AC230">
        <v>5.6219320000000002</v>
      </c>
      <c r="AD230">
        <v>5.8171609999999996</v>
      </c>
      <c r="AE230">
        <v>6.0639770000000004</v>
      </c>
      <c r="AF230">
        <v>6.339137</v>
      </c>
      <c r="AG230">
        <v>6.6010340000000003</v>
      </c>
      <c r="AH230">
        <v>6.8982409999999996</v>
      </c>
      <c r="AI230" s="21">
        <v>1.7000000000000001E-2</v>
      </c>
    </row>
    <row r="231" spans="1:35">
      <c r="A231" t="s">
        <v>333</v>
      </c>
      <c r="B231" t="s">
        <v>1608</v>
      </c>
      <c r="C231" t="s">
        <v>1607</v>
      </c>
      <c r="D231" t="s">
        <v>331</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t="s">
        <v>17</v>
      </c>
    </row>
    <row r="232" spans="1:35">
      <c r="A232" t="s">
        <v>334</v>
      </c>
      <c r="B232" t="s">
        <v>1606</v>
      </c>
      <c r="C232" t="s">
        <v>1605</v>
      </c>
      <c r="D232" t="s">
        <v>331</v>
      </c>
      <c r="F232">
        <v>4.6861E-2</v>
      </c>
      <c r="G232">
        <v>4.2104000000000003E-2</v>
      </c>
      <c r="H232">
        <v>3.7054999999999998E-2</v>
      </c>
      <c r="I232">
        <v>3.2542000000000001E-2</v>
      </c>
      <c r="J232">
        <v>2.8996999999999998E-2</v>
      </c>
      <c r="K232">
        <v>2.6221999999999999E-2</v>
      </c>
      <c r="L232">
        <v>2.3376999999999998E-2</v>
      </c>
      <c r="M232">
        <v>2.0413000000000001E-2</v>
      </c>
      <c r="N232">
        <v>1.7541000000000001E-2</v>
      </c>
      <c r="O232">
        <v>1.5166000000000001E-2</v>
      </c>
      <c r="P232">
        <v>1.3365999999999999E-2</v>
      </c>
      <c r="Q232">
        <v>1.1858E-2</v>
      </c>
      <c r="R232">
        <v>1.0488000000000001E-2</v>
      </c>
      <c r="S232">
        <v>9.2910000000000006E-3</v>
      </c>
      <c r="T232">
        <v>8.2199999999999999E-3</v>
      </c>
      <c r="U232">
        <v>7.2639999999999996E-3</v>
      </c>
      <c r="V232">
        <v>6.4009999999999996E-3</v>
      </c>
      <c r="W232">
        <v>5.6319999999999999E-3</v>
      </c>
      <c r="X232">
        <v>4.9620000000000003E-3</v>
      </c>
      <c r="Y232">
        <v>4.3670000000000002E-3</v>
      </c>
      <c r="Z232">
        <v>3.8249999999999998E-3</v>
      </c>
      <c r="AA232">
        <v>3.3549999999999999E-3</v>
      </c>
      <c r="AB232">
        <v>2.9150000000000001E-3</v>
      </c>
      <c r="AC232">
        <v>2.5100000000000001E-3</v>
      </c>
      <c r="AD232">
        <v>2.1640000000000001E-3</v>
      </c>
      <c r="AE232">
        <v>1.8760000000000001E-3</v>
      </c>
      <c r="AF232">
        <v>1.6310000000000001E-3</v>
      </c>
      <c r="AG232">
        <v>1.413E-3</v>
      </c>
      <c r="AH232">
        <v>1.2279999999999999E-3</v>
      </c>
      <c r="AI232" s="21">
        <v>-0.122</v>
      </c>
    </row>
    <row r="233" spans="1:35">
      <c r="A233" t="s">
        <v>336</v>
      </c>
      <c r="B233" t="s">
        <v>1604</v>
      </c>
      <c r="C233" t="s">
        <v>1603</v>
      </c>
      <c r="D233" t="s">
        <v>331</v>
      </c>
      <c r="F233">
        <v>0</v>
      </c>
      <c r="G233">
        <v>0</v>
      </c>
      <c r="H233">
        <v>0.124004</v>
      </c>
      <c r="I233">
        <v>0.12336999999999999</v>
      </c>
      <c r="J233">
        <v>0.123497</v>
      </c>
      <c r="K233">
        <v>0.12639400000000001</v>
      </c>
      <c r="L233">
        <v>0.12881799999999999</v>
      </c>
      <c r="M233">
        <v>0.12857199999999999</v>
      </c>
      <c r="N233">
        <v>0.12715799999999999</v>
      </c>
      <c r="O233">
        <v>0.127133</v>
      </c>
      <c r="P233">
        <v>0.13075700000000001</v>
      </c>
      <c r="Q233">
        <v>0.13653799999999999</v>
      </c>
      <c r="R233">
        <v>0.14230000000000001</v>
      </c>
      <c r="S233">
        <v>0.14810699999999999</v>
      </c>
      <c r="T233">
        <v>0.155443</v>
      </c>
      <c r="U233">
        <v>0.16337199999999999</v>
      </c>
      <c r="V233">
        <v>0.17139299999999999</v>
      </c>
      <c r="W233">
        <v>0.18044499999999999</v>
      </c>
      <c r="X233">
        <v>0.191217</v>
      </c>
      <c r="Y233">
        <v>0.203458</v>
      </c>
      <c r="Z233">
        <v>0.21637600000000001</v>
      </c>
      <c r="AA233">
        <v>0.231353</v>
      </c>
      <c r="AB233">
        <v>0.24589900000000001</v>
      </c>
      <c r="AC233">
        <v>0.25953599999999999</v>
      </c>
      <c r="AD233">
        <v>0.27476200000000001</v>
      </c>
      <c r="AE233">
        <v>0.29278399999999999</v>
      </c>
      <c r="AF233">
        <v>0.31290899999999999</v>
      </c>
      <c r="AG233">
        <v>0.332872</v>
      </c>
      <c r="AH233">
        <v>0.35465200000000002</v>
      </c>
      <c r="AI233" t="s">
        <v>17</v>
      </c>
    </row>
    <row r="234" spans="1:35">
      <c r="A234" t="s">
        <v>335</v>
      </c>
      <c r="B234" t="s">
        <v>1602</v>
      </c>
      <c r="C234" t="s">
        <v>1601</v>
      </c>
      <c r="D234" t="s">
        <v>331</v>
      </c>
      <c r="F234">
        <v>0</v>
      </c>
      <c r="G234">
        <v>0</v>
      </c>
      <c r="H234">
        <v>0.27505000000000002</v>
      </c>
      <c r="I234">
        <v>0.26865899999999998</v>
      </c>
      <c r="J234">
        <v>0.26628800000000002</v>
      </c>
      <c r="K234">
        <v>0.268984</v>
      </c>
      <c r="L234">
        <v>0.26871</v>
      </c>
      <c r="M234">
        <v>0.26366499999999998</v>
      </c>
      <c r="N234">
        <v>0.257156</v>
      </c>
      <c r="O234">
        <v>0.255056</v>
      </c>
      <c r="P234">
        <v>0.25977699999999998</v>
      </c>
      <c r="Q234">
        <v>0.26896799999999998</v>
      </c>
      <c r="R234">
        <v>0.27766999999999997</v>
      </c>
      <c r="S234">
        <v>0.28694399999999998</v>
      </c>
      <c r="T234">
        <v>0.297906</v>
      </c>
      <c r="U234">
        <v>0.31016899999999997</v>
      </c>
      <c r="V234">
        <v>0.32225300000000001</v>
      </c>
      <c r="W234">
        <v>0.33644299999999999</v>
      </c>
      <c r="X234">
        <v>0.35324499999999998</v>
      </c>
      <c r="Y234">
        <v>0.37246200000000002</v>
      </c>
      <c r="Z234">
        <v>0.39206400000000002</v>
      </c>
      <c r="AA234">
        <v>0.41481699999999999</v>
      </c>
      <c r="AB234">
        <v>0.43431999999999998</v>
      </c>
      <c r="AC234">
        <v>0.45070199999999999</v>
      </c>
      <c r="AD234">
        <v>0.46655400000000002</v>
      </c>
      <c r="AE234">
        <v>0.48563899999999999</v>
      </c>
      <c r="AF234">
        <v>0.504992</v>
      </c>
      <c r="AG234">
        <v>0.52243700000000004</v>
      </c>
      <c r="AH234">
        <v>0.53968000000000005</v>
      </c>
      <c r="AI234" t="s">
        <v>17</v>
      </c>
    </row>
    <row r="235" spans="1:35">
      <c r="A235" t="s">
        <v>337</v>
      </c>
      <c r="B235" t="s">
        <v>1600</v>
      </c>
      <c r="C235" t="s">
        <v>1599</v>
      </c>
      <c r="D235" t="s">
        <v>331</v>
      </c>
      <c r="F235">
        <v>0</v>
      </c>
      <c r="G235">
        <v>0</v>
      </c>
      <c r="H235">
        <v>0.41006300000000001</v>
      </c>
      <c r="I235">
        <v>0.41000599999999998</v>
      </c>
      <c r="J235">
        <v>0.41621000000000002</v>
      </c>
      <c r="K235">
        <v>0.42923</v>
      </c>
      <c r="L235">
        <v>0.43662499999999999</v>
      </c>
      <c r="M235">
        <v>0.435529</v>
      </c>
      <c r="N235">
        <v>0.42805599999999999</v>
      </c>
      <c r="O235">
        <v>0.42384300000000003</v>
      </c>
      <c r="P235">
        <v>0.42857499999999998</v>
      </c>
      <c r="Q235">
        <v>0.43723400000000001</v>
      </c>
      <c r="R235">
        <v>0.445851</v>
      </c>
      <c r="S235">
        <v>0.45676800000000001</v>
      </c>
      <c r="T235">
        <v>0.46883200000000003</v>
      </c>
      <c r="U235">
        <v>0.48222100000000001</v>
      </c>
      <c r="V235">
        <v>0.49639699999999998</v>
      </c>
      <c r="W235">
        <v>0.51200900000000005</v>
      </c>
      <c r="X235">
        <v>0.53081999999999996</v>
      </c>
      <c r="Y235">
        <v>0.55196599999999996</v>
      </c>
      <c r="Z235">
        <v>0.57327099999999998</v>
      </c>
      <c r="AA235">
        <v>0.59853599999999996</v>
      </c>
      <c r="AB235">
        <v>0.62161699999999998</v>
      </c>
      <c r="AC235">
        <v>0.64187300000000003</v>
      </c>
      <c r="AD235">
        <v>0.66601399999999999</v>
      </c>
      <c r="AE235">
        <v>0.69730700000000001</v>
      </c>
      <c r="AF235">
        <v>0.73452300000000004</v>
      </c>
      <c r="AG235">
        <v>0.77302800000000005</v>
      </c>
      <c r="AH235">
        <v>0.81800399999999995</v>
      </c>
      <c r="AI235" t="s">
        <v>17</v>
      </c>
    </row>
    <row r="236" spans="1:35">
      <c r="A236" t="s">
        <v>364</v>
      </c>
      <c r="B236" t="s">
        <v>1598</v>
      </c>
      <c r="C236" t="s">
        <v>1597</v>
      </c>
      <c r="D236" t="s">
        <v>331</v>
      </c>
      <c r="F236">
        <v>279.16204800000003</v>
      </c>
      <c r="G236">
        <v>282.80480999999997</v>
      </c>
      <c r="H236">
        <v>281.07968099999999</v>
      </c>
      <c r="I236">
        <v>278.68725599999999</v>
      </c>
      <c r="J236">
        <v>280.256958</v>
      </c>
      <c r="K236">
        <v>285.92919899999998</v>
      </c>
      <c r="L236">
        <v>287.41281099999998</v>
      </c>
      <c r="M236">
        <v>282.88992300000001</v>
      </c>
      <c r="N236">
        <v>273.94830300000001</v>
      </c>
      <c r="O236">
        <v>266.97226000000001</v>
      </c>
      <c r="P236">
        <v>265.300659</v>
      </c>
      <c r="Q236">
        <v>265.54583700000001</v>
      </c>
      <c r="R236">
        <v>265.13763399999999</v>
      </c>
      <c r="S236">
        <v>265.377228</v>
      </c>
      <c r="T236">
        <v>265.48864700000001</v>
      </c>
      <c r="U236">
        <v>265.49408</v>
      </c>
      <c r="V236">
        <v>265.022491</v>
      </c>
      <c r="W236">
        <v>264.367279</v>
      </c>
      <c r="X236">
        <v>264.34481799999998</v>
      </c>
      <c r="Y236">
        <v>264.38436899999999</v>
      </c>
      <c r="Z236">
        <v>263.38577299999997</v>
      </c>
      <c r="AA236">
        <v>263.080872</v>
      </c>
      <c r="AB236">
        <v>260.720215</v>
      </c>
      <c r="AC236">
        <v>256.26821899999999</v>
      </c>
      <c r="AD236">
        <v>252.55316199999999</v>
      </c>
      <c r="AE236">
        <v>250.65791300000001</v>
      </c>
      <c r="AF236">
        <v>249.87380999999999</v>
      </c>
      <c r="AG236">
        <v>248.53254699999999</v>
      </c>
      <c r="AH236">
        <v>248.30985999999999</v>
      </c>
      <c r="AI236" s="21">
        <v>-4.0000000000000001E-3</v>
      </c>
    </row>
    <row r="237" spans="1:35">
      <c r="A237" t="s">
        <v>379</v>
      </c>
      <c r="B237" t="s">
        <v>1596</v>
      </c>
      <c r="C237" t="s">
        <v>1595</v>
      </c>
      <c r="D237" t="s">
        <v>331</v>
      </c>
      <c r="F237">
        <v>711.90508999999997</v>
      </c>
      <c r="G237">
        <v>731.49768100000006</v>
      </c>
      <c r="H237">
        <v>746.08410600000002</v>
      </c>
      <c r="I237">
        <v>755.33306900000002</v>
      </c>
      <c r="J237">
        <v>765.83038299999998</v>
      </c>
      <c r="K237">
        <v>780.86895800000002</v>
      </c>
      <c r="L237">
        <v>788.05279499999995</v>
      </c>
      <c r="M237">
        <v>786.18463099999997</v>
      </c>
      <c r="N237">
        <v>775.89386000000002</v>
      </c>
      <c r="O237">
        <v>769.153503</v>
      </c>
      <c r="P237">
        <v>772.19421399999999</v>
      </c>
      <c r="Q237">
        <v>778.19146699999999</v>
      </c>
      <c r="R237">
        <v>784.09899900000005</v>
      </c>
      <c r="S237">
        <v>793.142517</v>
      </c>
      <c r="T237">
        <v>802.76110800000004</v>
      </c>
      <c r="U237">
        <v>811.77514599999995</v>
      </c>
      <c r="V237">
        <v>820.43054199999995</v>
      </c>
      <c r="W237">
        <v>828.44409199999996</v>
      </c>
      <c r="X237">
        <v>838.05096400000002</v>
      </c>
      <c r="Y237">
        <v>845.96551499999998</v>
      </c>
      <c r="Z237">
        <v>851.84161400000005</v>
      </c>
      <c r="AA237">
        <v>858.72430399999996</v>
      </c>
      <c r="AB237">
        <v>861.682861</v>
      </c>
      <c r="AC237">
        <v>862.92309599999999</v>
      </c>
      <c r="AD237">
        <v>865.21826199999998</v>
      </c>
      <c r="AE237">
        <v>869.99597200000005</v>
      </c>
      <c r="AF237">
        <v>875.87756300000001</v>
      </c>
      <c r="AG237">
        <v>882.39776600000005</v>
      </c>
      <c r="AH237">
        <v>891.90478499999995</v>
      </c>
      <c r="AI237" s="21">
        <v>8.0000000000000002E-3</v>
      </c>
    </row>
    <row r="238" spans="1:35">
      <c r="A238" t="s">
        <v>31</v>
      </c>
    </row>
    <row r="239" spans="1:35">
      <c r="A239" t="s">
        <v>380</v>
      </c>
      <c r="B239" t="s">
        <v>1594</v>
      </c>
      <c r="C239" t="s">
        <v>1593</v>
      </c>
      <c r="D239" t="s">
        <v>381</v>
      </c>
      <c r="F239">
        <v>1620.4948730000001</v>
      </c>
      <c r="G239">
        <v>1600.1008300000001</v>
      </c>
      <c r="H239">
        <v>1666.9197999999999</v>
      </c>
      <c r="I239">
        <v>1628.408447</v>
      </c>
      <c r="J239">
        <v>1561.420654</v>
      </c>
      <c r="K239">
        <v>1509.649414</v>
      </c>
      <c r="L239">
        <v>1489.7312010000001</v>
      </c>
      <c r="M239">
        <v>1507.5151370000001</v>
      </c>
      <c r="N239">
        <v>1500.1649170000001</v>
      </c>
      <c r="O239">
        <v>1506.952393</v>
      </c>
      <c r="P239">
        <v>1522.1982419999999</v>
      </c>
      <c r="Q239">
        <v>1534.73938</v>
      </c>
      <c r="R239">
        <v>1543.237427</v>
      </c>
      <c r="S239">
        <v>1554.590698</v>
      </c>
      <c r="T239">
        <v>1557.5253909999999</v>
      </c>
      <c r="U239">
        <v>1562.481567</v>
      </c>
      <c r="V239">
        <v>1568.966064</v>
      </c>
      <c r="W239">
        <v>1568.3394780000001</v>
      </c>
      <c r="X239">
        <v>1571.777466</v>
      </c>
      <c r="Y239">
        <v>1585.611206</v>
      </c>
      <c r="Z239">
        <v>1597.3070070000001</v>
      </c>
      <c r="AA239">
        <v>1600.190918</v>
      </c>
      <c r="AB239">
        <v>1601.832764</v>
      </c>
      <c r="AC239">
        <v>1602.998779</v>
      </c>
      <c r="AD239">
        <v>1608.1293949999999</v>
      </c>
      <c r="AE239">
        <v>1618.0823969999999</v>
      </c>
      <c r="AF239">
        <v>1630.8079829999999</v>
      </c>
      <c r="AG239">
        <v>1636.8905030000001</v>
      </c>
      <c r="AH239">
        <v>1649.469482</v>
      </c>
      <c r="AI239" s="21">
        <v>1E-3</v>
      </c>
    </row>
    <row r="240" spans="1:35">
      <c r="A240" t="s">
        <v>382</v>
      </c>
      <c r="B240" t="s">
        <v>1592</v>
      </c>
      <c r="C240" t="s">
        <v>1591</v>
      </c>
      <c r="D240" t="s">
        <v>383</v>
      </c>
      <c r="F240">
        <v>3.3663400000000001</v>
      </c>
      <c r="G240">
        <v>3.3698929999999998</v>
      </c>
      <c r="H240">
        <v>3.3734500000000001</v>
      </c>
      <c r="I240">
        <v>3.3770099999999998</v>
      </c>
      <c r="J240">
        <v>3.3805740000000002</v>
      </c>
      <c r="K240">
        <v>3.3841420000000002</v>
      </c>
      <c r="L240">
        <v>3.3877130000000002</v>
      </c>
      <c r="M240">
        <v>3.391289</v>
      </c>
      <c r="N240">
        <v>3.3948680000000002</v>
      </c>
      <c r="O240">
        <v>3.3984510000000001</v>
      </c>
      <c r="P240">
        <v>3.402037</v>
      </c>
      <c r="Q240">
        <v>3.4056280000000001</v>
      </c>
      <c r="R240">
        <v>3.4092220000000002</v>
      </c>
      <c r="S240">
        <v>3.41282</v>
      </c>
      <c r="T240">
        <v>3.4164219999999998</v>
      </c>
      <c r="U240">
        <v>3.4200270000000002</v>
      </c>
      <c r="V240">
        <v>3.4236369999999998</v>
      </c>
      <c r="W240">
        <v>3.4272499999999999</v>
      </c>
      <c r="X240">
        <v>3.4308670000000001</v>
      </c>
      <c r="Y240">
        <v>3.434488</v>
      </c>
      <c r="Z240">
        <v>3.438113</v>
      </c>
      <c r="AA240">
        <v>3.4417409999999999</v>
      </c>
      <c r="AB240">
        <v>3.445373</v>
      </c>
      <c r="AC240">
        <v>3.4490099999999999</v>
      </c>
      <c r="AD240">
        <v>3.4526490000000001</v>
      </c>
      <c r="AE240">
        <v>3.4562930000000001</v>
      </c>
      <c r="AF240">
        <v>3.4599410000000002</v>
      </c>
      <c r="AG240">
        <v>3.4635929999999999</v>
      </c>
      <c r="AH240">
        <v>3.4672480000000001</v>
      </c>
      <c r="AI240" s="21">
        <v>1E-3</v>
      </c>
    </row>
    <row r="241" spans="1:35">
      <c r="A241" t="s">
        <v>384</v>
      </c>
    </row>
    <row r="242" spans="1:35">
      <c r="A242" t="s">
        <v>276</v>
      </c>
      <c r="B242" t="s">
        <v>1590</v>
      </c>
      <c r="C242" t="s">
        <v>1589</v>
      </c>
      <c r="D242" t="s">
        <v>306</v>
      </c>
      <c r="F242">
        <v>480.86654700000003</v>
      </c>
      <c r="G242">
        <v>473.79251099999999</v>
      </c>
      <c r="H242">
        <v>492.51501500000001</v>
      </c>
      <c r="I242">
        <v>480.10034200000001</v>
      </c>
      <c r="J242">
        <v>459.17535400000003</v>
      </c>
      <c r="K242">
        <v>442.59573399999999</v>
      </c>
      <c r="L242">
        <v>435.204926</v>
      </c>
      <c r="M242">
        <v>438.61608899999999</v>
      </c>
      <c r="N242">
        <v>434.49127199999998</v>
      </c>
      <c r="O242">
        <v>434.25302099999999</v>
      </c>
      <c r="P242">
        <v>435.99301100000002</v>
      </c>
      <c r="Q242">
        <v>436.48690800000003</v>
      </c>
      <c r="R242">
        <v>435.37204000000003</v>
      </c>
      <c r="S242">
        <v>434.60772700000001</v>
      </c>
      <c r="T242">
        <v>431.05429099999998</v>
      </c>
      <c r="U242">
        <v>427.65039100000001</v>
      </c>
      <c r="V242">
        <v>424.25372299999998</v>
      </c>
      <c r="W242">
        <v>418.55365</v>
      </c>
      <c r="X242">
        <v>413.58151199999998</v>
      </c>
      <c r="Y242">
        <v>410.946777</v>
      </c>
      <c r="Z242">
        <v>407.33846999999997</v>
      </c>
      <c r="AA242">
        <v>401.121399</v>
      </c>
      <c r="AB242">
        <v>394.29074100000003</v>
      </c>
      <c r="AC242">
        <v>387.06680299999999</v>
      </c>
      <c r="AD242">
        <v>380.52633700000001</v>
      </c>
      <c r="AE242">
        <v>373.70101899999997</v>
      </c>
      <c r="AF242">
        <v>367.609375</v>
      </c>
      <c r="AG242">
        <v>360.13336199999998</v>
      </c>
      <c r="AH242">
        <v>354.19946299999998</v>
      </c>
      <c r="AI242" s="21">
        <v>-1.0999999999999999E-2</v>
      </c>
    </row>
    <row r="243" spans="1:35">
      <c r="A243" t="s">
        <v>285</v>
      </c>
      <c r="B243" t="s">
        <v>1588</v>
      </c>
      <c r="C243" t="s">
        <v>1587</v>
      </c>
      <c r="D243" t="s">
        <v>306</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t="s">
        <v>17</v>
      </c>
    </row>
    <row r="244" spans="1:35">
      <c r="A244" t="s">
        <v>286</v>
      </c>
      <c r="B244" t="s">
        <v>1586</v>
      </c>
      <c r="C244" t="s">
        <v>1585</v>
      </c>
      <c r="D244" t="s">
        <v>306</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t="s">
        <v>17</v>
      </c>
    </row>
    <row r="245" spans="1:35">
      <c r="A245" t="s">
        <v>287</v>
      </c>
      <c r="B245" t="s">
        <v>1584</v>
      </c>
      <c r="C245" t="s">
        <v>1583</v>
      </c>
      <c r="D245" t="s">
        <v>306</v>
      </c>
      <c r="F245">
        <v>0.51516300000000004</v>
      </c>
      <c r="G245">
        <v>1.02989</v>
      </c>
      <c r="H245">
        <v>1.6141289999999999</v>
      </c>
      <c r="I245">
        <v>2.1038670000000002</v>
      </c>
      <c r="J245">
        <v>2.7049910000000001</v>
      </c>
      <c r="K245">
        <v>3.499511</v>
      </c>
      <c r="L245">
        <v>4.5404369999999998</v>
      </c>
      <c r="M245">
        <v>5.9096029999999997</v>
      </c>
      <c r="N245">
        <v>7.4006509999999999</v>
      </c>
      <c r="O245">
        <v>9.1702840000000005</v>
      </c>
      <c r="P245">
        <v>11.444215</v>
      </c>
      <c r="Q245">
        <v>14.161068</v>
      </c>
      <c r="R245">
        <v>17.293554</v>
      </c>
      <c r="S245">
        <v>20.907318</v>
      </c>
      <c r="T245">
        <v>24.839417000000001</v>
      </c>
      <c r="U245">
        <v>29.211893</v>
      </c>
      <c r="V245">
        <v>34.020896999999998</v>
      </c>
      <c r="W245">
        <v>39.055110999999997</v>
      </c>
      <c r="X245">
        <v>44.546832999999999</v>
      </c>
      <c r="Y245">
        <v>50.726470999999997</v>
      </c>
      <c r="Z245">
        <v>57.249889000000003</v>
      </c>
      <c r="AA245">
        <v>63.815086000000001</v>
      </c>
      <c r="AB245">
        <v>70.632087999999996</v>
      </c>
      <c r="AC245">
        <v>77.703888000000006</v>
      </c>
      <c r="AD245">
        <v>85.240448000000001</v>
      </c>
      <c r="AE245">
        <v>94.454329999999999</v>
      </c>
      <c r="AF245">
        <v>103.730484</v>
      </c>
      <c r="AG245">
        <v>112.465706</v>
      </c>
      <c r="AH245">
        <v>121.52919799999999</v>
      </c>
      <c r="AI245" s="21">
        <v>0.215</v>
      </c>
    </row>
    <row r="246" spans="1:35">
      <c r="A246" t="s">
        <v>30</v>
      </c>
    </row>
    <row r="247" spans="1:35">
      <c r="A247" t="s">
        <v>385</v>
      </c>
      <c r="B247" t="s">
        <v>1582</v>
      </c>
      <c r="C247" t="s">
        <v>1581</v>
      </c>
      <c r="D247" t="s">
        <v>381</v>
      </c>
      <c r="F247">
        <v>444.898865</v>
      </c>
      <c r="G247">
        <v>450.42761200000001</v>
      </c>
      <c r="H247">
        <v>448.61004600000001</v>
      </c>
      <c r="I247">
        <v>446.74627700000002</v>
      </c>
      <c r="J247">
        <v>445.22772200000003</v>
      </c>
      <c r="K247">
        <v>442.84777800000001</v>
      </c>
      <c r="L247">
        <v>440.43005399999998</v>
      </c>
      <c r="M247">
        <v>437.02459700000003</v>
      </c>
      <c r="N247">
        <v>434.036407</v>
      </c>
      <c r="O247">
        <v>431.39211999999998</v>
      </c>
      <c r="P247">
        <v>429.99737499999998</v>
      </c>
      <c r="Q247">
        <v>428.16067500000003</v>
      </c>
      <c r="R247">
        <v>426.27862499999998</v>
      </c>
      <c r="S247">
        <v>424.17816199999999</v>
      </c>
      <c r="T247">
        <v>421.71697999999998</v>
      </c>
      <c r="U247">
        <v>419.81463600000001</v>
      </c>
      <c r="V247">
        <v>417.567047</v>
      </c>
      <c r="W247">
        <v>415.80767800000001</v>
      </c>
      <c r="X247">
        <v>414.04513500000002</v>
      </c>
      <c r="Y247">
        <v>412.52209499999998</v>
      </c>
      <c r="Z247">
        <v>411.24774200000002</v>
      </c>
      <c r="AA247">
        <v>409.97735599999999</v>
      </c>
      <c r="AB247">
        <v>408.52224699999999</v>
      </c>
      <c r="AC247">
        <v>406.63034099999999</v>
      </c>
      <c r="AD247">
        <v>405.358521</v>
      </c>
      <c r="AE247">
        <v>403.865906</v>
      </c>
      <c r="AF247">
        <v>401.97906499999999</v>
      </c>
      <c r="AG247">
        <v>400.55664100000001</v>
      </c>
      <c r="AH247">
        <v>400.09832799999998</v>
      </c>
      <c r="AI247" s="21">
        <v>-4.0000000000000001E-3</v>
      </c>
    </row>
    <row r="248" spans="1:35">
      <c r="A248" t="s">
        <v>382</v>
      </c>
      <c r="B248" t="s">
        <v>1580</v>
      </c>
      <c r="C248" t="s">
        <v>1579</v>
      </c>
      <c r="D248" t="s">
        <v>383</v>
      </c>
      <c r="F248">
        <v>4.8202259999999999</v>
      </c>
      <c r="G248">
        <v>4.8389660000000001</v>
      </c>
      <c r="H248">
        <v>4.8577789999999998</v>
      </c>
      <c r="I248">
        <v>4.876665</v>
      </c>
      <c r="J248">
        <v>4.8956239999999998</v>
      </c>
      <c r="K248">
        <v>4.9146570000000001</v>
      </c>
      <c r="L248">
        <v>4.933764</v>
      </c>
      <c r="M248">
        <v>4.9529449999999997</v>
      </c>
      <c r="N248">
        <v>4.9722</v>
      </c>
      <c r="O248">
        <v>4.9915310000000002</v>
      </c>
      <c r="P248">
        <v>5.0109370000000002</v>
      </c>
      <c r="Q248">
        <v>5.0304180000000001</v>
      </c>
      <c r="R248">
        <v>5.0499749999999999</v>
      </c>
      <c r="S248">
        <v>5.0696079999999997</v>
      </c>
      <c r="T248">
        <v>5.0893170000000003</v>
      </c>
      <c r="U248">
        <v>5.1091030000000002</v>
      </c>
      <c r="V248">
        <v>5.1289660000000001</v>
      </c>
      <c r="W248">
        <v>5.1489060000000002</v>
      </c>
      <c r="X248">
        <v>5.1689230000000004</v>
      </c>
      <c r="Y248">
        <v>5.189019</v>
      </c>
      <c r="Z248">
        <v>5.2091919999999998</v>
      </c>
      <c r="AA248">
        <v>5.2294450000000001</v>
      </c>
      <c r="AB248">
        <v>5.2497749999999996</v>
      </c>
      <c r="AC248">
        <v>5.2701849999999997</v>
      </c>
      <c r="AD248">
        <v>5.2906740000000001</v>
      </c>
      <c r="AE248">
        <v>5.3112430000000002</v>
      </c>
      <c r="AF248">
        <v>5.3318919999999999</v>
      </c>
      <c r="AG248">
        <v>5.3526210000000001</v>
      </c>
      <c r="AH248">
        <v>5.3734299999999999</v>
      </c>
      <c r="AI248" s="21">
        <v>4.0000000000000001E-3</v>
      </c>
    </row>
    <row r="249" spans="1:35">
      <c r="A249" t="s">
        <v>384</v>
      </c>
    </row>
    <row r="250" spans="1:35">
      <c r="A250" t="s">
        <v>276</v>
      </c>
      <c r="B250" t="s">
        <v>1578</v>
      </c>
      <c r="C250" t="s">
        <v>1306</v>
      </c>
      <c r="D250" t="s">
        <v>306</v>
      </c>
      <c r="F250">
        <v>95.724982999999995</v>
      </c>
      <c r="G250">
        <v>96.410872999999995</v>
      </c>
      <c r="H250">
        <v>95.648369000000002</v>
      </c>
      <c r="I250">
        <v>94.922400999999994</v>
      </c>
      <c r="J250">
        <v>94.299674999999993</v>
      </c>
      <c r="K250">
        <v>93.480141000000003</v>
      </c>
      <c r="L250">
        <v>92.663535999999993</v>
      </c>
      <c r="M250">
        <v>91.636002000000005</v>
      </c>
      <c r="N250">
        <v>90.709732000000002</v>
      </c>
      <c r="O250">
        <v>89.864052000000001</v>
      </c>
      <c r="P250">
        <v>89.271820000000005</v>
      </c>
      <c r="Q250">
        <v>88.583907999999994</v>
      </c>
      <c r="R250">
        <v>87.881882000000004</v>
      </c>
      <c r="S250">
        <v>87.154610000000005</v>
      </c>
      <c r="T250">
        <v>86.355025999999995</v>
      </c>
      <c r="U250">
        <v>85.672011999999995</v>
      </c>
      <c r="V250">
        <v>84.929305999999997</v>
      </c>
      <c r="W250">
        <v>84.290549999999996</v>
      </c>
      <c r="X250">
        <v>83.598647999999997</v>
      </c>
      <c r="Y250">
        <v>82.885955999999993</v>
      </c>
      <c r="Z250">
        <v>82.221778999999998</v>
      </c>
      <c r="AA250">
        <v>81.555756000000002</v>
      </c>
      <c r="AB250">
        <v>80.850998000000004</v>
      </c>
      <c r="AC250">
        <v>80.058989999999994</v>
      </c>
      <c r="AD250">
        <v>79.380050999999995</v>
      </c>
      <c r="AE250">
        <v>78.650115999999997</v>
      </c>
      <c r="AF250">
        <v>77.846335999999994</v>
      </c>
      <c r="AG250">
        <v>77.124741</v>
      </c>
      <c r="AH250">
        <v>76.572761999999997</v>
      </c>
      <c r="AI250" s="21">
        <v>-8.0000000000000002E-3</v>
      </c>
    </row>
    <row r="251" spans="1:35">
      <c r="A251" t="s">
        <v>285</v>
      </c>
      <c r="B251" t="s">
        <v>1577</v>
      </c>
      <c r="C251" t="s">
        <v>1304</v>
      </c>
      <c r="D251" t="s">
        <v>306</v>
      </c>
      <c r="F251">
        <v>1.875904</v>
      </c>
      <c r="G251">
        <v>1.8078829999999999</v>
      </c>
      <c r="H251">
        <v>1.7136819999999999</v>
      </c>
      <c r="I251">
        <v>1.621937</v>
      </c>
      <c r="J251">
        <v>1.5413140000000001</v>
      </c>
      <c r="K251">
        <v>1.455168</v>
      </c>
      <c r="L251">
        <v>1.371278</v>
      </c>
      <c r="M251">
        <v>1.2863249999999999</v>
      </c>
      <c r="N251">
        <v>1.1999850000000001</v>
      </c>
      <c r="O251">
        <v>1.1125510000000001</v>
      </c>
      <c r="P251">
        <v>1.0315639999999999</v>
      </c>
      <c r="Q251">
        <v>0.94839600000000002</v>
      </c>
      <c r="R251">
        <v>0.86860599999999999</v>
      </c>
      <c r="S251">
        <v>0.79182399999999997</v>
      </c>
      <c r="T251">
        <v>0.72530600000000001</v>
      </c>
      <c r="U251">
        <v>0.65481</v>
      </c>
      <c r="V251">
        <v>0.57531900000000002</v>
      </c>
      <c r="W251">
        <v>0.49192999999999998</v>
      </c>
      <c r="X251">
        <v>0.417902</v>
      </c>
      <c r="Y251">
        <v>0.41475499999999998</v>
      </c>
      <c r="Z251">
        <v>0.41187499999999999</v>
      </c>
      <c r="AA251">
        <v>0.40901599999999999</v>
      </c>
      <c r="AB251">
        <v>0.40599000000000002</v>
      </c>
      <c r="AC251">
        <v>0.40254800000000002</v>
      </c>
      <c r="AD251">
        <v>0.39974100000000001</v>
      </c>
      <c r="AE251">
        <v>0.396733</v>
      </c>
      <c r="AF251">
        <v>0.39335599999999998</v>
      </c>
      <c r="AG251">
        <v>0.39045299999999999</v>
      </c>
      <c r="AH251">
        <v>0.38850499999999999</v>
      </c>
      <c r="AI251" s="21">
        <v>-5.5E-2</v>
      </c>
    </row>
    <row r="252" spans="1:35">
      <c r="A252" t="s">
        <v>286</v>
      </c>
      <c r="B252" t="s">
        <v>1576</v>
      </c>
      <c r="C252" t="s">
        <v>1302</v>
      </c>
      <c r="D252" t="s">
        <v>306</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t="s">
        <v>17</v>
      </c>
    </row>
    <row r="253" spans="1:35">
      <c r="A253" t="s">
        <v>287</v>
      </c>
      <c r="B253" t="s">
        <v>1575</v>
      </c>
      <c r="C253" t="s">
        <v>1300</v>
      </c>
      <c r="D253" t="s">
        <v>306</v>
      </c>
      <c r="F253">
        <v>0.638131</v>
      </c>
      <c r="G253">
        <v>0.70199999999999996</v>
      </c>
      <c r="H253">
        <v>0.75260700000000003</v>
      </c>
      <c r="I253">
        <v>0.80172500000000002</v>
      </c>
      <c r="J253">
        <v>0.84487999999999996</v>
      </c>
      <c r="K253">
        <v>0.88815699999999997</v>
      </c>
      <c r="L253">
        <v>0.92988400000000004</v>
      </c>
      <c r="M253">
        <v>0.96818099999999996</v>
      </c>
      <c r="N253">
        <v>1.009477</v>
      </c>
      <c r="O253">
        <v>1.053212</v>
      </c>
      <c r="P253">
        <v>1.0977250000000001</v>
      </c>
      <c r="Q253">
        <v>1.1419189999999999</v>
      </c>
      <c r="R253">
        <v>1.183538</v>
      </c>
      <c r="S253">
        <v>1.2224330000000001</v>
      </c>
      <c r="T253">
        <v>1.252678</v>
      </c>
      <c r="U253">
        <v>1.2881480000000001</v>
      </c>
      <c r="V253">
        <v>1.3287279999999999</v>
      </c>
      <c r="W253">
        <v>1.374214</v>
      </c>
      <c r="X253">
        <v>1.4570460000000001</v>
      </c>
      <c r="Y253">
        <v>1.54541</v>
      </c>
      <c r="Z253">
        <v>1.640115</v>
      </c>
      <c r="AA253">
        <v>1.7406269999999999</v>
      </c>
      <c r="AB253">
        <v>1.8464670000000001</v>
      </c>
      <c r="AC253">
        <v>1.956663</v>
      </c>
      <c r="AD253">
        <v>2.0764179999999999</v>
      </c>
      <c r="AE253">
        <v>2.2021730000000002</v>
      </c>
      <c r="AF253">
        <v>2.3334239999999999</v>
      </c>
      <c r="AG253">
        <v>2.4752070000000002</v>
      </c>
      <c r="AH253">
        <v>2.6315870000000001</v>
      </c>
      <c r="AI253" s="21">
        <v>5.1999999999999998E-2</v>
      </c>
    </row>
    <row r="254" spans="1:35">
      <c r="A254" t="s">
        <v>29</v>
      </c>
    </row>
    <row r="255" spans="1:35">
      <c r="A255" t="s">
        <v>386</v>
      </c>
      <c r="B255" t="s">
        <v>1574</v>
      </c>
      <c r="C255" t="s">
        <v>1573</v>
      </c>
      <c r="D255" t="s">
        <v>387</v>
      </c>
      <c r="F255">
        <v>5234.1591799999997</v>
      </c>
      <c r="G255">
        <v>5273.296875</v>
      </c>
      <c r="H255">
        <v>5362.6445309999999</v>
      </c>
      <c r="I255">
        <v>5516.3344729999999</v>
      </c>
      <c r="J255">
        <v>5699.1494140000004</v>
      </c>
      <c r="K255">
        <v>5878.9716799999997</v>
      </c>
      <c r="L255">
        <v>6041.2578119999998</v>
      </c>
      <c r="M255">
        <v>6192.2470700000003</v>
      </c>
      <c r="N255">
        <v>6343.6660160000001</v>
      </c>
      <c r="O255">
        <v>6511.3486329999996</v>
      </c>
      <c r="P255">
        <v>6715.9096680000002</v>
      </c>
      <c r="Q255">
        <v>6915.4399409999996</v>
      </c>
      <c r="R255">
        <v>7116.8901370000003</v>
      </c>
      <c r="S255">
        <v>7327.4184569999998</v>
      </c>
      <c r="T255">
        <v>7523.0537109999996</v>
      </c>
      <c r="U255">
        <v>7718.1992190000001</v>
      </c>
      <c r="V255">
        <v>7912.0834960000002</v>
      </c>
      <c r="W255">
        <v>8137.939453</v>
      </c>
      <c r="X255">
        <v>8368.4814449999994</v>
      </c>
      <c r="Y255">
        <v>8606.8613280000009</v>
      </c>
      <c r="Z255">
        <v>8874.4423829999996</v>
      </c>
      <c r="AA255">
        <v>9160.3457030000009</v>
      </c>
      <c r="AB255">
        <v>9472.5527340000008</v>
      </c>
      <c r="AC255">
        <v>9798.0292969999991</v>
      </c>
      <c r="AD255">
        <v>10143.948242</v>
      </c>
      <c r="AE255">
        <v>10485.746094</v>
      </c>
      <c r="AF255">
        <v>10850.213867</v>
      </c>
      <c r="AG255">
        <v>11224.771484000001</v>
      </c>
      <c r="AH255">
        <v>11635.883789</v>
      </c>
      <c r="AI255" s="21">
        <v>2.9000000000000001E-2</v>
      </c>
    </row>
    <row r="256" spans="1:35">
      <c r="A256" t="s">
        <v>388</v>
      </c>
      <c r="B256" t="s">
        <v>1572</v>
      </c>
      <c r="C256" t="s">
        <v>1571</v>
      </c>
      <c r="D256" t="s">
        <v>387</v>
      </c>
      <c r="F256">
        <v>1831.682251</v>
      </c>
      <c r="G256">
        <v>1866.1319579999999</v>
      </c>
      <c r="H256">
        <v>1903.4384769999999</v>
      </c>
      <c r="I256">
        <v>1962.4832759999999</v>
      </c>
      <c r="J256">
        <v>2030.4210210000001</v>
      </c>
      <c r="K256">
        <v>2091.8476559999999</v>
      </c>
      <c r="L256">
        <v>2140.1359859999998</v>
      </c>
      <c r="M256">
        <v>2176.3395999999998</v>
      </c>
      <c r="N256">
        <v>2205.485107</v>
      </c>
      <c r="O256">
        <v>2234.9177249999998</v>
      </c>
      <c r="P256">
        <v>2273.3510740000002</v>
      </c>
      <c r="Q256">
        <v>2317.189453</v>
      </c>
      <c r="R256">
        <v>2363.84375</v>
      </c>
      <c r="S256">
        <v>2415.5078119999998</v>
      </c>
      <c r="T256">
        <v>2471.7585450000001</v>
      </c>
      <c r="U256">
        <v>2534.2473140000002</v>
      </c>
      <c r="V256">
        <v>2596.5371089999999</v>
      </c>
      <c r="W256">
        <v>2674.233643</v>
      </c>
      <c r="X256">
        <v>2759.7326659999999</v>
      </c>
      <c r="Y256">
        <v>2843.7934570000002</v>
      </c>
      <c r="Z256">
        <v>2937.530518</v>
      </c>
      <c r="AA256">
        <v>3038.2260740000002</v>
      </c>
      <c r="AB256">
        <v>3149.4558109999998</v>
      </c>
      <c r="AC256">
        <v>3264.0588379999999</v>
      </c>
      <c r="AD256">
        <v>3390.117432</v>
      </c>
      <c r="AE256">
        <v>3513.3171390000002</v>
      </c>
      <c r="AF256">
        <v>3646.149414</v>
      </c>
      <c r="AG256">
        <v>3789.6210940000001</v>
      </c>
      <c r="AH256">
        <v>3944.2458499999998</v>
      </c>
      <c r="AI256" s="21">
        <v>2.8000000000000001E-2</v>
      </c>
    </row>
    <row r="257" spans="1:35">
      <c r="A257" t="s">
        <v>389</v>
      </c>
      <c r="B257" t="s">
        <v>1570</v>
      </c>
      <c r="C257" t="s">
        <v>1569</v>
      </c>
      <c r="D257" t="s">
        <v>387</v>
      </c>
      <c r="F257">
        <v>3402.476807</v>
      </c>
      <c r="G257">
        <v>3407.165039</v>
      </c>
      <c r="H257">
        <v>3459.2060550000001</v>
      </c>
      <c r="I257">
        <v>3553.8510740000002</v>
      </c>
      <c r="J257">
        <v>3668.7282709999999</v>
      </c>
      <c r="K257">
        <v>3787.123779</v>
      </c>
      <c r="L257">
        <v>3901.1220699999999</v>
      </c>
      <c r="M257">
        <v>4015.9077149999998</v>
      </c>
      <c r="N257">
        <v>4138.1806640000004</v>
      </c>
      <c r="O257">
        <v>4276.4311520000001</v>
      </c>
      <c r="P257">
        <v>4442.5585940000001</v>
      </c>
      <c r="Q257">
        <v>4598.2504879999997</v>
      </c>
      <c r="R257">
        <v>4753.0463870000003</v>
      </c>
      <c r="S257">
        <v>4911.9106449999999</v>
      </c>
      <c r="T257">
        <v>5051.294922</v>
      </c>
      <c r="U257">
        <v>5183.9516599999997</v>
      </c>
      <c r="V257">
        <v>5315.5463870000003</v>
      </c>
      <c r="W257">
        <v>5463.7055659999996</v>
      </c>
      <c r="X257">
        <v>5608.7485349999997</v>
      </c>
      <c r="Y257">
        <v>5763.0683589999999</v>
      </c>
      <c r="Z257">
        <v>5936.9116210000002</v>
      </c>
      <c r="AA257">
        <v>6122.1201170000004</v>
      </c>
      <c r="AB257">
        <v>6323.0971680000002</v>
      </c>
      <c r="AC257">
        <v>6533.9702150000003</v>
      </c>
      <c r="AD257">
        <v>6753.8305659999996</v>
      </c>
      <c r="AE257">
        <v>6972.4287109999996</v>
      </c>
      <c r="AF257">
        <v>7204.064453</v>
      </c>
      <c r="AG257">
        <v>7435.1499020000001</v>
      </c>
      <c r="AH257">
        <v>7691.6376950000003</v>
      </c>
      <c r="AI257" s="21">
        <v>0.03</v>
      </c>
    </row>
    <row r="258" spans="1:35">
      <c r="A258" t="s">
        <v>384</v>
      </c>
    </row>
    <row r="259" spans="1:35">
      <c r="A259" t="s">
        <v>276</v>
      </c>
      <c r="B259" t="s">
        <v>1568</v>
      </c>
      <c r="C259" t="s">
        <v>1296</v>
      </c>
      <c r="D259" t="s">
        <v>306</v>
      </c>
      <c r="F259">
        <v>222.93867499999999</v>
      </c>
      <c r="G259">
        <v>318.21374500000002</v>
      </c>
      <c r="H259">
        <v>318.50683600000002</v>
      </c>
      <c r="I259">
        <v>321.42748999999998</v>
      </c>
      <c r="J259">
        <v>326.40893599999998</v>
      </c>
      <c r="K259">
        <v>331.75039700000002</v>
      </c>
      <c r="L259">
        <v>339.13262900000001</v>
      </c>
      <c r="M259">
        <v>343.65380900000002</v>
      </c>
      <c r="N259">
        <v>348.44000199999999</v>
      </c>
      <c r="O259">
        <v>348.61184700000001</v>
      </c>
      <c r="P259">
        <v>349.93618800000002</v>
      </c>
      <c r="Q259">
        <v>351.71850599999999</v>
      </c>
      <c r="R259">
        <v>354.40063500000002</v>
      </c>
      <c r="S259">
        <v>355.17700200000002</v>
      </c>
      <c r="T259">
        <v>356.67022700000001</v>
      </c>
      <c r="U259">
        <v>356.87670900000001</v>
      </c>
      <c r="V259">
        <v>358.82894900000002</v>
      </c>
      <c r="W259">
        <v>358.93920900000001</v>
      </c>
      <c r="X259">
        <v>360.572205</v>
      </c>
      <c r="Y259">
        <v>361.26196299999998</v>
      </c>
      <c r="Z259">
        <v>361.28478999999999</v>
      </c>
      <c r="AA259">
        <v>360.64623999999998</v>
      </c>
      <c r="AB259">
        <v>360.38775600000002</v>
      </c>
      <c r="AC259">
        <v>360.05560300000002</v>
      </c>
      <c r="AD259">
        <v>358.46176100000002</v>
      </c>
      <c r="AE259">
        <v>357.26376299999998</v>
      </c>
      <c r="AF259">
        <v>357.07412699999998</v>
      </c>
      <c r="AG259">
        <v>355.22808800000001</v>
      </c>
      <c r="AH259">
        <v>354.51147500000002</v>
      </c>
      <c r="AI259" s="21">
        <v>1.7000000000000001E-2</v>
      </c>
    </row>
    <row r="260" spans="1:35">
      <c r="A260" t="s">
        <v>285</v>
      </c>
      <c r="B260" t="s">
        <v>1567</v>
      </c>
      <c r="C260" t="s">
        <v>1294</v>
      </c>
      <c r="D260" t="s">
        <v>306</v>
      </c>
      <c r="F260">
        <v>685.66516100000001</v>
      </c>
      <c r="G260">
        <v>532.149719</v>
      </c>
      <c r="H260">
        <v>519.35320999999999</v>
      </c>
      <c r="I260">
        <v>520.34844999999996</v>
      </c>
      <c r="J260">
        <v>497.46441700000003</v>
      </c>
      <c r="K260">
        <v>487.75363199999998</v>
      </c>
      <c r="L260">
        <v>469.75631700000002</v>
      </c>
      <c r="M260">
        <v>458.26986699999998</v>
      </c>
      <c r="N260">
        <v>449.82733200000001</v>
      </c>
      <c r="O260">
        <v>449.95632899999998</v>
      </c>
      <c r="P260">
        <v>449.27517699999999</v>
      </c>
      <c r="Q260">
        <v>449.44375600000001</v>
      </c>
      <c r="R260">
        <v>447.34497099999999</v>
      </c>
      <c r="S260">
        <v>447.23684700000001</v>
      </c>
      <c r="T260">
        <v>444.02316300000001</v>
      </c>
      <c r="U260">
        <v>442.96899400000001</v>
      </c>
      <c r="V260">
        <v>441.815674</v>
      </c>
      <c r="W260">
        <v>439.63165300000003</v>
      </c>
      <c r="X260">
        <v>437.97662400000002</v>
      </c>
      <c r="Y260">
        <v>436.76757800000001</v>
      </c>
      <c r="Z260">
        <v>436.80938700000002</v>
      </c>
      <c r="AA260">
        <v>435.24386600000003</v>
      </c>
      <c r="AB260">
        <v>434.29315200000002</v>
      </c>
      <c r="AC260">
        <v>432.733093</v>
      </c>
      <c r="AD260">
        <v>438.45755000000003</v>
      </c>
      <c r="AE260">
        <v>437.70047</v>
      </c>
      <c r="AF260">
        <v>432.92089800000002</v>
      </c>
      <c r="AG260">
        <v>429.24749800000001</v>
      </c>
      <c r="AH260">
        <v>424.56079099999999</v>
      </c>
      <c r="AI260" s="21">
        <v>-1.7000000000000001E-2</v>
      </c>
    </row>
    <row r="261" spans="1:35">
      <c r="A261" t="s">
        <v>286</v>
      </c>
      <c r="B261" t="s">
        <v>1566</v>
      </c>
      <c r="C261" t="s">
        <v>1292</v>
      </c>
      <c r="D261" t="s">
        <v>306</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t="s">
        <v>17</v>
      </c>
    </row>
    <row r="262" spans="1:35">
      <c r="A262" t="s">
        <v>287</v>
      </c>
      <c r="B262" t="s">
        <v>1565</v>
      </c>
      <c r="C262" t="s">
        <v>1290</v>
      </c>
      <c r="D262" t="s">
        <v>306</v>
      </c>
      <c r="F262">
        <v>26.423862</v>
      </c>
      <c r="G262">
        <v>31.466925</v>
      </c>
      <c r="H262">
        <v>39.867241</v>
      </c>
      <c r="I262">
        <v>36.828189999999999</v>
      </c>
      <c r="J262">
        <v>47.376953</v>
      </c>
      <c r="K262">
        <v>48.944679000000001</v>
      </c>
      <c r="L262">
        <v>53.800423000000002</v>
      </c>
      <c r="M262">
        <v>57.218277</v>
      </c>
      <c r="N262">
        <v>58.367088000000003</v>
      </c>
      <c r="O262">
        <v>58.568268000000003</v>
      </c>
      <c r="P262">
        <v>58.225639000000001</v>
      </c>
      <c r="Q262">
        <v>56.838042999999999</v>
      </c>
      <c r="R262">
        <v>56.014595</v>
      </c>
      <c r="S262">
        <v>55.804080999999996</v>
      </c>
      <c r="T262">
        <v>56.853912000000001</v>
      </c>
      <c r="U262">
        <v>57.767783999999999</v>
      </c>
      <c r="V262">
        <v>56.989986000000002</v>
      </c>
      <c r="W262">
        <v>58.778945999999998</v>
      </c>
      <c r="X262">
        <v>58.696617000000003</v>
      </c>
      <c r="Y262">
        <v>59.2714</v>
      </c>
      <c r="Z262">
        <v>59.735518999999996</v>
      </c>
      <c r="AA262">
        <v>61.929656999999999</v>
      </c>
      <c r="AB262">
        <v>63.367027</v>
      </c>
      <c r="AC262">
        <v>65.278946000000005</v>
      </c>
      <c r="AD262">
        <v>63.714081</v>
      </c>
      <c r="AE262">
        <v>65.960021999999995</v>
      </c>
      <c r="AF262">
        <v>69.839432000000002</v>
      </c>
      <c r="AG262">
        <v>74.646148999999994</v>
      </c>
      <c r="AH262">
        <v>79.022368999999998</v>
      </c>
      <c r="AI262" s="21">
        <v>0.04</v>
      </c>
    </row>
  </sheetData>
  <pageMargins left="0.75" right="0.75" top="1" bottom="1" header="0.5" footer="0.5"/>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81E2C3-CA0D-40B8-AD45-0F38CD905826}">
  <dimension ref="A1:AH4502"/>
  <sheetViews>
    <sheetView workbookViewId="0">
      <selection activeCell="A23" sqref="A23"/>
    </sheetView>
  </sheetViews>
  <sheetFormatPr defaultRowHeight="15"/>
  <sheetData>
    <row r="1" spans="1:33" ht="15.75" thickBot="1">
      <c r="A1" s="148"/>
      <c r="B1" s="150" t="s">
        <v>835</v>
      </c>
      <c r="C1" s="151">
        <v>2022</v>
      </c>
      <c r="D1" s="151">
        <v>2023</v>
      </c>
      <c r="E1" s="151">
        <v>2024</v>
      </c>
      <c r="F1" s="151">
        <v>2025</v>
      </c>
      <c r="G1" s="151">
        <v>2026</v>
      </c>
      <c r="H1" s="151">
        <v>2027</v>
      </c>
      <c r="I1" s="151">
        <v>2028</v>
      </c>
      <c r="J1" s="151">
        <v>2029</v>
      </c>
      <c r="K1" s="151">
        <v>2030</v>
      </c>
      <c r="L1" s="151">
        <v>2031</v>
      </c>
      <c r="M1" s="151">
        <v>2032</v>
      </c>
      <c r="N1" s="151">
        <v>2033</v>
      </c>
      <c r="O1" s="151">
        <v>2034</v>
      </c>
      <c r="P1" s="151">
        <v>2035</v>
      </c>
      <c r="Q1" s="151">
        <v>2036</v>
      </c>
      <c r="R1" s="151">
        <v>2037</v>
      </c>
      <c r="S1" s="151">
        <v>2038</v>
      </c>
      <c r="T1" s="151">
        <v>2039</v>
      </c>
      <c r="U1" s="151">
        <v>2040</v>
      </c>
      <c r="V1" s="151">
        <v>2041</v>
      </c>
      <c r="W1" s="151">
        <v>2042</v>
      </c>
      <c r="X1" s="151">
        <v>2043</v>
      </c>
      <c r="Y1" s="151">
        <v>2044</v>
      </c>
      <c r="Z1" s="151">
        <v>2045</v>
      </c>
      <c r="AA1" s="151">
        <v>2046</v>
      </c>
      <c r="AB1" s="151">
        <v>2047</v>
      </c>
      <c r="AC1" s="151">
        <v>2048</v>
      </c>
      <c r="AD1" s="151">
        <v>2049</v>
      </c>
      <c r="AE1" s="151">
        <v>2050</v>
      </c>
      <c r="AF1" s="148"/>
      <c r="AG1" s="148"/>
    </row>
    <row r="2" spans="1:33" ht="15.75" thickTop="1">
      <c r="A2" s="148"/>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c r="AD2" s="148"/>
      <c r="AE2" s="148"/>
      <c r="AF2" s="148"/>
      <c r="AG2" s="148"/>
    </row>
    <row r="3" spans="1:33">
      <c r="A3" s="148"/>
      <c r="B3" s="148"/>
      <c r="C3" s="152" t="s">
        <v>25</v>
      </c>
      <c r="D3" s="152" t="s">
        <v>836</v>
      </c>
      <c r="E3" s="105"/>
      <c r="F3" s="105"/>
      <c r="G3" s="105"/>
      <c r="H3" s="148"/>
      <c r="I3" s="148"/>
      <c r="J3" s="148"/>
      <c r="K3" s="148"/>
      <c r="L3" s="148"/>
      <c r="M3" s="148"/>
      <c r="N3" s="148"/>
      <c r="O3" s="148"/>
      <c r="P3" s="148"/>
      <c r="Q3" s="148"/>
      <c r="R3" s="148"/>
      <c r="S3" s="148"/>
      <c r="T3" s="148"/>
      <c r="U3" s="148"/>
      <c r="V3" s="148"/>
      <c r="W3" s="148"/>
      <c r="X3" s="148"/>
      <c r="Y3" s="148"/>
      <c r="Z3" s="148"/>
      <c r="AA3" s="148"/>
      <c r="AB3" s="148"/>
      <c r="AC3" s="148"/>
      <c r="AD3" s="148"/>
      <c r="AE3" s="148"/>
      <c r="AF3" s="148"/>
      <c r="AG3" s="148"/>
    </row>
    <row r="4" spans="1:33">
      <c r="A4" s="148"/>
      <c r="B4" s="148"/>
      <c r="C4" s="152" t="s">
        <v>24</v>
      </c>
      <c r="D4" s="152" t="s">
        <v>837</v>
      </c>
      <c r="E4" s="105"/>
      <c r="F4" s="105"/>
      <c r="G4" s="152" t="s">
        <v>838</v>
      </c>
      <c r="H4" s="148"/>
      <c r="I4" s="148"/>
      <c r="J4" s="148"/>
      <c r="K4" s="148"/>
      <c r="L4" s="148"/>
      <c r="M4" s="148"/>
      <c r="N4" s="148"/>
      <c r="O4" s="148"/>
      <c r="P4" s="148"/>
      <c r="Q4" s="148"/>
      <c r="R4" s="148"/>
      <c r="S4" s="148"/>
      <c r="T4" s="148"/>
      <c r="U4" s="148"/>
      <c r="V4" s="148"/>
      <c r="W4" s="148"/>
      <c r="X4" s="148"/>
      <c r="Y4" s="148"/>
      <c r="Z4" s="148"/>
      <c r="AA4" s="148"/>
      <c r="AB4" s="148"/>
      <c r="AC4" s="148"/>
      <c r="AD4" s="148"/>
      <c r="AE4" s="148"/>
      <c r="AF4" s="148"/>
      <c r="AG4" s="148"/>
    </row>
    <row r="5" spans="1:33">
      <c r="A5" s="148"/>
      <c r="B5" s="148"/>
      <c r="C5" s="152" t="s">
        <v>23</v>
      </c>
      <c r="D5" s="152" t="s">
        <v>839</v>
      </c>
      <c r="E5" s="105"/>
      <c r="F5" s="105"/>
      <c r="G5" s="105"/>
      <c r="H5" s="148"/>
      <c r="I5" s="148"/>
      <c r="J5" s="148"/>
      <c r="K5" s="148"/>
      <c r="L5" s="148"/>
      <c r="M5" s="148"/>
      <c r="N5" s="148"/>
      <c r="O5" s="148"/>
      <c r="P5" s="148"/>
      <c r="Q5" s="148"/>
      <c r="R5" s="148"/>
      <c r="S5" s="148"/>
      <c r="T5" s="148"/>
      <c r="U5" s="148"/>
      <c r="V5" s="148"/>
      <c r="W5" s="148"/>
      <c r="X5" s="148"/>
      <c r="Y5" s="148"/>
      <c r="Z5" s="148"/>
      <c r="AA5" s="148"/>
      <c r="AB5" s="148"/>
      <c r="AC5" s="148"/>
      <c r="AD5" s="148"/>
      <c r="AE5" s="148"/>
      <c r="AF5" s="148"/>
      <c r="AG5" s="148"/>
    </row>
    <row r="6" spans="1:33">
      <c r="A6" s="148"/>
      <c r="B6" s="148"/>
      <c r="C6" s="152" t="s">
        <v>22</v>
      </c>
      <c r="D6" s="105"/>
      <c r="E6" s="152" t="s">
        <v>840</v>
      </c>
      <c r="F6" s="105"/>
      <c r="G6" s="105"/>
      <c r="H6" s="148"/>
      <c r="I6" s="148"/>
      <c r="J6" s="148"/>
      <c r="K6" s="148"/>
      <c r="L6" s="148"/>
      <c r="M6" s="148"/>
      <c r="N6" s="148"/>
      <c r="O6" s="148"/>
      <c r="P6" s="148"/>
      <c r="Q6" s="148"/>
      <c r="R6" s="148"/>
      <c r="S6" s="148"/>
      <c r="T6" s="148"/>
      <c r="U6" s="148"/>
      <c r="V6" s="148"/>
      <c r="W6" s="148"/>
      <c r="X6" s="148"/>
      <c r="Y6" s="148"/>
      <c r="Z6" s="148"/>
      <c r="AA6" s="148"/>
      <c r="AB6" s="148"/>
      <c r="AC6" s="148"/>
      <c r="AD6" s="148"/>
      <c r="AE6" s="148"/>
      <c r="AF6" s="148"/>
      <c r="AG6" s="148"/>
    </row>
    <row r="7" spans="1:33">
      <c r="A7" s="148"/>
      <c r="B7" s="148"/>
      <c r="C7" s="148"/>
      <c r="D7" s="148"/>
      <c r="E7" s="148"/>
      <c r="F7" s="148"/>
      <c r="G7" s="148"/>
      <c r="H7" s="148"/>
      <c r="I7" s="148"/>
      <c r="J7" s="148"/>
      <c r="K7" s="148"/>
      <c r="L7" s="148"/>
      <c r="M7" s="148"/>
      <c r="N7" s="148"/>
      <c r="O7" s="148"/>
      <c r="P7" s="148"/>
      <c r="Q7" s="148"/>
      <c r="R7" s="148"/>
      <c r="S7" s="148"/>
      <c r="T7" s="148"/>
      <c r="U7" s="148"/>
      <c r="V7" s="148"/>
      <c r="W7" s="148"/>
      <c r="X7" s="148"/>
      <c r="Y7" s="148"/>
      <c r="Z7" s="148"/>
      <c r="AA7" s="148"/>
      <c r="AB7" s="148"/>
      <c r="AC7" s="148"/>
      <c r="AD7" s="148"/>
      <c r="AE7" s="148"/>
      <c r="AF7" s="148"/>
      <c r="AG7" s="148"/>
    </row>
    <row r="8" spans="1:33">
      <c r="A8" s="148"/>
      <c r="B8" s="148"/>
      <c r="C8" s="148"/>
      <c r="D8" s="148"/>
      <c r="E8" s="148"/>
      <c r="F8" s="148"/>
      <c r="G8" s="148"/>
      <c r="H8" s="148"/>
      <c r="I8" s="148"/>
      <c r="J8" s="148"/>
      <c r="K8" s="148"/>
      <c r="L8" s="148"/>
      <c r="M8" s="148"/>
      <c r="N8" s="148"/>
      <c r="O8" s="148"/>
      <c r="P8" s="148"/>
      <c r="Q8" s="148"/>
      <c r="R8" s="148"/>
      <c r="S8" s="148"/>
      <c r="T8" s="148"/>
      <c r="U8" s="148"/>
      <c r="V8" s="148"/>
      <c r="W8" s="148"/>
      <c r="X8" s="148"/>
      <c r="Y8" s="148"/>
      <c r="Z8" s="148"/>
      <c r="AA8" s="148"/>
      <c r="AB8" s="148"/>
      <c r="AC8" s="148"/>
      <c r="AD8" s="148"/>
      <c r="AE8" s="148"/>
      <c r="AF8" s="148"/>
      <c r="AG8" s="148"/>
    </row>
    <row r="9" spans="1:33">
      <c r="A9" s="148"/>
      <c r="B9" s="148"/>
      <c r="C9" s="148"/>
      <c r="D9" s="148"/>
      <c r="E9" s="148"/>
      <c r="F9" s="148"/>
      <c r="G9" s="148"/>
      <c r="H9" s="148"/>
      <c r="I9" s="148"/>
      <c r="J9" s="148"/>
      <c r="K9" s="148"/>
      <c r="L9" s="148"/>
      <c r="M9" s="148"/>
      <c r="N9" s="148"/>
      <c r="O9" s="148"/>
      <c r="P9" s="148"/>
      <c r="Q9" s="148"/>
      <c r="R9" s="148"/>
      <c r="S9" s="148"/>
      <c r="T9" s="148"/>
      <c r="U9" s="148"/>
      <c r="V9" s="148"/>
      <c r="W9" s="148"/>
      <c r="X9" s="148"/>
      <c r="Y9" s="148"/>
      <c r="Z9" s="148"/>
      <c r="AA9" s="148"/>
      <c r="AB9" s="148"/>
      <c r="AC9" s="148"/>
      <c r="AD9" s="148"/>
      <c r="AE9" s="148"/>
      <c r="AF9" s="148"/>
      <c r="AG9" s="148"/>
    </row>
    <row r="10" spans="1:33" ht="15.75">
      <c r="A10" s="153" t="s">
        <v>841</v>
      </c>
      <c r="B10" s="154" t="s">
        <v>842</v>
      </c>
      <c r="C10" s="155"/>
      <c r="D10" s="155"/>
      <c r="E10" s="155"/>
      <c r="F10" s="155"/>
      <c r="G10" s="155"/>
      <c r="H10" s="155"/>
      <c r="I10" s="155"/>
      <c r="J10" s="155"/>
      <c r="K10" s="155"/>
      <c r="L10" s="155"/>
      <c r="M10" s="155"/>
      <c r="N10" s="155"/>
      <c r="O10" s="155"/>
      <c r="P10" s="155"/>
      <c r="Q10" s="155"/>
      <c r="R10" s="155"/>
      <c r="S10" s="155"/>
      <c r="T10" s="155"/>
      <c r="U10" s="155"/>
      <c r="V10" s="155"/>
      <c r="W10" s="155"/>
      <c r="X10" s="155"/>
      <c r="Y10" s="155"/>
      <c r="Z10" s="155"/>
      <c r="AA10" s="155"/>
      <c r="AB10" s="155"/>
      <c r="AC10" s="155"/>
      <c r="AD10" s="155"/>
      <c r="AE10" s="155"/>
      <c r="AF10" s="106" t="s">
        <v>843</v>
      </c>
      <c r="AG10" s="155"/>
    </row>
    <row r="11" spans="1:33">
      <c r="A11" s="148"/>
      <c r="B11" s="156"/>
      <c r="C11" s="155"/>
      <c r="D11" s="155"/>
      <c r="E11" s="155"/>
      <c r="F11" s="155"/>
      <c r="G11" s="155"/>
      <c r="H11" s="155"/>
      <c r="I11" s="155"/>
      <c r="J11" s="155"/>
      <c r="K11" s="155"/>
      <c r="L11" s="155"/>
      <c r="M11" s="155"/>
      <c r="N11" s="155"/>
      <c r="O11" s="155"/>
      <c r="P11" s="155"/>
      <c r="Q11" s="155"/>
      <c r="R11" s="155"/>
      <c r="S11" s="155"/>
      <c r="T11" s="155"/>
      <c r="U11" s="155"/>
      <c r="V11" s="155"/>
      <c r="W11" s="155"/>
      <c r="X11" s="155"/>
      <c r="Y11" s="155"/>
      <c r="Z11" s="155"/>
      <c r="AA11" s="155"/>
      <c r="AB11" s="155"/>
      <c r="AC11" s="155"/>
      <c r="AD11" s="155"/>
      <c r="AE11" s="155"/>
      <c r="AF11" s="106" t="s">
        <v>844</v>
      </c>
      <c r="AG11" s="155"/>
    </row>
    <row r="12" spans="1:33">
      <c r="A12" s="148"/>
      <c r="B12" s="156"/>
      <c r="C12" s="107"/>
      <c r="D12" s="107"/>
      <c r="E12" s="107"/>
      <c r="F12" s="107"/>
      <c r="G12" s="107"/>
      <c r="H12" s="107"/>
      <c r="I12" s="107"/>
      <c r="J12" s="107"/>
      <c r="K12" s="107"/>
      <c r="L12" s="107"/>
      <c r="M12" s="107"/>
      <c r="N12" s="107"/>
      <c r="O12" s="107"/>
      <c r="P12" s="107"/>
      <c r="Q12" s="107"/>
      <c r="R12" s="107"/>
      <c r="S12" s="107"/>
      <c r="T12" s="107"/>
      <c r="U12" s="107"/>
      <c r="V12" s="107"/>
      <c r="W12" s="107"/>
      <c r="X12" s="107"/>
      <c r="Y12" s="107"/>
      <c r="Z12" s="107"/>
      <c r="AA12" s="107"/>
      <c r="AB12" s="107"/>
      <c r="AC12" s="107"/>
      <c r="AD12" s="107"/>
      <c r="AE12" s="107"/>
      <c r="AF12" s="106" t="s">
        <v>845</v>
      </c>
      <c r="AG12" s="155"/>
    </row>
    <row r="13" spans="1:33" ht="15.75" thickBot="1">
      <c r="A13" s="148"/>
      <c r="B13" s="157" t="s">
        <v>846</v>
      </c>
      <c r="C13" s="157">
        <v>2022</v>
      </c>
      <c r="D13" s="157">
        <v>2023</v>
      </c>
      <c r="E13" s="157">
        <v>2024</v>
      </c>
      <c r="F13" s="157">
        <v>2025</v>
      </c>
      <c r="G13" s="157">
        <v>2026</v>
      </c>
      <c r="H13" s="157">
        <v>2027</v>
      </c>
      <c r="I13" s="157">
        <v>2028</v>
      </c>
      <c r="J13" s="157">
        <v>2029</v>
      </c>
      <c r="K13" s="157">
        <v>2030</v>
      </c>
      <c r="L13" s="157">
        <v>2031</v>
      </c>
      <c r="M13" s="157">
        <v>2032</v>
      </c>
      <c r="N13" s="157">
        <v>2033</v>
      </c>
      <c r="O13" s="157">
        <v>2034</v>
      </c>
      <c r="P13" s="157">
        <v>2035</v>
      </c>
      <c r="Q13" s="157">
        <v>2036</v>
      </c>
      <c r="R13" s="157">
        <v>2037</v>
      </c>
      <c r="S13" s="157">
        <v>2038</v>
      </c>
      <c r="T13" s="157">
        <v>2039</v>
      </c>
      <c r="U13" s="157">
        <v>2040</v>
      </c>
      <c r="V13" s="157">
        <v>2041</v>
      </c>
      <c r="W13" s="157">
        <v>2042</v>
      </c>
      <c r="X13" s="157">
        <v>2043</v>
      </c>
      <c r="Y13" s="157">
        <v>2044</v>
      </c>
      <c r="Z13" s="157">
        <v>2045</v>
      </c>
      <c r="AA13" s="157">
        <v>2046</v>
      </c>
      <c r="AB13" s="157">
        <v>2047</v>
      </c>
      <c r="AC13" s="157">
        <v>2048</v>
      </c>
      <c r="AD13" s="157">
        <v>2049</v>
      </c>
      <c r="AE13" s="157">
        <v>2050</v>
      </c>
      <c r="AF13" s="108">
        <v>2050</v>
      </c>
      <c r="AG13" s="155"/>
    </row>
    <row r="14" spans="1:33" ht="15.75" thickTop="1">
      <c r="A14" s="148"/>
      <c r="B14" s="155"/>
      <c r="C14" s="155"/>
      <c r="D14" s="155"/>
      <c r="E14" s="155"/>
      <c r="F14" s="155"/>
      <c r="G14" s="155"/>
      <c r="H14" s="155"/>
      <c r="I14" s="155"/>
      <c r="J14" s="155"/>
      <c r="K14" s="155"/>
      <c r="L14" s="155"/>
      <c r="M14" s="155"/>
      <c r="N14" s="155"/>
      <c r="O14" s="155"/>
      <c r="P14" s="155"/>
      <c r="Q14" s="155"/>
      <c r="R14" s="155"/>
      <c r="S14" s="155"/>
      <c r="T14" s="155"/>
      <c r="U14" s="155"/>
      <c r="V14" s="155"/>
      <c r="W14" s="155"/>
      <c r="X14" s="155"/>
      <c r="Y14" s="155"/>
      <c r="Z14" s="155"/>
      <c r="AA14" s="155"/>
      <c r="AB14" s="155"/>
      <c r="AC14" s="155"/>
      <c r="AD14" s="155"/>
      <c r="AE14" s="155"/>
      <c r="AF14" s="155"/>
      <c r="AG14" s="155"/>
    </row>
    <row r="15" spans="1:33">
      <c r="A15" s="153" t="s">
        <v>847</v>
      </c>
      <c r="B15" s="158" t="s">
        <v>848</v>
      </c>
      <c r="C15" s="159">
        <v>12.017455999999999</v>
      </c>
      <c r="D15" s="159">
        <v>10.14246</v>
      </c>
      <c r="E15" s="159">
        <v>9.7339230000000008</v>
      </c>
      <c r="F15" s="159">
        <v>9.0686060000000008</v>
      </c>
      <c r="G15" s="159">
        <v>8.9594869999999993</v>
      </c>
      <c r="H15" s="159">
        <v>8.856579</v>
      </c>
      <c r="I15" s="159">
        <v>8.813898</v>
      </c>
      <c r="J15" s="159">
        <v>8.8683580000000006</v>
      </c>
      <c r="K15" s="159">
        <v>8.8719950000000001</v>
      </c>
      <c r="L15" s="159">
        <v>8.9797820000000002</v>
      </c>
      <c r="M15" s="159">
        <v>9.0441269999999996</v>
      </c>
      <c r="N15" s="159">
        <v>9.0927849999999992</v>
      </c>
      <c r="O15" s="159">
        <v>9.1587720000000008</v>
      </c>
      <c r="P15" s="159">
        <v>9.2225079999999995</v>
      </c>
      <c r="Q15" s="159">
        <v>9.2706079999999993</v>
      </c>
      <c r="R15" s="159">
        <v>9.3243840000000002</v>
      </c>
      <c r="S15" s="159">
        <v>9.3767549999999993</v>
      </c>
      <c r="T15" s="159">
        <v>9.4235419999999994</v>
      </c>
      <c r="U15" s="159">
        <v>9.478612</v>
      </c>
      <c r="V15" s="159">
        <v>9.5699330000000007</v>
      </c>
      <c r="W15" s="159">
        <v>9.5845690000000001</v>
      </c>
      <c r="X15" s="159">
        <v>9.658633</v>
      </c>
      <c r="Y15" s="159">
        <v>9.6491509999999998</v>
      </c>
      <c r="Z15" s="159">
        <v>9.7206390000000003</v>
      </c>
      <c r="AA15" s="159">
        <v>9.8630030000000009</v>
      </c>
      <c r="AB15" s="159">
        <v>9.8843599999999991</v>
      </c>
      <c r="AC15" s="159">
        <v>9.9074570000000008</v>
      </c>
      <c r="AD15" s="159">
        <v>9.9567200000000007</v>
      </c>
      <c r="AE15" s="159">
        <v>9.9689460000000008</v>
      </c>
      <c r="AF15" s="160">
        <v>-6.6519999999999999E-3</v>
      </c>
      <c r="AG15" s="155"/>
    </row>
    <row r="16" spans="1:33">
      <c r="A16" s="148"/>
      <c r="B16" s="155"/>
      <c r="C16" s="155"/>
      <c r="D16" s="155"/>
      <c r="E16" s="155"/>
      <c r="F16" s="155"/>
      <c r="G16" s="155"/>
      <c r="H16" s="155"/>
      <c r="I16" s="155"/>
      <c r="J16" s="155"/>
      <c r="K16" s="155"/>
      <c r="L16" s="155"/>
      <c r="M16" s="155"/>
      <c r="N16" s="155"/>
      <c r="O16" s="155"/>
      <c r="P16" s="155"/>
      <c r="Q16" s="155"/>
      <c r="R16" s="155"/>
      <c r="S16" s="155"/>
      <c r="T16" s="155"/>
      <c r="U16" s="155"/>
      <c r="V16" s="155"/>
      <c r="W16" s="155"/>
      <c r="X16" s="155"/>
      <c r="Y16" s="155"/>
      <c r="Z16" s="155"/>
      <c r="AA16" s="155"/>
      <c r="AB16" s="155"/>
      <c r="AC16" s="155"/>
      <c r="AD16" s="155"/>
      <c r="AE16" s="155"/>
      <c r="AF16" s="155"/>
      <c r="AG16" s="155"/>
    </row>
    <row r="17" spans="1:33">
      <c r="A17" s="148"/>
      <c r="B17" s="158" t="s">
        <v>849</v>
      </c>
      <c r="C17" s="155"/>
      <c r="D17" s="155"/>
      <c r="E17" s="155"/>
      <c r="F17" s="155"/>
      <c r="G17" s="155"/>
      <c r="H17" s="155"/>
      <c r="I17" s="155"/>
      <c r="J17" s="155"/>
      <c r="K17" s="155"/>
      <c r="L17" s="155"/>
      <c r="M17" s="155"/>
      <c r="N17" s="155"/>
      <c r="O17" s="155"/>
      <c r="P17" s="155"/>
      <c r="Q17" s="155"/>
      <c r="R17" s="155"/>
      <c r="S17" s="155"/>
      <c r="T17" s="155"/>
      <c r="U17" s="155"/>
      <c r="V17" s="155"/>
      <c r="W17" s="155"/>
      <c r="X17" s="155"/>
      <c r="Y17" s="155"/>
      <c r="Z17" s="155"/>
      <c r="AA17" s="155"/>
      <c r="AB17" s="155"/>
      <c r="AC17" s="155"/>
      <c r="AD17" s="155"/>
      <c r="AE17" s="155"/>
      <c r="AF17" s="155"/>
      <c r="AG17" s="155"/>
    </row>
    <row r="18" spans="1:33">
      <c r="A18" s="153" t="s">
        <v>850</v>
      </c>
      <c r="B18" s="161" t="s">
        <v>851</v>
      </c>
      <c r="C18" s="162">
        <v>0.83399999999999996</v>
      </c>
      <c r="D18" s="162">
        <v>0.84161200000000003</v>
      </c>
      <c r="E18" s="162">
        <v>0.84922399999999998</v>
      </c>
      <c r="F18" s="162">
        <v>0.85819500000000004</v>
      </c>
      <c r="G18" s="162">
        <v>0.85914699999999999</v>
      </c>
      <c r="H18" s="162">
        <v>0.85999800000000004</v>
      </c>
      <c r="I18" s="162">
        <v>0.86075900000000005</v>
      </c>
      <c r="J18" s="162">
        <v>0.86144100000000001</v>
      </c>
      <c r="K18" s="162">
        <v>0.86205399999999999</v>
      </c>
      <c r="L18" s="162">
        <v>0.86260499999999996</v>
      </c>
      <c r="M18" s="162">
        <v>0.86310500000000001</v>
      </c>
      <c r="N18" s="162">
        <v>0.86355800000000005</v>
      </c>
      <c r="O18" s="162">
        <v>0.86397199999999996</v>
      </c>
      <c r="P18" s="162">
        <v>0.86434999999999995</v>
      </c>
      <c r="Q18" s="162">
        <v>0.86469700000000005</v>
      </c>
      <c r="R18" s="162">
        <v>0.86501700000000004</v>
      </c>
      <c r="S18" s="162">
        <v>0.86531199999999997</v>
      </c>
      <c r="T18" s="162">
        <v>0.86558500000000005</v>
      </c>
      <c r="U18" s="162">
        <v>0.86587999999999998</v>
      </c>
      <c r="V18" s="162">
        <v>0.86617599999999995</v>
      </c>
      <c r="W18" s="162">
        <v>0.86647099999999999</v>
      </c>
      <c r="X18" s="162">
        <v>0.86676699999999995</v>
      </c>
      <c r="Y18" s="162">
        <v>0.867062</v>
      </c>
      <c r="Z18" s="162">
        <v>0.86735799999999996</v>
      </c>
      <c r="AA18" s="162">
        <v>0.86765400000000004</v>
      </c>
      <c r="AB18" s="162">
        <v>0.86795</v>
      </c>
      <c r="AC18" s="162">
        <v>0.86824599999999996</v>
      </c>
      <c r="AD18" s="162">
        <v>0.86854200000000004</v>
      </c>
      <c r="AE18" s="162">
        <v>0.868838</v>
      </c>
      <c r="AF18" s="163">
        <v>1.4630000000000001E-3</v>
      </c>
      <c r="AG18" s="155"/>
    </row>
    <row r="19" spans="1:33">
      <c r="A19" s="153" t="s">
        <v>852</v>
      </c>
      <c r="B19" s="161" t="s">
        <v>853</v>
      </c>
      <c r="C19" s="162">
        <v>0.75600000000000001</v>
      </c>
      <c r="D19" s="162">
        <v>0.77562600000000004</v>
      </c>
      <c r="E19" s="162">
        <v>0.79525100000000004</v>
      </c>
      <c r="F19" s="162">
        <v>0.81487699999999996</v>
      </c>
      <c r="G19" s="162">
        <v>0.81492500000000001</v>
      </c>
      <c r="H19" s="162">
        <v>0.81497399999999998</v>
      </c>
      <c r="I19" s="162">
        <v>0.81501900000000005</v>
      </c>
      <c r="J19" s="162">
        <v>0.81506400000000001</v>
      </c>
      <c r="K19" s="162">
        <v>0.81510800000000005</v>
      </c>
      <c r="L19" s="162">
        <v>0.81515000000000004</v>
      </c>
      <c r="M19" s="162">
        <v>0.81519399999999997</v>
      </c>
      <c r="N19" s="162">
        <v>0.81523599999999996</v>
      </c>
      <c r="O19" s="162">
        <v>0.81527899999999998</v>
      </c>
      <c r="P19" s="162">
        <v>0.81532099999999996</v>
      </c>
      <c r="Q19" s="162">
        <v>0.81536399999999998</v>
      </c>
      <c r="R19" s="162">
        <v>0.81540500000000005</v>
      </c>
      <c r="S19" s="162">
        <v>0.81544499999999998</v>
      </c>
      <c r="T19" s="162">
        <v>0.81548399999999999</v>
      </c>
      <c r="U19" s="162">
        <v>0.81552400000000003</v>
      </c>
      <c r="V19" s="162">
        <v>0.81556399999999996</v>
      </c>
      <c r="W19" s="162">
        <v>0.815604</v>
      </c>
      <c r="X19" s="162">
        <v>0.81564499999999995</v>
      </c>
      <c r="Y19" s="162">
        <v>0.81568499999999999</v>
      </c>
      <c r="Z19" s="162">
        <v>0.81572500000000003</v>
      </c>
      <c r="AA19" s="162">
        <v>0.81576499999999996</v>
      </c>
      <c r="AB19" s="162">
        <v>0.815805</v>
      </c>
      <c r="AC19" s="162">
        <v>0.81584500000000004</v>
      </c>
      <c r="AD19" s="162">
        <v>0.81588499999999997</v>
      </c>
      <c r="AE19" s="162">
        <v>0.81592600000000004</v>
      </c>
      <c r="AF19" s="163">
        <v>2.728E-3</v>
      </c>
      <c r="AG19" s="155"/>
    </row>
    <row r="20" spans="1:33">
      <c r="A20" s="148"/>
      <c r="B20" s="155"/>
      <c r="C20" s="155"/>
      <c r="D20" s="155"/>
      <c r="E20" s="155"/>
      <c r="F20" s="155"/>
      <c r="G20" s="155"/>
      <c r="H20" s="155"/>
      <c r="I20" s="155"/>
      <c r="J20" s="155"/>
      <c r="K20" s="155"/>
      <c r="L20" s="155"/>
      <c r="M20" s="155"/>
      <c r="N20" s="155"/>
      <c r="O20" s="155"/>
      <c r="P20" s="155"/>
      <c r="Q20" s="155"/>
      <c r="R20" s="155"/>
      <c r="S20" s="155"/>
      <c r="T20" s="155"/>
      <c r="U20" s="155"/>
      <c r="V20" s="155"/>
      <c r="W20" s="155"/>
      <c r="X20" s="155"/>
      <c r="Y20" s="155"/>
      <c r="Z20" s="155"/>
      <c r="AA20" s="155"/>
      <c r="AB20" s="155"/>
      <c r="AC20" s="155"/>
      <c r="AD20" s="155"/>
      <c r="AE20" s="155"/>
      <c r="AF20" s="155"/>
      <c r="AG20" s="155"/>
    </row>
    <row r="21" spans="1:33">
      <c r="A21" s="148"/>
      <c r="B21" s="158" t="s">
        <v>854</v>
      </c>
      <c r="C21" s="155"/>
      <c r="D21" s="155"/>
      <c r="E21" s="155"/>
      <c r="F21" s="155"/>
      <c r="G21" s="155"/>
      <c r="H21" s="155"/>
      <c r="I21" s="155"/>
      <c r="J21" s="155"/>
      <c r="K21" s="155"/>
      <c r="L21" s="155"/>
      <c r="M21" s="155"/>
      <c r="N21" s="155"/>
      <c r="O21" s="155"/>
      <c r="P21" s="155"/>
      <c r="Q21" s="155"/>
      <c r="R21" s="155"/>
      <c r="S21" s="155"/>
      <c r="T21" s="155"/>
      <c r="U21" s="155"/>
      <c r="V21" s="155"/>
      <c r="W21" s="155"/>
      <c r="X21" s="155"/>
      <c r="Y21" s="155"/>
      <c r="Z21" s="155"/>
      <c r="AA21" s="155"/>
      <c r="AB21" s="155"/>
      <c r="AC21" s="155"/>
      <c r="AD21" s="155"/>
      <c r="AE21" s="155"/>
      <c r="AF21" s="155"/>
      <c r="AG21" s="155"/>
    </row>
    <row r="22" spans="1:33">
      <c r="A22" s="148"/>
      <c r="B22" s="158" t="s">
        <v>855</v>
      </c>
      <c r="C22" s="155"/>
      <c r="D22" s="155"/>
      <c r="E22" s="155"/>
      <c r="F22" s="155"/>
      <c r="G22" s="155"/>
      <c r="H22" s="155"/>
      <c r="I22" s="155"/>
      <c r="J22" s="155"/>
      <c r="K22" s="155"/>
      <c r="L22" s="155"/>
      <c r="M22" s="155"/>
      <c r="N22" s="155"/>
      <c r="O22" s="155"/>
      <c r="P22" s="155"/>
      <c r="Q22" s="155"/>
      <c r="R22" s="155"/>
      <c r="S22" s="155"/>
      <c r="T22" s="155"/>
      <c r="U22" s="155"/>
      <c r="V22" s="155"/>
      <c r="W22" s="155"/>
      <c r="X22" s="155"/>
      <c r="Y22" s="155"/>
      <c r="Z22" s="155"/>
      <c r="AA22" s="155"/>
      <c r="AB22" s="155"/>
      <c r="AC22" s="155"/>
      <c r="AD22" s="155"/>
      <c r="AE22" s="155"/>
      <c r="AF22" s="155"/>
      <c r="AG22" s="155"/>
    </row>
    <row r="23" spans="1:33">
      <c r="A23" s="153" t="s">
        <v>856</v>
      </c>
      <c r="B23" s="161" t="s">
        <v>857</v>
      </c>
      <c r="C23" s="164">
        <v>333.105164</v>
      </c>
      <c r="D23" s="164">
        <v>334.47210699999999</v>
      </c>
      <c r="E23" s="164">
        <v>336.07922400000001</v>
      </c>
      <c r="F23" s="164">
        <v>337.73690800000003</v>
      </c>
      <c r="G23" s="164">
        <v>339.40451000000002</v>
      </c>
      <c r="H23" s="164">
        <v>341.08764600000001</v>
      </c>
      <c r="I23" s="164">
        <v>342.780823</v>
      </c>
      <c r="J23" s="164">
        <v>344.47436499999998</v>
      </c>
      <c r="K23" s="164">
        <v>346.16894500000001</v>
      </c>
      <c r="L23" s="164">
        <v>347.834564</v>
      </c>
      <c r="M23" s="164">
        <v>349.46328699999998</v>
      </c>
      <c r="N23" s="164">
        <v>351.054169</v>
      </c>
      <c r="O23" s="164">
        <v>352.59783900000002</v>
      </c>
      <c r="P23" s="164">
        <v>354.08975199999998</v>
      </c>
      <c r="Q23" s="164">
        <v>355.52593999999999</v>
      </c>
      <c r="R23" s="164">
        <v>356.90637199999998</v>
      </c>
      <c r="S23" s="164">
        <v>358.23675500000002</v>
      </c>
      <c r="T23" s="164">
        <v>359.52005000000003</v>
      </c>
      <c r="U23" s="164">
        <v>360.76068099999998</v>
      </c>
      <c r="V23" s="164">
        <v>361.96594199999998</v>
      </c>
      <c r="W23" s="164">
        <v>363.143372</v>
      </c>
      <c r="X23" s="164">
        <v>364.29699699999998</v>
      </c>
      <c r="Y23" s="164">
        <v>365.429688</v>
      </c>
      <c r="Z23" s="164">
        <v>366.54235799999998</v>
      </c>
      <c r="AA23" s="164">
        <v>367.63687099999999</v>
      </c>
      <c r="AB23" s="164">
        <v>368.719696</v>
      </c>
      <c r="AC23" s="164">
        <v>369.79351800000001</v>
      </c>
      <c r="AD23" s="164">
        <v>370.85867300000001</v>
      </c>
      <c r="AE23" s="164">
        <v>371.91851800000001</v>
      </c>
      <c r="AF23" s="163">
        <v>3.9439999999999996E-3</v>
      </c>
      <c r="AG23" s="155"/>
    </row>
    <row r="24" spans="1:33">
      <c r="A24" s="153" t="s">
        <v>858</v>
      </c>
      <c r="B24" s="161" t="s">
        <v>859</v>
      </c>
      <c r="C24" s="164">
        <v>38.694321000000002</v>
      </c>
      <c r="D24" s="164">
        <v>39.102600000000002</v>
      </c>
      <c r="E24" s="164">
        <v>39.509079</v>
      </c>
      <c r="F24" s="164">
        <v>39.913521000000003</v>
      </c>
      <c r="G24" s="164">
        <v>40.315201000000002</v>
      </c>
      <c r="H24" s="164">
        <v>40.713901999999997</v>
      </c>
      <c r="I24" s="164">
        <v>41.109200000000001</v>
      </c>
      <c r="J24" s="164">
        <v>41.500670999999997</v>
      </c>
      <c r="K24" s="164">
        <v>41.888100000000001</v>
      </c>
      <c r="L24" s="164">
        <v>42.271000000000001</v>
      </c>
      <c r="M24" s="164">
        <v>42.649299999999997</v>
      </c>
      <c r="N24" s="164">
        <v>43.022799999999997</v>
      </c>
      <c r="O24" s="164">
        <v>43.391499000000003</v>
      </c>
      <c r="P24" s="164">
        <v>43.755501000000002</v>
      </c>
      <c r="Q24" s="164">
        <v>44.114730999999999</v>
      </c>
      <c r="R24" s="164">
        <v>44.469397999999998</v>
      </c>
      <c r="S24" s="164">
        <v>44.819481000000003</v>
      </c>
      <c r="T24" s="164">
        <v>45.165298</v>
      </c>
      <c r="U24" s="164">
        <v>45.506802</v>
      </c>
      <c r="V24" s="164">
        <v>45.843879999999999</v>
      </c>
      <c r="W24" s="164">
        <v>46.176898999999999</v>
      </c>
      <c r="X24" s="164">
        <v>46.505600000000001</v>
      </c>
      <c r="Y24" s="164">
        <v>46.831772000000001</v>
      </c>
      <c r="Z24" s="164">
        <v>47.156199999999998</v>
      </c>
      <c r="AA24" s="164">
        <v>47.479069000000003</v>
      </c>
      <c r="AB24" s="164">
        <v>47.800800000000002</v>
      </c>
      <c r="AC24" s="164">
        <v>48.121670000000002</v>
      </c>
      <c r="AD24" s="164">
        <v>48.442321999999997</v>
      </c>
      <c r="AE24" s="164">
        <v>48.763081</v>
      </c>
      <c r="AF24" s="163">
        <v>8.2939999999999993E-3</v>
      </c>
      <c r="AG24" s="155"/>
    </row>
    <row r="25" spans="1:33">
      <c r="A25" s="153" t="s">
        <v>860</v>
      </c>
      <c r="B25" s="161" t="s">
        <v>861</v>
      </c>
      <c r="C25" s="164">
        <v>211.18936199999999</v>
      </c>
      <c r="D25" s="164">
        <v>212.813278</v>
      </c>
      <c r="E25" s="164">
        <v>214.37699900000001</v>
      </c>
      <c r="F25" s="164">
        <v>215.94142199999999</v>
      </c>
      <c r="G25" s="164">
        <v>217.513779</v>
      </c>
      <c r="H25" s="164">
        <v>219.08682300000001</v>
      </c>
      <c r="I25" s="164">
        <v>220.646591</v>
      </c>
      <c r="J25" s="164">
        <v>222.169174</v>
      </c>
      <c r="K25" s="164">
        <v>223.635864</v>
      </c>
      <c r="L25" s="164">
        <v>225.026138</v>
      </c>
      <c r="M25" s="164">
        <v>226.368347</v>
      </c>
      <c r="N25" s="164">
        <v>227.658051</v>
      </c>
      <c r="O25" s="164">
        <v>228.89286799999999</v>
      </c>
      <c r="P25" s="164">
        <v>230.07032799999999</v>
      </c>
      <c r="Q25" s="164">
        <v>231.18978899999999</v>
      </c>
      <c r="R25" s="164">
        <v>232.25276199999999</v>
      </c>
      <c r="S25" s="164">
        <v>233.26014699999999</v>
      </c>
      <c r="T25" s="164">
        <v>234.21229600000001</v>
      </c>
      <c r="U25" s="164">
        <v>235.110443</v>
      </c>
      <c r="V25" s="164">
        <v>235.95292699999999</v>
      </c>
      <c r="W25" s="164">
        <v>236.741455</v>
      </c>
      <c r="X25" s="164">
        <v>237.476685</v>
      </c>
      <c r="Y25" s="164">
        <v>238.15965299999999</v>
      </c>
      <c r="Z25" s="164">
        <v>238.78855899999999</v>
      </c>
      <c r="AA25" s="164">
        <v>239.34922800000001</v>
      </c>
      <c r="AB25" s="164">
        <v>239.846619</v>
      </c>
      <c r="AC25" s="164">
        <v>240.30192600000001</v>
      </c>
      <c r="AD25" s="164">
        <v>240.737549</v>
      </c>
      <c r="AE25" s="164">
        <v>241.16894500000001</v>
      </c>
      <c r="AF25" s="163">
        <v>4.7520000000000001E-3</v>
      </c>
      <c r="AG25" s="155"/>
    </row>
    <row r="26" spans="1:33">
      <c r="A26" s="153" t="s">
        <v>862</v>
      </c>
      <c r="B26" s="161" t="s">
        <v>863</v>
      </c>
      <c r="C26" s="164">
        <v>593.35406499999999</v>
      </c>
      <c r="D26" s="164">
        <v>594.89343299999996</v>
      </c>
      <c r="E26" s="164">
        <v>596.012878</v>
      </c>
      <c r="F26" s="164">
        <v>597.10223399999995</v>
      </c>
      <c r="G26" s="164">
        <v>598.16387899999995</v>
      </c>
      <c r="H26" s="164">
        <v>599.16955600000006</v>
      </c>
      <c r="I26" s="164">
        <v>600.12353499999995</v>
      </c>
      <c r="J26" s="164">
        <v>601.03643799999998</v>
      </c>
      <c r="K26" s="164">
        <v>601.92193599999996</v>
      </c>
      <c r="L26" s="164">
        <v>602.79125999999997</v>
      </c>
      <c r="M26" s="164">
        <v>603.64050299999997</v>
      </c>
      <c r="N26" s="164">
        <v>604.45330799999999</v>
      </c>
      <c r="O26" s="164">
        <v>605.215149</v>
      </c>
      <c r="P26" s="164">
        <v>605.91265899999996</v>
      </c>
      <c r="Q26" s="164">
        <v>606.54968299999996</v>
      </c>
      <c r="R26" s="164">
        <v>607.13714600000003</v>
      </c>
      <c r="S26" s="164">
        <v>607.67242399999998</v>
      </c>
      <c r="T26" s="164">
        <v>608.15136700000005</v>
      </c>
      <c r="U26" s="164">
        <v>608.57037400000002</v>
      </c>
      <c r="V26" s="164">
        <v>608.92956500000003</v>
      </c>
      <c r="W26" s="164">
        <v>609.22717299999999</v>
      </c>
      <c r="X26" s="164">
        <v>609.459656</v>
      </c>
      <c r="Y26" s="164">
        <v>609.62506099999996</v>
      </c>
      <c r="Z26" s="164">
        <v>609.71997099999999</v>
      </c>
      <c r="AA26" s="164">
        <v>609.73303199999998</v>
      </c>
      <c r="AB26" s="164">
        <v>609.66314699999998</v>
      </c>
      <c r="AC26" s="164">
        <v>609.52264400000001</v>
      </c>
      <c r="AD26" s="164">
        <v>609.32611099999997</v>
      </c>
      <c r="AE26" s="164">
        <v>609.08605999999997</v>
      </c>
      <c r="AF26" s="163">
        <v>9.3499999999999996E-4</v>
      </c>
      <c r="AG26" s="155"/>
    </row>
    <row r="27" spans="1:33">
      <c r="A27" s="153" t="s">
        <v>864</v>
      </c>
      <c r="B27" s="161" t="s">
        <v>865</v>
      </c>
      <c r="C27" s="164">
        <v>125.59050000000001</v>
      </c>
      <c r="D27" s="164">
        <v>125.10549899999999</v>
      </c>
      <c r="E27" s="164">
        <v>124.587502</v>
      </c>
      <c r="F27" s="164">
        <v>124.038498</v>
      </c>
      <c r="G27" s="164">
        <v>123.461304</v>
      </c>
      <c r="H27" s="164">
        <v>122.858299</v>
      </c>
      <c r="I27" s="164">
        <v>122.231796</v>
      </c>
      <c r="J27" s="164">
        <v>121.584999</v>
      </c>
      <c r="K27" s="164">
        <v>120.91950199999999</v>
      </c>
      <c r="L27" s="164">
        <v>120.237801</v>
      </c>
      <c r="M27" s="164">
        <v>119.54180100000001</v>
      </c>
      <c r="N27" s="164">
        <v>118.832497</v>
      </c>
      <c r="O27" s="164">
        <v>118.113297</v>
      </c>
      <c r="P27" s="164">
        <v>117.385002</v>
      </c>
      <c r="Q27" s="164">
        <v>116.648499</v>
      </c>
      <c r="R27" s="164">
        <v>115.9058</v>
      </c>
      <c r="S27" s="164">
        <v>115.157799</v>
      </c>
      <c r="T27" s="164">
        <v>114.4058</v>
      </c>
      <c r="U27" s="164">
        <v>113.650497</v>
      </c>
      <c r="V27" s="164">
        <v>112.893997</v>
      </c>
      <c r="W27" s="164">
        <v>112.136803</v>
      </c>
      <c r="X27" s="164">
        <v>111.37979900000001</v>
      </c>
      <c r="Y27" s="164">
        <v>110.624802</v>
      </c>
      <c r="Z27" s="164">
        <v>109.871002</v>
      </c>
      <c r="AA27" s="164">
        <v>109.120003</v>
      </c>
      <c r="AB27" s="164">
        <v>108.371803</v>
      </c>
      <c r="AC27" s="164">
        <v>107.62599899999999</v>
      </c>
      <c r="AD27" s="164">
        <v>106.882301</v>
      </c>
      <c r="AE27" s="164">
        <v>106.140297</v>
      </c>
      <c r="AF27" s="163">
        <v>-5.9909999999999998E-3</v>
      </c>
      <c r="AG27" s="155"/>
    </row>
    <row r="28" spans="1:33">
      <c r="A28" s="153" t="s">
        <v>866</v>
      </c>
      <c r="B28" s="161" t="s">
        <v>867</v>
      </c>
      <c r="C28" s="164">
        <v>31.123239999999999</v>
      </c>
      <c r="D28" s="164">
        <v>31.552336</v>
      </c>
      <c r="E28" s="164">
        <v>31.987663000000001</v>
      </c>
      <c r="F28" s="164">
        <v>32.409657000000003</v>
      </c>
      <c r="G28" s="164">
        <v>32.829383999999997</v>
      </c>
      <c r="H28" s="164">
        <v>33.245941000000002</v>
      </c>
      <c r="I28" s="164">
        <v>33.658962000000002</v>
      </c>
      <c r="J28" s="164">
        <v>34.068351999999997</v>
      </c>
      <c r="K28" s="164">
        <v>34.474316000000002</v>
      </c>
      <c r="L28" s="164">
        <v>34.877040999999998</v>
      </c>
      <c r="M28" s="164">
        <v>35.276363000000003</v>
      </c>
      <c r="N28" s="164">
        <v>35.672787</v>
      </c>
      <c r="O28" s="164">
        <v>36.066764999999997</v>
      </c>
      <c r="P28" s="164">
        <v>36.458548999999998</v>
      </c>
      <c r="Q28" s="164">
        <v>36.848582999999998</v>
      </c>
      <c r="R28" s="164">
        <v>37.237124999999999</v>
      </c>
      <c r="S28" s="164">
        <v>37.624454</v>
      </c>
      <c r="T28" s="164">
        <v>38.010421999999998</v>
      </c>
      <c r="U28" s="164">
        <v>38.394981000000001</v>
      </c>
      <c r="V28" s="164">
        <v>38.777881999999998</v>
      </c>
      <c r="W28" s="164">
        <v>39.158962000000002</v>
      </c>
      <c r="X28" s="164">
        <v>39.537841999999998</v>
      </c>
      <c r="Y28" s="164">
        <v>39.914402000000003</v>
      </c>
      <c r="Z28" s="164">
        <v>40.288212000000001</v>
      </c>
      <c r="AA28" s="164">
        <v>40.659004000000003</v>
      </c>
      <c r="AB28" s="164">
        <v>41.026546000000003</v>
      </c>
      <c r="AC28" s="164">
        <v>41.390678000000001</v>
      </c>
      <c r="AD28" s="164">
        <v>41.751362</v>
      </c>
      <c r="AE28" s="164">
        <v>42.10857</v>
      </c>
      <c r="AF28" s="163">
        <v>1.0855E-2</v>
      </c>
      <c r="AG28" s="155"/>
    </row>
    <row r="29" spans="1:33">
      <c r="A29" s="153" t="s">
        <v>868</v>
      </c>
      <c r="B29" s="161" t="s">
        <v>869</v>
      </c>
      <c r="C29" s="164">
        <v>51.338450999999999</v>
      </c>
      <c r="D29" s="164">
        <v>51.348171000000001</v>
      </c>
      <c r="E29" s="164">
        <v>51.347050000000003</v>
      </c>
      <c r="F29" s="164">
        <v>51.337631000000002</v>
      </c>
      <c r="G29" s="164">
        <v>51.319881000000002</v>
      </c>
      <c r="H29" s="164">
        <v>51.29213</v>
      </c>
      <c r="I29" s="164">
        <v>51.253830000000001</v>
      </c>
      <c r="J29" s="164">
        <v>51.20438</v>
      </c>
      <c r="K29" s="164">
        <v>51.143799000000001</v>
      </c>
      <c r="L29" s="164">
        <v>51.07423</v>
      </c>
      <c r="M29" s="164">
        <v>50.995398999999999</v>
      </c>
      <c r="N29" s="164">
        <v>50.903751</v>
      </c>
      <c r="O29" s="164">
        <v>50.795448</v>
      </c>
      <c r="P29" s="164">
        <v>50.667171000000003</v>
      </c>
      <c r="Q29" s="164">
        <v>50.518929</v>
      </c>
      <c r="R29" s="164">
        <v>50.352901000000003</v>
      </c>
      <c r="S29" s="164">
        <v>50.169829999999997</v>
      </c>
      <c r="T29" s="164">
        <v>49.970500999999999</v>
      </c>
      <c r="U29" s="164">
        <v>49.755482000000001</v>
      </c>
      <c r="V29" s="164">
        <v>49.523800000000001</v>
      </c>
      <c r="W29" s="164">
        <v>49.275317999999999</v>
      </c>
      <c r="X29" s="164">
        <v>49.011378999999998</v>
      </c>
      <c r="Y29" s="164">
        <v>48.733330000000002</v>
      </c>
      <c r="Z29" s="164">
        <v>48.442248999999997</v>
      </c>
      <c r="AA29" s="164">
        <v>48.137829000000004</v>
      </c>
      <c r="AB29" s="164">
        <v>47.819248000000002</v>
      </c>
      <c r="AC29" s="164">
        <v>47.487099000000001</v>
      </c>
      <c r="AD29" s="164">
        <v>47.141972000000003</v>
      </c>
      <c r="AE29" s="164">
        <v>46.783932</v>
      </c>
      <c r="AF29" s="163">
        <v>-3.3119999999999998E-3</v>
      </c>
      <c r="AG29" s="155"/>
    </row>
    <row r="30" spans="1:33">
      <c r="A30" s="153" t="s">
        <v>870</v>
      </c>
      <c r="B30" s="161" t="s">
        <v>871</v>
      </c>
      <c r="C30" s="164">
        <v>145.765793</v>
      </c>
      <c r="D30" s="164">
        <v>145.581299</v>
      </c>
      <c r="E30" s="164">
        <v>145.35380599999999</v>
      </c>
      <c r="F30" s="164">
        <v>145.098007</v>
      </c>
      <c r="G30" s="164">
        <v>144.80479399999999</v>
      </c>
      <c r="H30" s="164">
        <v>144.464493</v>
      </c>
      <c r="I30" s="164">
        <v>144.09150700000001</v>
      </c>
      <c r="J30" s="164">
        <v>143.69850199999999</v>
      </c>
      <c r="K30" s="164">
        <v>143.296494</v>
      </c>
      <c r="L30" s="164">
        <v>142.87550400000001</v>
      </c>
      <c r="M30" s="164">
        <v>142.430801</v>
      </c>
      <c r="N30" s="164">
        <v>141.97500600000001</v>
      </c>
      <c r="O30" s="164">
        <v>141.520996</v>
      </c>
      <c r="P30" s="164">
        <v>141.079498</v>
      </c>
      <c r="Q30" s="164">
        <v>140.645996</v>
      </c>
      <c r="R30" s="164">
        <v>140.21350100000001</v>
      </c>
      <c r="S30" s="164">
        <v>139.788498</v>
      </c>
      <c r="T30" s="164">
        <v>139.376801</v>
      </c>
      <c r="U30" s="164">
        <v>138.984802</v>
      </c>
      <c r="V30" s="164">
        <v>138.612503</v>
      </c>
      <c r="W30" s="164">
        <v>138.25649999999999</v>
      </c>
      <c r="X30" s="164">
        <v>137.91400100000001</v>
      </c>
      <c r="Y30" s="164">
        <v>137.58230599999999</v>
      </c>
      <c r="Z30" s="164">
        <v>137.25950599999999</v>
      </c>
      <c r="AA30" s="164">
        <v>136.95030199999999</v>
      </c>
      <c r="AB30" s="164">
        <v>136.65379300000001</v>
      </c>
      <c r="AC30" s="164">
        <v>136.36480700000001</v>
      </c>
      <c r="AD30" s="164">
        <v>136.078506</v>
      </c>
      <c r="AE30" s="164">
        <v>135.788803</v>
      </c>
      <c r="AF30" s="163">
        <v>-2.529E-3</v>
      </c>
      <c r="AG30" s="155"/>
    </row>
    <row r="31" spans="1:33">
      <c r="A31" s="153" t="s">
        <v>872</v>
      </c>
      <c r="B31" s="161" t="s">
        <v>873</v>
      </c>
      <c r="C31" s="164">
        <v>196.40559400000001</v>
      </c>
      <c r="D31" s="164">
        <v>196.88909899999999</v>
      </c>
      <c r="E31" s="164">
        <v>197.34137000000001</v>
      </c>
      <c r="F31" s="164">
        <v>197.77439899999999</v>
      </c>
      <c r="G31" s="164">
        <v>198.13687100000001</v>
      </c>
      <c r="H31" s="164">
        <v>198.47818000000001</v>
      </c>
      <c r="I31" s="164">
        <v>198.80619799999999</v>
      </c>
      <c r="J31" s="164">
        <v>199.13061500000001</v>
      </c>
      <c r="K31" s="164">
        <v>199.45709199999999</v>
      </c>
      <c r="L31" s="164">
        <v>199.80789200000001</v>
      </c>
      <c r="M31" s="164">
        <v>200.15795900000001</v>
      </c>
      <c r="N31" s="164">
        <v>200.50091599999999</v>
      </c>
      <c r="O31" s="164">
        <v>200.82986500000001</v>
      </c>
      <c r="P31" s="164">
        <v>201.143112</v>
      </c>
      <c r="Q31" s="164">
        <v>201.48429899999999</v>
      </c>
      <c r="R31" s="164">
        <v>201.810699</v>
      </c>
      <c r="S31" s="164">
        <v>202.12439000000001</v>
      </c>
      <c r="T31" s="164">
        <v>202.427155</v>
      </c>
      <c r="U31" s="164">
        <v>202.71910099999999</v>
      </c>
      <c r="V31" s="164">
        <v>202.99388099999999</v>
      </c>
      <c r="W31" s="164">
        <v>203.25671399999999</v>
      </c>
      <c r="X31" s="164">
        <v>203.50079299999999</v>
      </c>
      <c r="Y31" s="164">
        <v>203.71812399999999</v>
      </c>
      <c r="Z31" s="164">
        <v>203.905441</v>
      </c>
      <c r="AA31" s="164">
        <v>204.02444499999999</v>
      </c>
      <c r="AB31" s="164">
        <v>204.116028</v>
      </c>
      <c r="AC31" s="164">
        <v>204.18514999999999</v>
      </c>
      <c r="AD31" s="164">
        <v>204.23820499999999</v>
      </c>
      <c r="AE31" s="164">
        <v>204.278717</v>
      </c>
      <c r="AF31" s="163">
        <v>1.405E-3</v>
      </c>
      <c r="AG31" s="155"/>
    </row>
    <row r="32" spans="1:33">
      <c r="A32" s="153" t="s">
        <v>874</v>
      </c>
      <c r="B32" s="161" t="s">
        <v>875</v>
      </c>
      <c r="C32" s="164">
        <v>1448.8129879999999</v>
      </c>
      <c r="D32" s="164">
        <v>1452.4229740000001</v>
      </c>
      <c r="E32" s="164">
        <v>1455.5429690000001</v>
      </c>
      <c r="F32" s="164">
        <v>1458.1979980000001</v>
      </c>
      <c r="G32" s="164">
        <v>1460.3530270000001</v>
      </c>
      <c r="H32" s="164">
        <v>1461.9849850000001</v>
      </c>
      <c r="I32" s="164">
        <v>1463.160034</v>
      </c>
      <c r="J32" s="164">
        <v>1463.9399410000001</v>
      </c>
      <c r="K32" s="164">
        <v>1464.36499</v>
      </c>
      <c r="L32" s="164">
        <v>1464.4229740000001</v>
      </c>
      <c r="M32" s="164">
        <v>1464.084961</v>
      </c>
      <c r="N32" s="164">
        <v>1463.36499</v>
      </c>
      <c r="O32" s="164">
        <v>1462.290039</v>
      </c>
      <c r="P32" s="164">
        <v>1460.878052</v>
      </c>
      <c r="Q32" s="164">
        <v>1459.1080320000001</v>
      </c>
      <c r="R32" s="164">
        <v>1456.968018</v>
      </c>
      <c r="S32" s="164">
        <v>1454.4930420000001</v>
      </c>
      <c r="T32" s="164">
        <v>1451.7030030000001</v>
      </c>
      <c r="U32" s="164">
        <v>1448.623047</v>
      </c>
      <c r="V32" s="164">
        <v>1445.244995</v>
      </c>
      <c r="W32" s="164">
        <v>1441.5550539999999</v>
      </c>
      <c r="X32" s="164">
        <v>1437.5629879999999</v>
      </c>
      <c r="Y32" s="164">
        <v>1433.2829589999999</v>
      </c>
      <c r="Z32" s="164">
        <v>1428.718018</v>
      </c>
      <c r="AA32" s="164">
        <v>1423.849976</v>
      </c>
      <c r="AB32" s="164">
        <v>1418.6829829999999</v>
      </c>
      <c r="AC32" s="164">
        <v>1413.23999</v>
      </c>
      <c r="AD32" s="164">
        <v>1407.5550539999999</v>
      </c>
      <c r="AE32" s="164">
        <v>1401.650024</v>
      </c>
      <c r="AF32" s="163">
        <v>-1.181E-3</v>
      </c>
      <c r="AG32" s="155"/>
    </row>
    <row r="33" spans="1:33">
      <c r="A33" s="153" t="s">
        <v>876</v>
      </c>
      <c r="B33" s="161" t="s">
        <v>877</v>
      </c>
      <c r="C33" s="164">
        <v>1408.3000489999999</v>
      </c>
      <c r="D33" s="164">
        <v>1421.3079829999999</v>
      </c>
      <c r="E33" s="164">
        <v>1434.0699460000001</v>
      </c>
      <c r="F33" s="164">
        <v>1446.5550539999999</v>
      </c>
      <c r="G33" s="164">
        <v>1458.8000489999999</v>
      </c>
      <c r="H33" s="164">
        <v>1470.8129879999999</v>
      </c>
      <c r="I33" s="164">
        <v>1482.5529790000001</v>
      </c>
      <c r="J33" s="164">
        <v>1493.959961</v>
      </c>
      <c r="K33" s="164">
        <v>1504.9930420000001</v>
      </c>
      <c r="L33" s="164">
        <v>1515.6979980000001</v>
      </c>
      <c r="M33" s="164">
        <v>1526.094971</v>
      </c>
      <c r="N33" s="164">
        <v>1536.123047</v>
      </c>
      <c r="O33" s="164">
        <v>1545.714966</v>
      </c>
      <c r="P33" s="164">
        <v>1554.8199460000001</v>
      </c>
      <c r="Q33" s="164">
        <v>1563.4499510000001</v>
      </c>
      <c r="R33" s="164">
        <v>1571.625</v>
      </c>
      <c r="S33" s="164">
        <v>1579.3630370000001</v>
      </c>
      <c r="T33" s="164">
        <v>1586.6579589999999</v>
      </c>
      <c r="U33" s="164">
        <v>1593.51001</v>
      </c>
      <c r="V33" s="164">
        <v>1599.8929439999999</v>
      </c>
      <c r="W33" s="164">
        <v>1605.8129879999999</v>
      </c>
      <c r="X33" s="164">
        <v>1611.3079829999999</v>
      </c>
      <c r="Y33" s="164">
        <v>1616.420044</v>
      </c>
      <c r="Z33" s="164">
        <v>1621.1850589999999</v>
      </c>
      <c r="AA33" s="164">
        <v>1625.5830080000001</v>
      </c>
      <c r="AB33" s="164">
        <v>1629.593018</v>
      </c>
      <c r="AC33" s="164">
        <v>1633.2380370000001</v>
      </c>
      <c r="AD33" s="164">
        <v>1636.5429690000001</v>
      </c>
      <c r="AE33" s="164">
        <v>1639.525024</v>
      </c>
      <c r="AF33" s="163">
        <v>5.4440000000000001E-3</v>
      </c>
      <c r="AG33" s="155"/>
    </row>
    <row r="34" spans="1:33">
      <c r="A34" s="153" t="s">
        <v>878</v>
      </c>
      <c r="B34" s="161" t="s">
        <v>879</v>
      </c>
      <c r="C34" s="164">
        <v>1245.615967</v>
      </c>
      <c r="D34" s="164">
        <v>1259.7116699999999</v>
      </c>
      <c r="E34" s="164">
        <v>1273.62915</v>
      </c>
      <c r="F34" s="164">
        <v>1287.3408199999999</v>
      </c>
      <c r="G34" s="164">
        <v>1300.336182</v>
      </c>
      <c r="H34" s="164">
        <v>1313.135254</v>
      </c>
      <c r="I34" s="164">
        <v>1325.7388920000001</v>
      </c>
      <c r="J34" s="164">
        <v>1338.14978</v>
      </c>
      <c r="K34" s="164">
        <v>1350.362183</v>
      </c>
      <c r="L34" s="164">
        <v>1361.7928469999999</v>
      </c>
      <c r="M34" s="164">
        <v>1373.0439449999999</v>
      </c>
      <c r="N34" s="164">
        <v>1384.1104740000001</v>
      </c>
      <c r="O34" s="164">
        <v>1394.9650879999999</v>
      </c>
      <c r="P34" s="164">
        <v>1405.6123050000001</v>
      </c>
      <c r="Q34" s="164">
        <v>1415.5485839999999</v>
      </c>
      <c r="R34" s="164">
        <v>1425.296143</v>
      </c>
      <c r="S34" s="164">
        <v>1434.834351</v>
      </c>
      <c r="T34" s="164">
        <v>1444.1679690000001</v>
      </c>
      <c r="U34" s="164">
        <v>1453.3126219999999</v>
      </c>
      <c r="V34" s="164">
        <v>1461.786987</v>
      </c>
      <c r="W34" s="164">
        <v>1470.0507809999999</v>
      </c>
      <c r="X34" s="164">
        <v>1478.1164550000001</v>
      </c>
      <c r="Y34" s="164">
        <v>1485.9938959999999</v>
      </c>
      <c r="Z34" s="164">
        <v>1493.684814</v>
      </c>
      <c r="AA34" s="164">
        <v>1500.5679929999999</v>
      </c>
      <c r="AB34" s="164">
        <v>1507.2523189999999</v>
      </c>
      <c r="AC34" s="164">
        <v>1513.752197</v>
      </c>
      <c r="AD34" s="164">
        <v>1520.0760499999999</v>
      </c>
      <c r="AE34" s="164">
        <v>1526.2166749999999</v>
      </c>
      <c r="AF34" s="163">
        <v>7.2820000000000003E-3</v>
      </c>
      <c r="AG34" s="155"/>
    </row>
    <row r="35" spans="1:33">
      <c r="A35" s="153" t="s">
        <v>880</v>
      </c>
      <c r="B35" s="161" t="s">
        <v>881</v>
      </c>
      <c r="C35" s="164">
        <v>261.10183699999999</v>
      </c>
      <c r="D35" s="164">
        <v>266.300995</v>
      </c>
      <c r="E35" s="164">
        <v>271.39819299999999</v>
      </c>
      <c r="F35" s="164">
        <v>276.418274</v>
      </c>
      <c r="G35" s="164">
        <v>280.84103399999998</v>
      </c>
      <c r="H35" s="164">
        <v>285.21560699999998</v>
      </c>
      <c r="I35" s="164">
        <v>289.57656900000001</v>
      </c>
      <c r="J35" s="164">
        <v>293.90484600000002</v>
      </c>
      <c r="K35" s="164">
        <v>298.09335299999998</v>
      </c>
      <c r="L35" s="164">
        <v>301.73696899999999</v>
      </c>
      <c r="M35" s="164">
        <v>305.35867300000001</v>
      </c>
      <c r="N35" s="164">
        <v>308.96170000000001</v>
      </c>
      <c r="O35" s="164">
        <v>312.54541</v>
      </c>
      <c r="P35" s="164">
        <v>316.10913099999999</v>
      </c>
      <c r="Q35" s="164">
        <v>319.498199</v>
      </c>
      <c r="R35" s="164">
        <v>322.86215199999998</v>
      </c>
      <c r="S35" s="164">
        <v>326.19833399999999</v>
      </c>
      <c r="T35" s="164">
        <v>329.50210600000003</v>
      </c>
      <c r="U35" s="164">
        <v>332.77383400000002</v>
      </c>
      <c r="V35" s="164">
        <v>335.88980099999998</v>
      </c>
      <c r="W35" s="164">
        <v>338.96798699999999</v>
      </c>
      <c r="X35" s="164">
        <v>342.00610399999999</v>
      </c>
      <c r="Y35" s="164">
        <v>345.00186200000002</v>
      </c>
      <c r="Z35" s="164">
        <v>347.957672</v>
      </c>
      <c r="AA35" s="164">
        <v>350.72204599999998</v>
      </c>
      <c r="AB35" s="164">
        <v>353.440674</v>
      </c>
      <c r="AC35" s="164">
        <v>356.113495</v>
      </c>
      <c r="AD35" s="164">
        <v>358.73825099999999</v>
      </c>
      <c r="AE35" s="164">
        <v>361.31408699999997</v>
      </c>
      <c r="AF35" s="163">
        <v>1.1669000000000001E-2</v>
      </c>
      <c r="AG35" s="155"/>
    </row>
    <row r="36" spans="1:33">
      <c r="A36" s="153" t="s">
        <v>882</v>
      </c>
      <c r="B36" s="161" t="s">
        <v>883</v>
      </c>
      <c r="C36" s="164">
        <v>1406.816284</v>
      </c>
      <c r="D36" s="164">
        <v>1440.4285890000001</v>
      </c>
      <c r="E36" s="164">
        <v>1474.159302</v>
      </c>
      <c r="F36" s="164">
        <v>1508.036865</v>
      </c>
      <c r="G36" s="164">
        <v>1543.6094969999999</v>
      </c>
      <c r="H36" s="164">
        <v>1579.3232419999999</v>
      </c>
      <c r="I36" s="164">
        <v>1615.1782229999999</v>
      </c>
      <c r="J36" s="164">
        <v>1651.1739500000001</v>
      </c>
      <c r="K36" s="164">
        <v>1687.309937</v>
      </c>
      <c r="L36" s="164">
        <v>1725.00647</v>
      </c>
      <c r="M36" s="164">
        <v>1762.836914</v>
      </c>
      <c r="N36" s="164">
        <v>1800.7958980000001</v>
      </c>
      <c r="O36" s="164">
        <v>1838.8767089999999</v>
      </c>
      <c r="P36" s="164">
        <v>1877.0699460000001</v>
      </c>
      <c r="Q36" s="164">
        <v>1916.586182</v>
      </c>
      <c r="R36" s="164">
        <v>1956.201904</v>
      </c>
      <c r="S36" s="164">
        <v>1995.9060059999999</v>
      </c>
      <c r="T36" s="164">
        <v>2035.682129</v>
      </c>
      <c r="U36" s="164">
        <v>2075.5166020000001</v>
      </c>
      <c r="V36" s="164">
        <v>2116.3789059999999</v>
      </c>
      <c r="W36" s="164">
        <v>2157.2849120000001</v>
      </c>
      <c r="X36" s="164">
        <v>2198.218018</v>
      </c>
      <c r="Y36" s="164">
        <v>2239.1657709999999</v>
      </c>
      <c r="Z36" s="164">
        <v>2280.1120609999998</v>
      </c>
      <c r="AA36" s="164">
        <v>2321.6833499999998</v>
      </c>
      <c r="AB36" s="164">
        <v>2363.233643</v>
      </c>
      <c r="AC36" s="164">
        <v>2404.77124</v>
      </c>
      <c r="AD36" s="164">
        <v>2446.304932</v>
      </c>
      <c r="AE36" s="164">
        <v>2487.8393550000001</v>
      </c>
      <c r="AF36" s="163">
        <v>2.0569E-2</v>
      </c>
      <c r="AG36" s="155"/>
    </row>
    <row r="37" spans="1:33">
      <c r="A37" s="153" t="s">
        <v>884</v>
      </c>
      <c r="B37" s="161" t="s">
        <v>885</v>
      </c>
      <c r="C37" s="164">
        <v>215.50250199999999</v>
      </c>
      <c r="D37" s="164">
        <v>216.787003</v>
      </c>
      <c r="E37" s="164">
        <v>218.005798</v>
      </c>
      <c r="F37" s="164">
        <v>219.15980500000001</v>
      </c>
      <c r="G37" s="164">
        <v>220.245499</v>
      </c>
      <c r="H37" s="164">
        <v>221.26480100000001</v>
      </c>
      <c r="I37" s="164">
        <v>222.22030599999999</v>
      </c>
      <c r="J37" s="164">
        <v>223.115005</v>
      </c>
      <c r="K37" s="164">
        <v>223.951797</v>
      </c>
      <c r="L37" s="164">
        <v>224.729996</v>
      </c>
      <c r="M37" s="164">
        <v>225.447495</v>
      </c>
      <c r="N37" s="164">
        <v>226.105301</v>
      </c>
      <c r="O37" s="164">
        <v>226.704498</v>
      </c>
      <c r="P37" s="164">
        <v>227.24650600000001</v>
      </c>
      <c r="Q37" s="164">
        <v>227.72830200000001</v>
      </c>
      <c r="R37" s="164">
        <v>228.15029899999999</v>
      </c>
      <c r="S37" s="164">
        <v>228.515503</v>
      </c>
      <c r="T37" s="164">
        <v>228.82730100000001</v>
      </c>
      <c r="U37" s="164">
        <v>229.087006</v>
      </c>
      <c r="V37" s="164">
        <v>229.29299900000001</v>
      </c>
      <c r="W37" s="164">
        <v>229.44380200000001</v>
      </c>
      <c r="X37" s="164">
        <v>229.54299900000001</v>
      </c>
      <c r="Y37" s="164">
        <v>229.59530599999999</v>
      </c>
      <c r="Z37" s="164">
        <v>229.60000600000001</v>
      </c>
      <c r="AA37" s="164">
        <v>229.541</v>
      </c>
      <c r="AB37" s="164">
        <v>229.420807</v>
      </c>
      <c r="AC37" s="164">
        <v>229.26629600000001</v>
      </c>
      <c r="AD37" s="164">
        <v>229.10699500000001</v>
      </c>
      <c r="AE37" s="164">
        <v>228.962997</v>
      </c>
      <c r="AF37" s="163">
        <v>2.166E-3</v>
      </c>
      <c r="AG37" s="155"/>
    </row>
    <row r="38" spans="1:33">
      <c r="A38" s="153" t="s">
        <v>886</v>
      </c>
      <c r="B38" s="161" t="s">
        <v>887</v>
      </c>
      <c r="C38" s="164">
        <v>239.305511</v>
      </c>
      <c r="D38" s="164">
        <v>242.13305700000001</v>
      </c>
      <c r="E38" s="164">
        <v>244.95889299999999</v>
      </c>
      <c r="F38" s="164">
        <v>247.68708799999999</v>
      </c>
      <c r="G38" s="164">
        <v>250.28230300000001</v>
      </c>
      <c r="H38" s="164">
        <v>252.77761799999999</v>
      </c>
      <c r="I38" s="164">
        <v>255.17982499999999</v>
      </c>
      <c r="J38" s="164">
        <v>257.50900300000001</v>
      </c>
      <c r="K38" s="164">
        <v>259.78024299999998</v>
      </c>
      <c r="L38" s="164">
        <v>261.96649200000002</v>
      </c>
      <c r="M38" s="164">
        <v>264.080872</v>
      </c>
      <c r="N38" s="164">
        <v>266.13140900000002</v>
      </c>
      <c r="O38" s="164">
        <v>268.12866200000002</v>
      </c>
      <c r="P38" s="164">
        <v>270.08139</v>
      </c>
      <c r="Q38" s="164">
        <v>271.964966</v>
      </c>
      <c r="R38" s="164">
        <v>273.805634</v>
      </c>
      <c r="S38" s="164">
        <v>275.60214200000001</v>
      </c>
      <c r="T38" s="164">
        <v>277.35290500000002</v>
      </c>
      <c r="U38" s="164">
        <v>279.05569500000001</v>
      </c>
      <c r="V38" s="164">
        <v>280.68167099999999</v>
      </c>
      <c r="W38" s="164">
        <v>282.26147500000002</v>
      </c>
      <c r="X38" s="164">
        <v>283.79553199999998</v>
      </c>
      <c r="Y38" s="164">
        <v>285.28445399999998</v>
      </c>
      <c r="Z38" s="164">
        <v>286.727417</v>
      </c>
      <c r="AA38" s="164">
        <v>288.09207199999997</v>
      </c>
      <c r="AB38" s="164">
        <v>289.408478</v>
      </c>
      <c r="AC38" s="164">
        <v>290.681061</v>
      </c>
      <c r="AD38" s="164">
        <v>291.913025</v>
      </c>
      <c r="AE38" s="164">
        <v>293.10772700000001</v>
      </c>
      <c r="AF38" s="163">
        <v>7.2690000000000003E-3</v>
      </c>
      <c r="AG38" s="155"/>
    </row>
    <row r="39" spans="1:33">
      <c r="A39" s="148"/>
      <c r="B39" s="155"/>
      <c r="C39" s="155"/>
      <c r="D39" s="155"/>
      <c r="E39" s="155"/>
      <c r="F39" s="155"/>
      <c r="G39" s="155"/>
      <c r="H39" s="155"/>
      <c r="I39" s="155"/>
      <c r="J39" s="155"/>
      <c r="K39" s="155"/>
      <c r="L39" s="155"/>
      <c r="M39" s="155"/>
      <c r="N39" s="155"/>
      <c r="O39" s="155"/>
      <c r="P39" s="155"/>
      <c r="Q39" s="155"/>
      <c r="R39" s="155"/>
      <c r="S39" s="155"/>
      <c r="T39" s="155"/>
      <c r="U39" s="155"/>
      <c r="V39" s="155"/>
      <c r="W39" s="155"/>
      <c r="X39" s="155"/>
      <c r="Y39" s="155"/>
      <c r="Z39" s="155"/>
      <c r="AA39" s="155"/>
      <c r="AB39" s="155"/>
      <c r="AC39" s="155"/>
      <c r="AD39" s="155"/>
      <c r="AE39" s="155"/>
      <c r="AF39" s="155"/>
      <c r="AG39" s="155"/>
    </row>
    <row r="40" spans="1:33">
      <c r="A40" s="148"/>
      <c r="B40" s="158" t="s">
        <v>888</v>
      </c>
      <c r="C40" s="155"/>
      <c r="D40" s="155"/>
      <c r="E40" s="155"/>
      <c r="F40" s="155"/>
      <c r="G40" s="155"/>
      <c r="H40" s="155"/>
      <c r="I40" s="155"/>
      <c r="J40" s="155"/>
      <c r="K40" s="155"/>
      <c r="L40" s="155"/>
      <c r="M40" s="155"/>
      <c r="N40" s="155"/>
      <c r="O40" s="155"/>
      <c r="P40" s="155"/>
      <c r="Q40" s="155"/>
      <c r="R40" s="155"/>
      <c r="S40" s="155"/>
      <c r="T40" s="155"/>
      <c r="U40" s="155"/>
      <c r="V40" s="155"/>
      <c r="W40" s="155"/>
      <c r="X40" s="155"/>
      <c r="Y40" s="155"/>
      <c r="Z40" s="155"/>
      <c r="AA40" s="155"/>
      <c r="AB40" s="155"/>
      <c r="AC40" s="155"/>
      <c r="AD40" s="155"/>
      <c r="AE40" s="155"/>
      <c r="AF40" s="155"/>
      <c r="AG40" s="155"/>
    </row>
    <row r="41" spans="1:33">
      <c r="A41" s="148"/>
      <c r="B41" s="158" t="s">
        <v>889</v>
      </c>
      <c r="C41" s="155"/>
      <c r="D41" s="155"/>
      <c r="E41" s="155"/>
      <c r="F41" s="155"/>
      <c r="G41" s="155"/>
      <c r="H41" s="155"/>
      <c r="I41" s="155"/>
      <c r="J41" s="155"/>
      <c r="K41" s="155"/>
      <c r="L41" s="155"/>
      <c r="M41" s="155"/>
      <c r="N41" s="155"/>
      <c r="O41" s="155"/>
      <c r="P41" s="155"/>
      <c r="Q41" s="155"/>
      <c r="R41" s="155"/>
      <c r="S41" s="155"/>
      <c r="T41" s="155"/>
      <c r="U41" s="155"/>
      <c r="V41" s="155"/>
      <c r="W41" s="155"/>
      <c r="X41" s="155"/>
      <c r="Y41" s="155"/>
      <c r="Z41" s="155"/>
      <c r="AA41" s="155"/>
      <c r="AB41" s="155"/>
      <c r="AC41" s="155"/>
      <c r="AD41" s="155"/>
      <c r="AE41" s="155"/>
      <c r="AF41" s="155"/>
      <c r="AG41" s="155"/>
    </row>
    <row r="42" spans="1:33">
      <c r="A42" s="148"/>
      <c r="B42" s="158" t="s">
        <v>890</v>
      </c>
      <c r="C42" s="155"/>
      <c r="D42" s="155"/>
      <c r="E42" s="155"/>
      <c r="F42" s="155"/>
      <c r="G42" s="155"/>
      <c r="H42" s="155"/>
      <c r="I42" s="155"/>
      <c r="J42" s="155"/>
      <c r="K42" s="155"/>
      <c r="L42" s="155"/>
      <c r="M42" s="155"/>
      <c r="N42" s="155"/>
      <c r="O42" s="155"/>
      <c r="P42" s="155"/>
      <c r="Q42" s="155"/>
      <c r="R42" s="155"/>
      <c r="S42" s="155"/>
      <c r="T42" s="155"/>
      <c r="U42" s="155"/>
      <c r="V42" s="155"/>
      <c r="W42" s="155"/>
      <c r="X42" s="155"/>
      <c r="Y42" s="155"/>
      <c r="Z42" s="155"/>
      <c r="AA42" s="155"/>
      <c r="AB42" s="155"/>
      <c r="AC42" s="155"/>
      <c r="AD42" s="155"/>
      <c r="AE42" s="155"/>
      <c r="AF42" s="155"/>
      <c r="AG42" s="155"/>
    </row>
    <row r="43" spans="1:33">
      <c r="A43" s="153" t="s">
        <v>891</v>
      </c>
      <c r="B43" s="161" t="s">
        <v>892</v>
      </c>
      <c r="C43" s="164">
        <v>710.078979</v>
      </c>
      <c r="D43" s="164">
        <v>745.46997099999999</v>
      </c>
      <c r="E43" s="164">
        <v>746.32006799999999</v>
      </c>
      <c r="F43" s="164">
        <v>755.33380099999999</v>
      </c>
      <c r="G43" s="164">
        <v>772.24121100000002</v>
      </c>
      <c r="H43" s="164">
        <v>788.825378</v>
      </c>
      <c r="I43" s="164">
        <v>803.36663799999997</v>
      </c>
      <c r="J43" s="164">
        <v>815.28930700000001</v>
      </c>
      <c r="K43" s="164">
        <v>824.81445299999996</v>
      </c>
      <c r="L43" s="164">
        <v>834.85772699999995</v>
      </c>
      <c r="M43" s="164">
        <v>848.97833300000002</v>
      </c>
      <c r="N43" s="164">
        <v>865.444885</v>
      </c>
      <c r="O43" s="164">
        <v>881.70617700000003</v>
      </c>
      <c r="P43" s="164">
        <v>898.18823199999997</v>
      </c>
      <c r="Q43" s="164">
        <v>916.51141399999995</v>
      </c>
      <c r="R43" s="164">
        <v>936.63476600000001</v>
      </c>
      <c r="S43" s="164">
        <v>957.63073699999995</v>
      </c>
      <c r="T43" s="164">
        <v>978.95721400000002</v>
      </c>
      <c r="U43" s="164">
        <v>1003.341492</v>
      </c>
      <c r="V43" s="164">
        <v>1027.651611</v>
      </c>
      <c r="W43" s="164">
        <v>1052.540894</v>
      </c>
      <c r="X43" s="164">
        <v>1078.3070070000001</v>
      </c>
      <c r="Y43" s="164">
        <v>1103.5081789999999</v>
      </c>
      <c r="Z43" s="164">
        <v>1128.1469729999999</v>
      </c>
      <c r="AA43" s="164">
        <v>1153.3220209999999</v>
      </c>
      <c r="AB43" s="164">
        <v>1180.4858400000001</v>
      </c>
      <c r="AC43" s="164">
        <v>1208.165649</v>
      </c>
      <c r="AD43" s="164">
        <v>1236.08728</v>
      </c>
      <c r="AE43" s="164">
        <v>1266.459961</v>
      </c>
      <c r="AF43" s="163">
        <v>2.0879000000000002E-2</v>
      </c>
      <c r="AG43" s="155"/>
    </row>
    <row r="44" spans="1:33">
      <c r="A44" s="153" t="s">
        <v>893</v>
      </c>
      <c r="B44" s="161" t="s">
        <v>894</v>
      </c>
      <c r="C44" s="164">
        <v>33.891998000000001</v>
      </c>
      <c r="D44" s="164">
        <v>36.630001</v>
      </c>
      <c r="E44" s="164">
        <v>37.250919000000003</v>
      </c>
      <c r="F44" s="164">
        <v>37.928448000000003</v>
      </c>
      <c r="G44" s="164">
        <v>38.582844000000001</v>
      </c>
      <c r="H44" s="164">
        <v>39.201327999999997</v>
      </c>
      <c r="I44" s="164">
        <v>39.822952000000001</v>
      </c>
      <c r="J44" s="164">
        <v>40.457236999999999</v>
      </c>
      <c r="K44" s="164">
        <v>41.099151999999997</v>
      </c>
      <c r="L44" s="164">
        <v>41.750576000000002</v>
      </c>
      <c r="M44" s="164">
        <v>42.408977999999998</v>
      </c>
      <c r="N44" s="164">
        <v>43.071007000000002</v>
      </c>
      <c r="O44" s="164">
        <v>43.736645000000003</v>
      </c>
      <c r="P44" s="164">
        <v>44.405921999999997</v>
      </c>
      <c r="Q44" s="164">
        <v>45.078777000000002</v>
      </c>
      <c r="R44" s="164">
        <v>45.755299000000001</v>
      </c>
      <c r="S44" s="164">
        <v>46.435478000000003</v>
      </c>
      <c r="T44" s="164">
        <v>47.119484</v>
      </c>
      <c r="U44" s="164">
        <v>47.807274</v>
      </c>
      <c r="V44" s="164">
        <v>48.498725999999998</v>
      </c>
      <c r="W44" s="164">
        <v>49.194065000000002</v>
      </c>
      <c r="X44" s="164">
        <v>49.893104999999998</v>
      </c>
      <c r="Y44" s="164">
        <v>50.597079999999998</v>
      </c>
      <c r="Z44" s="164">
        <v>51.306601999999998</v>
      </c>
      <c r="AA44" s="164">
        <v>52.021793000000002</v>
      </c>
      <c r="AB44" s="164">
        <v>52.742984999999997</v>
      </c>
      <c r="AC44" s="164">
        <v>53.470382999999998</v>
      </c>
      <c r="AD44" s="164">
        <v>54.204514000000003</v>
      </c>
      <c r="AE44" s="164">
        <v>54.945633000000001</v>
      </c>
      <c r="AF44" s="163">
        <v>1.7406000000000001E-2</v>
      </c>
      <c r="AG44" s="155"/>
    </row>
    <row r="45" spans="1:33">
      <c r="A45" s="153" t="s">
        <v>895</v>
      </c>
      <c r="B45" s="161" t="s">
        <v>896</v>
      </c>
      <c r="C45" s="164">
        <v>50.740718999999999</v>
      </c>
      <c r="D45" s="164">
        <v>56.534430999999998</v>
      </c>
      <c r="E45" s="164">
        <v>60.376579</v>
      </c>
      <c r="F45" s="164">
        <v>62.836734999999997</v>
      </c>
      <c r="G45" s="164">
        <v>65.337990000000005</v>
      </c>
      <c r="H45" s="164">
        <v>67.897064</v>
      </c>
      <c r="I45" s="164">
        <v>70.512161000000006</v>
      </c>
      <c r="J45" s="164">
        <v>73.204375999999996</v>
      </c>
      <c r="K45" s="164">
        <v>75.988669999999999</v>
      </c>
      <c r="L45" s="164">
        <v>78.861144999999993</v>
      </c>
      <c r="M45" s="164">
        <v>81.841094999999996</v>
      </c>
      <c r="N45" s="164">
        <v>84.912086000000002</v>
      </c>
      <c r="O45" s="164">
        <v>88.077208999999996</v>
      </c>
      <c r="P45" s="164">
        <v>91.337661999999995</v>
      </c>
      <c r="Q45" s="164">
        <v>94.683143999999999</v>
      </c>
      <c r="R45" s="164">
        <v>98.125945999999999</v>
      </c>
      <c r="S45" s="164">
        <v>101.669319</v>
      </c>
      <c r="T45" s="164">
        <v>105.31547500000001</v>
      </c>
      <c r="U45" s="164">
        <v>109.06652099999999</v>
      </c>
      <c r="V45" s="164">
        <v>112.89244100000001</v>
      </c>
      <c r="W45" s="164">
        <v>116.824089</v>
      </c>
      <c r="X45" s="164">
        <v>120.86422</v>
      </c>
      <c r="Y45" s="164">
        <v>125.015038</v>
      </c>
      <c r="Z45" s="164">
        <v>129.27801500000001</v>
      </c>
      <c r="AA45" s="164">
        <v>133.62089499999999</v>
      </c>
      <c r="AB45" s="164">
        <v>138.07399000000001</v>
      </c>
      <c r="AC45" s="164">
        <v>142.646118</v>
      </c>
      <c r="AD45" s="164">
        <v>147.34742700000001</v>
      </c>
      <c r="AE45" s="164">
        <v>152.18673699999999</v>
      </c>
      <c r="AF45" s="163">
        <v>4.0007000000000001E-2</v>
      </c>
      <c r="AG45" s="155"/>
    </row>
    <row r="46" spans="1:33">
      <c r="A46" s="153" t="s">
        <v>897</v>
      </c>
      <c r="B46" s="161" t="s">
        <v>898</v>
      </c>
      <c r="C46" s="164">
        <v>315.62841800000001</v>
      </c>
      <c r="D46" s="164">
        <v>422.74731400000002</v>
      </c>
      <c r="E46" s="164">
        <v>501.79760700000003</v>
      </c>
      <c r="F46" s="164">
        <v>547.62390100000005</v>
      </c>
      <c r="G46" s="164">
        <v>567.10003700000004</v>
      </c>
      <c r="H46" s="164">
        <v>580.01007100000004</v>
      </c>
      <c r="I46" s="164">
        <v>593.03802499999995</v>
      </c>
      <c r="J46" s="164">
        <v>606.25683600000002</v>
      </c>
      <c r="K46" s="164">
        <v>619.70391800000004</v>
      </c>
      <c r="L46" s="164">
        <v>633.394226</v>
      </c>
      <c r="M46" s="164">
        <v>647.34759499999996</v>
      </c>
      <c r="N46" s="164">
        <v>661.58007799999996</v>
      </c>
      <c r="O46" s="164">
        <v>676.07147199999997</v>
      </c>
      <c r="P46" s="164">
        <v>690.78887899999995</v>
      </c>
      <c r="Q46" s="164">
        <v>705.776794</v>
      </c>
      <c r="R46" s="164">
        <v>721.07025099999998</v>
      </c>
      <c r="S46" s="164">
        <v>736.65130599999998</v>
      </c>
      <c r="T46" s="164">
        <v>752.51965299999995</v>
      </c>
      <c r="U46" s="164">
        <v>768.69628899999998</v>
      </c>
      <c r="V46" s="164">
        <v>785.15838599999995</v>
      </c>
      <c r="W46" s="164">
        <v>801.90203899999995</v>
      </c>
      <c r="X46" s="164">
        <v>818.92358400000001</v>
      </c>
      <c r="Y46" s="164">
        <v>836.21734600000002</v>
      </c>
      <c r="Z46" s="164">
        <v>853.78289800000005</v>
      </c>
      <c r="AA46" s="164">
        <v>871.62298599999997</v>
      </c>
      <c r="AB46" s="164">
        <v>889.74096699999996</v>
      </c>
      <c r="AC46" s="164">
        <v>908.15856900000006</v>
      </c>
      <c r="AD46" s="164">
        <v>926.90478499999995</v>
      </c>
      <c r="AE46" s="164">
        <v>945.99829099999999</v>
      </c>
      <c r="AF46" s="163">
        <v>3.9981000000000003E-2</v>
      </c>
      <c r="AG46" s="155"/>
    </row>
    <row r="47" spans="1:33">
      <c r="A47" s="153" t="s">
        <v>899</v>
      </c>
      <c r="B47" s="161" t="s">
        <v>900</v>
      </c>
      <c r="C47" s="164">
        <v>26.969999000000001</v>
      </c>
      <c r="D47" s="164">
        <v>47.43</v>
      </c>
      <c r="E47" s="164">
        <v>59.271999000000001</v>
      </c>
      <c r="F47" s="164">
        <v>61.380001</v>
      </c>
      <c r="G47" s="164">
        <v>61.920161999999998</v>
      </c>
      <c r="H47" s="164">
        <v>62.41534</v>
      </c>
      <c r="I47" s="164">
        <v>62.870857000000001</v>
      </c>
      <c r="J47" s="164">
        <v>63.294476000000003</v>
      </c>
      <c r="K47" s="164">
        <v>63.689357999999999</v>
      </c>
      <c r="L47" s="164">
        <v>64.061240999999995</v>
      </c>
      <c r="M47" s="164">
        <v>64.419899000000001</v>
      </c>
      <c r="N47" s="164">
        <v>64.773528999999996</v>
      </c>
      <c r="O47" s="164">
        <v>65.123833000000005</v>
      </c>
      <c r="P47" s="164">
        <v>65.470909000000006</v>
      </c>
      <c r="Q47" s="164">
        <v>65.814910999999995</v>
      </c>
      <c r="R47" s="164">
        <v>66.156433000000007</v>
      </c>
      <c r="S47" s="164">
        <v>66.495697000000007</v>
      </c>
      <c r="T47" s="164">
        <v>66.832970000000003</v>
      </c>
      <c r="U47" s="164">
        <v>67.168334999999999</v>
      </c>
      <c r="V47" s="164">
        <v>67.502707999999998</v>
      </c>
      <c r="W47" s="164">
        <v>67.836005999999998</v>
      </c>
      <c r="X47" s="164">
        <v>68.168655000000001</v>
      </c>
      <c r="Y47" s="164">
        <v>68.502373000000006</v>
      </c>
      <c r="Z47" s="164">
        <v>68.839500000000001</v>
      </c>
      <c r="AA47" s="164">
        <v>69.182654999999997</v>
      </c>
      <c r="AB47" s="164">
        <v>69.532364000000001</v>
      </c>
      <c r="AC47" s="164">
        <v>69.888549999999995</v>
      </c>
      <c r="AD47" s="164">
        <v>70.251152000000005</v>
      </c>
      <c r="AE47" s="164">
        <v>70.620002999999997</v>
      </c>
      <c r="AF47" s="163">
        <v>3.4976E-2</v>
      </c>
      <c r="AG47" s="155"/>
    </row>
    <row r="48" spans="1:33">
      <c r="A48" s="153" t="s">
        <v>901</v>
      </c>
      <c r="B48" s="161" t="s">
        <v>902</v>
      </c>
      <c r="C48" s="164">
        <v>32.485492999999998</v>
      </c>
      <c r="D48" s="164">
        <v>45.917563999999999</v>
      </c>
      <c r="E48" s="164">
        <v>54.438347</v>
      </c>
      <c r="F48" s="164">
        <v>58.580399</v>
      </c>
      <c r="G48" s="164">
        <v>60.373111999999999</v>
      </c>
      <c r="H48" s="164">
        <v>62.175818999999997</v>
      </c>
      <c r="I48" s="164">
        <v>63.987071999999998</v>
      </c>
      <c r="J48" s="164">
        <v>65.816010000000006</v>
      </c>
      <c r="K48" s="164">
        <v>67.672150000000002</v>
      </c>
      <c r="L48" s="164">
        <v>69.540038999999993</v>
      </c>
      <c r="M48" s="164">
        <v>71.392394999999993</v>
      </c>
      <c r="N48" s="164">
        <v>73.242050000000006</v>
      </c>
      <c r="O48" s="164">
        <v>75.092895999999996</v>
      </c>
      <c r="P48" s="164">
        <v>76.872742000000002</v>
      </c>
      <c r="Q48" s="164">
        <v>78.633728000000005</v>
      </c>
      <c r="R48" s="164">
        <v>80.435424999999995</v>
      </c>
      <c r="S48" s="164">
        <v>82.260277000000002</v>
      </c>
      <c r="T48" s="164">
        <v>84.062126000000006</v>
      </c>
      <c r="U48" s="164">
        <v>85.845725999999999</v>
      </c>
      <c r="V48" s="164">
        <v>87.640495000000001</v>
      </c>
      <c r="W48" s="164">
        <v>89.452477000000002</v>
      </c>
      <c r="X48" s="164">
        <v>91.281104999999997</v>
      </c>
      <c r="Y48" s="164">
        <v>93.125473</v>
      </c>
      <c r="Z48" s="164">
        <v>94.983176999999998</v>
      </c>
      <c r="AA48" s="164">
        <v>96.849968000000004</v>
      </c>
      <c r="AB48" s="164">
        <v>98.726249999999993</v>
      </c>
      <c r="AC48" s="164">
        <v>100.62426000000001</v>
      </c>
      <c r="AD48" s="164">
        <v>102.54549400000001</v>
      </c>
      <c r="AE48" s="164">
        <v>104.48915100000001</v>
      </c>
      <c r="AF48" s="163">
        <v>4.2606999999999999E-2</v>
      </c>
      <c r="AG48" s="155"/>
    </row>
    <row r="49" spans="1:33">
      <c r="A49" s="153" t="s">
        <v>903</v>
      </c>
      <c r="B49" s="161" t="s">
        <v>904</v>
      </c>
      <c r="C49" s="164">
        <v>7.1724589999999999</v>
      </c>
      <c r="D49" s="164">
        <v>8.457884</v>
      </c>
      <c r="E49" s="164">
        <v>9.5488759999999999</v>
      </c>
      <c r="F49" s="164">
        <v>10.326612000000001</v>
      </c>
      <c r="G49" s="164">
        <v>10.693877000000001</v>
      </c>
      <c r="H49" s="164">
        <v>10.870692</v>
      </c>
      <c r="I49" s="164">
        <v>11.037345</v>
      </c>
      <c r="J49" s="164">
        <v>11.193871</v>
      </c>
      <c r="K49" s="164">
        <v>11.34094</v>
      </c>
      <c r="L49" s="164">
        <v>11.454879</v>
      </c>
      <c r="M49" s="164">
        <v>11.523292</v>
      </c>
      <c r="N49" s="164">
        <v>11.581455</v>
      </c>
      <c r="O49" s="164">
        <v>11.636729000000001</v>
      </c>
      <c r="P49" s="164">
        <v>11.687825999999999</v>
      </c>
      <c r="Q49" s="164">
        <v>11.736679000000001</v>
      </c>
      <c r="R49" s="164">
        <v>11.776113</v>
      </c>
      <c r="S49" s="164">
        <v>11.806799</v>
      </c>
      <c r="T49" s="164">
        <v>11.835800000000001</v>
      </c>
      <c r="U49" s="164">
        <v>11.867737999999999</v>
      </c>
      <c r="V49" s="164">
        <v>11.907171999999999</v>
      </c>
      <c r="W49" s="164">
        <v>11.952139000000001</v>
      </c>
      <c r="X49" s="164">
        <v>11.998142</v>
      </c>
      <c r="Y49" s="164">
        <v>12.043982</v>
      </c>
      <c r="Z49" s="164">
        <v>12.087415</v>
      </c>
      <c r="AA49" s="164">
        <v>12.125690000000001</v>
      </c>
      <c r="AB49" s="164">
        <v>12.1586</v>
      </c>
      <c r="AC49" s="164">
        <v>12.189465</v>
      </c>
      <c r="AD49" s="164">
        <v>12.221159999999999</v>
      </c>
      <c r="AE49" s="164">
        <v>12.255587</v>
      </c>
      <c r="AF49" s="163">
        <v>1.9317999999999998E-2</v>
      </c>
      <c r="AG49" s="155"/>
    </row>
    <row r="50" spans="1:33">
      <c r="A50" s="153" t="s">
        <v>905</v>
      </c>
      <c r="B50" s="161" t="s">
        <v>906</v>
      </c>
      <c r="C50" s="164">
        <v>96.943595999999999</v>
      </c>
      <c r="D50" s="164">
        <v>96.375838999999999</v>
      </c>
      <c r="E50" s="164">
        <v>98.188980000000001</v>
      </c>
      <c r="F50" s="164">
        <v>99.832595999999995</v>
      </c>
      <c r="G50" s="164">
        <v>101.372215</v>
      </c>
      <c r="H50" s="164">
        <v>102.851097</v>
      </c>
      <c r="I50" s="164">
        <v>104.335266</v>
      </c>
      <c r="J50" s="164">
        <v>105.832863</v>
      </c>
      <c r="K50" s="164">
        <v>107.348007</v>
      </c>
      <c r="L50" s="164">
        <v>108.917366</v>
      </c>
      <c r="M50" s="164">
        <v>110.521828</v>
      </c>
      <c r="N50" s="164">
        <v>112.14489</v>
      </c>
      <c r="O50" s="164">
        <v>113.791878</v>
      </c>
      <c r="P50" s="164">
        <v>115.46772</v>
      </c>
      <c r="Q50" s="164">
        <v>117.171211</v>
      </c>
      <c r="R50" s="164">
        <v>118.89960499999999</v>
      </c>
      <c r="S50" s="164">
        <v>120.656273</v>
      </c>
      <c r="T50" s="164">
        <v>122.44444300000001</v>
      </c>
      <c r="U50" s="164">
        <v>124.26765399999999</v>
      </c>
      <c r="V50" s="164">
        <v>126.12685399999999</v>
      </c>
      <c r="W50" s="164">
        <v>128.02136200000001</v>
      </c>
      <c r="X50" s="164">
        <v>129.95013399999999</v>
      </c>
      <c r="Y50" s="164">
        <v>131.91334499999999</v>
      </c>
      <c r="Z50" s="164">
        <v>133.910202</v>
      </c>
      <c r="AA50" s="164">
        <v>135.94387800000001</v>
      </c>
      <c r="AB50" s="164">
        <v>138.014771</v>
      </c>
      <c r="AC50" s="164">
        <v>140.12088</v>
      </c>
      <c r="AD50" s="164">
        <v>142.26033000000001</v>
      </c>
      <c r="AE50" s="164">
        <v>144.430115</v>
      </c>
      <c r="AF50" s="163">
        <v>1.434E-2</v>
      </c>
      <c r="AG50" s="155"/>
    </row>
    <row r="51" spans="1:33">
      <c r="A51" s="153" t="s">
        <v>907</v>
      </c>
      <c r="B51" s="161" t="s">
        <v>908</v>
      </c>
      <c r="C51" s="164">
        <v>5.5833570000000003</v>
      </c>
      <c r="D51" s="164">
        <v>6.899108</v>
      </c>
      <c r="E51" s="164">
        <v>8.7525999999999993</v>
      </c>
      <c r="F51" s="164">
        <v>10.320059000000001</v>
      </c>
      <c r="G51" s="164">
        <v>11.326893999999999</v>
      </c>
      <c r="H51" s="164">
        <v>11.649971000000001</v>
      </c>
      <c r="I51" s="164">
        <v>11.976704</v>
      </c>
      <c r="J51" s="164">
        <v>12.309505</v>
      </c>
      <c r="K51" s="164">
        <v>12.650805999999999</v>
      </c>
      <c r="L51" s="164">
        <v>13.010585000000001</v>
      </c>
      <c r="M51" s="164">
        <v>13.382293000000001</v>
      </c>
      <c r="N51" s="164">
        <v>13.763350000000001</v>
      </c>
      <c r="O51" s="164">
        <v>14.154275999999999</v>
      </c>
      <c r="P51" s="164">
        <v>14.556096999999999</v>
      </c>
      <c r="Q51" s="164">
        <v>14.956531</v>
      </c>
      <c r="R51" s="164">
        <v>15.366565</v>
      </c>
      <c r="S51" s="164">
        <v>15.786690999999999</v>
      </c>
      <c r="T51" s="164">
        <v>16.216818</v>
      </c>
      <c r="U51" s="164">
        <v>16.657633000000001</v>
      </c>
      <c r="V51" s="164">
        <v>17.097104999999999</v>
      </c>
      <c r="W51" s="164">
        <v>17.546858</v>
      </c>
      <c r="X51" s="164">
        <v>18.007286000000001</v>
      </c>
      <c r="Y51" s="164">
        <v>18.478339999999999</v>
      </c>
      <c r="Z51" s="164">
        <v>18.960153999999999</v>
      </c>
      <c r="AA51" s="164">
        <v>19.440370999999999</v>
      </c>
      <c r="AB51" s="164">
        <v>19.930873999999999</v>
      </c>
      <c r="AC51" s="164">
        <v>20.432293000000001</v>
      </c>
      <c r="AD51" s="164">
        <v>20.944868</v>
      </c>
      <c r="AE51" s="164">
        <v>21.468855000000001</v>
      </c>
      <c r="AF51" s="163">
        <v>4.9276E-2</v>
      </c>
      <c r="AG51" s="155"/>
    </row>
    <row r="52" spans="1:33">
      <c r="A52" s="153" t="s">
        <v>909</v>
      </c>
      <c r="B52" s="161" t="s">
        <v>910</v>
      </c>
      <c r="C52" s="164">
        <v>445.94699100000003</v>
      </c>
      <c r="D52" s="164">
        <v>487.20901500000002</v>
      </c>
      <c r="E52" s="164">
        <v>523.71002199999998</v>
      </c>
      <c r="F52" s="164">
        <v>560.38824499999998</v>
      </c>
      <c r="G52" s="164">
        <v>597.47442599999999</v>
      </c>
      <c r="H52" s="164">
        <v>634.90472399999999</v>
      </c>
      <c r="I52" s="164">
        <v>672.73303199999998</v>
      </c>
      <c r="J52" s="164">
        <v>710.81597899999997</v>
      </c>
      <c r="K52" s="164">
        <v>748.88952600000005</v>
      </c>
      <c r="L52" s="164">
        <v>787.29797399999995</v>
      </c>
      <c r="M52" s="164">
        <v>826.023865</v>
      </c>
      <c r="N52" s="164">
        <v>864.93164100000001</v>
      </c>
      <c r="O52" s="164">
        <v>904.114868</v>
      </c>
      <c r="P52" s="164">
        <v>943.79315199999996</v>
      </c>
      <c r="Q52" s="164">
        <v>983.87207000000001</v>
      </c>
      <c r="R52" s="164">
        <v>1024.044312</v>
      </c>
      <c r="S52" s="164">
        <v>1064.332764</v>
      </c>
      <c r="T52" s="164">
        <v>1104.986206</v>
      </c>
      <c r="U52" s="164">
        <v>1146.439697</v>
      </c>
      <c r="V52" s="164">
        <v>1189.1207280000001</v>
      </c>
      <c r="W52" s="164">
        <v>1232.996216</v>
      </c>
      <c r="X52" s="164">
        <v>1277.6727289999999</v>
      </c>
      <c r="Y52" s="164">
        <v>1322.664673</v>
      </c>
      <c r="Z52" s="164">
        <v>1367.44165</v>
      </c>
      <c r="AA52" s="164">
        <v>1411.900024</v>
      </c>
      <c r="AB52" s="164">
        <v>1456.2844239999999</v>
      </c>
      <c r="AC52" s="164">
        <v>1500.4047849999999</v>
      </c>
      <c r="AD52" s="164">
        <v>1543.762573</v>
      </c>
      <c r="AE52" s="164">
        <v>1585.8328859999999</v>
      </c>
      <c r="AF52" s="163">
        <v>4.6351999999999997E-2</v>
      </c>
      <c r="AG52" s="155"/>
    </row>
    <row r="53" spans="1:33">
      <c r="A53" s="153" t="s">
        <v>911</v>
      </c>
      <c r="B53" s="161" t="s">
        <v>912</v>
      </c>
      <c r="C53" s="164">
        <v>64.328002999999995</v>
      </c>
      <c r="D53" s="164">
        <v>75.594002000000003</v>
      </c>
      <c r="E53" s="164">
        <v>81.957999999999998</v>
      </c>
      <c r="F53" s="164">
        <v>85.139999000000003</v>
      </c>
      <c r="G53" s="164">
        <v>93.982192999999995</v>
      </c>
      <c r="H53" s="164">
        <v>103.36318199999999</v>
      </c>
      <c r="I53" s="164">
        <v>113.16532100000001</v>
      </c>
      <c r="J53" s="164">
        <v>123.31379699999999</v>
      </c>
      <c r="K53" s="164">
        <v>133.73538199999999</v>
      </c>
      <c r="L53" s="164">
        <v>144.346588</v>
      </c>
      <c r="M53" s="164">
        <v>155.08763099999999</v>
      </c>
      <c r="N53" s="164">
        <v>165.88197299999999</v>
      </c>
      <c r="O53" s="164">
        <v>176.64450099999999</v>
      </c>
      <c r="P53" s="164">
        <v>187.40939299999999</v>
      </c>
      <c r="Q53" s="164">
        <v>198.268677</v>
      </c>
      <c r="R53" s="164">
        <v>209.41423</v>
      </c>
      <c r="S53" s="164">
        <v>220.845947</v>
      </c>
      <c r="T53" s="164">
        <v>232.543701</v>
      </c>
      <c r="U53" s="164">
        <v>244.48284899999999</v>
      </c>
      <c r="V53" s="164">
        <v>256.64562999999998</v>
      </c>
      <c r="W53" s="164">
        <v>269.010651</v>
      </c>
      <c r="X53" s="164">
        <v>281.56417800000003</v>
      </c>
      <c r="Y53" s="164">
        <v>294.26825000000002</v>
      </c>
      <c r="Z53" s="164">
        <v>307.09204099999999</v>
      </c>
      <c r="AA53" s="164">
        <v>320.00271600000002</v>
      </c>
      <c r="AB53" s="164">
        <v>332.96649200000002</v>
      </c>
      <c r="AC53" s="164">
        <v>345.94287100000003</v>
      </c>
      <c r="AD53" s="164">
        <v>358.890961</v>
      </c>
      <c r="AE53" s="164">
        <v>371.77322400000003</v>
      </c>
      <c r="AF53" s="163">
        <v>6.4657999999999993E-2</v>
      </c>
      <c r="AG53" s="155"/>
    </row>
    <row r="54" spans="1:33">
      <c r="A54" s="153" t="s">
        <v>913</v>
      </c>
      <c r="B54" s="161" t="s">
        <v>914</v>
      </c>
      <c r="C54" s="164">
        <v>121.340279</v>
      </c>
      <c r="D54" s="164">
        <v>154.57797199999999</v>
      </c>
      <c r="E54" s="164">
        <v>184.62844799999999</v>
      </c>
      <c r="F54" s="164">
        <v>208.98757900000001</v>
      </c>
      <c r="G54" s="164">
        <v>225.37876900000001</v>
      </c>
      <c r="H54" s="164">
        <v>238.34477200000001</v>
      </c>
      <c r="I54" s="164">
        <v>251.587997</v>
      </c>
      <c r="J54" s="164">
        <v>265.00787400000002</v>
      </c>
      <c r="K54" s="164">
        <v>278.52264400000001</v>
      </c>
      <c r="L54" s="164">
        <v>292.37914999999998</v>
      </c>
      <c r="M54" s="164">
        <v>306.63424700000002</v>
      </c>
      <c r="N54" s="164">
        <v>321.28695699999997</v>
      </c>
      <c r="O54" s="164">
        <v>336.38125600000001</v>
      </c>
      <c r="P54" s="164">
        <v>351.955963</v>
      </c>
      <c r="Q54" s="164">
        <v>367.83340500000003</v>
      </c>
      <c r="R54" s="164">
        <v>384.15817299999998</v>
      </c>
      <c r="S54" s="164">
        <v>400.97872899999999</v>
      </c>
      <c r="T54" s="164">
        <v>418.281586</v>
      </c>
      <c r="U54" s="164">
        <v>436.11956800000002</v>
      </c>
      <c r="V54" s="164">
        <v>454.223206</v>
      </c>
      <c r="W54" s="164">
        <v>472.74136399999998</v>
      </c>
      <c r="X54" s="164">
        <v>491.70300300000002</v>
      </c>
      <c r="Y54" s="164">
        <v>511.12606799999998</v>
      </c>
      <c r="Z54" s="164">
        <v>530.98492399999998</v>
      </c>
      <c r="AA54" s="164">
        <v>550.75610400000005</v>
      </c>
      <c r="AB54" s="164">
        <v>570.81701699999996</v>
      </c>
      <c r="AC54" s="164">
        <v>591.32055700000001</v>
      </c>
      <c r="AD54" s="164">
        <v>612.31854199999998</v>
      </c>
      <c r="AE54" s="164">
        <v>633.87719700000002</v>
      </c>
      <c r="AF54" s="163">
        <v>6.0823000000000002E-2</v>
      </c>
      <c r="AG54" s="155"/>
    </row>
    <row r="55" spans="1:33">
      <c r="A55" s="153" t="s">
        <v>915</v>
      </c>
      <c r="B55" s="161" t="s">
        <v>916</v>
      </c>
      <c r="C55" s="164">
        <v>25.162047999999999</v>
      </c>
      <c r="D55" s="164">
        <v>33.757781999999999</v>
      </c>
      <c r="E55" s="164">
        <v>43.291224999999997</v>
      </c>
      <c r="F55" s="164">
        <v>49.386383000000002</v>
      </c>
      <c r="G55" s="164">
        <v>51.574387000000002</v>
      </c>
      <c r="H55" s="164">
        <v>53.530833999999999</v>
      </c>
      <c r="I55" s="164">
        <v>55.570011000000001</v>
      </c>
      <c r="J55" s="164">
        <v>57.661495000000002</v>
      </c>
      <c r="K55" s="164">
        <v>59.811988999999997</v>
      </c>
      <c r="L55" s="164">
        <v>61.987437999999997</v>
      </c>
      <c r="M55" s="164">
        <v>64.196487000000005</v>
      </c>
      <c r="N55" s="164">
        <v>66.463004999999995</v>
      </c>
      <c r="O55" s="164">
        <v>68.793846000000002</v>
      </c>
      <c r="P55" s="164">
        <v>71.198943999999997</v>
      </c>
      <c r="Q55" s="164">
        <v>73.662277000000003</v>
      </c>
      <c r="R55" s="164">
        <v>76.193236999999996</v>
      </c>
      <c r="S55" s="164">
        <v>78.792975999999996</v>
      </c>
      <c r="T55" s="164">
        <v>81.454643000000004</v>
      </c>
      <c r="U55" s="164">
        <v>84.179428000000001</v>
      </c>
      <c r="V55" s="164">
        <v>86.959701999999993</v>
      </c>
      <c r="W55" s="164">
        <v>89.805481</v>
      </c>
      <c r="X55" s="164">
        <v>92.720855999999998</v>
      </c>
      <c r="Y55" s="164">
        <v>95.706917000000004</v>
      </c>
      <c r="Z55" s="164">
        <v>98.766266000000002</v>
      </c>
      <c r="AA55" s="164">
        <v>101.88080600000001</v>
      </c>
      <c r="AB55" s="164">
        <v>105.06590300000001</v>
      </c>
      <c r="AC55" s="164">
        <v>108.32765999999999</v>
      </c>
      <c r="AD55" s="164">
        <v>111.667374</v>
      </c>
      <c r="AE55" s="164">
        <v>115.087654</v>
      </c>
      <c r="AF55" s="163">
        <v>5.5800000000000002E-2</v>
      </c>
      <c r="AG55" s="155"/>
    </row>
    <row r="56" spans="1:33">
      <c r="A56" s="153" t="s">
        <v>917</v>
      </c>
      <c r="B56" s="161" t="s">
        <v>918</v>
      </c>
      <c r="C56" s="164">
        <v>21.436751999999998</v>
      </c>
      <c r="D56" s="164">
        <v>27.598734</v>
      </c>
      <c r="E56" s="164">
        <v>35.583275</v>
      </c>
      <c r="F56" s="164">
        <v>40.530216000000003</v>
      </c>
      <c r="G56" s="164">
        <v>42.960293</v>
      </c>
      <c r="H56" s="164">
        <v>45.071503</v>
      </c>
      <c r="I56" s="164">
        <v>47.258926000000002</v>
      </c>
      <c r="J56" s="164">
        <v>49.535010999999997</v>
      </c>
      <c r="K56" s="164">
        <v>51.919395000000002</v>
      </c>
      <c r="L56" s="164">
        <v>54.415638000000001</v>
      </c>
      <c r="M56" s="164">
        <v>57.007767000000001</v>
      </c>
      <c r="N56" s="164">
        <v>59.691803</v>
      </c>
      <c r="O56" s="164">
        <v>62.468406999999999</v>
      </c>
      <c r="P56" s="164">
        <v>65.338493</v>
      </c>
      <c r="Q56" s="164">
        <v>68.332961999999995</v>
      </c>
      <c r="R56" s="164">
        <v>71.430465999999996</v>
      </c>
      <c r="S56" s="164">
        <v>74.628899000000004</v>
      </c>
      <c r="T56" s="164">
        <v>77.928932000000003</v>
      </c>
      <c r="U56" s="164">
        <v>81.334746999999993</v>
      </c>
      <c r="V56" s="164">
        <v>84.875998999999993</v>
      </c>
      <c r="W56" s="164">
        <v>88.529678000000004</v>
      </c>
      <c r="X56" s="164">
        <v>92.295119999999997</v>
      </c>
      <c r="Y56" s="164">
        <v>96.174530000000004</v>
      </c>
      <c r="Z56" s="164">
        <v>100.172386</v>
      </c>
      <c r="AA56" s="164">
        <v>104.314087</v>
      </c>
      <c r="AB56" s="164">
        <v>108.579628</v>
      </c>
      <c r="AC56" s="164">
        <v>112.96938299999999</v>
      </c>
      <c r="AD56" s="164">
        <v>117.485657</v>
      </c>
      <c r="AE56" s="164">
        <v>122.13298</v>
      </c>
      <c r="AF56" s="163">
        <v>6.4114000000000004E-2</v>
      </c>
      <c r="AG56" s="155"/>
    </row>
    <row r="57" spans="1:33">
      <c r="A57" s="153" t="s">
        <v>919</v>
      </c>
      <c r="B57" s="161" t="s">
        <v>920</v>
      </c>
      <c r="C57" s="164">
        <v>48.393002000000003</v>
      </c>
      <c r="D57" s="164">
        <v>52.212001999999998</v>
      </c>
      <c r="E57" s="164">
        <v>54.320999</v>
      </c>
      <c r="F57" s="164">
        <v>56.43</v>
      </c>
      <c r="G57" s="164">
        <v>57.815392000000003</v>
      </c>
      <c r="H57" s="164">
        <v>59.144066000000002</v>
      </c>
      <c r="I57" s="164">
        <v>60.473391999999997</v>
      </c>
      <c r="J57" s="164">
        <v>61.790427999999999</v>
      </c>
      <c r="K57" s="164">
        <v>63.030360999999999</v>
      </c>
      <c r="L57" s="164">
        <v>64.167816000000002</v>
      </c>
      <c r="M57" s="164">
        <v>65.257767000000001</v>
      </c>
      <c r="N57" s="164">
        <v>66.297470000000004</v>
      </c>
      <c r="O57" s="164">
        <v>67.283569</v>
      </c>
      <c r="P57" s="164">
        <v>68.213134999999994</v>
      </c>
      <c r="Q57" s="164">
        <v>69.085907000000006</v>
      </c>
      <c r="R57" s="164">
        <v>69.909248000000005</v>
      </c>
      <c r="S57" s="164">
        <v>70.688300999999996</v>
      </c>
      <c r="T57" s="164">
        <v>71.428200000000004</v>
      </c>
      <c r="U57" s="164">
        <v>72.133858000000004</v>
      </c>
      <c r="V57" s="164">
        <v>72.808730999999995</v>
      </c>
      <c r="W57" s="164">
        <v>73.454993999999999</v>
      </c>
      <c r="X57" s="164">
        <v>74.074744999999993</v>
      </c>
      <c r="Y57" s="164">
        <v>74.669487000000004</v>
      </c>
      <c r="Z57" s="164">
        <v>75.240584999999996</v>
      </c>
      <c r="AA57" s="164">
        <v>75.790413000000001</v>
      </c>
      <c r="AB57" s="164">
        <v>76.318916000000002</v>
      </c>
      <c r="AC57" s="164">
        <v>76.827270999999996</v>
      </c>
      <c r="AD57" s="164">
        <v>77.315162999999998</v>
      </c>
      <c r="AE57" s="164">
        <v>77.784637000000004</v>
      </c>
      <c r="AF57" s="163">
        <v>1.7094000000000002E-2</v>
      </c>
      <c r="AG57" s="155"/>
    </row>
    <row r="58" spans="1:33">
      <c r="A58" s="153" t="s">
        <v>921</v>
      </c>
      <c r="B58" s="161" t="s">
        <v>922</v>
      </c>
      <c r="C58" s="164">
        <v>25.34132</v>
      </c>
      <c r="D58" s="164">
        <v>30.831939999999999</v>
      </c>
      <c r="E58" s="164">
        <v>34.844315000000002</v>
      </c>
      <c r="F58" s="164">
        <v>35.958019</v>
      </c>
      <c r="G58" s="164">
        <v>37.186523000000001</v>
      </c>
      <c r="H58" s="164">
        <v>38.400398000000003</v>
      </c>
      <c r="I58" s="164">
        <v>39.597152999999999</v>
      </c>
      <c r="J58" s="164">
        <v>40.775063000000003</v>
      </c>
      <c r="K58" s="164">
        <v>41.934654000000002</v>
      </c>
      <c r="L58" s="164">
        <v>43.060527999999998</v>
      </c>
      <c r="M58" s="164">
        <v>44.201756000000003</v>
      </c>
      <c r="N58" s="164">
        <v>45.363827000000001</v>
      </c>
      <c r="O58" s="164">
        <v>46.548321000000001</v>
      </c>
      <c r="P58" s="164">
        <v>47.756633999999998</v>
      </c>
      <c r="Q58" s="164">
        <v>48.983604</v>
      </c>
      <c r="R58" s="164">
        <v>50.236697999999997</v>
      </c>
      <c r="S58" s="164">
        <v>51.516010000000001</v>
      </c>
      <c r="T58" s="164">
        <v>52.821052999999999</v>
      </c>
      <c r="U58" s="164">
        <v>54.150795000000002</v>
      </c>
      <c r="V58" s="164">
        <v>55.505904999999998</v>
      </c>
      <c r="W58" s="164">
        <v>56.886997000000001</v>
      </c>
      <c r="X58" s="164">
        <v>58.293770000000002</v>
      </c>
      <c r="Y58" s="164">
        <v>59.725966999999997</v>
      </c>
      <c r="Z58" s="164">
        <v>61.183010000000003</v>
      </c>
      <c r="AA58" s="164">
        <v>62.647793</v>
      </c>
      <c r="AB58" s="164">
        <v>64.137566000000007</v>
      </c>
      <c r="AC58" s="164">
        <v>65.652901</v>
      </c>
      <c r="AD58" s="164">
        <v>67.194282999999999</v>
      </c>
      <c r="AE58" s="164">
        <v>68.761512999999994</v>
      </c>
      <c r="AF58" s="163">
        <v>3.6292999999999999E-2</v>
      </c>
      <c r="AG58" s="155"/>
    </row>
    <row r="59" spans="1:33">
      <c r="A59" s="153" t="s">
        <v>923</v>
      </c>
      <c r="B59" s="161" t="s">
        <v>924</v>
      </c>
      <c r="C59" s="164">
        <v>2031.443481</v>
      </c>
      <c r="D59" s="164">
        <v>2328.2434079999998</v>
      </c>
      <c r="E59" s="164">
        <v>2534.2822270000001</v>
      </c>
      <c r="F59" s="164">
        <v>2680.9829100000002</v>
      </c>
      <c r="G59" s="164">
        <v>2795.320557</v>
      </c>
      <c r="H59" s="164">
        <v>2898.65625</v>
      </c>
      <c r="I59" s="164">
        <v>3001.3332519999999</v>
      </c>
      <c r="J59" s="164">
        <v>3102.5539549999999</v>
      </c>
      <c r="K59" s="164">
        <v>3202.1518550000001</v>
      </c>
      <c r="L59" s="164">
        <v>3303.5031739999999</v>
      </c>
      <c r="M59" s="164">
        <v>3410.2250979999999</v>
      </c>
      <c r="N59" s="164">
        <v>3520.429932</v>
      </c>
      <c r="O59" s="164">
        <v>3631.625732</v>
      </c>
      <c r="P59" s="164">
        <v>3744.4421390000002</v>
      </c>
      <c r="Q59" s="164">
        <v>3860.4023440000001</v>
      </c>
      <c r="R59" s="164">
        <v>3979.6069339999999</v>
      </c>
      <c r="S59" s="164">
        <v>4101.1762699999999</v>
      </c>
      <c r="T59" s="164">
        <v>4224.7485349999997</v>
      </c>
      <c r="U59" s="164">
        <v>4353.5600590000004</v>
      </c>
      <c r="V59" s="164">
        <v>4484.6152339999999</v>
      </c>
      <c r="W59" s="164">
        <v>4618.6953119999998</v>
      </c>
      <c r="X59" s="164">
        <v>4755.7177730000003</v>
      </c>
      <c r="Y59" s="164">
        <v>4893.7368159999996</v>
      </c>
      <c r="Z59" s="164">
        <v>5032.1762699999999</v>
      </c>
      <c r="AA59" s="164">
        <v>5171.4223629999997</v>
      </c>
      <c r="AB59" s="164">
        <v>5313.576172</v>
      </c>
      <c r="AC59" s="164">
        <v>5457.1420900000003</v>
      </c>
      <c r="AD59" s="164">
        <v>5601.4013670000004</v>
      </c>
      <c r="AE59" s="164">
        <v>5748.1035160000001</v>
      </c>
      <c r="AF59" s="163">
        <v>3.7845999999999998E-2</v>
      </c>
      <c r="AG59" s="155"/>
    </row>
    <row r="60" spans="1:33">
      <c r="A60" s="148"/>
      <c r="B60" s="158" t="s">
        <v>925</v>
      </c>
      <c r="C60" s="155"/>
      <c r="D60" s="155"/>
      <c r="E60" s="155"/>
      <c r="F60" s="155"/>
      <c r="G60" s="155"/>
      <c r="H60" s="155"/>
      <c r="I60" s="155"/>
      <c r="J60" s="155"/>
      <c r="K60" s="155"/>
      <c r="L60" s="155"/>
      <c r="M60" s="155"/>
      <c r="N60" s="155"/>
      <c r="O60" s="155"/>
      <c r="P60" s="155"/>
      <c r="Q60" s="155"/>
      <c r="R60" s="155"/>
      <c r="S60" s="155"/>
      <c r="T60" s="155"/>
      <c r="U60" s="155"/>
      <c r="V60" s="155"/>
      <c r="W60" s="155"/>
      <c r="X60" s="155"/>
      <c r="Y60" s="155"/>
      <c r="Z60" s="155"/>
      <c r="AA60" s="155"/>
      <c r="AB60" s="155"/>
      <c r="AC60" s="155"/>
      <c r="AD60" s="155"/>
      <c r="AE60" s="155"/>
      <c r="AF60" s="155"/>
      <c r="AG60" s="155"/>
    </row>
    <row r="61" spans="1:33">
      <c r="A61" s="153" t="s">
        <v>926</v>
      </c>
      <c r="B61" s="161" t="s">
        <v>892</v>
      </c>
      <c r="C61" s="164">
        <v>243.14546200000001</v>
      </c>
      <c r="D61" s="164">
        <v>335.79156499999999</v>
      </c>
      <c r="E61" s="164">
        <v>383.935181</v>
      </c>
      <c r="F61" s="164">
        <v>400.52246100000002</v>
      </c>
      <c r="G61" s="164">
        <v>410.78866599999998</v>
      </c>
      <c r="H61" s="164">
        <v>421.01507600000002</v>
      </c>
      <c r="I61" s="164">
        <v>430.45114100000001</v>
      </c>
      <c r="J61" s="164">
        <v>438.83355699999998</v>
      </c>
      <c r="K61" s="164">
        <v>446.244843</v>
      </c>
      <c r="L61" s="164">
        <v>453.952179</v>
      </c>
      <c r="M61" s="164">
        <v>463.53869600000002</v>
      </c>
      <c r="N61" s="164">
        <v>474.25561499999998</v>
      </c>
      <c r="O61" s="164">
        <v>484.97164900000001</v>
      </c>
      <c r="P61" s="164">
        <v>495.876373</v>
      </c>
      <c r="Q61" s="164">
        <v>507.70068400000002</v>
      </c>
      <c r="R61" s="164">
        <v>520.43481399999996</v>
      </c>
      <c r="S61" s="164">
        <v>533.66839600000003</v>
      </c>
      <c r="T61" s="164">
        <v>547.159851</v>
      </c>
      <c r="U61" s="164">
        <v>562.15612799999997</v>
      </c>
      <c r="V61" s="164">
        <v>577.24011199999995</v>
      </c>
      <c r="W61" s="164">
        <v>592.71466099999998</v>
      </c>
      <c r="X61" s="164">
        <v>608.72131300000001</v>
      </c>
      <c r="Y61" s="164">
        <v>624.60186799999997</v>
      </c>
      <c r="Z61" s="164">
        <v>640.35766599999999</v>
      </c>
      <c r="AA61" s="164">
        <v>656.497253</v>
      </c>
      <c r="AB61" s="164">
        <v>673.70098900000005</v>
      </c>
      <c r="AC61" s="164">
        <v>691.29357900000002</v>
      </c>
      <c r="AD61" s="164">
        <v>709.15142800000001</v>
      </c>
      <c r="AE61" s="164">
        <v>728.31231700000001</v>
      </c>
      <c r="AF61" s="163">
        <v>3.9959000000000001E-2</v>
      </c>
      <c r="AG61" s="155"/>
    </row>
    <row r="62" spans="1:33">
      <c r="A62" s="153" t="s">
        <v>927</v>
      </c>
      <c r="B62" s="161" t="s">
        <v>894</v>
      </c>
      <c r="C62" s="164">
        <v>44.242100000000001</v>
      </c>
      <c r="D62" s="164">
        <v>57.959876999999999</v>
      </c>
      <c r="E62" s="164">
        <v>69.951576000000003</v>
      </c>
      <c r="F62" s="164">
        <v>78.945351000000002</v>
      </c>
      <c r="G62" s="164">
        <v>84.759506000000002</v>
      </c>
      <c r="H62" s="164">
        <v>89.937743999999995</v>
      </c>
      <c r="I62" s="164">
        <v>92.223777999999996</v>
      </c>
      <c r="J62" s="164">
        <v>94.555144999999996</v>
      </c>
      <c r="K62" s="164">
        <v>96.929855000000003</v>
      </c>
      <c r="L62" s="164">
        <v>99.348456999999996</v>
      </c>
      <c r="M62" s="164">
        <v>101.810303</v>
      </c>
      <c r="N62" s="164">
        <v>104.31398</v>
      </c>
      <c r="O62" s="164">
        <v>106.860016</v>
      </c>
      <c r="P62" s="164">
        <v>109.449196</v>
      </c>
      <c r="Q62" s="164">
        <v>112.081863</v>
      </c>
      <c r="R62" s="164">
        <v>114.759064</v>
      </c>
      <c r="S62" s="164">
        <v>117.48131600000001</v>
      </c>
      <c r="T62" s="164">
        <v>120.24996899999999</v>
      </c>
      <c r="U62" s="164">
        <v>123.06551399999999</v>
      </c>
      <c r="V62" s="164">
        <v>125.92826100000001</v>
      </c>
      <c r="W62" s="164">
        <v>128.839752</v>
      </c>
      <c r="X62" s="164">
        <v>131.79995700000001</v>
      </c>
      <c r="Y62" s="164">
        <v>134.81431599999999</v>
      </c>
      <c r="Z62" s="164">
        <v>137.88580300000001</v>
      </c>
      <c r="AA62" s="164">
        <v>141.01591500000001</v>
      </c>
      <c r="AB62" s="164">
        <v>144.20684800000001</v>
      </c>
      <c r="AC62" s="164">
        <v>147.46043399999999</v>
      </c>
      <c r="AD62" s="164">
        <v>150.77969400000001</v>
      </c>
      <c r="AE62" s="164">
        <v>154.16679400000001</v>
      </c>
      <c r="AF62" s="163">
        <v>4.5593000000000002E-2</v>
      </c>
      <c r="AG62" s="155"/>
    </row>
    <row r="63" spans="1:33">
      <c r="A63" s="153" t="s">
        <v>928</v>
      </c>
      <c r="B63" s="161" t="s">
        <v>896</v>
      </c>
      <c r="C63" s="164">
        <v>29.798960000000001</v>
      </c>
      <c r="D63" s="164">
        <v>40.311973999999999</v>
      </c>
      <c r="E63" s="164">
        <v>50.607475000000001</v>
      </c>
      <c r="F63" s="164">
        <v>59.090389000000002</v>
      </c>
      <c r="G63" s="164">
        <v>65.108185000000006</v>
      </c>
      <c r="H63" s="164">
        <v>68.878365000000002</v>
      </c>
      <c r="I63" s="164">
        <v>71.778519000000003</v>
      </c>
      <c r="J63" s="164">
        <v>74.124474000000006</v>
      </c>
      <c r="K63" s="164">
        <v>76.529831000000001</v>
      </c>
      <c r="L63" s="164">
        <v>78.988663000000003</v>
      </c>
      <c r="M63" s="164">
        <v>81.514861999999994</v>
      </c>
      <c r="N63" s="164">
        <v>84.099945000000005</v>
      </c>
      <c r="O63" s="164">
        <v>86.744704999999996</v>
      </c>
      <c r="P63" s="164">
        <v>89.448975000000004</v>
      </c>
      <c r="Q63" s="164">
        <v>92.207825</v>
      </c>
      <c r="R63" s="164">
        <v>95.026832999999996</v>
      </c>
      <c r="S63" s="164">
        <v>97.907409999999999</v>
      </c>
      <c r="T63" s="164">
        <v>100.85034899999999</v>
      </c>
      <c r="U63" s="164">
        <v>103.85659800000001</v>
      </c>
      <c r="V63" s="164">
        <v>106.912582</v>
      </c>
      <c r="W63" s="164">
        <v>110.031853</v>
      </c>
      <c r="X63" s="164">
        <v>113.21547700000001</v>
      </c>
      <c r="Y63" s="164">
        <v>116.464378</v>
      </c>
      <c r="Z63" s="164">
        <v>119.778374</v>
      </c>
      <c r="AA63" s="164">
        <v>123.13962600000001</v>
      </c>
      <c r="AB63" s="164">
        <v>126.56178300000001</v>
      </c>
      <c r="AC63" s="164">
        <v>130.05413799999999</v>
      </c>
      <c r="AD63" s="164">
        <v>133.62745699999999</v>
      </c>
      <c r="AE63" s="164">
        <v>137.290436</v>
      </c>
      <c r="AF63" s="163">
        <v>5.6073999999999999E-2</v>
      </c>
      <c r="AG63" s="155"/>
    </row>
    <row r="64" spans="1:33">
      <c r="A64" s="153" t="s">
        <v>929</v>
      </c>
      <c r="B64" s="161" t="s">
        <v>898</v>
      </c>
      <c r="C64" s="164">
        <v>280.836365</v>
      </c>
      <c r="D64" s="164">
        <v>391.70883199999997</v>
      </c>
      <c r="E64" s="164">
        <v>486.74243200000001</v>
      </c>
      <c r="F64" s="164">
        <v>550.70733600000005</v>
      </c>
      <c r="G64" s="164">
        <v>603.09759499999996</v>
      </c>
      <c r="H64" s="164">
        <v>615.40289299999995</v>
      </c>
      <c r="I64" s="164">
        <v>627.85687299999995</v>
      </c>
      <c r="J64" s="164">
        <v>640.49560499999995</v>
      </c>
      <c r="K64" s="164">
        <v>653.34362799999997</v>
      </c>
      <c r="L64" s="164">
        <v>666.416382</v>
      </c>
      <c r="M64" s="164">
        <v>679.72045900000001</v>
      </c>
      <c r="N64" s="164">
        <v>693.25176999999996</v>
      </c>
      <c r="O64" s="164">
        <v>706.99322500000005</v>
      </c>
      <c r="P64" s="164">
        <v>720.92309599999999</v>
      </c>
      <c r="Q64" s="164">
        <v>735.06103499999995</v>
      </c>
      <c r="R64" s="164">
        <v>749.42907700000001</v>
      </c>
      <c r="S64" s="164">
        <v>764.01898200000005</v>
      </c>
      <c r="T64" s="164">
        <v>778.82794200000001</v>
      </c>
      <c r="U64" s="164">
        <v>793.86084000000005</v>
      </c>
      <c r="V64" s="164">
        <v>809.10955799999999</v>
      </c>
      <c r="W64" s="164">
        <v>824.57147199999997</v>
      </c>
      <c r="X64" s="164">
        <v>840.24200399999995</v>
      </c>
      <c r="Y64" s="164">
        <v>856.11712599999998</v>
      </c>
      <c r="Z64" s="164">
        <v>872.19311500000003</v>
      </c>
      <c r="AA64" s="164">
        <v>888.45996100000002</v>
      </c>
      <c r="AB64" s="164">
        <v>904.91650400000003</v>
      </c>
      <c r="AC64" s="164">
        <v>921.58117700000003</v>
      </c>
      <c r="AD64" s="164">
        <v>938.47827099999995</v>
      </c>
      <c r="AE64" s="164">
        <v>955.62683100000004</v>
      </c>
      <c r="AF64" s="163">
        <v>4.4706000000000003E-2</v>
      </c>
      <c r="AG64" s="155"/>
    </row>
    <row r="65" spans="1:33">
      <c r="A65" s="153" t="s">
        <v>930</v>
      </c>
      <c r="B65" s="161" t="s">
        <v>900</v>
      </c>
      <c r="C65" s="164">
        <v>26.796666999999999</v>
      </c>
      <c r="D65" s="164">
        <v>45.314689999999999</v>
      </c>
      <c r="E65" s="164">
        <v>64.486289999999997</v>
      </c>
      <c r="F65" s="164">
        <v>81.043578999999994</v>
      </c>
      <c r="G65" s="164">
        <v>93.134765999999999</v>
      </c>
      <c r="H65" s="164">
        <v>100.868759</v>
      </c>
      <c r="I65" s="164">
        <v>107.840248</v>
      </c>
      <c r="J65" s="164">
        <v>108.36943100000001</v>
      </c>
      <c r="K65" s="164">
        <v>108.73043800000001</v>
      </c>
      <c r="L65" s="164">
        <v>108.962463</v>
      </c>
      <c r="M65" s="164">
        <v>109.136337</v>
      </c>
      <c r="N65" s="164">
        <v>109.31253100000001</v>
      </c>
      <c r="O65" s="164">
        <v>109.494522</v>
      </c>
      <c r="P65" s="164">
        <v>109.682007</v>
      </c>
      <c r="Q65" s="164">
        <v>109.874374</v>
      </c>
      <c r="R65" s="164">
        <v>110.07062500000001</v>
      </c>
      <c r="S65" s="164">
        <v>110.27067599999999</v>
      </c>
      <c r="T65" s="164">
        <v>110.472984</v>
      </c>
      <c r="U65" s="164">
        <v>110.676666</v>
      </c>
      <c r="V65" s="164">
        <v>110.88208</v>
      </c>
      <c r="W65" s="164">
        <v>111.08747099999999</v>
      </c>
      <c r="X65" s="164">
        <v>111.293312</v>
      </c>
      <c r="Y65" s="164">
        <v>111.50631</v>
      </c>
      <c r="Z65" s="164">
        <v>111.74614699999999</v>
      </c>
      <c r="AA65" s="164">
        <v>112.02600099999999</v>
      </c>
      <c r="AB65" s="164">
        <v>112.349495</v>
      </c>
      <c r="AC65" s="164">
        <v>112.717384</v>
      </c>
      <c r="AD65" s="164">
        <v>113.130196</v>
      </c>
      <c r="AE65" s="164">
        <v>113.58820299999999</v>
      </c>
      <c r="AF65" s="163">
        <v>5.2935999999999997E-2</v>
      </c>
      <c r="AG65" s="155"/>
    </row>
    <row r="66" spans="1:33">
      <c r="A66" s="153" t="s">
        <v>931</v>
      </c>
      <c r="B66" s="161" t="s">
        <v>902</v>
      </c>
      <c r="C66" s="164">
        <v>25.196525999999999</v>
      </c>
      <c r="D66" s="164">
        <v>42.608761000000001</v>
      </c>
      <c r="E66" s="164">
        <v>60.635548</v>
      </c>
      <c r="F66" s="164">
        <v>76.204123999999993</v>
      </c>
      <c r="G66" s="164">
        <v>87.573295999999999</v>
      </c>
      <c r="H66" s="164">
        <v>94.845459000000005</v>
      </c>
      <c r="I66" s="164">
        <v>101.40065800000001</v>
      </c>
      <c r="J66" s="164">
        <v>104.595985</v>
      </c>
      <c r="K66" s="164">
        <v>107.86273199999999</v>
      </c>
      <c r="L66" s="164">
        <v>111.197243</v>
      </c>
      <c r="M66" s="164">
        <v>114.59079</v>
      </c>
      <c r="N66" s="164">
        <v>118.050285</v>
      </c>
      <c r="O66" s="164">
        <v>121.579582</v>
      </c>
      <c r="P66" s="164">
        <v>125.155067</v>
      </c>
      <c r="Q66" s="164">
        <v>128.797516</v>
      </c>
      <c r="R66" s="164">
        <v>132.53035</v>
      </c>
      <c r="S66" s="164">
        <v>136.34974700000001</v>
      </c>
      <c r="T66" s="164">
        <v>140.240295</v>
      </c>
      <c r="U66" s="164">
        <v>144.20495600000001</v>
      </c>
      <c r="V66" s="164">
        <v>148.25529499999999</v>
      </c>
      <c r="W66" s="164">
        <v>152.394699</v>
      </c>
      <c r="X66" s="164">
        <v>156.62347399999999</v>
      </c>
      <c r="Y66" s="164">
        <v>160.942566</v>
      </c>
      <c r="Z66" s="164">
        <v>165.35136399999999</v>
      </c>
      <c r="AA66" s="164">
        <v>169.848938</v>
      </c>
      <c r="AB66" s="164">
        <v>174.436218</v>
      </c>
      <c r="AC66" s="164">
        <v>179.11892700000001</v>
      </c>
      <c r="AD66" s="164">
        <v>183.89915500000001</v>
      </c>
      <c r="AE66" s="164">
        <v>188.77813699999999</v>
      </c>
      <c r="AF66" s="163">
        <v>7.4574000000000001E-2</v>
      </c>
      <c r="AG66" s="155"/>
    </row>
    <row r="67" spans="1:33">
      <c r="A67" s="153" t="s">
        <v>932</v>
      </c>
      <c r="B67" s="161" t="s">
        <v>904</v>
      </c>
      <c r="C67" s="164">
        <v>19.641961999999999</v>
      </c>
      <c r="D67" s="164">
        <v>33.215679000000002</v>
      </c>
      <c r="E67" s="164">
        <v>47.268467000000001</v>
      </c>
      <c r="F67" s="164">
        <v>59.404961</v>
      </c>
      <c r="G67" s="164">
        <v>68.267807000000005</v>
      </c>
      <c r="H67" s="164">
        <v>73.936829000000003</v>
      </c>
      <c r="I67" s="164">
        <v>79.046927999999994</v>
      </c>
      <c r="J67" s="164">
        <v>81.697327000000001</v>
      </c>
      <c r="K67" s="164">
        <v>84.197013999999996</v>
      </c>
      <c r="L67" s="164">
        <v>85.953468000000001</v>
      </c>
      <c r="M67" s="164">
        <v>86.642052000000007</v>
      </c>
      <c r="N67" s="164">
        <v>87.126075999999998</v>
      </c>
      <c r="O67" s="164">
        <v>87.600150999999997</v>
      </c>
      <c r="P67" s="164">
        <v>88.047066000000001</v>
      </c>
      <c r="Q67" s="164">
        <v>88.515472000000003</v>
      </c>
      <c r="R67" s="164">
        <v>88.823288000000005</v>
      </c>
      <c r="S67" s="164">
        <v>88.985320999999999</v>
      </c>
      <c r="T67" s="164">
        <v>89.172111999999998</v>
      </c>
      <c r="U67" s="164">
        <v>89.495384000000001</v>
      </c>
      <c r="V67" s="164">
        <v>90.072411000000002</v>
      </c>
      <c r="W67" s="164">
        <v>90.859511999999995</v>
      </c>
      <c r="X67" s="164">
        <v>91.744774000000007</v>
      </c>
      <c r="Y67" s="164">
        <v>92.696106</v>
      </c>
      <c r="Z67" s="164">
        <v>93.655745999999994</v>
      </c>
      <c r="AA67" s="164">
        <v>94.557418999999996</v>
      </c>
      <c r="AB67" s="164">
        <v>95.400192000000004</v>
      </c>
      <c r="AC67" s="164">
        <v>96.266959999999997</v>
      </c>
      <c r="AD67" s="164">
        <v>97.231399999999994</v>
      </c>
      <c r="AE67" s="164">
        <v>98.346619000000004</v>
      </c>
      <c r="AF67" s="163">
        <v>5.9216999999999999E-2</v>
      </c>
      <c r="AG67" s="155"/>
    </row>
    <row r="68" spans="1:33">
      <c r="A68" s="153" t="s">
        <v>933</v>
      </c>
      <c r="B68" s="161" t="s">
        <v>906</v>
      </c>
      <c r="C68" s="164">
        <v>21.804157</v>
      </c>
      <c r="D68" s="164">
        <v>29.275511000000002</v>
      </c>
      <c r="E68" s="164">
        <v>36.391086999999999</v>
      </c>
      <c r="F68" s="164">
        <v>42.134377000000001</v>
      </c>
      <c r="G68" s="164">
        <v>46.149593000000003</v>
      </c>
      <c r="H68" s="164">
        <v>48.538395000000001</v>
      </c>
      <c r="I68" s="164">
        <v>50.317287</v>
      </c>
      <c r="J68" s="164">
        <v>51.333579999999998</v>
      </c>
      <c r="K68" s="164">
        <v>52.367713999999999</v>
      </c>
      <c r="L68" s="164">
        <v>53.428528</v>
      </c>
      <c r="M68" s="164">
        <v>54.510128000000002</v>
      </c>
      <c r="N68" s="164">
        <v>55.610111000000003</v>
      </c>
      <c r="O68" s="164">
        <v>56.732365000000001</v>
      </c>
      <c r="P68" s="164">
        <v>57.880558000000001</v>
      </c>
      <c r="Q68" s="164">
        <v>59.054034999999999</v>
      </c>
      <c r="R68" s="164">
        <v>60.251175000000003</v>
      </c>
      <c r="S68" s="164">
        <v>61.474559999999997</v>
      </c>
      <c r="T68" s="164">
        <v>62.726730000000003</v>
      </c>
      <c r="U68" s="164">
        <v>64.010589999999993</v>
      </c>
      <c r="V68" s="164">
        <v>65.327087000000006</v>
      </c>
      <c r="W68" s="164">
        <v>66.676070999999993</v>
      </c>
      <c r="X68" s="164">
        <v>68.057311999999996</v>
      </c>
      <c r="Y68" s="164">
        <v>69.470946999999995</v>
      </c>
      <c r="Z68" s="164">
        <v>70.916954000000004</v>
      </c>
      <c r="AA68" s="164">
        <v>72.397980000000004</v>
      </c>
      <c r="AB68" s="164">
        <v>73.914649999999995</v>
      </c>
      <c r="AC68" s="164">
        <v>75.465866000000005</v>
      </c>
      <c r="AD68" s="164">
        <v>77.050514000000007</v>
      </c>
      <c r="AE68" s="164">
        <v>78.666718000000003</v>
      </c>
      <c r="AF68" s="163">
        <v>4.6892000000000003E-2</v>
      </c>
      <c r="AG68" s="155"/>
    </row>
    <row r="69" spans="1:33">
      <c r="A69" s="153" t="s">
        <v>934</v>
      </c>
      <c r="B69" s="161" t="s">
        <v>908</v>
      </c>
      <c r="C69" s="164">
        <v>29.001909000000001</v>
      </c>
      <c r="D69" s="164">
        <v>38.939624999999999</v>
      </c>
      <c r="E69" s="164">
        <v>48.404114</v>
      </c>
      <c r="F69" s="164">
        <v>56.043312</v>
      </c>
      <c r="G69" s="164">
        <v>61.383991000000002</v>
      </c>
      <c r="H69" s="164">
        <v>64.561356000000004</v>
      </c>
      <c r="I69" s="164">
        <v>66.927482999999995</v>
      </c>
      <c r="J69" s="164">
        <v>68.857924999999994</v>
      </c>
      <c r="K69" s="164">
        <v>70.841437999999997</v>
      </c>
      <c r="L69" s="164">
        <v>72.918564000000003</v>
      </c>
      <c r="M69" s="164">
        <v>75.062759</v>
      </c>
      <c r="N69" s="164">
        <v>77.264267000000004</v>
      </c>
      <c r="O69" s="164">
        <v>79.524733999999995</v>
      </c>
      <c r="P69" s="164">
        <v>81.848335000000006</v>
      </c>
      <c r="Q69" s="164">
        <v>84.195853999999997</v>
      </c>
      <c r="R69" s="164">
        <v>86.603179999999995</v>
      </c>
      <c r="S69" s="164">
        <v>89.073074000000005</v>
      </c>
      <c r="T69" s="164">
        <v>91.606102000000007</v>
      </c>
      <c r="U69" s="164">
        <v>94.205521000000005</v>
      </c>
      <c r="V69" s="164">
        <v>96.825774999999993</v>
      </c>
      <c r="W69" s="164">
        <v>99.511925000000005</v>
      </c>
      <c r="X69" s="164">
        <v>102.264999</v>
      </c>
      <c r="Y69" s="164">
        <v>105.084068</v>
      </c>
      <c r="Z69" s="164">
        <v>107.969559</v>
      </c>
      <c r="AA69" s="164">
        <v>110.868172</v>
      </c>
      <c r="AB69" s="164">
        <v>113.832314</v>
      </c>
      <c r="AC69" s="164">
        <v>116.86582900000001</v>
      </c>
      <c r="AD69" s="164">
        <v>119.971458</v>
      </c>
      <c r="AE69" s="164">
        <v>123.15158099999999</v>
      </c>
      <c r="AF69" s="163">
        <v>5.3002000000000001E-2</v>
      </c>
      <c r="AG69" s="155"/>
    </row>
    <row r="70" spans="1:33">
      <c r="A70" s="153" t="s">
        <v>935</v>
      </c>
      <c r="B70" s="161" t="s">
        <v>910</v>
      </c>
      <c r="C70" s="164">
        <v>43.401493000000002</v>
      </c>
      <c r="D70" s="164">
        <v>79.040122999999994</v>
      </c>
      <c r="E70" s="164">
        <v>115.73732800000001</v>
      </c>
      <c r="F70" s="164">
        <v>144.31880200000001</v>
      </c>
      <c r="G70" s="164">
        <v>161.96167</v>
      </c>
      <c r="H70" s="164">
        <v>174.66456600000001</v>
      </c>
      <c r="I70" s="164">
        <v>184.330566</v>
      </c>
      <c r="J70" s="164">
        <v>194.21669</v>
      </c>
      <c r="K70" s="164">
        <v>204.29608200000001</v>
      </c>
      <c r="L70" s="164">
        <v>214.626465</v>
      </c>
      <c r="M70" s="164">
        <v>225.21134900000001</v>
      </c>
      <c r="N70" s="164">
        <v>236.03950499999999</v>
      </c>
      <c r="O70" s="164">
        <v>247.13400300000001</v>
      </c>
      <c r="P70" s="164">
        <v>258.53561400000001</v>
      </c>
      <c r="Q70" s="164">
        <v>270.23638899999997</v>
      </c>
      <c r="R70" s="164">
        <v>282.19741800000003</v>
      </c>
      <c r="S70" s="164">
        <v>294.43173200000001</v>
      </c>
      <c r="T70" s="164">
        <v>306.98468000000003</v>
      </c>
      <c r="U70" s="164">
        <v>319.93069500000001</v>
      </c>
      <c r="V70" s="164">
        <v>333.34088100000002</v>
      </c>
      <c r="W70" s="164">
        <v>347.21804800000001</v>
      </c>
      <c r="X70" s="164">
        <v>361.513214</v>
      </c>
      <c r="Y70" s="164">
        <v>376.16323899999998</v>
      </c>
      <c r="Z70" s="164">
        <v>391.09524499999998</v>
      </c>
      <c r="AA70" s="164">
        <v>406.29702800000001</v>
      </c>
      <c r="AB70" s="164">
        <v>421.81195100000002</v>
      </c>
      <c r="AC70" s="164">
        <v>437.61935399999999</v>
      </c>
      <c r="AD70" s="164">
        <v>453.65158100000002</v>
      </c>
      <c r="AE70" s="164">
        <v>469.833099</v>
      </c>
      <c r="AF70" s="163">
        <v>8.8789999999999994E-2</v>
      </c>
      <c r="AG70" s="155"/>
    </row>
    <row r="71" spans="1:33">
      <c r="A71" s="153" t="s">
        <v>936</v>
      </c>
      <c r="B71" s="161" t="s">
        <v>912</v>
      </c>
      <c r="C71" s="164">
        <v>17.711981000000002</v>
      </c>
      <c r="D71" s="164">
        <v>29.951968999999998</v>
      </c>
      <c r="E71" s="164">
        <v>42.623955000000002</v>
      </c>
      <c r="F71" s="164">
        <v>53.567936000000003</v>
      </c>
      <c r="G71" s="164">
        <v>61.559933000000001</v>
      </c>
      <c r="H71" s="164">
        <v>66.671927999999994</v>
      </c>
      <c r="I71" s="164">
        <v>71.279921999999999</v>
      </c>
      <c r="J71" s="164">
        <v>76.662291999999994</v>
      </c>
      <c r="K71" s="164">
        <v>82.150413999999998</v>
      </c>
      <c r="L71" s="164">
        <v>87.709571999999994</v>
      </c>
      <c r="M71" s="164">
        <v>93.316719000000006</v>
      </c>
      <c r="N71" s="164">
        <v>98.940490999999994</v>
      </c>
      <c r="O71" s="164">
        <v>104.546043</v>
      </c>
      <c r="P71" s="164">
        <v>110.151779</v>
      </c>
      <c r="Q71" s="164">
        <v>115.801529</v>
      </c>
      <c r="R71" s="164">
        <v>121.581558</v>
      </c>
      <c r="S71" s="164">
        <v>127.492592</v>
      </c>
      <c r="T71" s="164">
        <v>133.52624499999999</v>
      </c>
      <c r="U71" s="164">
        <v>139.67248499999999</v>
      </c>
      <c r="V71" s="164">
        <v>145.92378199999999</v>
      </c>
      <c r="W71" s="164">
        <v>152.271759</v>
      </c>
      <c r="X71" s="164">
        <v>158.712219</v>
      </c>
      <c r="Y71" s="164">
        <v>165.230942</v>
      </c>
      <c r="Z71" s="164">
        <v>171.81689499999999</v>
      </c>
      <c r="AA71" s="164">
        <v>178.45689400000001</v>
      </c>
      <c r="AB71" s="164">
        <v>185.13732899999999</v>
      </c>
      <c r="AC71" s="164">
        <v>191.84298699999999</v>
      </c>
      <c r="AD71" s="164">
        <v>198.55867000000001</v>
      </c>
      <c r="AE71" s="164">
        <v>205.27046200000001</v>
      </c>
      <c r="AF71" s="163">
        <v>9.1446E-2</v>
      </c>
      <c r="AG71" s="155"/>
    </row>
    <row r="72" spans="1:33">
      <c r="A72" s="153" t="s">
        <v>937</v>
      </c>
      <c r="B72" s="161" t="s">
        <v>914</v>
      </c>
      <c r="C72" s="164">
        <v>91.279387999999997</v>
      </c>
      <c r="D72" s="164">
        <v>154.35865799999999</v>
      </c>
      <c r="E72" s="164">
        <v>219.66423</v>
      </c>
      <c r="F72" s="164">
        <v>276.06451399999997</v>
      </c>
      <c r="G72" s="164">
        <v>317.25155599999999</v>
      </c>
      <c r="H72" s="164">
        <v>343.596405</v>
      </c>
      <c r="I72" s="164">
        <v>367.34390300000001</v>
      </c>
      <c r="J72" s="164">
        <v>382.82449300000002</v>
      </c>
      <c r="K72" s="164">
        <v>398.53997800000002</v>
      </c>
      <c r="L72" s="164">
        <v>414.53860500000002</v>
      </c>
      <c r="M72" s="164">
        <v>430.96127300000001</v>
      </c>
      <c r="N72" s="164">
        <v>447.81228599999997</v>
      </c>
      <c r="O72" s="164">
        <v>465.11679099999998</v>
      </c>
      <c r="P72" s="164">
        <v>482.90234400000003</v>
      </c>
      <c r="Q72" s="164">
        <v>500.96951300000001</v>
      </c>
      <c r="R72" s="164">
        <v>519.50836200000003</v>
      </c>
      <c r="S72" s="164">
        <v>538.54644800000005</v>
      </c>
      <c r="T72" s="164">
        <v>558.08233600000005</v>
      </c>
      <c r="U72" s="164">
        <v>578.15362500000003</v>
      </c>
      <c r="V72" s="164">
        <v>598.50408900000002</v>
      </c>
      <c r="W72" s="164">
        <v>619.32586700000002</v>
      </c>
      <c r="X72" s="164">
        <v>640.64349400000003</v>
      </c>
      <c r="Y72" s="164">
        <v>662.47534199999996</v>
      </c>
      <c r="Z72" s="164">
        <v>684.81463599999995</v>
      </c>
      <c r="AA72" s="164">
        <v>707.22051999999996</v>
      </c>
      <c r="AB72" s="164">
        <v>730.06036400000005</v>
      </c>
      <c r="AC72" s="164">
        <v>753.42486599999995</v>
      </c>
      <c r="AD72" s="164">
        <v>777.34991500000001</v>
      </c>
      <c r="AE72" s="164">
        <v>801.87402299999997</v>
      </c>
      <c r="AF72" s="163">
        <v>8.0699000000000007E-2</v>
      </c>
      <c r="AG72" s="155"/>
    </row>
    <row r="73" spans="1:33">
      <c r="A73" s="153" t="s">
        <v>938</v>
      </c>
      <c r="B73" s="161" t="s">
        <v>916</v>
      </c>
      <c r="C73" s="164">
        <v>90.713904999999997</v>
      </c>
      <c r="D73" s="164">
        <v>125.583687</v>
      </c>
      <c r="E73" s="164">
        <v>164.386169</v>
      </c>
      <c r="F73" s="164">
        <v>199.255966</v>
      </c>
      <c r="G73" s="164">
        <v>225.73603800000001</v>
      </c>
      <c r="H73" s="164">
        <v>243.039841</v>
      </c>
      <c r="I73" s="164">
        <v>259.55712899999997</v>
      </c>
      <c r="J73" s="164">
        <v>272.453125</v>
      </c>
      <c r="K73" s="164">
        <v>285.794647</v>
      </c>
      <c r="L73" s="164">
        <v>299.19274899999999</v>
      </c>
      <c r="M73" s="164">
        <v>313.14953600000001</v>
      </c>
      <c r="N73" s="164">
        <v>327.69116200000002</v>
      </c>
      <c r="O73" s="164">
        <v>342.84011800000002</v>
      </c>
      <c r="P73" s="164">
        <v>358.61981200000002</v>
      </c>
      <c r="Q73" s="164">
        <v>374.87417599999998</v>
      </c>
      <c r="R73" s="164">
        <v>391.79058800000001</v>
      </c>
      <c r="S73" s="164">
        <v>409.39093000000003</v>
      </c>
      <c r="T73" s="164">
        <v>427.69464099999999</v>
      </c>
      <c r="U73" s="164">
        <v>446.72839399999998</v>
      </c>
      <c r="V73" s="164">
        <v>466.348389</v>
      </c>
      <c r="W73" s="164">
        <v>486.73355099999998</v>
      </c>
      <c r="X73" s="164">
        <v>507.90823399999999</v>
      </c>
      <c r="Y73" s="164">
        <v>529.89691200000004</v>
      </c>
      <c r="Z73" s="164">
        <v>552.73230000000001</v>
      </c>
      <c r="AA73" s="164">
        <v>576.19653300000004</v>
      </c>
      <c r="AB73" s="164">
        <v>600.54156499999999</v>
      </c>
      <c r="AC73" s="164">
        <v>625.79742399999998</v>
      </c>
      <c r="AD73" s="164">
        <v>651.99127199999998</v>
      </c>
      <c r="AE73" s="164">
        <v>679.15313700000002</v>
      </c>
      <c r="AF73" s="163">
        <v>7.4545E-2</v>
      </c>
      <c r="AG73" s="155"/>
    </row>
    <row r="74" spans="1:33">
      <c r="A74" s="153" t="s">
        <v>939</v>
      </c>
      <c r="B74" s="161" t="s">
        <v>918</v>
      </c>
      <c r="C74" s="164">
        <v>41.477749000000003</v>
      </c>
      <c r="D74" s="164">
        <v>56.116959000000001</v>
      </c>
      <c r="E74" s="164">
        <v>70.654503000000005</v>
      </c>
      <c r="F74" s="164">
        <v>82.650513000000004</v>
      </c>
      <c r="G74" s="164">
        <v>91.190062999999995</v>
      </c>
      <c r="H74" s="164">
        <v>96.476439999999997</v>
      </c>
      <c r="I74" s="164">
        <v>100.644547</v>
      </c>
      <c r="J74" s="164">
        <v>105.10861199999999</v>
      </c>
      <c r="K74" s="164">
        <v>109.777794</v>
      </c>
      <c r="L74" s="164">
        <v>114.634125</v>
      </c>
      <c r="M74" s="164">
        <v>119.654022</v>
      </c>
      <c r="N74" s="164">
        <v>124.82345599999999</v>
      </c>
      <c r="O74" s="164">
        <v>130.140533</v>
      </c>
      <c r="P74" s="164">
        <v>135.60420199999999</v>
      </c>
      <c r="Q74" s="164">
        <v>141.26831100000001</v>
      </c>
      <c r="R74" s="164">
        <v>147.09477200000001</v>
      </c>
      <c r="S74" s="164">
        <v>153.074432</v>
      </c>
      <c r="T74" s="164">
        <v>159.205353</v>
      </c>
      <c r="U74" s="164">
        <v>165.49443099999999</v>
      </c>
      <c r="V74" s="164">
        <v>171.99311800000001</v>
      </c>
      <c r="W74" s="164">
        <v>178.657501</v>
      </c>
      <c r="X74" s="164">
        <v>185.48194899999999</v>
      </c>
      <c r="Y74" s="164">
        <v>192.46803299999999</v>
      </c>
      <c r="Z74" s="164">
        <v>199.62287900000001</v>
      </c>
      <c r="AA74" s="164">
        <v>206.99113500000001</v>
      </c>
      <c r="AB74" s="164">
        <v>214.53208900000001</v>
      </c>
      <c r="AC74" s="164">
        <v>222.241882</v>
      </c>
      <c r="AD74" s="164">
        <v>230.12132299999999</v>
      </c>
      <c r="AE74" s="164">
        <v>238.176727</v>
      </c>
      <c r="AF74" s="163">
        <v>6.4412999999999998E-2</v>
      </c>
      <c r="AG74" s="155"/>
    </row>
    <row r="75" spans="1:33">
      <c r="A75" s="153" t="s">
        <v>940</v>
      </c>
      <c r="B75" s="161" t="s">
        <v>920</v>
      </c>
      <c r="C75" s="164">
        <v>18.422384000000001</v>
      </c>
      <c r="D75" s="164">
        <v>24.921766000000002</v>
      </c>
      <c r="E75" s="164">
        <v>31.286677999999998</v>
      </c>
      <c r="F75" s="164">
        <v>36.531010000000002</v>
      </c>
      <c r="G75" s="164">
        <v>40.251339000000002</v>
      </c>
      <c r="H75" s="164">
        <v>42.582152999999998</v>
      </c>
      <c r="I75" s="164">
        <v>44.375087999999998</v>
      </c>
      <c r="J75" s="164">
        <v>45.552967000000002</v>
      </c>
      <c r="K75" s="164">
        <v>46.643486000000003</v>
      </c>
      <c r="L75" s="164">
        <v>47.615417000000001</v>
      </c>
      <c r="M75" s="164">
        <v>48.534264</v>
      </c>
      <c r="N75" s="164">
        <v>49.396385000000002</v>
      </c>
      <c r="O75" s="164">
        <v>50.197502</v>
      </c>
      <c r="P75" s="164">
        <v>50.933815000000003</v>
      </c>
      <c r="Q75" s="164">
        <v>51.605465000000002</v>
      </c>
      <c r="R75" s="164">
        <v>52.221404999999997</v>
      </c>
      <c r="S75" s="164">
        <v>52.787604999999999</v>
      </c>
      <c r="T75" s="164">
        <v>53.310012999999998</v>
      </c>
      <c r="U75" s="164">
        <v>53.794593999999996</v>
      </c>
      <c r="V75" s="164">
        <v>54.246001999999997</v>
      </c>
      <c r="W75" s="164">
        <v>54.667313</v>
      </c>
      <c r="X75" s="164">
        <v>55.060822000000002</v>
      </c>
      <c r="Y75" s="164">
        <v>55.427867999999997</v>
      </c>
      <c r="Z75" s="164">
        <v>55.770457999999998</v>
      </c>
      <c r="AA75" s="164">
        <v>56.094085999999997</v>
      </c>
      <c r="AB75" s="164">
        <v>56.398609</v>
      </c>
      <c r="AC75" s="164">
        <v>56.681601999999998</v>
      </c>
      <c r="AD75" s="164">
        <v>56.938384999999997</v>
      </c>
      <c r="AE75" s="164">
        <v>57.168449000000003</v>
      </c>
      <c r="AF75" s="163">
        <v>4.1272999999999997E-2</v>
      </c>
      <c r="AG75" s="155"/>
    </row>
    <row r="76" spans="1:33">
      <c r="A76" s="153" t="s">
        <v>941</v>
      </c>
      <c r="B76" s="161" t="s">
        <v>922</v>
      </c>
      <c r="C76" s="164">
        <v>37.358677</v>
      </c>
      <c r="D76" s="164">
        <v>50.538738000000002</v>
      </c>
      <c r="E76" s="164">
        <v>63.446117000000001</v>
      </c>
      <c r="F76" s="164">
        <v>74.081069999999997</v>
      </c>
      <c r="G76" s="164">
        <v>81.625525999999994</v>
      </c>
      <c r="H76" s="164">
        <v>86.352164999999999</v>
      </c>
      <c r="I76" s="164">
        <v>89.988045</v>
      </c>
      <c r="J76" s="164">
        <v>93.229279000000005</v>
      </c>
      <c r="K76" s="164">
        <v>96.518051</v>
      </c>
      <c r="L76" s="164">
        <v>99.834007</v>
      </c>
      <c r="M76" s="164">
        <v>103.228836</v>
      </c>
      <c r="N76" s="164">
        <v>106.711052</v>
      </c>
      <c r="O76" s="164">
        <v>110.286186</v>
      </c>
      <c r="P76" s="164">
        <v>113.95946499999999</v>
      </c>
      <c r="Q76" s="164">
        <v>117.72137499999999</v>
      </c>
      <c r="R76" s="164">
        <v>121.58760100000001</v>
      </c>
      <c r="S76" s="164">
        <v>125.559944</v>
      </c>
      <c r="T76" s="164">
        <v>129.63948099999999</v>
      </c>
      <c r="U76" s="164">
        <v>133.82646199999999</v>
      </c>
      <c r="V76" s="164">
        <v>138.11544799999999</v>
      </c>
      <c r="W76" s="164">
        <v>142.51733400000001</v>
      </c>
      <c r="X76" s="164">
        <v>147.03389000000001</v>
      </c>
      <c r="Y76" s="164">
        <v>151.667145</v>
      </c>
      <c r="Z76" s="164">
        <v>156.41830400000001</v>
      </c>
      <c r="AA76" s="164">
        <v>161.26028400000001</v>
      </c>
      <c r="AB76" s="164">
        <v>166.222961</v>
      </c>
      <c r="AC76" s="164">
        <v>171.310562</v>
      </c>
      <c r="AD76" s="164">
        <v>176.52694700000001</v>
      </c>
      <c r="AE76" s="164">
        <v>181.87539699999999</v>
      </c>
      <c r="AF76" s="163">
        <v>5.8154999999999998E-2</v>
      </c>
      <c r="AG76" s="155"/>
    </row>
    <row r="77" spans="1:33">
      <c r="A77" s="153" t="s">
        <v>942</v>
      </c>
      <c r="B77" s="161" t="s">
        <v>943</v>
      </c>
      <c r="C77" s="164">
        <v>1060.8295900000001</v>
      </c>
      <c r="D77" s="164">
        <v>1535.6385499999999</v>
      </c>
      <c r="E77" s="164">
        <v>1956.2210689999999</v>
      </c>
      <c r="F77" s="164">
        <v>2270.5656739999999</v>
      </c>
      <c r="G77" s="164">
        <v>2499.8393550000001</v>
      </c>
      <c r="H77" s="164">
        <v>2631.3684079999998</v>
      </c>
      <c r="I77" s="164">
        <v>2745.3615719999998</v>
      </c>
      <c r="J77" s="164">
        <v>2832.9101559999999</v>
      </c>
      <c r="K77" s="164">
        <v>2920.7680660000001</v>
      </c>
      <c r="L77" s="164">
        <v>3009.3168949999999</v>
      </c>
      <c r="M77" s="164">
        <v>3100.5822750000002</v>
      </c>
      <c r="N77" s="164">
        <v>3194.6989749999998</v>
      </c>
      <c r="O77" s="164">
        <v>3290.7622070000002</v>
      </c>
      <c r="P77" s="164">
        <v>3389.0178219999998</v>
      </c>
      <c r="Q77" s="164">
        <v>3489.9655760000001</v>
      </c>
      <c r="R77" s="164">
        <v>3593.9096679999998</v>
      </c>
      <c r="S77" s="164">
        <v>3700.5131839999999</v>
      </c>
      <c r="T77" s="164">
        <v>3809.749268</v>
      </c>
      <c r="U77" s="164">
        <v>3923.133057</v>
      </c>
      <c r="V77" s="164">
        <v>4039.024414</v>
      </c>
      <c r="W77" s="164">
        <v>4158.0786129999997</v>
      </c>
      <c r="X77" s="164">
        <v>4280.3164059999999</v>
      </c>
      <c r="Y77" s="164">
        <v>4405.0268550000001</v>
      </c>
      <c r="Z77" s="164">
        <v>4532.1254879999997</v>
      </c>
      <c r="AA77" s="164">
        <v>4661.328125</v>
      </c>
      <c r="AB77" s="164">
        <v>4794.0234380000002</v>
      </c>
      <c r="AC77" s="164">
        <v>4929.7426759999998</v>
      </c>
      <c r="AD77" s="164">
        <v>5068.4580079999996</v>
      </c>
      <c r="AE77" s="164">
        <v>5211.2783200000003</v>
      </c>
      <c r="AF77" s="163">
        <v>5.8495999999999999E-2</v>
      </c>
      <c r="AG77" s="155"/>
    </row>
    <row r="78" spans="1:33">
      <c r="A78" s="153" t="s">
        <v>944</v>
      </c>
      <c r="B78" s="161" t="s">
        <v>945</v>
      </c>
      <c r="C78" s="164">
        <v>3092.2739259999998</v>
      </c>
      <c r="D78" s="164">
        <v>3863.8820799999999</v>
      </c>
      <c r="E78" s="164">
        <v>4490.5029299999997</v>
      </c>
      <c r="F78" s="164">
        <v>4951.5483400000003</v>
      </c>
      <c r="G78" s="164">
        <v>5295.1601559999999</v>
      </c>
      <c r="H78" s="164">
        <v>5530.0249020000001</v>
      </c>
      <c r="I78" s="164">
        <v>5746.6953119999998</v>
      </c>
      <c r="J78" s="164">
        <v>5935.4648440000001</v>
      </c>
      <c r="K78" s="164">
        <v>6122.9189450000003</v>
      </c>
      <c r="L78" s="164">
        <v>6312.8193359999996</v>
      </c>
      <c r="M78" s="164">
        <v>6510.8081050000001</v>
      </c>
      <c r="N78" s="164">
        <v>6715.1289059999999</v>
      </c>
      <c r="O78" s="164">
        <v>6922.3872069999998</v>
      </c>
      <c r="P78" s="164">
        <v>7133.4599609999996</v>
      </c>
      <c r="Q78" s="164">
        <v>7350.3686520000001</v>
      </c>
      <c r="R78" s="164">
        <v>7573.517578</v>
      </c>
      <c r="S78" s="164">
        <v>7801.689453</v>
      </c>
      <c r="T78" s="164">
        <v>8034.498047</v>
      </c>
      <c r="U78" s="164">
        <v>8276.6923829999996</v>
      </c>
      <c r="V78" s="164">
        <v>8523.6396480000003</v>
      </c>
      <c r="W78" s="164">
        <v>8776.7744139999995</v>
      </c>
      <c r="X78" s="164">
        <v>9036.0351559999999</v>
      </c>
      <c r="Y78" s="164">
        <v>9298.7636719999991</v>
      </c>
      <c r="Z78" s="164">
        <v>9564.3017579999996</v>
      </c>
      <c r="AA78" s="164">
        <v>9832.75</v>
      </c>
      <c r="AB78" s="164">
        <v>10107.600586</v>
      </c>
      <c r="AC78" s="164">
        <v>10386.885742</v>
      </c>
      <c r="AD78" s="164">
        <v>10669.858398</v>
      </c>
      <c r="AE78" s="164">
        <v>10959.380859000001</v>
      </c>
      <c r="AF78" s="163">
        <v>4.6225000000000002E-2</v>
      </c>
      <c r="AG78" s="155"/>
    </row>
    <row r="79" spans="1:33">
      <c r="A79" s="148"/>
      <c r="B79" s="155"/>
      <c r="C79" s="155"/>
      <c r="D79" s="155"/>
      <c r="E79" s="155"/>
      <c r="F79" s="155"/>
      <c r="G79" s="155"/>
      <c r="H79" s="155"/>
      <c r="I79" s="155"/>
      <c r="J79" s="155"/>
      <c r="K79" s="155"/>
      <c r="L79" s="155"/>
      <c r="M79" s="155"/>
      <c r="N79" s="155"/>
      <c r="O79" s="155"/>
      <c r="P79" s="155"/>
      <c r="Q79" s="155"/>
      <c r="R79" s="155"/>
      <c r="S79" s="155"/>
      <c r="T79" s="155"/>
      <c r="U79" s="155"/>
      <c r="V79" s="155"/>
      <c r="W79" s="155"/>
      <c r="X79" s="155"/>
      <c r="Y79" s="155"/>
      <c r="Z79" s="155"/>
      <c r="AA79" s="155"/>
      <c r="AB79" s="155"/>
      <c r="AC79" s="155"/>
      <c r="AD79" s="155"/>
      <c r="AE79" s="155"/>
      <c r="AF79" s="155"/>
      <c r="AG79" s="155"/>
    </row>
    <row r="80" spans="1:33">
      <c r="A80" s="148"/>
      <c r="B80" s="158" t="s">
        <v>946</v>
      </c>
      <c r="C80" s="155"/>
      <c r="D80" s="155"/>
      <c r="E80" s="155"/>
      <c r="F80" s="155"/>
      <c r="G80" s="155"/>
      <c r="H80" s="155"/>
      <c r="I80" s="155"/>
      <c r="J80" s="155"/>
      <c r="K80" s="155"/>
      <c r="L80" s="155"/>
      <c r="M80" s="155"/>
      <c r="N80" s="155"/>
      <c r="O80" s="155"/>
      <c r="P80" s="155"/>
      <c r="Q80" s="155"/>
      <c r="R80" s="155"/>
      <c r="S80" s="155"/>
      <c r="T80" s="155"/>
      <c r="U80" s="155"/>
      <c r="V80" s="155"/>
      <c r="W80" s="155"/>
      <c r="X80" s="155"/>
      <c r="Y80" s="155"/>
      <c r="Z80" s="155"/>
      <c r="AA80" s="155"/>
      <c r="AB80" s="155"/>
      <c r="AC80" s="155"/>
      <c r="AD80" s="155"/>
      <c r="AE80" s="155"/>
      <c r="AF80" s="155"/>
      <c r="AG80" s="155"/>
    </row>
    <row r="81" spans="1:33">
      <c r="A81" s="153" t="s">
        <v>947</v>
      </c>
      <c r="B81" s="161" t="s">
        <v>857</v>
      </c>
      <c r="C81" s="164">
        <v>47.902061000000003</v>
      </c>
      <c r="D81" s="164">
        <v>47.890633000000001</v>
      </c>
      <c r="E81" s="164">
        <v>48.038204</v>
      </c>
      <c r="F81" s="164">
        <v>48.550663</v>
      </c>
      <c r="G81" s="164">
        <v>49.413074000000002</v>
      </c>
      <c r="H81" s="164">
        <v>50.314349999999997</v>
      </c>
      <c r="I81" s="164">
        <v>51.184040000000003</v>
      </c>
      <c r="J81" s="164">
        <v>51.994289000000002</v>
      </c>
      <c r="K81" s="164">
        <v>52.748179999999998</v>
      </c>
      <c r="L81" s="164">
        <v>53.550033999999997</v>
      </c>
      <c r="M81" s="164">
        <v>54.533695000000002</v>
      </c>
      <c r="N81" s="164">
        <v>55.631897000000002</v>
      </c>
      <c r="O81" s="164">
        <v>56.744064000000002</v>
      </c>
      <c r="P81" s="164">
        <v>57.884483000000003</v>
      </c>
      <c r="Q81" s="164">
        <v>59.114531999999997</v>
      </c>
      <c r="R81" s="164">
        <v>60.431891999999998</v>
      </c>
      <c r="S81" s="164">
        <v>61.800179</v>
      </c>
      <c r="T81" s="164">
        <v>63.197701000000002</v>
      </c>
      <c r="U81" s="164">
        <v>64.731223999999997</v>
      </c>
      <c r="V81" s="164">
        <v>66.278328000000002</v>
      </c>
      <c r="W81" s="164">
        <v>67.864982999999995</v>
      </c>
      <c r="X81" s="164">
        <v>69.503112999999999</v>
      </c>
      <c r="Y81" s="164">
        <v>71.136123999999995</v>
      </c>
      <c r="Z81" s="164">
        <v>72.764045999999993</v>
      </c>
      <c r="AA81" s="164">
        <v>74.430274999999995</v>
      </c>
      <c r="AB81" s="164">
        <v>76.193152999999995</v>
      </c>
      <c r="AC81" s="164">
        <v>77.994986999999995</v>
      </c>
      <c r="AD81" s="164">
        <v>79.825203000000002</v>
      </c>
      <c r="AE81" s="164">
        <v>81.772209000000004</v>
      </c>
      <c r="AF81" s="163">
        <v>1.9283000000000002E-2</v>
      </c>
      <c r="AG81" s="155"/>
    </row>
    <row r="82" spans="1:33">
      <c r="A82" s="153" t="s">
        <v>948</v>
      </c>
      <c r="B82" s="161" t="s">
        <v>859</v>
      </c>
      <c r="C82" s="164">
        <v>1.0062629999999999</v>
      </c>
      <c r="D82" s="164">
        <v>1.0441499999999999</v>
      </c>
      <c r="E82" s="164">
        <v>1.0762890000000001</v>
      </c>
      <c r="F82" s="164">
        <v>1.1045970000000001</v>
      </c>
      <c r="G82" s="164">
        <v>1.1287959999999999</v>
      </c>
      <c r="H82" s="164">
        <v>1.1493180000000001</v>
      </c>
      <c r="I82" s="164">
        <v>1.1671069999999999</v>
      </c>
      <c r="J82" s="164">
        <v>1.1826779999999999</v>
      </c>
      <c r="K82" s="164">
        <v>1.1963220000000001</v>
      </c>
      <c r="L82" s="164">
        <v>1.208356</v>
      </c>
      <c r="M82" s="164">
        <v>1.219001</v>
      </c>
      <c r="N82" s="164">
        <v>1.2284360000000001</v>
      </c>
      <c r="O82" s="164">
        <v>1.2368399999999999</v>
      </c>
      <c r="P82" s="164">
        <v>1.2443679999999999</v>
      </c>
      <c r="Q82" s="164">
        <v>1.2511509999999999</v>
      </c>
      <c r="R82" s="164">
        <v>1.2572989999999999</v>
      </c>
      <c r="S82" s="164">
        <v>1.2629079999999999</v>
      </c>
      <c r="T82" s="164">
        <v>1.2680560000000001</v>
      </c>
      <c r="U82" s="164">
        <v>1.2728120000000001</v>
      </c>
      <c r="V82" s="164">
        <v>1.2772349999999999</v>
      </c>
      <c r="W82" s="164">
        <v>1.281374</v>
      </c>
      <c r="X82" s="164">
        <v>1.285269</v>
      </c>
      <c r="Y82" s="164">
        <v>1.2889569999999999</v>
      </c>
      <c r="Z82" s="164">
        <v>1.2924690000000001</v>
      </c>
      <c r="AA82" s="164">
        <v>1.2958289999999999</v>
      </c>
      <c r="AB82" s="164">
        <v>1.299059</v>
      </c>
      <c r="AC82" s="164">
        <v>1.302179</v>
      </c>
      <c r="AD82" s="164">
        <v>1.3052029999999999</v>
      </c>
      <c r="AE82" s="164">
        <v>1.3081449999999999</v>
      </c>
      <c r="AF82" s="163">
        <v>9.4140000000000005E-3</v>
      </c>
      <c r="AG82" s="155"/>
    </row>
    <row r="83" spans="1:33">
      <c r="A83" s="153" t="s">
        <v>949</v>
      </c>
      <c r="B83" s="161" t="s">
        <v>861</v>
      </c>
      <c r="C83" s="164">
        <v>2.2818999999999998</v>
      </c>
      <c r="D83" s="164">
        <v>2.3426399999999998</v>
      </c>
      <c r="E83" s="164">
        <v>2.4650479999999999</v>
      </c>
      <c r="F83" s="164">
        <v>2.5995650000000001</v>
      </c>
      <c r="G83" s="164">
        <v>2.734801</v>
      </c>
      <c r="H83" s="164">
        <v>2.8735569999999999</v>
      </c>
      <c r="I83" s="164">
        <v>3.0144679999999999</v>
      </c>
      <c r="J83" s="164">
        <v>3.1632699999999998</v>
      </c>
      <c r="K83" s="164">
        <v>3.3243580000000001</v>
      </c>
      <c r="L83" s="164">
        <v>3.4972789999999998</v>
      </c>
      <c r="M83" s="164">
        <v>3.6855220000000002</v>
      </c>
      <c r="N83" s="164">
        <v>3.8840870000000001</v>
      </c>
      <c r="O83" s="164">
        <v>4.0934869999999997</v>
      </c>
      <c r="P83" s="164">
        <v>4.3137239999999997</v>
      </c>
      <c r="Q83" s="164">
        <v>4.5410490000000001</v>
      </c>
      <c r="R83" s="164">
        <v>4.7785919999999997</v>
      </c>
      <c r="S83" s="164">
        <v>5.0267689999999998</v>
      </c>
      <c r="T83" s="164">
        <v>5.2857289999999999</v>
      </c>
      <c r="U83" s="164">
        <v>5.555498</v>
      </c>
      <c r="V83" s="164">
        <v>5.8253459999999997</v>
      </c>
      <c r="W83" s="164">
        <v>6.1047849999999997</v>
      </c>
      <c r="X83" s="164">
        <v>6.3940640000000002</v>
      </c>
      <c r="Y83" s="164">
        <v>6.693174</v>
      </c>
      <c r="Z83" s="164">
        <v>7.0021630000000004</v>
      </c>
      <c r="AA83" s="164">
        <v>7.3102840000000002</v>
      </c>
      <c r="AB83" s="164">
        <v>7.6272060000000002</v>
      </c>
      <c r="AC83" s="164">
        <v>7.9528179999999997</v>
      </c>
      <c r="AD83" s="164">
        <v>8.2870039999999996</v>
      </c>
      <c r="AE83" s="164">
        <v>8.6297200000000007</v>
      </c>
      <c r="AF83" s="163">
        <v>4.8654000000000003E-2</v>
      </c>
      <c r="AG83" s="155"/>
    </row>
    <row r="84" spans="1:33">
      <c r="A84" s="153" t="s">
        <v>950</v>
      </c>
      <c r="B84" s="161" t="s">
        <v>863</v>
      </c>
      <c r="C84" s="164">
        <v>21.343447000000001</v>
      </c>
      <c r="D84" s="164">
        <v>23.328316000000001</v>
      </c>
      <c r="E84" s="164">
        <v>25.259329000000001</v>
      </c>
      <c r="F84" s="164">
        <v>26.844503</v>
      </c>
      <c r="G84" s="164">
        <v>28.220020000000002</v>
      </c>
      <c r="H84" s="164">
        <v>29.476091</v>
      </c>
      <c r="I84" s="164">
        <v>30.638822999999999</v>
      </c>
      <c r="J84" s="164">
        <v>31.743164</v>
      </c>
      <c r="K84" s="164">
        <v>32.806507000000003</v>
      </c>
      <c r="L84" s="164">
        <v>33.836029000000003</v>
      </c>
      <c r="M84" s="164">
        <v>34.844954999999999</v>
      </c>
      <c r="N84" s="164">
        <v>35.848754999999997</v>
      </c>
      <c r="O84" s="164">
        <v>36.846347999999999</v>
      </c>
      <c r="P84" s="164">
        <v>37.830382999999998</v>
      </c>
      <c r="Q84" s="164">
        <v>38.820450000000001</v>
      </c>
      <c r="R84" s="164">
        <v>39.828896</v>
      </c>
      <c r="S84" s="164">
        <v>40.849742999999997</v>
      </c>
      <c r="T84" s="164">
        <v>41.884875999999998</v>
      </c>
      <c r="U84" s="164">
        <v>42.945388999999999</v>
      </c>
      <c r="V84" s="164">
        <v>44.021434999999997</v>
      </c>
      <c r="W84" s="164">
        <v>45.112003000000001</v>
      </c>
      <c r="X84" s="164">
        <v>46.216866000000003</v>
      </c>
      <c r="Y84" s="164">
        <v>47.334282000000002</v>
      </c>
      <c r="Z84" s="164">
        <v>48.465243999999998</v>
      </c>
      <c r="AA84" s="164">
        <v>49.616309999999999</v>
      </c>
      <c r="AB84" s="164">
        <v>50.789515999999999</v>
      </c>
      <c r="AC84" s="164">
        <v>51.988506000000001</v>
      </c>
      <c r="AD84" s="164">
        <v>53.218521000000003</v>
      </c>
      <c r="AE84" s="164">
        <v>54.480499000000002</v>
      </c>
      <c r="AF84" s="163">
        <v>3.4034000000000002E-2</v>
      </c>
      <c r="AG84" s="155"/>
    </row>
    <row r="85" spans="1:33">
      <c r="A85" s="153" t="s">
        <v>951</v>
      </c>
      <c r="B85" s="161" t="s">
        <v>865</v>
      </c>
      <c r="C85" s="164">
        <v>4.273352</v>
      </c>
      <c r="D85" s="164">
        <v>4.4791809999999996</v>
      </c>
      <c r="E85" s="164">
        <v>4.6452540000000004</v>
      </c>
      <c r="F85" s="164">
        <v>4.7855220000000003</v>
      </c>
      <c r="G85" s="164">
        <v>4.8974130000000002</v>
      </c>
      <c r="H85" s="164">
        <v>4.9908710000000003</v>
      </c>
      <c r="I85" s="164">
        <v>5.0685380000000002</v>
      </c>
      <c r="J85" s="164">
        <v>5.1330119999999999</v>
      </c>
      <c r="K85" s="164">
        <v>5.1861550000000003</v>
      </c>
      <c r="L85" s="164">
        <v>5.229876</v>
      </c>
      <c r="M85" s="164">
        <v>5.2663859999999998</v>
      </c>
      <c r="N85" s="164">
        <v>5.2975640000000004</v>
      </c>
      <c r="O85" s="164">
        <v>5.3242719999999997</v>
      </c>
      <c r="P85" s="164">
        <v>5.3471760000000002</v>
      </c>
      <c r="Q85" s="164">
        <v>5.3668380000000004</v>
      </c>
      <c r="R85" s="164">
        <v>5.3837380000000001</v>
      </c>
      <c r="S85" s="164">
        <v>5.398288</v>
      </c>
      <c r="T85" s="164">
        <v>5.4108229999999997</v>
      </c>
      <c r="U85" s="164">
        <v>5.4216280000000001</v>
      </c>
      <c r="V85" s="164">
        <v>5.4309770000000004</v>
      </c>
      <c r="W85" s="164">
        <v>5.4390599999999996</v>
      </c>
      <c r="X85" s="164">
        <v>5.4460730000000002</v>
      </c>
      <c r="Y85" s="164">
        <v>5.4522899999999996</v>
      </c>
      <c r="Z85" s="164">
        <v>5.4581390000000001</v>
      </c>
      <c r="AA85" s="164">
        <v>5.4639499999999996</v>
      </c>
      <c r="AB85" s="164">
        <v>5.4698690000000001</v>
      </c>
      <c r="AC85" s="164">
        <v>5.4759849999999997</v>
      </c>
      <c r="AD85" s="164">
        <v>5.4823639999999996</v>
      </c>
      <c r="AE85" s="164">
        <v>5.4890670000000004</v>
      </c>
      <c r="AF85" s="163">
        <v>8.9809999999999994E-3</v>
      </c>
      <c r="AG85" s="155"/>
    </row>
    <row r="86" spans="1:33">
      <c r="A86" s="153" t="s">
        <v>952</v>
      </c>
      <c r="B86" s="161" t="s">
        <v>867</v>
      </c>
      <c r="C86" s="164">
        <v>1.375221</v>
      </c>
      <c r="D86" s="164">
        <v>1.4571829999999999</v>
      </c>
      <c r="E86" s="164">
        <v>1.532079</v>
      </c>
      <c r="F86" s="164">
        <v>1.599677</v>
      </c>
      <c r="G86" s="164">
        <v>1.6609389999999999</v>
      </c>
      <c r="H86" s="164">
        <v>1.716998</v>
      </c>
      <c r="I86" s="164">
        <v>1.7685759999999999</v>
      </c>
      <c r="J86" s="164">
        <v>1.8164849999999999</v>
      </c>
      <c r="K86" s="164">
        <v>1.861445</v>
      </c>
      <c r="L86" s="164">
        <v>1.9036090000000001</v>
      </c>
      <c r="M86" s="164">
        <v>1.9428510000000001</v>
      </c>
      <c r="N86" s="164">
        <v>1.979757</v>
      </c>
      <c r="O86" s="164">
        <v>2.0146850000000001</v>
      </c>
      <c r="P86" s="164">
        <v>2.0465460000000002</v>
      </c>
      <c r="Q86" s="164">
        <v>2.0765380000000002</v>
      </c>
      <c r="R86" s="164">
        <v>2.105925</v>
      </c>
      <c r="S86" s="164">
        <v>2.1345260000000001</v>
      </c>
      <c r="T86" s="164">
        <v>2.1616379999999999</v>
      </c>
      <c r="U86" s="164">
        <v>2.187468</v>
      </c>
      <c r="V86" s="164">
        <v>2.2126380000000001</v>
      </c>
      <c r="W86" s="164">
        <v>2.2373310000000002</v>
      </c>
      <c r="X86" s="164">
        <v>2.2616049999999999</v>
      </c>
      <c r="Y86" s="164">
        <v>2.2854969999999999</v>
      </c>
      <c r="Z86" s="164">
        <v>2.309015</v>
      </c>
      <c r="AA86" s="164">
        <v>2.332131</v>
      </c>
      <c r="AB86" s="164">
        <v>2.3548879999999999</v>
      </c>
      <c r="AC86" s="164">
        <v>2.3775210000000002</v>
      </c>
      <c r="AD86" s="164">
        <v>2.4000759999999999</v>
      </c>
      <c r="AE86" s="164">
        <v>2.4225569999999998</v>
      </c>
      <c r="AF86" s="163">
        <v>2.0428000000000002E-2</v>
      </c>
      <c r="AG86" s="155"/>
    </row>
    <row r="87" spans="1:33">
      <c r="A87" s="153" t="s">
        <v>953</v>
      </c>
      <c r="B87" s="161" t="s">
        <v>869</v>
      </c>
      <c r="C87" s="164">
        <v>5.6156360000000003</v>
      </c>
      <c r="D87" s="164">
        <v>5.721063</v>
      </c>
      <c r="E87" s="164">
        <v>5.844652</v>
      </c>
      <c r="F87" s="164">
        <v>5.9630590000000003</v>
      </c>
      <c r="G87" s="164">
        <v>6.0691499999999996</v>
      </c>
      <c r="H87" s="164">
        <v>6.1706940000000001</v>
      </c>
      <c r="I87" s="164">
        <v>6.2710540000000004</v>
      </c>
      <c r="J87" s="164">
        <v>6.3695250000000003</v>
      </c>
      <c r="K87" s="164">
        <v>6.4658889999999998</v>
      </c>
      <c r="L87" s="164">
        <v>6.5450280000000003</v>
      </c>
      <c r="M87" s="164">
        <v>6.5985740000000002</v>
      </c>
      <c r="N87" s="164">
        <v>6.6477339999999998</v>
      </c>
      <c r="O87" s="164">
        <v>6.6966850000000004</v>
      </c>
      <c r="P87" s="164">
        <v>6.7442919999999997</v>
      </c>
      <c r="Q87" s="164">
        <v>6.7915340000000004</v>
      </c>
      <c r="R87" s="164">
        <v>6.833717</v>
      </c>
      <c r="S87" s="164">
        <v>6.8710649999999998</v>
      </c>
      <c r="T87" s="164">
        <v>6.9078999999999997</v>
      </c>
      <c r="U87" s="164">
        <v>6.9470710000000002</v>
      </c>
      <c r="V87" s="164">
        <v>6.9914050000000003</v>
      </c>
      <c r="W87" s="164">
        <v>7.0396000000000001</v>
      </c>
      <c r="X87" s="164">
        <v>7.0887419999999999</v>
      </c>
      <c r="Y87" s="164">
        <v>7.1380210000000002</v>
      </c>
      <c r="Z87" s="164">
        <v>7.185943</v>
      </c>
      <c r="AA87" s="164">
        <v>7.2306369999999998</v>
      </c>
      <c r="AB87" s="164">
        <v>7.2718730000000003</v>
      </c>
      <c r="AC87" s="164">
        <v>7.3117710000000002</v>
      </c>
      <c r="AD87" s="164">
        <v>7.3521929999999998</v>
      </c>
      <c r="AE87" s="164">
        <v>7.3943680000000001</v>
      </c>
      <c r="AF87" s="163">
        <v>9.8759999999999994E-3</v>
      </c>
      <c r="AG87" s="155"/>
    </row>
    <row r="88" spans="1:33">
      <c r="A88" s="153" t="s">
        <v>954</v>
      </c>
      <c r="B88" s="161" t="s">
        <v>871</v>
      </c>
      <c r="C88" s="164">
        <v>0.63681100000000002</v>
      </c>
      <c r="D88" s="164">
        <v>0.61521599999999999</v>
      </c>
      <c r="E88" s="164">
        <v>0.63014599999999998</v>
      </c>
      <c r="F88" s="164">
        <v>0.64219700000000002</v>
      </c>
      <c r="G88" s="164">
        <v>0.65244100000000005</v>
      </c>
      <c r="H88" s="164">
        <v>0.66163000000000005</v>
      </c>
      <c r="I88" s="164">
        <v>0.67073499999999997</v>
      </c>
      <c r="J88" s="164">
        <v>0.67983400000000005</v>
      </c>
      <c r="K88" s="164">
        <v>0.68894900000000003</v>
      </c>
      <c r="L88" s="164">
        <v>0.69872299999999998</v>
      </c>
      <c r="M88" s="164">
        <v>0.70891099999999996</v>
      </c>
      <c r="N88" s="164">
        <v>0.719198</v>
      </c>
      <c r="O88" s="164">
        <v>0.72959399999999996</v>
      </c>
      <c r="P88" s="164">
        <v>0.74011099999999996</v>
      </c>
      <c r="Q88" s="164">
        <v>0.75076200000000004</v>
      </c>
      <c r="R88" s="164">
        <v>0.76155399999999995</v>
      </c>
      <c r="S88" s="164">
        <v>0.77249699999999999</v>
      </c>
      <c r="T88" s="164">
        <v>0.78360099999999999</v>
      </c>
      <c r="U88" s="164">
        <v>0.79486900000000005</v>
      </c>
      <c r="V88" s="164">
        <v>0.80631200000000003</v>
      </c>
      <c r="W88" s="164">
        <v>0.81793700000000003</v>
      </c>
      <c r="X88" s="164">
        <v>0.82974300000000001</v>
      </c>
      <c r="Y88" s="164">
        <v>0.84174700000000002</v>
      </c>
      <c r="Z88" s="164">
        <v>0.85394800000000004</v>
      </c>
      <c r="AA88" s="164">
        <v>0.86635099999999998</v>
      </c>
      <c r="AB88" s="164">
        <v>0.87896399999999997</v>
      </c>
      <c r="AC88" s="164">
        <v>0.89179200000000003</v>
      </c>
      <c r="AD88" s="164">
        <v>0.90484100000000001</v>
      </c>
      <c r="AE88" s="164">
        <v>0.91811299999999996</v>
      </c>
      <c r="AF88" s="163">
        <v>1.3152E-2</v>
      </c>
      <c r="AG88" s="155"/>
    </row>
    <row r="89" spans="1:33">
      <c r="A89" s="153" t="s">
        <v>955</v>
      </c>
      <c r="B89" s="161" t="s">
        <v>873</v>
      </c>
      <c r="C89" s="164">
        <v>6.5872E-2</v>
      </c>
      <c r="D89" s="164">
        <v>7.6454999999999995E-2</v>
      </c>
      <c r="E89" s="164">
        <v>8.6470000000000005E-2</v>
      </c>
      <c r="F89" s="164">
        <v>9.5138E-2</v>
      </c>
      <c r="G89" s="164">
        <v>0.102715</v>
      </c>
      <c r="H89" s="164">
        <v>0.109502</v>
      </c>
      <c r="I89" s="164">
        <v>0.115657</v>
      </c>
      <c r="J89" s="164">
        <v>0.12130299999999999</v>
      </c>
      <c r="K89" s="164">
        <v>0.12654799999999999</v>
      </c>
      <c r="L89" s="164">
        <v>0.13158</v>
      </c>
      <c r="M89" s="164">
        <v>0.136382</v>
      </c>
      <c r="N89" s="164">
        <v>0.14097000000000001</v>
      </c>
      <c r="O89" s="164">
        <v>0.145394</v>
      </c>
      <c r="P89" s="164">
        <v>0.149704</v>
      </c>
      <c r="Q89" s="164">
        <v>0.15374499999999999</v>
      </c>
      <c r="R89" s="164">
        <v>0.15770600000000001</v>
      </c>
      <c r="S89" s="164">
        <v>0.16161400000000001</v>
      </c>
      <c r="T89" s="164">
        <v>0.16548399999999999</v>
      </c>
      <c r="U89" s="164">
        <v>0.16933799999999999</v>
      </c>
      <c r="V89" s="164">
        <v>0.17303499999999999</v>
      </c>
      <c r="W89" s="164">
        <v>0.176734</v>
      </c>
      <c r="X89" s="164">
        <v>0.180452</v>
      </c>
      <c r="Y89" s="164">
        <v>0.184201</v>
      </c>
      <c r="Z89" s="164">
        <v>0.18798899999999999</v>
      </c>
      <c r="AA89" s="164">
        <v>0.191688</v>
      </c>
      <c r="AB89" s="164">
        <v>0.19542999999999999</v>
      </c>
      <c r="AC89" s="164">
        <v>0.19922300000000001</v>
      </c>
      <c r="AD89" s="164">
        <v>0.203068</v>
      </c>
      <c r="AE89" s="164">
        <v>0.20696800000000001</v>
      </c>
      <c r="AF89" s="163">
        <v>4.1735000000000001E-2</v>
      </c>
      <c r="AG89" s="155"/>
    </row>
    <row r="90" spans="1:33">
      <c r="A90" s="153" t="s">
        <v>956</v>
      </c>
      <c r="B90" s="161" t="s">
        <v>875</v>
      </c>
      <c r="C90" s="164">
        <v>14.291022999999999</v>
      </c>
      <c r="D90" s="164">
        <v>15.403852000000001</v>
      </c>
      <c r="E90" s="164">
        <v>16.466524</v>
      </c>
      <c r="F90" s="164">
        <v>17.484112</v>
      </c>
      <c r="G90" s="164">
        <v>18.438578</v>
      </c>
      <c r="H90" s="164">
        <v>19.337043999999999</v>
      </c>
      <c r="I90" s="164">
        <v>20.187798000000001</v>
      </c>
      <c r="J90" s="164">
        <v>20.994629</v>
      </c>
      <c r="K90" s="164">
        <v>21.758624999999999</v>
      </c>
      <c r="L90" s="164">
        <v>22.490202</v>
      </c>
      <c r="M90" s="164">
        <v>23.192791</v>
      </c>
      <c r="N90" s="164">
        <v>23.867598000000001</v>
      </c>
      <c r="O90" s="164">
        <v>24.519058000000001</v>
      </c>
      <c r="P90" s="164">
        <v>25.152920000000002</v>
      </c>
      <c r="Q90" s="164">
        <v>25.769638</v>
      </c>
      <c r="R90" s="164">
        <v>26.36647</v>
      </c>
      <c r="S90" s="164">
        <v>26.945543000000001</v>
      </c>
      <c r="T90" s="164">
        <v>27.511816</v>
      </c>
      <c r="U90" s="164">
        <v>28.072358999999999</v>
      </c>
      <c r="V90" s="164">
        <v>28.633461</v>
      </c>
      <c r="W90" s="164">
        <v>29.194868</v>
      </c>
      <c r="X90" s="164">
        <v>29.751711</v>
      </c>
      <c r="Y90" s="164">
        <v>30.298272999999998</v>
      </c>
      <c r="Z90" s="164">
        <v>30.82856</v>
      </c>
      <c r="AA90" s="164">
        <v>31.342054000000001</v>
      </c>
      <c r="AB90" s="164">
        <v>31.842524000000001</v>
      </c>
      <c r="AC90" s="164">
        <v>32.328381</v>
      </c>
      <c r="AD90" s="164">
        <v>32.794552000000003</v>
      </c>
      <c r="AE90" s="164">
        <v>33.235858999999998</v>
      </c>
      <c r="AF90" s="163">
        <v>3.0602000000000001E-2</v>
      </c>
      <c r="AG90" s="155"/>
    </row>
    <row r="91" spans="1:33">
      <c r="A91" s="153" t="s">
        <v>957</v>
      </c>
      <c r="B91" s="161" t="s">
        <v>877</v>
      </c>
      <c r="C91" s="164">
        <v>1.729398</v>
      </c>
      <c r="D91" s="164">
        <v>1.9405060000000001</v>
      </c>
      <c r="E91" s="164">
        <v>2.1560890000000001</v>
      </c>
      <c r="F91" s="164">
        <v>2.37439</v>
      </c>
      <c r="G91" s="164">
        <v>2.5902090000000002</v>
      </c>
      <c r="H91" s="164">
        <v>2.7969189999999999</v>
      </c>
      <c r="I91" s="164">
        <v>2.9946679999999999</v>
      </c>
      <c r="J91" s="164">
        <v>3.1840839999999999</v>
      </c>
      <c r="K91" s="164">
        <v>3.365723</v>
      </c>
      <c r="L91" s="164">
        <v>3.5399889999999998</v>
      </c>
      <c r="M91" s="164">
        <v>3.7074400000000001</v>
      </c>
      <c r="N91" s="164">
        <v>3.868322</v>
      </c>
      <c r="O91" s="164">
        <v>4.0227149999999998</v>
      </c>
      <c r="P91" s="164">
        <v>4.1717719999999998</v>
      </c>
      <c r="Q91" s="164">
        <v>4.3170520000000003</v>
      </c>
      <c r="R91" s="164">
        <v>4.4608340000000002</v>
      </c>
      <c r="S91" s="164">
        <v>4.6034769999999998</v>
      </c>
      <c r="T91" s="164">
        <v>4.7450979999999996</v>
      </c>
      <c r="U91" s="164">
        <v>4.8857530000000002</v>
      </c>
      <c r="V91" s="164">
        <v>5.0255089999999996</v>
      </c>
      <c r="W91" s="164">
        <v>5.164409</v>
      </c>
      <c r="X91" s="164">
        <v>5.3025580000000003</v>
      </c>
      <c r="Y91" s="164">
        <v>5.4398660000000003</v>
      </c>
      <c r="Z91" s="164">
        <v>5.5762869999999998</v>
      </c>
      <c r="AA91" s="164">
        <v>5.7117120000000003</v>
      </c>
      <c r="AB91" s="164">
        <v>5.8460159999999997</v>
      </c>
      <c r="AC91" s="164">
        <v>5.9790609999999997</v>
      </c>
      <c r="AD91" s="164">
        <v>6.1107060000000004</v>
      </c>
      <c r="AE91" s="164">
        <v>6.2408289999999997</v>
      </c>
      <c r="AF91" s="163">
        <v>4.6899999999999997E-2</v>
      </c>
      <c r="AG91" s="155"/>
    </row>
    <row r="92" spans="1:33">
      <c r="A92" s="153" t="s">
        <v>958</v>
      </c>
      <c r="B92" s="161" t="s">
        <v>879</v>
      </c>
      <c r="C92" s="164">
        <v>10.97953</v>
      </c>
      <c r="D92" s="164">
        <v>11.478201</v>
      </c>
      <c r="E92" s="164">
        <v>11.913265000000001</v>
      </c>
      <c r="F92" s="164">
        <v>12.294639</v>
      </c>
      <c r="G92" s="164">
        <v>12.627687999999999</v>
      </c>
      <c r="H92" s="164">
        <v>12.920790999999999</v>
      </c>
      <c r="I92" s="164">
        <v>13.179679999999999</v>
      </c>
      <c r="J92" s="164">
        <v>13.408682000000001</v>
      </c>
      <c r="K92" s="164">
        <v>13.611603000000001</v>
      </c>
      <c r="L92" s="164">
        <v>13.793385000000001</v>
      </c>
      <c r="M92" s="164">
        <v>13.957406000000001</v>
      </c>
      <c r="N92" s="164">
        <v>14.106166999999999</v>
      </c>
      <c r="O92" s="164">
        <v>14.242005000000001</v>
      </c>
      <c r="P92" s="164">
        <v>14.366897</v>
      </c>
      <c r="Q92" s="164">
        <v>14.481479999999999</v>
      </c>
      <c r="R92" s="164">
        <v>14.587826</v>
      </c>
      <c r="S92" s="164">
        <v>14.687233000000001</v>
      </c>
      <c r="T92" s="164">
        <v>14.780568000000001</v>
      </c>
      <c r="U92" s="164">
        <v>14.868819999999999</v>
      </c>
      <c r="V92" s="164">
        <v>14.951580999999999</v>
      </c>
      <c r="W92" s="164">
        <v>15.030099999999999</v>
      </c>
      <c r="X92" s="164">
        <v>15.104990000000001</v>
      </c>
      <c r="Y92" s="164">
        <v>15.176742000000001</v>
      </c>
      <c r="Z92" s="164">
        <v>15.245628</v>
      </c>
      <c r="AA92" s="164">
        <v>15.310263000000001</v>
      </c>
      <c r="AB92" s="164">
        <v>15.372285</v>
      </c>
      <c r="AC92" s="164">
        <v>15.432404999999999</v>
      </c>
      <c r="AD92" s="164">
        <v>15.490957999999999</v>
      </c>
      <c r="AE92" s="164">
        <v>15.548268</v>
      </c>
      <c r="AF92" s="163">
        <v>1.2503E-2</v>
      </c>
      <c r="AG92" s="155"/>
    </row>
    <row r="93" spans="1:33">
      <c r="A93" s="153" t="s">
        <v>959</v>
      </c>
      <c r="B93" s="161" t="s">
        <v>881</v>
      </c>
      <c r="C93" s="164">
        <v>1.034492</v>
      </c>
      <c r="D93" s="164">
        <v>0.99601099999999998</v>
      </c>
      <c r="E93" s="164">
        <v>0.96615300000000004</v>
      </c>
      <c r="F93" s="164">
        <v>0.94137499999999996</v>
      </c>
      <c r="G93" s="164">
        <v>0.91805400000000004</v>
      </c>
      <c r="H93" s="164">
        <v>0.89600199999999997</v>
      </c>
      <c r="I93" s="164">
        <v>0.87472399999999995</v>
      </c>
      <c r="J93" s="164">
        <v>0.85463800000000001</v>
      </c>
      <c r="K93" s="164">
        <v>0.83557300000000001</v>
      </c>
      <c r="L93" s="164">
        <v>0.81794</v>
      </c>
      <c r="M93" s="164">
        <v>0.80143900000000001</v>
      </c>
      <c r="N93" s="164">
        <v>0.785694</v>
      </c>
      <c r="O93" s="164">
        <v>0.77058400000000005</v>
      </c>
      <c r="P93" s="164">
        <v>0.75597400000000003</v>
      </c>
      <c r="Q93" s="164">
        <v>0.74202599999999996</v>
      </c>
      <c r="R93" s="164">
        <v>0.728599</v>
      </c>
      <c r="S93" s="164">
        <v>0.71566300000000005</v>
      </c>
      <c r="T93" s="164">
        <v>0.70325800000000005</v>
      </c>
      <c r="U93" s="164">
        <v>0.69134799999999996</v>
      </c>
      <c r="V93" s="164">
        <v>0.67998099999999995</v>
      </c>
      <c r="W93" s="164">
        <v>0.66904200000000003</v>
      </c>
      <c r="X93" s="164">
        <v>0.65848600000000002</v>
      </c>
      <c r="Y93" s="164">
        <v>0.64829400000000004</v>
      </c>
      <c r="Z93" s="164">
        <v>0.63843799999999995</v>
      </c>
      <c r="AA93" s="164">
        <v>0.62902999999999998</v>
      </c>
      <c r="AB93" s="164">
        <v>0.61994700000000003</v>
      </c>
      <c r="AC93" s="164">
        <v>0.61114500000000005</v>
      </c>
      <c r="AD93" s="164">
        <v>0.60261200000000004</v>
      </c>
      <c r="AE93" s="164">
        <v>0.59433100000000005</v>
      </c>
      <c r="AF93" s="163">
        <v>-1.9598999999999998E-2</v>
      </c>
      <c r="AG93" s="155"/>
    </row>
    <row r="94" spans="1:33">
      <c r="A94" s="153" t="s">
        <v>960</v>
      </c>
      <c r="B94" s="161" t="s">
        <v>883</v>
      </c>
      <c r="C94" s="164">
        <v>2.056041</v>
      </c>
      <c r="D94" s="164">
        <v>2.2239300000000002</v>
      </c>
      <c r="E94" s="164">
        <v>2.3859140000000001</v>
      </c>
      <c r="F94" s="164">
        <v>2.5383819999999999</v>
      </c>
      <c r="G94" s="164">
        <v>2.6863220000000001</v>
      </c>
      <c r="H94" s="164">
        <v>2.8267340000000001</v>
      </c>
      <c r="I94" s="164">
        <v>2.9619110000000002</v>
      </c>
      <c r="J94" s="164">
        <v>3.0936409999999999</v>
      </c>
      <c r="K94" s="164">
        <v>3.224078</v>
      </c>
      <c r="L94" s="164">
        <v>3.35331</v>
      </c>
      <c r="M94" s="164">
        <v>3.4810599999999998</v>
      </c>
      <c r="N94" s="164">
        <v>3.6073309999999998</v>
      </c>
      <c r="O94" s="164">
        <v>3.7324109999999999</v>
      </c>
      <c r="P94" s="164">
        <v>3.856554</v>
      </c>
      <c r="Q94" s="164">
        <v>3.9815369999999999</v>
      </c>
      <c r="R94" s="164">
        <v>4.1063970000000003</v>
      </c>
      <c r="S94" s="164">
        <v>4.2310189999999999</v>
      </c>
      <c r="T94" s="164">
        <v>4.3554599999999999</v>
      </c>
      <c r="U94" s="164">
        <v>4.4799889999999998</v>
      </c>
      <c r="V94" s="164">
        <v>4.6060540000000003</v>
      </c>
      <c r="W94" s="164">
        <v>4.7324640000000002</v>
      </c>
      <c r="X94" s="164">
        <v>4.8590929999999997</v>
      </c>
      <c r="Y94" s="164">
        <v>4.9859879999999999</v>
      </c>
      <c r="Z94" s="164">
        <v>5.113321</v>
      </c>
      <c r="AA94" s="164">
        <v>5.2422110000000002</v>
      </c>
      <c r="AB94" s="164">
        <v>5.3715659999999996</v>
      </c>
      <c r="AC94" s="164">
        <v>5.5012590000000001</v>
      </c>
      <c r="AD94" s="164">
        <v>5.6312749999999996</v>
      </c>
      <c r="AE94" s="164">
        <v>5.7617219999999998</v>
      </c>
      <c r="AF94" s="163">
        <v>3.7488E-2</v>
      </c>
      <c r="AG94" s="155"/>
    </row>
    <row r="95" spans="1:33">
      <c r="A95" s="153" t="s">
        <v>961</v>
      </c>
      <c r="B95" s="161" t="s">
        <v>885</v>
      </c>
      <c r="C95" s="164">
        <v>1.315159</v>
      </c>
      <c r="D95" s="164">
        <v>1.3515710000000001</v>
      </c>
      <c r="E95" s="164">
        <v>1.401203</v>
      </c>
      <c r="F95" s="164">
        <v>1.448269</v>
      </c>
      <c r="G95" s="164">
        <v>1.490272</v>
      </c>
      <c r="H95" s="164">
        <v>1.528861</v>
      </c>
      <c r="I95" s="164">
        <v>1.5658209999999999</v>
      </c>
      <c r="J95" s="164">
        <v>1.6010279999999999</v>
      </c>
      <c r="K95" s="164">
        <v>1.632976</v>
      </c>
      <c r="L95" s="164">
        <v>1.661187</v>
      </c>
      <c r="M95" s="164">
        <v>1.687252</v>
      </c>
      <c r="N95" s="164">
        <v>1.71123</v>
      </c>
      <c r="O95" s="164">
        <v>1.7331449999999999</v>
      </c>
      <c r="P95" s="164">
        <v>1.75302</v>
      </c>
      <c r="Q95" s="164">
        <v>1.770937</v>
      </c>
      <c r="R95" s="164">
        <v>1.787161</v>
      </c>
      <c r="S95" s="164">
        <v>1.801885</v>
      </c>
      <c r="T95" s="164">
        <v>1.815293</v>
      </c>
      <c r="U95" s="164">
        <v>1.827555</v>
      </c>
      <c r="V95" s="164">
        <v>1.8388009999999999</v>
      </c>
      <c r="W95" s="164">
        <v>1.849121</v>
      </c>
      <c r="X95" s="164">
        <v>1.8585959999999999</v>
      </c>
      <c r="Y95" s="164">
        <v>1.8672869999999999</v>
      </c>
      <c r="Z95" s="164">
        <v>1.8752530000000001</v>
      </c>
      <c r="AA95" s="164">
        <v>1.8825810000000001</v>
      </c>
      <c r="AB95" s="164">
        <v>1.8892880000000001</v>
      </c>
      <c r="AC95" s="164">
        <v>1.8954009999999999</v>
      </c>
      <c r="AD95" s="164">
        <v>1.900908</v>
      </c>
      <c r="AE95" s="164">
        <v>1.9058569999999999</v>
      </c>
      <c r="AF95" s="163">
        <v>1.3337E-2</v>
      </c>
      <c r="AG95" s="155"/>
    </row>
    <row r="96" spans="1:33">
      <c r="A96" s="153" t="s">
        <v>962</v>
      </c>
      <c r="B96" s="161" t="s">
        <v>887</v>
      </c>
      <c r="C96" s="164">
        <v>1.3873660000000001</v>
      </c>
      <c r="D96" s="164">
        <v>1.5061150000000001</v>
      </c>
      <c r="E96" s="164">
        <v>1.6128100000000001</v>
      </c>
      <c r="F96" s="164">
        <v>1.7258629999999999</v>
      </c>
      <c r="G96" s="164">
        <v>1.854373</v>
      </c>
      <c r="H96" s="164">
        <v>1.978618</v>
      </c>
      <c r="I96" s="164">
        <v>2.0982919999999998</v>
      </c>
      <c r="J96" s="164">
        <v>2.212968</v>
      </c>
      <c r="K96" s="164">
        <v>2.3225889999999998</v>
      </c>
      <c r="L96" s="164">
        <v>2.4248690000000002</v>
      </c>
      <c r="M96" s="164">
        <v>2.5281760000000002</v>
      </c>
      <c r="N96" s="164">
        <v>2.6335980000000001</v>
      </c>
      <c r="O96" s="164">
        <v>2.7414800000000001</v>
      </c>
      <c r="P96" s="164">
        <v>2.8521390000000002</v>
      </c>
      <c r="Q96" s="164">
        <v>2.9651719999999999</v>
      </c>
      <c r="R96" s="164">
        <v>3.081699</v>
      </c>
      <c r="S96" s="164">
        <v>3.2019039999999999</v>
      </c>
      <c r="T96" s="164">
        <v>3.3258559999999999</v>
      </c>
      <c r="U96" s="164">
        <v>3.4535149999999999</v>
      </c>
      <c r="V96" s="164">
        <v>3.585645</v>
      </c>
      <c r="W96" s="164">
        <v>3.7219479999999998</v>
      </c>
      <c r="X96" s="164">
        <v>3.8624550000000002</v>
      </c>
      <c r="Y96" s="164">
        <v>4.0071919999999999</v>
      </c>
      <c r="Z96" s="164">
        <v>4.1561370000000002</v>
      </c>
      <c r="AA96" s="164">
        <v>4.3064840000000002</v>
      </c>
      <c r="AB96" s="164">
        <v>4.4612210000000001</v>
      </c>
      <c r="AC96" s="164">
        <v>4.620444</v>
      </c>
      <c r="AD96" s="164">
        <v>4.7842510000000003</v>
      </c>
      <c r="AE96" s="164">
        <v>4.9525699999999997</v>
      </c>
      <c r="AF96" s="163">
        <v>4.6495000000000002E-2</v>
      </c>
      <c r="AG96" s="155"/>
    </row>
    <row r="97" spans="1:33">
      <c r="A97" s="153" t="s">
        <v>963</v>
      </c>
      <c r="B97" s="161" t="s">
        <v>964</v>
      </c>
      <c r="C97" s="164">
        <v>33.513634000000003</v>
      </c>
      <c r="D97" s="164">
        <v>33.773448999999999</v>
      </c>
      <c r="E97" s="164">
        <v>34.149569999999997</v>
      </c>
      <c r="F97" s="164">
        <v>34.646267000000002</v>
      </c>
      <c r="G97" s="164">
        <v>35.252239000000003</v>
      </c>
      <c r="H97" s="164">
        <v>35.867260000000002</v>
      </c>
      <c r="I97" s="164">
        <v>36.470672999999998</v>
      </c>
      <c r="J97" s="164">
        <v>37.055709999999998</v>
      </c>
      <c r="K97" s="164">
        <v>37.623618999999998</v>
      </c>
      <c r="L97" s="164">
        <v>38.206901999999999</v>
      </c>
      <c r="M97" s="164">
        <v>38.846012000000002</v>
      </c>
      <c r="N97" s="164">
        <v>39.518604000000003</v>
      </c>
      <c r="O97" s="164">
        <v>40.194561</v>
      </c>
      <c r="P97" s="164">
        <v>40.878718999999997</v>
      </c>
      <c r="Q97" s="164">
        <v>41.588965999999999</v>
      </c>
      <c r="R97" s="164">
        <v>42.324451000000003</v>
      </c>
      <c r="S97" s="164">
        <v>43.074202999999997</v>
      </c>
      <c r="T97" s="164">
        <v>43.833011999999997</v>
      </c>
      <c r="U97" s="164">
        <v>44.633330999999998</v>
      </c>
      <c r="V97" s="164">
        <v>45.438353999999997</v>
      </c>
      <c r="W97" s="164">
        <v>46.257075999999998</v>
      </c>
      <c r="X97" s="164">
        <v>47.090983999999999</v>
      </c>
      <c r="Y97" s="164">
        <v>47.922297999999998</v>
      </c>
      <c r="Z97" s="164">
        <v>48.749214000000002</v>
      </c>
      <c r="AA97" s="164">
        <v>49.580649999999999</v>
      </c>
      <c r="AB97" s="164">
        <v>50.435558</v>
      </c>
      <c r="AC97" s="164">
        <v>51.297688000000001</v>
      </c>
      <c r="AD97" s="164">
        <v>52.162868000000003</v>
      </c>
      <c r="AE97" s="164">
        <v>53.052937</v>
      </c>
      <c r="AF97" s="163">
        <v>1.6539999999999999E-2</v>
      </c>
      <c r="AG97" s="155"/>
    </row>
    <row r="98" spans="1:33">
      <c r="A98" s="153" t="s">
        <v>965</v>
      </c>
      <c r="B98" s="161" t="s">
        <v>966</v>
      </c>
      <c r="C98" s="164">
        <v>83.779938000000001</v>
      </c>
      <c r="D98" s="164">
        <v>88.081581</v>
      </c>
      <c r="E98" s="164">
        <v>92.329848999999996</v>
      </c>
      <c r="F98" s="164">
        <v>96.345687999999996</v>
      </c>
      <c r="G98" s="164">
        <v>100.232613</v>
      </c>
      <c r="H98" s="164">
        <v>103.880737</v>
      </c>
      <c r="I98" s="164">
        <v>107.291229</v>
      </c>
      <c r="J98" s="164">
        <v>110.497536</v>
      </c>
      <c r="K98" s="164">
        <v>113.531898</v>
      </c>
      <c r="L98" s="164">
        <v>116.474495</v>
      </c>
      <c r="M98" s="164">
        <v>119.445824</v>
      </c>
      <c r="N98" s="164">
        <v>122.439751</v>
      </c>
      <c r="O98" s="164">
        <v>125.398201</v>
      </c>
      <c r="P98" s="164">
        <v>128.33132900000001</v>
      </c>
      <c r="Q98" s="164">
        <v>131.305466</v>
      </c>
      <c r="R98" s="164">
        <v>134.33384699999999</v>
      </c>
      <c r="S98" s="164">
        <v>137.39012099999999</v>
      </c>
      <c r="T98" s="164">
        <v>140.47015400000001</v>
      </c>
      <c r="U98" s="164">
        <v>143.67131000000001</v>
      </c>
      <c r="V98" s="164">
        <v>146.899384</v>
      </c>
      <c r="W98" s="164">
        <v>150.17868000000001</v>
      </c>
      <c r="X98" s="164">
        <v>153.512833</v>
      </c>
      <c r="Y98" s="164">
        <v>156.85562100000001</v>
      </c>
      <c r="Z98" s="164">
        <v>160.203384</v>
      </c>
      <c r="AA98" s="164">
        <v>163.58116100000001</v>
      </c>
      <c r="AB98" s="164">
        <v>167.047256</v>
      </c>
      <c r="AC98" s="164">
        <v>170.56518600000001</v>
      </c>
      <c r="AD98" s="164">
        <v>174.13085899999999</v>
      </c>
      <c r="AE98" s="164">
        <v>177.808167</v>
      </c>
      <c r="AF98" s="163">
        <v>2.724E-2</v>
      </c>
      <c r="AG98" s="155"/>
    </row>
    <row r="99" spans="1:33">
      <c r="A99" s="153" t="s">
        <v>967</v>
      </c>
      <c r="B99" s="161" t="s">
        <v>945</v>
      </c>
      <c r="C99" s="164">
        <v>117.29357899999999</v>
      </c>
      <c r="D99" s="164">
        <v>121.855034</v>
      </c>
      <c r="E99" s="164">
        <v>126.47942399999999</v>
      </c>
      <c r="F99" s="164">
        <v>130.99195900000001</v>
      </c>
      <c r="G99" s="164">
        <v>135.48486299999999</v>
      </c>
      <c r="H99" s="164">
        <v>139.74797100000001</v>
      </c>
      <c r="I99" s="164">
        <v>143.76187100000001</v>
      </c>
      <c r="J99" s="164">
        <v>147.55323799999999</v>
      </c>
      <c r="K99" s="164">
        <v>151.155518</v>
      </c>
      <c r="L99" s="164">
        <v>154.681366</v>
      </c>
      <c r="M99" s="164">
        <v>158.29184000000001</v>
      </c>
      <c r="N99" s="164">
        <v>161.958313</v>
      </c>
      <c r="O99" s="164">
        <v>165.592758</v>
      </c>
      <c r="P99" s="164">
        <v>169.21006800000001</v>
      </c>
      <c r="Q99" s="164">
        <v>172.89442399999999</v>
      </c>
      <c r="R99" s="164">
        <v>176.65829500000001</v>
      </c>
      <c r="S99" s="164">
        <v>180.464325</v>
      </c>
      <c r="T99" s="164">
        <v>184.303146</v>
      </c>
      <c r="U99" s="164">
        <v>188.30465699999999</v>
      </c>
      <c r="V99" s="164">
        <v>192.337738</v>
      </c>
      <c r="W99" s="164">
        <v>196.43575999999999</v>
      </c>
      <c r="X99" s="164">
        <v>200.60380599999999</v>
      </c>
      <c r="Y99" s="164">
        <v>204.77795399999999</v>
      </c>
      <c r="Z99" s="164">
        <v>208.952606</v>
      </c>
      <c r="AA99" s="164">
        <v>213.16177400000001</v>
      </c>
      <c r="AB99" s="164">
        <v>217.48280299999999</v>
      </c>
      <c r="AC99" s="164">
        <v>221.86283900000001</v>
      </c>
      <c r="AD99" s="164">
        <v>226.29373200000001</v>
      </c>
      <c r="AE99" s="164">
        <v>230.86111500000001</v>
      </c>
      <c r="AF99" s="163">
        <v>2.4478E-2</v>
      </c>
      <c r="AG99" s="155"/>
    </row>
    <row r="100" spans="1:33">
      <c r="A100" s="148"/>
      <c r="B100" s="155"/>
      <c r="C100" s="155"/>
      <c r="D100" s="155"/>
      <c r="E100" s="155"/>
      <c r="F100" s="155"/>
      <c r="G100" s="155"/>
      <c r="H100" s="155"/>
      <c r="I100" s="155"/>
      <c r="J100" s="155"/>
      <c r="K100" s="155"/>
      <c r="L100" s="155"/>
      <c r="M100" s="155"/>
      <c r="N100" s="155"/>
      <c r="O100" s="155"/>
      <c r="P100" s="155"/>
      <c r="Q100" s="155"/>
      <c r="R100" s="155"/>
      <c r="S100" s="155"/>
      <c r="T100" s="155"/>
      <c r="U100" s="155"/>
      <c r="V100" s="155"/>
      <c r="W100" s="155"/>
      <c r="X100" s="155"/>
      <c r="Y100" s="155"/>
      <c r="Z100" s="155"/>
      <c r="AA100" s="155"/>
      <c r="AB100" s="155"/>
      <c r="AC100" s="155"/>
      <c r="AD100" s="155"/>
      <c r="AE100" s="155"/>
      <c r="AF100" s="155"/>
      <c r="AG100" s="155"/>
    </row>
    <row r="101" spans="1:33">
      <c r="A101" s="148"/>
      <c r="B101" s="158" t="s">
        <v>968</v>
      </c>
      <c r="C101" s="155"/>
      <c r="D101" s="155"/>
      <c r="E101" s="155"/>
      <c r="F101" s="155"/>
      <c r="G101" s="155"/>
      <c r="H101" s="155"/>
      <c r="I101" s="155"/>
      <c r="J101" s="155"/>
      <c r="K101" s="155"/>
      <c r="L101" s="155"/>
      <c r="M101" s="155"/>
      <c r="N101" s="155"/>
      <c r="O101" s="155"/>
      <c r="P101" s="155"/>
      <c r="Q101" s="155"/>
      <c r="R101" s="155"/>
      <c r="S101" s="155"/>
      <c r="T101" s="155"/>
      <c r="U101" s="155"/>
      <c r="V101" s="155"/>
      <c r="W101" s="155"/>
      <c r="X101" s="155"/>
      <c r="Y101" s="155"/>
      <c r="Z101" s="155"/>
      <c r="AA101" s="155"/>
      <c r="AB101" s="155"/>
      <c r="AC101" s="155"/>
      <c r="AD101" s="155"/>
      <c r="AE101" s="155"/>
      <c r="AF101" s="155"/>
      <c r="AG101" s="155"/>
    </row>
    <row r="102" spans="1:33">
      <c r="A102" s="153" t="s">
        <v>969</v>
      </c>
      <c r="B102" s="161" t="s">
        <v>970</v>
      </c>
      <c r="C102" s="164">
        <v>1173.034668</v>
      </c>
      <c r="D102" s="164">
        <v>1318.6945800000001</v>
      </c>
      <c r="E102" s="164">
        <v>1361.6110839999999</v>
      </c>
      <c r="F102" s="164">
        <v>1371.6551509999999</v>
      </c>
      <c r="G102" s="164">
        <v>1402.9279790000001</v>
      </c>
      <c r="H102" s="164">
        <v>1433.8398440000001</v>
      </c>
      <c r="I102" s="164">
        <v>1461.472168</v>
      </c>
      <c r="J102" s="164">
        <v>1484.8291019999999</v>
      </c>
      <c r="K102" s="164">
        <v>1504.2687989999999</v>
      </c>
      <c r="L102" s="164">
        <v>1524.7269289999999</v>
      </c>
      <c r="M102" s="164">
        <v>1552.256836</v>
      </c>
      <c r="N102" s="164">
        <v>1583.9248050000001</v>
      </c>
      <c r="O102" s="164">
        <v>1615.380249</v>
      </c>
      <c r="P102" s="164">
        <v>1647.3461910000001</v>
      </c>
      <c r="Q102" s="164">
        <v>1682.5896</v>
      </c>
      <c r="R102" s="164">
        <v>1721.046875</v>
      </c>
      <c r="S102" s="164">
        <v>1761.139038</v>
      </c>
      <c r="T102" s="164">
        <v>1801.9410399999999</v>
      </c>
      <c r="U102" s="164">
        <v>1848.0720209999999</v>
      </c>
      <c r="V102" s="164">
        <v>1894.2041019999999</v>
      </c>
      <c r="W102" s="164">
        <v>1941.463013</v>
      </c>
      <c r="X102" s="164">
        <v>1990.3642580000001</v>
      </c>
      <c r="Y102" s="164">
        <v>2038.4373780000001</v>
      </c>
      <c r="Z102" s="164">
        <v>2085.6875</v>
      </c>
      <c r="AA102" s="164">
        <v>2134.0048830000001</v>
      </c>
      <c r="AB102" s="164">
        <v>2185.8969729999999</v>
      </c>
      <c r="AC102" s="164">
        <v>2238.836182</v>
      </c>
      <c r="AD102" s="164">
        <v>2292.3554690000001</v>
      </c>
      <c r="AE102" s="164">
        <v>2350.2690429999998</v>
      </c>
      <c r="AF102" s="163">
        <v>2.513E-2</v>
      </c>
      <c r="AG102" s="155"/>
    </row>
    <row r="103" spans="1:33">
      <c r="A103" s="153" t="s">
        <v>971</v>
      </c>
      <c r="B103" s="161" t="s">
        <v>972</v>
      </c>
      <c r="C103" s="164">
        <v>771.93774399999995</v>
      </c>
      <c r="D103" s="164">
        <v>826.14868200000001</v>
      </c>
      <c r="E103" s="164">
        <v>834.42144800000005</v>
      </c>
      <c r="F103" s="164">
        <v>837.44964600000003</v>
      </c>
      <c r="G103" s="164">
        <v>855.71820100000002</v>
      </c>
      <c r="H103" s="164">
        <v>873.71917699999995</v>
      </c>
      <c r="I103" s="164">
        <v>889.59252900000001</v>
      </c>
      <c r="J103" s="164">
        <v>902.71167000000003</v>
      </c>
      <c r="K103" s="164">
        <v>913.31073000000004</v>
      </c>
      <c r="L103" s="164">
        <v>924.53289800000005</v>
      </c>
      <c r="M103" s="164">
        <v>940.21234100000004</v>
      </c>
      <c r="N103" s="164">
        <v>958.47662400000002</v>
      </c>
      <c r="O103" s="164">
        <v>976.56652799999995</v>
      </c>
      <c r="P103" s="164">
        <v>994.93957499999999</v>
      </c>
      <c r="Q103" s="164">
        <v>1015.342712</v>
      </c>
      <c r="R103" s="164">
        <v>1037.7301030000001</v>
      </c>
      <c r="S103" s="164">
        <v>1061.099976</v>
      </c>
      <c r="T103" s="164">
        <v>1084.865845</v>
      </c>
      <c r="U103" s="164">
        <v>1111.9262699999999</v>
      </c>
      <c r="V103" s="164">
        <v>1138.9233400000001</v>
      </c>
      <c r="W103" s="164">
        <v>1166.5638429999999</v>
      </c>
      <c r="X103" s="164">
        <v>1195.170044</v>
      </c>
      <c r="Y103" s="164">
        <v>1223.1854249999999</v>
      </c>
      <c r="Z103" s="164">
        <v>1250.6136469999999</v>
      </c>
      <c r="AA103" s="164">
        <v>1278.6414789999999</v>
      </c>
      <c r="AB103" s="164">
        <v>1308.838501</v>
      </c>
      <c r="AC103" s="164">
        <v>1339.61499</v>
      </c>
      <c r="AD103" s="164">
        <v>1370.6759030000001</v>
      </c>
      <c r="AE103" s="164">
        <v>1404.4072269999999</v>
      </c>
      <c r="AF103" s="163">
        <v>2.1604000000000002E-2</v>
      </c>
      <c r="AG103" s="155"/>
    </row>
    <row r="104" spans="1:33">
      <c r="A104" s="153" t="s">
        <v>973</v>
      </c>
      <c r="B104" s="161" t="s">
        <v>974</v>
      </c>
      <c r="C104" s="164">
        <v>291.44287100000003</v>
      </c>
      <c r="D104" s="164">
        <v>376.62927200000001</v>
      </c>
      <c r="E104" s="164">
        <v>410.72482300000001</v>
      </c>
      <c r="F104" s="164">
        <v>417.44140599999997</v>
      </c>
      <c r="G104" s="164">
        <v>427.931152</v>
      </c>
      <c r="H104" s="164">
        <v>438.36691300000001</v>
      </c>
      <c r="I104" s="164">
        <v>447.951843</v>
      </c>
      <c r="J104" s="164">
        <v>456.40588400000001</v>
      </c>
      <c r="K104" s="164">
        <v>463.81881700000002</v>
      </c>
      <c r="L104" s="164">
        <v>471.540344</v>
      </c>
      <c r="M104" s="164">
        <v>481.249573</v>
      </c>
      <c r="N104" s="164">
        <v>492.14892600000002</v>
      </c>
      <c r="O104" s="164">
        <v>503.03637700000002</v>
      </c>
      <c r="P104" s="164">
        <v>514.11279300000001</v>
      </c>
      <c r="Q104" s="164">
        <v>526.15240500000004</v>
      </c>
      <c r="R104" s="164">
        <v>539.14410399999997</v>
      </c>
      <c r="S104" s="164">
        <v>552.65191700000003</v>
      </c>
      <c r="T104" s="164">
        <v>566.41955600000006</v>
      </c>
      <c r="U104" s="164">
        <v>581.76110800000004</v>
      </c>
      <c r="V104" s="164">
        <v>597.17816200000004</v>
      </c>
      <c r="W104" s="164">
        <v>612.99054000000001</v>
      </c>
      <c r="X104" s="164">
        <v>629.34680200000003</v>
      </c>
      <c r="Y104" s="164">
        <v>645.55127000000005</v>
      </c>
      <c r="Z104" s="164">
        <v>661.60510299999999</v>
      </c>
      <c r="AA104" s="164">
        <v>678.04516599999999</v>
      </c>
      <c r="AB104" s="164">
        <v>695.58856200000002</v>
      </c>
      <c r="AC104" s="164">
        <v>713.52148399999999</v>
      </c>
      <c r="AD104" s="164">
        <v>731.71319600000004</v>
      </c>
      <c r="AE104" s="164">
        <v>751.25647000000004</v>
      </c>
      <c r="AF104" s="163">
        <v>3.4396000000000003E-2</v>
      </c>
      <c r="AG104" s="155"/>
    </row>
    <row r="105" spans="1:33">
      <c r="A105" s="153" t="s">
        <v>975</v>
      </c>
      <c r="B105" s="161" t="s">
        <v>976</v>
      </c>
      <c r="C105" s="164">
        <v>109.65400700000001</v>
      </c>
      <c r="D105" s="164">
        <v>115.916664</v>
      </c>
      <c r="E105" s="164">
        <v>116.46487399999999</v>
      </c>
      <c r="F105" s="164">
        <v>116.764183</v>
      </c>
      <c r="G105" s="164">
        <v>119.278656</v>
      </c>
      <c r="H105" s="164">
        <v>121.753967</v>
      </c>
      <c r="I105" s="164">
        <v>123.927666</v>
      </c>
      <c r="J105" s="164">
        <v>125.71165499999999</v>
      </c>
      <c r="K105" s="164">
        <v>127.139191</v>
      </c>
      <c r="L105" s="164">
        <v>128.65365600000001</v>
      </c>
      <c r="M105" s="164">
        <v>130.79510500000001</v>
      </c>
      <c r="N105" s="164">
        <v>133.299286</v>
      </c>
      <c r="O105" s="164">
        <v>135.77739</v>
      </c>
      <c r="P105" s="164">
        <v>138.29380800000001</v>
      </c>
      <c r="Q105" s="164">
        <v>141.09445199999999</v>
      </c>
      <c r="R105" s="164">
        <v>144.172653</v>
      </c>
      <c r="S105" s="164">
        <v>147.387192</v>
      </c>
      <c r="T105" s="164">
        <v>150.655472</v>
      </c>
      <c r="U105" s="164">
        <v>154.38471999999999</v>
      </c>
      <c r="V105" s="164">
        <v>158.1026</v>
      </c>
      <c r="W105" s="164">
        <v>161.908447</v>
      </c>
      <c r="X105" s="164">
        <v>165.847443</v>
      </c>
      <c r="Y105" s="164">
        <v>169.700684</v>
      </c>
      <c r="Z105" s="164">
        <v>173.46878100000001</v>
      </c>
      <c r="AA105" s="164">
        <v>177.318344</v>
      </c>
      <c r="AB105" s="164">
        <v>181.46984900000001</v>
      </c>
      <c r="AC105" s="164">
        <v>185.699783</v>
      </c>
      <c r="AD105" s="164">
        <v>189.96658300000001</v>
      </c>
      <c r="AE105" s="164">
        <v>194.60526999999999</v>
      </c>
      <c r="AF105" s="163">
        <v>2.0698999999999999E-2</v>
      </c>
      <c r="AG105" s="155"/>
    </row>
    <row r="106" spans="1:33">
      <c r="A106" s="153" t="s">
        <v>977</v>
      </c>
      <c r="B106" s="161" t="s">
        <v>978</v>
      </c>
      <c r="C106" s="164">
        <v>97.788550999999998</v>
      </c>
      <c r="D106" s="164">
        <v>116.537071</v>
      </c>
      <c r="E106" s="164">
        <v>129.851135</v>
      </c>
      <c r="F106" s="164">
        <v>138.94378699999999</v>
      </c>
      <c r="G106" s="164">
        <v>146.62851000000001</v>
      </c>
      <c r="H106" s="164">
        <v>153.51113900000001</v>
      </c>
      <c r="I106" s="164">
        <v>156.930206</v>
      </c>
      <c r="J106" s="164">
        <v>160.421234</v>
      </c>
      <c r="K106" s="164">
        <v>163.97563199999999</v>
      </c>
      <c r="L106" s="164">
        <v>167.596069</v>
      </c>
      <c r="M106" s="164">
        <v>171.27801500000001</v>
      </c>
      <c r="N106" s="164">
        <v>175.01597599999999</v>
      </c>
      <c r="O106" s="164">
        <v>178.81019599999999</v>
      </c>
      <c r="P106" s="164">
        <v>182.661438</v>
      </c>
      <c r="Q106" s="164">
        <v>186.56987000000001</v>
      </c>
      <c r="R106" s="164">
        <v>190.536957</v>
      </c>
      <c r="S106" s="164">
        <v>194.563095</v>
      </c>
      <c r="T106" s="164">
        <v>198.65008499999999</v>
      </c>
      <c r="U106" s="164">
        <v>202.795197</v>
      </c>
      <c r="V106" s="164">
        <v>207.00029000000001</v>
      </c>
      <c r="W106" s="164">
        <v>211.267471</v>
      </c>
      <c r="X106" s="164">
        <v>215.59639000000001</v>
      </c>
      <c r="Y106" s="164">
        <v>219.99505600000001</v>
      </c>
      <c r="Z106" s="164">
        <v>224.46772799999999</v>
      </c>
      <c r="AA106" s="164">
        <v>229.01632699999999</v>
      </c>
      <c r="AB106" s="164">
        <v>233.64376799999999</v>
      </c>
      <c r="AC106" s="164">
        <v>238.35256999999999</v>
      </c>
      <c r="AD106" s="164">
        <v>243.14686599999999</v>
      </c>
      <c r="AE106" s="164">
        <v>248.029572</v>
      </c>
      <c r="AF106" s="163">
        <v>3.3799000000000003E-2</v>
      </c>
      <c r="AG106" s="155"/>
    </row>
    <row r="107" spans="1:33">
      <c r="A107" s="153" t="s">
        <v>979</v>
      </c>
      <c r="B107" s="161" t="s">
        <v>972</v>
      </c>
      <c r="C107" s="164">
        <v>46.483733999999998</v>
      </c>
      <c r="D107" s="164">
        <v>52.576613999999999</v>
      </c>
      <c r="E107" s="164">
        <v>56.012763999999997</v>
      </c>
      <c r="F107" s="164">
        <v>58.483322000000001</v>
      </c>
      <c r="G107" s="164">
        <v>60.800694</v>
      </c>
      <c r="H107" s="164">
        <v>62.895470000000003</v>
      </c>
      <c r="I107" s="164">
        <v>64.119736000000003</v>
      </c>
      <c r="J107" s="164">
        <v>65.371596999999994</v>
      </c>
      <c r="K107" s="164">
        <v>66.645554000000004</v>
      </c>
      <c r="L107" s="164">
        <v>67.943336000000002</v>
      </c>
      <c r="M107" s="164">
        <v>69.261993000000004</v>
      </c>
      <c r="N107" s="164">
        <v>70.597969000000006</v>
      </c>
      <c r="O107" s="164">
        <v>71.951194999999998</v>
      </c>
      <c r="P107" s="164">
        <v>73.321762000000007</v>
      </c>
      <c r="Q107" s="164">
        <v>74.709625000000003</v>
      </c>
      <c r="R107" s="164">
        <v>76.115097000000006</v>
      </c>
      <c r="S107" s="164">
        <v>77.538216000000006</v>
      </c>
      <c r="T107" s="164">
        <v>78.979500000000002</v>
      </c>
      <c r="U107" s="164">
        <v>80.436768000000001</v>
      </c>
      <c r="V107" s="164">
        <v>81.911124999999998</v>
      </c>
      <c r="W107" s="164">
        <v>83.403251999999995</v>
      </c>
      <c r="X107" s="164">
        <v>84.912941000000004</v>
      </c>
      <c r="Y107" s="164">
        <v>86.442954999999998</v>
      </c>
      <c r="Z107" s="164">
        <v>87.994750999999994</v>
      </c>
      <c r="AA107" s="164">
        <v>89.568877999999998</v>
      </c>
      <c r="AB107" s="164">
        <v>91.166283000000007</v>
      </c>
      <c r="AC107" s="164">
        <v>92.787719999999993</v>
      </c>
      <c r="AD107" s="164">
        <v>94.434532000000004</v>
      </c>
      <c r="AE107" s="164">
        <v>96.107642999999996</v>
      </c>
      <c r="AF107" s="163">
        <v>2.6280999999999999E-2</v>
      </c>
      <c r="AG107" s="155"/>
    </row>
    <row r="108" spans="1:33">
      <c r="A108" s="153" t="s">
        <v>980</v>
      </c>
      <c r="B108" s="161" t="s">
        <v>974</v>
      </c>
      <c r="C108" s="164">
        <v>44.320006999999997</v>
      </c>
      <c r="D108" s="164">
        <v>56.016773000000001</v>
      </c>
      <c r="E108" s="164">
        <v>65.242180000000005</v>
      </c>
      <c r="F108" s="164">
        <v>71.493279000000001</v>
      </c>
      <c r="G108" s="164">
        <v>76.510611999999995</v>
      </c>
      <c r="H108" s="164">
        <v>80.981887999999998</v>
      </c>
      <c r="I108" s="164">
        <v>82.990195999999997</v>
      </c>
      <c r="J108" s="164">
        <v>85.038689000000005</v>
      </c>
      <c r="K108" s="164">
        <v>87.125076000000007</v>
      </c>
      <c r="L108" s="164">
        <v>89.250031000000007</v>
      </c>
      <c r="M108" s="164">
        <v>91.412482999999995</v>
      </c>
      <c r="N108" s="164">
        <v>93.610962000000001</v>
      </c>
      <c r="O108" s="164">
        <v>95.845900999999998</v>
      </c>
      <c r="P108" s="164">
        <v>98.117858999999996</v>
      </c>
      <c r="Q108" s="164">
        <v>100.427132</v>
      </c>
      <c r="R108" s="164">
        <v>102.77475</v>
      </c>
      <c r="S108" s="164">
        <v>105.161118</v>
      </c>
      <c r="T108" s="164">
        <v>107.58744</v>
      </c>
      <c r="U108" s="164">
        <v>110.053513</v>
      </c>
      <c r="V108" s="164">
        <v>112.55989099999999</v>
      </c>
      <c r="W108" s="164">
        <v>115.107895</v>
      </c>
      <c r="X108" s="164">
        <v>117.697464</v>
      </c>
      <c r="Y108" s="164">
        <v>120.33337400000001</v>
      </c>
      <c r="Z108" s="164">
        <v>123.01821099999999</v>
      </c>
      <c r="AA108" s="164">
        <v>125.753281</v>
      </c>
      <c r="AB108" s="164">
        <v>128.54042100000001</v>
      </c>
      <c r="AC108" s="164">
        <v>131.38125600000001</v>
      </c>
      <c r="AD108" s="164">
        <v>134.27836600000001</v>
      </c>
      <c r="AE108" s="164">
        <v>137.233643</v>
      </c>
      <c r="AF108" s="163">
        <v>4.1191999999999999E-2</v>
      </c>
      <c r="AG108" s="155"/>
    </row>
    <row r="109" spans="1:33">
      <c r="A109" s="153" t="s">
        <v>981</v>
      </c>
      <c r="B109" s="161" t="s">
        <v>976</v>
      </c>
      <c r="C109" s="164">
        <v>6.9848179999999997</v>
      </c>
      <c r="D109" s="164">
        <v>7.9436809999999998</v>
      </c>
      <c r="E109" s="164">
        <v>8.5961859999999994</v>
      </c>
      <c r="F109" s="164">
        <v>8.9671769999999995</v>
      </c>
      <c r="G109" s="164">
        <v>9.3172130000000006</v>
      </c>
      <c r="H109" s="164">
        <v>9.6337810000000008</v>
      </c>
      <c r="I109" s="164">
        <v>9.8202590000000001</v>
      </c>
      <c r="J109" s="164">
        <v>10.010951</v>
      </c>
      <c r="K109" s="164">
        <v>10.205007999999999</v>
      </c>
      <c r="L109" s="164">
        <v>10.402691000000001</v>
      </c>
      <c r="M109" s="164">
        <v>10.603547000000001</v>
      </c>
      <c r="N109" s="164">
        <v>10.807024</v>
      </c>
      <c r="O109" s="164">
        <v>11.013108000000001</v>
      </c>
      <c r="P109" s="164">
        <v>11.221814</v>
      </c>
      <c r="Q109" s="164">
        <v>11.433130999999999</v>
      </c>
      <c r="R109" s="164">
        <v>11.647105</v>
      </c>
      <c r="S109" s="164">
        <v>11.863749</v>
      </c>
      <c r="T109" s="164">
        <v>12.083130000000001</v>
      </c>
      <c r="U109" s="164">
        <v>12.304914999999999</v>
      </c>
      <c r="V109" s="164">
        <v>12.529273999999999</v>
      </c>
      <c r="W109" s="164">
        <v>12.756309</v>
      </c>
      <c r="X109" s="164">
        <v>12.985987</v>
      </c>
      <c r="Y109" s="164">
        <v>13.218731</v>
      </c>
      <c r="Z109" s="164">
        <v>13.45476</v>
      </c>
      <c r="AA109" s="164">
        <v>13.694159000000001</v>
      </c>
      <c r="AB109" s="164">
        <v>13.937068</v>
      </c>
      <c r="AC109" s="164">
        <v>14.183602</v>
      </c>
      <c r="AD109" s="164">
        <v>14.433968999999999</v>
      </c>
      <c r="AE109" s="164">
        <v>14.688302999999999</v>
      </c>
      <c r="AF109" s="163">
        <v>2.6901999999999999E-2</v>
      </c>
      <c r="AG109" s="155"/>
    </row>
    <row r="110" spans="1:33">
      <c r="A110" s="153" t="s">
        <v>982</v>
      </c>
      <c r="B110" s="161" t="s">
        <v>983</v>
      </c>
      <c r="C110" s="164">
        <v>99.841224999999994</v>
      </c>
      <c r="D110" s="164">
        <v>121.38716100000001</v>
      </c>
      <c r="E110" s="164">
        <v>140.14009100000001</v>
      </c>
      <c r="F110" s="164">
        <v>151.262756</v>
      </c>
      <c r="G110" s="164">
        <v>161.67996199999999</v>
      </c>
      <c r="H110" s="164">
        <v>169.41802999999999</v>
      </c>
      <c r="I110" s="164">
        <v>176.163284</v>
      </c>
      <c r="J110" s="164">
        <v>182.32843</v>
      </c>
      <c r="K110" s="164">
        <v>188.683502</v>
      </c>
      <c r="L110" s="164">
        <v>195.21624800000001</v>
      </c>
      <c r="M110" s="164">
        <v>201.96676600000001</v>
      </c>
      <c r="N110" s="164">
        <v>208.904144</v>
      </c>
      <c r="O110" s="164">
        <v>216.03270000000001</v>
      </c>
      <c r="P110" s="164">
        <v>223.35351600000001</v>
      </c>
      <c r="Q110" s="164">
        <v>230.84750399999999</v>
      </c>
      <c r="R110" s="164">
        <v>238.536697</v>
      </c>
      <c r="S110" s="164">
        <v>246.42671200000001</v>
      </c>
      <c r="T110" s="164">
        <v>254.52114900000001</v>
      </c>
      <c r="U110" s="164">
        <v>262.81677200000001</v>
      </c>
      <c r="V110" s="164">
        <v>271.26284800000002</v>
      </c>
      <c r="W110" s="164">
        <v>279.914154</v>
      </c>
      <c r="X110" s="164">
        <v>288.77542099999999</v>
      </c>
      <c r="Y110" s="164">
        <v>297.85025000000002</v>
      </c>
      <c r="Z110" s="164">
        <v>307.14016700000002</v>
      </c>
      <c r="AA110" s="164">
        <v>316.583099</v>
      </c>
      <c r="AB110" s="164">
        <v>326.23324600000001</v>
      </c>
      <c r="AC110" s="164">
        <v>336.11285400000003</v>
      </c>
      <c r="AD110" s="164">
        <v>346.24740600000001</v>
      </c>
      <c r="AE110" s="164">
        <v>356.65838600000001</v>
      </c>
      <c r="AF110" s="163">
        <v>4.6521E-2</v>
      </c>
      <c r="AG110" s="155"/>
    </row>
    <row r="111" spans="1:33">
      <c r="A111" s="153" t="s">
        <v>984</v>
      </c>
      <c r="B111" s="161" t="s">
        <v>972</v>
      </c>
      <c r="C111" s="164">
        <v>69.764510999999999</v>
      </c>
      <c r="D111" s="164">
        <v>84.004554999999996</v>
      </c>
      <c r="E111" s="164">
        <v>96.466919000000004</v>
      </c>
      <c r="F111" s="164">
        <v>103.140091</v>
      </c>
      <c r="G111" s="164">
        <v>109.625092</v>
      </c>
      <c r="H111" s="164">
        <v>114.665237</v>
      </c>
      <c r="I111" s="164">
        <v>119.181656</v>
      </c>
      <c r="J111" s="164">
        <v>123.406693</v>
      </c>
      <c r="K111" s="164">
        <v>127.766006</v>
      </c>
      <c r="L111" s="164">
        <v>132.25155599999999</v>
      </c>
      <c r="M111" s="164">
        <v>136.891357</v>
      </c>
      <c r="N111" s="164">
        <v>141.66313199999999</v>
      </c>
      <c r="O111" s="164">
        <v>146.57012900000001</v>
      </c>
      <c r="P111" s="164">
        <v>151.61326600000001</v>
      </c>
      <c r="Q111" s="164">
        <v>156.778717</v>
      </c>
      <c r="R111" s="164">
        <v>162.08247399999999</v>
      </c>
      <c r="S111" s="164">
        <v>167.52858000000001</v>
      </c>
      <c r="T111" s="164">
        <v>173.11968999999999</v>
      </c>
      <c r="U111" s="164">
        <v>178.852982</v>
      </c>
      <c r="V111" s="164">
        <v>184.691833</v>
      </c>
      <c r="W111" s="164">
        <v>190.676163</v>
      </c>
      <c r="X111" s="164">
        <v>196.80931100000001</v>
      </c>
      <c r="Y111" s="164">
        <v>203.09402499999999</v>
      </c>
      <c r="Z111" s="164">
        <v>209.53149400000001</v>
      </c>
      <c r="AA111" s="164">
        <v>216.077438</v>
      </c>
      <c r="AB111" s="164">
        <v>222.77117899999999</v>
      </c>
      <c r="AC111" s="164">
        <v>229.627655</v>
      </c>
      <c r="AD111" s="164">
        <v>236.664062</v>
      </c>
      <c r="AE111" s="164">
        <v>243.894913</v>
      </c>
      <c r="AF111" s="163">
        <v>4.5713999999999998E-2</v>
      </c>
      <c r="AG111" s="155"/>
    </row>
    <row r="112" spans="1:33">
      <c r="A112" s="153" t="s">
        <v>985</v>
      </c>
      <c r="B112" s="161" t="s">
        <v>974</v>
      </c>
      <c r="C112" s="164">
        <v>22.082386</v>
      </c>
      <c r="D112" s="164">
        <v>27.943691000000001</v>
      </c>
      <c r="E112" s="164">
        <v>32.981406999999997</v>
      </c>
      <c r="F112" s="164">
        <v>36.874682999999997</v>
      </c>
      <c r="G112" s="164">
        <v>40.216048999999998</v>
      </c>
      <c r="H112" s="164">
        <v>42.408810000000003</v>
      </c>
      <c r="I112" s="164">
        <v>44.160705999999998</v>
      </c>
      <c r="J112" s="164">
        <v>45.636051000000002</v>
      </c>
      <c r="K112" s="164">
        <v>47.151519999999998</v>
      </c>
      <c r="L112" s="164">
        <v>48.703654999999998</v>
      </c>
      <c r="M112" s="164">
        <v>50.301430000000003</v>
      </c>
      <c r="N112" s="164">
        <v>51.938842999999999</v>
      </c>
      <c r="O112" s="164">
        <v>53.616570000000003</v>
      </c>
      <c r="P112" s="164">
        <v>55.334595</v>
      </c>
      <c r="Q112" s="164">
        <v>57.089325000000002</v>
      </c>
      <c r="R112" s="164">
        <v>58.884922000000003</v>
      </c>
      <c r="S112" s="164">
        <v>60.722434999999997</v>
      </c>
      <c r="T112" s="164">
        <v>62.602508999999998</v>
      </c>
      <c r="U112" s="164">
        <v>64.525108000000003</v>
      </c>
      <c r="V112" s="164">
        <v>66.480514999999997</v>
      </c>
      <c r="W112" s="164">
        <v>68.478851000000006</v>
      </c>
      <c r="X112" s="164">
        <v>70.520927</v>
      </c>
      <c r="Y112" s="164">
        <v>72.607429999999994</v>
      </c>
      <c r="Z112" s="164">
        <v>74.738403000000005</v>
      </c>
      <c r="AA112" s="164">
        <v>76.901359999999997</v>
      </c>
      <c r="AB112" s="164">
        <v>79.106399999999994</v>
      </c>
      <c r="AC112" s="164">
        <v>81.359183999999999</v>
      </c>
      <c r="AD112" s="164">
        <v>83.666259999999994</v>
      </c>
      <c r="AE112" s="164">
        <v>86.032966999999999</v>
      </c>
      <c r="AF112" s="163">
        <v>4.9768E-2</v>
      </c>
      <c r="AG112" s="155"/>
    </row>
    <row r="113" spans="1:33">
      <c r="A113" s="153" t="s">
        <v>986</v>
      </c>
      <c r="B113" s="161" t="s">
        <v>976</v>
      </c>
      <c r="C113" s="164">
        <v>7.9943369999999998</v>
      </c>
      <c r="D113" s="164">
        <v>9.4389260000000004</v>
      </c>
      <c r="E113" s="164">
        <v>10.691757000000001</v>
      </c>
      <c r="F113" s="164">
        <v>11.247966999999999</v>
      </c>
      <c r="G113" s="164">
        <v>11.838803</v>
      </c>
      <c r="H113" s="164">
        <v>12.343989000000001</v>
      </c>
      <c r="I113" s="164">
        <v>12.820919</v>
      </c>
      <c r="J113" s="164">
        <v>13.285686999999999</v>
      </c>
      <c r="K113" s="164">
        <v>13.765993</v>
      </c>
      <c r="L113" s="164">
        <v>14.261029000000001</v>
      </c>
      <c r="M113" s="164">
        <v>14.773972000000001</v>
      </c>
      <c r="N113" s="164">
        <v>15.302161999999999</v>
      </c>
      <c r="O113" s="164">
        <v>15.846017</v>
      </c>
      <c r="P113" s="164">
        <v>16.405667999999999</v>
      </c>
      <c r="Q113" s="164">
        <v>16.97946</v>
      </c>
      <c r="R113" s="164">
        <v>17.569309000000001</v>
      </c>
      <c r="S113" s="164">
        <v>18.175705000000001</v>
      </c>
      <c r="T113" s="164">
        <v>18.798973</v>
      </c>
      <c r="U113" s="164">
        <v>19.438686000000001</v>
      </c>
      <c r="V113" s="164">
        <v>20.090475000000001</v>
      </c>
      <c r="W113" s="164">
        <v>20.759160999999999</v>
      </c>
      <c r="X113" s="164">
        <v>21.445156000000001</v>
      </c>
      <c r="Y113" s="164">
        <v>22.148788</v>
      </c>
      <c r="Z113" s="164">
        <v>22.870235000000001</v>
      </c>
      <c r="AA113" s="164">
        <v>23.604284</v>
      </c>
      <c r="AB113" s="164">
        <v>24.355677</v>
      </c>
      <c r="AC113" s="164">
        <v>25.126003000000001</v>
      </c>
      <c r="AD113" s="164">
        <v>25.917096999999998</v>
      </c>
      <c r="AE113" s="164">
        <v>26.730518</v>
      </c>
      <c r="AF113" s="163">
        <v>4.4052000000000001E-2</v>
      </c>
      <c r="AG113" s="155"/>
    </row>
    <row r="114" spans="1:33">
      <c r="A114" s="153" t="s">
        <v>987</v>
      </c>
      <c r="B114" s="161" t="s">
        <v>988</v>
      </c>
      <c r="C114" s="164">
        <v>877.59985400000005</v>
      </c>
      <c r="D114" s="164">
        <v>1119.4864500000001</v>
      </c>
      <c r="E114" s="164">
        <v>1274.9530030000001</v>
      </c>
      <c r="F114" s="164">
        <v>1333.865112</v>
      </c>
      <c r="G114" s="164">
        <v>1422.423706</v>
      </c>
      <c r="H114" s="164">
        <v>1452.9285890000001</v>
      </c>
      <c r="I114" s="164">
        <v>1483.7619629999999</v>
      </c>
      <c r="J114" s="164">
        <v>1515.0489500000001</v>
      </c>
      <c r="K114" s="164">
        <v>1546.865112</v>
      </c>
      <c r="L114" s="164">
        <v>1579.2467039999999</v>
      </c>
      <c r="M114" s="164">
        <v>1612.2222899999999</v>
      </c>
      <c r="N114" s="164">
        <v>1645.8079829999999</v>
      </c>
      <c r="O114" s="164">
        <v>1679.958496</v>
      </c>
      <c r="P114" s="164">
        <v>1714.6062010000001</v>
      </c>
      <c r="Q114" s="164">
        <v>1749.828857</v>
      </c>
      <c r="R114" s="164">
        <v>1785.697144</v>
      </c>
      <c r="S114" s="164">
        <v>1822.179932</v>
      </c>
      <c r="T114" s="164">
        <v>1859.2739260000001</v>
      </c>
      <c r="U114" s="164">
        <v>1897.0032960000001</v>
      </c>
      <c r="V114" s="164">
        <v>1935.334351</v>
      </c>
      <c r="W114" s="164">
        <v>1974.259033</v>
      </c>
      <c r="X114" s="164">
        <v>2013.7669679999999</v>
      </c>
      <c r="Y114" s="164">
        <v>2053.8469239999999</v>
      </c>
      <c r="Z114" s="164">
        <v>2094.4934079999998</v>
      </c>
      <c r="AA114" s="164">
        <v>2135.6967770000001</v>
      </c>
      <c r="AB114" s="164">
        <v>2177.4594729999999</v>
      </c>
      <c r="AC114" s="164">
        <v>2219.830078</v>
      </c>
      <c r="AD114" s="164">
        <v>2262.873047</v>
      </c>
      <c r="AE114" s="164">
        <v>2306.6342770000001</v>
      </c>
      <c r="AF114" s="163">
        <v>3.5115E-2</v>
      </c>
      <c r="AG114" s="155"/>
    </row>
    <row r="115" spans="1:33">
      <c r="A115" s="153" t="s">
        <v>989</v>
      </c>
      <c r="B115" s="161" t="s">
        <v>972</v>
      </c>
      <c r="C115" s="164">
        <v>457.99380500000001</v>
      </c>
      <c r="D115" s="164">
        <v>580.28509499999996</v>
      </c>
      <c r="E115" s="164">
        <v>654.986267</v>
      </c>
      <c r="F115" s="164">
        <v>680.76531999999997</v>
      </c>
      <c r="G115" s="164">
        <v>711.43078600000001</v>
      </c>
      <c r="H115" s="164">
        <v>727.30053699999996</v>
      </c>
      <c r="I115" s="164">
        <v>743.324524</v>
      </c>
      <c r="J115" s="164">
        <v>759.58312999999998</v>
      </c>
      <c r="K115" s="164">
        <v>776.12072799999999</v>
      </c>
      <c r="L115" s="164">
        <v>792.95568800000001</v>
      </c>
      <c r="M115" s="164">
        <v>810.10845900000004</v>
      </c>
      <c r="N115" s="164">
        <v>827.59625200000005</v>
      </c>
      <c r="O115" s="164">
        <v>845.394409</v>
      </c>
      <c r="P115" s="164">
        <v>863.46362299999998</v>
      </c>
      <c r="Q115" s="164">
        <v>881.85449200000005</v>
      </c>
      <c r="R115" s="164">
        <v>900.60906999999997</v>
      </c>
      <c r="S115" s="164">
        <v>919.70696999999996</v>
      </c>
      <c r="T115" s="164">
        <v>939.14758300000005</v>
      </c>
      <c r="U115" s="164">
        <v>958.95074499999998</v>
      </c>
      <c r="V115" s="164">
        <v>979.09222399999999</v>
      </c>
      <c r="W115" s="164">
        <v>999.56774900000005</v>
      </c>
      <c r="X115" s="164">
        <v>1020.372314</v>
      </c>
      <c r="Y115" s="164">
        <v>1041.499268</v>
      </c>
      <c r="Z115" s="164">
        <v>1062.9472659999999</v>
      </c>
      <c r="AA115" s="164">
        <v>1084.717163</v>
      </c>
      <c r="AB115" s="164">
        <v>1106.8122559999999</v>
      </c>
      <c r="AC115" s="164">
        <v>1129.258789</v>
      </c>
      <c r="AD115" s="164">
        <v>1152.091797</v>
      </c>
      <c r="AE115" s="164">
        <v>1175.3342290000001</v>
      </c>
      <c r="AF115" s="163">
        <v>3.4231999999999999E-2</v>
      </c>
      <c r="AG115" s="155"/>
    </row>
    <row r="116" spans="1:33">
      <c r="A116" s="153" t="s">
        <v>990</v>
      </c>
      <c r="B116" s="161" t="s">
        <v>974</v>
      </c>
      <c r="C116" s="164">
        <v>384.73519900000002</v>
      </c>
      <c r="D116" s="164">
        <v>494.32092299999999</v>
      </c>
      <c r="E116" s="164">
        <v>568.28112799999997</v>
      </c>
      <c r="F116" s="164">
        <v>599.45251499999995</v>
      </c>
      <c r="G116" s="164">
        <v>655.16479500000003</v>
      </c>
      <c r="H116" s="164">
        <v>668.54449499999998</v>
      </c>
      <c r="I116" s="164">
        <v>682.08648700000003</v>
      </c>
      <c r="J116" s="164">
        <v>695.82885699999997</v>
      </c>
      <c r="K116" s="164">
        <v>709.79925500000002</v>
      </c>
      <c r="L116" s="164">
        <v>724.01422100000002</v>
      </c>
      <c r="M116" s="164">
        <v>738.48004200000003</v>
      </c>
      <c r="N116" s="164">
        <v>753.19427499999995</v>
      </c>
      <c r="O116" s="164">
        <v>768.13793899999996</v>
      </c>
      <c r="P116" s="164">
        <v>783.28631600000006</v>
      </c>
      <c r="Q116" s="164">
        <v>798.66192599999999</v>
      </c>
      <c r="R116" s="164">
        <v>814.29058799999996</v>
      </c>
      <c r="S116" s="164">
        <v>830.162598</v>
      </c>
      <c r="T116" s="164">
        <v>846.27569600000004</v>
      </c>
      <c r="U116" s="164">
        <v>862.63250700000003</v>
      </c>
      <c r="V116" s="164">
        <v>879.22540300000003</v>
      </c>
      <c r="W116" s="164">
        <v>896.05114700000001</v>
      </c>
      <c r="X116" s="164">
        <v>913.104736</v>
      </c>
      <c r="Y116" s="164">
        <v>930.38195800000005</v>
      </c>
      <c r="Z116" s="164">
        <v>947.878601</v>
      </c>
      <c r="AA116" s="164">
        <v>965.584473</v>
      </c>
      <c r="AB116" s="164">
        <v>983.49823000000004</v>
      </c>
      <c r="AC116" s="164">
        <v>1001.6401980000001</v>
      </c>
      <c r="AD116" s="164">
        <v>1020.036865</v>
      </c>
      <c r="AE116" s="164">
        <v>1038.7089840000001</v>
      </c>
      <c r="AF116" s="163">
        <v>3.6107E-2</v>
      </c>
      <c r="AG116" s="155"/>
    </row>
    <row r="117" spans="1:33" ht="15" customHeight="1">
      <c r="A117" s="153" t="s">
        <v>991</v>
      </c>
      <c r="B117" s="161" t="s">
        <v>976</v>
      </c>
      <c r="C117" s="165">
        <v>34.870902999999998</v>
      </c>
      <c r="D117" s="165">
        <v>44.880547</v>
      </c>
      <c r="E117" s="165">
        <v>51.685589</v>
      </c>
      <c r="F117" s="165">
        <v>53.647475999999997</v>
      </c>
      <c r="G117" s="165">
        <v>55.828116999999999</v>
      </c>
      <c r="H117" s="165">
        <v>57.083621999999998</v>
      </c>
      <c r="I117" s="165">
        <v>58.351047999999999</v>
      </c>
      <c r="J117" s="165">
        <v>59.637023999999997</v>
      </c>
      <c r="K117" s="165">
        <v>60.945126000000002</v>
      </c>
      <c r="L117" s="165">
        <v>62.276809999999998</v>
      </c>
      <c r="M117" s="165">
        <v>63.633769999999998</v>
      </c>
      <c r="N117" s="165">
        <v>65.017516999999998</v>
      </c>
      <c r="O117" s="165">
        <v>66.426085999999998</v>
      </c>
      <c r="P117" s="165">
        <v>67.856292999999994</v>
      </c>
      <c r="Q117" s="165">
        <v>69.312302000000003</v>
      </c>
      <c r="R117" s="165">
        <v>70.797531000000006</v>
      </c>
      <c r="S117" s="165">
        <v>72.310294999999996</v>
      </c>
      <c r="T117" s="165">
        <v>73.850562999999994</v>
      </c>
      <c r="U117" s="165">
        <v>75.420029</v>
      </c>
      <c r="V117" s="165">
        <v>77.016670000000005</v>
      </c>
      <c r="W117" s="165">
        <v>78.640129000000002</v>
      </c>
      <c r="X117" s="165">
        <v>80.290030999999999</v>
      </c>
      <c r="Y117" s="165">
        <v>81.965835999999996</v>
      </c>
      <c r="Z117" s="165">
        <v>83.667450000000002</v>
      </c>
      <c r="AA117" s="165">
        <v>85.395065000000002</v>
      </c>
      <c r="AB117" s="165">
        <v>87.148910999999998</v>
      </c>
      <c r="AC117" s="165">
        <v>88.931160000000006</v>
      </c>
      <c r="AD117" s="165">
        <v>90.744545000000002</v>
      </c>
      <c r="AE117" s="165">
        <v>92.590896999999998</v>
      </c>
      <c r="AF117" s="166">
        <v>3.5492000000000003E-2</v>
      </c>
      <c r="AG117" s="155"/>
    </row>
    <row r="118" spans="1:33">
      <c r="A118" s="153" t="s">
        <v>992</v>
      </c>
      <c r="B118" s="161" t="s">
        <v>993</v>
      </c>
      <c r="C118" s="164">
        <v>101.69902</v>
      </c>
      <c r="D118" s="164">
        <v>148.23710600000001</v>
      </c>
      <c r="E118" s="164">
        <v>171.55920399999999</v>
      </c>
      <c r="F118" s="164">
        <v>184.58833300000001</v>
      </c>
      <c r="G118" s="164">
        <v>200.47425799999999</v>
      </c>
      <c r="H118" s="164">
        <v>210.807739</v>
      </c>
      <c r="I118" s="164">
        <v>220.13314800000001</v>
      </c>
      <c r="J118" s="164">
        <v>221.292801</v>
      </c>
      <c r="K118" s="164">
        <v>222.20796200000001</v>
      </c>
      <c r="L118" s="164">
        <v>222.935303</v>
      </c>
      <c r="M118" s="164">
        <v>223.57605000000001</v>
      </c>
      <c r="N118" s="164">
        <v>224.21723900000001</v>
      </c>
      <c r="O118" s="164">
        <v>224.86488299999999</v>
      </c>
      <c r="P118" s="164">
        <v>225.51828</v>
      </c>
      <c r="Q118" s="164">
        <v>226.176514</v>
      </c>
      <c r="R118" s="164">
        <v>226.83900499999999</v>
      </c>
      <c r="S118" s="164">
        <v>227.50564600000001</v>
      </c>
      <c r="T118" s="164">
        <v>228.174622</v>
      </c>
      <c r="U118" s="164">
        <v>228.840012</v>
      </c>
      <c r="V118" s="164">
        <v>229.505966</v>
      </c>
      <c r="W118" s="164">
        <v>230.17013499999999</v>
      </c>
      <c r="X118" s="164">
        <v>230.83374000000001</v>
      </c>
      <c r="Y118" s="164">
        <v>231.507385</v>
      </c>
      <c r="Z118" s="164">
        <v>232.219131</v>
      </c>
      <c r="AA118" s="164">
        <v>232.98898299999999</v>
      </c>
      <c r="AB118" s="164">
        <v>233.82221999999999</v>
      </c>
      <c r="AC118" s="164">
        <v>234.71961999999999</v>
      </c>
      <c r="AD118" s="164">
        <v>235.681839</v>
      </c>
      <c r="AE118" s="164">
        <v>236.708923</v>
      </c>
      <c r="AF118" s="163">
        <v>3.0632E-2</v>
      </c>
      <c r="AG118" s="155"/>
    </row>
    <row r="119" spans="1:33">
      <c r="A119" s="153" t="s">
        <v>994</v>
      </c>
      <c r="B119" s="161" t="s">
        <v>972</v>
      </c>
      <c r="C119" s="164">
        <v>50.248626999999999</v>
      </c>
      <c r="D119" s="164">
        <v>73.327492000000007</v>
      </c>
      <c r="E119" s="164">
        <v>80.386336999999997</v>
      </c>
      <c r="F119" s="164">
        <v>83.712601000000006</v>
      </c>
      <c r="G119" s="164">
        <v>86.558563000000007</v>
      </c>
      <c r="H119" s="164">
        <v>88.524124</v>
      </c>
      <c r="I119" s="164">
        <v>90.305572999999995</v>
      </c>
      <c r="J119" s="164">
        <v>90.819534000000004</v>
      </c>
      <c r="K119" s="164">
        <v>91.274376000000004</v>
      </c>
      <c r="L119" s="164">
        <v>91.683593999999999</v>
      </c>
      <c r="M119" s="164">
        <v>92.070815999999994</v>
      </c>
      <c r="N119" s="164">
        <v>92.456360000000004</v>
      </c>
      <c r="O119" s="164">
        <v>92.842277999999993</v>
      </c>
      <c r="P119" s="164">
        <v>93.228309999999993</v>
      </c>
      <c r="Q119" s="164">
        <v>93.614204000000001</v>
      </c>
      <c r="R119" s="164">
        <v>94.000174999999999</v>
      </c>
      <c r="S119" s="164">
        <v>94.386238000000006</v>
      </c>
      <c r="T119" s="164">
        <v>94.772171</v>
      </c>
      <c r="U119" s="164">
        <v>95.154160000000005</v>
      </c>
      <c r="V119" s="164">
        <v>95.535126000000005</v>
      </c>
      <c r="W119" s="164">
        <v>95.914664999999999</v>
      </c>
      <c r="X119" s="164">
        <v>96.293319999999994</v>
      </c>
      <c r="Y119" s="164">
        <v>96.674294000000003</v>
      </c>
      <c r="Z119" s="164">
        <v>97.063903999999994</v>
      </c>
      <c r="AA119" s="164">
        <v>97.467574999999997</v>
      </c>
      <c r="AB119" s="164">
        <v>97.886573999999996</v>
      </c>
      <c r="AC119" s="164">
        <v>98.320922999999993</v>
      </c>
      <c r="AD119" s="164">
        <v>98.770683000000005</v>
      </c>
      <c r="AE119" s="164">
        <v>99.235695000000007</v>
      </c>
      <c r="AF119" s="163">
        <v>2.4601999999999999E-2</v>
      </c>
      <c r="AG119" s="155"/>
    </row>
    <row r="120" spans="1:33">
      <c r="A120" s="153" t="s">
        <v>995</v>
      </c>
      <c r="B120" s="161" t="s">
        <v>974</v>
      </c>
      <c r="C120" s="164">
        <v>45.078837999999998</v>
      </c>
      <c r="D120" s="164">
        <v>65.604156000000003</v>
      </c>
      <c r="E120" s="164">
        <v>81.211539999999999</v>
      </c>
      <c r="F120" s="164">
        <v>90.667961000000005</v>
      </c>
      <c r="G120" s="164">
        <v>103.62951700000001</v>
      </c>
      <c r="H120" s="164">
        <v>111.925438</v>
      </c>
      <c r="I120" s="164">
        <v>119.40303</v>
      </c>
      <c r="J120" s="164">
        <v>119.986786</v>
      </c>
      <c r="K120" s="164">
        <v>120.389191</v>
      </c>
      <c r="L120" s="164">
        <v>120.652519</v>
      </c>
      <c r="M120" s="164">
        <v>120.852875</v>
      </c>
      <c r="N120" s="164">
        <v>121.055656</v>
      </c>
      <c r="O120" s="164">
        <v>121.264656</v>
      </c>
      <c r="P120" s="164">
        <v>121.479401</v>
      </c>
      <c r="Q120" s="164">
        <v>121.69931</v>
      </c>
      <c r="R120" s="164">
        <v>121.9235</v>
      </c>
      <c r="S120" s="164">
        <v>122.151825</v>
      </c>
      <c r="T120" s="164">
        <v>122.382729</v>
      </c>
      <c r="U120" s="164">
        <v>122.61462400000001</v>
      </c>
      <c r="V120" s="164">
        <v>122.848282</v>
      </c>
      <c r="W120" s="164">
        <v>123.08181</v>
      </c>
      <c r="X120" s="164">
        <v>123.315765</v>
      </c>
      <c r="Y120" s="164">
        <v>123.557365</v>
      </c>
      <c r="Z120" s="164">
        <v>123.82785</v>
      </c>
      <c r="AA120" s="164">
        <v>124.141457</v>
      </c>
      <c r="AB120" s="164">
        <v>124.50206799999999</v>
      </c>
      <c r="AC120" s="164">
        <v>124.910492</v>
      </c>
      <c r="AD120" s="164">
        <v>125.36726400000001</v>
      </c>
      <c r="AE120" s="164">
        <v>125.872688</v>
      </c>
      <c r="AF120" s="163">
        <v>3.7353999999999998E-2</v>
      </c>
      <c r="AG120" s="155"/>
    </row>
    <row r="121" spans="1:33">
      <c r="A121" s="153" t="s">
        <v>996</v>
      </c>
      <c r="B121" s="161" t="s">
        <v>976</v>
      </c>
      <c r="C121" s="164">
        <v>6.3715529999999996</v>
      </c>
      <c r="D121" s="164">
        <v>9.3054469999999991</v>
      </c>
      <c r="E121" s="164">
        <v>9.9613259999999997</v>
      </c>
      <c r="F121" s="164">
        <v>10.207762000000001</v>
      </c>
      <c r="G121" s="164">
        <v>10.286180999999999</v>
      </c>
      <c r="H121" s="164">
        <v>10.358179</v>
      </c>
      <c r="I121" s="164">
        <v>10.424552</v>
      </c>
      <c r="J121" s="164">
        <v>10.486485999999999</v>
      </c>
      <c r="K121" s="164">
        <v>10.544403000000001</v>
      </c>
      <c r="L121" s="164">
        <v>10.599194000000001</v>
      </c>
      <c r="M121" s="164">
        <v>10.652366000000001</v>
      </c>
      <c r="N121" s="164">
        <v>10.705219</v>
      </c>
      <c r="O121" s="164">
        <v>10.757960000000001</v>
      </c>
      <c r="P121" s="164">
        <v>10.810561</v>
      </c>
      <c r="Q121" s="164">
        <v>10.863001000000001</v>
      </c>
      <c r="R121" s="164">
        <v>10.915336</v>
      </c>
      <c r="S121" s="164">
        <v>10.967572000000001</v>
      </c>
      <c r="T121" s="164">
        <v>11.019721000000001</v>
      </c>
      <c r="U121" s="164">
        <v>11.071241000000001</v>
      </c>
      <c r="V121" s="164">
        <v>11.122562</v>
      </c>
      <c r="W121" s="164">
        <v>11.17367</v>
      </c>
      <c r="X121" s="164">
        <v>11.224634</v>
      </c>
      <c r="Y121" s="164">
        <v>11.275739</v>
      </c>
      <c r="Z121" s="164">
        <v>11.327367000000001</v>
      </c>
      <c r="AA121" s="164">
        <v>11.379951</v>
      </c>
      <c r="AB121" s="164">
        <v>11.433577</v>
      </c>
      <c r="AC121" s="164">
        <v>11.488227</v>
      </c>
      <c r="AD121" s="164">
        <v>11.543894</v>
      </c>
      <c r="AE121" s="164">
        <v>11.600548</v>
      </c>
      <c r="AF121" s="163">
        <v>2.1631000000000001E-2</v>
      </c>
      <c r="AG121" s="155"/>
    </row>
    <row r="122" spans="1:33">
      <c r="A122" s="153" t="s">
        <v>997</v>
      </c>
      <c r="B122" s="161" t="s">
        <v>998</v>
      </c>
      <c r="C122" s="164">
        <v>83.549149</v>
      </c>
      <c r="D122" s="164">
        <v>121.20388</v>
      </c>
      <c r="E122" s="164">
        <v>149.299881</v>
      </c>
      <c r="F122" s="164">
        <v>168.68980400000001</v>
      </c>
      <c r="G122" s="164">
        <v>185.26075700000001</v>
      </c>
      <c r="H122" s="164">
        <v>196.63462799999999</v>
      </c>
      <c r="I122" s="164">
        <v>207.11045799999999</v>
      </c>
      <c r="J122" s="164">
        <v>213.33717300000001</v>
      </c>
      <c r="K122" s="164">
        <v>219.69072</v>
      </c>
      <c r="L122" s="164">
        <v>226.14747600000001</v>
      </c>
      <c r="M122" s="164">
        <v>232.66215500000001</v>
      </c>
      <c r="N122" s="164">
        <v>239.25929300000001</v>
      </c>
      <c r="O122" s="164">
        <v>245.94813500000001</v>
      </c>
      <c r="P122" s="164">
        <v>252.61059599999999</v>
      </c>
      <c r="Q122" s="164">
        <v>259.33639499999998</v>
      </c>
      <c r="R122" s="164">
        <v>266.22772200000003</v>
      </c>
      <c r="S122" s="164">
        <v>273.25830100000002</v>
      </c>
      <c r="T122" s="164">
        <v>280.35229500000003</v>
      </c>
      <c r="U122" s="164">
        <v>287.51351899999997</v>
      </c>
      <c r="V122" s="164">
        <v>294.79525799999999</v>
      </c>
      <c r="W122" s="164">
        <v>302.209137</v>
      </c>
      <c r="X122" s="164">
        <v>309.75473</v>
      </c>
      <c r="Y122" s="164">
        <v>317.43218999999999</v>
      </c>
      <c r="Z122" s="164">
        <v>325.23773199999999</v>
      </c>
      <c r="AA122" s="164">
        <v>333.16507000000001</v>
      </c>
      <c r="AB122" s="164">
        <v>341.21582000000001</v>
      </c>
      <c r="AC122" s="164">
        <v>349.41198700000001</v>
      </c>
      <c r="AD122" s="164">
        <v>357.75805700000001</v>
      </c>
      <c r="AE122" s="164">
        <v>366.25451700000002</v>
      </c>
      <c r="AF122" s="163">
        <v>5.4199999999999998E-2</v>
      </c>
      <c r="AG122" s="155"/>
    </row>
    <row r="123" spans="1:33">
      <c r="A123" s="153" t="s">
        <v>999</v>
      </c>
      <c r="B123" s="161" t="s">
        <v>972</v>
      </c>
      <c r="C123" s="164">
        <v>36.610782999999998</v>
      </c>
      <c r="D123" s="164">
        <v>49.266624</v>
      </c>
      <c r="E123" s="164">
        <v>55.787475999999998</v>
      </c>
      <c r="F123" s="164">
        <v>59.812798000000001</v>
      </c>
      <c r="G123" s="164">
        <v>62.062618000000001</v>
      </c>
      <c r="H123" s="164">
        <v>64.106048999999999</v>
      </c>
      <c r="I123" s="164">
        <v>66.122321999999997</v>
      </c>
      <c r="J123" s="164">
        <v>67.978454999999997</v>
      </c>
      <c r="K123" s="164">
        <v>69.866577000000007</v>
      </c>
      <c r="L123" s="164">
        <v>71.771736000000004</v>
      </c>
      <c r="M123" s="164">
        <v>73.667175</v>
      </c>
      <c r="N123" s="164">
        <v>75.565291999999999</v>
      </c>
      <c r="O123" s="164">
        <v>77.469703999999993</v>
      </c>
      <c r="P123" s="164">
        <v>79.310828999999998</v>
      </c>
      <c r="Q123" s="164">
        <v>81.138930999999999</v>
      </c>
      <c r="R123" s="164">
        <v>83.011398</v>
      </c>
      <c r="S123" s="164">
        <v>84.911300999999995</v>
      </c>
      <c r="T123" s="164">
        <v>86.794128000000001</v>
      </c>
      <c r="U123" s="164">
        <v>88.660561000000001</v>
      </c>
      <c r="V123" s="164">
        <v>90.540947000000003</v>
      </c>
      <c r="W123" s="164">
        <v>92.441147000000001</v>
      </c>
      <c r="X123" s="164">
        <v>94.360625999999996</v>
      </c>
      <c r="Y123" s="164">
        <v>96.298569000000001</v>
      </c>
      <c r="Z123" s="164">
        <v>98.252655000000004</v>
      </c>
      <c r="AA123" s="164">
        <v>100.218834</v>
      </c>
      <c r="AB123" s="164">
        <v>102.197517</v>
      </c>
      <c r="AC123" s="164">
        <v>104.200531</v>
      </c>
      <c r="AD123" s="164">
        <v>106.229347</v>
      </c>
      <c r="AE123" s="164">
        <v>108.28325700000001</v>
      </c>
      <c r="AF123" s="163">
        <v>3.9489000000000003E-2</v>
      </c>
      <c r="AG123" s="155"/>
    </row>
    <row r="124" spans="1:33">
      <c r="A124" s="153" t="s">
        <v>1000</v>
      </c>
      <c r="B124" s="161" t="s">
        <v>974</v>
      </c>
      <c r="C124" s="164">
        <v>42.035438999999997</v>
      </c>
      <c r="D124" s="164">
        <v>65.305633999999998</v>
      </c>
      <c r="E124" s="164">
        <v>85.952704999999995</v>
      </c>
      <c r="F124" s="164">
        <v>100.826874</v>
      </c>
      <c r="G124" s="164">
        <v>114.9105</v>
      </c>
      <c r="H124" s="164">
        <v>124.001762</v>
      </c>
      <c r="I124" s="164">
        <v>132.22051999999999</v>
      </c>
      <c r="J124" s="164">
        <v>136.34762599999999</v>
      </c>
      <c r="K124" s="164">
        <v>140.56552099999999</v>
      </c>
      <c r="L124" s="164">
        <v>144.867615</v>
      </c>
      <c r="M124" s="164">
        <v>149.23921200000001</v>
      </c>
      <c r="N124" s="164">
        <v>153.69073499999999</v>
      </c>
      <c r="O124" s="164">
        <v>158.22726399999999</v>
      </c>
      <c r="P124" s="164">
        <v>162.81016500000001</v>
      </c>
      <c r="Q124" s="164">
        <v>167.47184799999999</v>
      </c>
      <c r="R124" s="164">
        <v>172.249008</v>
      </c>
      <c r="S124" s="164">
        <v>177.13464400000001</v>
      </c>
      <c r="T124" s="164">
        <v>182.10375999999999</v>
      </c>
      <c r="U124" s="164">
        <v>187.15948499999999</v>
      </c>
      <c r="V124" s="164">
        <v>192.320404</v>
      </c>
      <c r="W124" s="164">
        <v>197.591431</v>
      </c>
      <c r="X124" s="164">
        <v>202.97283899999999</v>
      </c>
      <c r="Y124" s="164">
        <v>208.46565200000001</v>
      </c>
      <c r="Z124" s="164">
        <v>214.06880200000001</v>
      </c>
      <c r="AA124" s="164">
        <v>219.78054800000001</v>
      </c>
      <c r="AB124" s="164">
        <v>225.60205099999999</v>
      </c>
      <c r="AC124" s="164">
        <v>231.54188500000001</v>
      </c>
      <c r="AD124" s="164">
        <v>237.602844</v>
      </c>
      <c r="AE124" s="164">
        <v>243.78623999999999</v>
      </c>
      <c r="AF124" s="163">
        <v>6.479E-2</v>
      </c>
      <c r="AG124" s="155"/>
    </row>
    <row r="125" spans="1:33">
      <c r="A125" s="153" t="s">
        <v>1001</v>
      </c>
      <c r="B125" s="161" t="s">
        <v>976</v>
      </c>
      <c r="C125" s="164">
        <v>4.9029309999999997</v>
      </c>
      <c r="D125" s="164">
        <v>6.6316170000000003</v>
      </c>
      <c r="E125" s="164">
        <v>7.559685</v>
      </c>
      <c r="F125" s="164">
        <v>8.050122</v>
      </c>
      <c r="G125" s="164">
        <v>8.2876220000000007</v>
      </c>
      <c r="H125" s="164">
        <v>8.5268130000000006</v>
      </c>
      <c r="I125" s="164">
        <v>8.7675959999999993</v>
      </c>
      <c r="J125" s="164">
        <v>9.0110759999999992</v>
      </c>
      <c r="K125" s="164">
        <v>9.2586300000000001</v>
      </c>
      <c r="L125" s="164">
        <v>9.5081220000000002</v>
      </c>
      <c r="M125" s="164">
        <v>9.7557609999999997</v>
      </c>
      <c r="N125" s="164">
        <v>10.003282</v>
      </c>
      <c r="O125" s="164">
        <v>10.25118</v>
      </c>
      <c r="P125" s="164">
        <v>10.489587</v>
      </c>
      <c r="Q125" s="164">
        <v>10.725602</v>
      </c>
      <c r="R125" s="164">
        <v>10.967332000000001</v>
      </c>
      <c r="S125" s="164">
        <v>11.212358</v>
      </c>
      <c r="T125" s="164">
        <v>11.454371999999999</v>
      </c>
      <c r="U125" s="164">
        <v>11.693458</v>
      </c>
      <c r="V125" s="164">
        <v>11.933901000000001</v>
      </c>
      <c r="W125" s="164">
        <v>12.176525</v>
      </c>
      <c r="X125" s="164">
        <v>12.421250000000001</v>
      </c>
      <c r="Y125" s="164">
        <v>12.667951</v>
      </c>
      <c r="Z125" s="164">
        <v>12.916296000000001</v>
      </c>
      <c r="AA125" s="164">
        <v>13.165709</v>
      </c>
      <c r="AB125" s="164">
        <v>13.416244000000001</v>
      </c>
      <c r="AC125" s="164">
        <v>13.669560000000001</v>
      </c>
      <c r="AD125" s="164">
        <v>13.925858</v>
      </c>
      <c r="AE125" s="164">
        <v>14.185025</v>
      </c>
      <c r="AF125" s="163">
        <v>3.8670000000000003E-2</v>
      </c>
      <c r="AG125" s="155"/>
    </row>
    <row r="126" spans="1:33">
      <c r="A126" s="153" t="s">
        <v>1002</v>
      </c>
      <c r="B126" s="161" t="s">
        <v>1003</v>
      </c>
      <c r="C126" s="164">
        <v>47.442936000000003</v>
      </c>
      <c r="D126" s="164">
        <v>63.984814</v>
      </c>
      <c r="E126" s="164">
        <v>76.679648999999998</v>
      </c>
      <c r="F126" s="164">
        <v>84.804374999999993</v>
      </c>
      <c r="G126" s="164">
        <v>96.071860999999998</v>
      </c>
      <c r="H126" s="164">
        <v>103.20470400000001</v>
      </c>
      <c r="I126" s="164">
        <v>109.64166299999999</v>
      </c>
      <c r="J126" s="164">
        <v>113.054253</v>
      </c>
      <c r="K126" s="164">
        <v>116.271835</v>
      </c>
      <c r="L126" s="164">
        <v>118.54128300000001</v>
      </c>
      <c r="M126" s="164">
        <v>119.45050000000001</v>
      </c>
      <c r="N126" s="164">
        <v>120.097984</v>
      </c>
      <c r="O126" s="164">
        <v>120.730469</v>
      </c>
      <c r="P126" s="164">
        <v>121.325287</v>
      </c>
      <c r="Q126" s="164">
        <v>121.94425200000001</v>
      </c>
      <c r="R126" s="164">
        <v>122.356194</v>
      </c>
      <c r="S126" s="164">
        <v>122.580017</v>
      </c>
      <c r="T126" s="164">
        <v>122.83268700000001</v>
      </c>
      <c r="U126" s="164">
        <v>123.255264</v>
      </c>
      <c r="V126" s="164">
        <v>123.997055</v>
      </c>
      <c r="W126" s="164">
        <v>125.002296</v>
      </c>
      <c r="X126" s="164">
        <v>126.128738</v>
      </c>
      <c r="Y126" s="164">
        <v>127.33571600000001</v>
      </c>
      <c r="Z126" s="164">
        <v>128.549927</v>
      </c>
      <c r="AA126" s="164">
        <v>129.68714900000001</v>
      </c>
      <c r="AB126" s="164">
        <v>130.74594099999999</v>
      </c>
      <c r="AC126" s="164">
        <v>131.83163500000001</v>
      </c>
      <c r="AD126" s="164">
        <v>133.03767400000001</v>
      </c>
      <c r="AE126" s="164">
        <v>134.431183</v>
      </c>
      <c r="AF126" s="163">
        <v>3.7898000000000001E-2</v>
      </c>
      <c r="AG126" s="155"/>
    </row>
    <row r="127" spans="1:33">
      <c r="A127" s="153" t="s">
        <v>1004</v>
      </c>
      <c r="B127" s="161" t="s">
        <v>972</v>
      </c>
      <c r="C127" s="164">
        <v>18.514890999999999</v>
      </c>
      <c r="D127" s="164">
        <v>23.544308000000001</v>
      </c>
      <c r="E127" s="164">
        <v>27.278258999999998</v>
      </c>
      <c r="F127" s="164">
        <v>29.958317000000001</v>
      </c>
      <c r="G127" s="164">
        <v>33.320217</v>
      </c>
      <c r="H127" s="164">
        <v>35.412486999999999</v>
      </c>
      <c r="I127" s="164">
        <v>37.304820999999997</v>
      </c>
      <c r="J127" s="164">
        <v>38.347121999999999</v>
      </c>
      <c r="K127" s="164">
        <v>39.329655000000002</v>
      </c>
      <c r="L127" s="164">
        <v>40.027821000000003</v>
      </c>
      <c r="M127" s="164">
        <v>40.319026999999998</v>
      </c>
      <c r="N127" s="164">
        <v>40.531295999999998</v>
      </c>
      <c r="O127" s="164">
        <v>40.737929999999999</v>
      </c>
      <c r="P127" s="164">
        <v>40.931778000000001</v>
      </c>
      <c r="Q127" s="164">
        <v>41.131241000000003</v>
      </c>
      <c r="R127" s="164">
        <v>41.267432999999997</v>
      </c>
      <c r="S127" s="164">
        <v>41.346015999999999</v>
      </c>
      <c r="T127" s="164">
        <v>41.431797000000003</v>
      </c>
      <c r="U127" s="164">
        <v>41.566597000000002</v>
      </c>
      <c r="V127" s="164">
        <v>41.795025000000003</v>
      </c>
      <c r="W127" s="164">
        <v>42.100310999999998</v>
      </c>
      <c r="X127" s="164">
        <v>42.440052000000001</v>
      </c>
      <c r="Y127" s="164">
        <v>42.802154999999999</v>
      </c>
      <c r="Z127" s="164">
        <v>43.164817999999997</v>
      </c>
      <c r="AA127" s="164">
        <v>43.502853000000002</v>
      </c>
      <c r="AB127" s="164">
        <v>43.815761999999999</v>
      </c>
      <c r="AC127" s="164">
        <v>44.134929999999997</v>
      </c>
      <c r="AD127" s="164">
        <v>44.488182000000002</v>
      </c>
      <c r="AE127" s="164">
        <v>44.895415999999997</v>
      </c>
      <c r="AF127" s="163">
        <v>3.2140000000000002E-2</v>
      </c>
      <c r="AG127" s="155"/>
    </row>
    <row r="128" spans="1:33">
      <c r="A128" s="153" t="s">
        <v>1005</v>
      </c>
      <c r="B128" s="161" t="s">
        <v>974</v>
      </c>
      <c r="C128" s="164">
        <v>28.078714000000002</v>
      </c>
      <c r="D128" s="164">
        <v>39.546764000000003</v>
      </c>
      <c r="E128" s="164">
        <v>48.440437000000003</v>
      </c>
      <c r="F128" s="164">
        <v>53.814338999999997</v>
      </c>
      <c r="G128" s="164">
        <v>61.674225</v>
      </c>
      <c r="H128" s="164">
        <v>66.691176999999996</v>
      </c>
      <c r="I128" s="164">
        <v>71.213875000000002</v>
      </c>
      <c r="J128" s="164">
        <v>73.566772</v>
      </c>
      <c r="K128" s="164">
        <v>75.785445999999993</v>
      </c>
      <c r="L128" s="164">
        <v>77.344414</v>
      </c>
      <c r="M128" s="164">
        <v>77.955794999999995</v>
      </c>
      <c r="N128" s="164">
        <v>78.385551000000007</v>
      </c>
      <c r="O128" s="164">
        <v>78.806213</v>
      </c>
      <c r="P128" s="164">
        <v>79.202354</v>
      </c>
      <c r="Q128" s="164">
        <v>79.617142000000001</v>
      </c>
      <c r="R128" s="164">
        <v>79.889267000000004</v>
      </c>
      <c r="S128" s="164">
        <v>80.031859999999995</v>
      </c>
      <c r="T128" s="164">
        <v>80.196190000000001</v>
      </c>
      <c r="U128" s="164">
        <v>80.480971999999994</v>
      </c>
      <c r="V128" s="164">
        <v>80.990279999999998</v>
      </c>
      <c r="W128" s="164">
        <v>81.685349000000002</v>
      </c>
      <c r="X128" s="164">
        <v>82.466942000000003</v>
      </c>
      <c r="Y128" s="164">
        <v>83.306633000000005</v>
      </c>
      <c r="Z128" s="164">
        <v>84.153221000000002</v>
      </c>
      <c r="AA128" s="164">
        <v>84.947968000000003</v>
      </c>
      <c r="AB128" s="164">
        <v>85.690010000000001</v>
      </c>
      <c r="AC128" s="164">
        <v>86.452820000000003</v>
      </c>
      <c r="AD128" s="164">
        <v>87.301688999999996</v>
      </c>
      <c r="AE128" s="164">
        <v>88.283600000000007</v>
      </c>
      <c r="AF128" s="163">
        <v>4.1761E-2</v>
      </c>
      <c r="AG128" s="155"/>
    </row>
    <row r="129" spans="1:33">
      <c r="A129" s="153" t="s">
        <v>1006</v>
      </c>
      <c r="B129" s="161" t="s">
        <v>976</v>
      </c>
      <c r="C129" s="164">
        <v>0.84932799999999997</v>
      </c>
      <c r="D129" s="164">
        <v>0.89373599999999997</v>
      </c>
      <c r="E129" s="164">
        <v>0.960955</v>
      </c>
      <c r="F129" s="164">
        <v>1.031712</v>
      </c>
      <c r="G129" s="164">
        <v>1.077413</v>
      </c>
      <c r="H129" s="164">
        <v>1.10103</v>
      </c>
      <c r="I129" s="164">
        <v>1.1229610000000001</v>
      </c>
      <c r="J129" s="164">
        <v>1.14036</v>
      </c>
      <c r="K129" s="164">
        <v>1.1567350000000001</v>
      </c>
      <c r="L129" s="164">
        <v>1.169046</v>
      </c>
      <c r="M129" s="164">
        <v>1.1756770000000001</v>
      </c>
      <c r="N129" s="164">
        <v>1.1811229999999999</v>
      </c>
      <c r="O129" s="164">
        <v>1.186334</v>
      </c>
      <c r="P129" s="164">
        <v>1.1911659999999999</v>
      </c>
      <c r="Q129" s="164">
        <v>1.1958610000000001</v>
      </c>
      <c r="R129" s="164">
        <v>1.1994929999999999</v>
      </c>
      <c r="S129" s="164">
        <v>1.2021440000000001</v>
      </c>
      <c r="T129" s="164">
        <v>1.2047049999999999</v>
      </c>
      <c r="U129" s="164">
        <v>1.2077059999999999</v>
      </c>
      <c r="V129" s="164">
        <v>1.2117629999999999</v>
      </c>
      <c r="W129" s="164">
        <v>1.2166319999999999</v>
      </c>
      <c r="X129" s="164">
        <v>1.221738</v>
      </c>
      <c r="Y129" s="164">
        <v>1.226926</v>
      </c>
      <c r="Z129" s="164">
        <v>1.231905</v>
      </c>
      <c r="AA129" s="164">
        <v>1.2363299999999999</v>
      </c>
      <c r="AB129" s="164">
        <v>1.2401800000000001</v>
      </c>
      <c r="AC129" s="164">
        <v>1.243879</v>
      </c>
      <c r="AD129" s="164">
        <v>1.247797</v>
      </c>
      <c r="AE129" s="164">
        <v>1.2521850000000001</v>
      </c>
      <c r="AF129" s="163">
        <v>1.3960999999999999E-2</v>
      </c>
      <c r="AG129" s="155"/>
    </row>
    <row r="130" spans="1:33">
      <c r="A130" s="153" t="s">
        <v>1007</v>
      </c>
      <c r="B130" s="161" t="s">
        <v>1008</v>
      </c>
      <c r="C130" s="164">
        <v>142.31442300000001</v>
      </c>
      <c r="D130" s="164">
        <v>151.89007599999999</v>
      </c>
      <c r="E130" s="164">
        <v>163.864655</v>
      </c>
      <c r="F130" s="164">
        <v>171.73625200000001</v>
      </c>
      <c r="G130" s="164">
        <v>178.46945199999999</v>
      </c>
      <c r="H130" s="164">
        <v>183.10032699999999</v>
      </c>
      <c r="I130" s="164">
        <v>186.982193</v>
      </c>
      <c r="J130" s="164">
        <v>189.93190000000001</v>
      </c>
      <c r="K130" s="164">
        <v>192.93220500000001</v>
      </c>
      <c r="L130" s="164">
        <v>196.037003</v>
      </c>
      <c r="M130" s="164">
        <v>199.21478300000001</v>
      </c>
      <c r="N130" s="164">
        <v>202.44252</v>
      </c>
      <c r="O130" s="164">
        <v>205.73057600000001</v>
      </c>
      <c r="P130" s="164">
        <v>209.08891299999999</v>
      </c>
      <c r="Q130" s="164">
        <v>212.51480100000001</v>
      </c>
      <c r="R130" s="164">
        <v>216.002655</v>
      </c>
      <c r="S130" s="164">
        <v>219.55929599999999</v>
      </c>
      <c r="T130" s="164">
        <v>223.19146699999999</v>
      </c>
      <c r="U130" s="164">
        <v>226.899384</v>
      </c>
      <c r="V130" s="164">
        <v>230.68907200000001</v>
      </c>
      <c r="W130" s="164">
        <v>234.55947900000001</v>
      </c>
      <c r="X130" s="164">
        <v>238.509064</v>
      </c>
      <c r="Y130" s="164">
        <v>242.53810100000001</v>
      </c>
      <c r="Z130" s="164">
        <v>246.64561499999999</v>
      </c>
      <c r="AA130" s="164">
        <v>250.83862300000001</v>
      </c>
      <c r="AB130" s="164">
        <v>255.11831699999999</v>
      </c>
      <c r="AC130" s="164">
        <v>259.48089599999997</v>
      </c>
      <c r="AD130" s="164">
        <v>263.92275999999998</v>
      </c>
      <c r="AE130" s="164">
        <v>268.437927</v>
      </c>
      <c r="AF130" s="163">
        <v>2.2922000000000001E-2</v>
      </c>
      <c r="AG130" s="155"/>
    </row>
    <row r="131" spans="1:33">
      <c r="A131" s="153" t="s">
        <v>1009</v>
      </c>
      <c r="B131" s="161" t="s">
        <v>972</v>
      </c>
      <c r="C131" s="164">
        <v>110.081108</v>
      </c>
      <c r="D131" s="164">
        <v>115.58123000000001</v>
      </c>
      <c r="E131" s="164">
        <v>122.967361</v>
      </c>
      <c r="F131" s="164">
        <v>127.819969</v>
      </c>
      <c r="G131" s="164">
        <v>132.20107999999999</v>
      </c>
      <c r="H131" s="164">
        <v>135.314087</v>
      </c>
      <c r="I131" s="164">
        <v>137.98341400000001</v>
      </c>
      <c r="J131" s="164">
        <v>140.101517</v>
      </c>
      <c r="K131" s="164">
        <v>142.25581399999999</v>
      </c>
      <c r="L131" s="164">
        <v>144.48762500000001</v>
      </c>
      <c r="M131" s="164">
        <v>146.77302599999999</v>
      </c>
      <c r="N131" s="164">
        <v>149.094009</v>
      </c>
      <c r="O131" s="164">
        <v>151.45791600000001</v>
      </c>
      <c r="P131" s="164">
        <v>153.87184099999999</v>
      </c>
      <c r="Q131" s="164">
        <v>156.33377100000001</v>
      </c>
      <c r="R131" s="164">
        <v>158.83955399999999</v>
      </c>
      <c r="S131" s="164">
        <v>161.39404300000001</v>
      </c>
      <c r="T131" s="164">
        <v>164.00202899999999</v>
      </c>
      <c r="U131" s="164">
        <v>166.662949</v>
      </c>
      <c r="V131" s="164">
        <v>169.381439</v>
      </c>
      <c r="W131" s="164">
        <v>172.15664699999999</v>
      </c>
      <c r="X131" s="164">
        <v>174.987381</v>
      </c>
      <c r="Y131" s="164">
        <v>177.87385599999999</v>
      </c>
      <c r="Z131" s="164">
        <v>180.81530799999999</v>
      </c>
      <c r="AA131" s="164">
        <v>183.81668099999999</v>
      </c>
      <c r="AB131" s="164">
        <v>186.878784</v>
      </c>
      <c r="AC131" s="164">
        <v>189.99884</v>
      </c>
      <c r="AD131" s="164">
        <v>193.17420999999999</v>
      </c>
      <c r="AE131" s="164">
        <v>196.40057400000001</v>
      </c>
      <c r="AF131" s="163">
        <v>2.0892000000000001E-2</v>
      </c>
      <c r="AG131" s="155"/>
    </row>
    <row r="132" spans="1:33">
      <c r="A132" s="153" t="s">
        <v>1010</v>
      </c>
      <c r="B132" s="161" t="s">
        <v>974</v>
      </c>
      <c r="C132" s="164">
        <v>17.723891999999999</v>
      </c>
      <c r="D132" s="164">
        <v>21.558128</v>
      </c>
      <c r="E132" s="164">
        <v>25.640647999999999</v>
      </c>
      <c r="F132" s="164">
        <v>28.409416</v>
      </c>
      <c r="G132" s="164">
        <v>30.442050999999999</v>
      </c>
      <c r="H132" s="164">
        <v>31.694476999999999</v>
      </c>
      <c r="I132" s="164">
        <v>32.657162</v>
      </c>
      <c r="J132" s="164">
        <v>33.257838999999997</v>
      </c>
      <c r="K132" s="164">
        <v>33.868983999999998</v>
      </c>
      <c r="L132" s="164">
        <v>34.497799000000001</v>
      </c>
      <c r="M132" s="164">
        <v>35.139740000000003</v>
      </c>
      <c r="N132" s="164">
        <v>35.792296999999998</v>
      </c>
      <c r="O132" s="164">
        <v>36.457706000000002</v>
      </c>
      <c r="P132" s="164">
        <v>37.138069000000002</v>
      </c>
      <c r="Q132" s="164">
        <v>37.832951000000001</v>
      </c>
      <c r="R132" s="164">
        <v>38.541350999999999</v>
      </c>
      <c r="S132" s="164">
        <v>39.264755000000001</v>
      </c>
      <c r="T132" s="164">
        <v>40.004631000000003</v>
      </c>
      <c r="U132" s="164">
        <v>40.762042999999998</v>
      </c>
      <c r="V132" s="164">
        <v>41.537818999999999</v>
      </c>
      <c r="W132" s="164">
        <v>42.331817999999998</v>
      </c>
      <c r="X132" s="164">
        <v>43.143847999999998</v>
      </c>
      <c r="Y132" s="164">
        <v>43.973972000000003</v>
      </c>
      <c r="Z132" s="164">
        <v>44.822124000000002</v>
      </c>
      <c r="AA132" s="164">
        <v>45.689816</v>
      </c>
      <c r="AB132" s="164">
        <v>46.577365999999998</v>
      </c>
      <c r="AC132" s="164">
        <v>47.484093000000001</v>
      </c>
      <c r="AD132" s="164">
        <v>48.409294000000003</v>
      </c>
      <c r="AE132" s="164">
        <v>49.351832999999999</v>
      </c>
      <c r="AF132" s="163">
        <v>3.7250999999999999E-2</v>
      </c>
      <c r="AG132" s="155"/>
    </row>
    <row r="133" spans="1:33">
      <c r="A133" s="153" t="s">
        <v>1011</v>
      </c>
      <c r="B133" s="161" t="s">
        <v>976</v>
      </c>
      <c r="C133" s="164">
        <v>14.50943</v>
      </c>
      <c r="D133" s="164">
        <v>14.750728000000001</v>
      </c>
      <c r="E133" s="164">
        <v>15.256656</v>
      </c>
      <c r="F133" s="164">
        <v>15.506875000000001</v>
      </c>
      <c r="G133" s="164">
        <v>15.82633</v>
      </c>
      <c r="H133" s="164">
        <v>16.091740000000001</v>
      </c>
      <c r="I133" s="164">
        <v>16.341602000000002</v>
      </c>
      <c r="J133" s="164">
        <v>16.572548000000001</v>
      </c>
      <c r="K133" s="164">
        <v>16.807404999999999</v>
      </c>
      <c r="L133" s="164">
        <v>17.051577000000002</v>
      </c>
      <c r="M133" s="164">
        <v>17.302004</v>
      </c>
      <c r="N133" s="164">
        <v>17.556206</v>
      </c>
      <c r="O133" s="164">
        <v>17.814955000000001</v>
      </c>
      <c r="P133" s="164">
        <v>18.079001999999999</v>
      </c>
      <c r="Q133" s="164">
        <v>18.348101</v>
      </c>
      <c r="R133" s="164">
        <v>18.621765</v>
      </c>
      <c r="S133" s="164">
        <v>18.900500999999998</v>
      </c>
      <c r="T133" s="164">
        <v>19.184811</v>
      </c>
      <c r="U133" s="164">
        <v>19.474388000000001</v>
      </c>
      <c r="V133" s="164">
        <v>19.769831</v>
      </c>
      <c r="W133" s="164">
        <v>20.071031999999999</v>
      </c>
      <c r="X133" s="164">
        <v>20.377831</v>
      </c>
      <c r="Y133" s="164">
        <v>20.690248</v>
      </c>
      <c r="Z133" s="164">
        <v>21.008171000000001</v>
      </c>
      <c r="AA133" s="164">
        <v>21.332118999999999</v>
      </c>
      <c r="AB133" s="164">
        <v>21.662158999999999</v>
      </c>
      <c r="AC133" s="164">
        <v>21.997971</v>
      </c>
      <c r="AD133" s="164">
        <v>22.339255999999999</v>
      </c>
      <c r="AE133" s="164">
        <v>22.685524000000001</v>
      </c>
      <c r="AF133" s="163">
        <v>1.609E-2</v>
      </c>
      <c r="AG133" s="155"/>
    </row>
    <row r="134" spans="1:33">
      <c r="A134" s="153" t="s">
        <v>1012</v>
      </c>
      <c r="B134" s="161" t="s">
        <v>1013</v>
      </c>
      <c r="C134" s="164">
        <v>48.721522999999998</v>
      </c>
      <c r="D134" s="164">
        <v>61.768990000000002</v>
      </c>
      <c r="E134" s="164">
        <v>73.845116000000004</v>
      </c>
      <c r="F134" s="164">
        <v>82.664268000000007</v>
      </c>
      <c r="G134" s="164">
        <v>90.551765000000003</v>
      </c>
      <c r="H134" s="164">
        <v>94.869156000000004</v>
      </c>
      <c r="I134" s="164">
        <v>98.194419999999994</v>
      </c>
      <c r="J134" s="164">
        <v>100.99239300000001</v>
      </c>
      <c r="K134" s="164">
        <v>103.867386</v>
      </c>
      <c r="L134" s="164">
        <v>106.882401</v>
      </c>
      <c r="M134" s="164">
        <v>109.995766</v>
      </c>
      <c r="N134" s="164">
        <v>113.19216900000001</v>
      </c>
      <c r="O134" s="164">
        <v>116.47422</v>
      </c>
      <c r="P134" s="164">
        <v>119.84822800000001</v>
      </c>
      <c r="Q134" s="164">
        <v>123.249786</v>
      </c>
      <c r="R134" s="164">
        <v>126.73764799999999</v>
      </c>
      <c r="S134" s="164">
        <v>130.315765</v>
      </c>
      <c r="T134" s="164">
        <v>133.98472599999999</v>
      </c>
      <c r="U134" s="164">
        <v>137.747986</v>
      </c>
      <c r="V134" s="164">
        <v>141.534378</v>
      </c>
      <c r="W134" s="164">
        <v>145.41456600000001</v>
      </c>
      <c r="X134" s="164">
        <v>149.39035000000001</v>
      </c>
      <c r="Y134" s="164">
        <v>153.46047999999999</v>
      </c>
      <c r="Z134" s="164">
        <v>157.62562600000001</v>
      </c>
      <c r="AA134" s="164">
        <v>161.804001</v>
      </c>
      <c r="AB134" s="164">
        <v>166.075638</v>
      </c>
      <c r="AC134" s="164">
        <v>170.446091</v>
      </c>
      <c r="AD134" s="164">
        <v>174.919006</v>
      </c>
      <c r="AE134" s="164">
        <v>179.497559</v>
      </c>
      <c r="AF134" s="163">
        <v>4.7674000000000001E-2</v>
      </c>
      <c r="AG134" s="155"/>
    </row>
    <row r="135" spans="1:33">
      <c r="A135" s="153" t="s">
        <v>1014</v>
      </c>
      <c r="B135" s="161" t="s">
        <v>972</v>
      </c>
      <c r="C135" s="164">
        <v>40.367882000000002</v>
      </c>
      <c r="D135" s="164">
        <v>51.182053000000003</v>
      </c>
      <c r="E135" s="164">
        <v>61.307991000000001</v>
      </c>
      <c r="F135" s="164">
        <v>68.604468999999995</v>
      </c>
      <c r="G135" s="164">
        <v>75.149856999999997</v>
      </c>
      <c r="H135" s="164">
        <v>78.746758</v>
      </c>
      <c r="I135" s="164">
        <v>81.512482000000006</v>
      </c>
      <c r="J135" s="164">
        <v>83.836219999999997</v>
      </c>
      <c r="K135" s="164">
        <v>86.223915000000005</v>
      </c>
      <c r="L135" s="164">
        <v>88.727737000000005</v>
      </c>
      <c r="M135" s="164">
        <v>91.313179000000005</v>
      </c>
      <c r="N135" s="164">
        <v>93.967590000000001</v>
      </c>
      <c r="O135" s="164">
        <v>96.693107999999995</v>
      </c>
      <c r="P135" s="164">
        <v>99.494986999999995</v>
      </c>
      <c r="Q135" s="164">
        <v>102.32</v>
      </c>
      <c r="R135" s="164">
        <v>105.216705</v>
      </c>
      <c r="S135" s="164">
        <v>108.188377</v>
      </c>
      <c r="T135" s="164">
        <v>111.235527</v>
      </c>
      <c r="U135" s="164">
        <v>114.361046</v>
      </c>
      <c r="V135" s="164">
        <v>117.506035</v>
      </c>
      <c r="W135" s="164">
        <v>120.728973</v>
      </c>
      <c r="X135" s="164">
        <v>124.031364</v>
      </c>
      <c r="Y135" s="164">
        <v>127.412148</v>
      </c>
      <c r="Z135" s="164">
        <v>130.871872</v>
      </c>
      <c r="AA135" s="164">
        <v>134.342804</v>
      </c>
      <c r="AB135" s="164">
        <v>137.89123499999999</v>
      </c>
      <c r="AC135" s="164">
        <v>141.52177399999999</v>
      </c>
      <c r="AD135" s="164">
        <v>145.23748800000001</v>
      </c>
      <c r="AE135" s="164">
        <v>149.04101600000001</v>
      </c>
      <c r="AF135" s="163">
        <v>4.7754999999999999E-2</v>
      </c>
      <c r="AG135" s="155"/>
    </row>
    <row r="136" spans="1:33">
      <c r="A136" s="153" t="s">
        <v>1015</v>
      </c>
      <c r="B136" s="161" t="s">
        <v>974</v>
      </c>
      <c r="C136" s="164">
        <v>4.8107499999999996</v>
      </c>
      <c r="D136" s="164">
        <v>6.1307200000000002</v>
      </c>
      <c r="E136" s="164">
        <v>7.171532</v>
      </c>
      <c r="F136" s="164">
        <v>7.9921449999999998</v>
      </c>
      <c r="G136" s="164">
        <v>8.7539029999999993</v>
      </c>
      <c r="H136" s="164">
        <v>9.1908320000000003</v>
      </c>
      <c r="I136" s="164">
        <v>9.5208630000000003</v>
      </c>
      <c r="J136" s="164">
        <v>9.7937060000000002</v>
      </c>
      <c r="K136" s="164">
        <v>10.074055</v>
      </c>
      <c r="L136" s="164">
        <v>10.367825</v>
      </c>
      <c r="M136" s="164">
        <v>10.671106999999999</v>
      </c>
      <c r="N136" s="164">
        <v>10.982485</v>
      </c>
      <c r="O136" s="164">
        <v>11.302196</v>
      </c>
      <c r="P136" s="164">
        <v>11.630836</v>
      </c>
      <c r="Q136" s="164">
        <v>11.962536999999999</v>
      </c>
      <c r="R136" s="164">
        <v>12.302671</v>
      </c>
      <c r="S136" s="164">
        <v>12.651629</v>
      </c>
      <c r="T136" s="164">
        <v>13.009482</v>
      </c>
      <c r="U136" s="164">
        <v>13.376611</v>
      </c>
      <c r="V136" s="164">
        <v>13.746362</v>
      </c>
      <c r="W136" s="164">
        <v>14.125339</v>
      </c>
      <c r="X136" s="164">
        <v>14.513700999999999</v>
      </c>
      <c r="Y136" s="164">
        <v>14.911319000000001</v>
      </c>
      <c r="Z136" s="164">
        <v>15.318254</v>
      </c>
      <c r="AA136" s="164">
        <v>15.726773</v>
      </c>
      <c r="AB136" s="164">
        <v>16.144462999999998</v>
      </c>
      <c r="AC136" s="164">
        <v>16.571867000000001</v>
      </c>
      <c r="AD136" s="164">
        <v>17.009353999999998</v>
      </c>
      <c r="AE136" s="164">
        <v>17.457253999999999</v>
      </c>
      <c r="AF136" s="163">
        <v>4.7107999999999997E-2</v>
      </c>
      <c r="AG136" s="155"/>
    </row>
    <row r="137" spans="1:33">
      <c r="A137" s="153" t="s">
        <v>1016</v>
      </c>
      <c r="B137" s="161" t="s">
        <v>976</v>
      </c>
      <c r="C137" s="164">
        <v>3.542891</v>
      </c>
      <c r="D137" s="164">
        <v>4.4562160000000004</v>
      </c>
      <c r="E137" s="164">
        <v>5.3655970000000002</v>
      </c>
      <c r="F137" s="164">
        <v>6.0676459999999999</v>
      </c>
      <c r="G137" s="164">
        <v>6.6479980000000003</v>
      </c>
      <c r="H137" s="164">
        <v>6.9315740000000003</v>
      </c>
      <c r="I137" s="164">
        <v>7.161073</v>
      </c>
      <c r="J137" s="164">
        <v>7.3624660000000004</v>
      </c>
      <c r="K137" s="164">
        <v>7.5694160000000004</v>
      </c>
      <c r="L137" s="164">
        <v>7.7868430000000002</v>
      </c>
      <c r="M137" s="164">
        <v>8.0114780000000003</v>
      </c>
      <c r="N137" s="164">
        <v>8.2420969999999993</v>
      </c>
      <c r="O137" s="164">
        <v>8.4789100000000008</v>
      </c>
      <c r="P137" s="164">
        <v>8.7224079999999997</v>
      </c>
      <c r="Q137" s="164">
        <v>8.9672540000000005</v>
      </c>
      <c r="R137" s="164">
        <v>9.2182739999999992</v>
      </c>
      <c r="S137" s="164">
        <v>9.4757580000000008</v>
      </c>
      <c r="T137" s="164">
        <v>9.7397179999999999</v>
      </c>
      <c r="U137" s="164">
        <v>10.010329</v>
      </c>
      <c r="V137" s="164">
        <v>10.281976999999999</v>
      </c>
      <c r="W137" s="164">
        <v>10.560243</v>
      </c>
      <c r="X137" s="164">
        <v>10.845281999999999</v>
      </c>
      <c r="Y137" s="164">
        <v>11.137014000000001</v>
      </c>
      <c r="Z137" s="164">
        <v>11.435499999999999</v>
      </c>
      <c r="AA137" s="164">
        <v>11.734435</v>
      </c>
      <c r="AB137" s="164">
        <v>12.039953000000001</v>
      </c>
      <c r="AC137" s="164">
        <v>12.352451</v>
      </c>
      <c r="AD137" s="164">
        <v>12.67216</v>
      </c>
      <c r="AE137" s="164">
        <v>12.999294000000001</v>
      </c>
      <c r="AF137" s="163">
        <v>4.7521000000000001E-2</v>
      </c>
      <c r="AG137" s="155"/>
    </row>
    <row r="138" spans="1:33">
      <c r="A138" s="153" t="s">
        <v>1017</v>
      </c>
      <c r="B138" s="161" t="s">
        <v>1018</v>
      </c>
      <c r="C138" s="164">
        <v>782.72277799999995</v>
      </c>
      <c r="D138" s="164">
        <v>779.99255400000004</v>
      </c>
      <c r="E138" s="164">
        <v>777.24194299999999</v>
      </c>
      <c r="F138" s="164">
        <v>836.20019500000001</v>
      </c>
      <c r="G138" s="164">
        <v>900.88647500000002</v>
      </c>
      <c r="H138" s="164">
        <v>959.77856399999996</v>
      </c>
      <c r="I138" s="164">
        <v>1015.328857</v>
      </c>
      <c r="J138" s="164">
        <v>1071.4494629999999</v>
      </c>
      <c r="K138" s="164">
        <v>1127.8001710000001</v>
      </c>
      <c r="L138" s="164">
        <v>1184.857544</v>
      </c>
      <c r="M138" s="164">
        <v>1242.602173</v>
      </c>
      <c r="N138" s="164">
        <v>1300.8637699999999</v>
      </c>
      <c r="O138" s="164">
        <v>1359.7788089999999</v>
      </c>
      <c r="P138" s="164">
        <v>1419.6533199999999</v>
      </c>
      <c r="Q138" s="164">
        <v>1480.3670649999999</v>
      </c>
      <c r="R138" s="164">
        <v>1541.5150149999999</v>
      </c>
      <c r="S138" s="164">
        <v>1603.139404</v>
      </c>
      <c r="T138" s="164">
        <v>1665.5854489999999</v>
      </c>
      <c r="U138" s="164">
        <v>1729.3858640000001</v>
      </c>
      <c r="V138" s="164">
        <v>1795.155029</v>
      </c>
      <c r="W138" s="164">
        <v>1862.857422</v>
      </c>
      <c r="X138" s="164">
        <v>1931.973999</v>
      </c>
      <c r="Y138" s="164">
        <v>2001.8626710000001</v>
      </c>
      <c r="Z138" s="164">
        <v>2071.8183589999999</v>
      </c>
      <c r="AA138" s="164">
        <v>2141.7058109999998</v>
      </c>
      <c r="AB138" s="164">
        <v>2211.8625489999999</v>
      </c>
      <c r="AC138" s="164">
        <v>2282.0432129999999</v>
      </c>
      <c r="AD138" s="164">
        <v>2351.5871579999998</v>
      </c>
      <c r="AE138" s="164">
        <v>2419.7944339999999</v>
      </c>
      <c r="AF138" s="163">
        <v>4.1133000000000003E-2</v>
      </c>
      <c r="AG138" s="155"/>
    </row>
    <row r="139" spans="1:33">
      <c r="A139" s="153" t="s">
        <v>1019</v>
      </c>
      <c r="B139" s="161" t="s">
        <v>972</v>
      </c>
      <c r="C139" s="164">
        <v>607.629639</v>
      </c>
      <c r="D139" s="164">
        <v>579.78564500000005</v>
      </c>
      <c r="E139" s="164">
        <v>554.85424799999998</v>
      </c>
      <c r="F139" s="164">
        <v>591.023865</v>
      </c>
      <c r="G139" s="164">
        <v>632.18890399999998</v>
      </c>
      <c r="H139" s="164">
        <v>672.03393600000004</v>
      </c>
      <c r="I139" s="164">
        <v>711.24945100000002</v>
      </c>
      <c r="J139" s="164">
        <v>750.78301999999996</v>
      </c>
      <c r="K139" s="164">
        <v>790.37164299999995</v>
      </c>
      <c r="L139" s="164">
        <v>830.36956799999996</v>
      </c>
      <c r="M139" s="164">
        <v>870.75842299999999</v>
      </c>
      <c r="N139" s="164">
        <v>911.40508999999997</v>
      </c>
      <c r="O139" s="164">
        <v>952.40625</v>
      </c>
      <c r="P139" s="164">
        <v>993.98687700000005</v>
      </c>
      <c r="Q139" s="164">
        <v>1036.053101</v>
      </c>
      <c r="R139" s="164">
        <v>1078.296143</v>
      </c>
      <c r="S139" s="164">
        <v>1120.742432</v>
      </c>
      <c r="T139" s="164">
        <v>1163.6453859999999</v>
      </c>
      <c r="U139" s="164">
        <v>1207.394775</v>
      </c>
      <c r="V139" s="164">
        <v>1252.449341</v>
      </c>
      <c r="W139" s="164">
        <v>1298.7775879999999</v>
      </c>
      <c r="X139" s="164">
        <v>1345.984375</v>
      </c>
      <c r="Y139" s="164">
        <v>1393.5820309999999</v>
      </c>
      <c r="Z139" s="164">
        <v>1441.0375979999999</v>
      </c>
      <c r="AA139" s="164">
        <v>1488.2482910000001</v>
      </c>
      <c r="AB139" s="164">
        <v>1535.4626459999999</v>
      </c>
      <c r="AC139" s="164">
        <v>1582.492432</v>
      </c>
      <c r="AD139" s="164">
        <v>1628.837769</v>
      </c>
      <c r="AE139" s="164">
        <v>1673.9719239999999</v>
      </c>
      <c r="AF139" s="163">
        <v>3.6854999999999999E-2</v>
      </c>
      <c r="AG139" s="155"/>
    </row>
    <row r="140" spans="1:33">
      <c r="A140" s="153" t="s">
        <v>1020</v>
      </c>
      <c r="B140" s="161" t="s">
        <v>974</v>
      </c>
      <c r="C140" s="164">
        <v>87.702171000000007</v>
      </c>
      <c r="D140" s="164">
        <v>118.64717899999999</v>
      </c>
      <c r="E140" s="164">
        <v>145.718872</v>
      </c>
      <c r="F140" s="164">
        <v>163.990128</v>
      </c>
      <c r="G140" s="164">
        <v>182.23019400000001</v>
      </c>
      <c r="H140" s="164">
        <v>195.94972200000001</v>
      </c>
      <c r="I140" s="164">
        <v>206.901611</v>
      </c>
      <c r="J140" s="164">
        <v>218.06899999999999</v>
      </c>
      <c r="K140" s="164">
        <v>229.41262800000001</v>
      </c>
      <c r="L140" s="164">
        <v>241.004807</v>
      </c>
      <c r="M140" s="164">
        <v>252.84724399999999</v>
      </c>
      <c r="N140" s="164">
        <v>264.92242399999998</v>
      </c>
      <c r="O140" s="164">
        <v>277.25662199999999</v>
      </c>
      <c r="P140" s="164">
        <v>289.89932299999998</v>
      </c>
      <c r="Q140" s="164">
        <v>302.83795199999997</v>
      </c>
      <c r="R140" s="164">
        <v>316.01998900000001</v>
      </c>
      <c r="S140" s="164">
        <v>329.458618</v>
      </c>
      <c r="T140" s="164">
        <v>343.209473</v>
      </c>
      <c r="U140" s="164">
        <v>357.36090100000001</v>
      </c>
      <c r="V140" s="164">
        <v>372.00381499999997</v>
      </c>
      <c r="W140" s="164">
        <v>387.13888500000002</v>
      </c>
      <c r="X140" s="164">
        <v>402.69903599999998</v>
      </c>
      <c r="Y140" s="164">
        <v>418.59939600000001</v>
      </c>
      <c r="Z140" s="164">
        <v>434.743561</v>
      </c>
      <c r="AA140" s="164">
        <v>451.11456299999998</v>
      </c>
      <c r="AB140" s="164">
        <v>467.76574699999998</v>
      </c>
      <c r="AC140" s="164">
        <v>484.66757200000001</v>
      </c>
      <c r="AD140" s="164">
        <v>501.73037699999998</v>
      </c>
      <c r="AE140" s="164">
        <v>518.85571300000004</v>
      </c>
      <c r="AF140" s="163">
        <v>6.5546999999999994E-2</v>
      </c>
      <c r="AG140" s="155"/>
    </row>
    <row r="141" spans="1:33">
      <c r="A141" s="153" t="s">
        <v>1021</v>
      </c>
      <c r="B141" s="161" t="s">
        <v>976</v>
      </c>
      <c r="C141" s="164">
        <v>87.390906999999999</v>
      </c>
      <c r="D141" s="164">
        <v>81.559792000000002</v>
      </c>
      <c r="E141" s="164">
        <v>76.668800000000005</v>
      </c>
      <c r="F141" s="164">
        <v>81.186179999999993</v>
      </c>
      <c r="G141" s="164">
        <v>86.467392000000004</v>
      </c>
      <c r="H141" s="164">
        <v>91.794830000000005</v>
      </c>
      <c r="I141" s="164">
        <v>97.177802999999997</v>
      </c>
      <c r="J141" s="164">
        <v>102.597488</v>
      </c>
      <c r="K141" s="164">
        <v>108.01593800000001</v>
      </c>
      <c r="L141" s="164">
        <v>113.483192</v>
      </c>
      <c r="M141" s="164">
        <v>118.996407</v>
      </c>
      <c r="N141" s="164">
        <v>124.536186</v>
      </c>
      <c r="O141" s="164">
        <v>130.11586</v>
      </c>
      <c r="P141" s="164">
        <v>135.76705899999999</v>
      </c>
      <c r="Q141" s="164">
        <v>141.47612000000001</v>
      </c>
      <c r="R141" s="164">
        <v>147.198837</v>
      </c>
      <c r="S141" s="164">
        <v>152.938492</v>
      </c>
      <c r="T141" s="164">
        <v>158.73074299999999</v>
      </c>
      <c r="U141" s="164">
        <v>164.63017300000001</v>
      </c>
      <c r="V141" s="164">
        <v>170.70181299999999</v>
      </c>
      <c r="W141" s="164">
        <v>176.94079600000001</v>
      </c>
      <c r="X141" s="164">
        <v>183.29051200000001</v>
      </c>
      <c r="Y141" s="164">
        <v>189.68124399999999</v>
      </c>
      <c r="Z141" s="164">
        <v>196.03698700000001</v>
      </c>
      <c r="AA141" s="164">
        <v>202.342896</v>
      </c>
      <c r="AB141" s="164">
        <v>208.634064</v>
      </c>
      <c r="AC141" s="164">
        <v>214.88330099999999</v>
      </c>
      <c r="AD141" s="164">
        <v>221.019318</v>
      </c>
      <c r="AE141" s="164">
        <v>226.96713299999999</v>
      </c>
      <c r="AF141" s="163">
        <v>3.4674000000000003E-2</v>
      </c>
      <c r="AG141" s="155"/>
    </row>
    <row r="142" spans="1:33">
      <c r="A142" s="153" t="s">
        <v>1022</v>
      </c>
      <c r="B142" s="161" t="s">
        <v>1023</v>
      </c>
      <c r="C142" s="164">
        <v>105.801849</v>
      </c>
      <c r="D142" s="164">
        <v>131.08637999999999</v>
      </c>
      <c r="E142" s="164">
        <v>148.97323600000001</v>
      </c>
      <c r="F142" s="164">
        <v>162.49697900000001</v>
      </c>
      <c r="G142" s="164">
        <v>182.242538</v>
      </c>
      <c r="H142" s="164">
        <v>199.04045099999999</v>
      </c>
      <c r="I142" s="164">
        <v>215.68579099999999</v>
      </c>
      <c r="J142" s="164">
        <v>233.66879299999999</v>
      </c>
      <c r="K142" s="164">
        <v>252.08363299999999</v>
      </c>
      <c r="L142" s="164">
        <v>270.79431199999999</v>
      </c>
      <c r="M142" s="164">
        <v>289.70480300000003</v>
      </c>
      <c r="N142" s="164">
        <v>308.69137599999999</v>
      </c>
      <c r="O142" s="164">
        <v>327.61547899999999</v>
      </c>
      <c r="P142" s="164">
        <v>346.53881799999999</v>
      </c>
      <c r="Q142" s="164">
        <v>365.61932400000001</v>
      </c>
      <c r="R142" s="164">
        <v>385.17947400000003</v>
      </c>
      <c r="S142" s="164">
        <v>405.21984900000001</v>
      </c>
      <c r="T142" s="164">
        <v>425.707581</v>
      </c>
      <c r="U142" s="164">
        <v>446.58886699999999</v>
      </c>
      <c r="V142" s="164">
        <v>467.84079000000003</v>
      </c>
      <c r="W142" s="164">
        <v>489.42877199999998</v>
      </c>
      <c r="X142" s="164">
        <v>511.33187900000001</v>
      </c>
      <c r="Y142" s="164">
        <v>533.48980700000004</v>
      </c>
      <c r="Z142" s="164">
        <v>555.85424799999998</v>
      </c>
      <c r="AA142" s="164">
        <v>578.37213099999997</v>
      </c>
      <c r="AB142" s="164">
        <v>600.98870799999997</v>
      </c>
      <c r="AC142" s="164">
        <v>623.63964799999997</v>
      </c>
      <c r="AD142" s="164">
        <v>646.26062000000002</v>
      </c>
      <c r="AE142" s="164">
        <v>668.79229699999996</v>
      </c>
      <c r="AF142" s="163">
        <v>6.8071000000000007E-2</v>
      </c>
      <c r="AG142" s="155"/>
    </row>
    <row r="143" spans="1:33">
      <c r="A143" s="153" t="s">
        <v>1024</v>
      </c>
      <c r="B143" s="161" t="s">
        <v>972</v>
      </c>
      <c r="C143" s="164">
        <v>75.193489</v>
      </c>
      <c r="D143" s="164">
        <v>88.749320999999995</v>
      </c>
      <c r="E143" s="164">
        <v>96.573020999999997</v>
      </c>
      <c r="F143" s="164">
        <v>102.475159</v>
      </c>
      <c r="G143" s="164">
        <v>114.042053</v>
      </c>
      <c r="H143" s="164">
        <v>124.892517</v>
      </c>
      <c r="I143" s="164">
        <v>135.918442</v>
      </c>
      <c r="J143" s="164">
        <v>147.58873</v>
      </c>
      <c r="K143" s="164">
        <v>159.55355800000001</v>
      </c>
      <c r="L143" s="164">
        <v>171.721115</v>
      </c>
      <c r="M143" s="164">
        <v>184.025848</v>
      </c>
      <c r="N143" s="164">
        <v>196.38386499999999</v>
      </c>
      <c r="O143" s="164">
        <v>208.70137</v>
      </c>
      <c r="P143" s="164">
        <v>221.01852400000001</v>
      </c>
      <c r="Q143" s="164">
        <v>233.43985000000001</v>
      </c>
      <c r="R143" s="164">
        <v>246.18055699999999</v>
      </c>
      <c r="S143" s="164">
        <v>259.24078400000002</v>
      </c>
      <c r="T143" s="164">
        <v>272.59823599999999</v>
      </c>
      <c r="U143" s="164">
        <v>286.21472199999999</v>
      </c>
      <c r="V143" s="164">
        <v>300.07556199999999</v>
      </c>
      <c r="W143" s="164">
        <v>314.157196</v>
      </c>
      <c r="X143" s="164">
        <v>328.44482399999998</v>
      </c>
      <c r="Y143" s="164">
        <v>342.89700299999998</v>
      </c>
      <c r="Z143" s="164">
        <v>357.48037699999998</v>
      </c>
      <c r="AA143" s="164">
        <v>372.15881300000001</v>
      </c>
      <c r="AB143" s="164">
        <v>386.89511099999999</v>
      </c>
      <c r="AC143" s="164">
        <v>401.64532500000001</v>
      </c>
      <c r="AD143" s="164">
        <v>416.36498999999998</v>
      </c>
      <c r="AE143" s="164">
        <v>431.01361100000003</v>
      </c>
      <c r="AF143" s="163">
        <v>6.4344999999999999E-2</v>
      </c>
      <c r="AG143" s="155"/>
    </row>
    <row r="144" spans="1:33">
      <c r="A144" s="153" t="s">
        <v>1025</v>
      </c>
      <c r="B144" s="161" t="s">
        <v>974</v>
      </c>
      <c r="C144" s="164">
        <v>20.681094999999999</v>
      </c>
      <c r="D144" s="164">
        <v>31.151104</v>
      </c>
      <c r="E144" s="164">
        <v>40.734214999999999</v>
      </c>
      <c r="F144" s="164">
        <v>48.025737999999997</v>
      </c>
      <c r="G144" s="164">
        <v>54.971947</v>
      </c>
      <c r="H144" s="164">
        <v>59.613852999999999</v>
      </c>
      <c r="I144" s="164">
        <v>63.869911000000002</v>
      </c>
      <c r="J144" s="164">
        <v>68.771148999999994</v>
      </c>
      <c r="K144" s="164">
        <v>73.772148000000001</v>
      </c>
      <c r="L144" s="164">
        <v>78.840309000000005</v>
      </c>
      <c r="M144" s="164">
        <v>83.953598</v>
      </c>
      <c r="N144" s="164">
        <v>89.082618999999994</v>
      </c>
      <c r="O144" s="164">
        <v>94.194580000000002</v>
      </c>
      <c r="P144" s="164">
        <v>99.306160000000006</v>
      </c>
      <c r="Q144" s="164">
        <v>104.45790100000001</v>
      </c>
      <c r="R144" s="164">
        <v>109.730125</v>
      </c>
      <c r="S144" s="164">
        <v>115.12342099999999</v>
      </c>
      <c r="T144" s="164">
        <v>120.629929</v>
      </c>
      <c r="U144" s="164">
        <v>126.239189</v>
      </c>
      <c r="V144" s="164">
        <v>131.944626</v>
      </c>
      <c r="W144" s="164">
        <v>137.73826600000001</v>
      </c>
      <c r="X144" s="164">
        <v>143.61595199999999</v>
      </c>
      <c r="Y144" s="164">
        <v>149.56410199999999</v>
      </c>
      <c r="Z144" s="164">
        <v>155.57214400000001</v>
      </c>
      <c r="AA144" s="164">
        <v>161.627579</v>
      </c>
      <c r="AB144" s="164">
        <v>167.71759</v>
      </c>
      <c r="AC144" s="164">
        <v>173.827698</v>
      </c>
      <c r="AD144" s="164">
        <v>179.94335899999999</v>
      </c>
      <c r="AE144" s="164">
        <v>186.051331</v>
      </c>
      <c r="AF144" s="163">
        <v>8.1616999999999995E-2</v>
      </c>
      <c r="AG144" s="155"/>
    </row>
    <row r="145" spans="1:33">
      <c r="A145" s="153" t="s">
        <v>1026</v>
      </c>
      <c r="B145" s="161" t="s">
        <v>976</v>
      </c>
      <c r="C145" s="164">
        <v>9.9272690000000008</v>
      </c>
      <c r="D145" s="164">
        <v>11.185945</v>
      </c>
      <c r="E145" s="164">
        <v>11.666002000000001</v>
      </c>
      <c r="F145" s="164">
        <v>11.996092000000001</v>
      </c>
      <c r="G145" s="164">
        <v>13.228529999999999</v>
      </c>
      <c r="H145" s="164">
        <v>14.534067</v>
      </c>
      <c r="I145" s="164">
        <v>15.897460000000001</v>
      </c>
      <c r="J145" s="164">
        <v>17.308926</v>
      </c>
      <c r="K145" s="164">
        <v>18.757919000000001</v>
      </c>
      <c r="L145" s="164">
        <v>20.232868</v>
      </c>
      <c r="M145" s="164">
        <v>21.725401000000002</v>
      </c>
      <c r="N145" s="164">
        <v>23.224907000000002</v>
      </c>
      <c r="O145" s="164">
        <v>24.719524</v>
      </c>
      <c r="P145" s="164">
        <v>26.214109000000001</v>
      </c>
      <c r="Q145" s="164">
        <v>27.721582000000001</v>
      </c>
      <c r="R145" s="164">
        <v>29.26877</v>
      </c>
      <c r="S145" s="164">
        <v>30.855650000000001</v>
      </c>
      <c r="T145" s="164">
        <v>32.479407999999999</v>
      </c>
      <c r="U145" s="164">
        <v>34.134968000000001</v>
      </c>
      <c r="V145" s="164">
        <v>35.820602000000001</v>
      </c>
      <c r="W145" s="164">
        <v>37.533295000000003</v>
      </c>
      <c r="X145" s="164">
        <v>39.271095000000003</v>
      </c>
      <c r="Y145" s="164">
        <v>41.028694000000002</v>
      </c>
      <c r="Z145" s="164">
        <v>42.801788000000002</v>
      </c>
      <c r="AA145" s="164">
        <v>44.585773000000003</v>
      </c>
      <c r="AB145" s="164">
        <v>46.375937999999998</v>
      </c>
      <c r="AC145" s="164">
        <v>48.166649</v>
      </c>
      <c r="AD145" s="164">
        <v>49.952205999999997</v>
      </c>
      <c r="AE145" s="164">
        <v>51.727398000000001</v>
      </c>
      <c r="AF145" s="163">
        <v>6.0726000000000002E-2</v>
      </c>
      <c r="AG145" s="155"/>
    </row>
    <row r="146" spans="1:33">
      <c r="A146" s="153" t="s">
        <v>1027</v>
      </c>
      <c r="B146" s="161" t="s">
        <v>1028</v>
      </c>
      <c r="C146" s="164">
        <v>375.91976899999997</v>
      </c>
      <c r="D146" s="164">
        <v>481.70532200000002</v>
      </c>
      <c r="E146" s="164">
        <v>566.80071999999996</v>
      </c>
      <c r="F146" s="164">
        <v>619.48498500000005</v>
      </c>
      <c r="G146" s="164">
        <v>692.50787400000002</v>
      </c>
      <c r="H146" s="164">
        <v>742.44305399999996</v>
      </c>
      <c r="I146" s="164">
        <v>789.48498500000005</v>
      </c>
      <c r="J146" s="164">
        <v>826.39794900000004</v>
      </c>
      <c r="K146" s="164">
        <v>863.72631799999999</v>
      </c>
      <c r="L146" s="164">
        <v>901.85369900000001</v>
      </c>
      <c r="M146" s="164">
        <v>941.02893100000006</v>
      </c>
      <c r="N146" s="164">
        <v>981.25726299999997</v>
      </c>
      <c r="O146" s="164">
        <v>1022.627808</v>
      </c>
      <c r="P146" s="164">
        <v>1065.224731</v>
      </c>
      <c r="Q146" s="164">
        <v>1108.5661620000001</v>
      </c>
      <c r="R146" s="164">
        <v>1153.0804439999999</v>
      </c>
      <c r="S146" s="164">
        <v>1198.8654790000001</v>
      </c>
      <c r="T146" s="164">
        <v>1245.9023440000001</v>
      </c>
      <c r="U146" s="164">
        <v>1294.303101</v>
      </c>
      <c r="V146" s="164">
        <v>1343.3957519999999</v>
      </c>
      <c r="W146" s="164">
        <v>1393.615845</v>
      </c>
      <c r="X146" s="164">
        <v>1445.0317379999999</v>
      </c>
      <c r="Y146" s="164">
        <v>1497.6895750000001</v>
      </c>
      <c r="Z146" s="164">
        <v>1551.5473629999999</v>
      </c>
      <c r="AA146" s="164">
        <v>1605.368774</v>
      </c>
      <c r="AB146" s="164">
        <v>1660.1064449999999</v>
      </c>
      <c r="AC146" s="164">
        <v>1716.0744629999999</v>
      </c>
      <c r="AD146" s="164">
        <v>1773.384644</v>
      </c>
      <c r="AE146" s="164">
        <v>1832.1719969999999</v>
      </c>
      <c r="AF146" s="163">
        <v>5.8198E-2</v>
      </c>
      <c r="AG146" s="155"/>
    </row>
    <row r="147" spans="1:33">
      <c r="A147" s="153" t="s">
        <v>1029</v>
      </c>
      <c r="B147" s="161" t="s">
        <v>972</v>
      </c>
      <c r="C147" s="164">
        <v>202.08255</v>
      </c>
      <c r="D147" s="164">
        <v>239.99041700000001</v>
      </c>
      <c r="E147" s="164">
        <v>264.53637700000002</v>
      </c>
      <c r="F147" s="164">
        <v>278.37924199999998</v>
      </c>
      <c r="G147" s="164">
        <v>305.40206899999998</v>
      </c>
      <c r="H147" s="164">
        <v>325.109375</v>
      </c>
      <c r="I147" s="164">
        <v>344.39532500000001</v>
      </c>
      <c r="J147" s="164">
        <v>361.64950599999997</v>
      </c>
      <c r="K147" s="164">
        <v>379.05777</v>
      </c>
      <c r="L147" s="164">
        <v>396.874908</v>
      </c>
      <c r="M147" s="164">
        <v>415.19317599999999</v>
      </c>
      <c r="N147" s="164">
        <v>434.01336700000002</v>
      </c>
      <c r="O147" s="164">
        <v>453.38519300000002</v>
      </c>
      <c r="P147" s="164">
        <v>473.35357699999997</v>
      </c>
      <c r="Q147" s="164">
        <v>493.69140599999997</v>
      </c>
      <c r="R147" s="164">
        <v>514.59161400000005</v>
      </c>
      <c r="S147" s="164">
        <v>536.10888699999998</v>
      </c>
      <c r="T147" s="164">
        <v>558.22985800000004</v>
      </c>
      <c r="U147" s="164">
        <v>581.01440400000001</v>
      </c>
      <c r="V147" s="164">
        <v>604.13098100000002</v>
      </c>
      <c r="W147" s="164">
        <v>627.776794</v>
      </c>
      <c r="X147" s="164">
        <v>651.98644999999999</v>
      </c>
      <c r="Y147" s="164">
        <v>676.78234899999995</v>
      </c>
      <c r="Z147" s="164">
        <v>702.13751200000002</v>
      </c>
      <c r="AA147" s="164">
        <v>727.42218000000003</v>
      </c>
      <c r="AB147" s="164">
        <v>753.10339399999998</v>
      </c>
      <c r="AC147" s="164">
        <v>779.35504200000003</v>
      </c>
      <c r="AD147" s="164">
        <v>806.23724400000003</v>
      </c>
      <c r="AE147" s="164">
        <v>833.82495100000006</v>
      </c>
      <c r="AF147" s="163">
        <v>5.1922999999999997E-2</v>
      </c>
      <c r="AG147" s="155"/>
    </row>
    <row r="148" spans="1:33">
      <c r="A148" s="153" t="s">
        <v>1030</v>
      </c>
      <c r="B148" s="161" t="s">
        <v>974</v>
      </c>
      <c r="C148" s="164">
        <v>155.46173099999999</v>
      </c>
      <c r="D148" s="164">
        <v>220.74285900000001</v>
      </c>
      <c r="E148" s="164">
        <v>279.43624899999998</v>
      </c>
      <c r="F148" s="164">
        <v>317.849243</v>
      </c>
      <c r="G148" s="164">
        <v>362.02066000000002</v>
      </c>
      <c r="H148" s="164">
        <v>390.80450400000001</v>
      </c>
      <c r="I148" s="164">
        <v>417.08648699999998</v>
      </c>
      <c r="J148" s="164">
        <v>435.25451700000002</v>
      </c>
      <c r="K148" s="164">
        <v>453.67334</v>
      </c>
      <c r="L148" s="164">
        <v>472.444458</v>
      </c>
      <c r="M148" s="164">
        <v>491.71816999999999</v>
      </c>
      <c r="N148" s="164">
        <v>511.49902300000002</v>
      </c>
      <c r="O148" s="164">
        <v>531.82147199999997</v>
      </c>
      <c r="P148" s="164">
        <v>552.72070299999996</v>
      </c>
      <c r="Q148" s="164">
        <v>573.96124299999997</v>
      </c>
      <c r="R148" s="164">
        <v>595.76293899999996</v>
      </c>
      <c r="S148" s="164">
        <v>618.16339100000005</v>
      </c>
      <c r="T148" s="164">
        <v>641.15844700000002</v>
      </c>
      <c r="U148" s="164">
        <v>664.79449499999998</v>
      </c>
      <c r="V148" s="164">
        <v>688.76110800000004</v>
      </c>
      <c r="W148" s="164">
        <v>713.28021200000001</v>
      </c>
      <c r="X148" s="164">
        <v>738.38207999999997</v>
      </c>
      <c r="Y148" s="164">
        <v>764.08868399999994</v>
      </c>
      <c r="Z148" s="164">
        <v>790.38763400000005</v>
      </c>
      <c r="AA148" s="164">
        <v>816.730591</v>
      </c>
      <c r="AB148" s="164">
        <v>843.56140100000005</v>
      </c>
      <c r="AC148" s="164">
        <v>871.00286900000003</v>
      </c>
      <c r="AD148" s="164">
        <v>899.10162400000002</v>
      </c>
      <c r="AE148" s="164">
        <v>927.90972899999997</v>
      </c>
      <c r="AF148" s="163">
        <v>6.5883999999999998E-2</v>
      </c>
      <c r="AG148" s="155"/>
    </row>
    <row r="149" spans="1:33">
      <c r="A149" s="153" t="s">
        <v>1031</v>
      </c>
      <c r="B149" s="161" t="s">
        <v>976</v>
      </c>
      <c r="C149" s="164">
        <v>18.375473</v>
      </c>
      <c r="D149" s="164">
        <v>20.972035999999999</v>
      </c>
      <c r="E149" s="164">
        <v>22.828130999999999</v>
      </c>
      <c r="F149" s="164">
        <v>23.256474000000001</v>
      </c>
      <c r="G149" s="164">
        <v>25.085111999999999</v>
      </c>
      <c r="H149" s="164">
        <v>26.529171000000002</v>
      </c>
      <c r="I149" s="164">
        <v>28.003108999999998</v>
      </c>
      <c r="J149" s="164">
        <v>29.493925000000001</v>
      </c>
      <c r="K149" s="164">
        <v>30.995201000000002</v>
      </c>
      <c r="L149" s="164">
        <v>32.534325000000003</v>
      </c>
      <c r="M149" s="164">
        <v>34.117558000000002</v>
      </c>
      <c r="N149" s="164">
        <v>35.744843000000003</v>
      </c>
      <c r="O149" s="164">
        <v>37.421059</v>
      </c>
      <c r="P149" s="164">
        <v>39.150475</v>
      </c>
      <c r="Q149" s="164">
        <v>40.913345</v>
      </c>
      <c r="R149" s="164">
        <v>42.7258</v>
      </c>
      <c r="S149" s="164">
        <v>44.593226999999999</v>
      </c>
      <c r="T149" s="164">
        <v>46.514130000000002</v>
      </c>
      <c r="U149" s="164">
        <v>48.494213000000002</v>
      </c>
      <c r="V149" s="164">
        <v>50.503624000000002</v>
      </c>
      <c r="W149" s="164">
        <v>52.558903000000001</v>
      </c>
      <c r="X149" s="164">
        <v>54.663254000000002</v>
      </c>
      <c r="Y149" s="164">
        <v>56.818660999999999</v>
      </c>
      <c r="Z149" s="164">
        <v>59.022284999999997</v>
      </c>
      <c r="AA149" s="164">
        <v>61.216000000000001</v>
      </c>
      <c r="AB149" s="164">
        <v>63.441715000000002</v>
      </c>
      <c r="AC149" s="164">
        <v>65.716399999999993</v>
      </c>
      <c r="AD149" s="164">
        <v>68.045783999999998</v>
      </c>
      <c r="AE149" s="164">
        <v>70.437195000000003</v>
      </c>
      <c r="AF149" s="163">
        <v>4.9160000000000002E-2</v>
      </c>
      <c r="AG149" s="155"/>
    </row>
    <row r="150" spans="1:33">
      <c r="A150" s="153" t="s">
        <v>1032</v>
      </c>
      <c r="B150" s="161" t="s">
        <v>1033</v>
      </c>
      <c r="C150" s="164">
        <v>162.27954099999999</v>
      </c>
      <c r="D150" s="164">
        <v>220.34437600000001</v>
      </c>
      <c r="E150" s="164">
        <v>283.60168499999997</v>
      </c>
      <c r="F150" s="164">
        <v>335.28662100000003</v>
      </c>
      <c r="G150" s="164">
        <v>373.78436299999998</v>
      </c>
      <c r="H150" s="164">
        <v>399.65692100000001</v>
      </c>
      <c r="I150" s="164">
        <v>424.588165</v>
      </c>
      <c r="J150" s="164">
        <v>444.73553500000003</v>
      </c>
      <c r="K150" s="164">
        <v>465.55981400000002</v>
      </c>
      <c r="L150" s="164">
        <v>486.492706</v>
      </c>
      <c r="M150" s="164">
        <v>508.21795700000001</v>
      </c>
      <c r="N150" s="164">
        <v>530.80432099999996</v>
      </c>
      <c r="O150" s="164">
        <v>554.29113800000005</v>
      </c>
      <c r="P150" s="164">
        <v>578.72289999999998</v>
      </c>
      <c r="Q150" s="164">
        <v>603.86834699999997</v>
      </c>
      <c r="R150" s="164">
        <v>629.992615</v>
      </c>
      <c r="S150" s="164">
        <v>657.12609899999995</v>
      </c>
      <c r="T150" s="164">
        <v>685.28576699999996</v>
      </c>
      <c r="U150" s="164">
        <v>714.50665300000003</v>
      </c>
      <c r="V150" s="164">
        <v>744.58624299999997</v>
      </c>
      <c r="W150" s="164">
        <v>775.77813700000002</v>
      </c>
      <c r="X150" s="164">
        <v>808.120544</v>
      </c>
      <c r="Y150" s="164">
        <v>841.64727800000003</v>
      </c>
      <c r="Z150" s="164">
        <v>876.40563999999995</v>
      </c>
      <c r="AA150" s="164">
        <v>912.07891800000004</v>
      </c>
      <c r="AB150" s="164">
        <v>949.02533000000005</v>
      </c>
      <c r="AC150" s="164">
        <v>987.29339600000003</v>
      </c>
      <c r="AD150" s="164">
        <v>1026.921143</v>
      </c>
      <c r="AE150" s="164">
        <v>1067.9521480000001</v>
      </c>
      <c r="AF150" s="163">
        <v>6.9608000000000003E-2</v>
      </c>
      <c r="AG150" s="155"/>
    </row>
    <row r="151" spans="1:33">
      <c r="A151" s="153" t="s">
        <v>1034</v>
      </c>
      <c r="B151" s="161" t="s">
        <v>972</v>
      </c>
      <c r="C151" s="164">
        <v>47.925185999999997</v>
      </c>
      <c r="D151" s="164">
        <v>65.206665000000001</v>
      </c>
      <c r="E151" s="164">
        <v>84.260093999999995</v>
      </c>
      <c r="F151" s="164">
        <v>98.283669000000003</v>
      </c>
      <c r="G151" s="164">
        <v>106.965828</v>
      </c>
      <c r="H151" s="164">
        <v>113.162628</v>
      </c>
      <c r="I151" s="164">
        <v>119.248817</v>
      </c>
      <c r="J151" s="164">
        <v>124.49781</v>
      </c>
      <c r="K151" s="164">
        <v>129.91471899999999</v>
      </c>
      <c r="L151" s="164">
        <v>135.37001000000001</v>
      </c>
      <c r="M151" s="164">
        <v>140.99529999999999</v>
      </c>
      <c r="N151" s="164">
        <v>146.82103000000001</v>
      </c>
      <c r="O151" s="164">
        <v>152.85952800000001</v>
      </c>
      <c r="P151" s="164">
        <v>159.126328</v>
      </c>
      <c r="Q151" s="164">
        <v>165.56712300000001</v>
      </c>
      <c r="R151" s="164">
        <v>172.23751799999999</v>
      </c>
      <c r="S151" s="164">
        <v>179.143967</v>
      </c>
      <c r="T151" s="164">
        <v>186.28448499999999</v>
      </c>
      <c r="U151" s="164">
        <v>193.666122</v>
      </c>
      <c r="V151" s="164">
        <v>201.24624600000001</v>
      </c>
      <c r="W151" s="164">
        <v>209.07875100000001</v>
      </c>
      <c r="X151" s="164">
        <v>217.173676</v>
      </c>
      <c r="Y151" s="164">
        <v>225.537994</v>
      </c>
      <c r="Z151" s="164">
        <v>234.18237300000001</v>
      </c>
      <c r="AA151" s="164">
        <v>243.03521699999999</v>
      </c>
      <c r="AB151" s="164">
        <v>252.17364499999999</v>
      </c>
      <c r="AC151" s="164">
        <v>261.61105300000003</v>
      </c>
      <c r="AD151" s="164">
        <v>271.35537699999998</v>
      </c>
      <c r="AE151" s="164">
        <v>281.41656499999999</v>
      </c>
      <c r="AF151" s="163">
        <v>6.5263000000000002E-2</v>
      </c>
      <c r="AG151" s="155"/>
    </row>
    <row r="152" spans="1:33">
      <c r="A152" s="153" t="s">
        <v>1035</v>
      </c>
      <c r="B152" s="161" t="s">
        <v>974</v>
      </c>
      <c r="C152" s="164">
        <v>111.985527</v>
      </c>
      <c r="D152" s="164">
        <v>151.942352</v>
      </c>
      <c r="E152" s="164">
        <v>195.23732000000001</v>
      </c>
      <c r="F152" s="164">
        <v>232.306488</v>
      </c>
      <c r="G152" s="164">
        <v>261.88717700000001</v>
      </c>
      <c r="H152" s="164">
        <v>281.36276199999998</v>
      </c>
      <c r="I152" s="164">
        <v>300.00149499999998</v>
      </c>
      <c r="J152" s="164">
        <v>314.694458</v>
      </c>
      <c r="K152" s="164">
        <v>329.890533</v>
      </c>
      <c r="L152" s="164">
        <v>345.15454099999999</v>
      </c>
      <c r="M152" s="164">
        <v>361.03707900000001</v>
      </c>
      <c r="N152" s="164">
        <v>377.57427999999999</v>
      </c>
      <c r="O152" s="164">
        <v>394.79260299999999</v>
      </c>
      <c r="P152" s="164">
        <v>412.71994000000001</v>
      </c>
      <c r="Q152" s="164">
        <v>431.18127399999997</v>
      </c>
      <c r="R152" s="164">
        <v>450.384613</v>
      </c>
      <c r="S152" s="164">
        <v>470.35406499999999</v>
      </c>
      <c r="T152" s="164">
        <v>491.10906999999997</v>
      </c>
      <c r="U152" s="164">
        <v>512.677368</v>
      </c>
      <c r="V152" s="164">
        <v>534.90020800000002</v>
      </c>
      <c r="W152" s="164">
        <v>557.97601299999997</v>
      </c>
      <c r="X152" s="164">
        <v>581.93243399999994</v>
      </c>
      <c r="Y152" s="164">
        <v>606.79632600000002</v>
      </c>
      <c r="Z152" s="164">
        <v>632.60412599999995</v>
      </c>
      <c r="AA152" s="164">
        <v>659.11236599999995</v>
      </c>
      <c r="AB152" s="164">
        <v>686.60070800000005</v>
      </c>
      <c r="AC152" s="164">
        <v>715.10357699999997</v>
      </c>
      <c r="AD152" s="164">
        <v>744.650757</v>
      </c>
      <c r="AE152" s="164">
        <v>775.27581799999996</v>
      </c>
      <c r="AF152" s="163">
        <v>7.1544999999999997E-2</v>
      </c>
      <c r="AG152" s="155"/>
    </row>
    <row r="153" spans="1:33">
      <c r="A153" s="153" t="s">
        <v>1036</v>
      </c>
      <c r="B153" s="161" t="s">
        <v>976</v>
      </c>
      <c r="C153" s="164">
        <v>2.3688289999999999</v>
      </c>
      <c r="D153" s="164">
        <v>3.1953429999999998</v>
      </c>
      <c r="E153" s="164">
        <v>4.1042870000000002</v>
      </c>
      <c r="F153" s="164">
        <v>4.6964689999999996</v>
      </c>
      <c r="G153" s="164">
        <v>4.9313560000000001</v>
      </c>
      <c r="H153" s="164">
        <v>5.1315350000000004</v>
      </c>
      <c r="I153" s="164">
        <v>5.3378620000000003</v>
      </c>
      <c r="J153" s="164">
        <v>5.5432589999999999</v>
      </c>
      <c r="K153" s="164">
        <v>5.7545710000000003</v>
      </c>
      <c r="L153" s="164">
        <v>5.968172</v>
      </c>
      <c r="M153" s="164">
        <v>6.1855859999999998</v>
      </c>
      <c r="N153" s="164">
        <v>6.4089879999999999</v>
      </c>
      <c r="O153" s="164">
        <v>6.6390180000000001</v>
      </c>
      <c r="P153" s="164">
        <v>6.8765869999999998</v>
      </c>
      <c r="Q153" s="164">
        <v>7.1200349999999997</v>
      </c>
      <c r="R153" s="164">
        <v>7.3704929999999997</v>
      </c>
      <c r="S153" s="164">
        <v>7.6280970000000003</v>
      </c>
      <c r="T153" s="164">
        <v>7.8922679999999996</v>
      </c>
      <c r="U153" s="164">
        <v>8.1631269999999994</v>
      </c>
      <c r="V153" s="164">
        <v>8.4397870000000008</v>
      </c>
      <c r="W153" s="164">
        <v>8.7234130000000007</v>
      </c>
      <c r="X153" s="164">
        <v>9.0144040000000007</v>
      </c>
      <c r="Y153" s="164">
        <v>9.3128930000000008</v>
      </c>
      <c r="Z153" s="164">
        <v>9.6191580000000005</v>
      </c>
      <c r="AA153" s="164">
        <v>9.93126</v>
      </c>
      <c r="AB153" s="164">
        <v>10.250947</v>
      </c>
      <c r="AC153" s="164">
        <v>10.578808</v>
      </c>
      <c r="AD153" s="164">
        <v>10.914996</v>
      </c>
      <c r="AE153" s="164">
        <v>11.259789</v>
      </c>
      <c r="AF153" s="163">
        <v>5.7251999999999997E-2</v>
      </c>
      <c r="AG153" s="155"/>
    </row>
    <row r="154" spans="1:33">
      <c r="A154" s="153" t="s">
        <v>1037</v>
      </c>
      <c r="B154" s="161" t="s">
        <v>1038</v>
      </c>
      <c r="C154" s="164">
        <v>108.068314</v>
      </c>
      <c r="D154" s="164">
        <v>134.33866900000001</v>
      </c>
      <c r="E154" s="164">
        <v>160.460846</v>
      </c>
      <c r="F154" s="164">
        <v>175.372849</v>
      </c>
      <c r="G154" s="164">
        <v>190.59790000000001</v>
      </c>
      <c r="H154" s="164">
        <v>200.96203600000001</v>
      </c>
      <c r="I154" s="164">
        <v>209.95349100000001</v>
      </c>
      <c r="J154" s="164">
        <v>219.482651</v>
      </c>
      <c r="K154" s="164">
        <v>229.459</v>
      </c>
      <c r="L154" s="164">
        <v>239.86399800000001</v>
      </c>
      <c r="M154" s="164">
        <v>250.63970900000001</v>
      </c>
      <c r="N154" s="164">
        <v>261.76123000000001</v>
      </c>
      <c r="O154" s="164">
        <v>273.22671500000001</v>
      </c>
      <c r="P154" s="164">
        <v>285.03585800000002</v>
      </c>
      <c r="Q154" s="164">
        <v>297.30960099999999</v>
      </c>
      <c r="R154" s="164">
        <v>309.96319599999998</v>
      </c>
      <c r="S154" s="164">
        <v>322.98092700000001</v>
      </c>
      <c r="T154" s="164">
        <v>336.36114500000002</v>
      </c>
      <c r="U154" s="164">
        <v>350.11276199999998</v>
      </c>
      <c r="V154" s="164">
        <v>364.35461400000003</v>
      </c>
      <c r="W154" s="164">
        <v>378.99136399999998</v>
      </c>
      <c r="X154" s="164">
        <v>394.01416</v>
      </c>
      <c r="Y154" s="164">
        <v>409.428406</v>
      </c>
      <c r="Z154" s="164">
        <v>425.250519</v>
      </c>
      <c r="AA154" s="164">
        <v>441.58010899999999</v>
      </c>
      <c r="AB154" s="164">
        <v>458.33084100000002</v>
      </c>
      <c r="AC154" s="164">
        <v>475.49792500000001</v>
      </c>
      <c r="AD154" s="164">
        <v>493.08587599999998</v>
      </c>
      <c r="AE154" s="164">
        <v>511.11007699999999</v>
      </c>
      <c r="AF154" s="163">
        <v>5.7062000000000002E-2</v>
      </c>
      <c r="AG154" s="155"/>
    </row>
    <row r="155" spans="1:33">
      <c r="A155" s="153" t="s">
        <v>1039</v>
      </c>
      <c r="B155" s="161" t="s">
        <v>972</v>
      </c>
      <c r="C155" s="164">
        <v>45.485579999999999</v>
      </c>
      <c r="D155" s="164">
        <v>55.676124999999999</v>
      </c>
      <c r="E155" s="164">
        <v>66.977654000000001</v>
      </c>
      <c r="F155" s="164">
        <v>72.654563999999993</v>
      </c>
      <c r="G155" s="164">
        <v>78.271675000000002</v>
      </c>
      <c r="H155" s="164">
        <v>82.364295999999996</v>
      </c>
      <c r="I155" s="164">
        <v>86.127701000000002</v>
      </c>
      <c r="J155" s="164">
        <v>90.092490999999995</v>
      </c>
      <c r="K155" s="164">
        <v>94.245590000000007</v>
      </c>
      <c r="L155" s="164">
        <v>98.584045000000003</v>
      </c>
      <c r="M155" s="164">
        <v>103.082115</v>
      </c>
      <c r="N155" s="164">
        <v>107.73053</v>
      </c>
      <c r="O155" s="164">
        <v>112.529045</v>
      </c>
      <c r="P155" s="164">
        <v>117.478104</v>
      </c>
      <c r="Q155" s="164">
        <v>122.62938699999999</v>
      </c>
      <c r="R155" s="164">
        <v>127.946747</v>
      </c>
      <c r="S155" s="164">
        <v>133.42456100000001</v>
      </c>
      <c r="T155" s="164">
        <v>139.062714</v>
      </c>
      <c r="U155" s="164">
        <v>144.863831</v>
      </c>
      <c r="V155" s="164">
        <v>150.87931800000001</v>
      </c>
      <c r="W155" s="164">
        <v>157.06916799999999</v>
      </c>
      <c r="X155" s="164">
        <v>163.43048099999999</v>
      </c>
      <c r="Y155" s="164">
        <v>169.96601899999999</v>
      </c>
      <c r="Z155" s="164">
        <v>176.68287699999999</v>
      </c>
      <c r="AA155" s="164">
        <v>183.623535</v>
      </c>
      <c r="AB155" s="164">
        <v>190.75221300000001</v>
      </c>
      <c r="AC155" s="164">
        <v>198.06779499999999</v>
      </c>
      <c r="AD155" s="164">
        <v>205.57281499999999</v>
      </c>
      <c r="AE155" s="164">
        <v>213.27409399999999</v>
      </c>
      <c r="AF155" s="163">
        <v>5.6736000000000002E-2</v>
      </c>
      <c r="AG155" s="155"/>
    </row>
    <row r="156" spans="1:33">
      <c r="A156" s="153" t="s">
        <v>1040</v>
      </c>
      <c r="B156" s="161" t="s">
        <v>974</v>
      </c>
      <c r="C156" s="164">
        <v>57.727024</v>
      </c>
      <c r="D156" s="164">
        <v>72.771004000000005</v>
      </c>
      <c r="E156" s="164">
        <v>86.377089999999995</v>
      </c>
      <c r="F156" s="164">
        <v>95.095618999999999</v>
      </c>
      <c r="G156" s="164">
        <v>104.223206</v>
      </c>
      <c r="H156" s="164">
        <v>110.09704600000001</v>
      </c>
      <c r="I156" s="164">
        <v>114.92420199999999</v>
      </c>
      <c r="J156" s="164">
        <v>120.06993900000001</v>
      </c>
      <c r="K156" s="164">
        <v>125.454285</v>
      </c>
      <c r="L156" s="164">
        <v>131.06126399999999</v>
      </c>
      <c r="M156" s="164">
        <v>136.86163300000001</v>
      </c>
      <c r="N156" s="164">
        <v>142.84060700000001</v>
      </c>
      <c r="O156" s="164">
        <v>148.99646000000001</v>
      </c>
      <c r="P156" s="164">
        <v>155.32835399999999</v>
      </c>
      <c r="Q156" s="164">
        <v>161.89987199999999</v>
      </c>
      <c r="R156" s="164">
        <v>168.666382</v>
      </c>
      <c r="S156" s="164">
        <v>175.618225</v>
      </c>
      <c r="T156" s="164">
        <v>182.753784</v>
      </c>
      <c r="U156" s="164">
        <v>190.07925399999999</v>
      </c>
      <c r="V156" s="164">
        <v>197.656296</v>
      </c>
      <c r="W156" s="164">
        <v>205.43386799999999</v>
      </c>
      <c r="X156" s="164">
        <v>213.40623500000001</v>
      </c>
      <c r="Y156" s="164">
        <v>221.57566800000001</v>
      </c>
      <c r="Z156" s="164">
        <v>229.95066800000001</v>
      </c>
      <c r="AA156" s="164">
        <v>238.58374000000001</v>
      </c>
      <c r="AB156" s="164">
        <v>247.42799400000001</v>
      </c>
      <c r="AC156" s="164">
        <v>256.47988900000001</v>
      </c>
      <c r="AD156" s="164">
        <v>265.74093599999998</v>
      </c>
      <c r="AE156" s="164">
        <v>275.21890300000001</v>
      </c>
      <c r="AF156" s="163">
        <v>5.7364999999999999E-2</v>
      </c>
      <c r="AG156" s="155"/>
    </row>
    <row r="157" spans="1:33">
      <c r="A157" s="153" t="s">
        <v>1041</v>
      </c>
      <c r="B157" s="161" t="s">
        <v>976</v>
      </c>
      <c r="C157" s="164">
        <v>4.855702</v>
      </c>
      <c r="D157" s="164">
        <v>5.891534</v>
      </c>
      <c r="E157" s="164">
        <v>7.1060939999999997</v>
      </c>
      <c r="F157" s="164">
        <v>7.6226510000000003</v>
      </c>
      <c r="G157" s="164">
        <v>8.1030320000000007</v>
      </c>
      <c r="H157" s="164">
        <v>8.5006830000000004</v>
      </c>
      <c r="I157" s="164">
        <v>8.9015810000000002</v>
      </c>
      <c r="J157" s="164">
        <v>9.3202309999999997</v>
      </c>
      <c r="K157" s="164">
        <v>9.7591210000000004</v>
      </c>
      <c r="L157" s="164">
        <v>10.218685000000001</v>
      </c>
      <c r="M157" s="164">
        <v>10.695945999999999</v>
      </c>
      <c r="N157" s="164">
        <v>11.190096</v>
      </c>
      <c r="O157" s="164">
        <v>11.701198</v>
      </c>
      <c r="P157" s="164">
        <v>12.229378000000001</v>
      </c>
      <c r="Q157" s="164">
        <v>12.780315999999999</v>
      </c>
      <c r="R157" s="164">
        <v>13.350054</v>
      </c>
      <c r="S157" s="164">
        <v>13.938138</v>
      </c>
      <c r="T157" s="164">
        <v>14.544650000000001</v>
      </c>
      <c r="U157" s="164">
        <v>15.169689</v>
      </c>
      <c r="V157" s="164">
        <v>15.819004</v>
      </c>
      <c r="W157" s="164">
        <v>16.488309999999998</v>
      </c>
      <c r="X157" s="164">
        <v>17.177424999999999</v>
      </c>
      <c r="Y157" s="164">
        <v>17.886718999999999</v>
      </c>
      <c r="Z157" s="164">
        <v>18.616985</v>
      </c>
      <c r="AA157" s="164">
        <v>19.372869000000001</v>
      </c>
      <c r="AB157" s="164">
        <v>20.150623</v>
      </c>
      <c r="AC157" s="164">
        <v>20.950258000000002</v>
      </c>
      <c r="AD157" s="164">
        <v>21.772144000000001</v>
      </c>
      <c r="AE157" s="164">
        <v>22.617076999999998</v>
      </c>
      <c r="AF157" s="163">
        <v>5.6486000000000001E-2</v>
      </c>
      <c r="AG157" s="155"/>
    </row>
    <row r="158" spans="1:33">
      <c r="A158" s="153" t="s">
        <v>1042</v>
      </c>
      <c r="B158" s="161" t="s">
        <v>1043</v>
      </c>
      <c r="C158" s="164">
        <v>87.274039999999999</v>
      </c>
      <c r="D158" s="164">
        <v>97.675728000000007</v>
      </c>
      <c r="E158" s="164">
        <v>104.957893</v>
      </c>
      <c r="F158" s="164">
        <v>111.186455</v>
      </c>
      <c r="G158" s="164">
        <v>117.21154</v>
      </c>
      <c r="H158" s="164">
        <v>121.512398</v>
      </c>
      <c r="I158" s="164">
        <v>125.17572</v>
      </c>
      <c r="J158" s="164">
        <v>128.093277</v>
      </c>
      <c r="K158" s="164">
        <v>130.81806900000001</v>
      </c>
      <c r="L158" s="164">
        <v>133.28259299999999</v>
      </c>
      <c r="M158" s="164">
        <v>135.629974</v>
      </c>
      <c r="N158" s="164">
        <v>137.85252399999999</v>
      </c>
      <c r="O158" s="164">
        <v>139.94085699999999</v>
      </c>
      <c r="P158" s="164">
        <v>141.886719</v>
      </c>
      <c r="Q158" s="164">
        <v>143.68980400000001</v>
      </c>
      <c r="R158" s="164">
        <v>145.369553</v>
      </c>
      <c r="S158" s="164">
        <v>146.93897999999999</v>
      </c>
      <c r="T158" s="164">
        <v>148.411224</v>
      </c>
      <c r="U158" s="164">
        <v>149.79480000000001</v>
      </c>
      <c r="V158" s="164">
        <v>151.101685</v>
      </c>
      <c r="W158" s="164">
        <v>152.338089</v>
      </c>
      <c r="X158" s="164">
        <v>153.50933800000001</v>
      </c>
      <c r="Y158" s="164">
        <v>154.61885100000001</v>
      </c>
      <c r="Z158" s="164">
        <v>155.67060900000001</v>
      </c>
      <c r="AA158" s="164">
        <v>156.67411799999999</v>
      </c>
      <c r="AB158" s="164">
        <v>157.629074</v>
      </c>
      <c r="AC158" s="164">
        <v>158.53407300000001</v>
      </c>
      <c r="AD158" s="164">
        <v>159.38314800000001</v>
      </c>
      <c r="AE158" s="164">
        <v>160.178146</v>
      </c>
      <c r="AF158" s="163">
        <v>2.1923999999999999E-2</v>
      </c>
      <c r="AG158" s="155"/>
    </row>
    <row r="159" spans="1:33">
      <c r="A159" s="153" t="s">
        <v>1044</v>
      </c>
      <c r="B159" s="161" t="s">
        <v>972</v>
      </c>
      <c r="C159" s="164">
        <v>55.069285999999998</v>
      </c>
      <c r="D159" s="164">
        <v>58.950187999999997</v>
      </c>
      <c r="E159" s="164">
        <v>60.784492</v>
      </c>
      <c r="F159" s="164">
        <v>63.028281999999997</v>
      </c>
      <c r="G159" s="164">
        <v>65.069220999999999</v>
      </c>
      <c r="H159" s="164">
        <v>66.783760000000001</v>
      </c>
      <c r="I159" s="164">
        <v>68.396538000000007</v>
      </c>
      <c r="J159" s="164">
        <v>69.879149999999996</v>
      </c>
      <c r="K159" s="164">
        <v>71.271529999999998</v>
      </c>
      <c r="L159" s="164">
        <v>72.542534000000003</v>
      </c>
      <c r="M159" s="164">
        <v>73.758780999999999</v>
      </c>
      <c r="N159" s="164">
        <v>74.916718000000003</v>
      </c>
      <c r="O159" s="164">
        <v>76.011939999999996</v>
      </c>
      <c r="P159" s="164">
        <v>77.040688000000003</v>
      </c>
      <c r="Q159" s="164">
        <v>78.002571000000003</v>
      </c>
      <c r="R159" s="164">
        <v>78.906502000000003</v>
      </c>
      <c r="S159" s="164">
        <v>79.758544999999998</v>
      </c>
      <c r="T159" s="164">
        <v>80.564812000000003</v>
      </c>
      <c r="U159" s="164">
        <v>81.327788999999996</v>
      </c>
      <c r="V159" s="164">
        <v>82.053589000000002</v>
      </c>
      <c r="W159" s="164">
        <v>82.744964999999993</v>
      </c>
      <c r="X159" s="164">
        <v>83.404449</v>
      </c>
      <c r="Y159" s="164">
        <v>84.033835999999994</v>
      </c>
      <c r="Z159" s="164">
        <v>84.634856999999997</v>
      </c>
      <c r="AA159" s="164">
        <v>85.210953000000003</v>
      </c>
      <c r="AB159" s="164">
        <v>85.762046999999995</v>
      </c>
      <c r="AC159" s="164">
        <v>86.288871999999998</v>
      </c>
      <c r="AD159" s="164">
        <v>86.790169000000006</v>
      </c>
      <c r="AE159" s="164">
        <v>87.267905999999996</v>
      </c>
      <c r="AF159" s="163">
        <v>1.6577999999999999E-2</v>
      </c>
      <c r="AG159" s="155"/>
    </row>
    <row r="160" spans="1:33">
      <c r="A160" s="153" t="s">
        <v>1045</v>
      </c>
      <c r="B160" s="161" t="s">
        <v>974</v>
      </c>
      <c r="C160" s="164">
        <v>24.418623</v>
      </c>
      <c r="D160" s="164">
        <v>30.534485</v>
      </c>
      <c r="E160" s="164">
        <v>35.821396</v>
      </c>
      <c r="F160" s="164">
        <v>39.563567999999997</v>
      </c>
      <c r="G160" s="164">
        <v>43.337069999999997</v>
      </c>
      <c r="H160" s="164">
        <v>45.72522</v>
      </c>
      <c r="I160" s="164">
        <v>47.578659000000002</v>
      </c>
      <c r="J160" s="164">
        <v>48.819865999999998</v>
      </c>
      <c r="K160" s="164">
        <v>49.969912999999998</v>
      </c>
      <c r="L160" s="164">
        <v>50.996322999999997</v>
      </c>
      <c r="M160" s="164">
        <v>51.967243000000003</v>
      </c>
      <c r="N160" s="164">
        <v>52.878990000000002</v>
      </c>
      <c r="O160" s="164">
        <v>53.727093000000004</v>
      </c>
      <c r="P160" s="164">
        <v>54.507576</v>
      </c>
      <c r="Q160" s="164">
        <v>55.220581000000003</v>
      </c>
      <c r="R160" s="164">
        <v>55.875506999999999</v>
      </c>
      <c r="S160" s="164">
        <v>56.478569</v>
      </c>
      <c r="T160" s="164">
        <v>57.035995</v>
      </c>
      <c r="U160" s="164">
        <v>57.553618999999998</v>
      </c>
      <c r="V160" s="164">
        <v>58.036453000000002</v>
      </c>
      <c r="W160" s="164">
        <v>58.487693999999998</v>
      </c>
      <c r="X160" s="164">
        <v>58.909728999999999</v>
      </c>
      <c r="Y160" s="164">
        <v>59.304004999999997</v>
      </c>
      <c r="Z160" s="164">
        <v>59.672576999999997</v>
      </c>
      <c r="AA160" s="164">
        <v>60.021061000000003</v>
      </c>
      <c r="AB160" s="164">
        <v>60.349293000000003</v>
      </c>
      <c r="AC160" s="164">
        <v>60.654957000000003</v>
      </c>
      <c r="AD160" s="164">
        <v>60.933376000000003</v>
      </c>
      <c r="AE160" s="164">
        <v>61.184170000000002</v>
      </c>
      <c r="AF160" s="163">
        <v>3.3348999999999997E-2</v>
      </c>
      <c r="AG160" s="155"/>
    </row>
    <row r="161" spans="1:33">
      <c r="A161" s="153" t="s">
        <v>1046</v>
      </c>
      <c r="B161" s="161" t="s">
        <v>976</v>
      </c>
      <c r="C161" s="164">
        <v>7.7861359999999999</v>
      </c>
      <c r="D161" s="164">
        <v>8.1910520000000009</v>
      </c>
      <c r="E161" s="164">
        <v>8.3520000000000003</v>
      </c>
      <c r="F161" s="164">
        <v>8.5946079999999991</v>
      </c>
      <c r="G161" s="164">
        <v>8.8052489999999999</v>
      </c>
      <c r="H161" s="164">
        <v>9.0034290000000006</v>
      </c>
      <c r="I161" s="164">
        <v>9.2005160000000004</v>
      </c>
      <c r="J161" s="164">
        <v>9.3942560000000004</v>
      </c>
      <c r="K161" s="164">
        <v>9.5766290000000005</v>
      </c>
      <c r="L161" s="164">
        <v>9.7437380000000005</v>
      </c>
      <c r="M161" s="164">
        <v>9.9039549999999998</v>
      </c>
      <c r="N161" s="164">
        <v>10.056832999999999</v>
      </c>
      <c r="O161" s="164">
        <v>10.201817999999999</v>
      </c>
      <c r="P161" s="164">
        <v>10.338438999999999</v>
      </c>
      <c r="Q161" s="164">
        <v>10.46664</v>
      </c>
      <c r="R161" s="164">
        <v>10.587524</v>
      </c>
      <c r="S161" s="164">
        <v>10.701859000000001</v>
      </c>
      <c r="T161" s="164">
        <v>10.810409999999999</v>
      </c>
      <c r="U161" s="164">
        <v>10.913398000000001</v>
      </c>
      <c r="V161" s="164">
        <v>11.011628</v>
      </c>
      <c r="W161" s="164">
        <v>11.105437</v>
      </c>
      <c r="X161" s="164">
        <v>11.195148</v>
      </c>
      <c r="Y161" s="164">
        <v>11.280993</v>
      </c>
      <c r="Z161" s="164">
        <v>11.363185</v>
      </c>
      <c r="AA161" s="164">
        <v>11.442098</v>
      </c>
      <c r="AB161" s="164">
        <v>11.517728</v>
      </c>
      <c r="AC161" s="164">
        <v>11.590244</v>
      </c>
      <c r="AD161" s="164">
        <v>11.659587999999999</v>
      </c>
      <c r="AE161" s="164">
        <v>11.726065</v>
      </c>
      <c r="AF161" s="163">
        <v>1.4730999999999999E-2</v>
      </c>
      <c r="AG161" s="155"/>
    </row>
    <row r="162" spans="1:33">
      <c r="A162" s="153" t="s">
        <v>1047</v>
      </c>
      <c r="B162" s="161" t="s">
        <v>1048</v>
      </c>
      <c r="C162" s="164">
        <v>79.301177999999993</v>
      </c>
      <c r="D162" s="164">
        <v>101.63005099999999</v>
      </c>
      <c r="E162" s="164">
        <v>121.146072</v>
      </c>
      <c r="F162" s="164">
        <v>133.75103799999999</v>
      </c>
      <c r="G162" s="164">
        <v>144.38346899999999</v>
      </c>
      <c r="H162" s="164">
        <v>151.58453399999999</v>
      </c>
      <c r="I162" s="164">
        <v>157.44383199999999</v>
      </c>
      <c r="J162" s="164">
        <v>162.801773</v>
      </c>
      <c r="K162" s="164">
        <v>168.194412</v>
      </c>
      <c r="L162" s="164">
        <v>173.57832300000001</v>
      </c>
      <c r="M162" s="164">
        <v>179.07577499999999</v>
      </c>
      <c r="N162" s="164">
        <v>184.704071</v>
      </c>
      <c r="O162" s="164">
        <v>190.47181699999999</v>
      </c>
      <c r="P162" s="164">
        <v>196.386841</v>
      </c>
      <c r="Q162" s="164">
        <v>202.43138099999999</v>
      </c>
      <c r="R162" s="164">
        <v>208.633804</v>
      </c>
      <c r="S162" s="164">
        <v>214.996399</v>
      </c>
      <c r="T162" s="164">
        <v>221.51997399999999</v>
      </c>
      <c r="U162" s="164">
        <v>228.20277400000001</v>
      </c>
      <c r="V162" s="164">
        <v>235.039368</v>
      </c>
      <c r="W162" s="164">
        <v>242.04367099999999</v>
      </c>
      <c r="X162" s="164">
        <v>249.21748400000001</v>
      </c>
      <c r="Y162" s="164">
        <v>256.56286599999999</v>
      </c>
      <c r="Z162" s="164">
        <v>264.08050500000002</v>
      </c>
      <c r="AA162" s="164">
        <v>271.71682700000002</v>
      </c>
      <c r="AB162" s="164">
        <v>279.52886999999998</v>
      </c>
      <c r="AC162" s="164">
        <v>287.52255200000002</v>
      </c>
      <c r="AD162" s="164">
        <v>295.70309400000002</v>
      </c>
      <c r="AE162" s="164">
        <v>304.07415800000001</v>
      </c>
      <c r="AF162" s="163">
        <v>4.9170999999999999E-2</v>
      </c>
      <c r="AG162" s="155"/>
    </row>
    <row r="163" spans="1:33">
      <c r="A163" s="153" t="s">
        <v>1049</v>
      </c>
      <c r="B163" s="161" t="s">
        <v>972</v>
      </c>
      <c r="C163" s="164">
        <v>47.678085000000003</v>
      </c>
      <c r="D163" s="164">
        <v>60.579250000000002</v>
      </c>
      <c r="E163" s="164">
        <v>71.433159000000003</v>
      </c>
      <c r="F163" s="164">
        <v>77.759079</v>
      </c>
      <c r="G163" s="164">
        <v>83.222747999999996</v>
      </c>
      <c r="H163" s="164">
        <v>87.090667999999994</v>
      </c>
      <c r="I163" s="164">
        <v>90.329620000000006</v>
      </c>
      <c r="J163" s="164">
        <v>93.328048999999993</v>
      </c>
      <c r="K163" s="164">
        <v>96.334464999999994</v>
      </c>
      <c r="L163" s="164">
        <v>99.321999000000005</v>
      </c>
      <c r="M163" s="164">
        <v>102.368782</v>
      </c>
      <c r="N163" s="164">
        <v>105.485298</v>
      </c>
      <c r="O163" s="164">
        <v>108.67620100000001</v>
      </c>
      <c r="P163" s="164">
        <v>111.94573200000001</v>
      </c>
      <c r="Q163" s="164">
        <v>115.283394</v>
      </c>
      <c r="R163" s="164">
        <v>118.70564299999999</v>
      </c>
      <c r="S163" s="164">
        <v>122.213562</v>
      </c>
      <c r="T163" s="164">
        <v>125.807327</v>
      </c>
      <c r="U163" s="164">
        <v>129.48561100000001</v>
      </c>
      <c r="V163" s="164">
        <v>133.24620100000001</v>
      </c>
      <c r="W163" s="164">
        <v>137.09582499999999</v>
      </c>
      <c r="X163" s="164">
        <v>141.03517199999999</v>
      </c>
      <c r="Y163" s="164">
        <v>145.06509399999999</v>
      </c>
      <c r="Z163" s="164">
        <v>149.185654</v>
      </c>
      <c r="AA163" s="164">
        <v>153.36450199999999</v>
      </c>
      <c r="AB163" s="164">
        <v>157.63568100000001</v>
      </c>
      <c r="AC163" s="164">
        <v>162.00212099999999</v>
      </c>
      <c r="AD163" s="164">
        <v>166.46650700000001</v>
      </c>
      <c r="AE163" s="164">
        <v>171.03038000000001</v>
      </c>
      <c r="AF163" s="163">
        <v>4.6677000000000003E-2</v>
      </c>
      <c r="AG163" s="155"/>
    </row>
    <row r="164" spans="1:33">
      <c r="A164" s="153" t="s">
        <v>1050</v>
      </c>
      <c r="B164" s="161" t="s">
        <v>974</v>
      </c>
      <c r="C164" s="164">
        <v>27.672314</v>
      </c>
      <c r="D164" s="164">
        <v>36.190651000000003</v>
      </c>
      <c r="E164" s="164">
        <v>44.102626999999998</v>
      </c>
      <c r="F164" s="164">
        <v>50.092044999999999</v>
      </c>
      <c r="G164" s="164">
        <v>54.982585999999998</v>
      </c>
      <c r="H164" s="164">
        <v>58.082782999999999</v>
      </c>
      <c r="I164" s="164">
        <v>60.489162</v>
      </c>
      <c r="J164" s="164">
        <v>62.643284000000001</v>
      </c>
      <c r="K164" s="164">
        <v>64.825858999999994</v>
      </c>
      <c r="L164" s="164">
        <v>67.022644</v>
      </c>
      <c r="M164" s="164">
        <v>69.270484999999994</v>
      </c>
      <c r="N164" s="164">
        <v>71.575378000000001</v>
      </c>
      <c r="O164" s="164">
        <v>73.940926000000005</v>
      </c>
      <c r="P164" s="164">
        <v>76.370498999999995</v>
      </c>
      <c r="Q164" s="164">
        <v>78.857642999999996</v>
      </c>
      <c r="R164" s="164">
        <v>81.413055</v>
      </c>
      <c r="S164" s="164">
        <v>84.037871999999993</v>
      </c>
      <c r="T164" s="164">
        <v>86.732758000000004</v>
      </c>
      <c r="U164" s="164">
        <v>89.497505000000004</v>
      </c>
      <c r="V164" s="164">
        <v>92.328818999999996</v>
      </c>
      <c r="W164" s="164">
        <v>95.233681000000004</v>
      </c>
      <c r="X164" s="164">
        <v>98.213158000000007</v>
      </c>
      <c r="Y164" s="164">
        <v>101.268517</v>
      </c>
      <c r="Z164" s="164">
        <v>104.400452</v>
      </c>
      <c r="AA164" s="164">
        <v>107.59034</v>
      </c>
      <c r="AB164" s="164">
        <v>110.858566</v>
      </c>
      <c r="AC164" s="164">
        <v>114.207832</v>
      </c>
      <c r="AD164" s="164">
        <v>117.64065600000001</v>
      </c>
      <c r="AE164" s="164">
        <v>121.159058</v>
      </c>
      <c r="AF164" s="163">
        <v>5.4154000000000001E-2</v>
      </c>
      <c r="AG164" s="155"/>
    </row>
    <row r="165" spans="1:33">
      <c r="A165" s="153" t="s">
        <v>1051</v>
      </c>
      <c r="B165" s="161" t="s">
        <v>976</v>
      </c>
      <c r="C165" s="164">
        <v>3.9507759999999998</v>
      </c>
      <c r="D165" s="164">
        <v>4.8601390000000002</v>
      </c>
      <c r="E165" s="164">
        <v>5.6102879999999997</v>
      </c>
      <c r="F165" s="164">
        <v>5.8999009999999998</v>
      </c>
      <c r="G165" s="164">
        <v>6.1781309999999996</v>
      </c>
      <c r="H165" s="164">
        <v>6.4110950000000004</v>
      </c>
      <c r="I165" s="164">
        <v>6.6250410000000004</v>
      </c>
      <c r="J165" s="164">
        <v>6.8304140000000002</v>
      </c>
      <c r="K165" s="164">
        <v>7.0340759999999998</v>
      </c>
      <c r="L165" s="164">
        <v>7.2336809999999998</v>
      </c>
      <c r="M165" s="164">
        <v>7.4365009999999998</v>
      </c>
      <c r="N165" s="164">
        <v>7.6434049999999996</v>
      </c>
      <c r="O165" s="164">
        <v>7.8546870000000002</v>
      </c>
      <c r="P165" s="164">
        <v>8.0706039999999994</v>
      </c>
      <c r="Q165" s="164">
        <v>8.2903300000000009</v>
      </c>
      <c r="R165" s="164">
        <v>8.5151039999999991</v>
      </c>
      <c r="S165" s="164">
        <v>8.7449670000000008</v>
      </c>
      <c r="T165" s="164">
        <v>8.9798720000000003</v>
      </c>
      <c r="U165" s="164">
        <v>9.2196569999999998</v>
      </c>
      <c r="V165" s="164">
        <v>9.4643420000000003</v>
      </c>
      <c r="W165" s="164">
        <v>9.7141710000000003</v>
      </c>
      <c r="X165" s="164">
        <v>9.9691340000000004</v>
      </c>
      <c r="Y165" s="164">
        <v>10.229227</v>
      </c>
      <c r="Z165" s="164">
        <v>10.494389999999999</v>
      </c>
      <c r="AA165" s="164">
        <v>10.761946999999999</v>
      </c>
      <c r="AB165" s="164">
        <v>11.034632999999999</v>
      </c>
      <c r="AC165" s="164">
        <v>11.31259</v>
      </c>
      <c r="AD165" s="164">
        <v>11.595942000000001</v>
      </c>
      <c r="AE165" s="164">
        <v>11.884709000000001</v>
      </c>
      <c r="AF165" s="163">
        <v>4.0117E-2</v>
      </c>
      <c r="AG165" s="155"/>
    </row>
    <row r="166" spans="1:33">
      <c r="A166" s="153" t="s">
        <v>1052</v>
      </c>
      <c r="B166" s="161" t="s">
        <v>1053</v>
      </c>
      <c r="C166" s="164">
        <v>4373.3583980000003</v>
      </c>
      <c r="D166" s="164">
        <v>5169.9628910000001</v>
      </c>
      <c r="E166" s="164">
        <v>5704.986328</v>
      </c>
      <c r="F166" s="164">
        <v>6061.9882809999999</v>
      </c>
      <c r="G166" s="164">
        <v>6486.1030270000001</v>
      </c>
      <c r="H166" s="164">
        <v>6773.2924800000001</v>
      </c>
      <c r="I166" s="164">
        <v>7038.0502930000002</v>
      </c>
      <c r="J166" s="164">
        <v>7267.8666990000002</v>
      </c>
      <c r="K166" s="164">
        <v>7496.404297</v>
      </c>
      <c r="L166" s="164">
        <v>7728.0527339999999</v>
      </c>
      <c r="M166" s="164">
        <v>7969.5229490000002</v>
      </c>
      <c r="N166" s="164">
        <v>8218.796875</v>
      </c>
      <c r="O166" s="164">
        <v>8471.8828119999998</v>
      </c>
      <c r="P166" s="164">
        <v>8729.8085940000001</v>
      </c>
      <c r="Q166" s="164">
        <v>8994.9101559999999</v>
      </c>
      <c r="R166" s="164">
        <v>9267.7148440000001</v>
      </c>
      <c r="S166" s="164">
        <v>9546.7949219999991</v>
      </c>
      <c r="T166" s="164">
        <v>9831.6953119999998</v>
      </c>
      <c r="U166" s="164">
        <v>10127.839844</v>
      </c>
      <c r="V166" s="164">
        <v>10429.796875</v>
      </c>
      <c r="W166" s="164">
        <v>10739.313477</v>
      </c>
      <c r="X166" s="164">
        <v>11056.318359000001</v>
      </c>
      <c r="Y166" s="164">
        <v>11377.703125</v>
      </c>
      <c r="Z166" s="164">
        <v>11702.694336</v>
      </c>
      <c r="AA166" s="164">
        <v>12031.28125</v>
      </c>
      <c r="AB166" s="164">
        <v>12367.683594</v>
      </c>
      <c r="AC166" s="164">
        <v>12709.627930000001</v>
      </c>
      <c r="AD166" s="164">
        <v>13056.267578000001</v>
      </c>
      <c r="AE166" s="164">
        <v>13410.994140999999</v>
      </c>
      <c r="AF166" s="163">
        <v>4.0830999999999999E-2</v>
      </c>
      <c r="AG166" s="155"/>
    </row>
    <row r="167" spans="1:33">
      <c r="A167" s="153" t="s">
        <v>1054</v>
      </c>
      <c r="B167" s="161" t="s">
        <v>1055</v>
      </c>
      <c r="C167" s="164">
        <v>2683.0664059999999</v>
      </c>
      <c r="D167" s="164">
        <v>3004.8544919999999</v>
      </c>
      <c r="E167" s="164">
        <v>3189.0339359999998</v>
      </c>
      <c r="F167" s="164">
        <v>3333.350586</v>
      </c>
      <c r="G167" s="164">
        <v>3512.0295409999999</v>
      </c>
      <c r="H167" s="164">
        <v>3652.1213379999999</v>
      </c>
      <c r="I167" s="164">
        <v>3785.1130370000001</v>
      </c>
      <c r="J167" s="164">
        <v>3909.9748540000001</v>
      </c>
      <c r="K167" s="164">
        <v>4033.5424800000001</v>
      </c>
      <c r="L167" s="164">
        <v>4159.1660160000001</v>
      </c>
      <c r="M167" s="164">
        <v>4290.7993159999996</v>
      </c>
      <c r="N167" s="164">
        <v>4426.7041019999997</v>
      </c>
      <c r="O167" s="164">
        <v>4564.2529299999997</v>
      </c>
      <c r="P167" s="164">
        <v>4704.125</v>
      </c>
      <c r="Q167" s="164">
        <v>4847.890625</v>
      </c>
      <c r="R167" s="164">
        <v>4995.7368159999996</v>
      </c>
      <c r="S167" s="164">
        <v>5146.732422</v>
      </c>
      <c r="T167" s="164">
        <v>5300.5415039999998</v>
      </c>
      <c r="U167" s="164">
        <v>5460.5395509999998</v>
      </c>
      <c r="V167" s="164">
        <v>5623.4580079999996</v>
      </c>
      <c r="W167" s="164">
        <v>5790.2529299999997</v>
      </c>
      <c r="X167" s="164">
        <v>5960.8364259999998</v>
      </c>
      <c r="Y167" s="164">
        <v>6133.1469729999999</v>
      </c>
      <c r="Z167" s="164">
        <v>6306.5971680000002</v>
      </c>
      <c r="AA167" s="164">
        <v>6481.4169920000004</v>
      </c>
      <c r="AB167" s="164">
        <v>6660.0419920000004</v>
      </c>
      <c r="AC167" s="164">
        <v>6840.9291990000002</v>
      </c>
      <c r="AD167" s="164">
        <v>7023.3911129999997</v>
      </c>
      <c r="AE167" s="164">
        <v>7209.3994140000004</v>
      </c>
      <c r="AF167" s="163">
        <v>3.5930999999999998E-2</v>
      </c>
      <c r="AG167" s="155"/>
    </row>
    <row r="168" spans="1:33">
      <c r="A168" s="153" t="s">
        <v>1056</v>
      </c>
      <c r="B168" s="161" t="s">
        <v>1057</v>
      </c>
      <c r="C168" s="164">
        <v>1365.956543</v>
      </c>
      <c r="D168" s="164">
        <v>1815.0357670000001</v>
      </c>
      <c r="E168" s="164">
        <v>2153.0739749999998</v>
      </c>
      <c r="F168" s="164">
        <v>2353.8952640000002</v>
      </c>
      <c r="G168" s="164">
        <v>2582.8857419999999</v>
      </c>
      <c r="H168" s="164">
        <v>2715.4416500000002</v>
      </c>
      <c r="I168" s="164">
        <v>2833.0561520000001</v>
      </c>
      <c r="J168" s="164">
        <v>2924.1845699999999</v>
      </c>
      <c r="K168" s="164">
        <v>3015.576172</v>
      </c>
      <c r="L168" s="164">
        <v>3107.7626949999999</v>
      </c>
      <c r="M168" s="164">
        <v>3202.9577640000002</v>
      </c>
      <c r="N168" s="164">
        <v>3301.172607</v>
      </c>
      <c r="O168" s="164">
        <v>3401.4245609999998</v>
      </c>
      <c r="P168" s="164">
        <v>3503.9650879999999</v>
      </c>
      <c r="Q168" s="164">
        <v>3609.3312989999999</v>
      </c>
      <c r="R168" s="164">
        <v>3717.852539</v>
      </c>
      <c r="S168" s="164">
        <v>3829.1669919999999</v>
      </c>
      <c r="T168" s="164">
        <v>3943.2114259999998</v>
      </c>
      <c r="U168" s="164">
        <v>4061.5683589999999</v>
      </c>
      <c r="V168" s="164">
        <v>4182.5180659999996</v>
      </c>
      <c r="W168" s="164">
        <v>4306.732422</v>
      </c>
      <c r="X168" s="164">
        <v>4434.2412109999996</v>
      </c>
      <c r="Y168" s="164">
        <v>4564.2856449999999</v>
      </c>
      <c r="Z168" s="164">
        <v>4696.7617190000001</v>
      </c>
      <c r="AA168" s="164">
        <v>4831.3510740000002</v>
      </c>
      <c r="AB168" s="164">
        <v>4969.5302730000003</v>
      </c>
      <c r="AC168" s="164">
        <v>5110.8076170000004</v>
      </c>
      <c r="AD168" s="164">
        <v>5255.1259769999997</v>
      </c>
      <c r="AE168" s="164">
        <v>5403.6381840000004</v>
      </c>
      <c r="AF168" s="163">
        <v>5.0340999999999997E-2</v>
      </c>
      <c r="AG168" s="155"/>
    </row>
    <row r="169" spans="1:33">
      <c r="A169" s="153" t="s">
        <v>1058</v>
      </c>
      <c r="B169" s="161" t="s">
        <v>1059</v>
      </c>
      <c r="C169" s="164">
        <v>324.33532700000001</v>
      </c>
      <c r="D169" s="164">
        <v>350.07336400000003</v>
      </c>
      <c r="E169" s="164">
        <v>362.87820399999998</v>
      </c>
      <c r="F169" s="164">
        <v>374.74331699999999</v>
      </c>
      <c r="G169" s="164">
        <v>391.18713400000001</v>
      </c>
      <c r="H169" s="164">
        <v>405.72949199999999</v>
      </c>
      <c r="I169" s="164">
        <v>419.88110399999999</v>
      </c>
      <c r="J169" s="164">
        <v>433.70675699999998</v>
      </c>
      <c r="K169" s="164">
        <v>447.28530899999998</v>
      </c>
      <c r="L169" s="164">
        <v>461.123627</v>
      </c>
      <c r="M169" s="164">
        <v>475.76504499999999</v>
      </c>
      <c r="N169" s="164">
        <v>490.91918900000002</v>
      </c>
      <c r="O169" s="164">
        <v>506.20510899999999</v>
      </c>
      <c r="P169" s="164">
        <v>521.71698000000004</v>
      </c>
      <c r="Q169" s="164">
        <v>537.6875</v>
      </c>
      <c r="R169" s="164">
        <v>554.12542699999995</v>
      </c>
      <c r="S169" s="164">
        <v>570.89569100000006</v>
      </c>
      <c r="T169" s="164">
        <v>587.94293200000004</v>
      </c>
      <c r="U169" s="164">
        <v>605.730774</v>
      </c>
      <c r="V169" s="164">
        <v>623.81982400000004</v>
      </c>
      <c r="W169" s="164">
        <v>642.32647699999995</v>
      </c>
      <c r="X169" s="164">
        <v>661.24029499999995</v>
      </c>
      <c r="Y169" s="164">
        <v>680.27038600000003</v>
      </c>
      <c r="Z169" s="164">
        <v>699.33538799999997</v>
      </c>
      <c r="AA169" s="164">
        <v>718.51324499999998</v>
      </c>
      <c r="AB169" s="164">
        <v>738.10925299999997</v>
      </c>
      <c r="AC169" s="164">
        <v>757.89080799999999</v>
      </c>
      <c r="AD169" s="164">
        <v>777.75109899999995</v>
      </c>
      <c r="AE169" s="164">
        <v>797.95684800000004</v>
      </c>
      <c r="AF169" s="163">
        <v>3.2675000000000003E-2</v>
      </c>
      <c r="AG169" s="155"/>
    </row>
    <row r="170" spans="1:33">
      <c r="A170" s="148"/>
      <c r="B170" s="155"/>
      <c r="C170" s="155"/>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155"/>
      <c r="AB170" s="155"/>
      <c r="AC170" s="155"/>
      <c r="AD170" s="155"/>
      <c r="AE170" s="155"/>
      <c r="AF170" s="155"/>
      <c r="AG170" s="155"/>
    </row>
    <row r="171" spans="1:33">
      <c r="A171" s="148"/>
      <c r="B171" s="158" t="s">
        <v>1060</v>
      </c>
      <c r="C171" s="155"/>
      <c r="D171" s="155"/>
      <c r="E171" s="155"/>
      <c r="F171" s="155"/>
      <c r="G171" s="155"/>
      <c r="H171" s="155"/>
      <c r="I171" s="155"/>
      <c r="J171" s="155"/>
      <c r="K171" s="155"/>
      <c r="L171" s="155"/>
      <c r="M171" s="155"/>
      <c r="N171" s="155"/>
      <c r="O171" s="155"/>
      <c r="P171" s="155"/>
      <c r="Q171" s="155"/>
      <c r="R171" s="155"/>
      <c r="S171" s="155"/>
      <c r="T171" s="155"/>
      <c r="U171" s="155"/>
      <c r="V171" s="155"/>
      <c r="W171" s="155"/>
      <c r="X171" s="155"/>
      <c r="Y171" s="155"/>
      <c r="Z171" s="155"/>
      <c r="AA171" s="155"/>
      <c r="AB171" s="155"/>
      <c r="AC171" s="155"/>
      <c r="AD171" s="155"/>
      <c r="AE171" s="155"/>
      <c r="AF171" s="155"/>
      <c r="AG171" s="155"/>
    </row>
    <row r="172" spans="1:33">
      <c r="A172" s="153" t="s">
        <v>1061</v>
      </c>
      <c r="B172" s="161" t="s">
        <v>970</v>
      </c>
      <c r="C172" s="164">
        <v>539.82806400000004</v>
      </c>
      <c r="D172" s="164">
        <v>555.01080300000001</v>
      </c>
      <c r="E172" s="164">
        <v>240.10987900000001</v>
      </c>
      <c r="F172" s="164">
        <v>195.879456</v>
      </c>
      <c r="G172" s="164">
        <v>383.18585200000001</v>
      </c>
      <c r="H172" s="164">
        <v>397.42700200000002</v>
      </c>
      <c r="I172" s="164">
        <v>389.21536300000002</v>
      </c>
      <c r="J172" s="164">
        <v>374.38278200000002</v>
      </c>
      <c r="K172" s="164">
        <v>360.36273199999999</v>
      </c>
      <c r="L172" s="164">
        <v>371.35995500000001</v>
      </c>
      <c r="M172" s="164">
        <v>413.48968500000001</v>
      </c>
      <c r="N172" s="164">
        <v>439.33099399999998</v>
      </c>
      <c r="O172" s="164">
        <v>441.440155</v>
      </c>
      <c r="P172" s="164">
        <v>446.81085200000001</v>
      </c>
      <c r="Q172" s="164">
        <v>466.78561400000001</v>
      </c>
      <c r="R172" s="164">
        <v>486.83136000000002</v>
      </c>
      <c r="S172" s="164">
        <v>499.04101600000001</v>
      </c>
      <c r="T172" s="164">
        <v>506.68572999999998</v>
      </c>
      <c r="U172" s="164">
        <v>538.37341300000003</v>
      </c>
      <c r="V172" s="164">
        <v>543.35778800000003</v>
      </c>
      <c r="W172" s="164">
        <v>554.06219499999997</v>
      </c>
      <c r="X172" s="164">
        <v>567.82055700000001</v>
      </c>
      <c r="Y172" s="164">
        <v>569.10339399999998</v>
      </c>
      <c r="Z172" s="164">
        <v>570.74981700000001</v>
      </c>
      <c r="AA172" s="164">
        <v>582.32244900000001</v>
      </c>
      <c r="AB172" s="164">
        <v>606.70001200000002</v>
      </c>
      <c r="AC172" s="164">
        <v>618.58166500000004</v>
      </c>
      <c r="AD172" s="164">
        <v>628.19116199999996</v>
      </c>
      <c r="AE172" s="164">
        <v>657.48895300000004</v>
      </c>
      <c r="AF172" s="163">
        <v>7.0670000000000004E-3</v>
      </c>
      <c r="AG172" s="155"/>
    </row>
    <row r="173" spans="1:33">
      <c r="A173" s="153" t="s">
        <v>1062</v>
      </c>
      <c r="B173" s="161" t="s">
        <v>972</v>
      </c>
      <c r="C173" s="164">
        <v>335.96209700000003</v>
      </c>
      <c r="D173" s="164">
        <v>350.61816399999998</v>
      </c>
      <c r="E173" s="164">
        <v>145.26670799999999</v>
      </c>
      <c r="F173" s="164">
        <v>129.51503</v>
      </c>
      <c r="G173" s="164">
        <v>208.80259699999999</v>
      </c>
      <c r="H173" s="164">
        <v>214.47662399999999</v>
      </c>
      <c r="I173" s="164">
        <v>210.31191999999999</v>
      </c>
      <c r="J173" s="164">
        <v>202.565887</v>
      </c>
      <c r="K173" s="164">
        <v>195.35475199999999</v>
      </c>
      <c r="L173" s="164">
        <v>202.117279</v>
      </c>
      <c r="M173" s="164">
        <v>226.17236299999999</v>
      </c>
      <c r="N173" s="164">
        <v>240.87524400000001</v>
      </c>
      <c r="O173" s="164">
        <v>242.455566</v>
      </c>
      <c r="P173" s="164">
        <v>245.90283199999999</v>
      </c>
      <c r="Q173" s="164">
        <v>257.31298800000002</v>
      </c>
      <c r="R173" s="164">
        <v>268.57910199999998</v>
      </c>
      <c r="S173" s="164">
        <v>275.35498000000001</v>
      </c>
      <c r="T173" s="164">
        <v>279.55126999999999</v>
      </c>
      <c r="U173" s="164">
        <v>297.056152</v>
      </c>
      <c r="V173" s="164">
        <v>299.58154300000001</v>
      </c>
      <c r="W173" s="164">
        <v>305.335938</v>
      </c>
      <c r="X173" s="164">
        <v>312.82226600000001</v>
      </c>
      <c r="Y173" s="164">
        <v>313.44476300000002</v>
      </c>
      <c r="Z173" s="164">
        <v>314.49087500000002</v>
      </c>
      <c r="AA173" s="164">
        <v>321.07968099999999</v>
      </c>
      <c r="AB173" s="164">
        <v>334.69555700000001</v>
      </c>
      <c r="AC173" s="164">
        <v>341.29492199999999</v>
      </c>
      <c r="AD173" s="164">
        <v>346.57534800000002</v>
      </c>
      <c r="AE173" s="164">
        <v>362.83862299999998</v>
      </c>
      <c r="AF173" s="163">
        <v>2.7520000000000001E-3</v>
      </c>
      <c r="AG173" s="155"/>
    </row>
    <row r="174" spans="1:33">
      <c r="A174" s="153" t="s">
        <v>1063</v>
      </c>
      <c r="B174" s="161" t="s">
        <v>974</v>
      </c>
      <c r="C174" s="164">
        <v>0</v>
      </c>
      <c r="D174" s="164">
        <v>39.340881000000003</v>
      </c>
      <c r="E174" s="164">
        <v>38.709868999999998</v>
      </c>
      <c r="F174" s="164">
        <v>12.628342</v>
      </c>
      <c r="G174" s="164">
        <v>71.145934999999994</v>
      </c>
      <c r="H174" s="164">
        <v>75.438416000000004</v>
      </c>
      <c r="I174" s="164">
        <v>73.298705999999996</v>
      </c>
      <c r="J174" s="164">
        <v>70.090332000000004</v>
      </c>
      <c r="K174" s="164">
        <v>66.757262999999995</v>
      </c>
      <c r="L174" s="164">
        <v>66.275634999999994</v>
      </c>
      <c r="M174" s="164">
        <v>69.520447000000004</v>
      </c>
      <c r="N174" s="164">
        <v>70.853438999999995</v>
      </c>
      <c r="O174" s="164">
        <v>69.180381999999994</v>
      </c>
      <c r="P174" s="164">
        <v>68.041573</v>
      </c>
      <c r="Q174" s="164">
        <v>69.126677999999998</v>
      </c>
      <c r="R174" s="164">
        <v>70.625564999999995</v>
      </c>
      <c r="S174" s="164">
        <v>71.534912000000006</v>
      </c>
      <c r="T174" s="164">
        <v>72.152512000000002</v>
      </c>
      <c r="U174" s="164">
        <v>76.074096999999995</v>
      </c>
      <c r="V174" s="164">
        <v>76.887848000000005</v>
      </c>
      <c r="W174" s="164">
        <v>78.550735000000003</v>
      </c>
      <c r="X174" s="164">
        <v>80.678496999999993</v>
      </c>
      <c r="Y174" s="164">
        <v>81.193016</v>
      </c>
      <c r="Z174" s="164">
        <v>81.704009999999997</v>
      </c>
      <c r="AA174" s="164">
        <v>83.519371000000007</v>
      </c>
      <c r="AB174" s="164">
        <v>86.947097999999997</v>
      </c>
      <c r="AC174" s="164">
        <v>88.823836999999997</v>
      </c>
      <c r="AD174" s="164">
        <v>90.511550999999997</v>
      </c>
      <c r="AE174" s="164">
        <v>94.700371000000004</v>
      </c>
      <c r="AF174" s="163" t="s">
        <v>1064</v>
      </c>
      <c r="AG174" s="155"/>
    </row>
    <row r="175" spans="1:33">
      <c r="A175" s="153" t="s">
        <v>1065</v>
      </c>
      <c r="B175" s="161" t="s">
        <v>976</v>
      </c>
      <c r="C175" s="164">
        <v>203.86596700000001</v>
      </c>
      <c r="D175" s="164">
        <v>165.05175800000001</v>
      </c>
      <c r="E175" s="164">
        <v>56.133301000000003</v>
      </c>
      <c r="F175" s="164">
        <v>53.736083999999998</v>
      </c>
      <c r="G175" s="164">
        <v>103.23730500000001</v>
      </c>
      <c r="H175" s="164">
        <v>107.51196299999999</v>
      </c>
      <c r="I175" s="164">
        <v>105.604736</v>
      </c>
      <c r="J175" s="164">
        <v>101.726562</v>
      </c>
      <c r="K175" s="164">
        <v>98.250731999999999</v>
      </c>
      <c r="L175" s="164">
        <v>102.96704099999999</v>
      </c>
      <c r="M175" s="164">
        <v>117.796875</v>
      </c>
      <c r="N175" s="164">
        <v>127.602295</v>
      </c>
      <c r="O175" s="164">
        <v>129.80419900000001</v>
      </c>
      <c r="P175" s="164">
        <v>132.866455</v>
      </c>
      <c r="Q175" s="164">
        <v>140.345947</v>
      </c>
      <c r="R175" s="164">
        <v>147.62670900000001</v>
      </c>
      <c r="S175" s="164">
        <v>152.15112300000001</v>
      </c>
      <c r="T175" s="164">
        <v>154.981934</v>
      </c>
      <c r="U175" s="164">
        <v>165.24316400000001</v>
      </c>
      <c r="V175" s="164">
        <v>166.888428</v>
      </c>
      <c r="W175" s="164">
        <v>170.17553699999999</v>
      </c>
      <c r="X175" s="164">
        <v>174.31982400000001</v>
      </c>
      <c r="Y175" s="164">
        <v>174.465576</v>
      </c>
      <c r="Z175" s="164">
        <v>174.55493200000001</v>
      </c>
      <c r="AA175" s="164">
        <v>177.723389</v>
      </c>
      <c r="AB175" s="164">
        <v>185.05737300000001</v>
      </c>
      <c r="AC175" s="164">
        <v>188.46289100000001</v>
      </c>
      <c r="AD175" s="164">
        <v>191.10424800000001</v>
      </c>
      <c r="AE175" s="164">
        <v>199.949951</v>
      </c>
      <c r="AF175" s="163">
        <v>-6.9200000000000002E-4</v>
      </c>
      <c r="AG175" s="155"/>
    </row>
    <row r="176" spans="1:33">
      <c r="A176" s="153" t="s">
        <v>1066</v>
      </c>
      <c r="B176" s="161" t="s">
        <v>978</v>
      </c>
      <c r="C176" s="164">
        <v>0</v>
      </c>
      <c r="D176" s="164">
        <v>15.678391</v>
      </c>
      <c r="E176" s="164">
        <v>51.316887000000001</v>
      </c>
      <c r="F176" s="164">
        <v>50.117165</v>
      </c>
      <c r="G176" s="164">
        <v>52.954346000000001</v>
      </c>
      <c r="H176" s="164">
        <v>57.051322999999996</v>
      </c>
      <c r="I176" s="164">
        <v>44.861697999999997</v>
      </c>
      <c r="J176" s="164">
        <v>46.635117000000001</v>
      </c>
      <c r="K176" s="164">
        <v>49.951324</v>
      </c>
      <c r="L176" s="164">
        <v>50.769165000000001</v>
      </c>
      <c r="M176" s="164">
        <v>51.472060999999997</v>
      </c>
      <c r="N176" s="164">
        <v>52.399932999999997</v>
      </c>
      <c r="O176" s="164">
        <v>53.103180000000002</v>
      </c>
      <c r="P176" s="164">
        <v>53.605300999999997</v>
      </c>
      <c r="Q176" s="164">
        <v>56.171036000000001</v>
      </c>
      <c r="R176" s="164">
        <v>56.427169999999997</v>
      </c>
      <c r="S176" s="164">
        <v>57.608795000000001</v>
      </c>
      <c r="T176" s="164">
        <v>58.449553999999999</v>
      </c>
      <c r="U176" s="164">
        <v>58.490127999999999</v>
      </c>
      <c r="V176" s="164">
        <v>58.666182999999997</v>
      </c>
      <c r="W176" s="164">
        <v>58.960326999999999</v>
      </c>
      <c r="X176" s="164">
        <v>59.343628000000002</v>
      </c>
      <c r="Y176" s="164">
        <v>59.845576999999999</v>
      </c>
      <c r="Z176" s="164">
        <v>60.470764000000003</v>
      </c>
      <c r="AA176" s="164">
        <v>61.182304000000002</v>
      </c>
      <c r="AB176" s="164">
        <v>61.965812999999997</v>
      </c>
      <c r="AC176" s="164">
        <v>62.802154999999999</v>
      </c>
      <c r="AD176" s="164">
        <v>63.733001999999999</v>
      </c>
      <c r="AE176" s="164">
        <v>64.763489000000007</v>
      </c>
      <c r="AF176" s="163" t="s">
        <v>1064</v>
      </c>
      <c r="AG176" s="155"/>
    </row>
    <row r="177" spans="1:33">
      <c r="A177" s="153" t="s">
        <v>1067</v>
      </c>
      <c r="B177" s="161" t="s">
        <v>972</v>
      </c>
      <c r="C177" s="164">
        <v>0</v>
      </c>
      <c r="D177" s="164">
        <v>0</v>
      </c>
      <c r="E177" s="164">
        <v>17.463474000000001</v>
      </c>
      <c r="F177" s="164">
        <v>21.329653</v>
      </c>
      <c r="G177" s="164">
        <v>24.371399</v>
      </c>
      <c r="H177" s="164">
        <v>23.494506999999999</v>
      </c>
      <c r="I177" s="164">
        <v>18.943511999999998</v>
      </c>
      <c r="J177" s="164">
        <v>19.374298</v>
      </c>
      <c r="K177" s="164">
        <v>19.766327</v>
      </c>
      <c r="L177" s="164">
        <v>20.132964999999999</v>
      </c>
      <c r="M177" s="164">
        <v>20.452881000000001</v>
      </c>
      <c r="N177" s="164">
        <v>20.728363000000002</v>
      </c>
      <c r="O177" s="164">
        <v>20.983429000000001</v>
      </c>
      <c r="P177" s="164">
        <v>21.226134999999999</v>
      </c>
      <c r="Q177" s="164">
        <v>23.542083999999999</v>
      </c>
      <c r="R177" s="164">
        <v>23.546509</v>
      </c>
      <c r="S177" s="164">
        <v>23.508330999999998</v>
      </c>
      <c r="T177" s="164">
        <v>23.525696</v>
      </c>
      <c r="U177" s="164">
        <v>23.583984000000001</v>
      </c>
      <c r="V177" s="164">
        <v>23.695709000000001</v>
      </c>
      <c r="W177" s="164">
        <v>23.852905</v>
      </c>
      <c r="X177" s="164">
        <v>24.047637999999999</v>
      </c>
      <c r="Y177" s="164">
        <v>24.291533999999999</v>
      </c>
      <c r="Z177" s="164">
        <v>24.574981999999999</v>
      </c>
      <c r="AA177" s="164">
        <v>24.892365000000002</v>
      </c>
      <c r="AB177" s="164">
        <v>25.243469000000001</v>
      </c>
      <c r="AC177" s="164">
        <v>25.627898999999999</v>
      </c>
      <c r="AD177" s="164">
        <v>26.047516000000002</v>
      </c>
      <c r="AE177" s="164">
        <v>26.498474000000002</v>
      </c>
      <c r="AF177" s="163" t="s">
        <v>1064</v>
      </c>
      <c r="AG177" s="155"/>
    </row>
    <row r="178" spans="1:33">
      <c r="A178" s="153" t="s">
        <v>1068</v>
      </c>
      <c r="B178" s="161" t="s">
        <v>974</v>
      </c>
      <c r="C178" s="164">
        <v>0</v>
      </c>
      <c r="D178" s="164">
        <v>0</v>
      </c>
      <c r="E178" s="164">
        <v>2.6847050000000001</v>
      </c>
      <c r="F178" s="164">
        <v>8.6334879999999998</v>
      </c>
      <c r="G178" s="164">
        <v>7.5640429999999999</v>
      </c>
      <c r="H178" s="164">
        <v>7.6775729999999998</v>
      </c>
      <c r="I178" s="164">
        <v>4.8536409999999997</v>
      </c>
      <c r="J178" s="164">
        <v>5.8987879999999997</v>
      </c>
      <c r="K178" s="164">
        <v>8.4926449999999996</v>
      </c>
      <c r="L178" s="164">
        <v>8.6243289999999995</v>
      </c>
      <c r="M178" s="164">
        <v>8.7234649999999991</v>
      </c>
      <c r="N178" s="164">
        <v>8.8013309999999993</v>
      </c>
      <c r="O178" s="164">
        <v>8.8686830000000008</v>
      </c>
      <c r="P178" s="164">
        <v>8.9318390000000001</v>
      </c>
      <c r="Q178" s="164">
        <v>8.9949490000000001</v>
      </c>
      <c r="R178" s="164">
        <v>9.0618739999999995</v>
      </c>
      <c r="S178" s="164">
        <v>10.095367</v>
      </c>
      <c r="T178" s="164">
        <v>10.726288</v>
      </c>
      <c r="U178" s="164">
        <v>10.520554000000001</v>
      </c>
      <c r="V178" s="164">
        <v>10.378677</v>
      </c>
      <c r="W178" s="164">
        <v>10.290741000000001</v>
      </c>
      <c r="X178" s="164">
        <v>10.238586</v>
      </c>
      <c r="Y178" s="164">
        <v>10.221401</v>
      </c>
      <c r="Z178" s="164">
        <v>10.25827</v>
      </c>
      <c r="AA178" s="164">
        <v>10.321465</v>
      </c>
      <c r="AB178" s="164">
        <v>10.393303</v>
      </c>
      <c r="AC178" s="164">
        <v>10.454742</v>
      </c>
      <c r="AD178" s="164">
        <v>10.542479999999999</v>
      </c>
      <c r="AE178" s="164">
        <v>10.666687</v>
      </c>
      <c r="AF178" s="163" t="s">
        <v>1064</v>
      </c>
      <c r="AG178" s="155"/>
    </row>
    <row r="179" spans="1:33">
      <c r="A179" s="153" t="s">
        <v>1069</v>
      </c>
      <c r="B179" s="161" t="s">
        <v>976</v>
      </c>
      <c r="C179" s="164">
        <v>0</v>
      </c>
      <c r="D179" s="164">
        <v>15.678391</v>
      </c>
      <c r="E179" s="164">
        <v>31.168710999999998</v>
      </c>
      <c r="F179" s="164">
        <v>20.154024</v>
      </c>
      <c r="G179" s="164">
        <v>21.018902000000001</v>
      </c>
      <c r="H179" s="164">
        <v>25.879242000000001</v>
      </c>
      <c r="I179" s="164">
        <v>21.064544999999999</v>
      </c>
      <c r="J179" s="164">
        <v>21.362030000000001</v>
      </c>
      <c r="K179" s="164">
        <v>21.692352</v>
      </c>
      <c r="L179" s="164">
        <v>22.011870999999999</v>
      </c>
      <c r="M179" s="164">
        <v>22.295715000000001</v>
      </c>
      <c r="N179" s="164">
        <v>22.870239000000002</v>
      </c>
      <c r="O179" s="164">
        <v>23.251068</v>
      </c>
      <c r="P179" s="164">
        <v>23.447327000000001</v>
      </c>
      <c r="Q179" s="164">
        <v>23.634003</v>
      </c>
      <c r="R179" s="164">
        <v>23.818787</v>
      </c>
      <c r="S179" s="164">
        <v>24.005096000000002</v>
      </c>
      <c r="T179" s="164">
        <v>24.197571</v>
      </c>
      <c r="U179" s="164">
        <v>24.385590000000001</v>
      </c>
      <c r="V179" s="164">
        <v>24.591797</v>
      </c>
      <c r="W179" s="164">
        <v>24.816680999999999</v>
      </c>
      <c r="X179" s="164">
        <v>25.057403999999998</v>
      </c>
      <c r="Y179" s="164">
        <v>25.332642</v>
      </c>
      <c r="Z179" s="164">
        <v>25.637512000000001</v>
      </c>
      <c r="AA179" s="164">
        <v>25.968475000000002</v>
      </c>
      <c r="AB179" s="164">
        <v>26.329041</v>
      </c>
      <c r="AC179" s="164">
        <v>26.719512999999999</v>
      </c>
      <c r="AD179" s="164">
        <v>27.143004999999999</v>
      </c>
      <c r="AE179" s="164">
        <v>27.598327999999999</v>
      </c>
      <c r="AF179" s="163" t="s">
        <v>1064</v>
      </c>
      <c r="AG179" s="155"/>
    </row>
    <row r="180" spans="1:33">
      <c r="A180" s="153" t="s">
        <v>1070</v>
      </c>
      <c r="B180" s="161" t="s">
        <v>983</v>
      </c>
      <c r="C180" s="164">
        <v>0</v>
      </c>
      <c r="D180" s="164">
        <v>22.792006000000001</v>
      </c>
      <c r="E180" s="164">
        <v>74.402717999999993</v>
      </c>
      <c r="F180" s="164">
        <v>44.716248</v>
      </c>
      <c r="G180" s="164">
        <v>57.993133999999998</v>
      </c>
      <c r="H180" s="164">
        <v>54.273457000000001</v>
      </c>
      <c r="I180" s="164">
        <v>51.795287999999999</v>
      </c>
      <c r="J180" s="164">
        <v>51.212234000000002</v>
      </c>
      <c r="K180" s="164">
        <v>52.077075999999998</v>
      </c>
      <c r="L180" s="164">
        <v>54.758178999999998</v>
      </c>
      <c r="M180" s="164">
        <v>57.779369000000003</v>
      </c>
      <c r="N180" s="164">
        <v>61.833809000000002</v>
      </c>
      <c r="O180" s="164">
        <v>66.168610000000001</v>
      </c>
      <c r="P180" s="164">
        <v>69.022034000000005</v>
      </c>
      <c r="Q180" s="164">
        <v>71.720344999999995</v>
      </c>
      <c r="R180" s="164">
        <v>74.601128000000003</v>
      </c>
      <c r="S180" s="164">
        <v>77.492294000000001</v>
      </c>
      <c r="T180" s="164">
        <v>80.764747999999997</v>
      </c>
      <c r="U180" s="164">
        <v>83.840393000000006</v>
      </c>
      <c r="V180" s="164">
        <v>85.916290000000004</v>
      </c>
      <c r="W180" s="164">
        <v>88.354316999999995</v>
      </c>
      <c r="X180" s="164">
        <v>90.725646999999995</v>
      </c>
      <c r="Y180" s="164">
        <v>93.012282999999996</v>
      </c>
      <c r="Z180" s="164">
        <v>95.275702999999993</v>
      </c>
      <c r="AA180" s="164">
        <v>96.930526999999998</v>
      </c>
      <c r="AB180" s="164">
        <v>99.070449999999994</v>
      </c>
      <c r="AC180" s="164">
        <v>101.387764</v>
      </c>
      <c r="AD180" s="164">
        <v>103.807503</v>
      </c>
      <c r="AE180" s="164">
        <v>106.413315</v>
      </c>
      <c r="AF180" s="163" t="s">
        <v>1064</v>
      </c>
      <c r="AG180" s="155"/>
    </row>
    <row r="181" spans="1:33">
      <c r="A181" s="153" t="s">
        <v>1071</v>
      </c>
      <c r="B181" s="161" t="s">
        <v>972</v>
      </c>
      <c r="C181" s="164">
        <v>0</v>
      </c>
      <c r="D181" s="164">
        <v>3.6042939999999999</v>
      </c>
      <c r="E181" s="164">
        <v>47.323338</v>
      </c>
      <c r="F181" s="164">
        <v>25.081547</v>
      </c>
      <c r="G181" s="164">
        <v>36.088225999999999</v>
      </c>
      <c r="H181" s="164">
        <v>35.250145000000003</v>
      </c>
      <c r="I181" s="164">
        <v>33.467136000000004</v>
      </c>
      <c r="J181" s="164">
        <v>32.919186000000003</v>
      </c>
      <c r="K181" s="164">
        <v>34.377158999999999</v>
      </c>
      <c r="L181" s="164">
        <v>35.893459</v>
      </c>
      <c r="M181" s="164">
        <v>37.667839000000001</v>
      </c>
      <c r="N181" s="164">
        <v>39.338538999999997</v>
      </c>
      <c r="O181" s="164">
        <v>41.088473999999998</v>
      </c>
      <c r="P181" s="164">
        <v>42.883583000000002</v>
      </c>
      <c r="Q181" s="164">
        <v>44.583351</v>
      </c>
      <c r="R181" s="164">
        <v>46.405234999999998</v>
      </c>
      <c r="S181" s="164">
        <v>48.237968000000002</v>
      </c>
      <c r="T181" s="164">
        <v>50.054909000000002</v>
      </c>
      <c r="U181" s="164">
        <v>51.816090000000003</v>
      </c>
      <c r="V181" s="164">
        <v>53.149906000000001</v>
      </c>
      <c r="W181" s="164">
        <v>54.709114</v>
      </c>
      <c r="X181" s="164">
        <v>56.237555999999998</v>
      </c>
      <c r="Y181" s="164">
        <v>57.744278000000001</v>
      </c>
      <c r="Z181" s="164">
        <v>59.240203999999999</v>
      </c>
      <c r="AA181" s="164">
        <v>60.373123</v>
      </c>
      <c r="AB181" s="164">
        <v>61.808743</v>
      </c>
      <c r="AC181" s="164">
        <v>63.379292</v>
      </c>
      <c r="AD181" s="164">
        <v>65.004767999999999</v>
      </c>
      <c r="AE181" s="164">
        <v>66.742683</v>
      </c>
      <c r="AF181" s="163" t="s">
        <v>1064</v>
      </c>
      <c r="AG181" s="155"/>
    </row>
    <row r="182" spans="1:33">
      <c r="A182" s="153" t="s">
        <v>1072</v>
      </c>
      <c r="B182" s="161" t="s">
        <v>974</v>
      </c>
      <c r="C182" s="164">
        <v>0</v>
      </c>
      <c r="D182" s="164">
        <v>0</v>
      </c>
      <c r="E182" s="164">
        <v>1.1706829999999999</v>
      </c>
      <c r="F182" s="164">
        <v>6.5943160000000001</v>
      </c>
      <c r="G182" s="164">
        <v>5.9159930000000003</v>
      </c>
      <c r="H182" s="164">
        <v>4.2207160000000004</v>
      </c>
      <c r="I182" s="164">
        <v>3.7680630000000002</v>
      </c>
      <c r="J182" s="164">
        <v>3.664326</v>
      </c>
      <c r="K182" s="164">
        <v>2.497312</v>
      </c>
      <c r="L182" s="164">
        <v>3.0966079999999998</v>
      </c>
      <c r="M182" s="164">
        <v>3.723773</v>
      </c>
      <c r="N182" s="164">
        <v>5.5370480000000004</v>
      </c>
      <c r="O182" s="164">
        <v>7.546837</v>
      </c>
      <c r="P182" s="164">
        <v>8.0298370000000006</v>
      </c>
      <c r="Q182" s="164">
        <v>8.4824219999999997</v>
      </c>
      <c r="R182" s="164">
        <v>8.9627379999999999</v>
      </c>
      <c r="S182" s="164">
        <v>9.4329149999999995</v>
      </c>
      <c r="T182" s="164">
        <v>9.8785399999999992</v>
      </c>
      <c r="U182" s="164">
        <v>10.28767</v>
      </c>
      <c r="V182" s="164">
        <v>10.555084000000001</v>
      </c>
      <c r="W182" s="164">
        <v>10.858917</v>
      </c>
      <c r="X182" s="164">
        <v>11.105093</v>
      </c>
      <c r="Y182" s="164">
        <v>11.269012999999999</v>
      </c>
      <c r="Z182" s="164">
        <v>11.400671000000001</v>
      </c>
      <c r="AA182" s="164">
        <v>11.372805</v>
      </c>
      <c r="AB182" s="164">
        <v>11.416981</v>
      </c>
      <c r="AC182" s="164">
        <v>11.454242000000001</v>
      </c>
      <c r="AD182" s="164">
        <v>11.487852</v>
      </c>
      <c r="AE182" s="164">
        <v>11.547215</v>
      </c>
      <c r="AF182" s="163" t="s">
        <v>1064</v>
      </c>
      <c r="AG182" s="155"/>
    </row>
    <row r="183" spans="1:33">
      <c r="A183" s="153" t="s">
        <v>1073</v>
      </c>
      <c r="B183" s="161" t="s">
        <v>976</v>
      </c>
      <c r="C183" s="164">
        <v>0</v>
      </c>
      <c r="D183" s="164">
        <v>19.187712000000001</v>
      </c>
      <c r="E183" s="164">
        <v>25.908698999999999</v>
      </c>
      <c r="F183" s="164">
        <v>13.040388</v>
      </c>
      <c r="G183" s="164">
        <v>15.988916</v>
      </c>
      <c r="H183" s="164">
        <v>14.802597</v>
      </c>
      <c r="I183" s="164">
        <v>14.560089</v>
      </c>
      <c r="J183" s="164">
        <v>14.628723000000001</v>
      </c>
      <c r="K183" s="164">
        <v>15.202605999999999</v>
      </c>
      <c r="L183" s="164">
        <v>15.768112</v>
      </c>
      <c r="M183" s="164">
        <v>16.387756</v>
      </c>
      <c r="N183" s="164">
        <v>16.958221000000002</v>
      </c>
      <c r="O183" s="164">
        <v>17.533294999999999</v>
      </c>
      <c r="P183" s="164">
        <v>18.108612000000001</v>
      </c>
      <c r="Q183" s="164">
        <v>18.654572000000002</v>
      </c>
      <c r="R183" s="164">
        <v>19.233153999999999</v>
      </c>
      <c r="S183" s="164">
        <v>19.821411000000001</v>
      </c>
      <c r="T183" s="164">
        <v>20.831299000000001</v>
      </c>
      <c r="U183" s="164">
        <v>21.736633000000001</v>
      </c>
      <c r="V183" s="164">
        <v>22.211303999999998</v>
      </c>
      <c r="W183" s="164">
        <v>22.786284999999999</v>
      </c>
      <c r="X183" s="164">
        <v>23.382995999999999</v>
      </c>
      <c r="Y183" s="164">
        <v>23.998992999999999</v>
      </c>
      <c r="Z183" s="164">
        <v>24.634827000000001</v>
      </c>
      <c r="AA183" s="164">
        <v>25.184601000000001</v>
      </c>
      <c r="AB183" s="164">
        <v>25.844726999999999</v>
      </c>
      <c r="AC183" s="164">
        <v>26.55423</v>
      </c>
      <c r="AD183" s="164">
        <v>27.314879999999999</v>
      </c>
      <c r="AE183" s="164">
        <v>28.123412999999999</v>
      </c>
      <c r="AF183" s="163" t="s">
        <v>1064</v>
      </c>
      <c r="AG183" s="155"/>
    </row>
    <row r="184" spans="1:33">
      <c r="A184" s="153" t="s">
        <v>1074</v>
      </c>
      <c r="B184" s="161" t="s">
        <v>988</v>
      </c>
      <c r="C184" s="164">
        <v>0</v>
      </c>
      <c r="D184" s="164">
        <v>209.46492000000001</v>
      </c>
      <c r="E184" s="164">
        <v>460.13586400000003</v>
      </c>
      <c r="F184" s="164">
        <v>229.08583100000001</v>
      </c>
      <c r="G184" s="164">
        <v>317.47808800000001</v>
      </c>
      <c r="H184" s="164">
        <v>187.26048299999999</v>
      </c>
      <c r="I184" s="164">
        <v>214.348862</v>
      </c>
      <c r="J184" s="164">
        <v>249.834259</v>
      </c>
      <c r="K184" s="164">
        <v>296.81411700000001</v>
      </c>
      <c r="L184" s="164">
        <v>319.17443800000001</v>
      </c>
      <c r="M184" s="164">
        <v>339.22967499999999</v>
      </c>
      <c r="N184" s="164">
        <v>397.25842299999999</v>
      </c>
      <c r="O184" s="164">
        <v>406.20275900000001</v>
      </c>
      <c r="P184" s="164">
        <v>413.12435900000003</v>
      </c>
      <c r="Q184" s="164">
        <v>419.67819200000002</v>
      </c>
      <c r="R184" s="164">
        <v>426.31133999999997</v>
      </c>
      <c r="S184" s="164">
        <v>432.356964</v>
      </c>
      <c r="T184" s="164">
        <v>437.99243200000001</v>
      </c>
      <c r="U184" s="164">
        <v>444.01953099999997</v>
      </c>
      <c r="V184" s="164">
        <v>449.06921399999999</v>
      </c>
      <c r="W184" s="164">
        <v>453.67553700000002</v>
      </c>
      <c r="X184" s="164">
        <v>457.88363600000002</v>
      </c>
      <c r="Y184" s="164">
        <v>461.77047700000003</v>
      </c>
      <c r="Z184" s="164">
        <v>465.51147500000002</v>
      </c>
      <c r="AA184" s="164">
        <v>469.37573200000003</v>
      </c>
      <c r="AB184" s="164">
        <v>473.366669</v>
      </c>
      <c r="AC184" s="164">
        <v>477.805969</v>
      </c>
      <c r="AD184" s="164">
        <v>483.20083599999998</v>
      </c>
      <c r="AE184" s="164">
        <v>489.35626200000002</v>
      </c>
      <c r="AF184" s="163" t="s">
        <v>1064</v>
      </c>
      <c r="AG184" s="155"/>
    </row>
    <row r="185" spans="1:33">
      <c r="A185" s="153" t="s">
        <v>1075</v>
      </c>
      <c r="B185" s="161" t="s">
        <v>972</v>
      </c>
      <c r="C185" s="164">
        <v>0</v>
      </c>
      <c r="D185" s="164">
        <v>0</v>
      </c>
      <c r="E185" s="164">
        <v>221.829926</v>
      </c>
      <c r="F185" s="164">
        <v>120.38294999999999</v>
      </c>
      <c r="G185" s="164">
        <v>159.10351600000001</v>
      </c>
      <c r="H185" s="164">
        <v>105.838966</v>
      </c>
      <c r="I185" s="164">
        <v>123.445007</v>
      </c>
      <c r="J185" s="164">
        <v>142.73538199999999</v>
      </c>
      <c r="K185" s="164">
        <v>161.134232</v>
      </c>
      <c r="L185" s="164">
        <v>178.18235799999999</v>
      </c>
      <c r="M185" s="164">
        <v>193.75765999999999</v>
      </c>
      <c r="N185" s="164">
        <v>247.382935</v>
      </c>
      <c r="O185" s="164">
        <v>252.203857</v>
      </c>
      <c r="P185" s="164">
        <v>255.38964799999999</v>
      </c>
      <c r="Q185" s="164">
        <v>258.36474600000003</v>
      </c>
      <c r="R185" s="164">
        <v>261.22705100000002</v>
      </c>
      <c r="S185" s="164">
        <v>263.53198200000003</v>
      </c>
      <c r="T185" s="164">
        <v>265.51074199999999</v>
      </c>
      <c r="U185" s="164">
        <v>267.742188</v>
      </c>
      <c r="V185" s="164">
        <v>269.3125</v>
      </c>
      <c r="W185" s="164">
        <v>270.68798800000002</v>
      </c>
      <c r="X185" s="164">
        <v>271.945312</v>
      </c>
      <c r="Y185" s="164">
        <v>273.14111300000002</v>
      </c>
      <c r="Z185" s="164">
        <v>274.41601600000001</v>
      </c>
      <c r="AA185" s="164">
        <v>275.93505900000002</v>
      </c>
      <c r="AB185" s="164">
        <v>277.73779300000001</v>
      </c>
      <c r="AC185" s="164">
        <v>280.03198200000003</v>
      </c>
      <c r="AD185" s="164">
        <v>283.20404100000002</v>
      </c>
      <c r="AE185" s="164">
        <v>286.96154799999999</v>
      </c>
      <c r="AF185" s="163" t="s">
        <v>1064</v>
      </c>
      <c r="AG185" s="155"/>
    </row>
    <row r="186" spans="1:33">
      <c r="A186" s="153" t="s">
        <v>1076</v>
      </c>
      <c r="B186" s="161" t="s">
        <v>974</v>
      </c>
      <c r="C186" s="164">
        <v>0</v>
      </c>
      <c r="D186" s="164">
        <v>0</v>
      </c>
      <c r="E186" s="164">
        <v>47.794128000000001</v>
      </c>
      <c r="F186" s="164">
        <v>34.290160999999998</v>
      </c>
      <c r="G186" s="164">
        <v>78.167045999999999</v>
      </c>
      <c r="H186" s="164">
        <v>21.906136</v>
      </c>
      <c r="I186" s="164">
        <v>29.046921000000001</v>
      </c>
      <c r="J186" s="164">
        <v>42.34742</v>
      </c>
      <c r="K186" s="164">
        <v>67.976646000000002</v>
      </c>
      <c r="L186" s="164">
        <v>70.347549000000001</v>
      </c>
      <c r="M186" s="164">
        <v>71.901809999999998</v>
      </c>
      <c r="N186" s="164">
        <v>73.409531000000001</v>
      </c>
      <c r="O186" s="164">
        <v>74.759415000000004</v>
      </c>
      <c r="P186" s="164">
        <v>75.880463000000006</v>
      </c>
      <c r="Q186" s="164">
        <v>76.833099000000004</v>
      </c>
      <c r="R186" s="164">
        <v>77.983086</v>
      </c>
      <c r="S186" s="164">
        <v>79.231110000000001</v>
      </c>
      <c r="T186" s="164">
        <v>80.483269000000007</v>
      </c>
      <c r="U186" s="164">
        <v>81.913345000000007</v>
      </c>
      <c r="V186" s="164">
        <v>83.149544000000006</v>
      </c>
      <c r="W186" s="164">
        <v>84.208145000000002</v>
      </c>
      <c r="X186" s="164">
        <v>85.047950999999998</v>
      </c>
      <c r="Y186" s="164">
        <v>85.678557999999995</v>
      </c>
      <c r="Z186" s="164">
        <v>86.113647</v>
      </c>
      <c r="AA186" s="164">
        <v>86.440674000000001</v>
      </c>
      <c r="AB186" s="164">
        <v>86.611412000000001</v>
      </c>
      <c r="AC186" s="164">
        <v>86.682541000000001</v>
      </c>
      <c r="AD186" s="164">
        <v>86.753997999999996</v>
      </c>
      <c r="AE186" s="164">
        <v>86.938659999999999</v>
      </c>
      <c r="AF186" s="163" t="s">
        <v>1064</v>
      </c>
      <c r="AG186" s="155"/>
    </row>
    <row r="187" spans="1:33">
      <c r="A187" s="153" t="s">
        <v>1077</v>
      </c>
      <c r="B187" s="161" t="s">
        <v>976</v>
      </c>
      <c r="C187" s="164">
        <v>0</v>
      </c>
      <c r="D187" s="164">
        <v>209.46492000000001</v>
      </c>
      <c r="E187" s="164">
        <v>190.51182600000001</v>
      </c>
      <c r="F187" s="164">
        <v>74.412719999999993</v>
      </c>
      <c r="G187" s="164">
        <v>80.207520000000002</v>
      </c>
      <c r="H187" s="164">
        <v>59.515380999999998</v>
      </c>
      <c r="I187" s="164">
        <v>61.856934000000003</v>
      </c>
      <c r="J187" s="164">
        <v>64.751464999999996</v>
      </c>
      <c r="K187" s="164">
        <v>67.703247000000005</v>
      </c>
      <c r="L187" s="164">
        <v>70.644531000000001</v>
      </c>
      <c r="M187" s="164">
        <v>73.570189999999997</v>
      </c>
      <c r="N187" s="164">
        <v>76.465941999999998</v>
      </c>
      <c r="O187" s="164">
        <v>79.239502000000002</v>
      </c>
      <c r="P187" s="164">
        <v>81.854247999999998</v>
      </c>
      <c r="Q187" s="164">
        <v>84.480346999999995</v>
      </c>
      <c r="R187" s="164">
        <v>87.101196000000002</v>
      </c>
      <c r="S187" s="164">
        <v>89.593872000000005</v>
      </c>
      <c r="T187" s="164">
        <v>91.998412999999999</v>
      </c>
      <c r="U187" s="164">
        <v>94.364013999999997</v>
      </c>
      <c r="V187" s="164">
        <v>96.607178000000005</v>
      </c>
      <c r="W187" s="164">
        <v>98.779419000000004</v>
      </c>
      <c r="X187" s="164">
        <v>100.890381</v>
      </c>
      <c r="Y187" s="164">
        <v>102.950806</v>
      </c>
      <c r="Z187" s="164">
        <v>104.98181200000001</v>
      </c>
      <c r="AA187" s="164">
        <v>107</v>
      </c>
      <c r="AB187" s="164">
        <v>109.017456</v>
      </c>
      <c r="AC187" s="164">
        <v>111.091431</v>
      </c>
      <c r="AD187" s="164">
        <v>113.24279799999999</v>
      </c>
      <c r="AE187" s="164">
        <v>115.45605500000001</v>
      </c>
      <c r="AF187" s="163" t="s">
        <v>1064</v>
      </c>
      <c r="AG187" s="155"/>
    </row>
    <row r="188" spans="1:33">
      <c r="A188" s="153" t="s">
        <v>1078</v>
      </c>
      <c r="B188" s="161" t="s">
        <v>993</v>
      </c>
      <c r="C188" s="164">
        <v>0.79372399999999999</v>
      </c>
      <c r="D188" s="164">
        <v>12.980262</v>
      </c>
      <c r="E188" s="164">
        <v>13.87327</v>
      </c>
      <c r="F188" s="164">
        <v>26.350292</v>
      </c>
      <c r="G188" s="164">
        <v>34.025683999999998</v>
      </c>
      <c r="H188" s="164">
        <v>23.44116</v>
      </c>
      <c r="I188" s="164">
        <v>23.946943000000001</v>
      </c>
      <c r="J188" s="164">
        <v>7.5498479999999999</v>
      </c>
      <c r="K188" s="164">
        <v>10.049531999999999</v>
      </c>
      <c r="L188" s="164">
        <v>12.750522999999999</v>
      </c>
      <c r="M188" s="164">
        <v>15.652850000000001</v>
      </c>
      <c r="N188" s="164">
        <v>19.172958000000001</v>
      </c>
      <c r="O188" s="164">
        <v>21.966609999999999</v>
      </c>
      <c r="P188" s="164">
        <v>24.430050000000001</v>
      </c>
      <c r="Q188" s="164">
        <v>26.608149000000001</v>
      </c>
      <c r="R188" s="164">
        <v>29.806080000000001</v>
      </c>
      <c r="S188" s="164">
        <v>31.115946000000001</v>
      </c>
      <c r="T188" s="164">
        <v>32.410407999999997</v>
      </c>
      <c r="U188" s="164">
        <v>32.874062000000002</v>
      </c>
      <c r="V188" s="164">
        <v>33.091309000000003</v>
      </c>
      <c r="W188" s="164">
        <v>35.272255000000001</v>
      </c>
      <c r="X188" s="164">
        <v>35.527016000000003</v>
      </c>
      <c r="Y188" s="164">
        <v>34.892966999999999</v>
      </c>
      <c r="Z188" s="164">
        <v>34.265090999999998</v>
      </c>
      <c r="AA188" s="164">
        <v>33.642463999999997</v>
      </c>
      <c r="AB188" s="164">
        <v>33.005409</v>
      </c>
      <c r="AC188" s="164">
        <v>32.366652999999999</v>
      </c>
      <c r="AD188" s="164">
        <v>31.752213000000001</v>
      </c>
      <c r="AE188" s="164">
        <v>31.186401</v>
      </c>
      <c r="AF188" s="163">
        <v>0.14008999999999999</v>
      </c>
      <c r="AG188" s="155"/>
    </row>
    <row r="189" spans="1:33">
      <c r="A189" s="153" t="s">
        <v>1079</v>
      </c>
      <c r="B189" s="161" t="s">
        <v>972</v>
      </c>
      <c r="C189" s="164">
        <v>0.79372399999999999</v>
      </c>
      <c r="D189" s="164">
        <v>7.4462910000000004</v>
      </c>
      <c r="E189" s="164">
        <v>10.540979</v>
      </c>
      <c r="F189" s="164">
        <v>9.1241839999999996</v>
      </c>
      <c r="G189" s="164">
        <v>8.5874229999999994</v>
      </c>
      <c r="H189" s="164">
        <v>6.9385599999999998</v>
      </c>
      <c r="I189" s="164">
        <v>7.4051960000000001</v>
      </c>
      <c r="J189" s="164">
        <v>4.6872920000000002</v>
      </c>
      <c r="K189" s="164">
        <v>5.5550129999999998</v>
      </c>
      <c r="L189" s="164">
        <v>6.4856889999999998</v>
      </c>
      <c r="M189" s="164">
        <v>7.4760400000000002</v>
      </c>
      <c r="N189" s="164">
        <v>8.5032789999999991</v>
      </c>
      <c r="O189" s="164">
        <v>9.4984909999999996</v>
      </c>
      <c r="P189" s="164">
        <v>10.436935999999999</v>
      </c>
      <c r="Q189" s="164">
        <v>11.300264</v>
      </c>
      <c r="R189" s="164">
        <v>12.071911</v>
      </c>
      <c r="S189" s="164">
        <v>13.071901</v>
      </c>
      <c r="T189" s="164">
        <v>14.14739</v>
      </c>
      <c r="U189" s="164">
        <v>14.482977</v>
      </c>
      <c r="V189" s="164">
        <v>14.647125000000001</v>
      </c>
      <c r="W189" s="164">
        <v>14.705292</v>
      </c>
      <c r="X189" s="164">
        <v>14.677673</v>
      </c>
      <c r="Y189" s="164">
        <v>14.582153</v>
      </c>
      <c r="Z189" s="164">
        <v>14.438843</v>
      </c>
      <c r="AA189" s="164">
        <v>14.260223</v>
      </c>
      <c r="AB189" s="164">
        <v>14.050934</v>
      </c>
      <c r="AC189" s="164">
        <v>13.821960000000001</v>
      </c>
      <c r="AD189" s="164">
        <v>13.586792000000001</v>
      </c>
      <c r="AE189" s="164">
        <v>13.356964</v>
      </c>
      <c r="AF189" s="163">
        <v>0.10608099999999999</v>
      </c>
      <c r="AG189" s="155"/>
    </row>
    <row r="190" spans="1:33">
      <c r="A190" s="153" t="s">
        <v>1080</v>
      </c>
      <c r="B190" s="161" t="s">
        <v>974</v>
      </c>
      <c r="C190" s="164">
        <v>0</v>
      </c>
      <c r="D190" s="164">
        <v>0</v>
      </c>
      <c r="E190" s="164">
        <v>0.42932500000000001</v>
      </c>
      <c r="F190" s="164">
        <v>14.579053</v>
      </c>
      <c r="G190" s="164">
        <v>24.163519000000001</v>
      </c>
      <c r="H190" s="164">
        <v>14.927294</v>
      </c>
      <c r="I190" s="164">
        <v>14.637105999999999</v>
      </c>
      <c r="J190" s="164">
        <v>0.63064600000000004</v>
      </c>
      <c r="K190" s="164">
        <v>1.9469030000000001</v>
      </c>
      <c r="L190" s="164">
        <v>3.405764</v>
      </c>
      <c r="M190" s="164">
        <v>4.9879540000000002</v>
      </c>
      <c r="N190" s="164">
        <v>6.6358100000000002</v>
      </c>
      <c r="O190" s="164">
        <v>8.1877010000000006</v>
      </c>
      <c r="P190" s="164">
        <v>9.5605790000000006</v>
      </c>
      <c r="Q190" s="164">
        <v>10.737700999999999</v>
      </c>
      <c r="R190" s="164">
        <v>13.039307000000001</v>
      </c>
      <c r="S190" s="164">
        <v>13.238830999999999</v>
      </c>
      <c r="T190" s="164">
        <v>13.362273999999999</v>
      </c>
      <c r="U190" s="164">
        <v>13.415436</v>
      </c>
      <c r="V190" s="164">
        <v>13.404968</v>
      </c>
      <c r="W190" s="164">
        <v>15.479445999999999</v>
      </c>
      <c r="X190" s="164">
        <v>15.727722</v>
      </c>
      <c r="Y190" s="164">
        <v>15.166382</v>
      </c>
      <c r="Z190" s="164">
        <v>14.668182</v>
      </c>
      <c r="AA190" s="164">
        <v>14.217926</v>
      </c>
      <c r="AB190" s="164">
        <v>13.793549000000001</v>
      </c>
      <c r="AC190" s="164">
        <v>13.395325</v>
      </c>
      <c r="AD190" s="164">
        <v>13.034515000000001</v>
      </c>
      <c r="AE190" s="164">
        <v>12.721436000000001</v>
      </c>
      <c r="AF190" s="163" t="s">
        <v>1064</v>
      </c>
      <c r="AG190" s="155"/>
    </row>
    <row r="191" spans="1:33">
      <c r="A191" s="153" t="s">
        <v>1081</v>
      </c>
      <c r="B191" s="161" t="s">
        <v>976</v>
      </c>
      <c r="C191" s="164">
        <v>0</v>
      </c>
      <c r="D191" s="164">
        <v>5.5339710000000002</v>
      </c>
      <c r="E191" s="164">
        <v>2.9029660000000002</v>
      </c>
      <c r="F191" s="164">
        <v>2.6470570000000002</v>
      </c>
      <c r="G191" s="164">
        <v>1.2747409999999999</v>
      </c>
      <c r="H191" s="164">
        <v>1.5753060000000001</v>
      </c>
      <c r="I191" s="164">
        <v>1.9046419999999999</v>
      </c>
      <c r="J191" s="164">
        <v>2.2319100000000001</v>
      </c>
      <c r="K191" s="164">
        <v>2.5476160000000001</v>
      </c>
      <c r="L191" s="164">
        <v>2.8590689999999999</v>
      </c>
      <c r="M191" s="164">
        <v>3.1888550000000002</v>
      </c>
      <c r="N191" s="164">
        <v>4.0338690000000001</v>
      </c>
      <c r="O191" s="164">
        <v>4.2804180000000001</v>
      </c>
      <c r="P191" s="164">
        <v>4.4325330000000003</v>
      </c>
      <c r="Q191" s="164">
        <v>4.5701830000000001</v>
      </c>
      <c r="R191" s="164">
        <v>4.6948619999999996</v>
      </c>
      <c r="S191" s="164">
        <v>4.8052140000000003</v>
      </c>
      <c r="T191" s="164">
        <v>4.9007420000000002</v>
      </c>
      <c r="U191" s="164">
        <v>4.9756470000000004</v>
      </c>
      <c r="V191" s="164">
        <v>5.0392150000000004</v>
      </c>
      <c r="W191" s="164">
        <v>5.0875170000000001</v>
      </c>
      <c r="X191" s="164">
        <v>5.1216200000000001</v>
      </c>
      <c r="Y191" s="164">
        <v>5.1444320000000001</v>
      </c>
      <c r="Z191" s="164">
        <v>5.1580659999999998</v>
      </c>
      <c r="AA191" s="164">
        <v>5.1643140000000001</v>
      </c>
      <c r="AB191" s="164">
        <v>5.160927</v>
      </c>
      <c r="AC191" s="164">
        <v>5.1493679999999999</v>
      </c>
      <c r="AD191" s="164">
        <v>5.1309050000000003</v>
      </c>
      <c r="AE191" s="164">
        <v>5.1080019999999999</v>
      </c>
      <c r="AF191" s="163" t="s">
        <v>1064</v>
      </c>
      <c r="AG191" s="155"/>
    </row>
    <row r="192" spans="1:33">
      <c r="A192" s="153" t="s">
        <v>1082</v>
      </c>
      <c r="B192" s="161" t="s">
        <v>998</v>
      </c>
      <c r="C192" s="164">
        <v>0</v>
      </c>
      <c r="D192" s="164">
        <v>8.2998980000000007</v>
      </c>
      <c r="E192" s="164">
        <v>38.095581000000003</v>
      </c>
      <c r="F192" s="164">
        <v>52.605324000000003</v>
      </c>
      <c r="G192" s="164">
        <v>38.831344999999999</v>
      </c>
      <c r="H192" s="164">
        <v>36.263339999999999</v>
      </c>
      <c r="I192" s="164">
        <v>38.536208999999999</v>
      </c>
      <c r="J192" s="164">
        <v>37.579514000000003</v>
      </c>
      <c r="K192" s="164">
        <v>40.607680999999999</v>
      </c>
      <c r="L192" s="164">
        <v>43.308140000000002</v>
      </c>
      <c r="M192" s="164">
        <v>45.546779999999998</v>
      </c>
      <c r="N192" s="164">
        <v>51.024161999999997</v>
      </c>
      <c r="O192" s="164">
        <v>55.126358000000003</v>
      </c>
      <c r="P192" s="164">
        <v>55.12912</v>
      </c>
      <c r="Q192" s="164">
        <v>55.547545999999997</v>
      </c>
      <c r="R192" s="164">
        <v>56.460537000000002</v>
      </c>
      <c r="S192" s="164">
        <v>57.931061</v>
      </c>
      <c r="T192" s="164">
        <v>57.521850999999998</v>
      </c>
      <c r="U192" s="164">
        <v>61.387970000000003</v>
      </c>
      <c r="V192" s="164">
        <v>62.124954000000002</v>
      </c>
      <c r="W192" s="164">
        <v>63.149524999999997</v>
      </c>
      <c r="X192" s="164">
        <v>64.233458999999996</v>
      </c>
      <c r="Y192" s="164">
        <v>65.384048000000007</v>
      </c>
      <c r="Z192" s="164">
        <v>66.553618999999998</v>
      </c>
      <c r="AA192" s="164">
        <v>67.687691000000001</v>
      </c>
      <c r="AB192" s="164">
        <v>68.894240999999994</v>
      </c>
      <c r="AC192" s="164">
        <v>70.257583999999994</v>
      </c>
      <c r="AD192" s="164">
        <v>71.682845999999998</v>
      </c>
      <c r="AE192" s="164">
        <v>73.041831999999999</v>
      </c>
      <c r="AF192" s="163" t="s">
        <v>1064</v>
      </c>
      <c r="AG192" s="155"/>
    </row>
    <row r="193" spans="1:33">
      <c r="A193" s="153" t="s">
        <v>1083</v>
      </c>
      <c r="B193" s="161" t="s">
        <v>972</v>
      </c>
      <c r="C193" s="164">
        <v>0</v>
      </c>
      <c r="D193" s="164">
        <v>0</v>
      </c>
      <c r="E193" s="164">
        <v>2.1184859999999999</v>
      </c>
      <c r="F193" s="164">
        <v>14.333235</v>
      </c>
      <c r="G193" s="164">
        <v>8.4892459999999996</v>
      </c>
      <c r="H193" s="164">
        <v>9.3029770000000003</v>
      </c>
      <c r="I193" s="164">
        <v>11.527939</v>
      </c>
      <c r="J193" s="164">
        <v>13.043364</v>
      </c>
      <c r="K193" s="164">
        <v>15.177201</v>
      </c>
      <c r="L193" s="164">
        <v>17.062756</v>
      </c>
      <c r="M193" s="164">
        <v>18.632449999999999</v>
      </c>
      <c r="N193" s="164">
        <v>23.383787000000002</v>
      </c>
      <c r="O193" s="164">
        <v>26.739440999999999</v>
      </c>
      <c r="P193" s="164">
        <v>26.429901000000001</v>
      </c>
      <c r="Q193" s="164">
        <v>26.310669000000001</v>
      </c>
      <c r="R193" s="164">
        <v>26.42334</v>
      </c>
      <c r="S193" s="164">
        <v>26.262481999999999</v>
      </c>
      <c r="T193" s="164">
        <v>25.816986</v>
      </c>
      <c r="U193" s="164">
        <v>29.670959</v>
      </c>
      <c r="V193" s="164">
        <v>30.239594</v>
      </c>
      <c r="W193" s="164">
        <v>31.060184</v>
      </c>
      <c r="X193" s="164">
        <v>31.933064000000002</v>
      </c>
      <c r="Y193" s="164">
        <v>32.858215000000001</v>
      </c>
      <c r="Z193" s="164">
        <v>33.782725999999997</v>
      </c>
      <c r="AA193" s="164">
        <v>34.653114000000002</v>
      </c>
      <c r="AB193" s="164">
        <v>35.545791999999999</v>
      </c>
      <c r="AC193" s="164">
        <v>36.475109000000003</v>
      </c>
      <c r="AD193" s="164">
        <v>37.396743999999998</v>
      </c>
      <c r="AE193" s="164">
        <v>38.194510999999999</v>
      </c>
      <c r="AF193" s="163" t="s">
        <v>1064</v>
      </c>
      <c r="AG193" s="155"/>
    </row>
    <row r="194" spans="1:33">
      <c r="A194" s="153" t="s">
        <v>1084</v>
      </c>
      <c r="B194" s="161" t="s">
        <v>974</v>
      </c>
      <c r="C194" s="164">
        <v>0</v>
      </c>
      <c r="D194" s="164">
        <v>0</v>
      </c>
      <c r="E194" s="164">
        <v>2.6404640000000001</v>
      </c>
      <c r="F194" s="164">
        <v>8.6513419999999996</v>
      </c>
      <c r="G194" s="164">
        <v>8.5475119999999993</v>
      </c>
      <c r="H194" s="164">
        <v>5.0834099999999998</v>
      </c>
      <c r="I194" s="164">
        <v>4.9653910000000003</v>
      </c>
      <c r="J194" s="164">
        <v>2.3322020000000001</v>
      </c>
      <c r="K194" s="164">
        <v>3.053315</v>
      </c>
      <c r="L194" s="164">
        <v>3.8036720000000002</v>
      </c>
      <c r="M194" s="164">
        <v>4.5707329999999997</v>
      </c>
      <c r="N194" s="164">
        <v>5.3463390000000004</v>
      </c>
      <c r="O194" s="164">
        <v>6.1272130000000002</v>
      </c>
      <c r="P194" s="164">
        <v>6.8328249999999997</v>
      </c>
      <c r="Q194" s="164">
        <v>7.5031720000000002</v>
      </c>
      <c r="R194" s="164">
        <v>8.1220660000000002</v>
      </c>
      <c r="S194" s="164">
        <v>9.6340640000000004</v>
      </c>
      <c r="T194" s="164">
        <v>9.7615359999999995</v>
      </c>
      <c r="U194" s="164">
        <v>9.8415529999999993</v>
      </c>
      <c r="V194" s="164">
        <v>9.8936919999999997</v>
      </c>
      <c r="W194" s="164">
        <v>9.9146879999999999</v>
      </c>
      <c r="X194" s="164">
        <v>9.9091640000000005</v>
      </c>
      <c r="Y194" s="164">
        <v>9.8867650000000005</v>
      </c>
      <c r="Z194" s="164">
        <v>9.8553010000000008</v>
      </c>
      <c r="AA194" s="164">
        <v>9.8242189999999994</v>
      </c>
      <c r="AB194" s="164">
        <v>9.8048400000000004</v>
      </c>
      <c r="AC194" s="164">
        <v>9.8116149999999998</v>
      </c>
      <c r="AD194" s="164">
        <v>9.8472600000000003</v>
      </c>
      <c r="AE194" s="164">
        <v>9.9160160000000008</v>
      </c>
      <c r="AF194" s="163" t="s">
        <v>1064</v>
      </c>
      <c r="AG194" s="155"/>
    </row>
    <row r="195" spans="1:33">
      <c r="A195" s="153" t="s">
        <v>1085</v>
      </c>
      <c r="B195" s="161" t="s">
        <v>976</v>
      </c>
      <c r="C195" s="164">
        <v>0</v>
      </c>
      <c r="D195" s="164">
        <v>8.2998980000000007</v>
      </c>
      <c r="E195" s="164">
        <v>33.336632000000002</v>
      </c>
      <c r="F195" s="164">
        <v>29.620747000000001</v>
      </c>
      <c r="G195" s="164">
        <v>21.794585999999999</v>
      </c>
      <c r="H195" s="164">
        <v>21.876953</v>
      </c>
      <c r="I195" s="164">
        <v>22.042877000000001</v>
      </c>
      <c r="J195" s="164">
        <v>22.203949000000001</v>
      </c>
      <c r="K195" s="164">
        <v>22.377167</v>
      </c>
      <c r="L195" s="164">
        <v>22.441711000000002</v>
      </c>
      <c r="M195" s="164">
        <v>22.343596999999999</v>
      </c>
      <c r="N195" s="164">
        <v>22.294036999999999</v>
      </c>
      <c r="O195" s="164">
        <v>22.259705</v>
      </c>
      <c r="P195" s="164">
        <v>21.866394</v>
      </c>
      <c r="Q195" s="164">
        <v>21.733703999999999</v>
      </c>
      <c r="R195" s="164">
        <v>21.915130999999999</v>
      </c>
      <c r="S195" s="164">
        <v>22.034514999999999</v>
      </c>
      <c r="T195" s="164">
        <v>21.943328999999999</v>
      </c>
      <c r="U195" s="164">
        <v>21.875457999999998</v>
      </c>
      <c r="V195" s="164">
        <v>21.991669000000002</v>
      </c>
      <c r="W195" s="164">
        <v>22.174651999999998</v>
      </c>
      <c r="X195" s="164">
        <v>22.391235000000002</v>
      </c>
      <c r="Y195" s="164">
        <v>22.639068999999999</v>
      </c>
      <c r="Z195" s="164">
        <v>22.915588</v>
      </c>
      <c r="AA195" s="164">
        <v>23.210357999999999</v>
      </c>
      <c r="AB195" s="164">
        <v>23.543610000000001</v>
      </c>
      <c r="AC195" s="164">
        <v>23.970856000000001</v>
      </c>
      <c r="AD195" s="164">
        <v>24.438842999999999</v>
      </c>
      <c r="AE195" s="164">
        <v>24.931304999999998</v>
      </c>
      <c r="AF195" s="163" t="s">
        <v>1064</v>
      </c>
      <c r="AG195" s="155"/>
    </row>
    <row r="196" spans="1:33">
      <c r="A196" s="153" t="s">
        <v>1086</v>
      </c>
      <c r="B196" s="161" t="s">
        <v>1003</v>
      </c>
      <c r="C196" s="164">
        <v>1.548062</v>
      </c>
      <c r="D196" s="164">
        <v>0.40694900000000001</v>
      </c>
      <c r="E196" s="164">
        <v>4.8166710000000004</v>
      </c>
      <c r="F196" s="164">
        <v>20.534969</v>
      </c>
      <c r="G196" s="164">
        <v>32.079707999999997</v>
      </c>
      <c r="H196" s="164">
        <v>20.609804</v>
      </c>
      <c r="I196" s="164">
        <v>20.630108</v>
      </c>
      <c r="J196" s="164">
        <v>13.326860999999999</v>
      </c>
      <c r="K196" s="164">
        <v>15.014462</v>
      </c>
      <c r="L196" s="164">
        <v>14.232529</v>
      </c>
      <c r="M196" s="164">
        <v>11.986039</v>
      </c>
      <c r="N196" s="164">
        <v>15.703169000000001</v>
      </c>
      <c r="O196" s="164">
        <v>17.806175</v>
      </c>
      <c r="P196" s="164">
        <v>18.755282999999999</v>
      </c>
      <c r="Q196" s="164">
        <v>21.919620999999999</v>
      </c>
      <c r="R196" s="164">
        <v>21.439056000000001</v>
      </c>
      <c r="S196" s="164">
        <v>20.925242999999998</v>
      </c>
      <c r="T196" s="164">
        <v>21.061748999999999</v>
      </c>
      <c r="U196" s="164">
        <v>21.5837</v>
      </c>
      <c r="V196" s="164">
        <v>22.559345</v>
      </c>
      <c r="W196" s="164">
        <v>23.275272000000001</v>
      </c>
      <c r="X196" s="164">
        <v>23.497261000000002</v>
      </c>
      <c r="Y196" s="164">
        <v>23.522503</v>
      </c>
      <c r="Z196" s="164">
        <v>23.249434999999998</v>
      </c>
      <c r="AA196" s="164">
        <v>22.661169000000001</v>
      </c>
      <c r="AB196" s="164">
        <v>22.079357000000002</v>
      </c>
      <c r="AC196" s="164">
        <v>21.822834</v>
      </c>
      <c r="AD196" s="164">
        <v>21.902353000000002</v>
      </c>
      <c r="AE196" s="164">
        <v>22.206213000000002</v>
      </c>
      <c r="AF196" s="163">
        <v>9.9791000000000005E-2</v>
      </c>
      <c r="AG196" s="155"/>
    </row>
    <row r="197" spans="1:33">
      <c r="A197" s="153" t="s">
        <v>1087</v>
      </c>
      <c r="B197" s="161" t="s">
        <v>972</v>
      </c>
      <c r="C197" s="164">
        <v>0</v>
      </c>
      <c r="D197" s="164">
        <v>0</v>
      </c>
      <c r="E197" s="164">
        <v>0</v>
      </c>
      <c r="F197" s="164">
        <v>10.911906999999999</v>
      </c>
      <c r="G197" s="164">
        <v>16.296938000000001</v>
      </c>
      <c r="H197" s="164">
        <v>10.302027000000001</v>
      </c>
      <c r="I197" s="164">
        <v>10.519545000000001</v>
      </c>
      <c r="J197" s="164">
        <v>7.0495219999999996</v>
      </c>
      <c r="K197" s="164">
        <v>8.0902919999999998</v>
      </c>
      <c r="L197" s="164">
        <v>7.8387279999999997</v>
      </c>
      <c r="M197" s="164">
        <v>6.8081899999999997</v>
      </c>
      <c r="N197" s="164">
        <v>7.5327210000000004</v>
      </c>
      <c r="O197" s="164">
        <v>8.5408380000000008</v>
      </c>
      <c r="P197" s="164">
        <v>9.3576350000000001</v>
      </c>
      <c r="Q197" s="164">
        <v>12.303055000000001</v>
      </c>
      <c r="R197" s="164">
        <v>12.014191</v>
      </c>
      <c r="S197" s="164">
        <v>11.662108999999999</v>
      </c>
      <c r="T197" s="164">
        <v>11.604355</v>
      </c>
      <c r="U197" s="164">
        <v>11.726746</v>
      </c>
      <c r="V197" s="164">
        <v>12.056839</v>
      </c>
      <c r="W197" s="164">
        <v>12.26825</v>
      </c>
      <c r="X197" s="164">
        <v>12.228882</v>
      </c>
      <c r="Y197" s="164">
        <v>12.117050000000001</v>
      </c>
      <c r="Z197" s="164">
        <v>11.890594</v>
      </c>
      <c r="AA197" s="164">
        <v>11.539612</v>
      </c>
      <c r="AB197" s="164">
        <v>11.207397</v>
      </c>
      <c r="AC197" s="164">
        <v>11.077102999999999</v>
      </c>
      <c r="AD197" s="164">
        <v>11.135910000000001</v>
      </c>
      <c r="AE197" s="164">
        <v>11.343048</v>
      </c>
      <c r="AF197" s="163" t="s">
        <v>1064</v>
      </c>
      <c r="AG197" s="155"/>
    </row>
    <row r="198" spans="1:33">
      <c r="A198" s="153" t="s">
        <v>1088</v>
      </c>
      <c r="B198" s="161" t="s">
        <v>974</v>
      </c>
      <c r="C198" s="164">
        <v>0</v>
      </c>
      <c r="D198" s="164">
        <v>0</v>
      </c>
      <c r="E198" s="164">
        <v>4.2203200000000001</v>
      </c>
      <c r="F198" s="164">
        <v>8.9817909999999994</v>
      </c>
      <c r="G198" s="164">
        <v>15.300864000000001</v>
      </c>
      <c r="H198" s="164">
        <v>9.8738729999999997</v>
      </c>
      <c r="I198" s="164">
        <v>9.6676289999999998</v>
      </c>
      <c r="J198" s="164">
        <v>5.8619880000000002</v>
      </c>
      <c r="K198" s="164">
        <v>6.5125869999999999</v>
      </c>
      <c r="L198" s="164">
        <v>6.0127410000000001</v>
      </c>
      <c r="M198" s="164">
        <v>4.8427749999999996</v>
      </c>
      <c r="N198" s="164">
        <v>7.8420709999999998</v>
      </c>
      <c r="O198" s="164">
        <v>8.9356120000000008</v>
      </c>
      <c r="P198" s="164">
        <v>9.0690570000000008</v>
      </c>
      <c r="Q198" s="164">
        <v>9.2871439999999996</v>
      </c>
      <c r="R198" s="164">
        <v>9.1031060000000004</v>
      </c>
      <c r="S198" s="164">
        <v>8.948658</v>
      </c>
      <c r="T198" s="164">
        <v>9.1422129999999999</v>
      </c>
      <c r="U198" s="164">
        <v>9.5360320000000005</v>
      </c>
      <c r="V198" s="164">
        <v>10.170254999999999</v>
      </c>
      <c r="W198" s="164">
        <v>10.665497</v>
      </c>
      <c r="X198" s="164">
        <v>10.922416999999999</v>
      </c>
      <c r="Y198" s="164">
        <v>11.056387000000001</v>
      </c>
      <c r="Z198" s="164">
        <v>11.009218000000001</v>
      </c>
      <c r="AA198" s="164">
        <v>10.773937999999999</v>
      </c>
      <c r="AB198" s="164">
        <v>10.526306</v>
      </c>
      <c r="AC198" s="164">
        <v>10.397843999999999</v>
      </c>
      <c r="AD198" s="164">
        <v>10.412478</v>
      </c>
      <c r="AE198" s="164">
        <v>10.500457000000001</v>
      </c>
      <c r="AF198" s="163" t="s">
        <v>1064</v>
      </c>
      <c r="AG198" s="155"/>
    </row>
    <row r="199" spans="1:33">
      <c r="A199" s="153" t="s">
        <v>1089</v>
      </c>
      <c r="B199" s="161" t="s">
        <v>976</v>
      </c>
      <c r="C199" s="164">
        <v>1.548062</v>
      </c>
      <c r="D199" s="164">
        <v>0.40694900000000001</v>
      </c>
      <c r="E199" s="164">
        <v>0.59635099999999996</v>
      </c>
      <c r="F199" s="164">
        <v>0.64127100000000004</v>
      </c>
      <c r="G199" s="164">
        <v>0.481906</v>
      </c>
      <c r="H199" s="164">
        <v>0.43390400000000001</v>
      </c>
      <c r="I199" s="164">
        <v>0.44293300000000002</v>
      </c>
      <c r="J199" s="164">
        <v>0.41535100000000003</v>
      </c>
      <c r="K199" s="164">
        <v>0.41158400000000001</v>
      </c>
      <c r="L199" s="164">
        <v>0.38105899999999998</v>
      </c>
      <c r="M199" s="164">
        <v>0.33507399999999998</v>
      </c>
      <c r="N199" s="164">
        <v>0.32837699999999997</v>
      </c>
      <c r="O199" s="164">
        <v>0.32972499999999999</v>
      </c>
      <c r="P199" s="164">
        <v>0.32858900000000002</v>
      </c>
      <c r="Q199" s="164">
        <v>0.32942300000000002</v>
      </c>
      <c r="R199" s="164">
        <v>0.32175900000000002</v>
      </c>
      <c r="S199" s="164">
        <v>0.31447599999999998</v>
      </c>
      <c r="T199" s="164">
        <v>0.31518099999999999</v>
      </c>
      <c r="U199" s="164">
        <v>0.32092300000000001</v>
      </c>
      <c r="V199" s="164">
        <v>0.33225300000000002</v>
      </c>
      <c r="W199" s="164">
        <v>0.34152500000000002</v>
      </c>
      <c r="X199" s="164">
        <v>0.34596300000000002</v>
      </c>
      <c r="Y199" s="164">
        <v>0.34906500000000001</v>
      </c>
      <c r="Z199" s="164">
        <v>0.34962300000000002</v>
      </c>
      <c r="AA199" s="164">
        <v>0.34761999999999998</v>
      </c>
      <c r="AB199" s="164">
        <v>0.34565400000000002</v>
      </c>
      <c r="AC199" s="164">
        <v>0.347887</v>
      </c>
      <c r="AD199" s="164">
        <v>0.35396300000000003</v>
      </c>
      <c r="AE199" s="164">
        <v>0.36270599999999997</v>
      </c>
      <c r="AF199" s="163">
        <v>-5.0507000000000003E-2</v>
      </c>
      <c r="AG199" s="155"/>
    </row>
    <row r="200" spans="1:33">
      <c r="A200" s="153" t="s">
        <v>1090</v>
      </c>
      <c r="B200" s="161" t="s">
        <v>1008</v>
      </c>
      <c r="C200" s="164">
        <v>42.537201000000003</v>
      </c>
      <c r="D200" s="164">
        <v>46.682068000000001</v>
      </c>
      <c r="E200" s="164">
        <v>72.607048000000006</v>
      </c>
      <c r="F200" s="164">
        <v>53.570805</v>
      </c>
      <c r="G200" s="164">
        <v>52.307175000000001</v>
      </c>
      <c r="H200" s="164">
        <v>46.307720000000003</v>
      </c>
      <c r="I200" s="164">
        <v>46.639373999999997</v>
      </c>
      <c r="J200" s="164">
        <v>44.061912999999997</v>
      </c>
      <c r="K200" s="164">
        <v>45.929980999999998</v>
      </c>
      <c r="L200" s="164">
        <v>48.113509999999998</v>
      </c>
      <c r="M200" s="164">
        <v>50.033737000000002</v>
      </c>
      <c r="N200" s="164">
        <v>51.740509000000003</v>
      </c>
      <c r="O200" s="164">
        <v>53.489006000000003</v>
      </c>
      <c r="P200" s="164">
        <v>55.207909000000001</v>
      </c>
      <c r="Q200" s="164">
        <v>56.873610999999997</v>
      </c>
      <c r="R200" s="164">
        <v>58.480736</v>
      </c>
      <c r="S200" s="164">
        <v>60.160851000000001</v>
      </c>
      <c r="T200" s="164">
        <v>63.030822999999998</v>
      </c>
      <c r="U200" s="164">
        <v>64.656334000000001</v>
      </c>
      <c r="V200" s="164">
        <v>66.313468999999998</v>
      </c>
      <c r="W200" s="164">
        <v>67.954903000000002</v>
      </c>
      <c r="X200" s="164">
        <v>69.566649999999996</v>
      </c>
      <c r="Y200" s="164">
        <v>71.175880000000006</v>
      </c>
      <c r="Z200" s="164">
        <v>72.77655</v>
      </c>
      <c r="AA200" s="164">
        <v>74.328766000000002</v>
      </c>
      <c r="AB200" s="164">
        <v>75.799423000000004</v>
      </c>
      <c r="AC200" s="164">
        <v>77.223754999999997</v>
      </c>
      <c r="AD200" s="164">
        <v>78.564887999999996</v>
      </c>
      <c r="AE200" s="164">
        <v>79.808670000000006</v>
      </c>
      <c r="AF200" s="163">
        <v>2.2728000000000002E-2</v>
      </c>
      <c r="AG200" s="155"/>
    </row>
    <row r="201" spans="1:33">
      <c r="A201" s="153" t="s">
        <v>1091</v>
      </c>
      <c r="B201" s="161" t="s">
        <v>972</v>
      </c>
      <c r="C201" s="164">
        <v>17.589843999999999</v>
      </c>
      <c r="D201" s="164">
        <v>37.309508999999998</v>
      </c>
      <c r="E201" s="164">
        <v>48.998595999999999</v>
      </c>
      <c r="F201" s="164">
        <v>37.353088</v>
      </c>
      <c r="G201" s="164">
        <v>35.851115999999998</v>
      </c>
      <c r="H201" s="164">
        <v>30.517347000000001</v>
      </c>
      <c r="I201" s="164">
        <v>29.273925999999999</v>
      </c>
      <c r="J201" s="164">
        <v>27.503081999999999</v>
      </c>
      <c r="K201" s="164">
        <v>28.547916000000001</v>
      </c>
      <c r="L201" s="164">
        <v>29.790039</v>
      </c>
      <c r="M201" s="164">
        <v>30.867187999999999</v>
      </c>
      <c r="N201" s="164">
        <v>31.817748999999999</v>
      </c>
      <c r="O201" s="164">
        <v>32.78302</v>
      </c>
      <c r="P201" s="164">
        <v>33.770935000000001</v>
      </c>
      <c r="Q201" s="164">
        <v>34.748168999999997</v>
      </c>
      <c r="R201" s="164">
        <v>35.713684000000001</v>
      </c>
      <c r="S201" s="164">
        <v>36.717224000000002</v>
      </c>
      <c r="T201" s="164">
        <v>37.763184000000003</v>
      </c>
      <c r="U201" s="164">
        <v>38.828978999999997</v>
      </c>
      <c r="V201" s="164">
        <v>39.938170999999997</v>
      </c>
      <c r="W201" s="164">
        <v>41.061278999999999</v>
      </c>
      <c r="X201" s="164">
        <v>42.187012000000003</v>
      </c>
      <c r="Y201" s="164">
        <v>43.312927000000002</v>
      </c>
      <c r="Z201" s="164">
        <v>44.426940999999999</v>
      </c>
      <c r="AA201" s="164">
        <v>45.539856</v>
      </c>
      <c r="AB201" s="164">
        <v>46.608459000000003</v>
      </c>
      <c r="AC201" s="164">
        <v>47.610962000000001</v>
      </c>
      <c r="AD201" s="164">
        <v>48.541809000000001</v>
      </c>
      <c r="AE201" s="164">
        <v>49.383423000000001</v>
      </c>
      <c r="AF201" s="163">
        <v>3.7555999999999999E-2</v>
      </c>
      <c r="AG201" s="155"/>
    </row>
    <row r="202" spans="1:33">
      <c r="A202" s="153" t="s">
        <v>1092</v>
      </c>
      <c r="B202" s="161" t="s">
        <v>974</v>
      </c>
      <c r="C202" s="164">
        <v>0</v>
      </c>
      <c r="D202" s="164">
        <v>0</v>
      </c>
      <c r="E202" s="164">
        <v>8.5974660000000007</v>
      </c>
      <c r="F202" s="164">
        <v>5.9324389999999996</v>
      </c>
      <c r="G202" s="164">
        <v>4.411505</v>
      </c>
      <c r="H202" s="164">
        <v>4.3788140000000002</v>
      </c>
      <c r="I202" s="164">
        <v>5.8503109999999996</v>
      </c>
      <c r="J202" s="164">
        <v>4.9938890000000002</v>
      </c>
      <c r="K202" s="164">
        <v>5.3139500000000002</v>
      </c>
      <c r="L202" s="164">
        <v>5.6372530000000003</v>
      </c>
      <c r="M202" s="164">
        <v>5.9198459999999997</v>
      </c>
      <c r="N202" s="164">
        <v>6.1641539999999999</v>
      </c>
      <c r="O202" s="164">
        <v>6.382225</v>
      </c>
      <c r="P202" s="164">
        <v>6.5721049999999996</v>
      </c>
      <c r="Q202" s="164">
        <v>6.7250819999999996</v>
      </c>
      <c r="R202" s="164">
        <v>6.8400189999999998</v>
      </c>
      <c r="S202" s="164">
        <v>6.9813460000000003</v>
      </c>
      <c r="T202" s="164">
        <v>8.2631530000000009</v>
      </c>
      <c r="U202" s="164">
        <v>8.2911000000000001</v>
      </c>
      <c r="V202" s="164">
        <v>8.3037030000000005</v>
      </c>
      <c r="W202" s="164">
        <v>8.2986830000000005</v>
      </c>
      <c r="X202" s="164">
        <v>8.2781040000000008</v>
      </c>
      <c r="Y202" s="164">
        <v>8.2707879999999996</v>
      </c>
      <c r="Z202" s="164">
        <v>8.2884239999999991</v>
      </c>
      <c r="AA202" s="164">
        <v>8.2699239999999996</v>
      </c>
      <c r="AB202" s="164">
        <v>8.2352419999999995</v>
      </c>
      <c r="AC202" s="164">
        <v>8.2510630000000003</v>
      </c>
      <c r="AD202" s="164">
        <v>8.2850420000000007</v>
      </c>
      <c r="AE202" s="164">
        <v>8.3432750000000002</v>
      </c>
      <c r="AF202" s="163" t="s">
        <v>1064</v>
      </c>
      <c r="AG202" s="155"/>
    </row>
    <row r="203" spans="1:33">
      <c r="A203" s="153" t="s">
        <v>1093</v>
      </c>
      <c r="B203" s="161" t="s">
        <v>976</v>
      </c>
      <c r="C203" s="164">
        <v>24.947357</v>
      </c>
      <c r="D203" s="164">
        <v>9.3725590000000008</v>
      </c>
      <c r="E203" s="164">
        <v>15.010986000000001</v>
      </c>
      <c r="F203" s="164">
        <v>10.285278</v>
      </c>
      <c r="G203" s="164">
        <v>12.044556</v>
      </c>
      <c r="H203" s="164">
        <v>11.41156</v>
      </c>
      <c r="I203" s="164">
        <v>11.515136999999999</v>
      </c>
      <c r="J203" s="164">
        <v>11.564940999999999</v>
      </c>
      <c r="K203" s="164">
        <v>12.068115000000001</v>
      </c>
      <c r="L203" s="164">
        <v>12.686218</v>
      </c>
      <c r="M203" s="164">
        <v>13.246703999999999</v>
      </c>
      <c r="N203" s="164">
        <v>13.758606</v>
      </c>
      <c r="O203" s="164">
        <v>14.323760999999999</v>
      </c>
      <c r="P203" s="164">
        <v>14.864868</v>
      </c>
      <c r="Q203" s="164">
        <v>15.400359999999999</v>
      </c>
      <c r="R203" s="164">
        <v>15.927032000000001</v>
      </c>
      <c r="S203" s="164">
        <v>16.46228</v>
      </c>
      <c r="T203" s="164">
        <v>17.004486</v>
      </c>
      <c r="U203" s="164">
        <v>17.536255000000001</v>
      </c>
      <c r="V203" s="164">
        <v>18.071594000000001</v>
      </c>
      <c r="W203" s="164">
        <v>18.594940000000001</v>
      </c>
      <c r="X203" s="164">
        <v>19.101531999999999</v>
      </c>
      <c r="Y203" s="164">
        <v>19.592162999999999</v>
      </c>
      <c r="Z203" s="164">
        <v>20.061188000000001</v>
      </c>
      <c r="AA203" s="164">
        <v>20.518982000000001</v>
      </c>
      <c r="AB203" s="164">
        <v>20.955718999999998</v>
      </c>
      <c r="AC203" s="164">
        <v>21.361725</v>
      </c>
      <c r="AD203" s="164">
        <v>21.738036999999998</v>
      </c>
      <c r="AE203" s="164">
        <v>22.081969999999998</v>
      </c>
      <c r="AF203" s="163">
        <v>-4.3480000000000003E-3</v>
      </c>
      <c r="AG203" s="155"/>
    </row>
    <row r="204" spans="1:33">
      <c r="A204" s="153" t="s">
        <v>1094</v>
      </c>
      <c r="B204" s="161" t="s">
        <v>1013</v>
      </c>
      <c r="C204" s="164">
        <v>0</v>
      </c>
      <c r="D204" s="164">
        <v>0</v>
      </c>
      <c r="E204" s="164">
        <v>11.400624000000001</v>
      </c>
      <c r="F204" s="164">
        <v>28.608160000000002</v>
      </c>
      <c r="G204" s="164">
        <v>27.450500000000002</v>
      </c>
      <c r="H204" s="164">
        <v>10.437824000000001</v>
      </c>
      <c r="I204" s="164">
        <v>10.705201000000001</v>
      </c>
      <c r="J204" s="164">
        <v>17.573795</v>
      </c>
      <c r="K204" s="164">
        <v>23.538584</v>
      </c>
      <c r="L204" s="164">
        <v>34.001067999999997</v>
      </c>
      <c r="M204" s="164">
        <v>45.988883999999999</v>
      </c>
      <c r="N204" s="164">
        <v>48.363425999999997</v>
      </c>
      <c r="O204" s="164">
        <v>49.233001999999999</v>
      </c>
      <c r="P204" s="164">
        <v>50.046734000000001</v>
      </c>
      <c r="Q204" s="164">
        <v>50.387711000000003</v>
      </c>
      <c r="R204" s="164">
        <v>51.022582999999997</v>
      </c>
      <c r="S204" s="164">
        <v>51.635016999999998</v>
      </c>
      <c r="T204" s="164">
        <v>52.211258000000001</v>
      </c>
      <c r="U204" s="164">
        <v>54.691260999999997</v>
      </c>
      <c r="V204" s="164">
        <v>56.252898999999999</v>
      </c>
      <c r="W204" s="164">
        <v>56.312221999999998</v>
      </c>
      <c r="X204" s="164">
        <v>56.506599000000001</v>
      </c>
      <c r="Y204" s="164">
        <v>56.766818999999998</v>
      </c>
      <c r="Z204" s="164">
        <v>57.069298000000003</v>
      </c>
      <c r="AA204" s="164">
        <v>56.914524</v>
      </c>
      <c r="AB204" s="164">
        <v>57.307701000000002</v>
      </c>
      <c r="AC204" s="164">
        <v>57.811962000000001</v>
      </c>
      <c r="AD204" s="164">
        <v>58.449829000000001</v>
      </c>
      <c r="AE204" s="164">
        <v>59.263297999999999</v>
      </c>
      <c r="AF204" s="163" t="s">
        <v>1064</v>
      </c>
      <c r="AG204" s="155"/>
    </row>
    <row r="205" spans="1:33">
      <c r="A205" s="153" t="s">
        <v>1095</v>
      </c>
      <c r="B205" s="161" t="s">
        <v>972</v>
      </c>
      <c r="C205" s="164">
        <v>0</v>
      </c>
      <c r="D205" s="164">
        <v>0</v>
      </c>
      <c r="E205" s="164">
        <v>0</v>
      </c>
      <c r="F205" s="164">
        <v>13.281041999999999</v>
      </c>
      <c r="G205" s="164">
        <v>13.797884</v>
      </c>
      <c r="H205" s="164">
        <v>3.919664</v>
      </c>
      <c r="I205" s="164">
        <v>4.5410389999999996</v>
      </c>
      <c r="J205" s="164">
        <v>7.1247809999999996</v>
      </c>
      <c r="K205" s="164">
        <v>11.895087999999999</v>
      </c>
      <c r="L205" s="164">
        <v>21.353241000000001</v>
      </c>
      <c r="M205" s="164">
        <v>32.486815999999997</v>
      </c>
      <c r="N205" s="164">
        <v>33.063201999999997</v>
      </c>
      <c r="O205" s="164">
        <v>33.509796000000001</v>
      </c>
      <c r="P205" s="164">
        <v>33.918151999999999</v>
      </c>
      <c r="Q205" s="164">
        <v>34.029724000000002</v>
      </c>
      <c r="R205" s="164">
        <v>34.326202000000002</v>
      </c>
      <c r="S205" s="164">
        <v>34.609985000000002</v>
      </c>
      <c r="T205" s="164">
        <v>34.874054000000001</v>
      </c>
      <c r="U205" s="164">
        <v>36.248077000000002</v>
      </c>
      <c r="V205" s="164">
        <v>36.147308000000002</v>
      </c>
      <c r="W205" s="164">
        <v>36.240234000000001</v>
      </c>
      <c r="X205" s="164">
        <v>36.358215000000001</v>
      </c>
      <c r="Y205" s="164">
        <v>36.489319000000002</v>
      </c>
      <c r="Z205" s="164">
        <v>36.645752000000002</v>
      </c>
      <c r="AA205" s="164">
        <v>36.515503000000002</v>
      </c>
      <c r="AB205" s="164">
        <v>36.736145</v>
      </c>
      <c r="AC205" s="164">
        <v>37.036681999999999</v>
      </c>
      <c r="AD205" s="164">
        <v>37.424804999999999</v>
      </c>
      <c r="AE205" s="164">
        <v>37.911926000000001</v>
      </c>
      <c r="AF205" s="163" t="s">
        <v>1064</v>
      </c>
      <c r="AG205" s="155"/>
    </row>
    <row r="206" spans="1:33">
      <c r="A206" s="153" t="s">
        <v>1096</v>
      </c>
      <c r="B206" s="161" t="s">
        <v>974</v>
      </c>
      <c r="C206" s="164">
        <v>0</v>
      </c>
      <c r="D206" s="164">
        <v>0</v>
      </c>
      <c r="E206" s="164">
        <v>0</v>
      </c>
      <c r="F206" s="164">
        <v>1.662442</v>
      </c>
      <c r="G206" s="164">
        <v>1.7636639999999999</v>
      </c>
      <c r="H206" s="164">
        <v>0.694241</v>
      </c>
      <c r="I206" s="164">
        <v>0.65227100000000005</v>
      </c>
      <c r="J206" s="164">
        <v>0.86325600000000002</v>
      </c>
      <c r="K206" s="164">
        <v>1.358935</v>
      </c>
      <c r="L206" s="164">
        <v>1.874633</v>
      </c>
      <c r="M206" s="164">
        <v>2.333412</v>
      </c>
      <c r="N206" s="164">
        <v>3.7786330000000001</v>
      </c>
      <c r="O206" s="164">
        <v>3.8557130000000002</v>
      </c>
      <c r="P206" s="164">
        <v>3.914669</v>
      </c>
      <c r="Q206" s="164">
        <v>3.931702</v>
      </c>
      <c r="R206" s="164">
        <v>3.9577330000000002</v>
      </c>
      <c r="S206" s="164">
        <v>3.9734729999999998</v>
      </c>
      <c r="T206" s="164">
        <v>3.979263</v>
      </c>
      <c r="U206" s="164">
        <v>4.7802809999999996</v>
      </c>
      <c r="V206" s="164">
        <v>6.2711940000000004</v>
      </c>
      <c r="W206" s="164">
        <v>5.9429439999999998</v>
      </c>
      <c r="X206" s="164">
        <v>5.7203900000000001</v>
      </c>
      <c r="Y206" s="164">
        <v>5.5504810000000004</v>
      </c>
      <c r="Z206" s="164">
        <v>5.3932409999999997</v>
      </c>
      <c r="AA206" s="164">
        <v>5.2043340000000002</v>
      </c>
      <c r="AB206" s="164">
        <v>5.0682010000000002</v>
      </c>
      <c r="AC206" s="164">
        <v>4.9422410000000001</v>
      </c>
      <c r="AD206" s="164">
        <v>4.8455830000000004</v>
      </c>
      <c r="AE206" s="164">
        <v>4.8084319999999998</v>
      </c>
      <c r="AF206" s="163" t="s">
        <v>1064</v>
      </c>
      <c r="AG206" s="155"/>
    </row>
    <row r="207" spans="1:33">
      <c r="A207" s="153" t="s">
        <v>1097</v>
      </c>
      <c r="B207" s="161" t="s">
        <v>976</v>
      </c>
      <c r="C207" s="164">
        <v>0</v>
      </c>
      <c r="D207" s="164">
        <v>0</v>
      </c>
      <c r="E207" s="164">
        <v>11.400624000000001</v>
      </c>
      <c r="F207" s="164">
        <v>13.664676999999999</v>
      </c>
      <c r="G207" s="164">
        <v>11.888952</v>
      </c>
      <c r="H207" s="164">
        <v>5.8239190000000001</v>
      </c>
      <c r="I207" s="164">
        <v>5.5118910000000003</v>
      </c>
      <c r="J207" s="164">
        <v>9.5857600000000005</v>
      </c>
      <c r="K207" s="164">
        <v>10.284561</v>
      </c>
      <c r="L207" s="164">
        <v>10.773192999999999</v>
      </c>
      <c r="M207" s="164">
        <v>11.168654999999999</v>
      </c>
      <c r="N207" s="164">
        <v>11.521591000000001</v>
      </c>
      <c r="O207" s="164">
        <v>11.867493</v>
      </c>
      <c r="P207" s="164">
        <v>12.213913</v>
      </c>
      <c r="Q207" s="164">
        <v>12.426285</v>
      </c>
      <c r="R207" s="164">
        <v>12.738647</v>
      </c>
      <c r="S207" s="164">
        <v>13.051558999999999</v>
      </c>
      <c r="T207" s="164">
        <v>13.357941</v>
      </c>
      <c r="U207" s="164">
        <v>13.662903</v>
      </c>
      <c r="V207" s="164">
        <v>13.834396</v>
      </c>
      <c r="W207" s="164">
        <v>14.129044</v>
      </c>
      <c r="X207" s="164">
        <v>14.427994</v>
      </c>
      <c r="Y207" s="164">
        <v>14.72702</v>
      </c>
      <c r="Z207" s="164">
        <v>15.030303999999999</v>
      </c>
      <c r="AA207" s="164">
        <v>15.194687</v>
      </c>
      <c r="AB207" s="164">
        <v>15.503356999999999</v>
      </c>
      <c r="AC207" s="164">
        <v>15.833038</v>
      </c>
      <c r="AD207" s="164">
        <v>16.179442999999999</v>
      </c>
      <c r="AE207" s="164">
        <v>16.542937999999999</v>
      </c>
      <c r="AF207" s="163" t="s">
        <v>1064</v>
      </c>
      <c r="AG207" s="155"/>
    </row>
    <row r="208" spans="1:33">
      <c r="A208" s="153" t="s">
        <v>1098</v>
      </c>
      <c r="B208" s="161" t="s">
        <v>1018</v>
      </c>
      <c r="C208" s="164">
        <v>317.549194</v>
      </c>
      <c r="D208" s="164">
        <v>1.758273</v>
      </c>
      <c r="E208" s="164">
        <v>168.91333</v>
      </c>
      <c r="F208" s="164">
        <v>238.54864499999999</v>
      </c>
      <c r="G208" s="164">
        <v>283.53619400000002</v>
      </c>
      <c r="H208" s="164">
        <v>274.57504299999999</v>
      </c>
      <c r="I208" s="164">
        <v>283.61230499999999</v>
      </c>
      <c r="J208" s="164">
        <v>303.40252700000002</v>
      </c>
      <c r="K208" s="164">
        <v>320.147583</v>
      </c>
      <c r="L208" s="164">
        <v>340.08663899999999</v>
      </c>
      <c r="M208" s="164">
        <v>360.24667399999998</v>
      </c>
      <c r="N208" s="164">
        <v>383.15853900000002</v>
      </c>
      <c r="O208" s="164">
        <v>410.91729700000002</v>
      </c>
      <c r="P208" s="164">
        <v>441.58975199999998</v>
      </c>
      <c r="Q208" s="164">
        <v>469.80987499999998</v>
      </c>
      <c r="R208" s="164">
        <v>483.945831</v>
      </c>
      <c r="S208" s="164">
        <v>497.86975100000001</v>
      </c>
      <c r="T208" s="164">
        <v>512.85089100000005</v>
      </c>
      <c r="U208" s="164">
        <v>529.68298300000004</v>
      </c>
      <c r="V208" s="164">
        <v>548.31646699999999</v>
      </c>
      <c r="W208" s="164">
        <v>565.95513900000003</v>
      </c>
      <c r="X208" s="164">
        <v>580.40490699999998</v>
      </c>
      <c r="Y208" s="164">
        <v>591.05664100000001</v>
      </c>
      <c r="Z208" s="164">
        <v>597.67596400000002</v>
      </c>
      <c r="AA208" s="164">
        <v>603.14685099999997</v>
      </c>
      <c r="AB208" s="164">
        <v>609.84252900000001</v>
      </c>
      <c r="AC208" s="164">
        <v>615.32525599999997</v>
      </c>
      <c r="AD208" s="164">
        <v>617.96179199999995</v>
      </c>
      <c r="AE208" s="164">
        <v>617.78692599999999</v>
      </c>
      <c r="AF208" s="163">
        <v>2.4053000000000001E-2</v>
      </c>
      <c r="AG208" s="155"/>
    </row>
    <row r="209" spans="1:33">
      <c r="A209" s="153" t="s">
        <v>1099</v>
      </c>
      <c r="B209" s="161" t="s">
        <v>972</v>
      </c>
      <c r="C209" s="164">
        <v>257.63265999999999</v>
      </c>
      <c r="D209" s="164">
        <v>0</v>
      </c>
      <c r="E209" s="164">
        <v>107.223663</v>
      </c>
      <c r="F209" s="164">
        <v>181.98464999999999</v>
      </c>
      <c r="G209" s="164">
        <v>220.65786700000001</v>
      </c>
      <c r="H209" s="164">
        <v>225.57939099999999</v>
      </c>
      <c r="I209" s="164">
        <v>234.46928399999999</v>
      </c>
      <c r="J209" s="164">
        <v>248.778381</v>
      </c>
      <c r="K209" s="164">
        <v>262.13681000000003</v>
      </c>
      <c r="L209" s="164">
        <v>277.70367399999998</v>
      </c>
      <c r="M209" s="164">
        <v>293.36627199999998</v>
      </c>
      <c r="N209" s="164">
        <v>308.38406400000002</v>
      </c>
      <c r="O209" s="164">
        <v>323.80810500000001</v>
      </c>
      <c r="P209" s="164">
        <v>350.23843399999998</v>
      </c>
      <c r="Q209" s="164">
        <v>374.19927999999999</v>
      </c>
      <c r="R209" s="164">
        <v>384.34942599999999</v>
      </c>
      <c r="S209" s="164">
        <v>394.26177999999999</v>
      </c>
      <c r="T209" s="164">
        <v>405.03121900000002</v>
      </c>
      <c r="U209" s="164">
        <v>417.30566399999998</v>
      </c>
      <c r="V209" s="164">
        <v>431.12255900000002</v>
      </c>
      <c r="W209" s="164">
        <v>444.23486300000002</v>
      </c>
      <c r="X209" s="164">
        <v>454.86328099999997</v>
      </c>
      <c r="Y209" s="164">
        <v>462.55566399999998</v>
      </c>
      <c r="Z209" s="164">
        <v>467.16845699999999</v>
      </c>
      <c r="AA209" s="164">
        <v>470.984375</v>
      </c>
      <c r="AB209" s="164">
        <v>475.98486300000002</v>
      </c>
      <c r="AC209" s="164">
        <v>480.09179699999999</v>
      </c>
      <c r="AD209" s="164">
        <v>481.84716800000001</v>
      </c>
      <c r="AE209" s="164">
        <v>481.23046900000003</v>
      </c>
      <c r="AF209" s="163">
        <v>2.2565000000000002E-2</v>
      </c>
      <c r="AG209" s="155"/>
    </row>
    <row r="210" spans="1:33">
      <c r="A210" s="153" t="s">
        <v>1100</v>
      </c>
      <c r="B210" s="161" t="s">
        <v>974</v>
      </c>
      <c r="C210" s="164">
        <v>0</v>
      </c>
      <c r="D210" s="164">
        <v>1.758273</v>
      </c>
      <c r="E210" s="164">
        <v>40.168472000000001</v>
      </c>
      <c r="F210" s="164">
        <v>50.282882999999998</v>
      </c>
      <c r="G210" s="164">
        <v>53.445442</v>
      </c>
      <c r="H210" s="164">
        <v>38.153796999999997</v>
      </c>
      <c r="I210" s="164">
        <v>36.912163</v>
      </c>
      <c r="J210" s="164">
        <v>37.020930999999997</v>
      </c>
      <c r="K210" s="164">
        <v>37.949924000000003</v>
      </c>
      <c r="L210" s="164">
        <v>41.662593999999999</v>
      </c>
      <c r="M210" s="164">
        <v>45.507534</v>
      </c>
      <c r="N210" s="164">
        <v>52.775832999999999</v>
      </c>
      <c r="O210" s="164">
        <v>64.423462000000001</v>
      </c>
      <c r="P210" s="164">
        <v>67.867737000000005</v>
      </c>
      <c r="Q210" s="164">
        <v>71.344559000000004</v>
      </c>
      <c r="R210" s="164">
        <v>74.652694999999994</v>
      </c>
      <c r="S210" s="164">
        <v>77.966949</v>
      </c>
      <c r="T210" s="164">
        <v>81.374542000000005</v>
      </c>
      <c r="U210" s="164">
        <v>84.935364000000007</v>
      </c>
      <c r="V210" s="164">
        <v>88.598358000000005</v>
      </c>
      <c r="W210" s="164">
        <v>91.978866999999994</v>
      </c>
      <c r="X210" s="164">
        <v>94.808730999999995</v>
      </c>
      <c r="Y210" s="164">
        <v>96.973022</v>
      </c>
      <c r="Z210" s="164">
        <v>98.404961</v>
      </c>
      <c r="AA210" s="164">
        <v>99.545792000000006</v>
      </c>
      <c r="AB210" s="164">
        <v>100.646912</v>
      </c>
      <c r="AC210" s="164">
        <v>101.51385500000001</v>
      </c>
      <c r="AD210" s="164">
        <v>102.091965</v>
      </c>
      <c r="AE210" s="164">
        <v>102.451241</v>
      </c>
      <c r="AF210" s="163" t="s">
        <v>1064</v>
      </c>
      <c r="AG210" s="155"/>
    </row>
    <row r="211" spans="1:33">
      <c r="A211" s="153" t="s">
        <v>1101</v>
      </c>
      <c r="B211" s="161" t="s">
        <v>976</v>
      </c>
      <c r="C211" s="164">
        <v>59.916533999999999</v>
      </c>
      <c r="D211" s="164">
        <v>0</v>
      </c>
      <c r="E211" s="164">
        <v>21.5212</v>
      </c>
      <c r="F211" s="164">
        <v>6.2811130000000004</v>
      </c>
      <c r="G211" s="164">
        <v>9.4328769999999995</v>
      </c>
      <c r="H211" s="164">
        <v>10.841856999999999</v>
      </c>
      <c r="I211" s="164">
        <v>12.230865</v>
      </c>
      <c r="J211" s="164">
        <v>17.603210000000001</v>
      </c>
      <c r="K211" s="164">
        <v>20.060842999999998</v>
      </c>
      <c r="L211" s="164">
        <v>20.720371</v>
      </c>
      <c r="M211" s="164">
        <v>21.372868</v>
      </c>
      <c r="N211" s="164">
        <v>21.998633999999999</v>
      </c>
      <c r="O211" s="164">
        <v>22.685734</v>
      </c>
      <c r="P211" s="164">
        <v>23.483592999999999</v>
      </c>
      <c r="Q211" s="164">
        <v>24.266041000000001</v>
      </c>
      <c r="R211" s="164">
        <v>24.943691000000001</v>
      </c>
      <c r="S211" s="164">
        <v>25.641026</v>
      </c>
      <c r="T211" s="164">
        <v>26.445122000000001</v>
      </c>
      <c r="U211" s="164">
        <v>27.441925000000001</v>
      </c>
      <c r="V211" s="164">
        <v>28.595510000000001</v>
      </c>
      <c r="W211" s="164">
        <v>29.741382999999999</v>
      </c>
      <c r="X211" s="164">
        <v>30.732894999999999</v>
      </c>
      <c r="Y211" s="164">
        <v>31.527985000000001</v>
      </c>
      <c r="Z211" s="164">
        <v>32.102539</v>
      </c>
      <c r="AA211" s="164">
        <v>32.616669000000002</v>
      </c>
      <c r="AB211" s="164">
        <v>33.210754000000001</v>
      </c>
      <c r="AC211" s="164">
        <v>33.719603999999997</v>
      </c>
      <c r="AD211" s="164">
        <v>34.022644</v>
      </c>
      <c r="AE211" s="164">
        <v>34.105224999999997</v>
      </c>
      <c r="AF211" s="163">
        <v>-1.9924000000000001E-2</v>
      </c>
      <c r="AG211" s="155"/>
    </row>
    <row r="212" spans="1:33">
      <c r="A212" s="153" t="s">
        <v>1102</v>
      </c>
      <c r="B212" s="161" t="s">
        <v>1023</v>
      </c>
      <c r="C212" s="164">
        <v>0</v>
      </c>
      <c r="D212" s="164">
        <v>0</v>
      </c>
      <c r="E212" s="164">
        <v>5.0176939999999997</v>
      </c>
      <c r="F212" s="164">
        <v>23.650314000000002</v>
      </c>
      <c r="G212" s="164">
        <v>59.674458000000001</v>
      </c>
      <c r="H212" s="164">
        <v>59.042358</v>
      </c>
      <c r="I212" s="164">
        <v>64.032500999999996</v>
      </c>
      <c r="J212" s="164">
        <v>71.131805</v>
      </c>
      <c r="K212" s="164">
        <v>76.315956</v>
      </c>
      <c r="L212" s="164">
        <v>80.666138000000004</v>
      </c>
      <c r="M212" s="164">
        <v>84.930260000000004</v>
      </c>
      <c r="N212" s="164">
        <v>88.747298999999998</v>
      </c>
      <c r="O212" s="164">
        <v>92.026611000000003</v>
      </c>
      <c r="P212" s="164">
        <v>95.498016000000007</v>
      </c>
      <c r="Q212" s="164">
        <v>100.07872</v>
      </c>
      <c r="R212" s="164">
        <v>109.75142700000001</v>
      </c>
      <c r="S212" s="164">
        <v>113.69274900000001</v>
      </c>
      <c r="T212" s="164">
        <v>117.415527</v>
      </c>
      <c r="U212" s="164">
        <v>120.846054</v>
      </c>
      <c r="V212" s="164">
        <v>124.081642</v>
      </c>
      <c r="W212" s="164">
        <v>127.11803399999999</v>
      </c>
      <c r="X212" s="164">
        <v>130.02526900000001</v>
      </c>
      <c r="Y212" s="164">
        <v>132.669983</v>
      </c>
      <c r="Z212" s="164">
        <v>135.120575</v>
      </c>
      <c r="AA212" s="164">
        <v>137.38848899999999</v>
      </c>
      <c r="AB212" s="164">
        <v>139.49830600000001</v>
      </c>
      <c r="AC212" s="164">
        <v>141.44528199999999</v>
      </c>
      <c r="AD212" s="164">
        <v>143.25952100000001</v>
      </c>
      <c r="AE212" s="164">
        <v>144.991547</v>
      </c>
      <c r="AF212" s="163" t="s">
        <v>1064</v>
      </c>
      <c r="AG212" s="155"/>
    </row>
    <row r="213" spans="1:33">
      <c r="A213" s="153" t="s">
        <v>1103</v>
      </c>
      <c r="B213" s="161" t="s">
        <v>972</v>
      </c>
      <c r="C213" s="164">
        <v>0</v>
      </c>
      <c r="D213" s="164">
        <v>0</v>
      </c>
      <c r="E213" s="164">
        <v>0</v>
      </c>
      <c r="F213" s="164">
        <v>16.618320000000001</v>
      </c>
      <c r="G213" s="164">
        <v>45.079574999999998</v>
      </c>
      <c r="H213" s="164">
        <v>44.557136999999997</v>
      </c>
      <c r="I213" s="164">
        <v>47.969909999999999</v>
      </c>
      <c r="J213" s="164">
        <v>53.577140999999997</v>
      </c>
      <c r="K213" s="164">
        <v>57.730133000000002</v>
      </c>
      <c r="L213" s="164">
        <v>61.515498999999998</v>
      </c>
      <c r="M213" s="164">
        <v>65.042045999999999</v>
      </c>
      <c r="N213" s="164">
        <v>68.204193000000004</v>
      </c>
      <c r="O213" s="164">
        <v>70.926841999999994</v>
      </c>
      <c r="P213" s="164">
        <v>73.773292999999995</v>
      </c>
      <c r="Q213" s="164">
        <v>76.994392000000005</v>
      </c>
      <c r="R213" s="164">
        <v>85.720061999999999</v>
      </c>
      <c r="S213" s="164">
        <v>88.710341999999997</v>
      </c>
      <c r="T213" s="164">
        <v>91.517082000000002</v>
      </c>
      <c r="U213" s="164">
        <v>94.093506000000005</v>
      </c>
      <c r="V213" s="164">
        <v>96.513794000000004</v>
      </c>
      <c r="W213" s="164">
        <v>98.782959000000005</v>
      </c>
      <c r="X213" s="164">
        <v>100.95996100000001</v>
      </c>
      <c r="Y213" s="164">
        <v>102.94433600000001</v>
      </c>
      <c r="Z213" s="164">
        <v>104.78613300000001</v>
      </c>
      <c r="AA213" s="164">
        <v>106.494141</v>
      </c>
      <c r="AB213" s="164">
        <v>108.08606</v>
      </c>
      <c r="AC213" s="164">
        <v>109.558228</v>
      </c>
      <c r="AD213" s="164">
        <v>110.934326</v>
      </c>
      <c r="AE213" s="164">
        <v>112.253906</v>
      </c>
      <c r="AF213" s="163" t="s">
        <v>1064</v>
      </c>
      <c r="AG213" s="155"/>
    </row>
    <row r="214" spans="1:33">
      <c r="A214" s="153" t="s">
        <v>1104</v>
      </c>
      <c r="B214" s="161" t="s">
        <v>974</v>
      </c>
      <c r="C214" s="164">
        <v>0</v>
      </c>
      <c r="D214" s="164">
        <v>0</v>
      </c>
      <c r="E214" s="164">
        <v>2.534602</v>
      </c>
      <c r="F214" s="164">
        <v>4.97403</v>
      </c>
      <c r="G214" s="164">
        <v>4.8972329999999999</v>
      </c>
      <c r="H214" s="164">
        <v>3.1133090000000001</v>
      </c>
      <c r="I214" s="164">
        <v>3.0171329999999998</v>
      </c>
      <c r="J214" s="164">
        <v>3.8845890000000001</v>
      </c>
      <c r="K214" s="164">
        <v>4.3719729999999997</v>
      </c>
      <c r="L214" s="164">
        <v>4.4676119999999999</v>
      </c>
      <c r="M214" s="164">
        <v>4.7862999999999998</v>
      </c>
      <c r="N214" s="164">
        <v>5.0911</v>
      </c>
      <c r="O214" s="164">
        <v>5.3782629999999996</v>
      </c>
      <c r="P214" s="164">
        <v>5.6866300000000001</v>
      </c>
      <c r="Q214" s="164">
        <v>6.6198379999999997</v>
      </c>
      <c r="R214" s="164">
        <v>6.9235670000000002</v>
      </c>
      <c r="S214" s="164">
        <v>7.2199619999999998</v>
      </c>
      <c r="T214" s="164">
        <v>7.4963300000000004</v>
      </c>
      <c r="U214" s="164">
        <v>7.7454999999999998</v>
      </c>
      <c r="V214" s="164">
        <v>7.9671079999999996</v>
      </c>
      <c r="W214" s="164">
        <v>8.1587720000000008</v>
      </c>
      <c r="X214" s="164">
        <v>8.3243179999999999</v>
      </c>
      <c r="Y214" s="164">
        <v>8.4554369999999999</v>
      </c>
      <c r="Z214" s="164">
        <v>8.5629650000000002</v>
      </c>
      <c r="AA214" s="164">
        <v>8.6511150000000008</v>
      </c>
      <c r="AB214" s="164">
        <v>8.7259060000000002</v>
      </c>
      <c r="AC214" s="164">
        <v>8.7922969999999996</v>
      </c>
      <c r="AD214" s="164">
        <v>8.8566590000000005</v>
      </c>
      <c r="AE214" s="164">
        <v>8.9255069999999996</v>
      </c>
      <c r="AF214" s="163" t="s">
        <v>1064</v>
      </c>
      <c r="AG214" s="155"/>
    </row>
    <row r="215" spans="1:33">
      <c r="A215" s="153" t="s">
        <v>1105</v>
      </c>
      <c r="B215" s="161" t="s">
        <v>976</v>
      </c>
      <c r="C215" s="164">
        <v>0</v>
      </c>
      <c r="D215" s="164">
        <v>0</v>
      </c>
      <c r="E215" s="164">
        <v>2.4830920000000001</v>
      </c>
      <c r="F215" s="164">
        <v>2.0579640000000001</v>
      </c>
      <c r="G215" s="164">
        <v>9.6976519999999997</v>
      </c>
      <c r="H215" s="164">
        <v>11.371916000000001</v>
      </c>
      <c r="I215" s="164">
        <v>13.045462000000001</v>
      </c>
      <c r="J215" s="164">
        <v>13.670071</v>
      </c>
      <c r="K215" s="164">
        <v>14.213851</v>
      </c>
      <c r="L215" s="164">
        <v>14.683032000000001</v>
      </c>
      <c r="M215" s="164">
        <v>15.101913</v>
      </c>
      <c r="N215" s="164">
        <v>15.452002999999999</v>
      </c>
      <c r="O215" s="164">
        <v>15.721505000000001</v>
      </c>
      <c r="P215" s="164">
        <v>16.038094000000001</v>
      </c>
      <c r="Q215" s="164">
        <v>16.464493000000001</v>
      </c>
      <c r="R215" s="164">
        <v>17.107793999999998</v>
      </c>
      <c r="S215" s="164">
        <v>17.762445</v>
      </c>
      <c r="T215" s="164">
        <v>18.402114999999998</v>
      </c>
      <c r="U215" s="164">
        <v>19.00705</v>
      </c>
      <c r="V215" s="164">
        <v>19.600739000000001</v>
      </c>
      <c r="W215" s="164">
        <v>20.176300000000001</v>
      </c>
      <c r="X215" s="164">
        <v>20.740997</v>
      </c>
      <c r="Y215" s="164">
        <v>21.270202999999999</v>
      </c>
      <c r="Z215" s="164">
        <v>21.771484000000001</v>
      </c>
      <c r="AA215" s="164">
        <v>22.243224999999999</v>
      </c>
      <c r="AB215" s="164">
        <v>22.686340000000001</v>
      </c>
      <c r="AC215" s="164">
        <v>23.094757000000001</v>
      </c>
      <c r="AD215" s="164">
        <v>23.468536</v>
      </c>
      <c r="AE215" s="164">
        <v>23.812134</v>
      </c>
      <c r="AF215" s="163" t="s">
        <v>1064</v>
      </c>
      <c r="AG215" s="155"/>
    </row>
    <row r="216" spans="1:33">
      <c r="A216" s="153" t="s">
        <v>1106</v>
      </c>
      <c r="B216" s="161" t="s">
        <v>1028</v>
      </c>
      <c r="C216" s="164">
        <v>0</v>
      </c>
      <c r="D216" s="164">
        <v>5.4372860000000003</v>
      </c>
      <c r="E216" s="164">
        <v>112.70214799999999</v>
      </c>
      <c r="F216" s="164">
        <v>89.573447999999999</v>
      </c>
      <c r="G216" s="164">
        <v>185.740646</v>
      </c>
      <c r="H216" s="164">
        <v>138.78949</v>
      </c>
      <c r="I216" s="164">
        <v>162.21469099999999</v>
      </c>
      <c r="J216" s="164">
        <v>154.65458699999999</v>
      </c>
      <c r="K216" s="164">
        <v>162.83642599999999</v>
      </c>
      <c r="L216" s="164">
        <v>173.161102</v>
      </c>
      <c r="M216" s="164">
        <v>184.47088600000001</v>
      </c>
      <c r="N216" s="164">
        <v>196.08961500000001</v>
      </c>
      <c r="O216" s="164">
        <v>208.08810399999999</v>
      </c>
      <c r="P216" s="164">
        <v>221.18241900000001</v>
      </c>
      <c r="Q216" s="164">
        <v>239.93948399999999</v>
      </c>
      <c r="R216" s="164">
        <v>249.20379600000001</v>
      </c>
      <c r="S216" s="164">
        <v>258.58880599999998</v>
      </c>
      <c r="T216" s="164">
        <v>267.52673299999998</v>
      </c>
      <c r="U216" s="164">
        <v>276.525757</v>
      </c>
      <c r="V216" s="164">
        <v>282.98516799999999</v>
      </c>
      <c r="W216" s="164">
        <v>290.41168199999998</v>
      </c>
      <c r="X216" s="164">
        <v>297.73962399999999</v>
      </c>
      <c r="Y216" s="164">
        <v>304.91387900000001</v>
      </c>
      <c r="Z216" s="164">
        <v>311.67602499999998</v>
      </c>
      <c r="AA216" s="164">
        <v>314.135559</v>
      </c>
      <c r="AB216" s="164">
        <v>319.592285</v>
      </c>
      <c r="AC216" s="164">
        <v>326.29675300000002</v>
      </c>
      <c r="AD216" s="164">
        <v>333.62133799999998</v>
      </c>
      <c r="AE216" s="164">
        <v>341.78308099999998</v>
      </c>
      <c r="AF216" s="163" t="s">
        <v>1064</v>
      </c>
      <c r="AG216" s="155"/>
    </row>
    <row r="217" spans="1:33">
      <c r="A217" s="153" t="s">
        <v>1107</v>
      </c>
      <c r="B217" s="161" t="s">
        <v>972</v>
      </c>
      <c r="C217" s="164">
        <v>0</v>
      </c>
      <c r="D217" s="164">
        <v>5.4372860000000003</v>
      </c>
      <c r="E217" s="164">
        <v>76.470284000000007</v>
      </c>
      <c r="F217" s="164">
        <v>49.427382999999999</v>
      </c>
      <c r="G217" s="164">
        <v>106.27594000000001</v>
      </c>
      <c r="H217" s="164">
        <v>82.392234999999999</v>
      </c>
      <c r="I217" s="164">
        <v>99.058036999999999</v>
      </c>
      <c r="J217" s="164">
        <v>96.598495</v>
      </c>
      <c r="K217" s="164">
        <v>99.957886000000002</v>
      </c>
      <c r="L217" s="164">
        <v>104.55500000000001</v>
      </c>
      <c r="M217" s="164">
        <v>109.671745</v>
      </c>
      <c r="N217" s="164">
        <v>114.907211</v>
      </c>
      <c r="O217" s="164">
        <v>120.39743</v>
      </c>
      <c r="P217" s="164">
        <v>126.07197600000001</v>
      </c>
      <c r="Q217" s="164">
        <v>130.83337399999999</v>
      </c>
      <c r="R217" s="164">
        <v>136.22524999999999</v>
      </c>
      <c r="S217" s="164">
        <v>141.68043499999999</v>
      </c>
      <c r="T217" s="164">
        <v>146.903076</v>
      </c>
      <c r="U217" s="164">
        <v>152.11596700000001</v>
      </c>
      <c r="V217" s="164">
        <v>155.854736</v>
      </c>
      <c r="W217" s="164">
        <v>160.12011699999999</v>
      </c>
      <c r="X217" s="164">
        <v>164.33935500000001</v>
      </c>
      <c r="Y217" s="164">
        <v>168.50756799999999</v>
      </c>
      <c r="Z217" s="164">
        <v>172.49243200000001</v>
      </c>
      <c r="AA217" s="164">
        <v>174.09106399999999</v>
      </c>
      <c r="AB217" s="164">
        <v>177.482178</v>
      </c>
      <c r="AC217" s="164">
        <v>181.68945299999999</v>
      </c>
      <c r="AD217" s="164">
        <v>186.32226600000001</v>
      </c>
      <c r="AE217" s="164">
        <v>191.489014</v>
      </c>
      <c r="AF217" s="163" t="s">
        <v>1064</v>
      </c>
      <c r="AG217" s="155"/>
    </row>
    <row r="218" spans="1:33">
      <c r="A218" s="153" t="s">
        <v>1108</v>
      </c>
      <c r="B218" s="161" t="s">
        <v>974</v>
      </c>
      <c r="C218" s="164">
        <v>0</v>
      </c>
      <c r="D218" s="164">
        <v>0</v>
      </c>
      <c r="E218" s="164">
        <v>7.4641489999999999</v>
      </c>
      <c r="F218" s="164">
        <v>32.670985999999999</v>
      </c>
      <c r="G218" s="164">
        <v>43.411385000000003</v>
      </c>
      <c r="H218" s="164">
        <v>25.061415</v>
      </c>
      <c r="I218" s="164">
        <v>24.533463000000001</v>
      </c>
      <c r="J218" s="164">
        <v>16.549866000000002</v>
      </c>
      <c r="K218" s="164">
        <v>20.238346</v>
      </c>
      <c r="L218" s="164">
        <v>24.344996999999999</v>
      </c>
      <c r="M218" s="164">
        <v>28.787796</v>
      </c>
      <c r="N218" s="164">
        <v>33.417084000000003</v>
      </c>
      <c r="O218" s="164">
        <v>38.081116000000002</v>
      </c>
      <c r="P218" s="164">
        <v>43.577418999999999</v>
      </c>
      <c r="Q218" s="164">
        <v>56.013511999999999</v>
      </c>
      <c r="R218" s="164">
        <v>58.042262999999998</v>
      </c>
      <c r="S218" s="164">
        <v>60.030822999999998</v>
      </c>
      <c r="T218" s="164">
        <v>61.834105999999998</v>
      </c>
      <c r="U218" s="164">
        <v>63.609253000000002</v>
      </c>
      <c r="V218" s="164">
        <v>64.860718000000006</v>
      </c>
      <c r="W218" s="164">
        <v>66.264893000000001</v>
      </c>
      <c r="X218" s="164">
        <v>67.550292999999996</v>
      </c>
      <c r="Y218" s="164">
        <v>68.688903999999994</v>
      </c>
      <c r="Z218" s="164">
        <v>69.633422999999993</v>
      </c>
      <c r="AA218" s="164">
        <v>69.6922</v>
      </c>
      <c r="AB218" s="164">
        <v>70.197143999999994</v>
      </c>
      <c r="AC218" s="164">
        <v>70.779906999999994</v>
      </c>
      <c r="AD218" s="164">
        <v>71.402343999999999</v>
      </c>
      <c r="AE218" s="164">
        <v>72.140868999999995</v>
      </c>
      <c r="AF218" s="163" t="s">
        <v>1064</v>
      </c>
      <c r="AG218" s="155"/>
    </row>
    <row r="219" spans="1:33">
      <c r="A219" s="153" t="s">
        <v>1109</v>
      </c>
      <c r="B219" s="161" t="s">
        <v>976</v>
      </c>
      <c r="C219" s="164">
        <v>0</v>
      </c>
      <c r="D219" s="164">
        <v>0</v>
      </c>
      <c r="E219" s="164">
        <v>28.767719</v>
      </c>
      <c r="F219" s="164">
        <v>7.4750750000000004</v>
      </c>
      <c r="G219" s="164">
        <v>36.053328999999998</v>
      </c>
      <c r="H219" s="164">
        <v>31.335837999999999</v>
      </c>
      <c r="I219" s="164">
        <v>38.623184000000002</v>
      </c>
      <c r="J219" s="164">
        <v>41.506225999999998</v>
      </c>
      <c r="K219" s="164">
        <v>42.640197999999998</v>
      </c>
      <c r="L219" s="164">
        <v>44.261108</v>
      </c>
      <c r="M219" s="164">
        <v>46.011353</v>
      </c>
      <c r="N219" s="164">
        <v>47.765320000000003</v>
      </c>
      <c r="O219" s="164">
        <v>49.609558</v>
      </c>
      <c r="P219" s="164">
        <v>51.53302</v>
      </c>
      <c r="Q219" s="164">
        <v>53.092590000000001</v>
      </c>
      <c r="R219" s="164">
        <v>54.936278999999999</v>
      </c>
      <c r="S219" s="164">
        <v>56.877563000000002</v>
      </c>
      <c r="T219" s="164">
        <v>58.789551000000003</v>
      </c>
      <c r="U219" s="164">
        <v>60.800536999999998</v>
      </c>
      <c r="V219" s="164">
        <v>62.269714</v>
      </c>
      <c r="W219" s="164">
        <v>64.026672000000005</v>
      </c>
      <c r="X219" s="164">
        <v>65.849975999999998</v>
      </c>
      <c r="Y219" s="164">
        <v>67.717406999999994</v>
      </c>
      <c r="Z219" s="164">
        <v>69.550171000000006</v>
      </c>
      <c r="AA219" s="164">
        <v>70.352294999999998</v>
      </c>
      <c r="AB219" s="164">
        <v>71.912964000000002</v>
      </c>
      <c r="AC219" s="164">
        <v>73.827393000000001</v>
      </c>
      <c r="AD219" s="164">
        <v>75.896728999999993</v>
      </c>
      <c r="AE219" s="164">
        <v>78.153198000000003</v>
      </c>
      <c r="AF219" s="163" t="s">
        <v>1064</v>
      </c>
      <c r="AG219" s="155"/>
    </row>
    <row r="220" spans="1:33">
      <c r="A220" s="153" t="s">
        <v>1110</v>
      </c>
      <c r="B220" s="161" t="s">
        <v>1033</v>
      </c>
      <c r="C220" s="164">
        <v>0</v>
      </c>
      <c r="D220" s="164">
        <v>6.4839760000000002</v>
      </c>
      <c r="E220" s="164">
        <v>65.655174000000002</v>
      </c>
      <c r="F220" s="164">
        <v>136.72659300000001</v>
      </c>
      <c r="G220" s="164">
        <v>87.343277</v>
      </c>
      <c r="H220" s="164">
        <v>59.887782999999999</v>
      </c>
      <c r="I220" s="164">
        <v>65.008987000000005</v>
      </c>
      <c r="J220" s="164">
        <v>59.581435999999997</v>
      </c>
      <c r="K220" s="164">
        <v>69.668128999999993</v>
      </c>
      <c r="L220" s="164">
        <v>78.167664000000002</v>
      </c>
      <c r="M220" s="164">
        <v>97.479079999999996</v>
      </c>
      <c r="N220" s="164">
        <v>107.185974</v>
      </c>
      <c r="O220" s="164">
        <v>115.742386</v>
      </c>
      <c r="P220" s="164">
        <v>124.491539</v>
      </c>
      <c r="Q220" s="164">
        <v>132.53221099999999</v>
      </c>
      <c r="R220" s="164">
        <v>149.129074</v>
      </c>
      <c r="S220" s="164">
        <v>155.356628</v>
      </c>
      <c r="T220" s="164">
        <v>161.377319</v>
      </c>
      <c r="U220" s="164">
        <v>167.24667400000001</v>
      </c>
      <c r="V220" s="164">
        <v>172.74606299999999</v>
      </c>
      <c r="W220" s="164">
        <v>178.09411600000001</v>
      </c>
      <c r="X220" s="164">
        <v>183.263733</v>
      </c>
      <c r="Y220" s="164">
        <v>188.24258399999999</v>
      </c>
      <c r="Z220" s="164">
        <v>193.104645</v>
      </c>
      <c r="AA220" s="164">
        <v>196.84274300000001</v>
      </c>
      <c r="AB220" s="164">
        <v>204.55044599999999</v>
      </c>
      <c r="AC220" s="164">
        <v>210.32486</v>
      </c>
      <c r="AD220" s="164">
        <v>214.87603799999999</v>
      </c>
      <c r="AE220" s="164">
        <v>219.82165499999999</v>
      </c>
      <c r="AF220" s="163" t="s">
        <v>1064</v>
      </c>
      <c r="AG220" s="155"/>
    </row>
    <row r="221" spans="1:33">
      <c r="A221" s="153" t="s">
        <v>1111</v>
      </c>
      <c r="B221" s="161" t="s">
        <v>972</v>
      </c>
      <c r="C221" s="164">
        <v>0</v>
      </c>
      <c r="D221" s="164">
        <v>0</v>
      </c>
      <c r="E221" s="164">
        <v>33.785888999999997</v>
      </c>
      <c r="F221" s="164">
        <v>53.847774999999999</v>
      </c>
      <c r="G221" s="164">
        <v>30.331448000000002</v>
      </c>
      <c r="H221" s="164">
        <v>21.30883</v>
      </c>
      <c r="I221" s="164">
        <v>24.555008000000001</v>
      </c>
      <c r="J221" s="164">
        <v>24.473627</v>
      </c>
      <c r="K221" s="164">
        <v>29.460901</v>
      </c>
      <c r="L221" s="164">
        <v>33.729008</v>
      </c>
      <c r="M221" s="164">
        <v>47.309856000000003</v>
      </c>
      <c r="N221" s="164">
        <v>50.860106999999999</v>
      </c>
      <c r="O221" s="164">
        <v>52.923949999999998</v>
      </c>
      <c r="P221" s="164">
        <v>55.029541000000002</v>
      </c>
      <c r="Q221" s="164">
        <v>56.84375</v>
      </c>
      <c r="R221" s="164">
        <v>58.885559000000001</v>
      </c>
      <c r="S221" s="164">
        <v>60.913879000000001</v>
      </c>
      <c r="T221" s="164">
        <v>62.880614999999999</v>
      </c>
      <c r="U221" s="164">
        <v>64.824768000000006</v>
      </c>
      <c r="V221" s="164">
        <v>67.001830999999996</v>
      </c>
      <c r="W221" s="164">
        <v>68.808166999999997</v>
      </c>
      <c r="X221" s="164">
        <v>70.631591999999998</v>
      </c>
      <c r="Y221" s="164">
        <v>72.473877000000002</v>
      </c>
      <c r="Z221" s="164">
        <v>74.368774000000002</v>
      </c>
      <c r="AA221" s="164">
        <v>75.949950999999999</v>
      </c>
      <c r="AB221" s="164">
        <v>77.937134</v>
      </c>
      <c r="AC221" s="164">
        <v>80.061035000000004</v>
      </c>
      <c r="AD221" s="164">
        <v>82.315674000000001</v>
      </c>
      <c r="AE221" s="164">
        <v>84.728271000000007</v>
      </c>
      <c r="AF221" s="163" t="s">
        <v>1064</v>
      </c>
      <c r="AG221" s="155"/>
    </row>
    <row r="222" spans="1:33">
      <c r="A222" s="153" t="s">
        <v>1112</v>
      </c>
      <c r="B222" s="161" t="s">
        <v>974</v>
      </c>
      <c r="C222" s="164">
        <v>0</v>
      </c>
      <c r="D222" s="164">
        <v>0</v>
      </c>
      <c r="E222" s="164">
        <v>1.237724</v>
      </c>
      <c r="F222" s="164">
        <v>60.396301000000001</v>
      </c>
      <c r="G222" s="164">
        <v>46.365257</v>
      </c>
      <c r="H222" s="164">
        <v>26.417698000000001</v>
      </c>
      <c r="I222" s="164">
        <v>27.912457</v>
      </c>
      <c r="J222" s="164">
        <v>22.461169999999999</v>
      </c>
      <c r="K222" s="164">
        <v>27.240627</v>
      </c>
      <c r="L222" s="164">
        <v>31.278912999999999</v>
      </c>
      <c r="M222" s="164">
        <v>36.773018</v>
      </c>
      <c r="N222" s="164">
        <v>42.622314000000003</v>
      </c>
      <c r="O222" s="164">
        <v>48.784022999999998</v>
      </c>
      <c r="P222" s="164">
        <v>55.06176</v>
      </c>
      <c r="Q222" s="164">
        <v>60.969836999999998</v>
      </c>
      <c r="R222" s="164">
        <v>75.160156000000001</v>
      </c>
      <c r="S222" s="164">
        <v>78.977294999999998</v>
      </c>
      <c r="T222" s="164">
        <v>82.653198000000003</v>
      </c>
      <c r="U222" s="164">
        <v>86.182495000000003</v>
      </c>
      <c r="V222" s="164">
        <v>89.120604999999998</v>
      </c>
      <c r="W222" s="164">
        <v>92.220703</v>
      </c>
      <c r="X222" s="164">
        <v>95.091187000000005</v>
      </c>
      <c r="Y222" s="164">
        <v>97.725464000000002</v>
      </c>
      <c r="Z222" s="164">
        <v>100.159424</v>
      </c>
      <c r="AA222" s="164">
        <v>101.824219</v>
      </c>
      <c r="AB222" s="164">
        <v>106.975708</v>
      </c>
      <c r="AC222" s="164">
        <v>110.01696800000001</v>
      </c>
      <c r="AD222" s="164">
        <v>111.678955</v>
      </c>
      <c r="AE222" s="164">
        <v>113.550415</v>
      </c>
      <c r="AF222" s="163" t="s">
        <v>1064</v>
      </c>
      <c r="AG222" s="155"/>
    </row>
    <row r="223" spans="1:33">
      <c r="A223" s="153" t="s">
        <v>1113</v>
      </c>
      <c r="B223" s="161" t="s">
        <v>976</v>
      </c>
      <c r="C223" s="164">
        <v>0</v>
      </c>
      <c r="D223" s="164">
        <v>6.4839760000000002</v>
      </c>
      <c r="E223" s="164">
        <v>30.631561000000001</v>
      </c>
      <c r="F223" s="164">
        <v>22.482513000000001</v>
      </c>
      <c r="G223" s="164">
        <v>10.646577000000001</v>
      </c>
      <c r="H223" s="164">
        <v>12.161255000000001</v>
      </c>
      <c r="I223" s="164">
        <v>12.541518999999999</v>
      </c>
      <c r="J223" s="164">
        <v>12.646637</v>
      </c>
      <c r="K223" s="164">
        <v>12.966599</v>
      </c>
      <c r="L223" s="164">
        <v>13.159744</v>
      </c>
      <c r="M223" s="164">
        <v>13.39621</v>
      </c>
      <c r="N223" s="164">
        <v>13.703552</v>
      </c>
      <c r="O223" s="164">
        <v>14.034409</v>
      </c>
      <c r="P223" s="164">
        <v>14.400238</v>
      </c>
      <c r="Q223" s="164">
        <v>14.718628000000001</v>
      </c>
      <c r="R223" s="164">
        <v>15.083359</v>
      </c>
      <c r="S223" s="164">
        <v>15.465453999999999</v>
      </c>
      <c r="T223" s="164">
        <v>15.843506</v>
      </c>
      <c r="U223" s="164">
        <v>16.239409999999999</v>
      </c>
      <c r="V223" s="164">
        <v>16.623626999999999</v>
      </c>
      <c r="W223" s="164">
        <v>17.065246999999999</v>
      </c>
      <c r="X223" s="164">
        <v>17.540955</v>
      </c>
      <c r="Y223" s="164">
        <v>18.043243</v>
      </c>
      <c r="Z223" s="164">
        <v>18.576447000000002</v>
      </c>
      <c r="AA223" s="164">
        <v>19.068573000000001</v>
      </c>
      <c r="AB223" s="164">
        <v>19.637604</v>
      </c>
      <c r="AC223" s="164">
        <v>20.246856999999999</v>
      </c>
      <c r="AD223" s="164">
        <v>20.881409000000001</v>
      </c>
      <c r="AE223" s="164">
        <v>21.542968999999999</v>
      </c>
      <c r="AF223" s="163" t="s">
        <v>1064</v>
      </c>
      <c r="AG223" s="155"/>
    </row>
    <row r="224" spans="1:33">
      <c r="A224" s="153" t="s">
        <v>1114</v>
      </c>
      <c r="B224" s="161" t="s">
        <v>1038</v>
      </c>
      <c r="C224" s="164">
        <v>0</v>
      </c>
      <c r="D224" s="164">
        <v>95.570221000000004</v>
      </c>
      <c r="E224" s="164">
        <v>158.937592</v>
      </c>
      <c r="F224" s="164">
        <v>90.262816999999998</v>
      </c>
      <c r="G224" s="164">
        <v>103.488022</v>
      </c>
      <c r="H224" s="164">
        <v>86.662529000000006</v>
      </c>
      <c r="I224" s="164">
        <v>93.80986</v>
      </c>
      <c r="J224" s="164">
        <v>106.975342</v>
      </c>
      <c r="K224" s="164">
        <v>111.882698</v>
      </c>
      <c r="L224" s="164">
        <v>116.59922</v>
      </c>
      <c r="M224" s="164">
        <v>122.813896</v>
      </c>
      <c r="N224" s="164">
        <v>126.772369</v>
      </c>
      <c r="O224" s="164">
        <v>130.55931100000001</v>
      </c>
      <c r="P224" s="164">
        <v>134.30990600000001</v>
      </c>
      <c r="Q224" s="164">
        <v>138.94132999999999</v>
      </c>
      <c r="R224" s="164">
        <v>143.02919</v>
      </c>
      <c r="S224" s="164">
        <v>147.11927800000001</v>
      </c>
      <c r="T224" s="164">
        <v>151.292374</v>
      </c>
      <c r="U224" s="164">
        <v>155.555115</v>
      </c>
      <c r="V224" s="164">
        <v>160.74430799999999</v>
      </c>
      <c r="W224" s="164">
        <v>165.402466</v>
      </c>
      <c r="X224" s="164">
        <v>170.20541399999999</v>
      </c>
      <c r="Y224" s="164">
        <v>175.20356799999999</v>
      </c>
      <c r="Z224" s="164">
        <v>180.50953699999999</v>
      </c>
      <c r="AA224" s="164">
        <v>186.63502500000001</v>
      </c>
      <c r="AB224" s="164">
        <v>192.495499</v>
      </c>
      <c r="AC224" s="164">
        <v>198.630371</v>
      </c>
      <c r="AD224" s="164">
        <v>204.97837799999999</v>
      </c>
      <c r="AE224" s="164">
        <v>211.68373099999999</v>
      </c>
      <c r="AF224" s="163" t="s">
        <v>1064</v>
      </c>
      <c r="AG224" s="155"/>
    </row>
    <row r="225" spans="1:33">
      <c r="A225" s="153" t="s">
        <v>1115</v>
      </c>
      <c r="B225" s="161" t="s">
        <v>972</v>
      </c>
      <c r="C225" s="164">
        <v>0</v>
      </c>
      <c r="D225" s="164">
        <v>16.152573</v>
      </c>
      <c r="E225" s="164">
        <v>74.385323</v>
      </c>
      <c r="F225" s="164">
        <v>44.418120999999999</v>
      </c>
      <c r="G225" s="164">
        <v>56.281497999999999</v>
      </c>
      <c r="H225" s="164">
        <v>46.858376</v>
      </c>
      <c r="I225" s="164">
        <v>45.260803000000003</v>
      </c>
      <c r="J225" s="164">
        <v>47.178879000000002</v>
      </c>
      <c r="K225" s="164">
        <v>49.045569999999998</v>
      </c>
      <c r="L225" s="164">
        <v>50.850254</v>
      </c>
      <c r="M225" s="164">
        <v>52.437424</v>
      </c>
      <c r="N225" s="164">
        <v>53.918830999999997</v>
      </c>
      <c r="O225" s="164">
        <v>55.272826999999999</v>
      </c>
      <c r="P225" s="164">
        <v>56.578246999999998</v>
      </c>
      <c r="Q225" s="164">
        <v>58.250194999999998</v>
      </c>
      <c r="R225" s="164">
        <v>59.701050000000002</v>
      </c>
      <c r="S225" s="164">
        <v>61.174374</v>
      </c>
      <c r="T225" s="164">
        <v>62.695816000000001</v>
      </c>
      <c r="U225" s="164">
        <v>64.303291000000002</v>
      </c>
      <c r="V225" s="164">
        <v>66.291870000000003</v>
      </c>
      <c r="W225" s="164">
        <v>68.032318000000004</v>
      </c>
      <c r="X225" s="164">
        <v>69.907364000000001</v>
      </c>
      <c r="Y225" s="164">
        <v>71.927443999999994</v>
      </c>
      <c r="Z225" s="164">
        <v>74.189528999999993</v>
      </c>
      <c r="AA225" s="164">
        <v>76.835526000000002</v>
      </c>
      <c r="AB225" s="164">
        <v>79.443588000000005</v>
      </c>
      <c r="AC225" s="164">
        <v>82.244560000000007</v>
      </c>
      <c r="AD225" s="164">
        <v>85.175903000000005</v>
      </c>
      <c r="AE225" s="164">
        <v>88.275108000000003</v>
      </c>
      <c r="AF225" s="163" t="s">
        <v>1064</v>
      </c>
      <c r="AG225" s="155"/>
    </row>
    <row r="226" spans="1:33">
      <c r="A226" s="153" t="s">
        <v>1116</v>
      </c>
      <c r="B226" s="161" t="s">
        <v>974</v>
      </c>
      <c r="C226" s="164">
        <v>0</v>
      </c>
      <c r="D226" s="164">
        <v>0</v>
      </c>
      <c r="E226" s="164">
        <v>13.907534</v>
      </c>
      <c r="F226" s="164">
        <v>11.581135</v>
      </c>
      <c r="G226" s="164">
        <v>13.285769</v>
      </c>
      <c r="H226" s="164">
        <v>8.7865739999999999</v>
      </c>
      <c r="I226" s="164">
        <v>11.912839999999999</v>
      </c>
      <c r="J226" s="164">
        <v>14.229506000000001</v>
      </c>
      <c r="K226" s="164">
        <v>14.96176</v>
      </c>
      <c r="L226" s="164">
        <v>15.676151000000001</v>
      </c>
      <c r="M226" s="164">
        <v>16.351693999999998</v>
      </c>
      <c r="N226" s="164">
        <v>17.011806</v>
      </c>
      <c r="O226" s="164">
        <v>17.684864000000001</v>
      </c>
      <c r="P226" s="164">
        <v>18.374672</v>
      </c>
      <c r="Q226" s="164">
        <v>19.195830999999998</v>
      </c>
      <c r="R226" s="164">
        <v>19.947098</v>
      </c>
      <c r="S226" s="164">
        <v>20.696186000000001</v>
      </c>
      <c r="T226" s="164">
        <v>21.447388</v>
      </c>
      <c r="U226" s="164">
        <v>22.153858</v>
      </c>
      <c r="V226" s="164">
        <v>22.969529999999999</v>
      </c>
      <c r="W226" s="164">
        <v>23.723488</v>
      </c>
      <c r="X226" s="164">
        <v>24.439530999999999</v>
      </c>
      <c r="Y226" s="164">
        <v>25.104008</v>
      </c>
      <c r="Z226" s="164">
        <v>25.697693000000001</v>
      </c>
      <c r="AA226" s="164">
        <v>26.327818000000001</v>
      </c>
      <c r="AB226" s="164">
        <v>26.879307000000001</v>
      </c>
      <c r="AC226" s="164">
        <v>27.422423999999999</v>
      </c>
      <c r="AD226" s="164">
        <v>27.929182000000001</v>
      </c>
      <c r="AE226" s="164">
        <v>28.481864999999999</v>
      </c>
      <c r="AF226" s="163" t="s">
        <v>1064</v>
      </c>
      <c r="AG226" s="155"/>
    </row>
    <row r="227" spans="1:33">
      <c r="A227" s="153" t="s">
        <v>1117</v>
      </c>
      <c r="B227" s="161" t="s">
        <v>976</v>
      </c>
      <c r="C227" s="164">
        <v>0</v>
      </c>
      <c r="D227" s="164">
        <v>79.417648</v>
      </c>
      <c r="E227" s="164">
        <v>70.644729999999996</v>
      </c>
      <c r="F227" s="164">
        <v>34.263565</v>
      </c>
      <c r="G227" s="164">
        <v>33.920757000000002</v>
      </c>
      <c r="H227" s="164">
        <v>31.017579999999999</v>
      </c>
      <c r="I227" s="164">
        <v>36.636215</v>
      </c>
      <c r="J227" s="164">
        <v>45.566955999999998</v>
      </c>
      <c r="K227" s="164">
        <v>47.875366</v>
      </c>
      <c r="L227" s="164">
        <v>50.072814999999999</v>
      </c>
      <c r="M227" s="164">
        <v>54.02478</v>
      </c>
      <c r="N227" s="164">
        <v>55.841735999999997</v>
      </c>
      <c r="O227" s="164">
        <v>57.601624000000001</v>
      </c>
      <c r="P227" s="164">
        <v>59.356994999999998</v>
      </c>
      <c r="Q227" s="164">
        <v>61.4953</v>
      </c>
      <c r="R227" s="164">
        <v>63.381042000000001</v>
      </c>
      <c r="S227" s="164">
        <v>65.248717999999997</v>
      </c>
      <c r="T227" s="164">
        <v>67.149169999999998</v>
      </c>
      <c r="U227" s="164">
        <v>69.097960999999998</v>
      </c>
      <c r="V227" s="164">
        <v>71.482910000000004</v>
      </c>
      <c r="W227" s="164">
        <v>73.646666999999994</v>
      </c>
      <c r="X227" s="164">
        <v>75.858520999999996</v>
      </c>
      <c r="Y227" s="164">
        <v>78.172118999999995</v>
      </c>
      <c r="Z227" s="164">
        <v>80.622314000000003</v>
      </c>
      <c r="AA227" s="164">
        <v>83.471680000000006</v>
      </c>
      <c r="AB227" s="164">
        <v>86.172606999999999</v>
      </c>
      <c r="AC227" s="164">
        <v>88.963379000000003</v>
      </c>
      <c r="AD227" s="164">
        <v>91.873290999999995</v>
      </c>
      <c r="AE227" s="164">
        <v>94.926758000000007</v>
      </c>
      <c r="AF227" s="163" t="s">
        <v>1064</v>
      </c>
      <c r="AG227" s="155"/>
    </row>
    <row r="228" spans="1:33">
      <c r="A228" s="153" t="s">
        <v>1118</v>
      </c>
      <c r="B228" s="161" t="s">
        <v>1043</v>
      </c>
      <c r="C228" s="164">
        <v>4.6944059999999999</v>
      </c>
      <c r="D228" s="164">
        <v>0</v>
      </c>
      <c r="E228" s="164">
        <v>9.9030819999999995</v>
      </c>
      <c r="F228" s="164">
        <v>18.713218999999999</v>
      </c>
      <c r="G228" s="164">
        <v>20.190556000000001</v>
      </c>
      <c r="H228" s="164">
        <v>24.707723999999999</v>
      </c>
      <c r="I228" s="164">
        <v>26.178903999999999</v>
      </c>
      <c r="J228" s="164">
        <v>26.187021000000001</v>
      </c>
      <c r="K228" s="164">
        <v>26.578914999999999</v>
      </c>
      <c r="L228" s="164">
        <v>26.732208</v>
      </c>
      <c r="M228" s="164">
        <v>27.393591000000001</v>
      </c>
      <c r="N228" s="164">
        <v>27.984928</v>
      </c>
      <c r="O228" s="164">
        <v>28.617878000000001</v>
      </c>
      <c r="P228" s="164">
        <v>29.507937999999999</v>
      </c>
      <c r="Q228" s="164">
        <v>29.673779</v>
      </c>
      <c r="R228" s="164">
        <v>29.754950999999998</v>
      </c>
      <c r="S228" s="164">
        <v>29.810558</v>
      </c>
      <c r="T228" s="164">
        <v>29.813227000000001</v>
      </c>
      <c r="U228" s="164">
        <v>29.743130000000001</v>
      </c>
      <c r="V228" s="164">
        <v>29.627026000000001</v>
      </c>
      <c r="W228" s="164">
        <v>29.397304999999999</v>
      </c>
      <c r="X228" s="164">
        <v>29.095371</v>
      </c>
      <c r="Y228" s="164">
        <v>28.737287999999999</v>
      </c>
      <c r="Z228" s="164">
        <v>28.342614999999999</v>
      </c>
      <c r="AA228" s="164">
        <v>27.983851999999999</v>
      </c>
      <c r="AB228" s="164">
        <v>27.615227000000001</v>
      </c>
      <c r="AC228" s="164">
        <v>27.270102999999999</v>
      </c>
      <c r="AD228" s="164">
        <v>26.951415999999998</v>
      </c>
      <c r="AE228" s="164">
        <v>26.697842000000001</v>
      </c>
      <c r="AF228" s="163">
        <v>6.4046000000000006E-2</v>
      </c>
      <c r="AG228" s="155"/>
    </row>
    <row r="229" spans="1:33">
      <c r="A229" s="153" t="s">
        <v>1119</v>
      </c>
      <c r="B229" s="161" t="s">
        <v>972</v>
      </c>
      <c r="C229" s="164">
        <v>4.6944059999999999</v>
      </c>
      <c r="D229" s="164">
        <v>0</v>
      </c>
      <c r="E229" s="164">
        <v>6.7475829999999997</v>
      </c>
      <c r="F229" s="164">
        <v>11.778551999999999</v>
      </c>
      <c r="G229" s="164">
        <v>12.884046</v>
      </c>
      <c r="H229" s="164">
        <v>16.942501</v>
      </c>
      <c r="I229" s="164">
        <v>17.098953000000002</v>
      </c>
      <c r="J229" s="164">
        <v>17.136088999999998</v>
      </c>
      <c r="K229" s="164">
        <v>17.307739000000002</v>
      </c>
      <c r="L229" s="164">
        <v>17.323554999999999</v>
      </c>
      <c r="M229" s="164">
        <v>17.642493999999999</v>
      </c>
      <c r="N229" s="164">
        <v>17.916205999999999</v>
      </c>
      <c r="O229" s="164">
        <v>18.128070999999998</v>
      </c>
      <c r="P229" s="164">
        <v>18.270206000000002</v>
      </c>
      <c r="Q229" s="164">
        <v>18.349886000000001</v>
      </c>
      <c r="R229" s="164">
        <v>18.360924000000001</v>
      </c>
      <c r="S229" s="164">
        <v>18.368248000000001</v>
      </c>
      <c r="T229" s="164">
        <v>18.336587999999999</v>
      </c>
      <c r="U229" s="164">
        <v>18.249237000000001</v>
      </c>
      <c r="V229" s="164">
        <v>18.137756</v>
      </c>
      <c r="W229" s="164">
        <v>17.946503</v>
      </c>
      <c r="X229" s="164">
        <v>17.723602</v>
      </c>
      <c r="Y229" s="164">
        <v>17.473815999999999</v>
      </c>
      <c r="Z229" s="164">
        <v>17.208832000000001</v>
      </c>
      <c r="AA229" s="164">
        <v>16.985443</v>
      </c>
      <c r="AB229" s="164">
        <v>16.774260999999999</v>
      </c>
      <c r="AC229" s="164">
        <v>16.590485000000001</v>
      </c>
      <c r="AD229" s="164">
        <v>16.435058999999999</v>
      </c>
      <c r="AE229" s="164">
        <v>16.330780000000001</v>
      </c>
      <c r="AF229" s="163">
        <v>4.5530000000000001E-2</v>
      </c>
      <c r="AG229" s="155"/>
    </row>
    <row r="230" spans="1:33">
      <c r="A230" s="153" t="s">
        <v>1120</v>
      </c>
      <c r="B230" s="161" t="s">
        <v>974</v>
      </c>
      <c r="C230" s="164">
        <v>0</v>
      </c>
      <c r="D230" s="164">
        <v>0</v>
      </c>
      <c r="E230" s="164">
        <v>0.123136</v>
      </c>
      <c r="F230" s="164">
        <v>1.9343319999999999</v>
      </c>
      <c r="G230" s="164">
        <v>2.1494490000000002</v>
      </c>
      <c r="H230" s="164">
        <v>1.225752</v>
      </c>
      <c r="I230" s="164">
        <v>1.002186</v>
      </c>
      <c r="J230" s="164">
        <v>0.72661200000000004</v>
      </c>
      <c r="K230" s="164">
        <v>0.87561500000000003</v>
      </c>
      <c r="L230" s="164">
        <v>1.0253829999999999</v>
      </c>
      <c r="M230" s="164">
        <v>1.2474810000000001</v>
      </c>
      <c r="N230" s="164">
        <v>1.4651149999999999</v>
      </c>
      <c r="O230" s="164">
        <v>1.8116300000000001</v>
      </c>
      <c r="P230" s="164">
        <v>2.5099939999999998</v>
      </c>
      <c r="Q230" s="164">
        <v>2.5653329999999999</v>
      </c>
      <c r="R230" s="164">
        <v>2.604568</v>
      </c>
      <c r="S230" s="164">
        <v>2.6278419999999998</v>
      </c>
      <c r="T230" s="164">
        <v>2.6438899999999999</v>
      </c>
      <c r="U230" s="164">
        <v>2.6589619999999998</v>
      </c>
      <c r="V230" s="164">
        <v>2.6583519999999998</v>
      </c>
      <c r="W230" s="164">
        <v>2.6367910000000001</v>
      </c>
      <c r="X230" s="164">
        <v>2.5863839999999998</v>
      </c>
      <c r="Y230" s="164">
        <v>2.5181110000000002</v>
      </c>
      <c r="Z230" s="164">
        <v>2.4389129999999999</v>
      </c>
      <c r="AA230" s="164">
        <v>2.357037</v>
      </c>
      <c r="AB230" s="164">
        <v>2.2597580000000002</v>
      </c>
      <c r="AC230" s="164">
        <v>2.1587450000000001</v>
      </c>
      <c r="AD230" s="164">
        <v>2.0570369999999998</v>
      </c>
      <c r="AE230" s="164">
        <v>1.96191</v>
      </c>
      <c r="AF230" s="163" t="s">
        <v>1064</v>
      </c>
      <c r="AG230" s="155"/>
    </row>
    <row r="231" spans="1:33">
      <c r="A231" s="153" t="s">
        <v>1121</v>
      </c>
      <c r="B231" s="161" t="s">
        <v>976</v>
      </c>
      <c r="C231" s="164">
        <v>0</v>
      </c>
      <c r="D231" s="164">
        <v>0</v>
      </c>
      <c r="E231" s="164">
        <v>3.0323630000000001</v>
      </c>
      <c r="F231" s="164">
        <v>5.0003349999999998</v>
      </c>
      <c r="G231" s="164">
        <v>5.1570600000000004</v>
      </c>
      <c r="H231" s="164">
        <v>6.5394709999999998</v>
      </c>
      <c r="I231" s="164">
        <v>8.0777649999999994</v>
      </c>
      <c r="J231" s="164">
        <v>8.3243200000000002</v>
      </c>
      <c r="K231" s="164">
        <v>8.3955590000000004</v>
      </c>
      <c r="L231" s="164">
        <v>8.3832699999999996</v>
      </c>
      <c r="M231" s="164">
        <v>8.5036159999999992</v>
      </c>
      <c r="N231" s="164">
        <v>8.6036070000000002</v>
      </c>
      <c r="O231" s="164">
        <v>8.6781769999999998</v>
      </c>
      <c r="P231" s="164">
        <v>8.7277369999999994</v>
      </c>
      <c r="Q231" s="164">
        <v>8.7585599999999992</v>
      </c>
      <c r="R231" s="164">
        <v>8.7894590000000008</v>
      </c>
      <c r="S231" s="164">
        <v>8.8144679999999997</v>
      </c>
      <c r="T231" s="164">
        <v>8.8327480000000005</v>
      </c>
      <c r="U231" s="164">
        <v>8.8349299999999999</v>
      </c>
      <c r="V231" s="164">
        <v>8.8309169999999995</v>
      </c>
      <c r="W231" s="164">
        <v>8.8140110000000007</v>
      </c>
      <c r="X231" s="164">
        <v>8.7853849999999998</v>
      </c>
      <c r="Y231" s="164">
        <v>8.7453610000000008</v>
      </c>
      <c r="Z231" s="164">
        <v>8.6948699999999999</v>
      </c>
      <c r="AA231" s="164">
        <v>8.6413729999999997</v>
      </c>
      <c r="AB231" s="164">
        <v>8.5812069999999991</v>
      </c>
      <c r="AC231" s="164">
        <v>8.5208739999999992</v>
      </c>
      <c r="AD231" s="164">
        <v>8.45932</v>
      </c>
      <c r="AE231" s="164">
        <v>8.405151</v>
      </c>
      <c r="AF231" s="163" t="s">
        <v>1064</v>
      </c>
      <c r="AG231" s="155"/>
    </row>
    <row r="232" spans="1:33">
      <c r="A232" s="153" t="s">
        <v>1122</v>
      </c>
      <c r="B232" s="161" t="s">
        <v>1048</v>
      </c>
      <c r="C232" s="164">
        <v>0</v>
      </c>
      <c r="D232" s="164">
        <v>16.212554999999998</v>
      </c>
      <c r="E232" s="164">
        <v>72.479491999999993</v>
      </c>
      <c r="F232" s="164">
        <v>40.945121999999998</v>
      </c>
      <c r="G232" s="164">
        <v>45.360497000000002</v>
      </c>
      <c r="H232" s="164">
        <v>47.086692999999997</v>
      </c>
      <c r="I232" s="164">
        <v>44.219219000000002</v>
      </c>
      <c r="J232" s="164">
        <v>43.437472999999997</v>
      </c>
      <c r="K232" s="164">
        <v>44.078677999999996</v>
      </c>
      <c r="L232" s="164">
        <v>44.448982000000001</v>
      </c>
      <c r="M232" s="164">
        <v>45.430968999999997</v>
      </c>
      <c r="N232" s="164">
        <v>46.471218</v>
      </c>
      <c r="O232" s="164">
        <v>47.524146999999999</v>
      </c>
      <c r="P232" s="164">
        <v>48.588408999999999</v>
      </c>
      <c r="Q232" s="164">
        <v>49.558253999999998</v>
      </c>
      <c r="R232" s="164">
        <v>50.636077999999998</v>
      </c>
      <c r="S232" s="164">
        <v>51.724097999999998</v>
      </c>
      <c r="T232" s="164">
        <v>52.793083000000003</v>
      </c>
      <c r="U232" s="164">
        <v>53.866115999999998</v>
      </c>
      <c r="V232" s="164">
        <v>54.935673000000001</v>
      </c>
      <c r="W232" s="164">
        <v>56.067089000000003</v>
      </c>
      <c r="X232" s="164">
        <v>57.238425999999997</v>
      </c>
      <c r="Y232" s="164">
        <v>58.484650000000002</v>
      </c>
      <c r="Z232" s="164">
        <v>59.774197000000001</v>
      </c>
      <c r="AA232" s="164">
        <v>60.846770999999997</v>
      </c>
      <c r="AB232" s="164">
        <v>62.294235</v>
      </c>
      <c r="AC232" s="164">
        <v>63.859734000000003</v>
      </c>
      <c r="AD232" s="164">
        <v>65.543030000000002</v>
      </c>
      <c r="AE232" s="164">
        <v>67.304428000000001</v>
      </c>
      <c r="AF232" s="163" t="s">
        <v>1064</v>
      </c>
      <c r="AG232" s="155"/>
    </row>
    <row r="233" spans="1:33">
      <c r="A233" s="153" t="s">
        <v>1123</v>
      </c>
      <c r="B233" s="161" t="s">
        <v>972</v>
      </c>
      <c r="C233" s="164">
        <v>0</v>
      </c>
      <c r="D233" s="164">
        <v>5.8114030000000003</v>
      </c>
      <c r="E233" s="164">
        <v>42.121963999999998</v>
      </c>
      <c r="F233" s="164">
        <v>25.662416</v>
      </c>
      <c r="G233" s="164">
        <v>27.793472000000001</v>
      </c>
      <c r="H233" s="164">
        <v>28.183192999999999</v>
      </c>
      <c r="I233" s="164">
        <v>26.023641999999999</v>
      </c>
      <c r="J233" s="164">
        <v>25.516463999999999</v>
      </c>
      <c r="K233" s="164">
        <v>26.058325</v>
      </c>
      <c r="L233" s="164">
        <v>26.448975000000001</v>
      </c>
      <c r="M233" s="164">
        <v>27.170258</v>
      </c>
      <c r="N233" s="164">
        <v>27.915710000000001</v>
      </c>
      <c r="O233" s="164">
        <v>28.664702999999999</v>
      </c>
      <c r="P233" s="164">
        <v>29.415619</v>
      </c>
      <c r="Q233" s="164">
        <v>30.099364999999999</v>
      </c>
      <c r="R233" s="164">
        <v>30.841248</v>
      </c>
      <c r="S233" s="164">
        <v>31.57132</v>
      </c>
      <c r="T233" s="164">
        <v>32.287776999999998</v>
      </c>
      <c r="U233" s="164">
        <v>32.994903999999998</v>
      </c>
      <c r="V233" s="164">
        <v>33.685364</v>
      </c>
      <c r="W233" s="164">
        <v>34.397095</v>
      </c>
      <c r="X233" s="164">
        <v>35.129173000000002</v>
      </c>
      <c r="Y233" s="164">
        <v>35.915416999999998</v>
      </c>
      <c r="Z233" s="164">
        <v>36.718688999999998</v>
      </c>
      <c r="AA233" s="164">
        <v>37.396667000000001</v>
      </c>
      <c r="AB233" s="164">
        <v>38.285400000000003</v>
      </c>
      <c r="AC233" s="164">
        <v>39.248534999999997</v>
      </c>
      <c r="AD233" s="164">
        <v>40.288939999999997</v>
      </c>
      <c r="AE233" s="164">
        <v>41.382384999999999</v>
      </c>
      <c r="AF233" s="163" t="s">
        <v>1064</v>
      </c>
      <c r="AG233" s="155"/>
    </row>
    <row r="234" spans="1:33">
      <c r="A234" s="153" t="s">
        <v>1124</v>
      </c>
      <c r="B234" s="161" t="s">
        <v>974</v>
      </c>
      <c r="C234" s="164">
        <v>0</v>
      </c>
      <c r="D234" s="164">
        <v>2.1028440000000002</v>
      </c>
      <c r="E234" s="164">
        <v>5.2317850000000004</v>
      </c>
      <c r="F234" s="164">
        <v>5.1375019999999996</v>
      </c>
      <c r="G234" s="164">
        <v>5.0140370000000001</v>
      </c>
      <c r="H234" s="164">
        <v>3.894466</v>
      </c>
      <c r="I234" s="164">
        <v>3.4408159999999999</v>
      </c>
      <c r="J234" s="164">
        <v>3.2471969999999999</v>
      </c>
      <c r="K234" s="164">
        <v>3.2134369999999999</v>
      </c>
      <c r="L234" s="164">
        <v>3.1581950000000001</v>
      </c>
      <c r="M234" s="164">
        <v>3.1293950000000001</v>
      </c>
      <c r="N234" s="164">
        <v>3.1110509999999998</v>
      </c>
      <c r="O234" s="164">
        <v>3.1012360000000001</v>
      </c>
      <c r="P234" s="164">
        <v>3.100142</v>
      </c>
      <c r="Q234" s="164">
        <v>3.1067480000000001</v>
      </c>
      <c r="R234" s="164">
        <v>3.1233499999999998</v>
      </c>
      <c r="S234" s="164">
        <v>3.1619969999999999</v>
      </c>
      <c r="T234" s="164">
        <v>3.1970779999999999</v>
      </c>
      <c r="U234" s="164">
        <v>3.2490489999999999</v>
      </c>
      <c r="V234" s="164">
        <v>3.3071929999999998</v>
      </c>
      <c r="W234" s="164">
        <v>3.3916439999999999</v>
      </c>
      <c r="X234" s="164">
        <v>3.4865710000000001</v>
      </c>
      <c r="Y234" s="164">
        <v>3.5925790000000002</v>
      </c>
      <c r="Z234" s="164">
        <v>3.712062</v>
      </c>
      <c r="AA234" s="164">
        <v>3.817904</v>
      </c>
      <c r="AB234" s="164">
        <v>3.9742289999999998</v>
      </c>
      <c r="AC234" s="164">
        <v>4.1493169999999999</v>
      </c>
      <c r="AD234" s="164">
        <v>4.3417969999999997</v>
      </c>
      <c r="AE234" s="164">
        <v>4.539593</v>
      </c>
      <c r="AF234" s="163" t="s">
        <v>1064</v>
      </c>
      <c r="AG234" s="155"/>
    </row>
    <row r="235" spans="1:33">
      <c r="A235" s="153" t="s">
        <v>1125</v>
      </c>
      <c r="B235" s="161" t="s">
        <v>976</v>
      </c>
      <c r="C235" s="164">
        <v>0</v>
      </c>
      <c r="D235" s="164">
        <v>8.2983069999999994</v>
      </c>
      <c r="E235" s="164">
        <v>25.125741999999999</v>
      </c>
      <c r="F235" s="164">
        <v>10.145201</v>
      </c>
      <c r="G235" s="164">
        <v>12.552986000000001</v>
      </c>
      <c r="H235" s="164">
        <v>15.009033000000001</v>
      </c>
      <c r="I235" s="164">
        <v>14.754761</v>
      </c>
      <c r="J235" s="164">
        <v>14.673813000000001</v>
      </c>
      <c r="K235" s="164">
        <v>14.806915</v>
      </c>
      <c r="L235" s="164">
        <v>14.841811999999999</v>
      </c>
      <c r="M235" s="164">
        <v>15.131316999999999</v>
      </c>
      <c r="N235" s="164">
        <v>15.444457999999999</v>
      </c>
      <c r="O235" s="164">
        <v>15.758209000000001</v>
      </c>
      <c r="P235" s="164">
        <v>16.072647</v>
      </c>
      <c r="Q235" s="164">
        <v>16.352142000000001</v>
      </c>
      <c r="R235" s="164">
        <v>16.671478</v>
      </c>
      <c r="S235" s="164">
        <v>16.990784000000001</v>
      </c>
      <c r="T235" s="164">
        <v>17.308228</v>
      </c>
      <c r="U235" s="164">
        <v>17.622161999999999</v>
      </c>
      <c r="V235" s="164">
        <v>17.943114999999999</v>
      </c>
      <c r="W235" s="164">
        <v>18.278351000000001</v>
      </c>
      <c r="X235" s="164">
        <v>18.622681</v>
      </c>
      <c r="Y235" s="164">
        <v>18.976654</v>
      </c>
      <c r="Z235" s="164">
        <v>19.343444999999999</v>
      </c>
      <c r="AA235" s="164">
        <v>19.632201999999999</v>
      </c>
      <c r="AB235" s="164">
        <v>20.034607000000001</v>
      </c>
      <c r="AC235" s="164">
        <v>20.461884000000001</v>
      </c>
      <c r="AD235" s="164">
        <v>20.912292000000001</v>
      </c>
      <c r="AE235" s="164">
        <v>21.382446000000002</v>
      </c>
      <c r="AF235" s="163" t="s">
        <v>1064</v>
      </c>
      <c r="AG235" s="155"/>
    </row>
    <row r="236" spans="1:33">
      <c r="A236" s="153" t="s">
        <v>1126</v>
      </c>
      <c r="B236" s="161" t="s">
        <v>1053</v>
      </c>
      <c r="C236" s="164">
        <v>906.95056199999999</v>
      </c>
      <c r="D236" s="164">
        <v>996.77758800000004</v>
      </c>
      <c r="E236" s="164">
        <v>1560.366943</v>
      </c>
      <c r="F236" s="164">
        <v>1339.888428</v>
      </c>
      <c r="G236" s="164">
        <v>1781.6395259999999</v>
      </c>
      <c r="H236" s="164">
        <v>1523.8237300000001</v>
      </c>
      <c r="I236" s="164">
        <v>1579.755005</v>
      </c>
      <c r="J236" s="164">
        <v>1607.5267329999999</v>
      </c>
      <c r="K236" s="164">
        <v>1705.8538820000001</v>
      </c>
      <c r="L236" s="164">
        <v>1808.3291019999999</v>
      </c>
      <c r="M236" s="164">
        <v>1953.9444579999999</v>
      </c>
      <c r="N236" s="164">
        <v>2113.2377929999998</v>
      </c>
      <c r="O236" s="164">
        <v>2198.0119629999999</v>
      </c>
      <c r="P236" s="164">
        <v>2281.2998050000001</v>
      </c>
      <c r="Q236" s="164">
        <v>2386.2250979999999</v>
      </c>
      <c r="R236" s="164">
        <v>2476.8305660000001</v>
      </c>
      <c r="S236" s="164">
        <v>2542.4284670000002</v>
      </c>
      <c r="T236" s="164">
        <v>2603.1972660000001</v>
      </c>
      <c r="U236" s="164">
        <v>2693.382568</v>
      </c>
      <c r="V236" s="164">
        <v>2750.7878420000002</v>
      </c>
      <c r="W236" s="164">
        <v>2813.4624020000001</v>
      </c>
      <c r="X236" s="164">
        <v>2873.0766600000002</v>
      </c>
      <c r="Y236" s="164">
        <v>2914.782471</v>
      </c>
      <c r="Z236" s="164">
        <v>2952.125732</v>
      </c>
      <c r="AA236" s="164">
        <v>2992.0249020000001</v>
      </c>
      <c r="AB236" s="164">
        <v>3054.0776369999999</v>
      </c>
      <c r="AC236" s="164">
        <v>3103.2128910000001</v>
      </c>
      <c r="AD236" s="164">
        <v>3148.4765619999998</v>
      </c>
      <c r="AE236" s="164">
        <v>3213.5976559999999</v>
      </c>
      <c r="AF236" s="163">
        <v>4.6217000000000001E-2</v>
      </c>
      <c r="AG236" s="155"/>
    </row>
    <row r="237" spans="1:33">
      <c r="A237" s="153" t="s">
        <v>1127</v>
      </c>
      <c r="B237" s="161" t="s">
        <v>1055</v>
      </c>
      <c r="C237" s="164">
        <v>616.672729</v>
      </c>
      <c r="D237" s="164">
        <v>426.37951700000002</v>
      </c>
      <c r="E237" s="164">
        <v>834.27612299999998</v>
      </c>
      <c r="F237" s="164">
        <v>765.04986599999995</v>
      </c>
      <c r="G237" s="164">
        <v>1010.692139</v>
      </c>
      <c r="H237" s="164">
        <v>905.86248799999998</v>
      </c>
      <c r="I237" s="164">
        <v>943.87078899999995</v>
      </c>
      <c r="J237" s="164">
        <v>970.26196300000004</v>
      </c>
      <c r="K237" s="164">
        <v>1021.595337</v>
      </c>
      <c r="L237" s="164">
        <v>1090.982422</v>
      </c>
      <c r="M237" s="164">
        <v>1186.9614260000001</v>
      </c>
      <c r="N237" s="164">
        <v>1294.732178</v>
      </c>
      <c r="O237" s="164">
        <v>1337.9248050000001</v>
      </c>
      <c r="P237" s="164">
        <v>1388.693237</v>
      </c>
      <c r="Q237" s="164">
        <v>1448.065308</v>
      </c>
      <c r="R237" s="164">
        <v>1494.3908690000001</v>
      </c>
      <c r="S237" s="164">
        <v>1529.6373289999999</v>
      </c>
      <c r="T237" s="164">
        <v>1562.5006100000001</v>
      </c>
      <c r="U237" s="164">
        <v>1615.0435789999999</v>
      </c>
      <c r="V237" s="164">
        <v>1647.3764650000001</v>
      </c>
      <c r="W237" s="164">
        <v>1682.243164</v>
      </c>
      <c r="X237" s="164">
        <v>1715.9918210000001</v>
      </c>
      <c r="Y237" s="164">
        <v>1739.779663</v>
      </c>
      <c r="Z237" s="164">
        <v>1760.8398440000001</v>
      </c>
      <c r="AA237" s="164">
        <v>1783.525879</v>
      </c>
      <c r="AB237" s="164">
        <v>1817.627808</v>
      </c>
      <c r="AC237" s="164">
        <v>1845.839966</v>
      </c>
      <c r="AD237" s="164">
        <v>1872.237061</v>
      </c>
      <c r="AE237" s="164">
        <v>1908.921143</v>
      </c>
      <c r="AF237" s="163">
        <v>4.1181000000000002E-2</v>
      </c>
      <c r="AG237" s="155"/>
    </row>
    <row r="238" spans="1:33">
      <c r="A238" s="153" t="s">
        <v>1128</v>
      </c>
      <c r="B238" s="161" t="s">
        <v>1057</v>
      </c>
      <c r="C238" s="164">
        <v>0</v>
      </c>
      <c r="D238" s="164">
        <v>43.201999999999998</v>
      </c>
      <c r="E238" s="164">
        <v>176.914368</v>
      </c>
      <c r="F238" s="164">
        <v>268.93057299999998</v>
      </c>
      <c r="G238" s="164">
        <v>385.54864500000002</v>
      </c>
      <c r="H238" s="164">
        <v>250.85348500000001</v>
      </c>
      <c r="I238" s="164">
        <v>255.47108499999999</v>
      </c>
      <c r="J238" s="164">
        <v>234.80268899999999</v>
      </c>
      <c r="K238" s="164">
        <v>272.76123000000001</v>
      </c>
      <c r="L238" s="164">
        <v>290.69201700000002</v>
      </c>
      <c r="M238" s="164">
        <v>313.10742199999999</v>
      </c>
      <c r="N238" s="164">
        <v>343.86264</v>
      </c>
      <c r="O238" s="164">
        <v>373.10836799999998</v>
      </c>
      <c r="P238" s="164">
        <v>393.01129200000003</v>
      </c>
      <c r="Q238" s="164">
        <v>421.43762199999998</v>
      </c>
      <c r="R238" s="164">
        <v>448.14917000000003</v>
      </c>
      <c r="S238" s="164">
        <v>463.75173999999998</v>
      </c>
      <c r="T238" s="164">
        <v>478.395599</v>
      </c>
      <c r="U238" s="164">
        <v>495.19457999999997</v>
      </c>
      <c r="V238" s="164">
        <v>508.49685699999998</v>
      </c>
      <c r="W238" s="164">
        <v>522.58496100000002</v>
      </c>
      <c r="X238" s="164">
        <v>533.91491699999995</v>
      </c>
      <c r="Y238" s="164">
        <v>541.35034199999996</v>
      </c>
      <c r="Z238" s="164">
        <v>547.30035399999997</v>
      </c>
      <c r="AA238" s="164">
        <v>552.16076699999996</v>
      </c>
      <c r="AB238" s="164">
        <v>562.45593299999996</v>
      </c>
      <c r="AC238" s="164">
        <v>569.04693599999996</v>
      </c>
      <c r="AD238" s="164">
        <v>574.07873500000005</v>
      </c>
      <c r="AE238" s="164">
        <v>582.19397000000004</v>
      </c>
      <c r="AF238" s="163" t="s">
        <v>1064</v>
      </c>
      <c r="AG238" s="155"/>
    </row>
    <row r="239" spans="1:33">
      <c r="A239" s="153" t="s">
        <v>1129</v>
      </c>
      <c r="B239" s="158" t="s">
        <v>15</v>
      </c>
      <c r="C239" s="167">
        <v>290.27792399999998</v>
      </c>
      <c r="D239" s="167">
        <v>527.19604500000003</v>
      </c>
      <c r="E239" s="167">
        <v>549.176514</v>
      </c>
      <c r="F239" s="167">
        <v>305.90798999999998</v>
      </c>
      <c r="G239" s="167">
        <v>385.39859000000001</v>
      </c>
      <c r="H239" s="167">
        <v>367.10775799999999</v>
      </c>
      <c r="I239" s="167">
        <v>380.41357399999998</v>
      </c>
      <c r="J239" s="167">
        <v>402.46191399999998</v>
      </c>
      <c r="K239" s="167">
        <v>411.497345</v>
      </c>
      <c r="L239" s="167">
        <v>426.654968</v>
      </c>
      <c r="M239" s="167">
        <v>453.875519</v>
      </c>
      <c r="N239" s="167">
        <v>474.64248700000002</v>
      </c>
      <c r="O239" s="167">
        <v>486.978363</v>
      </c>
      <c r="P239" s="167">
        <v>499.595215</v>
      </c>
      <c r="Q239" s="167">
        <v>516.722534</v>
      </c>
      <c r="R239" s="167">
        <v>534.29040499999996</v>
      </c>
      <c r="S239" s="167">
        <v>549.03997800000002</v>
      </c>
      <c r="T239" s="167">
        <v>562.30139199999996</v>
      </c>
      <c r="U239" s="167">
        <v>583.14465299999995</v>
      </c>
      <c r="V239" s="167">
        <v>594.91436799999997</v>
      </c>
      <c r="W239" s="167">
        <v>608.634277</v>
      </c>
      <c r="X239" s="167">
        <v>623.17040999999995</v>
      </c>
      <c r="Y239" s="167">
        <v>633.65270999999996</v>
      </c>
      <c r="Z239" s="167">
        <v>643.98510699999997</v>
      </c>
      <c r="AA239" s="167">
        <v>656.33850099999995</v>
      </c>
      <c r="AB239" s="167">
        <v>673.99383499999999</v>
      </c>
      <c r="AC239" s="167">
        <v>688.32568400000002</v>
      </c>
      <c r="AD239" s="167">
        <v>702.16033900000002</v>
      </c>
      <c r="AE239" s="167">
        <v>722.48254399999996</v>
      </c>
      <c r="AF239" s="160">
        <v>3.3101999999999999E-2</v>
      </c>
      <c r="AG239" s="155"/>
    </row>
    <row r="240" spans="1:33">
      <c r="A240" s="148"/>
      <c r="B240" s="155"/>
      <c r="C240" s="155"/>
      <c r="D240" s="155"/>
      <c r="E240" s="155"/>
      <c r="F240" s="155"/>
      <c r="G240" s="155"/>
      <c r="H240" s="155"/>
      <c r="I240" s="155"/>
      <c r="J240" s="155"/>
      <c r="K240" s="155"/>
      <c r="L240" s="155"/>
      <c r="M240" s="155"/>
      <c r="N240" s="155"/>
      <c r="O240" s="155"/>
      <c r="P240" s="155"/>
      <c r="Q240" s="155"/>
      <c r="R240" s="155"/>
      <c r="S240" s="155"/>
      <c r="T240" s="155"/>
      <c r="U240" s="155"/>
      <c r="V240" s="155"/>
      <c r="W240" s="155"/>
      <c r="X240" s="155"/>
      <c r="Y240" s="155"/>
      <c r="Z240" s="155"/>
      <c r="AA240" s="155"/>
      <c r="AB240" s="155"/>
      <c r="AC240" s="155"/>
      <c r="AD240" s="155"/>
      <c r="AE240" s="155"/>
      <c r="AF240" s="155"/>
      <c r="AG240" s="155"/>
    </row>
    <row r="241" spans="1:33">
      <c r="A241" s="148"/>
      <c r="B241" s="158" t="s">
        <v>1130</v>
      </c>
      <c r="C241" s="155"/>
      <c r="D241" s="155"/>
      <c r="E241" s="155"/>
      <c r="F241" s="155"/>
      <c r="G241" s="155"/>
      <c r="H241" s="155"/>
      <c r="I241" s="155"/>
      <c r="J241" s="155"/>
      <c r="K241" s="155"/>
      <c r="L241" s="155"/>
      <c r="M241" s="155"/>
      <c r="N241" s="155"/>
      <c r="O241" s="155"/>
      <c r="P241" s="155"/>
      <c r="Q241" s="155"/>
      <c r="R241" s="155"/>
      <c r="S241" s="155"/>
      <c r="T241" s="155"/>
      <c r="U241" s="155"/>
      <c r="V241" s="155"/>
      <c r="W241" s="155"/>
      <c r="X241" s="155"/>
      <c r="Y241" s="155"/>
      <c r="Z241" s="155"/>
      <c r="AA241" s="155"/>
      <c r="AB241" s="155"/>
      <c r="AC241" s="155"/>
      <c r="AD241" s="155"/>
      <c r="AE241" s="155"/>
      <c r="AF241" s="155"/>
      <c r="AG241" s="155"/>
    </row>
    <row r="242" spans="1:33">
      <c r="A242" s="148"/>
      <c r="B242" s="158" t="s">
        <v>1131</v>
      </c>
      <c r="C242" s="155"/>
      <c r="D242" s="155"/>
      <c r="E242" s="155"/>
      <c r="F242" s="155"/>
      <c r="G242" s="155"/>
      <c r="H242" s="155"/>
      <c r="I242" s="155"/>
      <c r="J242" s="155"/>
      <c r="K242" s="155"/>
      <c r="L242" s="155"/>
      <c r="M242" s="155"/>
      <c r="N242" s="155"/>
      <c r="O242" s="155"/>
      <c r="P242" s="155"/>
      <c r="Q242" s="155"/>
      <c r="R242" s="155"/>
      <c r="S242" s="155"/>
      <c r="T242" s="155"/>
      <c r="U242" s="155"/>
      <c r="V242" s="155"/>
      <c r="W242" s="155"/>
      <c r="X242" s="155"/>
      <c r="Y242" s="155"/>
      <c r="Z242" s="155"/>
      <c r="AA242" s="155"/>
      <c r="AB242" s="155"/>
      <c r="AC242" s="155"/>
      <c r="AD242" s="155"/>
      <c r="AE242" s="155"/>
      <c r="AF242" s="155"/>
      <c r="AG242" s="155"/>
    </row>
    <row r="243" spans="1:33">
      <c r="A243" s="153" t="s">
        <v>1132</v>
      </c>
      <c r="B243" s="161" t="s">
        <v>972</v>
      </c>
      <c r="C243" s="162">
        <v>74.871787999999995</v>
      </c>
      <c r="D243" s="162">
        <v>74.824341000000004</v>
      </c>
      <c r="E243" s="162">
        <v>74.870009999999994</v>
      </c>
      <c r="F243" s="162">
        <v>75.377182000000005</v>
      </c>
      <c r="G243" s="162">
        <v>75.942390000000003</v>
      </c>
      <c r="H243" s="162">
        <v>76.569298000000003</v>
      </c>
      <c r="I243" s="162">
        <v>77.191185000000004</v>
      </c>
      <c r="J243" s="162">
        <v>77.822379999999995</v>
      </c>
      <c r="K243" s="162">
        <v>78.449370999999999</v>
      </c>
      <c r="L243" s="162">
        <v>79.082160999999999</v>
      </c>
      <c r="M243" s="162">
        <v>79.729331999999999</v>
      </c>
      <c r="N243" s="162">
        <v>80.384322999999995</v>
      </c>
      <c r="O243" s="162">
        <v>81.040702999999993</v>
      </c>
      <c r="P243" s="162">
        <v>81.700325000000007</v>
      </c>
      <c r="Q243" s="162">
        <v>82.36721</v>
      </c>
      <c r="R243" s="162">
        <v>83.039787000000004</v>
      </c>
      <c r="S243" s="162">
        <v>83.715835999999996</v>
      </c>
      <c r="T243" s="162">
        <v>84.394936000000001</v>
      </c>
      <c r="U243" s="162">
        <v>85.083740000000006</v>
      </c>
      <c r="V243" s="162">
        <v>85.777321000000001</v>
      </c>
      <c r="W243" s="162">
        <v>86.476578000000003</v>
      </c>
      <c r="X243" s="162">
        <v>87.181197999999995</v>
      </c>
      <c r="Y243" s="162">
        <v>87.887107999999998</v>
      </c>
      <c r="Z243" s="162">
        <v>88.593413999999996</v>
      </c>
      <c r="AA243" s="162">
        <v>89.304077000000007</v>
      </c>
      <c r="AB243" s="162">
        <v>90.021133000000006</v>
      </c>
      <c r="AC243" s="162">
        <v>90.740951999999993</v>
      </c>
      <c r="AD243" s="162">
        <v>91.461951999999997</v>
      </c>
      <c r="AE243" s="162">
        <v>92.186836</v>
      </c>
      <c r="AF243" s="163">
        <v>7.4580000000000002E-3</v>
      </c>
      <c r="AG243" s="155"/>
    </row>
    <row r="244" spans="1:33">
      <c r="A244" s="153" t="s">
        <v>1133</v>
      </c>
      <c r="B244" s="161" t="s">
        <v>974</v>
      </c>
      <c r="C244" s="162">
        <v>95.571944999999999</v>
      </c>
      <c r="D244" s="162">
        <v>96.332038999999995</v>
      </c>
      <c r="E244" s="162">
        <v>96.948357000000001</v>
      </c>
      <c r="F244" s="162">
        <v>97.558082999999996</v>
      </c>
      <c r="G244" s="162">
        <v>98.270415999999997</v>
      </c>
      <c r="H244" s="162">
        <v>99.001427000000007</v>
      </c>
      <c r="I244" s="162">
        <v>99.742217999999994</v>
      </c>
      <c r="J244" s="162">
        <v>100.54795799999999</v>
      </c>
      <c r="K244" s="162">
        <v>101.357468</v>
      </c>
      <c r="L244" s="162">
        <v>102.176247</v>
      </c>
      <c r="M244" s="162">
        <v>103.00419599999999</v>
      </c>
      <c r="N244" s="162">
        <v>103.837914</v>
      </c>
      <c r="O244" s="162">
        <v>104.675499</v>
      </c>
      <c r="P244" s="162">
        <v>105.517685</v>
      </c>
      <c r="Q244" s="162">
        <v>106.36638600000001</v>
      </c>
      <c r="R244" s="162">
        <v>107.221107</v>
      </c>
      <c r="S244" s="162">
        <v>108.081337</v>
      </c>
      <c r="T244" s="162">
        <v>108.94696</v>
      </c>
      <c r="U244" s="162">
        <v>109.81945</v>
      </c>
      <c r="V244" s="162">
        <v>110.698303</v>
      </c>
      <c r="W244" s="162">
        <v>111.58322099999999</v>
      </c>
      <c r="X244" s="162">
        <v>112.474045</v>
      </c>
      <c r="Y244" s="162">
        <v>113.369934</v>
      </c>
      <c r="Z244" s="162">
        <v>114.270432</v>
      </c>
      <c r="AA244" s="162">
        <v>115.17746699999999</v>
      </c>
      <c r="AB244" s="162">
        <v>116.090721</v>
      </c>
      <c r="AC244" s="162">
        <v>117.009277</v>
      </c>
      <c r="AD244" s="162">
        <v>117.93248</v>
      </c>
      <c r="AE244" s="162">
        <v>118.860939</v>
      </c>
      <c r="AF244" s="163">
        <v>7.8189999999999996E-3</v>
      </c>
      <c r="AG244" s="155"/>
    </row>
    <row r="245" spans="1:33">
      <c r="A245" s="153" t="s">
        <v>1134</v>
      </c>
      <c r="B245" s="161" t="s">
        <v>976</v>
      </c>
      <c r="C245" s="162">
        <v>53.707275000000003</v>
      </c>
      <c r="D245" s="162">
        <v>54.124397000000002</v>
      </c>
      <c r="E245" s="162">
        <v>54.517155000000002</v>
      </c>
      <c r="F245" s="162">
        <v>55.057952999999998</v>
      </c>
      <c r="G245" s="162">
        <v>55.602271999999999</v>
      </c>
      <c r="H245" s="162">
        <v>56.153022999999997</v>
      </c>
      <c r="I245" s="162">
        <v>56.707245</v>
      </c>
      <c r="J245" s="162">
        <v>57.267493999999999</v>
      </c>
      <c r="K245" s="162">
        <v>57.832068999999997</v>
      </c>
      <c r="L245" s="162">
        <v>58.395541999999999</v>
      </c>
      <c r="M245" s="162">
        <v>58.951411999999998</v>
      </c>
      <c r="N245" s="162">
        <v>59.503132000000001</v>
      </c>
      <c r="O245" s="162">
        <v>60.055945999999999</v>
      </c>
      <c r="P245" s="162">
        <v>60.609138000000002</v>
      </c>
      <c r="Q245" s="162">
        <v>61.15992</v>
      </c>
      <c r="R245" s="162">
        <v>61.709805000000003</v>
      </c>
      <c r="S245" s="162">
        <v>62.260795999999999</v>
      </c>
      <c r="T245" s="162">
        <v>62.813918999999999</v>
      </c>
      <c r="U245" s="162">
        <v>63.364795999999998</v>
      </c>
      <c r="V245" s="162">
        <v>63.919387999999998</v>
      </c>
      <c r="W245" s="162">
        <v>64.476928999999998</v>
      </c>
      <c r="X245" s="162">
        <v>65.036681999999999</v>
      </c>
      <c r="Y245" s="162">
        <v>65.600577999999999</v>
      </c>
      <c r="Z245" s="162">
        <v>66.168068000000005</v>
      </c>
      <c r="AA245" s="162">
        <v>66.736427000000006</v>
      </c>
      <c r="AB245" s="162">
        <v>67.304244999999995</v>
      </c>
      <c r="AC245" s="162">
        <v>67.874115000000003</v>
      </c>
      <c r="AD245" s="162">
        <v>68.446205000000006</v>
      </c>
      <c r="AE245" s="162">
        <v>69.016655</v>
      </c>
      <c r="AF245" s="163">
        <v>8.9969999999999998E-3</v>
      </c>
      <c r="AG245" s="155"/>
    </row>
    <row r="246" spans="1:33">
      <c r="A246" s="153" t="s">
        <v>1135</v>
      </c>
      <c r="B246" s="161" t="s">
        <v>1136</v>
      </c>
      <c r="C246" s="162">
        <v>77.863677999999993</v>
      </c>
      <c r="D246" s="162">
        <v>78.969109000000003</v>
      </c>
      <c r="E246" s="162">
        <v>79.835860999999994</v>
      </c>
      <c r="F246" s="162">
        <v>80.657959000000005</v>
      </c>
      <c r="G246" s="162">
        <v>81.519676000000004</v>
      </c>
      <c r="H246" s="162">
        <v>82.249397000000002</v>
      </c>
      <c r="I246" s="162">
        <v>82.953147999999999</v>
      </c>
      <c r="J246" s="162">
        <v>83.636619999999994</v>
      </c>
      <c r="K246" s="162">
        <v>84.322136</v>
      </c>
      <c r="L246" s="162">
        <v>85.012176999999994</v>
      </c>
      <c r="M246" s="162">
        <v>85.709496000000001</v>
      </c>
      <c r="N246" s="162">
        <v>86.412520999999998</v>
      </c>
      <c r="O246" s="162">
        <v>87.119552999999996</v>
      </c>
      <c r="P246" s="162">
        <v>87.831146000000004</v>
      </c>
      <c r="Q246" s="162">
        <v>88.548659999999998</v>
      </c>
      <c r="R246" s="162">
        <v>89.271477000000004</v>
      </c>
      <c r="S246" s="162">
        <v>89.999092000000005</v>
      </c>
      <c r="T246" s="162">
        <v>90.731505999999996</v>
      </c>
      <c r="U246" s="162">
        <v>91.470969999999994</v>
      </c>
      <c r="V246" s="162">
        <v>92.216414999999998</v>
      </c>
      <c r="W246" s="162">
        <v>92.968033000000005</v>
      </c>
      <c r="X246" s="162">
        <v>93.725632000000004</v>
      </c>
      <c r="Y246" s="162">
        <v>94.487938</v>
      </c>
      <c r="Z246" s="162">
        <v>95.254531999999998</v>
      </c>
      <c r="AA246" s="162">
        <v>96.027145000000004</v>
      </c>
      <c r="AB246" s="162">
        <v>96.806197999999995</v>
      </c>
      <c r="AC246" s="162">
        <v>97.590369999999993</v>
      </c>
      <c r="AD246" s="162">
        <v>98.379210999999998</v>
      </c>
      <c r="AE246" s="162">
        <v>99.173316999999997</v>
      </c>
      <c r="AF246" s="163">
        <v>8.6770000000000007E-3</v>
      </c>
      <c r="AG246" s="155"/>
    </row>
    <row r="247" spans="1:33">
      <c r="A247" s="148"/>
      <c r="B247" s="158" t="s">
        <v>1137</v>
      </c>
      <c r="C247" s="155"/>
      <c r="D247" s="155"/>
      <c r="E247" s="155"/>
      <c r="F247" s="155"/>
      <c r="G247" s="155"/>
      <c r="H247" s="155"/>
      <c r="I247" s="155"/>
      <c r="J247" s="155"/>
      <c r="K247" s="155"/>
      <c r="L247" s="155"/>
      <c r="M247" s="155"/>
      <c r="N247" s="155"/>
      <c r="O247" s="155"/>
      <c r="P247" s="155"/>
      <c r="Q247" s="155"/>
      <c r="R247" s="155"/>
      <c r="S247" s="155"/>
      <c r="T247" s="155"/>
      <c r="U247" s="155"/>
      <c r="V247" s="155"/>
      <c r="W247" s="155"/>
      <c r="X247" s="155"/>
      <c r="Y247" s="155"/>
      <c r="Z247" s="155"/>
      <c r="AA247" s="155"/>
      <c r="AB247" s="155"/>
      <c r="AC247" s="155"/>
      <c r="AD247" s="155"/>
      <c r="AE247" s="155"/>
      <c r="AF247" s="155"/>
      <c r="AG247" s="155"/>
    </row>
    <row r="248" spans="1:33">
      <c r="A248" s="153" t="s">
        <v>1138</v>
      </c>
      <c r="B248" s="161" t="s">
        <v>972</v>
      </c>
      <c r="C248" s="162">
        <v>69.404342999999997</v>
      </c>
      <c r="D248" s="162">
        <v>68.895920000000004</v>
      </c>
      <c r="E248" s="162">
        <v>68.630829000000006</v>
      </c>
      <c r="F248" s="162">
        <v>68.891907000000003</v>
      </c>
      <c r="G248" s="162">
        <v>69.300231999999994</v>
      </c>
      <c r="H248" s="162">
        <v>69.722228999999999</v>
      </c>
      <c r="I248" s="162">
        <v>70.168892</v>
      </c>
      <c r="J248" s="162">
        <v>70.613258000000002</v>
      </c>
      <c r="K248" s="162">
        <v>71.081558000000001</v>
      </c>
      <c r="L248" s="162">
        <v>71.603188000000003</v>
      </c>
      <c r="M248" s="162">
        <v>72.200873999999999</v>
      </c>
      <c r="N248" s="162">
        <v>72.858924999999999</v>
      </c>
      <c r="O248" s="162">
        <v>73.550514000000007</v>
      </c>
      <c r="P248" s="162">
        <v>74.262778999999995</v>
      </c>
      <c r="Q248" s="162">
        <v>74.988715999999997</v>
      </c>
      <c r="R248" s="162">
        <v>75.726799</v>
      </c>
      <c r="S248" s="162">
        <v>76.461326999999997</v>
      </c>
      <c r="T248" s="162">
        <v>77.176651000000007</v>
      </c>
      <c r="U248" s="162">
        <v>77.910781999999998</v>
      </c>
      <c r="V248" s="162">
        <v>78.648719999999997</v>
      </c>
      <c r="W248" s="162">
        <v>79.381186999999997</v>
      </c>
      <c r="X248" s="162">
        <v>80.116866999999999</v>
      </c>
      <c r="Y248" s="162">
        <v>80.829612999999995</v>
      </c>
      <c r="Z248" s="162">
        <v>81.53801</v>
      </c>
      <c r="AA248" s="162">
        <v>82.235602999999998</v>
      </c>
      <c r="AB248" s="162">
        <v>82.927436999999998</v>
      </c>
      <c r="AC248" s="162">
        <v>83.602469999999997</v>
      </c>
      <c r="AD248" s="162">
        <v>84.259452999999993</v>
      </c>
      <c r="AE248" s="162">
        <v>84.915665000000004</v>
      </c>
      <c r="AF248" s="163">
        <v>7.2300000000000003E-3</v>
      </c>
      <c r="AG248" s="155"/>
    </row>
    <row r="249" spans="1:33">
      <c r="A249" s="153" t="s">
        <v>1139</v>
      </c>
      <c r="B249" s="161" t="s">
        <v>974</v>
      </c>
      <c r="C249" s="162">
        <v>89.569159999999997</v>
      </c>
      <c r="D249" s="162">
        <v>88.941719000000006</v>
      </c>
      <c r="E249" s="162">
        <v>88.894287000000006</v>
      </c>
      <c r="F249" s="162">
        <v>89.236144999999993</v>
      </c>
      <c r="G249" s="162">
        <v>89.800033999999997</v>
      </c>
      <c r="H249" s="162">
        <v>90.115662</v>
      </c>
      <c r="I249" s="162">
        <v>90.499519000000006</v>
      </c>
      <c r="J249" s="162">
        <v>90.917557000000002</v>
      </c>
      <c r="K249" s="162">
        <v>91.391418000000002</v>
      </c>
      <c r="L249" s="162">
        <v>91.932579000000004</v>
      </c>
      <c r="M249" s="162">
        <v>92.548034999999999</v>
      </c>
      <c r="N249" s="162">
        <v>93.305465999999996</v>
      </c>
      <c r="O249" s="162">
        <v>94.161636000000001</v>
      </c>
      <c r="P249" s="162">
        <v>95.085915</v>
      </c>
      <c r="Q249" s="162">
        <v>96.011429000000007</v>
      </c>
      <c r="R249" s="162">
        <v>96.952156000000002</v>
      </c>
      <c r="S249" s="162">
        <v>97.951210000000003</v>
      </c>
      <c r="T249" s="162">
        <v>98.911338999999998</v>
      </c>
      <c r="U249" s="162">
        <v>99.875298000000001</v>
      </c>
      <c r="V249" s="162">
        <v>100.84637499999999</v>
      </c>
      <c r="W249" s="162">
        <v>101.832611</v>
      </c>
      <c r="X249" s="162">
        <v>102.854393</v>
      </c>
      <c r="Y249" s="162">
        <v>103.876465</v>
      </c>
      <c r="Z249" s="162">
        <v>104.88228599999999</v>
      </c>
      <c r="AA249" s="162">
        <v>105.8536</v>
      </c>
      <c r="AB249" s="162">
        <v>106.830742</v>
      </c>
      <c r="AC249" s="162">
        <v>107.797173</v>
      </c>
      <c r="AD249" s="162">
        <v>108.74147000000001</v>
      </c>
      <c r="AE249" s="162">
        <v>109.648453</v>
      </c>
      <c r="AF249" s="163">
        <v>7.2500000000000004E-3</v>
      </c>
      <c r="AG249" s="155"/>
    </row>
    <row r="250" spans="1:33">
      <c r="A250" s="153" t="s">
        <v>1140</v>
      </c>
      <c r="B250" s="161" t="s">
        <v>976</v>
      </c>
      <c r="C250" s="162">
        <v>52.032425000000003</v>
      </c>
      <c r="D250" s="162">
        <v>52.165076999999997</v>
      </c>
      <c r="E250" s="162">
        <v>52.290520000000001</v>
      </c>
      <c r="F250" s="162">
        <v>52.522742999999998</v>
      </c>
      <c r="G250" s="162">
        <v>52.811751999999998</v>
      </c>
      <c r="H250" s="162">
        <v>53.117607</v>
      </c>
      <c r="I250" s="162">
        <v>53.433143999999999</v>
      </c>
      <c r="J250" s="162">
        <v>53.777199000000003</v>
      </c>
      <c r="K250" s="162">
        <v>54.147812000000002</v>
      </c>
      <c r="L250" s="162">
        <v>54.540801999999999</v>
      </c>
      <c r="M250" s="162">
        <v>54.928631000000003</v>
      </c>
      <c r="N250" s="162">
        <v>55.329391000000001</v>
      </c>
      <c r="O250" s="162">
        <v>55.719692000000002</v>
      </c>
      <c r="P250" s="162">
        <v>56.119872999999998</v>
      </c>
      <c r="Q250" s="162">
        <v>56.527348000000003</v>
      </c>
      <c r="R250" s="162">
        <v>56.944797999999999</v>
      </c>
      <c r="S250" s="162">
        <v>57.368217000000001</v>
      </c>
      <c r="T250" s="162">
        <v>57.796500999999999</v>
      </c>
      <c r="U250" s="162">
        <v>58.240608000000002</v>
      </c>
      <c r="V250" s="162">
        <v>58.703544999999998</v>
      </c>
      <c r="W250" s="162">
        <v>59.166580000000003</v>
      </c>
      <c r="X250" s="162">
        <v>59.640532999999998</v>
      </c>
      <c r="Y250" s="162">
        <v>60.111350999999999</v>
      </c>
      <c r="Z250" s="162">
        <v>60.590248000000003</v>
      </c>
      <c r="AA250" s="162">
        <v>61.072071000000001</v>
      </c>
      <c r="AB250" s="162">
        <v>61.554789999999997</v>
      </c>
      <c r="AC250" s="162">
        <v>62.04092</v>
      </c>
      <c r="AD250" s="162">
        <v>62.528530000000003</v>
      </c>
      <c r="AE250" s="162">
        <v>63.020488999999998</v>
      </c>
      <c r="AF250" s="163">
        <v>6.8659999999999997E-3</v>
      </c>
      <c r="AG250" s="155"/>
    </row>
    <row r="251" spans="1:33">
      <c r="A251" s="153" t="s">
        <v>1141</v>
      </c>
      <c r="B251" s="161" t="s">
        <v>1136</v>
      </c>
      <c r="C251" s="162">
        <v>72.717087000000006</v>
      </c>
      <c r="D251" s="162">
        <v>73.091971999999998</v>
      </c>
      <c r="E251" s="162">
        <v>73.492531</v>
      </c>
      <c r="F251" s="162">
        <v>74.018456</v>
      </c>
      <c r="G251" s="162">
        <v>74.683121</v>
      </c>
      <c r="H251" s="162">
        <v>75.131766999999996</v>
      </c>
      <c r="I251" s="162">
        <v>75.592140000000001</v>
      </c>
      <c r="J251" s="162">
        <v>76.024017000000001</v>
      </c>
      <c r="K251" s="162">
        <v>76.492362999999997</v>
      </c>
      <c r="L251" s="162">
        <v>77.014213999999996</v>
      </c>
      <c r="M251" s="162">
        <v>77.600960000000001</v>
      </c>
      <c r="N251" s="162">
        <v>78.266677999999999</v>
      </c>
      <c r="O251" s="162">
        <v>78.981505999999996</v>
      </c>
      <c r="P251" s="162">
        <v>79.730591000000004</v>
      </c>
      <c r="Q251" s="162">
        <v>80.489220000000003</v>
      </c>
      <c r="R251" s="162">
        <v>81.260979000000006</v>
      </c>
      <c r="S251" s="162">
        <v>82.048454000000007</v>
      </c>
      <c r="T251" s="162">
        <v>82.814575000000005</v>
      </c>
      <c r="U251" s="162">
        <v>83.594772000000006</v>
      </c>
      <c r="V251" s="162">
        <v>84.382309000000006</v>
      </c>
      <c r="W251" s="162">
        <v>85.171204000000003</v>
      </c>
      <c r="X251" s="162">
        <v>85.974022000000005</v>
      </c>
      <c r="Y251" s="162">
        <v>86.764037999999999</v>
      </c>
      <c r="Z251" s="162">
        <v>87.549926999999997</v>
      </c>
      <c r="AA251" s="162">
        <v>88.321090999999996</v>
      </c>
      <c r="AB251" s="162">
        <v>89.091155999999998</v>
      </c>
      <c r="AC251" s="162">
        <v>89.849761999999998</v>
      </c>
      <c r="AD251" s="162">
        <v>90.593376000000006</v>
      </c>
      <c r="AE251" s="162">
        <v>91.328147999999999</v>
      </c>
      <c r="AF251" s="163">
        <v>8.1720000000000004E-3</v>
      </c>
      <c r="AG251" s="155"/>
    </row>
    <row r="252" spans="1:33">
      <c r="A252" s="148"/>
      <c r="B252" s="155"/>
      <c r="C252" s="155"/>
      <c r="D252" s="155"/>
      <c r="E252" s="155"/>
      <c r="F252" s="155"/>
      <c r="G252" s="155"/>
      <c r="H252" s="155"/>
      <c r="I252" s="155"/>
      <c r="J252" s="155"/>
      <c r="K252" s="155"/>
      <c r="L252" s="155"/>
      <c r="M252" s="155"/>
      <c r="N252" s="155"/>
      <c r="O252" s="155"/>
      <c r="P252" s="155"/>
      <c r="Q252" s="155"/>
      <c r="R252" s="155"/>
      <c r="S252" s="155"/>
      <c r="T252" s="155"/>
      <c r="U252" s="155"/>
      <c r="V252" s="155"/>
      <c r="W252" s="155"/>
      <c r="X252" s="155"/>
      <c r="Y252" s="155"/>
      <c r="Z252" s="155"/>
      <c r="AA252" s="155"/>
      <c r="AB252" s="155"/>
      <c r="AC252" s="155"/>
      <c r="AD252" s="155"/>
      <c r="AE252" s="155"/>
      <c r="AF252" s="155"/>
      <c r="AG252" s="155"/>
    </row>
    <row r="253" spans="1:33">
      <c r="A253" s="148"/>
      <c r="B253" s="158" t="s">
        <v>384</v>
      </c>
      <c r="C253" s="155"/>
      <c r="D253" s="155"/>
      <c r="E253" s="155"/>
      <c r="F253" s="155"/>
      <c r="G253" s="155"/>
      <c r="H253" s="155"/>
      <c r="I253" s="155"/>
      <c r="J253" s="155"/>
      <c r="K253" s="155"/>
      <c r="L253" s="155"/>
      <c r="M253" s="155"/>
      <c r="N253" s="155"/>
      <c r="O253" s="155"/>
      <c r="P253" s="155"/>
      <c r="Q253" s="155"/>
      <c r="R253" s="155"/>
      <c r="S253" s="155"/>
      <c r="T253" s="155"/>
      <c r="U253" s="155"/>
      <c r="V253" s="155"/>
      <c r="W253" s="155"/>
      <c r="X253" s="155"/>
      <c r="Y253" s="155"/>
      <c r="Z253" s="155"/>
      <c r="AA253" s="155"/>
      <c r="AB253" s="155"/>
      <c r="AC253" s="155"/>
      <c r="AD253" s="155"/>
      <c r="AE253" s="155"/>
      <c r="AF253" s="155"/>
      <c r="AG253" s="155"/>
    </row>
    <row r="254" spans="1:33">
      <c r="A254" s="148"/>
      <c r="B254" s="158" t="s">
        <v>1142</v>
      </c>
      <c r="C254" s="155"/>
      <c r="D254" s="155"/>
      <c r="E254" s="155"/>
      <c r="F254" s="155"/>
      <c r="G254" s="155"/>
      <c r="H254" s="155"/>
      <c r="I254" s="155"/>
      <c r="J254" s="155"/>
      <c r="K254" s="155"/>
      <c r="L254" s="155"/>
      <c r="M254" s="155"/>
      <c r="N254" s="155"/>
      <c r="O254" s="155"/>
      <c r="P254" s="155"/>
      <c r="Q254" s="155"/>
      <c r="R254" s="155"/>
      <c r="S254" s="155"/>
      <c r="T254" s="155"/>
      <c r="U254" s="155"/>
      <c r="V254" s="155"/>
      <c r="W254" s="155"/>
      <c r="X254" s="155"/>
      <c r="Y254" s="155"/>
      <c r="Z254" s="155"/>
      <c r="AA254" s="155"/>
      <c r="AB254" s="155"/>
      <c r="AC254" s="155"/>
      <c r="AD254" s="155"/>
      <c r="AE254" s="155"/>
      <c r="AF254" s="155"/>
      <c r="AG254" s="155"/>
    </row>
    <row r="255" spans="1:33">
      <c r="A255" s="153" t="s">
        <v>1143</v>
      </c>
      <c r="B255" s="161" t="s">
        <v>857</v>
      </c>
      <c r="C255" s="164">
        <v>2780.3857419999999</v>
      </c>
      <c r="D255" s="164">
        <v>2985.7573240000002</v>
      </c>
      <c r="E255" s="164">
        <v>3028.8010250000002</v>
      </c>
      <c r="F255" s="164">
        <v>3034.7165530000002</v>
      </c>
      <c r="G255" s="164">
        <v>3073.5104980000001</v>
      </c>
      <c r="H255" s="164">
        <v>3111.8442380000001</v>
      </c>
      <c r="I255" s="164">
        <v>3142.173096</v>
      </c>
      <c r="J255" s="164">
        <v>3164.733154</v>
      </c>
      <c r="K255" s="164">
        <v>3180.5661620000001</v>
      </c>
      <c r="L255" s="164">
        <v>3196.413086</v>
      </c>
      <c r="M255" s="164">
        <v>3221.5686040000001</v>
      </c>
      <c r="N255" s="164">
        <v>3248.0820309999999</v>
      </c>
      <c r="O255" s="164">
        <v>3272.0385740000002</v>
      </c>
      <c r="P255" s="164">
        <v>3300.560547</v>
      </c>
      <c r="Q255" s="164">
        <v>3337.4621579999998</v>
      </c>
      <c r="R255" s="164">
        <v>3381.5327149999998</v>
      </c>
      <c r="S255" s="164">
        <v>3427.8107909999999</v>
      </c>
      <c r="T255" s="164">
        <v>3476.1276859999998</v>
      </c>
      <c r="U255" s="164">
        <v>3532.2836910000001</v>
      </c>
      <c r="V255" s="164">
        <v>3586.0437010000001</v>
      </c>
      <c r="W255" s="164">
        <v>3640.7380370000001</v>
      </c>
      <c r="X255" s="164">
        <v>3696.2653810000002</v>
      </c>
      <c r="Y255" s="164">
        <v>3751.6508789999998</v>
      </c>
      <c r="Z255" s="164">
        <v>3805.5598140000002</v>
      </c>
      <c r="AA255" s="164">
        <v>3858.0747070000002</v>
      </c>
      <c r="AB255" s="164">
        <v>3914.3793949999999</v>
      </c>
      <c r="AC255" s="164">
        <v>3971.2456050000001</v>
      </c>
      <c r="AD255" s="164">
        <v>4027.2922359999998</v>
      </c>
      <c r="AE255" s="164">
        <v>4089.7993160000001</v>
      </c>
      <c r="AF255" s="163">
        <v>1.3878E-2</v>
      </c>
      <c r="AG255" s="155"/>
    </row>
    <row r="256" spans="1:33">
      <c r="A256" s="153" t="s">
        <v>1144</v>
      </c>
      <c r="B256" s="161" t="s">
        <v>859</v>
      </c>
      <c r="C256" s="164">
        <v>208.645813</v>
      </c>
      <c r="D256" s="164">
        <v>244.10438500000001</v>
      </c>
      <c r="E256" s="164">
        <v>267.99700899999999</v>
      </c>
      <c r="F256" s="164">
        <v>281.98382600000002</v>
      </c>
      <c r="G256" s="164">
        <v>293.084045</v>
      </c>
      <c r="H256" s="164">
        <v>302.626373</v>
      </c>
      <c r="I256" s="164">
        <v>306.38412499999998</v>
      </c>
      <c r="J256" s="164">
        <v>310.086792</v>
      </c>
      <c r="K256" s="164">
        <v>313.02474999999998</v>
      </c>
      <c r="L256" s="164">
        <v>316.04913299999998</v>
      </c>
      <c r="M256" s="164">
        <v>319.02706899999998</v>
      </c>
      <c r="N256" s="164">
        <v>321.92867999999999</v>
      </c>
      <c r="O256" s="164">
        <v>324.786743</v>
      </c>
      <c r="P256" s="164">
        <v>327.64398199999999</v>
      </c>
      <c r="Q256" s="164">
        <v>330.28103599999997</v>
      </c>
      <c r="R256" s="164">
        <v>333.12841800000001</v>
      </c>
      <c r="S256" s="164">
        <v>335.69766199999998</v>
      </c>
      <c r="T256" s="164">
        <v>338.28350799999998</v>
      </c>
      <c r="U256" s="164">
        <v>341.16531400000002</v>
      </c>
      <c r="V256" s="164">
        <v>344.240295</v>
      </c>
      <c r="W256" s="164">
        <v>347.39129600000001</v>
      </c>
      <c r="X256" s="164">
        <v>350.55389400000001</v>
      </c>
      <c r="Y256" s="164">
        <v>354.091522</v>
      </c>
      <c r="Z256" s="164">
        <v>357.82122800000002</v>
      </c>
      <c r="AA256" s="164">
        <v>361.58618200000001</v>
      </c>
      <c r="AB256" s="164">
        <v>365.18158</v>
      </c>
      <c r="AC256" s="164">
        <v>368.808899</v>
      </c>
      <c r="AD256" s="164">
        <v>372.51077299999997</v>
      </c>
      <c r="AE256" s="164">
        <v>376.32229599999999</v>
      </c>
      <c r="AF256" s="163">
        <v>2.1288000000000001E-2</v>
      </c>
      <c r="AG256" s="155"/>
    </row>
    <row r="257" spans="1:33">
      <c r="A257" s="153" t="s">
        <v>1145</v>
      </c>
      <c r="B257" s="161" t="s">
        <v>861</v>
      </c>
      <c r="C257" s="164">
        <v>196.934158</v>
      </c>
      <c r="D257" s="164">
        <v>232.30671699999999</v>
      </c>
      <c r="E257" s="164">
        <v>261.84793100000002</v>
      </c>
      <c r="F257" s="164">
        <v>279.79983499999997</v>
      </c>
      <c r="G257" s="164">
        <v>295.92919899999998</v>
      </c>
      <c r="H257" s="164">
        <v>308.29476899999997</v>
      </c>
      <c r="I257" s="164">
        <v>319.13308699999999</v>
      </c>
      <c r="J257" s="164">
        <v>329.26968399999998</v>
      </c>
      <c r="K257" s="164">
        <v>339.56768799999998</v>
      </c>
      <c r="L257" s="164">
        <v>349.96786500000002</v>
      </c>
      <c r="M257" s="164">
        <v>360.54040500000002</v>
      </c>
      <c r="N257" s="164">
        <v>370.84356700000001</v>
      </c>
      <c r="O257" s="164">
        <v>381.30542000000003</v>
      </c>
      <c r="P257" s="164">
        <v>391.86987299999998</v>
      </c>
      <c r="Q257" s="164">
        <v>402.56347699999998</v>
      </c>
      <c r="R257" s="164">
        <v>413.346588</v>
      </c>
      <c r="S257" s="164">
        <v>424.15704299999999</v>
      </c>
      <c r="T257" s="164">
        <v>435.21081500000003</v>
      </c>
      <c r="U257" s="164">
        <v>446.14224200000001</v>
      </c>
      <c r="V257" s="164">
        <v>456.85961900000001</v>
      </c>
      <c r="W257" s="164">
        <v>467.702789</v>
      </c>
      <c r="X257" s="164">
        <v>478.244598</v>
      </c>
      <c r="Y257" s="164">
        <v>489.21554600000002</v>
      </c>
      <c r="Z257" s="164">
        <v>500.09182700000002</v>
      </c>
      <c r="AA257" s="164">
        <v>511.115723</v>
      </c>
      <c r="AB257" s="164">
        <v>522.51269500000001</v>
      </c>
      <c r="AC257" s="164">
        <v>533.62554899999998</v>
      </c>
      <c r="AD257" s="164">
        <v>545.11084000000005</v>
      </c>
      <c r="AE257" s="164">
        <v>557.21997099999999</v>
      </c>
      <c r="AF257" s="163">
        <v>3.7844999999999997E-2</v>
      </c>
      <c r="AG257" s="155"/>
    </row>
    <row r="258" spans="1:33">
      <c r="A258" s="153" t="s">
        <v>1146</v>
      </c>
      <c r="B258" s="161" t="s">
        <v>863</v>
      </c>
      <c r="C258" s="164">
        <v>1851.2802730000001</v>
      </c>
      <c r="D258" s="164">
        <v>2344.2438959999999</v>
      </c>
      <c r="E258" s="164">
        <v>2656.310547</v>
      </c>
      <c r="F258" s="164">
        <v>2786.9978030000002</v>
      </c>
      <c r="G258" s="164">
        <v>2933.4677729999999</v>
      </c>
      <c r="H258" s="164">
        <v>2993.6411130000001</v>
      </c>
      <c r="I258" s="164">
        <v>3048.8796390000002</v>
      </c>
      <c r="J258" s="164">
        <v>3099.0534670000002</v>
      </c>
      <c r="K258" s="164">
        <v>3146.3701169999999</v>
      </c>
      <c r="L258" s="164">
        <v>3191.6606449999999</v>
      </c>
      <c r="M258" s="164">
        <v>3234.966797</v>
      </c>
      <c r="N258" s="164">
        <v>3273.9794919999999</v>
      </c>
      <c r="O258" s="164">
        <v>3309.195068</v>
      </c>
      <c r="P258" s="164">
        <v>3338.8146969999998</v>
      </c>
      <c r="Q258" s="164">
        <v>3370.470703</v>
      </c>
      <c r="R258" s="164">
        <v>3403.8549800000001</v>
      </c>
      <c r="S258" s="164">
        <v>3437.0017090000001</v>
      </c>
      <c r="T258" s="164">
        <v>3473.2641600000002</v>
      </c>
      <c r="U258" s="164">
        <v>3510.6833499999998</v>
      </c>
      <c r="V258" s="164">
        <v>3548.211182</v>
      </c>
      <c r="W258" s="164">
        <v>3585.3435060000002</v>
      </c>
      <c r="X258" s="164">
        <v>3621.6083979999999</v>
      </c>
      <c r="Y258" s="164">
        <v>3658.6279300000001</v>
      </c>
      <c r="Z258" s="164">
        <v>3696.2770999999998</v>
      </c>
      <c r="AA258" s="164">
        <v>3735.7353520000001</v>
      </c>
      <c r="AB258" s="164">
        <v>3775.4865719999998</v>
      </c>
      <c r="AC258" s="164">
        <v>3816.5454100000002</v>
      </c>
      <c r="AD258" s="164">
        <v>3858.6560060000002</v>
      </c>
      <c r="AE258" s="164">
        <v>3900.7966310000002</v>
      </c>
      <c r="AF258" s="163">
        <v>2.6974999999999999E-2</v>
      </c>
      <c r="AG258" s="155"/>
    </row>
    <row r="259" spans="1:33">
      <c r="A259" s="153" t="s">
        <v>1147</v>
      </c>
      <c r="B259" s="161" t="s">
        <v>865</v>
      </c>
      <c r="C259" s="165">
        <v>221.601868</v>
      </c>
      <c r="D259" s="165">
        <v>305.65100100000001</v>
      </c>
      <c r="E259" s="165">
        <v>351.91027800000001</v>
      </c>
      <c r="F259" s="165">
        <v>374.380157</v>
      </c>
      <c r="G259" s="165">
        <v>397.491669</v>
      </c>
      <c r="H259" s="165">
        <v>412.524384</v>
      </c>
      <c r="I259" s="165">
        <v>425.48336799999998</v>
      </c>
      <c r="J259" s="165">
        <v>427.36166400000002</v>
      </c>
      <c r="K259" s="165">
        <v>428.41531400000002</v>
      </c>
      <c r="L259" s="165">
        <v>428.59774800000002</v>
      </c>
      <c r="M259" s="165">
        <v>427.95602400000001</v>
      </c>
      <c r="N259" s="165">
        <v>426.94494600000002</v>
      </c>
      <c r="O259" s="165">
        <v>425.34710699999999</v>
      </c>
      <c r="P259" s="165">
        <v>423.23867799999999</v>
      </c>
      <c r="Q259" s="165">
        <v>420.81689499999999</v>
      </c>
      <c r="R259" s="165">
        <v>417.70291099999997</v>
      </c>
      <c r="S259" s="165">
        <v>414.47122200000001</v>
      </c>
      <c r="T259" s="165">
        <v>411.232483</v>
      </c>
      <c r="U259" s="165">
        <v>407.90484600000002</v>
      </c>
      <c r="V259" s="165">
        <v>404.43249500000002</v>
      </c>
      <c r="W259" s="165">
        <v>400.351135</v>
      </c>
      <c r="X259" s="165">
        <v>396.24203499999999</v>
      </c>
      <c r="Y259" s="165">
        <v>392.20419299999998</v>
      </c>
      <c r="Z259" s="165">
        <v>388.33065800000003</v>
      </c>
      <c r="AA259" s="165">
        <v>384.79718000000003</v>
      </c>
      <c r="AB259" s="165">
        <v>381.531342</v>
      </c>
      <c r="AC259" s="165">
        <v>378.61096199999997</v>
      </c>
      <c r="AD259" s="165">
        <v>376.006012</v>
      </c>
      <c r="AE259" s="165">
        <v>373.66793799999999</v>
      </c>
      <c r="AF259" s="166">
        <v>1.8835000000000001E-2</v>
      </c>
      <c r="AG259" s="155"/>
    </row>
    <row r="260" spans="1:33">
      <c r="A260" s="153" t="s">
        <v>1148</v>
      </c>
      <c r="B260" s="161" t="s">
        <v>867</v>
      </c>
      <c r="C260" s="164">
        <v>168.51355000000001</v>
      </c>
      <c r="D260" s="164">
        <v>237.92446899999999</v>
      </c>
      <c r="E260" s="164">
        <v>289.254547</v>
      </c>
      <c r="F260" s="164">
        <v>320.81323200000003</v>
      </c>
      <c r="G260" s="164">
        <v>346.70153800000003</v>
      </c>
      <c r="H260" s="164">
        <v>364.45755000000003</v>
      </c>
      <c r="I260" s="164">
        <v>380.39138800000001</v>
      </c>
      <c r="J260" s="164">
        <v>389.99795499999999</v>
      </c>
      <c r="K260" s="164">
        <v>399.15072600000002</v>
      </c>
      <c r="L260" s="164">
        <v>408.00769000000003</v>
      </c>
      <c r="M260" s="164">
        <v>416.19485500000002</v>
      </c>
      <c r="N260" s="164">
        <v>423.83029199999999</v>
      </c>
      <c r="O260" s="164">
        <v>430.96533199999999</v>
      </c>
      <c r="P260" s="164">
        <v>437.64898699999998</v>
      </c>
      <c r="Q260" s="164">
        <v>444.06417800000003</v>
      </c>
      <c r="R260" s="164">
        <v>449.59255999999999</v>
      </c>
      <c r="S260" s="164">
        <v>454.55630500000001</v>
      </c>
      <c r="T260" s="164">
        <v>459.60629299999999</v>
      </c>
      <c r="U260" s="164">
        <v>464.62707499999999</v>
      </c>
      <c r="V260" s="164">
        <v>470.443085</v>
      </c>
      <c r="W260" s="164">
        <v>476.091858</v>
      </c>
      <c r="X260" s="164">
        <v>481.87719700000002</v>
      </c>
      <c r="Y260" s="164">
        <v>487.620544</v>
      </c>
      <c r="Z260" s="164">
        <v>493.388824</v>
      </c>
      <c r="AA260" s="164">
        <v>499.60229500000003</v>
      </c>
      <c r="AB260" s="164">
        <v>505.96167000000003</v>
      </c>
      <c r="AC260" s="164">
        <v>512.96533199999999</v>
      </c>
      <c r="AD260" s="164">
        <v>520.19604500000003</v>
      </c>
      <c r="AE260" s="164">
        <v>527.62707499999999</v>
      </c>
      <c r="AF260" s="163">
        <v>4.1605999999999997E-2</v>
      </c>
      <c r="AG260" s="155"/>
    </row>
    <row r="261" spans="1:33">
      <c r="A261" s="153" t="s">
        <v>1149</v>
      </c>
      <c r="B261" s="161" t="s">
        <v>869</v>
      </c>
      <c r="C261" s="164">
        <v>179.126678</v>
      </c>
      <c r="D261" s="164">
        <v>215.03079199999999</v>
      </c>
      <c r="E261" s="164">
        <v>244.060822</v>
      </c>
      <c r="F261" s="164">
        <v>261.45654300000001</v>
      </c>
      <c r="G261" s="164">
        <v>280.28369099999998</v>
      </c>
      <c r="H261" s="164">
        <v>292.36175500000002</v>
      </c>
      <c r="I261" s="164">
        <v>302.99865699999998</v>
      </c>
      <c r="J261" s="164">
        <v>308.74017300000003</v>
      </c>
      <c r="K261" s="164">
        <v>313.805115</v>
      </c>
      <c r="L261" s="164">
        <v>316.84539799999999</v>
      </c>
      <c r="M261" s="164">
        <v>317.10681199999999</v>
      </c>
      <c r="N261" s="164">
        <v>316.64288299999998</v>
      </c>
      <c r="O261" s="164">
        <v>315.78216600000002</v>
      </c>
      <c r="P261" s="164">
        <v>314.73529100000002</v>
      </c>
      <c r="Q261" s="164">
        <v>313.11498999999998</v>
      </c>
      <c r="R261" s="164">
        <v>311.12240600000001</v>
      </c>
      <c r="S261" s="164">
        <v>308.86721799999998</v>
      </c>
      <c r="T261" s="164">
        <v>306.44967700000001</v>
      </c>
      <c r="U261" s="164">
        <v>304.52310199999999</v>
      </c>
      <c r="V261" s="164">
        <v>302.85192899999998</v>
      </c>
      <c r="W261" s="164">
        <v>301.93472300000002</v>
      </c>
      <c r="X261" s="164">
        <v>301.031586</v>
      </c>
      <c r="Y261" s="164">
        <v>299.95602400000001</v>
      </c>
      <c r="Z261" s="164">
        <v>298.817047</v>
      </c>
      <c r="AA261" s="164">
        <v>298.03195199999999</v>
      </c>
      <c r="AB261" s="164">
        <v>296.93994099999998</v>
      </c>
      <c r="AC261" s="164">
        <v>296.07199100000003</v>
      </c>
      <c r="AD261" s="164">
        <v>295.05017099999998</v>
      </c>
      <c r="AE261" s="164">
        <v>294.96356200000002</v>
      </c>
      <c r="AF261" s="163">
        <v>1.7971999999999998E-2</v>
      </c>
      <c r="AG261" s="155"/>
    </row>
    <row r="262" spans="1:33">
      <c r="A262" s="153" t="s">
        <v>1150</v>
      </c>
      <c r="B262" s="161" t="s">
        <v>871</v>
      </c>
      <c r="C262" s="164">
        <v>416.00412</v>
      </c>
      <c r="D262" s="164">
        <v>435.07611100000003</v>
      </c>
      <c r="E262" s="164">
        <v>459.97994999999997</v>
      </c>
      <c r="F262" s="164">
        <v>476.07449300000002</v>
      </c>
      <c r="G262" s="164">
        <v>489.50857500000001</v>
      </c>
      <c r="H262" s="164">
        <v>497.90765399999998</v>
      </c>
      <c r="I262" s="164">
        <v>504.07409699999999</v>
      </c>
      <c r="J262" s="164">
        <v>508.27261399999998</v>
      </c>
      <c r="K262" s="164">
        <v>511.631958</v>
      </c>
      <c r="L262" s="164">
        <v>515.64855999999997</v>
      </c>
      <c r="M262" s="164">
        <v>519.63006600000006</v>
      </c>
      <c r="N262" s="164">
        <v>523.36047399999995</v>
      </c>
      <c r="O262" s="164">
        <v>527.20733600000005</v>
      </c>
      <c r="P262" s="164">
        <v>531.08386199999995</v>
      </c>
      <c r="Q262" s="164">
        <v>534.912598</v>
      </c>
      <c r="R262" s="164">
        <v>538.74658199999999</v>
      </c>
      <c r="S262" s="164">
        <v>542.65185499999995</v>
      </c>
      <c r="T262" s="164">
        <v>546.45281999999997</v>
      </c>
      <c r="U262" s="164">
        <v>549.711365</v>
      </c>
      <c r="V262" s="164">
        <v>553.53753700000004</v>
      </c>
      <c r="W262" s="164">
        <v>557.36541699999998</v>
      </c>
      <c r="X262" s="164">
        <v>561.29571499999997</v>
      </c>
      <c r="Y262" s="164">
        <v>565.61267099999998</v>
      </c>
      <c r="Z262" s="164">
        <v>569.73651099999995</v>
      </c>
      <c r="AA262" s="164">
        <v>573.75341800000001</v>
      </c>
      <c r="AB262" s="164">
        <v>578.07080099999996</v>
      </c>
      <c r="AC262" s="164">
        <v>582.46887200000003</v>
      </c>
      <c r="AD262" s="164">
        <v>586.97009300000002</v>
      </c>
      <c r="AE262" s="164">
        <v>591.20471199999997</v>
      </c>
      <c r="AF262" s="163">
        <v>1.2632000000000001E-2</v>
      </c>
      <c r="AG262" s="155"/>
    </row>
    <row r="263" spans="1:33">
      <c r="A263" s="153" t="s">
        <v>1151</v>
      </c>
      <c r="B263" s="161" t="s">
        <v>873</v>
      </c>
      <c r="C263" s="164">
        <v>73.955650000000006</v>
      </c>
      <c r="D263" s="164">
        <v>95.126662999999994</v>
      </c>
      <c r="E263" s="164">
        <v>115.192429</v>
      </c>
      <c r="F263" s="164">
        <v>129.06636</v>
      </c>
      <c r="G263" s="164">
        <v>140.716995</v>
      </c>
      <c r="H263" s="164">
        <v>147.306015</v>
      </c>
      <c r="I263" s="164">
        <v>152.34046900000001</v>
      </c>
      <c r="J263" s="164">
        <v>156.239395</v>
      </c>
      <c r="K263" s="164">
        <v>159.975357</v>
      </c>
      <c r="L263" s="164">
        <v>163.19773900000001</v>
      </c>
      <c r="M263" s="164">
        <v>165.568085</v>
      </c>
      <c r="N263" s="164">
        <v>167.91790800000001</v>
      </c>
      <c r="O263" s="164">
        <v>170.270218</v>
      </c>
      <c r="P263" s="164">
        <v>172.59960899999999</v>
      </c>
      <c r="Q263" s="164">
        <v>174.98753400000001</v>
      </c>
      <c r="R263" s="164">
        <v>177.488541</v>
      </c>
      <c r="S263" s="164">
        <v>180.11563100000001</v>
      </c>
      <c r="T263" s="164">
        <v>182.86473100000001</v>
      </c>
      <c r="U263" s="164">
        <v>185.54518100000001</v>
      </c>
      <c r="V263" s="164">
        <v>188.11949200000001</v>
      </c>
      <c r="W263" s="164">
        <v>190.94824199999999</v>
      </c>
      <c r="X263" s="164">
        <v>193.95942700000001</v>
      </c>
      <c r="Y263" s="164">
        <v>197.024719</v>
      </c>
      <c r="Z263" s="164">
        <v>200.15832499999999</v>
      </c>
      <c r="AA263" s="164">
        <v>203.33165</v>
      </c>
      <c r="AB263" s="164">
        <v>206.593491</v>
      </c>
      <c r="AC263" s="164">
        <v>209.972916</v>
      </c>
      <c r="AD263" s="164">
        <v>213.53128100000001</v>
      </c>
      <c r="AE263" s="164">
        <v>217.14962800000001</v>
      </c>
      <c r="AF263" s="163">
        <v>3.9218000000000003E-2</v>
      </c>
      <c r="AG263" s="155"/>
    </row>
    <row r="264" spans="1:33">
      <c r="A264" s="153" t="s">
        <v>1152</v>
      </c>
      <c r="B264" s="161" t="s">
        <v>875</v>
      </c>
      <c r="C264" s="164">
        <v>1451.1182859999999</v>
      </c>
      <c r="D264" s="164">
        <v>1448.4776609999999</v>
      </c>
      <c r="E264" s="164">
        <v>1460.338379</v>
      </c>
      <c r="F264" s="164">
        <v>1552.7242429999999</v>
      </c>
      <c r="G264" s="164">
        <v>1648.0225829999999</v>
      </c>
      <c r="H264" s="164">
        <v>1734.6660159999999</v>
      </c>
      <c r="I264" s="164">
        <v>1815.9964600000001</v>
      </c>
      <c r="J264" s="164">
        <v>1896.059448</v>
      </c>
      <c r="K264" s="164">
        <v>1974.168091</v>
      </c>
      <c r="L264" s="164">
        <v>2049.9370119999999</v>
      </c>
      <c r="M264" s="164">
        <v>2125.3466800000001</v>
      </c>
      <c r="N264" s="164">
        <v>2198.2224120000001</v>
      </c>
      <c r="O264" s="164">
        <v>2269.7983399999998</v>
      </c>
      <c r="P264" s="164">
        <v>2340.0966800000001</v>
      </c>
      <c r="Q264" s="164">
        <v>2409.6188959999999</v>
      </c>
      <c r="R264" s="164">
        <v>2477.8977049999999</v>
      </c>
      <c r="S264" s="164">
        <v>2545.1379390000002</v>
      </c>
      <c r="T264" s="164">
        <v>2612.1066890000002</v>
      </c>
      <c r="U264" s="164">
        <v>2678.4179690000001</v>
      </c>
      <c r="V264" s="164">
        <v>2744.9497070000002</v>
      </c>
      <c r="W264" s="164">
        <v>2813.2739259999998</v>
      </c>
      <c r="X264" s="164">
        <v>2881.1601559999999</v>
      </c>
      <c r="Y264" s="164">
        <v>2947.9079590000001</v>
      </c>
      <c r="Z264" s="164">
        <v>3013.438721</v>
      </c>
      <c r="AA264" s="164">
        <v>3077.5346679999998</v>
      </c>
      <c r="AB264" s="164">
        <v>3140.7070309999999</v>
      </c>
      <c r="AC264" s="164">
        <v>3203.1733399999998</v>
      </c>
      <c r="AD264" s="164">
        <v>3264.3950199999999</v>
      </c>
      <c r="AE264" s="164">
        <v>3322.8706050000001</v>
      </c>
      <c r="AF264" s="163">
        <v>3.0030999999999999E-2</v>
      </c>
      <c r="AG264" s="155"/>
    </row>
    <row r="265" spans="1:33">
      <c r="A265" s="153" t="s">
        <v>1153</v>
      </c>
      <c r="B265" s="161" t="s">
        <v>877</v>
      </c>
      <c r="C265" s="164">
        <v>208.97879</v>
      </c>
      <c r="D265" s="164">
        <v>254.292068</v>
      </c>
      <c r="E265" s="164">
        <v>286.61102299999999</v>
      </c>
      <c r="F265" s="164">
        <v>309.37872299999998</v>
      </c>
      <c r="G265" s="164">
        <v>342.33682299999998</v>
      </c>
      <c r="H265" s="164">
        <v>370.96890300000001</v>
      </c>
      <c r="I265" s="164">
        <v>398.87280299999998</v>
      </c>
      <c r="J265" s="164">
        <v>428.155731</v>
      </c>
      <c r="K265" s="164">
        <v>457.75784299999998</v>
      </c>
      <c r="L265" s="164">
        <v>487.02401700000001</v>
      </c>
      <c r="M265" s="164">
        <v>515.97143600000004</v>
      </c>
      <c r="N265" s="164">
        <v>544.28241000000003</v>
      </c>
      <c r="O265" s="164">
        <v>571.83215299999995</v>
      </c>
      <c r="P265" s="164">
        <v>598.52832000000001</v>
      </c>
      <c r="Q265" s="164">
        <v>624.42962599999998</v>
      </c>
      <c r="R265" s="164">
        <v>650.14923099999999</v>
      </c>
      <c r="S265" s="164">
        <v>675.95190400000001</v>
      </c>
      <c r="T265" s="164">
        <v>702.09271200000001</v>
      </c>
      <c r="U265" s="164">
        <v>728.36053500000003</v>
      </c>
      <c r="V265" s="164">
        <v>754.63989300000003</v>
      </c>
      <c r="W265" s="164">
        <v>780.98950200000002</v>
      </c>
      <c r="X265" s="164">
        <v>807.26147500000002</v>
      </c>
      <c r="Y265" s="164">
        <v>833.47289999999998</v>
      </c>
      <c r="Z265" s="164">
        <v>859.46899399999995</v>
      </c>
      <c r="AA265" s="164">
        <v>885.26336700000002</v>
      </c>
      <c r="AB265" s="164">
        <v>910.78649900000005</v>
      </c>
      <c r="AC265" s="164">
        <v>935.97699</v>
      </c>
      <c r="AD265" s="164">
        <v>960.82641599999999</v>
      </c>
      <c r="AE265" s="164">
        <v>985.28186000000005</v>
      </c>
      <c r="AF265" s="163">
        <v>5.6944000000000002E-2</v>
      </c>
      <c r="AG265" s="155"/>
    </row>
    <row r="266" spans="1:33">
      <c r="A266" s="153" t="s">
        <v>1154</v>
      </c>
      <c r="B266" s="161" t="s">
        <v>879</v>
      </c>
      <c r="C266" s="164">
        <v>867.03515600000003</v>
      </c>
      <c r="D266" s="164">
        <v>1072.595703</v>
      </c>
      <c r="E266" s="164">
        <v>1236.2861330000001</v>
      </c>
      <c r="F266" s="164">
        <v>1338.03772</v>
      </c>
      <c r="G266" s="164">
        <v>1461.0483400000001</v>
      </c>
      <c r="H266" s="164">
        <v>1545.8792719999999</v>
      </c>
      <c r="I266" s="164">
        <v>1622.678467</v>
      </c>
      <c r="J266" s="164">
        <v>1683.805298</v>
      </c>
      <c r="K266" s="164">
        <v>1743.7689210000001</v>
      </c>
      <c r="L266" s="164">
        <v>1802.757202</v>
      </c>
      <c r="M266" s="164">
        <v>1861.040039</v>
      </c>
      <c r="N266" s="164">
        <v>1918.223389</v>
      </c>
      <c r="O266" s="164">
        <v>1974.3983149999999</v>
      </c>
      <c r="P266" s="164">
        <v>2029.987183</v>
      </c>
      <c r="Q266" s="164">
        <v>2083.4384770000001</v>
      </c>
      <c r="R266" s="164">
        <v>2137.2441410000001</v>
      </c>
      <c r="S266" s="164">
        <v>2190.7312010000001</v>
      </c>
      <c r="T266" s="164">
        <v>2245.4086910000001</v>
      </c>
      <c r="U266" s="164">
        <v>2301.0671390000002</v>
      </c>
      <c r="V266" s="164">
        <v>2356.5280760000001</v>
      </c>
      <c r="W266" s="164">
        <v>2412.4572750000002</v>
      </c>
      <c r="X266" s="164">
        <v>2468.8115229999999</v>
      </c>
      <c r="Y266" s="164">
        <v>2525.983154</v>
      </c>
      <c r="Z266" s="164">
        <v>2583.9116210000002</v>
      </c>
      <c r="AA266" s="164">
        <v>2641.3608399999998</v>
      </c>
      <c r="AB266" s="164">
        <v>2699.47876</v>
      </c>
      <c r="AC266" s="164">
        <v>2758.8125</v>
      </c>
      <c r="AD266" s="164">
        <v>2819.6669919999999</v>
      </c>
      <c r="AE266" s="164">
        <v>2881.930664</v>
      </c>
      <c r="AF266" s="163">
        <v>4.3831000000000002E-2</v>
      </c>
      <c r="AG266" s="155"/>
    </row>
    <row r="267" spans="1:33">
      <c r="A267" s="153" t="s">
        <v>1155</v>
      </c>
      <c r="B267" s="161" t="s">
        <v>881</v>
      </c>
      <c r="C267" s="164">
        <v>346.51025399999997</v>
      </c>
      <c r="D267" s="164">
        <v>460.98516799999999</v>
      </c>
      <c r="E267" s="164">
        <v>586.89025900000001</v>
      </c>
      <c r="F267" s="164">
        <v>680.533997</v>
      </c>
      <c r="G267" s="164">
        <v>748.53832999999997</v>
      </c>
      <c r="H267" s="164">
        <v>794.39892599999996</v>
      </c>
      <c r="I267" s="164">
        <v>837.76019299999996</v>
      </c>
      <c r="J267" s="164">
        <v>872.31732199999999</v>
      </c>
      <c r="K267" s="164">
        <v>907.20416299999999</v>
      </c>
      <c r="L267" s="164">
        <v>941.03716999999995</v>
      </c>
      <c r="M267" s="164">
        <v>973.77050799999995</v>
      </c>
      <c r="N267" s="164">
        <v>1006.571594</v>
      </c>
      <c r="O267" s="164">
        <v>1039.2143550000001</v>
      </c>
      <c r="P267" s="164">
        <v>1072.2879640000001</v>
      </c>
      <c r="Q267" s="164">
        <v>1105.6850589999999</v>
      </c>
      <c r="R267" s="164">
        <v>1138.0900879999999</v>
      </c>
      <c r="S267" s="164">
        <v>1171.398682</v>
      </c>
      <c r="T267" s="164">
        <v>1205.82251</v>
      </c>
      <c r="U267" s="164">
        <v>1241.3045649999999</v>
      </c>
      <c r="V267" s="164">
        <v>1277.2060550000001</v>
      </c>
      <c r="W267" s="164">
        <v>1314.159668</v>
      </c>
      <c r="X267" s="164">
        <v>1352.1051030000001</v>
      </c>
      <c r="Y267" s="164">
        <v>1390.8477780000001</v>
      </c>
      <c r="Z267" s="164">
        <v>1431.080322</v>
      </c>
      <c r="AA267" s="164">
        <v>1472.3236079999999</v>
      </c>
      <c r="AB267" s="164">
        <v>1514.3946530000001</v>
      </c>
      <c r="AC267" s="164">
        <v>1557.846436</v>
      </c>
      <c r="AD267" s="164">
        <v>1603.0229489999999</v>
      </c>
      <c r="AE267" s="164">
        <v>1649.9516599999999</v>
      </c>
      <c r="AF267" s="163">
        <v>5.7318000000000001E-2</v>
      </c>
      <c r="AG267" s="155"/>
    </row>
    <row r="268" spans="1:33">
      <c r="A268" s="153" t="s">
        <v>1156</v>
      </c>
      <c r="B268" s="161" t="s">
        <v>883</v>
      </c>
      <c r="C268" s="164">
        <v>238.01660200000001</v>
      </c>
      <c r="D268" s="164">
        <v>292.01559400000002</v>
      </c>
      <c r="E268" s="164">
        <v>342.62622099999999</v>
      </c>
      <c r="F268" s="164">
        <v>371.09878500000002</v>
      </c>
      <c r="G268" s="164">
        <v>397.24188199999998</v>
      </c>
      <c r="H268" s="164">
        <v>415.29754600000001</v>
      </c>
      <c r="I268" s="164">
        <v>430.12527499999999</v>
      </c>
      <c r="J268" s="164">
        <v>445.471924</v>
      </c>
      <c r="K268" s="164">
        <v>461.20977800000003</v>
      </c>
      <c r="L268" s="164">
        <v>477.47970600000002</v>
      </c>
      <c r="M268" s="164">
        <v>493.92965700000002</v>
      </c>
      <c r="N268" s="164">
        <v>509.80444299999999</v>
      </c>
      <c r="O268" s="164">
        <v>525.89868200000001</v>
      </c>
      <c r="P268" s="164">
        <v>542.28320299999996</v>
      </c>
      <c r="Q268" s="164">
        <v>559.28747599999997</v>
      </c>
      <c r="R268" s="164">
        <v>576.76782200000002</v>
      </c>
      <c r="S268" s="164">
        <v>594.41863999999998</v>
      </c>
      <c r="T268" s="164">
        <v>611.94549600000005</v>
      </c>
      <c r="U268" s="164">
        <v>629.67645300000004</v>
      </c>
      <c r="V268" s="164">
        <v>648.33166500000004</v>
      </c>
      <c r="W268" s="164">
        <v>667.59130900000002</v>
      </c>
      <c r="X268" s="164">
        <v>686.76452600000005</v>
      </c>
      <c r="Y268" s="164">
        <v>705.953125</v>
      </c>
      <c r="Z268" s="164">
        <v>725.06225600000005</v>
      </c>
      <c r="AA268" s="164">
        <v>745.34143100000006</v>
      </c>
      <c r="AB268" s="164">
        <v>766.22436500000003</v>
      </c>
      <c r="AC268" s="164">
        <v>786.81048599999997</v>
      </c>
      <c r="AD268" s="164">
        <v>807.81488000000002</v>
      </c>
      <c r="AE268" s="164">
        <v>829.29736300000002</v>
      </c>
      <c r="AF268" s="163">
        <v>4.5588999999999998E-2</v>
      </c>
      <c r="AG268" s="155"/>
    </row>
    <row r="269" spans="1:33">
      <c r="A269" s="153" t="s">
        <v>1157</v>
      </c>
      <c r="B269" s="161" t="s">
        <v>885</v>
      </c>
      <c r="C269" s="164">
        <v>177.623413</v>
      </c>
      <c r="D269" s="164">
        <v>195.50058000000001</v>
      </c>
      <c r="E269" s="164">
        <v>207.707291</v>
      </c>
      <c r="F269" s="164">
        <v>217.55487099999999</v>
      </c>
      <c r="G269" s="164">
        <v>226.44786099999999</v>
      </c>
      <c r="H269" s="164">
        <v>232.75968900000001</v>
      </c>
      <c r="I269" s="164">
        <v>237.95294200000001</v>
      </c>
      <c r="J269" s="164">
        <v>242.19709800000001</v>
      </c>
      <c r="K269" s="164">
        <v>245.968491</v>
      </c>
      <c r="L269" s="164">
        <v>248.83398399999999</v>
      </c>
      <c r="M269" s="164">
        <v>251.384018</v>
      </c>
      <c r="N269" s="164">
        <v>253.604691</v>
      </c>
      <c r="O269" s="164">
        <v>255.25396699999999</v>
      </c>
      <c r="P269" s="164">
        <v>256.37383999999997</v>
      </c>
      <c r="Q269" s="164">
        <v>256.94958500000001</v>
      </c>
      <c r="R269" s="164">
        <v>257.154877</v>
      </c>
      <c r="S269" s="164">
        <v>257.03921500000001</v>
      </c>
      <c r="T269" s="164">
        <v>257.08990499999999</v>
      </c>
      <c r="U269" s="164">
        <v>256.81127900000001</v>
      </c>
      <c r="V269" s="164">
        <v>256.21752900000001</v>
      </c>
      <c r="W269" s="164">
        <v>255.38690199999999</v>
      </c>
      <c r="X269" s="164">
        <v>254.49252300000001</v>
      </c>
      <c r="Y269" s="164">
        <v>253.54028299999999</v>
      </c>
      <c r="Z269" s="164">
        <v>252.629974</v>
      </c>
      <c r="AA269" s="164">
        <v>251.59161399999999</v>
      </c>
      <c r="AB269" s="164">
        <v>250.509827</v>
      </c>
      <c r="AC269" s="164">
        <v>249.387283</v>
      </c>
      <c r="AD269" s="164">
        <v>248.32836900000001</v>
      </c>
      <c r="AE269" s="164">
        <v>247.25846899999999</v>
      </c>
      <c r="AF269" s="163">
        <v>1.1882999999999999E-2</v>
      </c>
      <c r="AG269" s="155"/>
    </row>
    <row r="270" spans="1:33">
      <c r="A270" s="153" t="s">
        <v>1158</v>
      </c>
      <c r="B270" s="161" t="s">
        <v>887</v>
      </c>
      <c r="C270" s="164">
        <v>150.97995</v>
      </c>
      <c r="D270" s="164">
        <v>189.41577100000001</v>
      </c>
      <c r="E270" s="164">
        <v>218.397324</v>
      </c>
      <c r="F270" s="164">
        <v>236.57075499999999</v>
      </c>
      <c r="G270" s="164">
        <v>251.664703</v>
      </c>
      <c r="H270" s="164">
        <v>261.595215</v>
      </c>
      <c r="I270" s="164">
        <v>269.52786300000002</v>
      </c>
      <c r="J270" s="164">
        <v>276.52914399999997</v>
      </c>
      <c r="K270" s="164">
        <v>283.311218</v>
      </c>
      <c r="L270" s="164">
        <v>289.19650300000001</v>
      </c>
      <c r="M270" s="164">
        <v>295.22125199999999</v>
      </c>
      <c r="N270" s="164">
        <v>301.240814</v>
      </c>
      <c r="O270" s="164">
        <v>307.54827899999998</v>
      </c>
      <c r="P270" s="164">
        <v>314.18032799999997</v>
      </c>
      <c r="Q270" s="164">
        <v>320.89300500000002</v>
      </c>
      <c r="R270" s="164">
        <v>328.12811299999998</v>
      </c>
      <c r="S270" s="164">
        <v>335.20141599999999</v>
      </c>
      <c r="T270" s="164">
        <v>342.67227200000002</v>
      </c>
      <c r="U270" s="164">
        <v>350.03781099999998</v>
      </c>
      <c r="V270" s="164">
        <v>357.897919</v>
      </c>
      <c r="W270" s="164">
        <v>365.842804</v>
      </c>
      <c r="X270" s="164">
        <v>373.88610799999998</v>
      </c>
      <c r="Y270" s="164">
        <v>382.03723100000002</v>
      </c>
      <c r="Z270" s="164">
        <v>389.91238399999997</v>
      </c>
      <c r="AA270" s="164">
        <v>398.19494600000002</v>
      </c>
      <c r="AB270" s="164">
        <v>406.56213400000001</v>
      </c>
      <c r="AC270" s="164">
        <v>415.03152499999999</v>
      </c>
      <c r="AD270" s="164">
        <v>423.346497</v>
      </c>
      <c r="AE270" s="164">
        <v>431.970215</v>
      </c>
      <c r="AF270" s="163">
        <v>3.8256999999999999E-2</v>
      </c>
      <c r="AG270" s="155"/>
    </row>
    <row r="271" spans="1:33">
      <c r="A271" s="153" t="s">
        <v>1159</v>
      </c>
      <c r="B271" s="161" t="s">
        <v>1160</v>
      </c>
      <c r="C271" s="164">
        <v>9536.7089840000008</v>
      </c>
      <c r="D271" s="164">
        <v>11008.503906</v>
      </c>
      <c r="E271" s="164">
        <v>12014.211914</v>
      </c>
      <c r="F271" s="164">
        <v>12651.188477</v>
      </c>
      <c r="G271" s="164">
        <v>13325.995117</v>
      </c>
      <c r="H271" s="164">
        <v>13786.527344</v>
      </c>
      <c r="I271" s="164">
        <v>14194.772461</v>
      </c>
      <c r="J271" s="164">
        <v>14538.291015999999</v>
      </c>
      <c r="K271" s="164">
        <v>14865.896484000001</v>
      </c>
      <c r="L271" s="164">
        <v>15182.652344</v>
      </c>
      <c r="M271" s="164">
        <v>15499.222656</v>
      </c>
      <c r="N271" s="164">
        <v>15805.480469</v>
      </c>
      <c r="O271" s="164">
        <v>16100.840819999999</v>
      </c>
      <c r="P271" s="164">
        <v>16391.933593999998</v>
      </c>
      <c r="Q271" s="164">
        <v>16688.974609000001</v>
      </c>
      <c r="R271" s="164">
        <v>16991.947265999999</v>
      </c>
      <c r="S271" s="164">
        <v>17295.207031000002</v>
      </c>
      <c r="T271" s="164">
        <v>17606.628906000002</v>
      </c>
      <c r="U271" s="164">
        <v>17928.259765999999</v>
      </c>
      <c r="V271" s="164">
        <v>18250.509765999999</v>
      </c>
      <c r="W271" s="164">
        <v>18577.568359000001</v>
      </c>
      <c r="X271" s="164">
        <v>18905.558593999998</v>
      </c>
      <c r="Y271" s="164">
        <v>19235.746093999998</v>
      </c>
      <c r="Z271" s="164">
        <v>19565.685547000001</v>
      </c>
      <c r="AA271" s="164">
        <v>19897.642577999999</v>
      </c>
      <c r="AB271" s="164">
        <v>20235.322265999999</v>
      </c>
      <c r="AC271" s="164">
        <v>20577.353515999999</v>
      </c>
      <c r="AD271" s="164">
        <v>20922.722656000002</v>
      </c>
      <c r="AE271" s="164">
        <v>21277.3125</v>
      </c>
      <c r="AF271" s="163">
        <v>2.9075E-2</v>
      </c>
      <c r="AG271" s="155"/>
    </row>
    <row r="272" spans="1:33">
      <c r="A272" s="153" t="s">
        <v>1161</v>
      </c>
      <c r="B272" s="161" t="s">
        <v>1162</v>
      </c>
      <c r="C272" s="164">
        <v>22.421617999999999</v>
      </c>
      <c r="D272" s="164">
        <v>22.410634999999999</v>
      </c>
      <c r="E272" s="164">
        <v>22.401547999999998</v>
      </c>
      <c r="F272" s="164">
        <v>22.394031999999999</v>
      </c>
      <c r="G272" s="164">
        <v>22.387812</v>
      </c>
      <c r="H272" s="164">
        <v>22.382666</v>
      </c>
      <c r="I272" s="164">
        <v>22.378406999999999</v>
      </c>
      <c r="J272" s="164">
        <v>22.374884000000002</v>
      </c>
      <c r="K272" s="164">
        <v>22.371969</v>
      </c>
      <c r="L272" s="164">
        <v>22.369558000000001</v>
      </c>
      <c r="M272" s="164">
        <v>22.367563000000001</v>
      </c>
      <c r="N272" s="164">
        <v>22.365911000000001</v>
      </c>
      <c r="O272" s="164">
        <v>22.364546000000001</v>
      </c>
      <c r="P272" s="164">
        <v>22.363416999999998</v>
      </c>
      <c r="Q272" s="164">
        <v>22.362480000000001</v>
      </c>
      <c r="R272" s="164">
        <v>22.361708</v>
      </c>
      <c r="S272" s="164">
        <v>22.361066999999998</v>
      </c>
      <c r="T272" s="164">
        <v>22.360537999999998</v>
      </c>
      <c r="U272" s="164">
        <v>22.360099999999999</v>
      </c>
      <c r="V272" s="164">
        <v>22.359736999999999</v>
      </c>
      <c r="W272" s="164">
        <v>22.359438000000001</v>
      </c>
      <c r="X272" s="164">
        <v>22.359190000000002</v>
      </c>
      <c r="Y272" s="164">
        <v>22.358984</v>
      </c>
      <c r="Z272" s="164">
        <v>22.358813999999999</v>
      </c>
      <c r="AA272" s="164">
        <v>22.358673</v>
      </c>
      <c r="AB272" s="164">
        <v>22.358557000000001</v>
      </c>
      <c r="AC272" s="164">
        <v>22.358460999999998</v>
      </c>
      <c r="AD272" s="164">
        <v>22.358381000000001</v>
      </c>
      <c r="AE272" s="164">
        <v>22.358315000000001</v>
      </c>
      <c r="AF272" s="163">
        <v>-1.01E-4</v>
      </c>
      <c r="AG272" s="155"/>
    </row>
    <row r="273" spans="1:34">
      <c r="A273" s="153" t="s">
        <v>1163</v>
      </c>
      <c r="B273" s="161" t="s">
        <v>1164</v>
      </c>
      <c r="C273" s="164">
        <v>334.448914</v>
      </c>
      <c r="D273" s="164">
        <v>336.233856</v>
      </c>
      <c r="E273" s="164">
        <v>336.88305700000001</v>
      </c>
      <c r="F273" s="164">
        <v>337.39593500000001</v>
      </c>
      <c r="G273" s="164">
        <v>337.81005900000002</v>
      </c>
      <c r="H273" s="164">
        <v>338.41980000000001</v>
      </c>
      <c r="I273" s="164">
        <v>338.85339399999998</v>
      </c>
      <c r="J273" s="164">
        <v>339.19924900000001</v>
      </c>
      <c r="K273" s="164">
        <v>339.49490400000002</v>
      </c>
      <c r="L273" s="164">
        <v>339.68457000000001</v>
      </c>
      <c r="M273" s="164">
        <v>339.81463600000001</v>
      </c>
      <c r="N273" s="164">
        <v>339.87893700000001</v>
      </c>
      <c r="O273" s="164">
        <v>339.90338100000002</v>
      </c>
      <c r="P273" s="164">
        <v>339.91986100000003</v>
      </c>
      <c r="Q273" s="164">
        <v>340.01638800000001</v>
      </c>
      <c r="R273" s="164">
        <v>340.170929</v>
      </c>
      <c r="S273" s="164">
        <v>340.33325200000002</v>
      </c>
      <c r="T273" s="164">
        <v>340.50292999999999</v>
      </c>
      <c r="U273" s="164">
        <v>340.67941300000001</v>
      </c>
      <c r="V273" s="164">
        <v>340.86196899999999</v>
      </c>
      <c r="W273" s="164">
        <v>341.050049</v>
      </c>
      <c r="X273" s="164">
        <v>341.24316399999998</v>
      </c>
      <c r="Y273" s="164">
        <v>341.44085699999999</v>
      </c>
      <c r="Z273" s="164">
        <v>341.64276100000001</v>
      </c>
      <c r="AA273" s="164">
        <v>341.84848</v>
      </c>
      <c r="AB273" s="164">
        <v>342.05758700000001</v>
      </c>
      <c r="AC273" s="164">
        <v>342.269836</v>
      </c>
      <c r="AD273" s="164">
        <v>342.48501599999997</v>
      </c>
      <c r="AE273" s="164">
        <v>342.70288099999999</v>
      </c>
      <c r="AF273" s="163">
        <v>8.7100000000000003E-4</v>
      </c>
      <c r="AG273" s="155"/>
      <c r="AH273" s="148"/>
    </row>
    <row r="274" spans="1:34" ht="15.75" thickBot="1">
      <c r="A274" s="148"/>
      <c r="B274" s="155"/>
      <c r="C274" s="155"/>
      <c r="D274" s="155"/>
      <c r="E274" s="155"/>
      <c r="F274" s="155"/>
      <c r="G274" s="155"/>
      <c r="H274" s="155"/>
      <c r="I274" s="155"/>
      <c r="J274" s="155"/>
      <c r="K274" s="155"/>
      <c r="L274" s="155"/>
      <c r="M274" s="155"/>
      <c r="N274" s="155"/>
      <c r="O274" s="155"/>
      <c r="P274" s="155"/>
      <c r="Q274" s="155"/>
      <c r="R274" s="155"/>
      <c r="S274" s="155"/>
      <c r="T274" s="155"/>
      <c r="U274" s="155"/>
      <c r="V274" s="155"/>
      <c r="W274" s="155"/>
      <c r="X274" s="155"/>
      <c r="Y274" s="155"/>
      <c r="Z274" s="155"/>
      <c r="AA274" s="155"/>
      <c r="AB274" s="155"/>
      <c r="AC274" s="155"/>
      <c r="AD274" s="155"/>
      <c r="AE274" s="155"/>
      <c r="AF274" s="155"/>
      <c r="AG274" s="155"/>
      <c r="AH274" s="148"/>
    </row>
    <row r="275" spans="1:34" ht="15" customHeight="1">
      <c r="A275" s="148"/>
      <c r="B275" s="168" t="s">
        <v>1165</v>
      </c>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c r="AC275" s="149"/>
      <c r="AD275" s="149"/>
      <c r="AE275" s="149"/>
      <c r="AF275" s="149"/>
      <c r="AG275" s="149"/>
      <c r="AH275" s="149"/>
    </row>
    <row r="276" spans="1:34">
      <c r="A276" s="148"/>
      <c r="B276" s="155" t="s">
        <v>1166</v>
      </c>
      <c r="C276" s="155"/>
      <c r="D276" s="155"/>
      <c r="E276" s="155"/>
      <c r="F276" s="155"/>
      <c r="G276" s="155"/>
      <c r="H276" s="155"/>
      <c r="I276" s="155"/>
      <c r="J276" s="155"/>
      <c r="K276" s="155"/>
      <c r="L276" s="155"/>
      <c r="M276" s="155"/>
      <c r="N276" s="155"/>
      <c r="O276" s="155"/>
      <c r="P276" s="155"/>
      <c r="Q276" s="155"/>
      <c r="R276" s="155"/>
      <c r="S276" s="155"/>
      <c r="T276" s="155"/>
      <c r="U276" s="155"/>
      <c r="V276" s="155"/>
      <c r="W276" s="155"/>
      <c r="X276" s="155"/>
      <c r="Y276" s="155"/>
      <c r="Z276" s="155"/>
      <c r="AA276" s="155"/>
      <c r="AB276" s="155"/>
      <c r="AC276" s="155"/>
      <c r="AD276" s="155"/>
      <c r="AE276" s="155"/>
      <c r="AF276" s="155"/>
      <c r="AG276" s="155"/>
      <c r="AH276" s="148"/>
    </row>
    <row r="277" spans="1:34">
      <c r="A277" s="148"/>
      <c r="B277" s="155" t="s">
        <v>1167</v>
      </c>
      <c r="C277" s="155"/>
      <c r="D277" s="155"/>
      <c r="E277" s="155"/>
      <c r="F277" s="155"/>
      <c r="G277" s="155"/>
      <c r="H277" s="155"/>
      <c r="I277" s="155"/>
      <c r="J277" s="155"/>
      <c r="K277" s="155"/>
      <c r="L277" s="155"/>
      <c r="M277" s="155"/>
      <c r="N277" s="155"/>
      <c r="O277" s="155"/>
      <c r="P277" s="155"/>
      <c r="Q277" s="155"/>
      <c r="R277" s="155"/>
      <c r="S277" s="155"/>
      <c r="T277" s="155"/>
      <c r="U277" s="155"/>
      <c r="V277" s="155"/>
      <c r="W277" s="155"/>
      <c r="X277" s="155"/>
      <c r="Y277" s="155"/>
      <c r="Z277" s="155"/>
      <c r="AA277" s="155"/>
      <c r="AB277" s="155"/>
      <c r="AC277" s="155"/>
      <c r="AD277" s="155"/>
      <c r="AE277" s="155"/>
      <c r="AF277" s="155"/>
      <c r="AG277" s="155"/>
      <c r="AH277" s="148"/>
    </row>
    <row r="278" spans="1:34">
      <c r="A278" s="148"/>
      <c r="B278" s="155" t="s">
        <v>1168</v>
      </c>
      <c r="C278" s="155"/>
      <c r="D278" s="155"/>
      <c r="E278" s="155"/>
      <c r="F278" s="155"/>
      <c r="G278" s="155"/>
      <c r="H278" s="155"/>
      <c r="I278" s="155"/>
      <c r="J278" s="155"/>
      <c r="K278" s="155"/>
      <c r="L278" s="155"/>
      <c r="M278" s="155"/>
      <c r="N278" s="155"/>
      <c r="O278" s="155"/>
      <c r="P278" s="155"/>
      <c r="Q278" s="155"/>
      <c r="R278" s="155"/>
      <c r="S278" s="155"/>
      <c r="T278" s="155"/>
      <c r="U278" s="155"/>
      <c r="V278" s="155"/>
      <c r="W278" s="155"/>
      <c r="X278" s="155"/>
      <c r="Y278" s="155"/>
      <c r="Z278" s="155"/>
      <c r="AA278" s="155"/>
      <c r="AB278" s="155"/>
      <c r="AC278" s="155"/>
      <c r="AD278" s="155"/>
      <c r="AE278" s="155"/>
      <c r="AF278" s="155"/>
      <c r="AG278" s="155"/>
      <c r="AH278" s="148"/>
    </row>
    <row r="279" spans="1:34">
      <c r="A279" s="148"/>
      <c r="B279" s="155" t="s">
        <v>441</v>
      </c>
      <c r="C279" s="155"/>
      <c r="D279" s="155"/>
      <c r="E279" s="155"/>
      <c r="F279" s="155"/>
      <c r="G279" s="155"/>
      <c r="H279" s="155"/>
      <c r="I279" s="155"/>
      <c r="J279" s="155"/>
      <c r="K279" s="155"/>
      <c r="L279" s="155"/>
      <c r="M279" s="155"/>
      <c r="N279" s="155"/>
      <c r="O279" s="155"/>
      <c r="P279" s="155"/>
      <c r="Q279" s="155"/>
      <c r="R279" s="155"/>
      <c r="S279" s="155"/>
      <c r="T279" s="155"/>
      <c r="U279" s="155"/>
      <c r="V279" s="155"/>
      <c r="W279" s="155"/>
      <c r="X279" s="155"/>
      <c r="Y279" s="155"/>
      <c r="Z279" s="155"/>
      <c r="AA279" s="155"/>
      <c r="AB279" s="155"/>
      <c r="AC279" s="155"/>
      <c r="AD279" s="155"/>
      <c r="AE279" s="155"/>
      <c r="AF279" s="155"/>
      <c r="AG279" s="155"/>
      <c r="AH279" s="148"/>
    </row>
    <row r="280" spans="1:34">
      <c r="A280" s="148"/>
      <c r="B280" s="155" t="s">
        <v>1169</v>
      </c>
      <c r="C280" s="155"/>
      <c r="D280" s="155"/>
      <c r="E280" s="155"/>
      <c r="F280" s="155"/>
      <c r="G280" s="155"/>
      <c r="H280" s="155"/>
      <c r="I280" s="155"/>
      <c r="J280" s="155"/>
      <c r="K280" s="155"/>
      <c r="L280" s="155"/>
      <c r="M280" s="155"/>
      <c r="N280" s="155"/>
      <c r="O280" s="155"/>
      <c r="P280" s="155"/>
      <c r="Q280" s="155"/>
      <c r="R280" s="155"/>
      <c r="S280" s="155"/>
      <c r="T280" s="155"/>
      <c r="U280" s="155"/>
      <c r="V280" s="155"/>
      <c r="W280" s="155"/>
      <c r="X280" s="155"/>
      <c r="Y280" s="155"/>
      <c r="Z280" s="155"/>
      <c r="AA280" s="155"/>
      <c r="AB280" s="155"/>
      <c r="AC280" s="155"/>
      <c r="AD280" s="155"/>
      <c r="AE280" s="155"/>
      <c r="AF280" s="155"/>
      <c r="AG280" s="155"/>
      <c r="AH280" s="148"/>
    </row>
    <row r="281" spans="1:34">
      <c r="A281" s="148"/>
      <c r="B281" s="155" t="s">
        <v>442</v>
      </c>
      <c r="C281" s="155"/>
      <c r="D281" s="155"/>
      <c r="E281" s="155"/>
      <c r="F281" s="155"/>
      <c r="G281" s="155"/>
      <c r="H281" s="155"/>
      <c r="I281" s="155"/>
      <c r="J281" s="155"/>
      <c r="K281" s="155"/>
      <c r="L281" s="155"/>
      <c r="M281" s="155"/>
      <c r="N281" s="155"/>
      <c r="O281" s="155"/>
      <c r="P281" s="155"/>
      <c r="Q281" s="155"/>
      <c r="R281" s="155"/>
      <c r="S281" s="155"/>
      <c r="T281" s="155"/>
      <c r="U281" s="155"/>
      <c r="V281" s="155"/>
      <c r="W281" s="155"/>
      <c r="X281" s="155"/>
      <c r="Y281" s="155"/>
      <c r="Z281" s="155"/>
      <c r="AA281" s="155"/>
      <c r="AB281" s="155"/>
      <c r="AC281" s="155"/>
      <c r="AD281" s="155"/>
      <c r="AE281" s="155"/>
      <c r="AF281" s="155"/>
      <c r="AG281" s="155"/>
      <c r="AH281" s="148"/>
    </row>
    <row r="282" spans="1:34">
      <c r="A282" s="148"/>
      <c r="B282" s="155" t="s">
        <v>1170</v>
      </c>
      <c r="C282" s="155"/>
      <c r="D282" s="155"/>
      <c r="E282" s="155"/>
      <c r="F282" s="155"/>
      <c r="G282" s="155"/>
      <c r="H282" s="155"/>
      <c r="I282" s="155"/>
      <c r="J282" s="155"/>
      <c r="K282" s="155"/>
      <c r="L282" s="155"/>
      <c r="M282" s="155"/>
      <c r="N282" s="155"/>
      <c r="O282" s="155"/>
      <c r="P282" s="155"/>
      <c r="Q282" s="155"/>
      <c r="R282" s="155"/>
      <c r="S282" s="155"/>
      <c r="T282" s="155"/>
      <c r="U282" s="155"/>
      <c r="V282" s="155"/>
      <c r="W282" s="155"/>
      <c r="X282" s="155"/>
      <c r="Y282" s="155"/>
      <c r="Z282" s="155"/>
      <c r="AA282" s="155"/>
      <c r="AB282" s="155"/>
      <c r="AC282" s="155"/>
      <c r="AD282" s="155"/>
      <c r="AE282" s="155"/>
      <c r="AF282" s="155"/>
      <c r="AG282" s="155"/>
      <c r="AH282" s="148"/>
    </row>
    <row r="283" spans="1:34">
      <c r="A283" s="148"/>
      <c r="B283" s="155" t="s">
        <v>1171</v>
      </c>
      <c r="C283" s="155"/>
      <c r="D283" s="155"/>
      <c r="E283" s="155"/>
      <c r="F283" s="155"/>
      <c r="G283" s="155"/>
      <c r="H283" s="155"/>
      <c r="I283" s="155"/>
      <c r="J283" s="155"/>
      <c r="K283" s="155"/>
      <c r="L283" s="155"/>
      <c r="M283" s="155"/>
      <c r="N283" s="155"/>
      <c r="O283" s="155"/>
      <c r="P283" s="155"/>
      <c r="Q283" s="155"/>
      <c r="R283" s="155"/>
      <c r="S283" s="155"/>
      <c r="T283" s="155"/>
      <c r="U283" s="155"/>
      <c r="V283" s="155"/>
      <c r="W283" s="155"/>
      <c r="X283" s="155"/>
      <c r="Y283" s="155"/>
      <c r="Z283" s="155"/>
      <c r="AA283" s="155"/>
      <c r="AB283" s="155"/>
      <c r="AC283" s="155"/>
      <c r="AD283" s="155"/>
      <c r="AE283" s="155"/>
      <c r="AF283" s="155"/>
      <c r="AG283" s="155"/>
      <c r="AH283" s="148"/>
    </row>
    <row r="284" spans="1:34">
      <c r="A284" s="148"/>
      <c r="B284" s="155"/>
      <c r="C284" s="155"/>
      <c r="D284" s="155"/>
      <c r="E284" s="155"/>
      <c r="F284" s="155"/>
      <c r="G284" s="155"/>
      <c r="H284" s="155"/>
      <c r="I284" s="155"/>
      <c r="J284" s="155"/>
      <c r="K284" s="155"/>
      <c r="L284" s="155"/>
      <c r="M284" s="155"/>
      <c r="N284" s="155"/>
      <c r="O284" s="155"/>
      <c r="P284" s="155"/>
      <c r="Q284" s="155"/>
      <c r="R284" s="155"/>
      <c r="S284" s="155"/>
      <c r="T284" s="155"/>
      <c r="U284" s="155"/>
      <c r="V284" s="155"/>
      <c r="W284" s="155"/>
      <c r="X284" s="155"/>
      <c r="Y284" s="155"/>
      <c r="Z284" s="155"/>
      <c r="AA284" s="155"/>
      <c r="AB284" s="155"/>
      <c r="AC284" s="155"/>
      <c r="AD284" s="155"/>
      <c r="AE284" s="155"/>
      <c r="AF284" s="155"/>
      <c r="AG284" s="155"/>
      <c r="AH284" s="148"/>
    </row>
    <row r="285" spans="1:34">
      <c r="A285" s="148"/>
      <c r="B285" s="155"/>
      <c r="C285" s="155"/>
      <c r="D285" s="155"/>
      <c r="E285" s="155"/>
      <c r="F285" s="155"/>
      <c r="G285" s="155"/>
      <c r="H285" s="155"/>
      <c r="I285" s="155"/>
      <c r="J285" s="155"/>
      <c r="K285" s="155"/>
      <c r="L285" s="155"/>
      <c r="M285" s="155"/>
      <c r="N285" s="155"/>
      <c r="O285" s="155"/>
      <c r="P285" s="155"/>
      <c r="Q285" s="155"/>
      <c r="R285" s="155"/>
      <c r="S285" s="155"/>
      <c r="T285" s="155"/>
      <c r="U285" s="155"/>
      <c r="V285" s="155"/>
      <c r="W285" s="155"/>
      <c r="X285" s="155"/>
      <c r="Y285" s="155"/>
      <c r="Z285" s="155"/>
      <c r="AA285" s="155"/>
      <c r="AB285" s="155"/>
      <c r="AC285" s="155"/>
      <c r="AD285" s="155"/>
      <c r="AE285" s="155"/>
      <c r="AF285" s="155"/>
      <c r="AG285" s="155"/>
      <c r="AH285" s="148"/>
    </row>
    <row r="286" spans="1:34">
      <c r="A286" s="148"/>
      <c r="B286" s="155"/>
      <c r="C286" s="155"/>
      <c r="D286" s="155"/>
      <c r="E286" s="155"/>
      <c r="F286" s="155"/>
      <c r="G286" s="155"/>
      <c r="H286" s="155"/>
      <c r="I286" s="155"/>
      <c r="J286" s="155"/>
      <c r="K286" s="155"/>
      <c r="L286" s="155"/>
      <c r="M286" s="155"/>
      <c r="N286" s="155"/>
      <c r="O286" s="155"/>
      <c r="P286" s="155"/>
      <c r="Q286" s="155"/>
      <c r="R286" s="155"/>
      <c r="S286" s="155"/>
      <c r="T286" s="155"/>
      <c r="U286" s="155"/>
      <c r="V286" s="155"/>
      <c r="W286" s="155"/>
      <c r="X286" s="155"/>
      <c r="Y286" s="155"/>
      <c r="Z286" s="155"/>
      <c r="AA286" s="155"/>
      <c r="AB286" s="155"/>
      <c r="AC286" s="155"/>
      <c r="AD286" s="155"/>
      <c r="AE286" s="155"/>
      <c r="AF286" s="155"/>
      <c r="AG286" s="155"/>
      <c r="AH286" s="148"/>
    </row>
    <row r="287" spans="1:34">
      <c r="A287" s="148"/>
      <c r="B287" s="155"/>
      <c r="C287" s="155"/>
      <c r="D287" s="155"/>
      <c r="E287" s="155"/>
      <c r="F287" s="155"/>
      <c r="G287" s="155"/>
      <c r="H287" s="155"/>
      <c r="I287" s="155"/>
      <c r="J287" s="155"/>
      <c r="K287" s="155"/>
      <c r="L287" s="155"/>
      <c r="M287" s="155"/>
      <c r="N287" s="155"/>
      <c r="O287" s="155"/>
      <c r="P287" s="155"/>
      <c r="Q287" s="155"/>
      <c r="R287" s="155"/>
      <c r="S287" s="155"/>
      <c r="T287" s="155"/>
      <c r="U287" s="155"/>
      <c r="V287" s="155"/>
      <c r="W287" s="155"/>
      <c r="X287" s="155"/>
      <c r="Y287" s="155"/>
      <c r="Z287" s="155"/>
      <c r="AA287" s="155"/>
      <c r="AB287" s="155"/>
      <c r="AC287" s="155"/>
      <c r="AD287" s="155"/>
      <c r="AE287" s="155"/>
      <c r="AF287" s="155"/>
      <c r="AG287" s="155"/>
      <c r="AH287" s="148"/>
    </row>
    <row r="288" spans="1:34">
      <c r="A288" s="148"/>
      <c r="B288" s="155"/>
      <c r="C288" s="155"/>
      <c r="D288" s="155"/>
      <c r="E288" s="155"/>
      <c r="F288" s="155"/>
      <c r="G288" s="155"/>
      <c r="H288" s="155"/>
      <c r="I288" s="155"/>
      <c r="J288" s="155"/>
      <c r="K288" s="155"/>
      <c r="L288" s="155"/>
      <c r="M288" s="155"/>
      <c r="N288" s="155"/>
      <c r="O288" s="155"/>
      <c r="P288" s="155"/>
      <c r="Q288" s="155"/>
      <c r="R288" s="155"/>
      <c r="S288" s="155"/>
      <c r="T288" s="155"/>
      <c r="U288" s="155"/>
      <c r="V288" s="155"/>
      <c r="W288" s="155"/>
      <c r="X288" s="155"/>
      <c r="Y288" s="155"/>
      <c r="Z288" s="155"/>
      <c r="AA288" s="155"/>
      <c r="AB288" s="155"/>
      <c r="AC288" s="155"/>
      <c r="AD288" s="155"/>
      <c r="AE288" s="155"/>
      <c r="AF288" s="155"/>
      <c r="AG288" s="155"/>
      <c r="AH288" s="148"/>
    </row>
    <row r="289" spans="2:33">
      <c r="B289" s="155"/>
      <c r="C289" s="155"/>
      <c r="D289" s="155"/>
      <c r="E289" s="155"/>
      <c r="F289" s="155"/>
      <c r="G289" s="155"/>
      <c r="H289" s="155"/>
      <c r="I289" s="155"/>
      <c r="J289" s="155"/>
      <c r="K289" s="155"/>
      <c r="L289" s="155"/>
      <c r="M289" s="155"/>
      <c r="N289" s="155"/>
      <c r="O289" s="155"/>
      <c r="P289" s="155"/>
      <c r="Q289" s="155"/>
      <c r="R289" s="155"/>
      <c r="S289" s="155"/>
      <c r="T289" s="155"/>
      <c r="U289" s="155"/>
      <c r="V289" s="155"/>
      <c r="W289" s="155"/>
      <c r="X289" s="155"/>
      <c r="Y289" s="155"/>
      <c r="Z289" s="155"/>
      <c r="AA289" s="155"/>
      <c r="AB289" s="155"/>
      <c r="AC289" s="155"/>
      <c r="AD289" s="155"/>
      <c r="AE289" s="155"/>
      <c r="AF289" s="155"/>
      <c r="AG289" s="155"/>
    </row>
    <row r="290" spans="2:33">
      <c r="B290" s="155"/>
      <c r="C290" s="155"/>
      <c r="D290" s="155"/>
      <c r="E290" s="155"/>
      <c r="F290" s="155"/>
      <c r="G290" s="155"/>
      <c r="H290" s="155"/>
      <c r="I290" s="155"/>
      <c r="J290" s="155"/>
      <c r="K290" s="155"/>
      <c r="L290" s="155"/>
      <c r="M290" s="155"/>
      <c r="N290" s="155"/>
      <c r="O290" s="155"/>
      <c r="P290" s="155"/>
      <c r="Q290" s="155"/>
      <c r="R290" s="155"/>
      <c r="S290" s="155"/>
      <c r="T290" s="155"/>
      <c r="U290" s="155"/>
      <c r="V290" s="155"/>
      <c r="W290" s="155"/>
      <c r="X290" s="155"/>
      <c r="Y290" s="155"/>
      <c r="Z290" s="155"/>
      <c r="AA290" s="155"/>
      <c r="AB290" s="155"/>
      <c r="AC290" s="155"/>
      <c r="AD290" s="155"/>
      <c r="AE290" s="155"/>
      <c r="AF290" s="155"/>
      <c r="AG290" s="155"/>
    </row>
    <row r="291" spans="2:33">
      <c r="B291" s="155"/>
      <c r="C291" s="155"/>
      <c r="D291" s="155"/>
      <c r="E291" s="155"/>
      <c r="F291" s="155"/>
      <c r="G291" s="155"/>
      <c r="H291" s="155"/>
      <c r="I291" s="155"/>
      <c r="J291" s="155"/>
      <c r="K291" s="155"/>
      <c r="L291" s="155"/>
      <c r="M291" s="155"/>
      <c r="N291" s="155"/>
      <c r="O291" s="155"/>
      <c r="P291" s="155"/>
      <c r="Q291" s="155"/>
      <c r="R291" s="155"/>
      <c r="S291" s="155"/>
      <c r="T291" s="155"/>
      <c r="U291" s="155"/>
      <c r="V291" s="155"/>
      <c r="W291" s="155"/>
      <c r="X291" s="155"/>
      <c r="Y291" s="155"/>
      <c r="Z291" s="155"/>
      <c r="AA291" s="155"/>
      <c r="AB291" s="155"/>
      <c r="AC291" s="155"/>
      <c r="AD291" s="155"/>
      <c r="AE291" s="155"/>
      <c r="AF291" s="155"/>
      <c r="AG291" s="155"/>
    </row>
    <row r="292" spans="2:33">
      <c r="B292" s="155"/>
      <c r="C292" s="155"/>
      <c r="D292" s="155"/>
      <c r="E292" s="155"/>
      <c r="F292" s="155"/>
      <c r="G292" s="155"/>
      <c r="H292" s="155"/>
      <c r="I292" s="155"/>
      <c r="J292" s="155"/>
      <c r="K292" s="155"/>
      <c r="L292" s="155"/>
      <c r="M292" s="155"/>
      <c r="N292" s="155"/>
      <c r="O292" s="155"/>
      <c r="P292" s="155"/>
      <c r="Q292" s="155"/>
      <c r="R292" s="155"/>
      <c r="S292" s="155"/>
      <c r="T292" s="155"/>
      <c r="U292" s="155"/>
      <c r="V292" s="155"/>
      <c r="W292" s="155"/>
      <c r="X292" s="155"/>
      <c r="Y292" s="155"/>
      <c r="Z292" s="155"/>
      <c r="AA292" s="155"/>
      <c r="AB292" s="155"/>
      <c r="AC292" s="155"/>
      <c r="AD292" s="155"/>
      <c r="AE292" s="155"/>
      <c r="AF292" s="155"/>
      <c r="AG292" s="155"/>
    </row>
    <row r="293" spans="2:33">
      <c r="B293" s="155"/>
      <c r="C293" s="155"/>
      <c r="D293" s="155"/>
      <c r="E293" s="155"/>
      <c r="F293" s="155"/>
      <c r="G293" s="155"/>
      <c r="H293" s="155"/>
      <c r="I293" s="155"/>
      <c r="J293" s="155"/>
      <c r="K293" s="155"/>
      <c r="L293" s="155"/>
      <c r="M293" s="155"/>
      <c r="N293" s="155"/>
      <c r="O293" s="155"/>
      <c r="P293" s="155"/>
      <c r="Q293" s="155"/>
      <c r="R293" s="155"/>
      <c r="S293" s="155"/>
      <c r="T293" s="155"/>
      <c r="U293" s="155"/>
      <c r="V293" s="155"/>
      <c r="W293" s="155"/>
      <c r="X293" s="155"/>
      <c r="Y293" s="155"/>
      <c r="Z293" s="155"/>
      <c r="AA293" s="155"/>
      <c r="AB293" s="155"/>
      <c r="AC293" s="155"/>
      <c r="AD293" s="155"/>
      <c r="AE293" s="155"/>
      <c r="AF293" s="155"/>
      <c r="AG293" s="155"/>
    </row>
    <row r="294" spans="2:33">
      <c r="B294" s="155"/>
      <c r="C294" s="155"/>
      <c r="D294" s="155"/>
      <c r="E294" s="155"/>
      <c r="F294" s="155"/>
      <c r="G294" s="155"/>
      <c r="H294" s="155"/>
      <c r="I294" s="155"/>
      <c r="J294" s="155"/>
      <c r="K294" s="155"/>
      <c r="L294" s="155"/>
      <c r="M294" s="155"/>
      <c r="N294" s="155"/>
      <c r="O294" s="155"/>
      <c r="P294" s="155"/>
      <c r="Q294" s="155"/>
      <c r="R294" s="155"/>
      <c r="S294" s="155"/>
      <c r="T294" s="155"/>
      <c r="U294" s="155"/>
      <c r="V294" s="155"/>
      <c r="W294" s="155"/>
      <c r="X294" s="155"/>
      <c r="Y294" s="155"/>
      <c r="Z294" s="155"/>
      <c r="AA294" s="155"/>
      <c r="AB294" s="155"/>
      <c r="AC294" s="155"/>
      <c r="AD294" s="155"/>
      <c r="AE294" s="155"/>
      <c r="AF294" s="155"/>
      <c r="AG294" s="155"/>
    </row>
    <row r="295" spans="2:33">
      <c r="B295" s="155"/>
      <c r="C295" s="155"/>
      <c r="D295" s="155"/>
      <c r="E295" s="155"/>
      <c r="F295" s="155"/>
      <c r="G295" s="155"/>
      <c r="H295" s="155"/>
      <c r="I295" s="155"/>
      <c r="J295" s="155"/>
      <c r="K295" s="155"/>
      <c r="L295" s="155"/>
      <c r="M295" s="155"/>
      <c r="N295" s="155"/>
      <c r="O295" s="155"/>
      <c r="P295" s="155"/>
      <c r="Q295" s="155"/>
      <c r="R295" s="155"/>
      <c r="S295" s="155"/>
      <c r="T295" s="155"/>
      <c r="U295" s="155"/>
      <c r="V295" s="155"/>
      <c r="W295" s="155"/>
      <c r="X295" s="155"/>
      <c r="Y295" s="155"/>
      <c r="Z295" s="155"/>
      <c r="AA295" s="155"/>
      <c r="AB295" s="155"/>
      <c r="AC295" s="155"/>
      <c r="AD295" s="155"/>
      <c r="AE295" s="155"/>
      <c r="AF295" s="155"/>
      <c r="AG295" s="155"/>
    </row>
    <row r="296" spans="2:33">
      <c r="B296" s="155"/>
      <c r="C296" s="155"/>
      <c r="D296" s="155"/>
      <c r="E296" s="155"/>
      <c r="F296" s="155"/>
      <c r="G296" s="155"/>
      <c r="H296" s="155"/>
      <c r="I296" s="155"/>
      <c r="J296" s="155"/>
      <c r="K296" s="155"/>
      <c r="L296" s="155"/>
      <c r="M296" s="155"/>
      <c r="N296" s="155"/>
      <c r="O296" s="155"/>
      <c r="P296" s="155"/>
      <c r="Q296" s="155"/>
      <c r="R296" s="155"/>
      <c r="S296" s="155"/>
      <c r="T296" s="155"/>
      <c r="U296" s="155"/>
      <c r="V296" s="155"/>
      <c r="W296" s="155"/>
      <c r="X296" s="155"/>
      <c r="Y296" s="155"/>
      <c r="Z296" s="155"/>
      <c r="AA296" s="155"/>
      <c r="AB296" s="155"/>
      <c r="AC296" s="155"/>
      <c r="AD296" s="155"/>
      <c r="AE296" s="155"/>
      <c r="AF296" s="155"/>
      <c r="AG296" s="155"/>
    </row>
    <row r="297" spans="2:33">
      <c r="B297" s="155"/>
      <c r="C297" s="155"/>
      <c r="D297" s="155"/>
      <c r="E297" s="155"/>
      <c r="F297" s="155"/>
      <c r="G297" s="155"/>
      <c r="H297" s="155"/>
      <c r="I297" s="155"/>
      <c r="J297" s="155"/>
      <c r="K297" s="155"/>
      <c r="L297" s="155"/>
      <c r="M297" s="155"/>
      <c r="N297" s="155"/>
      <c r="O297" s="155"/>
      <c r="P297" s="155"/>
      <c r="Q297" s="155"/>
      <c r="R297" s="155"/>
      <c r="S297" s="155"/>
      <c r="T297" s="155"/>
      <c r="U297" s="155"/>
      <c r="V297" s="155"/>
      <c r="W297" s="155"/>
      <c r="X297" s="155"/>
      <c r="Y297" s="155"/>
      <c r="Z297" s="155"/>
      <c r="AA297" s="155"/>
      <c r="AB297" s="155"/>
      <c r="AC297" s="155"/>
      <c r="AD297" s="155"/>
      <c r="AE297" s="155"/>
      <c r="AF297" s="155"/>
      <c r="AG297" s="155"/>
    </row>
    <row r="298" spans="2:33">
      <c r="B298" s="155"/>
      <c r="C298" s="155"/>
      <c r="D298" s="155"/>
      <c r="E298" s="155"/>
      <c r="F298" s="155"/>
      <c r="G298" s="155"/>
      <c r="H298" s="155"/>
      <c r="I298" s="155"/>
      <c r="J298" s="155"/>
      <c r="K298" s="155"/>
      <c r="L298" s="155"/>
      <c r="M298" s="155"/>
      <c r="N298" s="155"/>
      <c r="O298" s="155"/>
      <c r="P298" s="155"/>
      <c r="Q298" s="155"/>
      <c r="R298" s="155"/>
      <c r="S298" s="155"/>
      <c r="T298" s="155"/>
      <c r="U298" s="155"/>
      <c r="V298" s="155"/>
      <c r="W298" s="155"/>
      <c r="X298" s="155"/>
      <c r="Y298" s="155"/>
      <c r="Z298" s="155"/>
      <c r="AA298" s="155"/>
      <c r="AB298" s="155"/>
      <c r="AC298" s="155"/>
      <c r="AD298" s="155"/>
      <c r="AE298" s="155"/>
      <c r="AF298" s="155"/>
      <c r="AG298" s="155"/>
    </row>
    <row r="299" spans="2:33">
      <c r="B299" s="155"/>
      <c r="C299" s="155"/>
      <c r="D299" s="155"/>
      <c r="E299" s="155"/>
      <c r="F299" s="155"/>
      <c r="G299" s="155"/>
      <c r="H299" s="155"/>
      <c r="I299" s="155"/>
      <c r="J299" s="155"/>
      <c r="K299" s="155"/>
      <c r="L299" s="155"/>
      <c r="M299" s="155"/>
      <c r="N299" s="155"/>
      <c r="O299" s="155"/>
      <c r="P299" s="155"/>
      <c r="Q299" s="155"/>
      <c r="R299" s="155"/>
      <c r="S299" s="155"/>
      <c r="T299" s="155"/>
      <c r="U299" s="155"/>
      <c r="V299" s="155"/>
      <c r="W299" s="155"/>
      <c r="X299" s="155"/>
      <c r="Y299" s="155"/>
      <c r="Z299" s="155"/>
      <c r="AA299" s="155"/>
      <c r="AB299" s="155"/>
      <c r="AC299" s="155"/>
      <c r="AD299" s="155"/>
      <c r="AE299" s="155"/>
      <c r="AF299" s="155"/>
      <c r="AG299" s="155"/>
    </row>
    <row r="300" spans="2:33">
      <c r="B300" s="155"/>
      <c r="C300" s="155"/>
      <c r="D300" s="155"/>
      <c r="E300" s="155"/>
      <c r="F300" s="155"/>
      <c r="G300" s="155"/>
      <c r="H300" s="155"/>
      <c r="I300" s="155"/>
      <c r="J300" s="155"/>
      <c r="K300" s="155"/>
      <c r="L300" s="155"/>
      <c r="M300" s="155"/>
      <c r="N300" s="155"/>
      <c r="O300" s="155"/>
      <c r="P300" s="155"/>
      <c r="Q300" s="155"/>
      <c r="R300" s="155"/>
      <c r="S300" s="155"/>
      <c r="T300" s="155"/>
      <c r="U300" s="155"/>
      <c r="V300" s="155"/>
      <c r="W300" s="155"/>
      <c r="X300" s="155"/>
      <c r="Y300" s="155"/>
      <c r="Z300" s="155"/>
      <c r="AA300" s="155"/>
      <c r="AB300" s="155"/>
      <c r="AC300" s="155"/>
      <c r="AD300" s="155"/>
      <c r="AE300" s="155"/>
      <c r="AF300" s="155"/>
      <c r="AG300" s="155"/>
    </row>
    <row r="301" spans="2:33">
      <c r="B301" s="155"/>
      <c r="C301" s="155"/>
      <c r="D301" s="155"/>
      <c r="E301" s="155"/>
      <c r="F301" s="155"/>
      <c r="G301" s="155"/>
      <c r="H301" s="155"/>
      <c r="I301" s="155"/>
      <c r="J301" s="155"/>
      <c r="K301" s="155"/>
      <c r="L301" s="155"/>
      <c r="M301" s="155"/>
      <c r="N301" s="155"/>
      <c r="O301" s="155"/>
      <c r="P301" s="155"/>
      <c r="Q301" s="155"/>
      <c r="R301" s="155"/>
      <c r="S301" s="155"/>
      <c r="T301" s="155"/>
      <c r="U301" s="155"/>
      <c r="V301" s="155"/>
      <c r="W301" s="155"/>
      <c r="X301" s="155"/>
      <c r="Y301" s="155"/>
      <c r="Z301" s="155"/>
      <c r="AA301" s="155"/>
      <c r="AB301" s="155"/>
      <c r="AC301" s="155"/>
      <c r="AD301" s="155"/>
      <c r="AE301" s="155"/>
      <c r="AF301" s="155"/>
      <c r="AG301" s="155"/>
    </row>
    <row r="302" spans="2:33">
      <c r="B302" s="155"/>
      <c r="C302" s="155"/>
      <c r="D302" s="155"/>
      <c r="E302" s="155"/>
      <c r="F302" s="155"/>
      <c r="G302" s="155"/>
      <c r="H302" s="155"/>
      <c r="I302" s="155"/>
      <c r="J302" s="155"/>
      <c r="K302" s="155"/>
      <c r="L302" s="155"/>
      <c r="M302" s="155"/>
      <c r="N302" s="155"/>
      <c r="O302" s="155"/>
      <c r="P302" s="155"/>
      <c r="Q302" s="155"/>
      <c r="R302" s="155"/>
      <c r="S302" s="155"/>
      <c r="T302" s="155"/>
      <c r="U302" s="155"/>
      <c r="V302" s="155"/>
      <c r="W302" s="155"/>
      <c r="X302" s="155"/>
      <c r="Y302" s="155"/>
      <c r="Z302" s="155"/>
      <c r="AA302" s="155"/>
      <c r="AB302" s="155"/>
      <c r="AC302" s="155"/>
      <c r="AD302" s="155"/>
      <c r="AE302" s="155"/>
      <c r="AF302" s="155"/>
      <c r="AG302" s="155"/>
    </row>
    <row r="303" spans="2:33">
      <c r="B303" s="155"/>
      <c r="C303" s="155"/>
      <c r="D303" s="155"/>
      <c r="E303" s="155"/>
      <c r="F303" s="155"/>
      <c r="G303" s="155"/>
      <c r="H303" s="155"/>
      <c r="I303" s="155"/>
      <c r="J303" s="155"/>
      <c r="K303" s="155"/>
      <c r="L303" s="155"/>
      <c r="M303" s="155"/>
      <c r="N303" s="155"/>
      <c r="O303" s="155"/>
      <c r="P303" s="155"/>
      <c r="Q303" s="155"/>
      <c r="R303" s="155"/>
      <c r="S303" s="155"/>
      <c r="T303" s="155"/>
      <c r="U303" s="155"/>
      <c r="V303" s="155"/>
      <c r="W303" s="155"/>
      <c r="X303" s="155"/>
      <c r="Y303" s="155"/>
      <c r="Z303" s="155"/>
      <c r="AA303" s="155"/>
      <c r="AB303" s="155"/>
      <c r="AC303" s="155"/>
      <c r="AD303" s="155"/>
      <c r="AE303" s="155"/>
      <c r="AF303" s="155"/>
      <c r="AG303" s="155"/>
    </row>
    <row r="304" spans="2:33">
      <c r="B304" s="155"/>
      <c r="C304" s="155"/>
      <c r="D304" s="155"/>
      <c r="E304" s="155"/>
      <c r="F304" s="155"/>
      <c r="G304" s="155"/>
      <c r="H304" s="155"/>
      <c r="I304" s="155"/>
      <c r="J304" s="155"/>
      <c r="K304" s="155"/>
      <c r="L304" s="155"/>
      <c r="M304" s="155"/>
      <c r="N304" s="155"/>
      <c r="O304" s="155"/>
      <c r="P304" s="155"/>
      <c r="Q304" s="155"/>
      <c r="R304" s="155"/>
      <c r="S304" s="155"/>
      <c r="T304" s="155"/>
      <c r="U304" s="155"/>
      <c r="V304" s="155"/>
      <c r="W304" s="155"/>
      <c r="X304" s="155"/>
      <c r="Y304" s="155"/>
      <c r="Z304" s="155"/>
      <c r="AA304" s="155"/>
      <c r="AB304" s="155"/>
      <c r="AC304" s="155"/>
      <c r="AD304" s="155"/>
      <c r="AE304" s="155"/>
      <c r="AF304" s="155"/>
      <c r="AG304" s="155"/>
    </row>
    <row r="305" spans="2:33">
      <c r="B305" s="155"/>
      <c r="C305" s="155"/>
      <c r="D305" s="155"/>
      <c r="E305" s="155"/>
      <c r="F305" s="155"/>
      <c r="G305" s="155"/>
      <c r="H305" s="155"/>
      <c r="I305" s="155"/>
      <c r="J305" s="155"/>
      <c r="K305" s="155"/>
      <c r="L305" s="155"/>
      <c r="M305" s="155"/>
      <c r="N305" s="155"/>
      <c r="O305" s="155"/>
      <c r="P305" s="155"/>
      <c r="Q305" s="155"/>
      <c r="R305" s="155"/>
      <c r="S305" s="155"/>
      <c r="T305" s="155"/>
      <c r="U305" s="155"/>
      <c r="V305" s="155"/>
      <c r="W305" s="155"/>
      <c r="X305" s="155"/>
      <c r="Y305" s="155"/>
      <c r="Z305" s="155"/>
      <c r="AA305" s="155"/>
      <c r="AB305" s="155"/>
      <c r="AC305" s="155"/>
      <c r="AD305" s="155"/>
      <c r="AE305" s="155"/>
      <c r="AF305" s="155"/>
      <c r="AG305" s="155"/>
    </row>
    <row r="306" spans="2:33">
      <c r="B306" s="155"/>
      <c r="C306" s="155"/>
      <c r="D306" s="155"/>
      <c r="E306" s="155"/>
      <c r="F306" s="155"/>
      <c r="G306" s="155"/>
      <c r="H306" s="155"/>
      <c r="I306" s="155"/>
      <c r="J306" s="155"/>
      <c r="K306" s="155"/>
      <c r="L306" s="155"/>
      <c r="M306" s="155"/>
      <c r="N306" s="155"/>
      <c r="O306" s="155"/>
      <c r="P306" s="155"/>
      <c r="Q306" s="155"/>
      <c r="R306" s="155"/>
      <c r="S306" s="155"/>
      <c r="T306" s="155"/>
      <c r="U306" s="155"/>
      <c r="V306" s="155"/>
      <c r="W306" s="155"/>
      <c r="X306" s="155"/>
      <c r="Y306" s="155"/>
      <c r="Z306" s="155"/>
      <c r="AA306" s="155"/>
      <c r="AB306" s="155"/>
      <c r="AC306" s="155"/>
      <c r="AD306" s="155"/>
      <c r="AE306" s="155"/>
      <c r="AF306" s="155"/>
      <c r="AG306" s="155"/>
    </row>
    <row r="307" spans="2:33">
      <c r="B307" s="155"/>
      <c r="C307" s="155"/>
      <c r="D307" s="155"/>
      <c r="E307" s="155"/>
      <c r="F307" s="155"/>
      <c r="G307" s="155"/>
      <c r="H307" s="155"/>
      <c r="I307" s="155"/>
      <c r="J307" s="155"/>
      <c r="K307" s="155"/>
      <c r="L307" s="155"/>
      <c r="M307" s="155"/>
      <c r="N307" s="155"/>
      <c r="O307" s="155"/>
      <c r="P307" s="155"/>
      <c r="Q307" s="155"/>
      <c r="R307" s="155"/>
      <c r="S307" s="155"/>
      <c r="T307" s="155"/>
      <c r="U307" s="155"/>
      <c r="V307" s="155"/>
      <c r="W307" s="155"/>
      <c r="X307" s="155"/>
      <c r="Y307" s="155"/>
      <c r="Z307" s="155"/>
      <c r="AA307" s="155"/>
      <c r="AB307" s="155"/>
      <c r="AC307" s="155"/>
      <c r="AD307" s="155"/>
      <c r="AE307" s="155"/>
      <c r="AF307" s="155"/>
      <c r="AG307" s="155"/>
    </row>
    <row r="308" spans="2:33">
      <c r="B308" s="155"/>
      <c r="C308" s="155"/>
      <c r="D308" s="155"/>
      <c r="E308" s="155"/>
      <c r="F308" s="155"/>
      <c r="G308" s="155"/>
      <c r="H308" s="155"/>
      <c r="I308" s="155"/>
      <c r="J308" s="155"/>
      <c r="K308" s="155"/>
      <c r="L308" s="155"/>
      <c r="M308" s="155"/>
      <c r="N308" s="155"/>
      <c r="O308" s="155"/>
      <c r="P308" s="155"/>
      <c r="Q308" s="155"/>
      <c r="R308" s="155"/>
      <c r="S308" s="155"/>
      <c r="T308" s="155"/>
      <c r="U308" s="155"/>
      <c r="V308" s="155"/>
      <c r="W308" s="155"/>
      <c r="X308" s="155"/>
      <c r="Y308" s="155"/>
      <c r="Z308" s="155"/>
      <c r="AA308" s="155"/>
      <c r="AB308" s="155"/>
      <c r="AC308" s="155"/>
      <c r="AD308" s="155"/>
      <c r="AE308" s="155"/>
      <c r="AF308" s="155"/>
      <c r="AG308" s="155"/>
    </row>
    <row r="309" spans="2:33">
      <c r="B309" s="155"/>
      <c r="C309" s="155"/>
      <c r="D309" s="155"/>
      <c r="E309" s="155"/>
      <c r="F309" s="155"/>
      <c r="G309" s="155"/>
      <c r="H309" s="155"/>
      <c r="I309" s="155"/>
      <c r="J309" s="155"/>
      <c r="K309" s="155"/>
      <c r="L309" s="155"/>
      <c r="M309" s="155"/>
      <c r="N309" s="155"/>
      <c r="O309" s="155"/>
      <c r="P309" s="155"/>
      <c r="Q309" s="155"/>
      <c r="R309" s="155"/>
      <c r="S309" s="155"/>
      <c r="T309" s="155"/>
      <c r="U309" s="155"/>
      <c r="V309" s="155"/>
      <c r="W309" s="155"/>
      <c r="X309" s="155"/>
      <c r="Y309" s="155"/>
      <c r="Z309" s="155"/>
      <c r="AA309" s="155"/>
      <c r="AB309" s="155"/>
      <c r="AC309" s="155"/>
      <c r="AD309" s="155"/>
      <c r="AE309" s="155"/>
      <c r="AF309" s="155" t="s">
        <v>1172</v>
      </c>
      <c r="AG309" s="155"/>
    </row>
    <row r="310" spans="2:33">
      <c r="B310" s="148"/>
      <c r="C310" s="148"/>
      <c r="D310" s="148"/>
      <c r="E310" s="148"/>
      <c r="F310" s="148"/>
      <c r="G310" s="148"/>
      <c r="H310" s="148"/>
      <c r="I310" s="148"/>
      <c r="J310" s="148"/>
      <c r="K310" s="148"/>
      <c r="L310" s="148"/>
      <c r="M310" s="148"/>
      <c r="N310" s="148"/>
      <c r="O310" s="148"/>
      <c r="P310" s="148"/>
      <c r="Q310" s="148"/>
      <c r="R310" s="148"/>
      <c r="S310" s="148"/>
      <c r="T310" s="148"/>
      <c r="U310" s="148"/>
      <c r="V310" s="148"/>
      <c r="W310" s="148"/>
      <c r="X310" s="148"/>
      <c r="Y310" s="148"/>
      <c r="Z310" s="148"/>
      <c r="AA310" s="148"/>
      <c r="AB310" s="148"/>
      <c r="AC310" s="148"/>
      <c r="AD310" s="148"/>
      <c r="AE310" s="148"/>
      <c r="AF310" s="148"/>
      <c r="AG310" s="148"/>
    </row>
    <row r="338" spans="2:32">
      <c r="B338" s="148"/>
      <c r="C338" s="148"/>
      <c r="D338" s="148"/>
      <c r="E338" s="148"/>
      <c r="F338" s="148"/>
      <c r="G338" s="148"/>
      <c r="H338" s="148"/>
      <c r="I338" s="148"/>
      <c r="J338" s="148"/>
      <c r="K338" s="148"/>
      <c r="L338" s="148"/>
      <c r="M338" s="148"/>
      <c r="N338" s="148"/>
      <c r="O338" s="148"/>
      <c r="P338" s="148"/>
      <c r="Q338" s="148"/>
      <c r="R338" s="148"/>
      <c r="S338" s="148"/>
      <c r="T338" s="148"/>
      <c r="U338" s="148"/>
      <c r="V338" s="148"/>
      <c r="W338" s="148"/>
      <c r="X338" s="148"/>
      <c r="Y338" s="148"/>
      <c r="Z338" s="148"/>
      <c r="AA338" s="148"/>
      <c r="AB338" s="148"/>
      <c r="AC338" s="148"/>
      <c r="AD338" s="148"/>
      <c r="AE338" s="148"/>
      <c r="AF338" s="148"/>
    </row>
    <row r="339" spans="2:32">
      <c r="B339" s="148"/>
      <c r="C339" s="148"/>
      <c r="D339" s="148"/>
      <c r="E339" s="148"/>
      <c r="F339" s="148"/>
      <c r="G339" s="148"/>
      <c r="H339" s="148"/>
      <c r="I339" s="148"/>
      <c r="J339" s="148"/>
      <c r="K339" s="148"/>
      <c r="L339" s="148"/>
      <c r="M339" s="148"/>
      <c r="N339" s="148"/>
      <c r="O339" s="148"/>
      <c r="P339" s="148"/>
      <c r="Q339" s="148"/>
      <c r="R339" s="148"/>
      <c r="S339" s="148"/>
      <c r="T339" s="148"/>
      <c r="U339" s="148"/>
      <c r="V339" s="148"/>
      <c r="W339" s="148"/>
      <c r="X339" s="148"/>
      <c r="Y339" s="148"/>
      <c r="Z339" s="148"/>
      <c r="AA339" s="148"/>
      <c r="AB339" s="148"/>
      <c r="AC339" s="148"/>
      <c r="AD339" s="148"/>
      <c r="AE339" s="148"/>
      <c r="AF339" s="148"/>
    </row>
    <row r="348" spans="2:32">
      <c r="B348" s="148"/>
      <c r="C348" s="148"/>
      <c r="D348" s="148"/>
      <c r="E348" s="148"/>
      <c r="F348" s="148"/>
      <c r="G348" s="148"/>
      <c r="H348" s="148"/>
      <c r="I348" s="148"/>
      <c r="J348" s="148"/>
      <c r="K348" s="148"/>
      <c r="L348" s="148"/>
      <c r="M348" s="148"/>
      <c r="N348" s="148"/>
      <c r="O348" s="148"/>
      <c r="P348" s="148"/>
      <c r="Q348" s="148"/>
      <c r="R348" s="148"/>
      <c r="S348" s="148"/>
      <c r="T348" s="148"/>
      <c r="U348" s="148"/>
      <c r="V348" s="148"/>
      <c r="W348" s="148"/>
      <c r="X348" s="148"/>
      <c r="Y348" s="148"/>
      <c r="Z348" s="148"/>
      <c r="AA348" s="148"/>
      <c r="AB348" s="148"/>
      <c r="AC348" s="148"/>
      <c r="AD348" s="148"/>
      <c r="AE348" s="148"/>
      <c r="AF348" s="148"/>
    </row>
    <row r="349" spans="2:32">
      <c r="B349" s="148"/>
      <c r="C349" s="148"/>
      <c r="D349" s="148"/>
      <c r="E349" s="148"/>
      <c r="F349" s="148"/>
      <c r="G349" s="148"/>
      <c r="H349" s="148"/>
      <c r="I349" s="148"/>
      <c r="J349" s="148"/>
      <c r="K349" s="148"/>
      <c r="L349" s="148"/>
      <c r="M349" s="148"/>
      <c r="N349" s="148"/>
      <c r="O349" s="148"/>
      <c r="P349" s="148"/>
      <c r="Q349" s="148"/>
      <c r="R349" s="148"/>
      <c r="S349" s="148"/>
      <c r="T349" s="148"/>
      <c r="U349" s="148"/>
      <c r="V349" s="148"/>
      <c r="W349" s="148"/>
      <c r="X349" s="148"/>
      <c r="Y349" s="148"/>
      <c r="Z349" s="148"/>
      <c r="AA349" s="148"/>
      <c r="AB349" s="148"/>
      <c r="AC349" s="148"/>
      <c r="AD349" s="148"/>
      <c r="AE349" s="148"/>
      <c r="AF349" s="148"/>
    </row>
    <row r="350" spans="2:32">
      <c r="B350" s="148"/>
      <c r="C350" s="148"/>
      <c r="D350" s="148"/>
      <c r="E350" s="148"/>
      <c r="F350" s="148"/>
      <c r="G350" s="148"/>
      <c r="H350" s="148"/>
      <c r="I350" s="148"/>
      <c r="J350" s="148"/>
      <c r="K350" s="148"/>
      <c r="L350" s="148"/>
      <c r="M350" s="148"/>
      <c r="N350" s="148"/>
      <c r="O350" s="148"/>
      <c r="P350" s="148"/>
      <c r="Q350" s="148"/>
      <c r="R350" s="148"/>
      <c r="S350" s="148"/>
      <c r="T350" s="148"/>
      <c r="U350" s="148"/>
      <c r="V350" s="148"/>
      <c r="W350" s="148"/>
      <c r="X350" s="148"/>
      <c r="Y350" s="148"/>
      <c r="Z350" s="148"/>
      <c r="AA350" s="148"/>
      <c r="AB350" s="148"/>
      <c r="AC350" s="148"/>
      <c r="AD350" s="148"/>
      <c r="AE350" s="148"/>
      <c r="AF350" s="148"/>
    </row>
    <row r="351" spans="2:32">
      <c r="B351" s="148"/>
      <c r="C351" s="148"/>
      <c r="D351" s="148"/>
      <c r="E351" s="148"/>
      <c r="F351" s="148"/>
      <c r="G351" s="148"/>
      <c r="H351" s="148"/>
      <c r="I351" s="148"/>
      <c r="J351" s="148"/>
      <c r="K351" s="148"/>
      <c r="L351" s="148"/>
      <c r="M351" s="148"/>
      <c r="N351" s="148"/>
      <c r="O351" s="148"/>
      <c r="P351" s="148"/>
      <c r="Q351" s="148"/>
      <c r="R351" s="148"/>
      <c r="S351" s="148"/>
      <c r="T351" s="148"/>
      <c r="U351" s="148"/>
      <c r="V351" s="148"/>
      <c r="W351" s="148"/>
      <c r="X351" s="148"/>
      <c r="Y351" s="148"/>
      <c r="Z351" s="148"/>
      <c r="AA351" s="148"/>
      <c r="AB351" s="148"/>
      <c r="AC351" s="148"/>
      <c r="AD351" s="148"/>
      <c r="AE351" s="148"/>
      <c r="AF351" s="148"/>
    </row>
    <row r="352" spans="2:32">
      <c r="B352" s="148"/>
      <c r="C352" s="148"/>
      <c r="D352" s="148"/>
      <c r="E352" s="148"/>
      <c r="F352" s="148"/>
      <c r="G352" s="148"/>
      <c r="H352" s="148"/>
      <c r="I352" s="148"/>
      <c r="J352" s="148"/>
      <c r="K352" s="148"/>
      <c r="L352" s="148"/>
      <c r="M352" s="148"/>
      <c r="N352" s="148"/>
      <c r="O352" s="148"/>
      <c r="P352" s="148"/>
      <c r="Q352" s="148"/>
      <c r="R352" s="148"/>
      <c r="S352" s="148"/>
      <c r="T352" s="148"/>
      <c r="U352" s="148"/>
      <c r="V352" s="148"/>
      <c r="W352" s="148"/>
      <c r="X352" s="148"/>
      <c r="Y352" s="148"/>
      <c r="Z352" s="148"/>
      <c r="AA352" s="148"/>
      <c r="AB352" s="148"/>
      <c r="AC352" s="148"/>
      <c r="AD352" s="148"/>
      <c r="AE352" s="148"/>
      <c r="AF352" s="148"/>
    </row>
    <row r="449" spans="2:32">
      <c r="B449" s="148"/>
      <c r="C449" s="148"/>
      <c r="D449" s="148"/>
      <c r="E449" s="148"/>
      <c r="F449" s="148"/>
      <c r="G449" s="148"/>
      <c r="H449" s="148"/>
      <c r="I449" s="148"/>
      <c r="J449" s="148"/>
      <c r="K449" s="148"/>
      <c r="L449" s="148"/>
      <c r="M449" s="148"/>
      <c r="N449" s="148"/>
      <c r="O449" s="148"/>
      <c r="P449" s="148"/>
      <c r="Q449" s="148"/>
      <c r="R449" s="148"/>
      <c r="S449" s="148"/>
      <c r="T449" s="148"/>
      <c r="U449" s="148"/>
      <c r="V449" s="148"/>
      <c r="W449" s="148"/>
      <c r="X449" s="148"/>
      <c r="Y449" s="148"/>
      <c r="Z449" s="148"/>
      <c r="AA449" s="148"/>
      <c r="AB449" s="148"/>
      <c r="AC449" s="148"/>
      <c r="AD449" s="148"/>
      <c r="AE449" s="148"/>
      <c r="AF449" s="148"/>
    </row>
    <row r="451" spans="2:32">
      <c r="B451" s="148"/>
      <c r="C451" s="148"/>
      <c r="D451" s="148"/>
      <c r="E451" s="148"/>
      <c r="F451" s="148"/>
      <c r="G451" s="148"/>
      <c r="H451" s="148"/>
      <c r="I451" s="148"/>
      <c r="J451" s="148"/>
      <c r="K451" s="148"/>
      <c r="L451" s="148"/>
      <c r="M451" s="148"/>
      <c r="N451" s="148"/>
      <c r="O451" s="148"/>
      <c r="P451" s="148"/>
      <c r="Q451" s="148"/>
      <c r="R451" s="148"/>
      <c r="S451" s="148"/>
      <c r="T451" s="148"/>
      <c r="U451" s="148"/>
      <c r="V451" s="148"/>
      <c r="W451" s="148"/>
      <c r="X451" s="148"/>
      <c r="Y451" s="148"/>
      <c r="Z451" s="148"/>
      <c r="AA451" s="148"/>
      <c r="AB451" s="148"/>
      <c r="AC451" s="148"/>
      <c r="AD451" s="148"/>
      <c r="AE451" s="148"/>
      <c r="AF451" s="148"/>
    </row>
    <row r="452" spans="2:32">
      <c r="B452" s="148"/>
      <c r="C452" s="148"/>
      <c r="D452" s="148"/>
      <c r="E452" s="148"/>
      <c r="F452" s="148"/>
      <c r="G452" s="148"/>
      <c r="H452" s="148"/>
      <c r="I452" s="148"/>
      <c r="J452" s="148"/>
      <c r="K452" s="148"/>
      <c r="L452" s="148"/>
      <c r="M452" s="148"/>
      <c r="N452" s="148"/>
      <c r="O452" s="148"/>
      <c r="P452" s="148"/>
      <c r="Q452" s="148"/>
      <c r="R452" s="148"/>
      <c r="S452" s="148"/>
      <c r="T452" s="148"/>
      <c r="U452" s="148"/>
      <c r="V452" s="148"/>
      <c r="W452" s="148"/>
      <c r="X452" s="148"/>
      <c r="Y452" s="148"/>
      <c r="Z452" s="148"/>
      <c r="AA452" s="148"/>
      <c r="AB452" s="148"/>
      <c r="AC452" s="148"/>
      <c r="AD452" s="148"/>
      <c r="AE452" s="148"/>
      <c r="AF452" s="148"/>
    </row>
    <row r="461" spans="2:32">
      <c r="B461" s="148"/>
      <c r="C461" s="148"/>
      <c r="D461" s="148"/>
      <c r="E461" s="148"/>
      <c r="F461" s="148"/>
      <c r="G461" s="148"/>
      <c r="H461" s="148"/>
      <c r="I461" s="148"/>
      <c r="J461" s="148"/>
      <c r="K461" s="148"/>
      <c r="L461" s="148"/>
      <c r="M461" s="148"/>
      <c r="N461" s="148"/>
      <c r="O461" s="148"/>
      <c r="P461" s="148"/>
      <c r="Q461" s="148"/>
      <c r="R461" s="148"/>
      <c r="S461" s="148"/>
      <c r="T461" s="148"/>
      <c r="U461" s="148"/>
      <c r="V461" s="148"/>
      <c r="W461" s="148"/>
      <c r="X461" s="148"/>
      <c r="Y461" s="148"/>
      <c r="Z461" s="148"/>
      <c r="AA461" s="148"/>
      <c r="AB461" s="148"/>
      <c r="AC461" s="148"/>
      <c r="AD461" s="148"/>
      <c r="AE461" s="148"/>
      <c r="AF461" s="148"/>
    </row>
    <row r="462" spans="2:32">
      <c r="B462" s="148"/>
      <c r="C462" s="148"/>
      <c r="D462" s="148"/>
      <c r="E462" s="148"/>
      <c r="F462" s="148"/>
      <c r="G462" s="148"/>
      <c r="H462" s="148"/>
      <c r="I462" s="148"/>
      <c r="J462" s="148"/>
      <c r="K462" s="148"/>
      <c r="L462" s="148"/>
      <c r="M462" s="148"/>
      <c r="N462" s="148"/>
      <c r="O462" s="148"/>
      <c r="P462" s="148"/>
      <c r="Q462" s="148"/>
      <c r="R462" s="148"/>
      <c r="S462" s="148"/>
      <c r="T462" s="148"/>
      <c r="U462" s="148"/>
      <c r="V462" s="148"/>
      <c r="W462" s="148"/>
      <c r="X462" s="148"/>
      <c r="Y462" s="148"/>
      <c r="Z462" s="148"/>
      <c r="AA462" s="148"/>
      <c r="AB462" s="148"/>
      <c r="AC462" s="148"/>
      <c r="AD462" s="148"/>
      <c r="AE462" s="148"/>
      <c r="AF462" s="148"/>
    </row>
    <row r="463" spans="2:32">
      <c r="B463" s="148"/>
      <c r="C463" s="148"/>
      <c r="D463" s="148"/>
      <c r="E463" s="148"/>
      <c r="F463" s="148"/>
      <c r="G463" s="148"/>
      <c r="H463" s="148"/>
      <c r="I463" s="148"/>
      <c r="J463" s="148"/>
      <c r="K463" s="148"/>
      <c r="L463" s="148"/>
      <c r="M463" s="148"/>
      <c r="N463" s="148"/>
      <c r="O463" s="148"/>
      <c r="P463" s="148"/>
      <c r="Q463" s="148"/>
      <c r="R463" s="148"/>
      <c r="S463" s="148"/>
      <c r="T463" s="148"/>
      <c r="U463" s="148"/>
      <c r="V463" s="148"/>
      <c r="W463" s="148"/>
      <c r="X463" s="148"/>
      <c r="Y463" s="148"/>
      <c r="Z463" s="148"/>
      <c r="AA463" s="148"/>
      <c r="AB463" s="148"/>
      <c r="AC463" s="148"/>
      <c r="AD463" s="148"/>
      <c r="AE463" s="148"/>
      <c r="AF463" s="148"/>
    </row>
    <row r="464" spans="2:32">
      <c r="B464" s="148"/>
      <c r="C464" s="148"/>
      <c r="D464" s="148"/>
      <c r="E464" s="148"/>
      <c r="F464" s="148"/>
      <c r="G464" s="148"/>
      <c r="H464" s="148"/>
      <c r="I464" s="148"/>
      <c r="J464" s="148"/>
      <c r="K464" s="148"/>
      <c r="L464" s="148"/>
      <c r="M464" s="148"/>
      <c r="N464" s="148"/>
      <c r="O464" s="148"/>
      <c r="P464" s="148"/>
      <c r="Q464" s="148"/>
      <c r="R464" s="148"/>
      <c r="S464" s="148"/>
      <c r="T464" s="148"/>
      <c r="U464" s="148"/>
      <c r="V464" s="148"/>
      <c r="W464" s="148"/>
      <c r="X464" s="148"/>
      <c r="Y464" s="148"/>
      <c r="Z464" s="148"/>
      <c r="AA464" s="148"/>
      <c r="AB464" s="148"/>
      <c r="AC464" s="148"/>
      <c r="AD464" s="148"/>
      <c r="AE464" s="148"/>
      <c r="AF464" s="148"/>
    </row>
    <row r="564" spans="2:32">
      <c r="B564" s="148"/>
      <c r="C564" s="148"/>
      <c r="D564" s="148"/>
      <c r="E564" s="148"/>
      <c r="F564" s="148"/>
      <c r="G564" s="148"/>
      <c r="H564" s="148"/>
      <c r="I564" s="148"/>
      <c r="J564" s="148"/>
      <c r="K564" s="148"/>
      <c r="L564" s="148"/>
      <c r="M564" s="148"/>
      <c r="N564" s="148"/>
      <c r="O564" s="148"/>
      <c r="P564" s="148"/>
      <c r="Q564" s="148"/>
      <c r="R564" s="148"/>
      <c r="S564" s="148"/>
      <c r="T564" s="148"/>
      <c r="U564" s="148"/>
      <c r="V564" s="148"/>
      <c r="W564" s="148"/>
      <c r="X564" s="148"/>
      <c r="Y564" s="148"/>
      <c r="Z564" s="148"/>
      <c r="AA564" s="148"/>
      <c r="AB564" s="148"/>
      <c r="AC564" s="148"/>
      <c r="AD564" s="148"/>
      <c r="AE564" s="148"/>
      <c r="AF564" s="148"/>
    </row>
    <row r="565" spans="2:32">
      <c r="B565" s="148"/>
      <c r="C565" s="148"/>
      <c r="D565" s="148"/>
      <c r="E565" s="148"/>
      <c r="F565" s="148"/>
      <c r="G565" s="148"/>
      <c r="H565" s="148"/>
      <c r="I565" s="148"/>
      <c r="J565" s="148"/>
      <c r="K565" s="148"/>
      <c r="L565" s="148"/>
      <c r="M565" s="148"/>
      <c r="N565" s="148"/>
      <c r="O565" s="148"/>
      <c r="P565" s="148"/>
      <c r="Q565" s="148"/>
      <c r="R565" s="148"/>
      <c r="S565" s="148"/>
      <c r="T565" s="148"/>
      <c r="U565" s="148"/>
      <c r="V565" s="148"/>
      <c r="W565" s="148"/>
      <c r="X565" s="148"/>
      <c r="Y565" s="148"/>
      <c r="Z565" s="148"/>
      <c r="AA565" s="148"/>
      <c r="AB565" s="148"/>
      <c r="AC565" s="148"/>
      <c r="AD565" s="148"/>
      <c r="AE565" s="148"/>
      <c r="AF565" s="148"/>
    </row>
    <row r="571" spans="2:32">
      <c r="B571" s="148"/>
      <c r="C571" s="148"/>
      <c r="D571" s="148"/>
      <c r="E571" s="148"/>
      <c r="F571" s="148"/>
      <c r="G571" s="148"/>
      <c r="H571" s="148"/>
      <c r="I571" s="148"/>
      <c r="J571" s="148"/>
      <c r="K571" s="148"/>
      <c r="L571" s="148"/>
      <c r="M571" s="148"/>
      <c r="N571" s="148"/>
      <c r="O571" s="148"/>
      <c r="P571" s="148"/>
      <c r="Q571" s="148"/>
      <c r="R571" s="148"/>
      <c r="S571" s="148"/>
      <c r="T571" s="148"/>
      <c r="U571" s="148"/>
      <c r="V571" s="148"/>
      <c r="W571" s="148"/>
      <c r="X571" s="148"/>
      <c r="Y571" s="148"/>
      <c r="Z571" s="148"/>
      <c r="AA571" s="148"/>
      <c r="AB571" s="148"/>
      <c r="AC571" s="148"/>
      <c r="AD571" s="148"/>
      <c r="AE571" s="148"/>
      <c r="AF571" s="148"/>
    </row>
    <row r="572" spans="2:32">
      <c r="B572" s="148"/>
      <c r="C572" s="148"/>
      <c r="D572" s="148"/>
      <c r="E572" s="148"/>
      <c r="F572" s="148"/>
      <c r="G572" s="148"/>
      <c r="H572" s="148"/>
      <c r="I572" s="148"/>
      <c r="J572" s="148"/>
      <c r="K572" s="148"/>
      <c r="L572" s="148"/>
      <c r="M572" s="148"/>
      <c r="N572" s="148"/>
      <c r="O572" s="148"/>
      <c r="P572" s="148"/>
      <c r="Q572" s="148"/>
      <c r="R572" s="148"/>
      <c r="S572" s="148"/>
      <c r="T572" s="148"/>
      <c r="U572" s="148"/>
      <c r="V572" s="148"/>
      <c r="W572" s="148"/>
      <c r="X572" s="148"/>
      <c r="Y572" s="148"/>
      <c r="Z572" s="148"/>
      <c r="AA572" s="148"/>
      <c r="AB572" s="148"/>
      <c r="AC572" s="148"/>
      <c r="AD572" s="148"/>
      <c r="AE572" s="148"/>
      <c r="AF572" s="148"/>
    </row>
    <row r="573" spans="2:32">
      <c r="B573" s="148"/>
      <c r="C573" s="148"/>
      <c r="D573" s="148"/>
      <c r="E573" s="148"/>
      <c r="F573" s="148"/>
      <c r="G573" s="148"/>
      <c r="H573" s="148"/>
      <c r="I573" s="148"/>
      <c r="J573" s="148"/>
      <c r="K573" s="148"/>
      <c r="L573" s="148"/>
      <c r="M573" s="148"/>
      <c r="N573" s="148"/>
      <c r="O573" s="148"/>
      <c r="P573" s="148"/>
      <c r="Q573" s="148"/>
      <c r="R573" s="148"/>
      <c r="S573" s="148"/>
      <c r="T573" s="148"/>
      <c r="U573" s="148"/>
      <c r="V573" s="148"/>
      <c r="W573" s="148"/>
      <c r="X573" s="148"/>
      <c r="Y573" s="148"/>
      <c r="Z573" s="148"/>
      <c r="AA573" s="148"/>
      <c r="AB573" s="148"/>
      <c r="AC573" s="148"/>
      <c r="AD573" s="148"/>
      <c r="AE573" s="148"/>
      <c r="AF573" s="148"/>
    </row>
    <row r="574" spans="2:32">
      <c r="B574" s="148"/>
      <c r="C574" s="148"/>
      <c r="D574" s="148"/>
      <c r="E574" s="148"/>
      <c r="F574" s="148"/>
      <c r="G574" s="148"/>
      <c r="H574" s="148"/>
      <c r="I574" s="148"/>
      <c r="J574" s="148"/>
      <c r="K574" s="148"/>
      <c r="L574" s="148"/>
      <c r="M574" s="148"/>
      <c r="N574" s="148"/>
      <c r="O574" s="148"/>
      <c r="P574" s="148"/>
      <c r="Q574" s="148"/>
      <c r="R574" s="148"/>
      <c r="S574" s="148"/>
      <c r="T574" s="148"/>
      <c r="U574" s="148"/>
      <c r="V574" s="148"/>
      <c r="W574" s="148"/>
      <c r="X574" s="148"/>
      <c r="Y574" s="148"/>
      <c r="Z574" s="148"/>
      <c r="AA574" s="148"/>
      <c r="AB574" s="148"/>
      <c r="AC574" s="148"/>
      <c r="AD574" s="148"/>
      <c r="AE574" s="148"/>
      <c r="AF574" s="148"/>
    </row>
    <row r="575" spans="2:32">
      <c r="B575" s="148"/>
      <c r="C575" s="148"/>
      <c r="D575" s="148"/>
      <c r="E575" s="148"/>
      <c r="F575" s="148"/>
      <c r="G575" s="148"/>
      <c r="H575" s="148"/>
      <c r="I575" s="148"/>
      <c r="J575" s="148"/>
      <c r="K575" s="148"/>
      <c r="L575" s="148"/>
      <c r="M575" s="148"/>
      <c r="N575" s="148"/>
      <c r="O575" s="148"/>
      <c r="P575" s="148"/>
      <c r="Q575" s="148"/>
      <c r="R575" s="148"/>
      <c r="S575" s="148"/>
      <c r="T575" s="148"/>
      <c r="U575" s="148"/>
      <c r="V575" s="148"/>
      <c r="W575" s="148"/>
      <c r="X575" s="148"/>
      <c r="Y575" s="148"/>
      <c r="Z575" s="148"/>
      <c r="AA575" s="148"/>
      <c r="AB575" s="148"/>
      <c r="AC575" s="148"/>
      <c r="AD575" s="148"/>
      <c r="AE575" s="148"/>
      <c r="AF575" s="148"/>
    </row>
    <row r="576" spans="2:32">
      <c r="B576" s="148"/>
      <c r="C576" s="148"/>
      <c r="D576" s="148"/>
      <c r="E576" s="148"/>
      <c r="F576" s="148"/>
      <c r="G576" s="148"/>
      <c r="H576" s="148"/>
      <c r="I576" s="148"/>
      <c r="J576" s="148"/>
      <c r="K576" s="148"/>
      <c r="L576" s="148"/>
      <c r="M576" s="148"/>
      <c r="N576" s="148"/>
      <c r="O576" s="148"/>
      <c r="P576" s="148"/>
      <c r="Q576" s="148"/>
      <c r="R576" s="148"/>
      <c r="S576" s="148"/>
      <c r="T576" s="148"/>
      <c r="U576" s="148"/>
      <c r="V576" s="148"/>
      <c r="W576" s="148"/>
      <c r="X576" s="148"/>
      <c r="Y576" s="148"/>
      <c r="Z576" s="148"/>
      <c r="AA576" s="148"/>
      <c r="AB576" s="148"/>
      <c r="AC576" s="148"/>
      <c r="AD576" s="148"/>
      <c r="AE576" s="148"/>
      <c r="AF576" s="148"/>
    </row>
    <row r="657" spans="2:32">
      <c r="B657" s="148"/>
      <c r="C657" s="148"/>
      <c r="D657" s="148"/>
      <c r="E657" s="148"/>
      <c r="F657" s="148"/>
      <c r="G657" s="148"/>
      <c r="H657" s="148"/>
      <c r="I657" s="148"/>
      <c r="J657" s="148"/>
      <c r="K657" s="148"/>
      <c r="L657" s="148"/>
      <c r="M657" s="148"/>
      <c r="N657" s="148"/>
      <c r="O657" s="148"/>
      <c r="P657" s="148"/>
      <c r="Q657" s="148"/>
      <c r="R657" s="148"/>
      <c r="S657" s="148"/>
      <c r="T657" s="148"/>
      <c r="U657" s="148"/>
      <c r="V657" s="148"/>
      <c r="W657" s="148"/>
      <c r="X657" s="148"/>
      <c r="Y657" s="148"/>
      <c r="Z657" s="148"/>
      <c r="AA657" s="148"/>
      <c r="AB657" s="148"/>
      <c r="AC657" s="148"/>
      <c r="AD657" s="148"/>
      <c r="AE657" s="148"/>
      <c r="AF657" s="148"/>
    </row>
    <row r="658" spans="2:32">
      <c r="B658" s="148"/>
      <c r="C658" s="148"/>
      <c r="D658" s="148"/>
      <c r="E658" s="148"/>
      <c r="F658" s="148"/>
      <c r="G658" s="148"/>
      <c r="H658" s="148"/>
      <c r="I658" s="148"/>
      <c r="J658" s="148"/>
      <c r="K658" s="148"/>
      <c r="L658" s="148"/>
      <c r="M658" s="148"/>
      <c r="N658" s="148"/>
      <c r="O658" s="148"/>
      <c r="P658" s="148"/>
      <c r="Q658" s="148"/>
      <c r="R658" s="148"/>
      <c r="S658" s="148"/>
      <c r="T658" s="148"/>
      <c r="U658" s="148"/>
      <c r="V658" s="148"/>
      <c r="W658" s="148"/>
      <c r="X658" s="148"/>
      <c r="Y658" s="148"/>
      <c r="Z658" s="148"/>
      <c r="AA658" s="148"/>
      <c r="AB658" s="148"/>
      <c r="AC658" s="148"/>
      <c r="AD658" s="148"/>
      <c r="AE658" s="148"/>
      <c r="AF658" s="148"/>
    </row>
    <row r="660" spans="2:32">
      <c r="B660" s="148"/>
      <c r="C660" s="148"/>
      <c r="D660" s="148"/>
      <c r="E660" s="148"/>
      <c r="F660" s="148"/>
      <c r="G660" s="148"/>
      <c r="H660" s="148"/>
      <c r="I660" s="148"/>
      <c r="J660" s="148"/>
      <c r="K660" s="148"/>
      <c r="L660" s="148"/>
      <c r="M660" s="148"/>
      <c r="N660" s="148"/>
      <c r="O660" s="148"/>
      <c r="P660" s="148"/>
      <c r="Q660" s="148"/>
      <c r="R660" s="148"/>
      <c r="S660" s="148"/>
      <c r="T660" s="148"/>
      <c r="U660" s="148"/>
      <c r="V660" s="148"/>
      <c r="W660" s="148"/>
      <c r="X660" s="148"/>
      <c r="Y660" s="148"/>
      <c r="Z660" s="148"/>
      <c r="AA660" s="148"/>
      <c r="AB660" s="148"/>
      <c r="AC660" s="148"/>
      <c r="AD660" s="148"/>
      <c r="AE660" s="148"/>
      <c r="AF660" s="148"/>
    </row>
    <row r="662" spans="2:32">
      <c r="B662" s="148"/>
      <c r="C662" s="148"/>
      <c r="D662" s="148"/>
      <c r="E662" s="148"/>
      <c r="F662" s="148"/>
      <c r="G662" s="148"/>
      <c r="H662" s="148"/>
      <c r="I662" s="148"/>
      <c r="J662" s="148"/>
      <c r="K662" s="148"/>
      <c r="L662" s="148"/>
      <c r="M662" s="148"/>
      <c r="N662" s="148"/>
      <c r="O662" s="148"/>
      <c r="P662" s="148"/>
      <c r="Q662" s="148"/>
      <c r="R662" s="148"/>
      <c r="S662" s="148"/>
      <c r="T662" s="148"/>
      <c r="U662" s="148"/>
      <c r="V662" s="148"/>
      <c r="W662" s="148"/>
      <c r="X662" s="148"/>
      <c r="Y662" s="148"/>
      <c r="Z662" s="148"/>
      <c r="AA662" s="148"/>
      <c r="AB662" s="148"/>
      <c r="AC662" s="148"/>
      <c r="AD662" s="148"/>
      <c r="AE662" s="148"/>
      <c r="AF662" s="148"/>
    </row>
    <row r="663" spans="2:32">
      <c r="B663" s="148"/>
      <c r="C663" s="148"/>
      <c r="D663" s="148"/>
      <c r="E663" s="148"/>
      <c r="F663" s="148"/>
      <c r="G663" s="148"/>
      <c r="H663" s="148"/>
      <c r="I663" s="148"/>
      <c r="J663" s="148"/>
      <c r="K663" s="148"/>
      <c r="L663" s="148"/>
      <c r="M663" s="148"/>
      <c r="N663" s="148"/>
      <c r="O663" s="148"/>
      <c r="P663" s="148"/>
      <c r="Q663" s="148"/>
      <c r="R663" s="148"/>
      <c r="S663" s="148"/>
      <c r="T663" s="148"/>
      <c r="U663" s="148"/>
      <c r="V663" s="148"/>
      <c r="W663" s="148"/>
      <c r="X663" s="148"/>
      <c r="Y663" s="148"/>
      <c r="Z663" s="148"/>
      <c r="AA663" s="148"/>
      <c r="AB663" s="148"/>
      <c r="AC663" s="148"/>
      <c r="AD663" s="148"/>
      <c r="AE663" s="148"/>
      <c r="AF663" s="148"/>
    </row>
    <row r="669" spans="2:32">
      <c r="B669" s="148"/>
      <c r="C669" s="148"/>
      <c r="D669" s="148"/>
      <c r="E669" s="148"/>
      <c r="F669" s="148"/>
      <c r="G669" s="148"/>
      <c r="H669" s="148"/>
      <c r="I669" s="148"/>
      <c r="J669" s="148"/>
      <c r="K669" s="148"/>
      <c r="L669" s="148"/>
      <c r="M669" s="148"/>
      <c r="N669" s="148"/>
      <c r="O669" s="148"/>
      <c r="P669" s="148"/>
      <c r="Q669" s="148"/>
      <c r="R669" s="148"/>
      <c r="S669" s="148"/>
      <c r="T669" s="148"/>
      <c r="U669" s="148"/>
      <c r="V669" s="148"/>
      <c r="W669" s="148"/>
      <c r="X669" s="148"/>
      <c r="Y669" s="148"/>
      <c r="Z669" s="148"/>
      <c r="AA669" s="148"/>
      <c r="AB669" s="148"/>
      <c r="AC669" s="148"/>
      <c r="AD669" s="148"/>
      <c r="AE669" s="148"/>
      <c r="AF669" s="148"/>
    </row>
    <row r="670" spans="2:32">
      <c r="B670" s="148"/>
      <c r="C670" s="148"/>
      <c r="D670" s="148"/>
      <c r="E670" s="148"/>
      <c r="F670" s="148"/>
      <c r="G670" s="148"/>
      <c r="H670" s="148"/>
      <c r="I670" s="148"/>
      <c r="J670" s="148"/>
      <c r="K670" s="148"/>
      <c r="L670" s="148"/>
      <c r="M670" s="148"/>
      <c r="N670" s="148"/>
      <c r="O670" s="148"/>
      <c r="P670" s="148"/>
      <c r="Q670" s="148"/>
      <c r="R670" s="148"/>
      <c r="S670" s="148"/>
      <c r="T670" s="148"/>
      <c r="U670" s="148"/>
      <c r="V670" s="148"/>
      <c r="W670" s="148"/>
      <c r="X670" s="148"/>
      <c r="Y670" s="148"/>
      <c r="Z670" s="148"/>
      <c r="AA670" s="148"/>
      <c r="AB670" s="148"/>
      <c r="AC670" s="148"/>
      <c r="AD670" s="148"/>
      <c r="AE670" s="148"/>
      <c r="AF670" s="148"/>
    </row>
    <row r="671" spans="2:32">
      <c r="B671" s="148"/>
      <c r="C671" s="148"/>
      <c r="D671" s="148"/>
      <c r="E671" s="148"/>
      <c r="F671" s="148"/>
      <c r="G671" s="148"/>
      <c r="H671" s="148"/>
      <c r="I671" s="148"/>
      <c r="J671" s="148"/>
      <c r="K671" s="148"/>
      <c r="L671" s="148"/>
      <c r="M671" s="148"/>
      <c r="N671" s="148"/>
      <c r="O671" s="148"/>
      <c r="P671" s="148"/>
      <c r="Q671" s="148"/>
      <c r="R671" s="148"/>
      <c r="S671" s="148"/>
      <c r="T671" s="148"/>
      <c r="U671" s="148"/>
      <c r="V671" s="148"/>
      <c r="W671" s="148"/>
      <c r="X671" s="148"/>
      <c r="Y671" s="148"/>
      <c r="Z671" s="148"/>
      <c r="AA671" s="148"/>
      <c r="AB671" s="148"/>
      <c r="AC671" s="148"/>
      <c r="AD671" s="148"/>
      <c r="AE671" s="148"/>
      <c r="AF671" s="148"/>
    </row>
    <row r="672" spans="2:32">
      <c r="B672" s="148"/>
      <c r="C672" s="148"/>
      <c r="D672" s="148"/>
      <c r="E672" s="148"/>
      <c r="F672" s="148"/>
      <c r="G672" s="148"/>
      <c r="H672" s="148"/>
      <c r="I672" s="148"/>
      <c r="J672" s="148"/>
      <c r="K672" s="148"/>
      <c r="L672" s="148"/>
      <c r="M672" s="148"/>
      <c r="N672" s="148"/>
      <c r="O672" s="148"/>
      <c r="P672" s="148"/>
      <c r="Q672" s="148"/>
      <c r="R672" s="148"/>
      <c r="S672" s="148"/>
      <c r="T672" s="148"/>
      <c r="U672" s="148"/>
      <c r="V672" s="148"/>
      <c r="W672" s="148"/>
      <c r="X672" s="148"/>
      <c r="Y672" s="148"/>
      <c r="Z672" s="148"/>
      <c r="AA672" s="148"/>
      <c r="AB672" s="148"/>
      <c r="AC672" s="148"/>
      <c r="AD672" s="148"/>
      <c r="AE672" s="148"/>
      <c r="AF672" s="148"/>
    </row>
    <row r="723" spans="2:32">
      <c r="B723" s="148"/>
      <c r="C723" s="148"/>
      <c r="D723" s="148"/>
      <c r="E723" s="148"/>
      <c r="F723" s="148"/>
      <c r="G723" s="148"/>
      <c r="H723" s="148"/>
      <c r="I723" s="148"/>
      <c r="J723" s="148"/>
      <c r="K723" s="148"/>
      <c r="L723" s="148"/>
      <c r="M723" s="148"/>
      <c r="N723" s="148"/>
      <c r="O723" s="148"/>
      <c r="P723" s="148"/>
      <c r="Q723" s="148"/>
      <c r="R723" s="148"/>
      <c r="S723" s="148"/>
      <c r="T723" s="148"/>
      <c r="U723" s="148"/>
      <c r="V723" s="148"/>
      <c r="W723" s="148"/>
      <c r="X723" s="148"/>
      <c r="Y723" s="148"/>
      <c r="Z723" s="148"/>
      <c r="AA723" s="148"/>
      <c r="AB723" s="148"/>
      <c r="AC723" s="148"/>
      <c r="AD723" s="148"/>
      <c r="AE723" s="148"/>
      <c r="AF723" s="148"/>
    </row>
    <row r="728" spans="2:32">
      <c r="B728" s="148"/>
      <c r="C728" s="148"/>
      <c r="D728" s="148"/>
      <c r="E728" s="148"/>
      <c r="F728" s="148"/>
      <c r="G728" s="148"/>
      <c r="H728" s="148"/>
      <c r="I728" s="148"/>
      <c r="J728" s="148"/>
      <c r="K728" s="148"/>
      <c r="L728" s="148"/>
      <c r="M728" s="148"/>
      <c r="N728" s="148"/>
      <c r="O728" s="148"/>
      <c r="P728" s="148"/>
      <c r="Q728" s="148"/>
      <c r="R728" s="148"/>
      <c r="S728" s="148"/>
      <c r="T728" s="148"/>
      <c r="U728" s="148"/>
      <c r="V728" s="148"/>
      <c r="W728" s="148"/>
      <c r="X728" s="148"/>
      <c r="Y728" s="148"/>
      <c r="Z728" s="148"/>
      <c r="AA728" s="148"/>
      <c r="AB728" s="148"/>
      <c r="AC728" s="148"/>
      <c r="AD728" s="148"/>
      <c r="AE728" s="148"/>
      <c r="AF728" s="148"/>
    </row>
    <row r="734" spans="2:32">
      <c r="B734" s="148"/>
      <c r="C734" s="148"/>
      <c r="D734" s="148"/>
      <c r="E734" s="148"/>
      <c r="F734" s="148"/>
      <c r="G734" s="148"/>
      <c r="H734" s="148"/>
      <c r="I734" s="148"/>
      <c r="J734" s="148"/>
      <c r="K734" s="148"/>
      <c r="L734" s="148"/>
      <c r="M734" s="148"/>
      <c r="N734" s="148"/>
      <c r="O734" s="148"/>
      <c r="P734" s="148"/>
      <c r="Q734" s="148"/>
      <c r="R734" s="148"/>
      <c r="S734" s="148"/>
      <c r="T734" s="148"/>
      <c r="U734" s="148"/>
      <c r="V734" s="148"/>
      <c r="W734" s="148"/>
      <c r="X734" s="148"/>
      <c r="Y734" s="148"/>
      <c r="Z734" s="148"/>
      <c r="AA734" s="148"/>
      <c r="AB734" s="148"/>
      <c r="AC734" s="148"/>
      <c r="AD734" s="148"/>
      <c r="AE734" s="148"/>
      <c r="AF734" s="148"/>
    </row>
    <row r="735" spans="2:32">
      <c r="B735" s="148"/>
      <c r="C735" s="148"/>
      <c r="D735" s="148"/>
      <c r="E735" s="148"/>
      <c r="F735" s="148"/>
      <c r="G735" s="148"/>
      <c r="H735" s="148"/>
      <c r="I735" s="148"/>
      <c r="J735" s="148"/>
      <c r="K735" s="148"/>
      <c r="L735" s="148"/>
      <c r="M735" s="148"/>
      <c r="N735" s="148"/>
      <c r="O735" s="148"/>
      <c r="P735" s="148"/>
      <c r="Q735" s="148"/>
      <c r="R735" s="148"/>
      <c r="S735" s="148"/>
      <c r="T735" s="148"/>
      <c r="U735" s="148"/>
      <c r="V735" s="148"/>
      <c r="W735" s="148"/>
      <c r="X735" s="148"/>
      <c r="Y735" s="148"/>
      <c r="Z735" s="148"/>
      <c r="AA735" s="148"/>
      <c r="AB735" s="148"/>
      <c r="AC735" s="148"/>
      <c r="AD735" s="148"/>
      <c r="AE735" s="148"/>
      <c r="AF735" s="148"/>
    </row>
    <row r="906" spans="2:32">
      <c r="B906" s="148"/>
      <c r="C906" s="148"/>
      <c r="D906" s="148"/>
      <c r="E906" s="148"/>
      <c r="F906" s="148"/>
      <c r="G906" s="148"/>
      <c r="H906" s="148"/>
      <c r="I906" s="148"/>
      <c r="J906" s="148"/>
      <c r="K906" s="148"/>
      <c r="L906" s="148"/>
      <c r="M906" s="148"/>
      <c r="N906" s="148"/>
      <c r="O906" s="148"/>
      <c r="P906" s="148"/>
      <c r="Q906" s="148"/>
      <c r="R906" s="148"/>
      <c r="S906" s="148"/>
      <c r="T906" s="148"/>
      <c r="U906" s="148"/>
      <c r="V906" s="148"/>
      <c r="W906" s="148"/>
      <c r="X906" s="148"/>
      <c r="Y906" s="148"/>
      <c r="Z906" s="148"/>
      <c r="AA906" s="148"/>
      <c r="AB906" s="148"/>
      <c r="AC906" s="148"/>
      <c r="AD906" s="148"/>
      <c r="AE906" s="148"/>
      <c r="AF906" s="148"/>
    </row>
    <row r="910" spans="2:32">
      <c r="B910" s="148"/>
      <c r="C910" s="148"/>
      <c r="D910" s="148"/>
      <c r="E910" s="148"/>
      <c r="F910" s="148"/>
      <c r="G910" s="148"/>
      <c r="H910" s="148"/>
      <c r="I910" s="148"/>
      <c r="J910" s="148"/>
      <c r="K910" s="148"/>
      <c r="L910" s="148"/>
      <c r="M910" s="148"/>
      <c r="N910" s="148"/>
      <c r="O910" s="148"/>
      <c r="P910" s="148"/>
      <c r="Q910" s="148"/>
      <c r="R910" s="148"/>
      <c r="S910" s="148"/>
      <c r="T910" s="148"/>
      <c r="U910" s="148"/>
      <c r="V910" s="148"/>
      <c r="W910" s="148"/>
      <c r="X910" s="148"/>
      <c r="Y910" s="148"/>
      <c r="Z910" s="148"/>
      <c r="AA910" s="148"/>
      <c r="AB910" s="148"/>
      <c r="AC910" s="148"/>
      <c r="AD910" s="148"/>
      <c r="AE910" s="148"/>
      <c r="AF910" s="148"/>
    </row>
    <row r="911" spans="2:32">
      <c r="B911" s="148"/>
      <c r="C911" s="148"/>
      <c r="D911" s="148"/>
      <c r="E911" s="148"/>
      <c r="F911" s="148"/>
      <c r="G911" s="148"/>
      <c r="H911" s="148"/>
      <c r="I911" s="148"/>
      <c r="J911" s="148"/>
      <c r="K911" s="148"/>
      <c r="L911" s="148"/>
      <c r="M911" s="148"/>
      <c r="N911" s="148"/>
      <c r="O911" s="148"/>
      <c r="P911" s="148"/>
      <c r="Q911" s="148"/>
      <c r="R911" s="148"/>
      <c r="S911" s="148"/>
      <c r="T911" s="148"/>
      <c r="U911" s="148"/>
      <c r="V911" s="148"/>
      <c r="W911" s="148"/>
      <c r="X911" s="148"/>
      <c r="Y911" s="148"/>
      <c r="Z911" s="148"/>
      <c r="AA911" s="148"/>
      <c r="AB911" s="148"/>
      <c r="AC911" s="148"/>
      <c r="AD911" s="148"/>
      <c r="AE911" s="148"/>
      <c r="AF911" s="148"/>
    </row>
    <row r="993" spans="2:32">
      <c r="B993" s="148"/>
      <c r="C993" s="148"/>
      <c r="D993" s="148"/>
      <c r="E993" s="148"/>
      <c r="F993" s="148"/>
      <c r="G993" s="148"/>
      <c r="H993" s="148"/>
      <c r="I993" s="148"/>
      <c r="J993" s="148"/>
      <c r="K993" s="148"/>
      <c r="L993" s="148"/>
      <c r="M993" s="148"/>
      <c r="N993" s="148"/>
      <c r="O993" s="148"/>
      <c r="P993" s="148"/>
      <c r="Q993" s="148"/>
      <c r="R993" s="148"/>
      <c r="S993" s="148"/>
      <c r="T993" s="148"/>
      <c r="U993" s="148"/>
      <c r="V993" s="148"/>
      <c r="W993" s="148"/>
      <c r="X993" s="148"/>
      <c r="Y993" s="148"/>
      <c r="Z993" s="148"/>
      <c r="AA993" s="148"/>
      <c r="AB993" s="148"/>
      <c r="AC993" s="148"/>
      <c r="AD993" s="148"/>
      <c r="AE993" s="148"/>
      <c r="AF993" s="148"/>
    </row>
    <row r="994" spans="2:32">
      <c r="B994" s="148"/>
      <c r="C994" s="148"/>
      <c r="D994" s="148"/>
      <c r="E994" s="148"/>
      <c r="F994" s="148"/>
      <c r="G994" s="148"/>
      <c r="H994" s="148"/>
      <c r="I994" s="148"/>
      <c r="J994" s="148"/>
      <c r="K994" s="148"/>
      <c r="L994" s="148"/>
      <c r="M994" s="148"/>
      <c r="N994" s="148"/>
      <c r="O994" s="148"/>
      <c r="P994" s="148"/>
      <c r="Q994" s="148"/>
      <c r="R994" s="148"/>
      <c r="S994" s="148"/>
      <c r="T994" s="148"/>
      <c r="U994" s="148"/>
      <c r="V994" s="148"/>
      <c r="W994" s="148"/>
      <c r="X994" s="148"/>
      <c r="Y994" s="148"/>
      <c r="Z994" s="148"/>
      <c r="AA994" s="148"/>
      <c r="AB994" s="148"/>
      <c r="AC994" s="148"/>
      <c r="AD994" s="148"/>
      <c r="AE994" s="148"/>
      <c r="AF994" s="148"/>
    </row>
    <row r="1001" spans="2:32">
      <c r="B1001" s="148"/>
      <c r="C1001" s="148"/>
      <c r="D1001" s="148"/>
      <c r="E1001" s="148"/>
      <c r="F1001" s="148"/>
      <c r="G1001" s="148"/>
      <c r="H1001" s="148"/>
      <c r="I1001" s="148"/>
      <c r="J1001" s="148"/>
      <c r="K1001" s="148"/>
      <c r="L1001" s="148"/>
      <c r="M1001" s="148"/>
      <c r="N1001" s="148"/>
      <c r="O1001" s="148"/>
      <c r="P1001" s="148"/>
      <c r="Q1001" s="148"/>
      <c r="R1001" s="148"/>
      <c r="S1001" s="148"/>
      <c r="T1001" s="148"/>
      <c r="U1001" s="148"/>
      <c r="V1001" s="148"/>
      <c r="W1001" s="148"/>
      <c r="X1001" s="148"/>
      <c r="Y1001" s="148"/>
      <c r="Z1001" s="148"/>
      <c r="AA1001" s="148"/>
      <c r="AB1001" s="148"/>
      <c r="AC1001" s="148"/>
      <c r="AD1001" s="148"/>
      <c r="AE1001" s="148"/>
      <c r="AF1001" s="148"/>
    </row>
    <row r="1002" spans="2:32">
      <c r="B1002" s="148"/>
      <c r="C1002" s="148"/>
      <c r="D1002" s="148"/>
      <c r="E1002" s="148"/>
      <c r="F1002" s="148"/>
      <c r="G1002" s="148"/>
      <c r="H1002" s="148"/>
      <c r="I1002" s="148"/>
      <c r="J1002" s="148"/>
      <c r="K1002" s="148"/>
      <c r="L1002" s="148"/>
      <c r="M1002" s="148"/>
      <c r="N1002" s="148"/>
      <c r="O1002" s="148"/>
      <c r="P1002" s="148"/>
      <c r="Q1002" s="148"/>
      <c r="R1002" s="148"/>
      <c r="S1002" s="148"/>
      <c r="T1002" s="148"/>
      <c r="U1002" s="148"/>
      <c r="V1002" s="148"/>
      <c r="W1002" s="148"/>
      <c r="X1002" s="148"/>
      <c r="Y1002" s="148"/>
      <c r="Z1002" s="148"/>
      <c r="AA1002" s="148"/>
      <c r="AB1002" s="148"/>
      <c r="AC1002" s="148"/>
      <c r="AD1002" s="148"/>
      <c r="AE1002" s="148"/>
      <c r="AF1002" s="148"/>
    </row>
    <row r="1003" spans="2:32">
      <c r="B1003" s="148"/>
      <c r="C1003" s="148"/>
      <c r="D1003" s="148"/>
      <c r="E1003" s="148"/>
      <c r="F1003" s="148"/>
      <c r="G1003" s="148"/>
      <c r="H1003" s="148"/>
      <c r="I1003" s="148"/>
      <c r="J1003" s="148"/>
      <c r="K1003" s="148"/>
      <c r="L1003" s="148"/>
      <c r="M1003" s="148"/>
      <c r="N1003" s="148"/>
      <c r="O1003" s="148"/>
      <c r="P1003" s="148"/>
      <c r="Q1003" s="148"/>
      <c r="R1003" s="148"/>
      <c r="S1003" s="148"/>
      <c r="T1003" s="148"/>
      <c r="U1003" s="148"/>
      <c r="V1003" s="148"/>
      <c r="W1003" s="148"/>
      <c r="X1003" s="148"/>
      <c r="Y1003" s="148"/>
      <c r="Z1003" s="148"/>
      <c r="AA1003" s="148"/>
      <c r="AB1003" s="148"/>
      <c r="AC1003" s="148"/>
      <c r="AD1003" s="148"/>
      <c r="AE1003" s="148"/>
      <c r="AF1003" s="148"/>
    </row>
    <row r="1004" spans="2:32">
      <c r="B1004" s="148"/>
      <c r="C1004" s="148"/>
      <c r="D1004" s="148"/>
      <c r="E1004" s="148"/>
      <c r="F1004" s="148"/>
      <c r="G1004" s="148"/>
      <c r="H1004" s="148"/>
      <c r="I1004" s="148"/>
      <c r="J1004" s="148"/>
      <c r="K1004" s="148"/>
      <c r="L1004" s="148"/>
      <c r="M1004" s="148"/>
      <c r="N1004" s="148"/>
      <c r="O1004" s="148"/>
      <c r="P1004" s="148"/>
      <c r="Q1004" s="148"/>
      <c r="R1004" s="148"/>
      <c r="S1004" s="148"/>
      <c r="T1004" s="148"/>
      <c r="U1004" s="148"/>
      <c r="V1004" s="148"/>
      <c r="W1004" s="148"/>
      <c r="X1004" s="148"/>
      <c r="Y1004" s="148"/>
      <c r="Z1004" s="148"/>
      <c r="AA1004" s="148"/>
      <c r="AB1004" s="148"/>
      <c r="AC1004" s="148"/>
      <c r="AD1004" s="148"/>
      <c r="AE1004" s="148"/>
      <c r="AF1004" s="148"/>
    </row>
    <row r="1005" spans="2:32">
      <c r="B1005" s="148"/>
      <c r="C1005" s="148"/>
      <c r="D1005" s="148"/>
      <c r="E1005" s="148"/>
      <c r="F1005" s="148"/>
      <c r="G1005" s="148"/>
      <c r="H1005" s="148"/>
      <c r="I1005" s="148"/>
      <c r="J1005" s="148"/>
      <c r="K1005" s="148"/>
      <c r="L1005" s="148"/>
      <c r="M1005" s="148"/>
      <c r="N1005" s="148"/>
      <c r="O1005" s="148"/>
      <c r="P1005" s="148"/>
      <c r="Q1005" s="148"/>
      <c r="R1005" s="148"/>
      <c r="S1005" s="148"/>
      <c r="T1005" s="148"/>
      <c r="U1005" s="148"/>
      <c r="V1005" s="148"/>
      <c r="W1005" s="148"/>
      <c r="X1005" s="148"/>
      <c r="Y1005" s="148"/>
      <c r="Z1005" s="148"/>
      <c r="AA1005" s="148"/>
      <c r="AB1005" s="148"/>
      <c r="AC1005" s="148"/>
      <c r="AD1005" s="148"/>
      <c r="AE1005" s="148"/>
      <c r="AF1005" s="148"/>
    </row>
    <row r="1006" spans="2:32">
      <c r="B1006" s="148"/>
      <c r="C1006" s="148"/>
      <c r="D1006" s="148"/>
      <c r="E1006" s="148"/>
      <c r="F1006" s="148"/>
      <c r="G1006" s="148"/>
      <c r="H1006" s="148"/>
      <c r="I1006" s="148"/>
      <c r="J1006" s="148"/>
      <c r="K1006" s="148"/>
      <c r="L1006" s="148"/>
      <c r="M1006" s="148"/>
      <c r="N1006" s="148"/>
      <c r="O1006" s="148"/>
      <c r="P1006" s="148"/>
      <c r="Q1006" s="148"/>
      <c r="R1006" s="148"/>
      <c r="S1006" s="148"/>
      <c r="T1006" s="148"/>
      <c r="U1006" s="148"/>
      <c r="V1006" s="148"/>
      <c r="W1006" s="148"/>
      <c r="X1006" s="148"/>
      <c r="Y1006" s="148"/>
      <c r="Z1006" s="148"/>
      <c r="AA1006" s="148"/>
      <c r="AB1006" s="148"/>
      <c r="AC1006" s="148"/>
      <c r="AD1006" s="148"/>
      <c r="AE1006" s="148"/>
      <c r="AF1006" s="148"/>
    </row>
    <row r="1007" spans="2:32">
      <c r="B1007" s="148"/>
      <c r="C1007" s="148"/>
      <c r="D1007" s="148"/>
      <c r="E1007" s="148"/>
      <c r="F1007" s="148"/>
      <c r="G1007" s="148"/>
      <c r="H1007" s="148"/>
      <c r="I1007" s="148"/>
      <c r="J1007" s="148"/>
      <c r="K1007" s="148"/>
      <c r="L1007" s="148"/>
      <c r="M1007" s="148"/>
      <c r="N1007" s="148"/>
      <c r="O1007" s="148"/>
      <c r="P1007" s="148"/>
      <c r="Q1007" s="148"/>
      <c r="R1007" s="148"/>
      <c r="S1007" s="148"/>
      <c r="T1007" s="148"/>
      <c r="U1007" s="148"/>
      <c r="V1007" s="148"/>
      <c r="W1007" s="148"/>
      <c r="X1007" s="148"/>
      <c r="Y1007" s="148"/>
      <c r="Z1007" s="148"/>
      <c r="AA1007" s="148"/>
      <c r="AB1007" s="148"/>
      <c r="AC1007" s="148"/>
      <c r="AD1007" s="148"/>
      <c r="AE1007" s="148"/>
      <c r="AF1007" s="148"/>
    </row>
    <row r="1008" spans="2:32">
      <c r="B1008" s="148"/>
      <c r="C1008" s="148"/>
      <c r="D1008" s="148"/>
      <c r="E1008" s="148"/>
      <c r="F1008" s="148"/>
      <c r="G1008" s="148"/>
      <c r="H1008" s="148"/>
      <c r="I1008" s="148"/>
      <c r="J1008" s="148"/>
      <c r="K1008" s="148"/>
      <c r="L1008" s="148"/>
      <c r="M1008" s="148"/>
      <c r="N1008" s="148"/>
      <c r="O1008" s="148"/>
      <c r="P1008" s="148"/>
      <c r="Q1008" s="148"/>
      <c r="R1008" s="148"/>
      <c r="S1008" s="148"/>
      <c r="T1008" s="148"/>
      <c r="U1008" s="148"/>
      <c r="V1008" s="148"/>
      <c r="W1008" s="148"/>
      <c r="X1008" s="148"/>
      <c r="Y1008" s="148"/>
      <c r="Z1008" s="148"/>
      <c r="AA1008" s="148"/>
      <c r="AB1008" s="148"/>
      <c r="AC1008" s="148"/>
      <c r="AD1008" s="148"/>
      <c r="AE1008" s="148"/>
      <c r="AF1008" s="148"/>
    </row>
    <row r="1095" spans="2:32">
      <c r="B1095" s="148"/>
      <c r="C1095" s="148"/>
      <c r="D1095" s="148"/>
      <c r="E1095" s="148"/>
      <c r="F1095" s="148"/>
      <c r="G1095" s="148"/>
      <c r="H1095" s="148"/>
      <c r="I1095" s="148"/>
      <c r="J1095" s="148"/>
      <c r="K1095" s="148"/>
      <c r="L1095" s="148"/>
      <c r="M1095" s="148"/>
      <c r="N1095" s="148"/>
      <c r="O1095" s="148"/>
      <c r="P1095" s="148"/>
      <c r="Q1095" s="148"/>
      <c r="R1095" s="148"/>
      <c r="S1095" s="148"/>
      <c r="T1095" s="148"/>
      <c r="U1095" s="148"/>
      <c r="V1095" s="148"/>
      <c r="W1095" s="148"/>
      <c r="X1095" s="148"/>
      <c r="Y1095" s="148"/>
      <c r="Z1095" s="148"/>
      <c r="AA1095" s="148"/>
      <c r="AB1095" s="148"/>
      <c r="AC1095" s="148"/>
      <c r="AD1095" s="148"/>
      <c r="AE1095" s="148"/>
      <c r="AF1095" s="148"/>
    </row>
    <row r="1096" spans="2:32">
      <c r="B1096" s="148"/>
      <c r="C1096" s="148"/>
      <c r="D1096" s="148"/>
      <c r="E1096" s="148"/>
      <c r="F1096" s="148"/>
      <c r="G1096" s="148"/>
      <c r="H1096" s="148"/>
      <c r="I1096" s="148"/>
      <c r="J1096" s="148"/>
      <c r="K1096" s="148"/>
      <c r="L1096" s="148"/>
      <c r="M1096" s="148"/>
      <c r="N1096" s="148"/>
      <c r="O1096" s="148"/>
      <c r="P1096" s="148"/>
      <c r="Q1096" s="148"/>
      <c r="R1096" s="148"/>
      <c r="S1096" s="148"/>
      <c r="T1096" s="148"/>
      <c r="U1096" s="148"/>
      <c r="V1096" s="148"/>
      <c r="W1096" s="148"/>
      <c r="X1096" s="148"/>
      <c r="Y1096" s="148"/>
      <c r="Z1096" s="148"/>
      <c r="AA1096" s="148"/>
      <c r="AB1096" s="148"/>
      <c r="AC1096" s="148"/>
      <c r="AD1096" s="148"/>
      <c r="AE1096" s="148"/>
      <c r="AF1096" s="148"/>
    </row>
    <row r="1103" spans="2:32">
      <c r="B1103" s="148"/>
      <c r="C1103" s="148"/>
      <c r="D1103" s="148"/>
      <c r="E1103" s="148"/>
      <c r="F1103" s="148"/>
      <c r="G1103" s="148"/>
      <c r="H1103" s="148"/>
      <c r="I1103" s="148"/>
      <c r="J1103" s="148"/>
      <c r="K1103" s="148"/>
      <c r="L1103" s="148"/>
      <c r="M1103" s="148"/>
      <c r="N1103" s="148"/>
      <c r="O1103" s="148"/>
      <c r="P1103" s="148"/>
      <c r="Q1103" s="148"/>
      <c r="R1103" s="148"/>
      <c r="S1103" s="148"/>
      <c r="T1103" s="148"/>
      <c r="U1103" s="148"/>
      <c r="V1103" s="148"/>
      <c r="W1103" s="148"/>
      <c r="X1103" s="148"/>
      <c r="Y1103" s="148"/>
      <c r="Z1103" s="148"/>
      <c r="AA1103" s="148"/>
      <c r="AB1103" s="148"/>
      <c r="AC1103" s="148"/>
      <c r="AD1103" s="148"/>
      <c r="AE1103" s="148"/>
      <c r="AF1103" s="148"/>
    </row>
    <row r="1104" spans="2:32">
      <c r="B1104" s="148"/>
      <c r="C1104" s="148"/>
      <c r="D1104" s="148"/>
      <c r="E1104" s="148"/>
      <c r="F1104" s="148"/>
      <c r="G1104" s="148"/>
      <c r="H1104" s="148"/>
      <c r="I1104" s="148"/>
      <c r="J1104" s="148"/>
      <c r="K1104" s="148"/>
      <c r="L1104" s="148"/>
      <c r="M1104" s="148"/>
      <c r="N1104" s="148"/>
      <c r="O1104" s="148"/>
      <c r="P1104" s="148"/>
      <c r="Q1104" s="148"/>
      <c r="R1104" s="148"/>
      <c r="S1104" s="148"/>
      <c r="T1104" s="148"/>
      <c r="U1104" s="148"/>
      <c r="V1104" s="148"/>
      <c r="W1104" s="148"/>
      <c r="X1104" s="148"/>
      <c r="Y1104" s="148"/>
      <c r="Z1104" s="148"/>
      <c r="AA1104" s="148"/>
      <c r="AB1104" s="148"/>
      <c r="AC1104" s="148"/>
      <c r="AD1104" s="148"/>
      <c r="AE1104" s="148"/>
      <c r="AF1104" s="148"/>
    </row>
    <row r="1193" spans="2:32">
      <c r="B1193" s="148"/>
      <c r="C1193" s="148"/>
      <c r="D1193" s="148"/>
      <c r="E1193" s="148"/>
      <c r="F1193" s="148"/>
      <c r="G1193" s="148"/>
      <c r="H1193" s="148"/>
      <c r="I1193" s="148"/>
      <c r="J1193" s="148"/>
      <c r="K1193" s="148"/>
      <c r="L1193" s="148"/>
      <c r="M1193" s="148"/>
      <c r="N1193" s="148"/>
      <c r="O1193" s="148"/>
      <c r="P1193" s="148"/>
      <c r="Q1193" s="148"/>
      <c r="R1193" s="148"/>
      <c r="S1193" s="148"/>
      <c r="T1193" s="148"/>
      <c r="U1193" s="148"/>
      <c r="V1193" s="148"/>
      <c r="W1193" s="148"/>
      <c r="X1193" s="148"/>
      <c r="Y1193" s="148"/>
      <c r="Z1193" s="148"/>
      <c r="AA1193" s="148"/>
      <c r="AB1193" s="148"/>
      <c r="AC1193" s="148"/>
      <c r="AD1193" s="148"/>
      <c r="AE1193" s="148"/>
      <c r="AF1193" s="148"/>
    </row>
    <row r="1194" spans="2:32">
      <c r="B1194" s="148"/>
      <c r="C1194" s="148"/>
      <c r="D1194" s="148"/>
      <c r="E1194" s="148"/>
      <c r="F1194" s="148"/>
      <c r="G1194" s="148"/>
      <c r="H1194" s="148"/>
      <c r="I1194" s="148"/>
      <c r="J1194" s="148"/>
      <c r="K1194" s="148"/>
      <c r="L1194" s="148"/>
      <c r="M1194" s="148"/>
      <c r="N1194" s="148"/>
      <c r="O1194" s="148"/>
      <c r="P1194" s="148"/>
      <c r="Q1194" s="148"/>
      <c r="R1194" s="148"/>
      <c r="S1194" s="148"/>
      <c r="T1194" s="148"/>
      <c r="U1194" s="148"/>
      <c r="V1194" s="148"/>
      <c r="W1194" s="148"/>
      <c r="X1194" s="148"/>
      <c r="Y1194" s="148"/>
      <c r="Z1194" s="148"/>
      <c r="AA1194" s="148"/>
      <c r="AB1194" s="148"/>
      <c r="AC1194" s="148"/>
      <c r="AD1194" s="148"/>
      <c r="AE1194" s="148"/>
      <c r="AF1194" s="148"/>
    </row>
    <row r="1281" spans="2:32">
      <c r="B1281" s="148"/>
      <c r="C1281" s="148"/>
      <c r="D1281" s="148"/>
      <c r="E1281" s="148"/>
      <c r="F1281" s="148"/>
      <c r="G1281" s="148"/>
      <c r="H1281" s="148"/>
      <c r="I1281" s="148"/>
      <c r="J1281" s="148"/>
      <c r="K1281" s="148"/>
      <c r="L1281" s="148"/>
      <c r="M1281" s="148"/>
      <c r="N1281" s="148"/>
      <c r="O1281" s="148"/>
      <c r="P1281" s="148"/>
      <c r="Q1281" s="148"/>
      <c r="R1281" s="148"/>
      <c r="S1281" s="148"/>
      <c r="T1281" s="148"/>
      <c r="U1281" s="148"/>
      <c r="V1281" s="148"/>
      <c r="W1281" s="148"/>
      <c r="X1281" s="148"/>
      <c r="Y1281" s="148"/>
      <c r="Z1281" s="148"/>
      <c r="AA1281" s="148"/>
      <c r="AB1281" s="148"/>
      <c r="AC1281" s="148"/>
      <c r="AD1281" s="148"/>
      <c r="AE1281" s="148"/>
      <c r="AF1281" s="148"/>
    </row>
    <row r="1293" spans="2:32">
      <c r="B1293" s="148"/>
      <c r="C1293" s="148"/>
      <c r="D1293" s="148"/>
      <c r="E1293" s="148"/>
      <c r="F1293" s="148"/>
      <c r="G1293" s="148"/>
      <c r="H1293" s="148"/>
      <c r="I1293" s="148"/>
      <c r="J1293" s="148"/>
      <c r="K1293" s="148"/>
      <c r="L1293" s="148"/>
      <c r="M1293" s="148"/>
      <c r="N1293" s="148"/>
      <c r="O1293" s="148"/>
      <c r="P1293" s="148"/>
      <c r="Q1293" s="148"/>
      <c r="R1293" s="148"/>
      <c r="S1293" s="148"/>
      <c r="T1293" s="148"/>
      <c r="U1293" s="148"/>
      <c r="V1293" s="148"/>
      <c r="W1293" s="148"/>
      <c r="X1293" s="148"/>
      <c r="Y1293" s="148"/>
      <c r="Z1293" s="148"/>
      <c r="AA1293" s="148"/>
      <c r="AB1293" s="148"/>
      <c r="AC1293" s="148"/>
      <c r="AD1293" s="148"/>
      <c r="AE1293" s="148"/>
      <c r="AF1293" s="148"/>
    </row>
    <row r="1294" spans="2:32">
      <c r="B1294" s="148"/>
      <c r="C1294" s="148"/>
      <c r="D1294" s="148"/>
      <c r="E1294" s="148"/>
      <c r="F1294" s="148"/>
      <c r="G1294" s="148"/>
      <c r="H1294" s="148"/>
      <c r="I1294" s="148"/>
      <c r="J1294" s="148"/>
      <c r="K1294" s="148"/>
      <c r="L1294" s="148"/>
      <c r="M1294" s="148"/>
      <c r="N1294" s="148"/>
      <c r="O1294" s="148"/>
      <c r="P1294" s="148"/>
      <c r="Q1294" s="148"/>
      <c r="R1294" s="148"/>
      <c r="S1294" s="148"/>
      <c r="T1294" s="148"/>
      <c r="U1294" s="148"/>
      <c r="V1294" s="148"/>
      <c r="W1294" s="148"/>
      <c r="X1294" s="148"/>
      <c r="Y1294" s="148"/>
      <c r="Z1294" s="148"/>
      <c r="AA1294" s="148"/>
      <c r="AB1294" s="148"/>
      <c r="AC1294" s="148"/>
      <c r="AD1294" s="148"/>
      <c r="AE1294" s="148"/>
      <c r="AF1294" s="148"/>
    </row>
    <row r="1589" spans="2:32">
      <c r="B1589" s="148"/>
      <c r="C1589" s="148"/>
      <c r="D1589" s="148"/>
      <c r="E1589" s="148"/>
      <c r="F1589" s="148"/>
      <c r="G1589" s="148"/>
      <c r="H1589" s="148"/>
      <c r="I1589" s="148"/>
      <c r="J1589" s="148"/>
      <c r="K1589" s="148"/>
      <c r="L1589" s="148"/>
      <c r="M1589" s="148"/>
      <c r="N1589" s="148"/>
      <c r="O1589" s="148"/>
      <c r="P1589" s="148"/>
      <c r="Q1589" s="148"/>
      <c r="R1589" s="148"/>
      <c r="S1589" s="148"/>
      <c r="T1589" s="148"/>
      <c r="U1589" s="148"/>
      <c r="V1589" s="148"/>
      <c r="W1589" s="148"/>
      <c r="X1589" s="148"/>
      <c r="Y1589" s="148"/>
      <c r="Z1589" s="148"/>
      <c r="AA1589" s="148"/>
      <c r="AB1589" s="148"/>
      <c r="AC1589" s="148"/>
      <c r="AD1589" s="148"/>
      <c r="AE1589" s="148"/>
      <c r="AF1589" s="148"/>
    </row>
    <row r="1590" spans="2:32">
      <c r="B1590" s="148"/>
      <c r="C1590" s="148"/>
      <c r="D1590" s="148"/>
      <c r="E1590" s="148"/>
      <c r="F1590" s="148"/>
      <c r="G1590" s="148"/>
      <c r="H1590" s="148"/>
      <c r="I1590" s="148"/>
      <c r="J1590" s="148"/>
      <c r="K1590" s="148"/>
      <c r="L1590" s="148"/>
      <c r="M1590" s="148"/>
      <c r="N1590" s="148"/>
      <c r="O1590" s="148"/>
      <c r="P1590" s="148"/>
      <c r="Q1590" s="148"/>
      <c r="R1590" s="148"/>
      <c r="S1590" s="148"/>
      <c r="T1590" s="148"/>
      <c r="U1590" s="148"/>
      <c r="V1590" s="148"/>
      <c r="W1590" s="148"/>
      <c r="X1590" s="148"/>
      <c r="Y1590" s="148"/>
      <c r="Z1590" s="148"/>
      <c r="AA1590" s="148"/>
      <c r="AB1590" s="148"/>
      <c r="AC1590" s="148"/>
      <c r="AD1590" s="148"/>
      <c r="AE1590" s="148"/>
      <c r="AF1590" s="148"/>
    </row>
    <row r="1599" spans="2:32">
      <c r="B1599" s="148"/>
      <c r="C1599" s="148"/>
      <c r="D1599" s="148"/>
      <c r="E1599" s="148"/>
      <c r="F1599" s="148"/>
      <c r="G1599" s="148"/>
      <c r="H1599" s="148"/>
      <c r="I1599" s="148"/>
      <c r="J1599" s="148"/>
      <c r="K1599" s="148"/>
      <c r="L1599" s="148"/>
      <c r="M1599" s="148"/>
      <c r="N1599" s="148"/>
      <c r="O1599" s="148"/>
      <c r="P1599" s="148"/>
      <c r="Q1599" s="148"/>
      <c r="R1599" s="148"/>
      <c r="S1599" s="148"/>
      <c r="T1599" s="148"/>
      <c r="U1599" s="148"/>
      <c r="V1599" s="148"/>
      <c r="W1599" s="148"/>
      <c r="X1599" s="148"/>
      <c r="Y1599" s="148"/>
      <c r="Z1599" s="148"/>
      <c r="AA1599" s="148"/>
      <c r="AB1599" s="148"/>
      <c r="AC1599" s="148"/>
      <c r="AD1599" s="148"/>
      <c r="AE1599" s="148"/>
      <c r="AF1599" s="148"/>
    </row>
    <row r="1600" spans="2:32">
      <c r="B1600" s="148"/>
      <c r="C1600" s="148"/>
      <c r="D1600" s="148"/>
      <c r="E1600" s="148"/>
      <c r="F1600" s="148"/>
      <c r="G1600" s="148"/>
      <c r="H1600" s="148"/>
      <c r="I1600" s="148"/>
      <c r="J1600" s="148"/>
      <c r="K1600" s="148"/>
      <c r="L1600" s="148"/>
      <c r="M1600" s="148"/>
      <c r="N1600" s="148"/>
      <c r="O1600" s="148"/>
      <c r="P1600" s="148"/>
      <c r="Q1600" s="148"/>
      <c r="R1600" s="148"/>
      <c r="S1600" s="148"/>
      <c r="T1600" s="148"/>
      <c r="U1600" s="148"/>
      <c r="V1600" s="148"/>
      <c r="W1600" s="148"/>
      <c r="X1600" s="148"/>
      <c r="Y1600" s="148"/>
      <c r="Z1600" s="148"/>
      <c r="AA1600" s="148"/>
      <c r="AB1600" s="148"/>
      <c r="AC1600" s="148"/>
      <c r="AD1600" s="148"/>
      <c r="AE1600" s="148"/>
      <c r="AF1600" s="148"/>
    </row>
    <row r="1812" spans="2:32">
      <c r="B1812" s="148"/>
      <c r="C1812" s="148"/>
      <c r="D1812" s="148"/>
      <c r="E1812" s="148"/>
      <c r="F1812" s="148"/>
      <c r="G1812" s="148"/>
      <c r="H1812" s="148"/>
      <c r="I1812" s="148"/>
      <c r="J1812" s="148"/>
      <c r="K1812" s="148"/>
      <c r="L1812" s="148"/>
      <c r="M1812" s="148"/>
      <c r="N1812" s="148"/>
      <c r="O1812" s="148"/>
      <c r="P1812" s="148"/>
      <c r="Q1812" s="148"/>
      <c r="R1812" s="148"/>
      <c r="S1812" s="148"/>
      <c r="T1812" s="148"/>
      <c r="U1812" s="148"/>
      <c r="V1812" s="148"/>
      <c r="W1812" s="148"/>
      <c r="X1812" s="148"/>
      <c r="Y1812" s="148"/>
      <c r="Z1812" s="148"/>
      <c r="AA1812" s="148"/>
      <c r="AB1812" s="148"/>
      <c r="AC1812" s="148"/>
      <c r="AD1812" s="148"/>
      <c r="AE1812" s="148"/>
      <c r="AF1812" s="148"/>
    </row>
    <row r="1813" spans="2:32">
      <c r="B1813" s="148"/>
      <c r="C1813" s="148"/>
      <c r="D1813" s="148"/>
      <c r="E1813" s="148"/>
      <c r="F1813" s="148"/>
      <c r="G1813" s="148"/>
      <c r="H1813" s="148"/>
      <c r="I1813" s="148"/>
      <c r="J1813" s="148"/>
      <c r="K1813" s="148"/>
      <c r="L1813" s="148"/>
      <c r="M1813" s="148"/>
      <c r="N1813" s="148"/>
      <c r="O1813" s="148"/>
      <c r="P1813" s="148"/>
      <c r="Q1813" s="148"/>
      <c r="R1813" s="148"/>
      <c r="S1813" s="148"/>
      <c r="T1813" s="148"/>
      <c r="U1813" s="148"/>
      <c r="V1813" s="148"/>
      <c r="W1813" s="148"/>
      <c r="X1813" s="148"/>
      <c r="Y1813" s="148"/>
      <c r="Z1813" s="148"/>
      <c r="AA1813" s="148"/>
      <c r="AB1813" s="148"/>
      <c r="AC1813" s="148"/>
      <c r="AD1813" s="148"/>
      <c r="AE1813" s="148"/>
      <c r="AF1813" s="148"/>
    </row>
    <row r="1814" spans="2:32">
      <c r="B1814" s="148"/>
      <c r="C1814" s="148"/>
      <c r="D1814" s="148"/>
      <c r="E1814" s="148"/>
      <c r="F1814" s="148"/>
      <c r="G1814" s="148"/>
      <c r="H1814" s="148"/>
      <c r="I1814" s="148"/>
      <c r="J1814" s="148"/>
      <c r="K1814" s="148"/>
      <c r="L1814" s="148"/>
      <c r="M1814" s="148"/>
      <c r="N1814" s="148"/>
      <c r="O1814" s="148"/>
      <c r="P1814" s="148"/>
      <c r="Q1814" s="148"/>
      <c r="R1814" s="148"/>
      <c r="S1814" s="148"/>
      <c r="T1814" s="148"/>
      <c r="U1814" s="148"/>
      <c r="V1814" s="148"/>
      <c r="W1814" s="148"/>
      <c r="X1814" s="148"/>
      <c r="Y1814" s="148"/>
      <c r="Z1814" s="148"/>
      <c r="AA1814" s="148"/>
      <c r="AB1814" s="148"/>
      <c r="AC1814" s="148"/>
      <c r="AD1814" s="148"/>
      <c r="AE1814" s="148"/>
      <c r="AF1814" s="148"/>
    </row>
    <row r="1815" spans="2:32">
      <c r="B1815" s="148"/>
      <c r="C1815" s="148"/>
      <c r="D1815" s="148"/>
      <c r="E1815" s="148"/>
      <c r="F1815" s="148"/>
      <c r="G1815" s="148"/>
      <c r="H1815" s="148"/>
      <c r="I1815" s="148"/>
      <c r="J1815" s="148"/>
      <c r="K1815" s="148"/>
      <c r="L1815" s="148"/>
      <c r="M1815" s="148"/>
      <c r="N1815" s="148"/>
      <c r="O1815" s="148"/>
      <c r="P1815" s="148"/>
      <c r="Q1815" s="148"/>
      <c r="R1815" s="148"/>
      <c r="S1815" s="148"/>
      <c r="T1815" s="148"/>
      <c r="U1815" s="148"/>
      <c r="V1815" s="148"/>
      <c r="W1815" s="148"/>
      <c r="X1815" s="148"/>
      <c r="Y1815" s="148"/>
      <c r="Z1815" s="148"/>
      <c r="AA1815" s="148"/>
      <c r="AB1815" s="148"/>
      <c r="AC1815" s="148"/>
      <c r="AD1815" s="148"/>
      <c r="AE1815" s="148"/>
      <c r="AF1815" s="148"/>
    </row>
    <row r="1816" spans="2:32">
      <c r="B1816" s="148"/>
      <c r="C1816" s="148"/>
      <c r="D1816" s="148"/>
      <c r="E1816" s="148"/>
      <c r="F1816" s="148"/>
      <c r="G1816" s="148"/>
      <c r="H1816" s="148"/>
      <c r="I1816" s="148"/>
      <c r="J1816" s="148"/>
      <c r="K1816" s="148"/>
      <c r="L1816" s="148"/>
      <c r="M1816" s="148"/>
      <c r="N1816" s="148"/>
      <c r="O1816" s="148"/>
      <c r="P1816" s="148"/>
      <c r="Q1816" s="148"/>
      <c r="R1816" s="148"/>
      <c r="S1816" s="148"/>
      <c r="T1816" s="148"/>
      <c r="U1816" s="148"/>
      <c r="V1816" s="148"/>
      <c r="W1816" s="148"/>
      <c r="X1816" s="148"/>
      <c r="Y1816" s="148"/>
      <c r="Z1816" s="148"/>
      <c r="AA1816" s="148"/>
      <c r="AB1816" s="148"/>
      <c r="AC1816" s="148"/>
      <c r="AD1816" s="148"/>
      <c r="AE1816" s="148"/>
      <c r="AF1816" s="148"/>
    </row>
    <row r="1817" spans="2:32">
      <c r="B1817" s="148"/>
      <c r="C1817" s="148"/>
      <c r="D1817" s="148"/>
      <c r="E1817" s="148"/>
      <c r="F1817" s="148"/>
      <c r="G1817" s="148"/>
      <c r="H1817" s="148"/>
      <c r="I1817" s="148"/>
      <c r="J1817" s="148"/>
      <c r="K1817" s="148"/>
      <c r="L1817" s="148"/>
      <c r="M1817" s="148"/>
      <c r="N1817" s="148"/>
      <c r="O1817" s="148"/>
      <c r="P1817" s="148"/>
      <c r="Q1817" s="148"/>
      <c r="R1817" s="148"/>
      <c r="S1817" s="148"/>
      <c r="T1817" s="148"/>
      <c r="U1817" s="148"/>
      <c r="V1817" s="148"/>
      <c r="W1817" s="148"/>
      <c r="X1817" s="148"/>
      <c r="Y1817" s="148"/>
      <c r="Z1817" s="148"/>
      <c r="AA1817" s="148"/>
      <c r="AB1817" s="148"/>
      <c r="AC1817" s="148"/>
      <c r="AD1817" s="148"/>
      <c r="AE1817" s="148"/>
      <c r="AF1817" s="148"/>
    </row>
    <row r="1818" spans="2:32">
      <c r="B1818" s="148"/>
      <c r="C1818" s="148"/>
      <c r="D1818" s="148"/>
      <c r="E1818" s="148"/>
      <c r="F1818" s="148"/>
      <c r="G1818" s="148"/>
      <c r="H1818" s="148"/>
      <c r="I1818" s="148"/>
      <c r="J1818" s="148"/>
      <c r="K1818" s="148"/>
      <c r="L1818" s="148"/>
      <c r="M1818" s="148"/>
      <c r="N1818" s="148"/>
      <c r="O1818" s="148"/>
      <c r="P1818" s="148"/>
      <c r="Q1818" s="148"/>
      <c r="R1818" s="148"/>
      <c r="S1818" s="148"/>
      <c r="T1818" s="148"/>
      <c r="U1818" s="148"/>
      <c r="V1818" s="148"/>
      <c r="W1818" s="148"/>
      <c r="X1818" s="148"/>
      <c r="Y1818" s="148"/>
      <c r="Z1818" s="148"/>
      <c r="AA1818" s="148"/>
      <c r="AB1818" s="148"/>
      <c r="AC1818" s="148"/>
      <c r="AD1818" s="148"/>
      <c r="AE1818" s="148"/>
      <c r="AF1818" s="148"/>
    </row>
    <row r="1819" spans="2:32">
      <c r="B1819" s="148"/>
      <c r="C1819" s="148"/>
      <c r="D1819" s="148"/>
      <c r="E1819" s="148"/>
      <c r="F1819" s="148"/>
      <c r="G1819" s="148"/>
      <c r="H1819" s="148"/>
      <c r="I1819" s="148"/>
      <c r="J1819" s="148"/>
      <c r="K1819" s="148"/>
      <c r="L1819" s="148"/>
      <c r="M1819" s="148"/>
      <c r="N1819" s="148"/>
      <c r="O1819" s="148"/>
      <c r="P1819" s="148"/>
      <c r="Q1819" s="148"/>
      <c r="R1819" s="148"/>
      <c r="S1819" s="148"/>
      <c r="T1819" s="148"/>
      <c r="U1819" s="148"/>
      <c r="V1819" s="148"/>
      <c r="W1819" s="148"/>
      <c r="X1819" s="148"/>
      <c r="Y1819" s="148"/>
      <c r="Z1819" s="148"/>
      <c r="AA1819" s="148"/>
      <c r="AB1819" s="148"/>
      <c r="AC1819" s="148"/>
      <c r="AD1819" s="148"/>
      <c r="AE1819" s="148"/>
      <c r="AF1819" s="148"/>
    </row>
    <row r="1820" spans="2:32">
      <c r="B1820" s="148"/>
      <c r="C1820" s="148"/>
      <c r="D1820" s="148"/>
      <c r="E1820" s="148"/>
      <c r="F1820" s="148"/>
      <c r="G1820" s="148"/>
      <c r="H1820" s="148"/>
      <c r="I1820" s="148"/>
      <c r="J1820" s="148"/>
      <c r="K1820" s="148"/>
      <c r="L1820" s="148"/>
      <c r="M1820" s="148"/>
      <c r="N1820" s="148"/>
      <c r="O1820" s="148"/>
      <c r="P1820" s="148"/>
      <c r="Q1820" s="148"/>
      <c r="R1820" s="148"/>
      <c r="S1820" s="148"/>
      <c r="T1820" s="148"/>
      <c r="U1820" s="148"/>
      <c r="V1820" s="148"/>
      <c r="W1820" s="148"/>
      <c r="X1820" s="148"/>
      <c r="Y1820" s="148"/>
      <c r="Z1820" s="148"/>
      <c r="AA1820" s="148"/>
      <c r="AB1820" s="148"/>
      <c r="AC1820" s="148"/>
      <c r="AD1820" s="148"/>
      <c r="AE1820" s="148"/>
      <c r="AF1820" s="148"/>
    </row>
    <row r="1821" spans="2:32">
      <c r="B1821" s="148"/>
      <c r="C1821" s="148"/>
      <c r="D1821" s="148"/>
      <c r="E1821" s="148"/>
      <c r="F1821" s="148"/>
      <c r="G1821" s="148"/>
      <c r="H1821" s="148"/>
      <c r="I1821" s="148"/>
      <c r="J1821" s="148"/>
      <c r="K1821" s="148"/>
      <c r="L1821" s="148"/>
      <c r="M1821" s="148"/>
      <c r="N1821" s="148"/>
      <c r="O1821" s="148"/>
      <c r="P1821" s="148"/>
      <c r="Q1821" s="148"/>
      <c r="R1821" s="148"/>
      <c r="S1821" s="148"/>
      <c r="T1821" s="148"/>
      <c r="U1821" s="148"/>
      <c r="V1821" s="148"/>
      <c r="W1821" s="148"/>
      <c r="X1821" s="148"/>
      <c r="Y1821" s="148"/>
      <c r="Z1821" s="148"/>
      <c r="AA1821" s="148"/>
      <c r="AB1821" s="148"/>
      <c r="AC1821" s="148"/>
      <c r="AD1821" s="148"/>
      <c r="AE1821" s="148"/>
      <c r="AF1821" s="148"/>
    </row>
    <row r="1822" spans="2:32">
      <c r="B1822" s="148"/>
      <c r="C1822" s="148"/>
      <c r="D1822" s="148"/>
      <c r="E1822" s="148"/>
      <c r="F1822" s="148"/>
      <c r="G1822" s="148"/>
      <c r="H1822" s="148"/>
      <c r="I1822" s="148"/>
      <c r="J1822" s="148"/>
      <c r="K1822" s="148"/>
      <c r="L1822" s="148"/>
      <c r="M1822" s="148"/>
      <c r="N1822" s="148"/>
      <c r="O1822" s="148"/>
      <c r="P1822" s="148"/>
      <c r="Q1822" s="148"/>
      <c r="R1822" s="148"/>
      <c r="S1822" s="148"/>
      <c r="T1822" s="148"/>
      <c r="U1822" s="148"/>
      <c r="V1822" s="148"/>
      <c r="W1822" s="148"/>
      <c r="X1822" s="148"/>
      <c r="Y1822" s="148"/>
      <c r="Z1822" s="148"/>
      <c r="AA1822" s="148"/>
      <c r="AB1822" s="148"/>
      <c r="AC1822" s="148"/>
      <c r="AD1822" s="148"/>
      <c r="AE1822" s="148"/>
      <c r="AF1822" s="148"/>
    </row>
    <row r="1823" spans="2:32">
      <c r="B1823" s="148"/>
      <c r="C1823" s="148"/>
      <c r="D1823" s="148"/>
      <c r="E1823" s="148"/>
      <c r="F1823" s="148"/>
      <c r="G1823" s="148"/>
      <c r="H1823" s="148"/>
      <c r="I1823" s="148"/>
      <c r="J1823" s="148"/>
      <c r="K1823" s="148"/>
      <c r="L1823" s="148"/>
      <c r="M1823" s="148"/>
      <c r="N1823" s="148"/>
      <c r="O1823" s="148"/>
      <c r="P1823" s="148"/>
      <c r="Q1823" s="148"/>
      <c r="R1823" s="148"/>
      <c r="S1823" s="148"/>
      <c r="T1823" s="148"/>
      <c r="U1823" s="148"/>
      <c r="V1823" s="148"/>
      <c r="W1823" s="148"/>
      <c r="X1823" s="148"/>
      <c r="Y1823" s="148"/>
      <c r="Z1823" s="148"/>
      <c r="AA1823" s="148"/>
      <c r="AB1823" s="148"/>
      <c r="AC1823" s="148"/>
      <c r="AD1823" s="148"/>
      <c r="AE1823" s="148"/>
      <c r="AF1823" s="148"/>
    </row>
    <row r="1824" spans="2:32">
      <c r="B1824" s="148"/>
      <c r="C1824" s="148"/>
      <c r="D1824" s="148"/>
      <c r="E1824" s="148"/>
      <c r="F1824" s="148"/>
      <c r="G1824" s="148"/>
      <c r="H1824" s="148"/>
      <c r="I1824" s="148"/>
      <c r="J1824" s="148"/>
      <c r="K1824" s="148"/>
      <c r="L1824" s="148"/>
      <c r="M1824" s="148"/>
      <c r="N1824" s="148"/>
      <c r="O1824" s="148"/>
      <c r="P1824" s="148"/>
      <c r="Q1824" s="148"/>
      <c r="R1824" s="148"/>
      <c r="S1824" s="148"/>
      <c r="T1824" s="148"/>
      <c r="U1824" s="148"/>
      <c r="V1824" s="148"/>
      <c r="W1824" s="148"/>
      <c r="X1824" s="148"/>
      <c r="Y1824" s="148"/>
      <c r="Z1824" s="148"/>
      <c r="AA1824" s="148"/>
      <c r="AB1824" s="148"/>
      <c r="AC1824" s="148"/>
      <c r="AD1824" s="148"/>
      <c r="AE1824" s="148"/>
      <c r="AF1824" s="148"/>
    </row>
    <row r="2089" spans="2:32">
      <c r="B2089" s="148"/>
      <c r="C2089" s="148"/>
      <c r="D2089" s="148"/>
      <c r="E2089" s="148"/>
      <c r="F2089" s="148"/>
      <c r="G2089" s="148"/>
      <c r="H2089" s="148"/>
      <c r="I2089" s="148"/>
      <c r="J2089" s="148"/>
      <c r="K2089" s="148"/>
      <c r="L2089" s="148"/>
      <c r="M2089" s="148"/>
      <c r="N2089" s="148"/>
      <c r="O2089" s="148"/>
      <c r="P2089" s="148"/>
      <c r="Q2089" s="148"/>
      <c r="R2089" s="148"/>
      <c r="S2089" s="148"/>
      <c r="T2089" s="148"/>
      <c r="U2089" s="148"/>
      <c r="V2089" s="148"/>
      <c r="W2089" s="148"/>
      <c r="X2089" s="148"/>
      <c r="Y2089" s="148"/>
      <c r="Z2089" s="148"/>
      <c r="AA2089" s="148"/>
      <c r="AB2089" s="148"/>
      <c r="AC2089" s="148"/>
      <c r="AD2089" s="148"/>
      <c r="AE2089" s="148"/>
      <c r="AF2089" s="148"/>
    </row>
    <row r="2090" spans="2:32">
      <c r="B2090" s="148"/>
      <c r="C2090" s="148"/>
      <c r="D2090" s="148"/>
      <c r="E2090" s="148"/>
      <c r="F2090" s="148"/>
      <c r="G2090" s="148"/>
      <c r="H2090" s="148"/>
      <c r="I2090" s="148"/>
      <c r="J2090" s="148"/>
      <c r="K2090" s="148"/>
      <c r="L2090" s="148"/>
      <c r="M2090" s="148"/>
      <c r="N2090" s="148"/>
      <c r="O2090" s="148"/>
      <c r="P2090" s="148"/>
      <c r="Q2090" s="148"/>
      <c r="R2090" s="148"/>
      <c r="S2090" s="148"/>
      <c r="T2090" s="148"/>
      <c r="U2090" s="148"/>
      <c r="V2090" s="148"/>
      <c r="W2090" s="148"/>
      <c r="X2090" s="148"/>
      <c r="Y2090" s="148"/>
      <c r="Z2090" s="148"/>
      <c r="AA2090" s="148"/>
      <c r="AB2090" s="148"/>
      <c r="AC2090" s="148"/>
      <c r="AD2090" s="148"/>
      <c r="AE2090" s="148"/>
      <c r="AF2090" s="148"/>
    </row>
    <row r="2424" spans="2:32">
      <c r="B2424" s="148"/>
      <c r="C2424" s="148"/>
      <c r="D2424" s="148"/>
      <c r="E2424" s="148"/>
      <c r="F2424" s="148"/>
      <c r="G2424" s="148"/>
      <c r="H2424" s="148"/>
      <c r="I2424" s="148"/>
      <c r="J2424" s="148"/>
      <c r="K2424" s="148"/>
      <c r="L2424" s="148"/>
      <c r="M2424" s="148"/>
      <c r="N2424" s="148"/>
      <c r="O2424" s="148"/>
      <c r="P2424" s="148"/>
      <c r="Q2424" s="148"/>
      <c r="R2424" s="148"/>
      <c r="S2424" s="148"/>
      <c r="T2424" s="148"/>
      <c r="U2424" s="148"/>
      <c r="V2424" s="148"/>
      <c r="W2424" s="148"/>
      <c r="X2424" s="148"/>
      <c r="Y2424" s="148"/>
      <c r="Z2424" s="148"/>
      <c r="AA2424" s="148"/>
      <c r="AB2424" s="148"/>
      <c r="AC2424" s="148"/>
      <c r="AD2424" s="148"/>
      <c r="AE2424" s="148"/>
      <c r="AF2424" s="148"/>
    </row>
    <row r="2425" spans="2:32">
      <c r="B2425" s="148"/>
      <c r="C2425" s="148"/>
      <c r="D2425" s="148"/>
      <c r="E2425" s="148"/>
      <c r="F2425" s="148"/>
      <c r="G2425" s="148"/>
      <c r="H2425" s="148"/>
      <c r="I2425" s="148"/>
      <c r="J2425" s="148"/>
      <c r="K2425" s="148"/>
      <c r="L2425" s="148"/>
      <c r="M2425" s="148"/>
      <c r="N2425" s="148"/>
      <c r="O2425" s="148"/>
      <c r="P2425" s="148"/>
      <c r="Q2425" s="148"/>
      <c r="R2425" s="148"/>
      <c r="S2425" s="148"/>
      <c r="T2425" s="148"/>
      <c r="U2425" s="148"/>
      <c r="V2425" s="148"/>
      <c r="W2425" s="148"/>
      <c r="X2425" s="148"/>
      <c r="Y2425" s="148"/>
      <c r="Z2425" s="148"/>
      <c r="AA2425" s="148"/>
      <c r="AB2425" s="148"/>
      <c r="AC2425" s="148"/>
      <c r="AD2425" s="148"/>
      <c r="AE2425" s="148"/>
      <c r="AF2425" s="148"/>
    </row>
    <row r="2744" spans="2:32">
      <c r="B2744" s="148"/>
      <c r="C2744" s="148"/>
      <c r="D2744" s="148"/>
      <c r="E2744" s="148"/>
      <c r="F2744" s="148"/>
      <c r="G2744" s="148"/>
      <c r="H2744" s="148"/>
      <c r="I2744" s="148"/>
      <c r="J2744" s="148"/>
      <c r="K2744" s="148"/>
      <c r="L2744" s="148"/>
      <c r="M2744" s="148"/>
      <c r="N2744" s="148"/>
      <c r="O2744" s="148"/>
      <c r="P2744" s="148"/>
      <c r="Q2744" s="148"/>
      <c r="R2744" s="148"/>
      <c r="S2744" s="148"/>
      <c r="T2744" s="148"/>
      <c r="U2744" s="148"/>
      <c r="V2744" s="148"/>
      <c r="W2744" s="148"/>
      <c r="X2744" s="148"/>
      <c r="Y2744" s="148"/>
      <c r="Z2744" s="148"/>
      <c r="AA2744" s="148"/>
      <c r="AB2744" s="148"/>
      <c r="AC2744" s="148"/>
      <c r="AD2744" s="148"/>
      <c r="AE2744" s="148"/>
      <c r="AF2744" s="148"/>
    </row>
    <row r="2745" spans="2:32">
      <c r="B2745" s="148"/>
      <c r="C2745" s="148"/>
      <c r="D2745" s="148"/>
      <c r="E2745" s="148"/>
      <c r="F2745" s="148"/>
      <c r="G2745" s="148"/>
      <c r="H2745" s="148"/>
      <c r="I2745" s="148"/>
      <c r="J2745" s="148"/>
      <c r="K2745" s="148"/>
      <c r="L2745" s="148"/>
      <c r="M2745" s="148"/>
      <c r="N2745" s="148"/>
      <c r="O2745" s="148"/>
      <c r="P2745" s="148"/>
      <c r="Q2745" s="148"/>
      <c r="R2745" s="148"/>
      <c r="S2745" s="148"/>
      <c r="T2745" s="148"/>
      <c r="U2745" s="148"/>
      <c r="V2745" s="148"/>
      <c r="W2745" s="148"/>
      <c r="X2745" s="148"/>
      <c r="Y2745" s="148"/>
      <c r="Z2745" s="148"/>
      <c r="AA2745" s="148"/>
      <c r="AB2745" s="148"/>
      <c r="AC2745" s="148"/>
      <c r="AD2745" s="148"/>
      <c r="AE2745" s="148"/>
      <c r="AF2745" s="148"/>
    </row>
    <row r="2747" spans="2:32">
      <c r="B2747" s="148"/>
      <c r="C2747" s="148"/>
      <c r="D2747" s="148"/>
      <c r="E2747" s="148"/>
      <c r="F2747" s="148"/>
      <c r="G2747" s="148"/>
      <c r="H2747" s="148"/>
      <c r="I2747" s="148"/>
      <c r="J2747" s="148"/>
      <c r="K2747" s="148"/>
      <c r="L2747" s="148"/>
      <c r="M2747" s="148"/>
      <c r="N2747" s="148"/>
      <c r="O2747" s="148"/>
      <c r="P2747" s="148"/>
      <c r="Q2747" s="148"/>
      <c r="R2747" s="148"/>
      <c r="S2747" s="148"/>
      <c r="T2747" s="148"/>
      <c r="U2747" s="148"/>
      <c r="V2747" s="148"/>
      <c r="W2747" s="148"/>
      <c r="X2747" s="148"/>
      <c r="Y2747" s="148"/>
      <c r="Z2747" s="148"/>
      <c r="AA2747" s="148"/>
      <c r="AB2747" s="148"/>
      <c r="AC2747" s="148"/>
      <c r="AD2747" s="148"/>
      <c r="AE2747" s="148"/>
      <c r="AF2747" s="148"/>
    </row>
    <row r="2748" spans="2:32">
      <c r="B2748" s="148"/>
      <c r="C2748" s="148"/>
      <c r="D2748" s="148"/>
      <c r="E2748" s="148"/>
      <c r="F2748" s="148"/>
      <c r="G2748" s="148"/>
      <c r="H2748" s="148"/>
      <c r="I2748" s="148"/>
      <c r="J2748" s="148"/>
      <c r="K2748" s="148"/>
      <c r="L2748" s="148"/>
      <c r="M2748" s="148"/>
      <c r="N2748" s="148"/>
      <c r="O2748" s="148"/>
      <c r="P2748" s="148"/>
      <c r="Q2748" s="148"/>
      <c r="R2748" s="148"/>
      <c r="S2748" s="148"/>
      <c r="T2748" s="148"/>
      <c r="U2748" s="148"/>
      <c r="V2748" s="148"/>
      <c r="W2748" s="148"/>
      <c r="X2748" s="148"/>
      <c r="Y2748" s="148"/>
      <c r="Z2748" s="148"/>
      <c r="AA2748" s="148"/>
      <c r="AB2748" s="148"/>
      <c r="AC2748" s="148"/>
      <c r="AD2748" s="148"/>
      <c r="AE2748" s="148"/>
      <c r="AF2748" s="148"/>
    </row>
    <row r="2749" spans="2:32">
      <c r="B2749" s="148"/>
      <c r="C2749" s="148"/>
      <c r="D2749" s="148"/>
      <c r="E2749" s="148"/>
      <c r="F2749" s="148"/>
      <c r="G2749" s="148"/>
      <c r="H2749" s="148"/>
      <c r="I2749" s="148"/>
      <c r="J2749" s="148"/>
      <c r="K2749" s="148"/>
      <c r="L2749" s="148"/>
      <c r="M2749" s="148"/>
      <c r="N2749" s="148"/>
      <c r="O2749" s="148"/>
      <c r="P2749" s="148"/>
      <c r="Q2749" s="148"/>
      <c r="R2749" s="148"/>
      <c r="S2749" s="148"/>
      <c r="T2749" s="148"/>
      <c r="U2749" s="148"/>
      <c r="V2749" s="148"/>
      <c r="W2749" s="148"/>
      <c r="X2749" s="148"/>
      <c r="Y2749" s="148"/>
      <c r="Z2749" s="148"/>
      <c r="AA2749" s="148"/>
      <c r="AB2749" s="148"/>
      <c r="AC2749" s="148"/>
      <c r="AD2749" s="148"/>
      <c r="AE2749" s="148"/>
      <c r="AF2749" s="148"/>
    </row>
    <row r="2750" spans="2:32">
      <c r="B2750" s="148"/>
      <c r="C2750" s="148"/>
      <c r="D2750" s="148"/>
      <c r="E2750" s="148"/>
      <c r="F2750" s="148"/>
      <c r="G2750" s="148"/>
      <c r="H2750" s="148"/>
      <c r="I2750" s="148"/>
      <c r="J2750" s="148"/>
      <c r="K2750" s="148"/>
      <c r="L2750" s="148"/>
      <c r="M2750" s="148"/>
      <c r="N2750" s="148"/>
      <c r="O2750" s="148"/>
      <c r="P2750" s="148"/>
      <c r="Q2750" s="148"/>
      <c r="R2750" s="148"/>
      <c r="S2750" s="148"/>
      <c r="T2750" s="148"/>
      <c r="U2750" s="148"/>
      <c r="V2750" s="148"/>
      <c r="W2750" s="148"/>
      <c r="X2750" s="148"/>
      <c r="Y2750" s="148"/>
      <c r="Z2750" s="148"/>
      <c r="AA2750" s="148"/>
      <c r="AB2750" s="148"/>
      <c r="AC2750" s="148"/>
      <c r="AD2750" s="148"/>
      <c r="AE2750" s="148"/>
      <c r="AF2750" s="148"/>
    </row>
    <row r="2751" spans="2:32">
      <c r="B2751" s="148"/>
      <c r="C2751" s="148"/>
      <c r="D2751" s="148"/>
      <c r="E2751" s="148"/>
      <c r="F2751" s="148"/>
      <c r="G2751" s="148"/>
      <c r="H2751" s="148"/>
      <c r="I2751" s="148"/>
      <c r="J2751" s="148"/>
      <c r="K2751" s="148"/>
      <c r="L2751" s="148"/>
      <c r="M2751" s="148"/>
      <c r="N2751" s="148"/>
      <c r="O2751" s="148"/>
      <c r="P2751" s="148"/>
      <c r="Q2751" s="148"/>
      <c r="R2751" s="148"/>
      <c r="S2751" s="148"/>
      <c r="T2751" s="148"/>
      <c r="U2751" s="148"/>
      <c r="V2751" s="148"/>
      <c r="W2751" s="148"/>
      <c r="X2751" s="148"/>
      <c r="Y2751" s="148"/>
      <c r="Z2751" s="148"/>
      <c r="AA2751" s="148"/>
      <c r="AB2751" s="148"/>
      <c r="AC2751" s="148"/>
      <c r="AD2751" s="148"/>
      <c r="AE2751" s="148"/>
      <c r="AF2751" s="148"/>
    </row>
    <row r="2752" spans="2:32">
      <c r="B2752" s="148"/>
      <c r="C2752" s="148"/>
      <c r="D2752" s="148"/>
      <c r="E2752" s="148"/>
      <c r="F2752" s="148"/>
      <c r="G2752" s="148"/>
      <c r="H2752" s="148"/>
      <c r="I2752" s="148"/>
      <c r="J2752" s="148"/>
      <c r="K2752" s="148"/>
      <c r="L2752" s="148"/>
      <c r="M2752" s="148"/>
      <c r="N2752" s="148"/>
      <c r="O2752" s="148"/>
      <c r="P2752" s="148"/>
      <c r="Q2752" s="148"/>
      <c r="R2752" s="148"/>
      <c r="S2752" s="148"/>
      <c r="T2752" s="148"/>
      <c r="U2752" s="148"/>
      <c r="V2752" s="148"/>
      <c r="W2752" s="148"/>
      <c r="X2752" s="148"/>
      <c r="Y2752" s="148"/>
      <c r="Z2752" s="148"/>
      <c r="AA2752" s="148"/>
      <c r="AB2752" s="148"/>
      <c r="AC2752" s="148"/>
      <c r="AD2752" s="148"/>
      <c r="AE2752" s="148"/>
      <c r="AF2752" s="148"/>
    </row>
    <row r="3075" spans="2:32">
      <c r="B3075" s="148"/>
      <c r="C3075" s="148"/>
      <c r="D3075" s="148"/>
      <c r="E3075" s="148"/>
      <c r="F3075" s="148"/>
      <c r="G3075" s="148"/>
      <c r="H3075" s="148"/>
      <c r="I3075" s="148"/>
      <c r="J3075" s="148"/>
      <c r="K3075" s="148"/>
      <c r="L3075" s="148"/>
      <c r="M3075" s="148"/>
      <c r="N3075" s="148"/>
      <c r="O3075" s="148"/>
      <c r="P3075" s="148"/>
      <c r="Q3075" s="148"/>
      <c r="R3075" s="148"/>
      <c r="S3075" s="148"/>
      <c r="T3075" s="148"/>
      <c r="U3075" s="148"/>
      <c r="V3075" s="148"/>
      <c r="W3075" s="148"/>
      <c r="X3075" s="148"/>
      <c r="Y3075" s="148"/>
      <c r="Z3075" s="148"/>
      <c r="AA3075" s="148"/>
      <c r="AB3075" s="148"/>
      <c r="AC3075" s="148"/>
      <c r="AD3075" s="148"/>
      <c r="AE3075" s="148"/>
      <c r="AF3075" s="148"/>
    </row>
    <row r="3076" spans="2:32">
      <c r="B3076" s="148"/>
      <c r="C3076" s="148"/>
      <c r="D3076" s="148"/>
      <c r="E3076" s="148"/>
      <c r="F3076" s="148"/>
      <c r="G3076" s="148"/>
      <c r="H3076" s="148"/>
      <c r="I3076" s="148"/>
      <c r="J3076" s="148"/>
      <c r="K3076" s="148"/>
      <c r="L3076" s="148"/>
      <c r="M3076" s="148"/>
      <c r="N3076" s="148"/>
      <c r="O3076" s="148"/>
      <c r="P3076" s="148"/>
      <c r="Q3076" s="148"/>
      <c r="R3076" s="148"/>
      <c r="S3076" s="148"/>
      <c r="T3076" s="148"/>
      <c r="U3076" s="148"/>
      <c r="V3076" s="148"/>
      <c r="W3076" s="148"/>
      <c r="X3076" s="148"/>
      <c r="Y3076" s="148"/>
      <c r="Z3076" s="148"/>
      <c r="AA3076" s="148"/>
      <c r="AB3076" s="148"/>
      <c r="AC3076" s="148"/>
      <c r="AD3076" s="148"/>
      <c r="AE3076" s="148"/>
      <c r="AF3076" s="148"/>
    </row>
    <row r="3079" spans="2:32">
      <c r="B3079" s="148"/>
      <c r="C3079" s="148"/>
      <c r="D3079" s="148"/>
      <c r="E3079" s="148"/>
      <c r="F3079" s="148"/>
      <c r="G3079" s="148"/>
      <c r="H3079" s="148"/>
      <c r="I3079" s="148"/>
      <c r="J3079" s="148"/>
      <c r="K3079" s="148"/>
      <c r="L3079" s="148"/>
      <c r="M3079" s="148"/>
      <c r="N3079" s="148"/>
      <c r="O3079" s="148"/>
      <c r="P3079" s="148"/>
      <c r="Q3079" s="148"/>
      <c r="R3079" s="148"/>
      <c r="S3079" s="148"/>
      <c r="T3079" s="148"/>
      <c r="U3079" s="148"/>
      <c r="V3079" s="148"/>
      <c r="W3079" s="148"/>
      <c r="X3079" s="148"/>
      <c r="Y3079" s="148"/>
      <c r="Z3079" s="148"/>
      <c r="AA3079" s="148"/>
      <c r="AB3079" s="148"/>
      <c r="AC3079" s="148"/>
      <c r="AD3079" s="148"/>
      <c r="AE3079" s="148"/>
      <c r="AF3079" s="148"/>
    </row>
    <row r="3080" spans="2:32">
      <c r="B3080" s="148"/>
      <c r="C3080" s="148"/>
      <c r="D3080" s="148"/>
      <c r="E3080" s="148"/>
      <c r="F3080" s="148"/>
      <c r="G3080" s="148"/>
      <c r="H3080" s="148"/>
      <c r="I3080" s="148"/>
      <c r="J3080" s="148"/>
      <c r="K3080" s="148"/>
      <c r="L3080" s="148"/>
      <c r="M3080" s="148"/>
      <c r="N3080" s="148"/>
      <c r="O3080" s="148"/>
      <c r="P3080" s="148"/>
      <c r="Q3080" s="148"/>
      <c r="R3080" s="148"/>
      <c r="S3080" s="148"/>
      <c r="T3080" s="148"/>
      <c r="U3080" s="148"/>
      <c r="V3080" s="148"/>
      <c r="W3080" s="148"/>
      <c r="X3080" s="148"/>
      <c r="Y3080" s="148"/>
      <c r="Z3080" s="148"/>
      <c r="AA3080" s="148"/>
      <c r="AB3080" s="148"/>
      <c r="AC3080" s="148"/>
      <c r="AD3080" s="148"/>
      <c r="AE3080" s="148"/>
      <c r="AF3080" s="148"/>
    </row>
    <row r="3081" spans="2:32">
      <c r="B3081" s="148"/>
      <c r="C3081" s="148"/>
      <c r="D3081" s="148"/>
      <c r="E3081" s="148"/>
      <c r="F3081" s="148"/>
      <c r="G3081" s="148"/>
      <c r="H3081" s="148"/>
      <c r="I3081" s="148"/>
      <c r="J3081" s="148"/>
      <c r="K3081" s="148"/>
      <c r="L3081" s="148"/>
      <c r="M3081" s="148"/>
      <c r="N3081" s="148"/>
      <c r="O3081" s="148"/>
      <c r="P3081" s="148"/>
      <c r="Q3081" s="148"/>
      <c r="R3081" s="148"/>
      <c r="S3081" s="148"/>
      <c r="T3081" s="148"/>
      <c r="U3081" s="148"/>
      <c r="V3081" s="148"/>
      <c r="W3081" s="148"/>
      <c r="X3081" s="148"/>
      <c r="Y3081" s="148"/>
      <c r="Z3081" s="148"/>
      <c r="AA3081" s="148"/>
      <c r="AB3081" s="148"/>
      <c r="AC3081" s="148"/>
      <c r="AD3081" s="148"/>
      <c r="AE3081" s="148"/>
      <c r="AF3081" s="148"/>
    </row>
    <row r="3082" spans="2:32">
      <c r="B3082" s="148"/>
      <c r="C3082" s="148"/>
      <c r="D3082" s="148"/>
      <c r="E3082" s="148"/>
      <c r="F3082" s="148"/>
      <c r="G3082" s="148"/>
      <c r="H3082" s="148"/>
      <c r="I3082" s="148"/>
      <c r="J3082" s="148"/>
      <c r="K3082" s="148"/>
      <c r="L3082" s="148"/>
      <c r="M3082" s="148"/>
      <c r="N3082" s="148"/>
      <c r="O3082" s="148"/>
      <c r="P3082" s="148"/>
      <c r="Q3082" s="148"/>
      <c r="R3082" s="148"/>
      <c r="S3082" s="148"/>
      <c r="T3082" s="148"/>
      <c r="U3082" s="148"/>
      <c r="V3082" s="148"/>
      <c r="W3082" s="148"/>
      <c r="X3082" s="148"/>
      <c r="Y3082" s="148"/>
      <c r="Z3082" s="148"/>
      <c r="AA3082" s="148"/>
      <c r="AB3082" s="148"/>
      <c r="AC3082" s="148"/>
      <c r="AD3082" s="148"/>
      <c r="AE3082" s="148"/>
      <c r="AF3082" s="148"/>
    </row>
    <row r="3083" spans="2:32">
      <c r="B3083" s="148"/>
      <c r="C3083" s="148"/>
      <c r="D3083" s="148"/>
      <c r="E3083" s="148"/>
      <c r="F3083" s="148"/>
      <c r="G3083" s="148"/>
      <c r="H3083" s="148"/>
      <c r="I3083" s="148"/>
      <c r="J3083" s="148"/>
      <c r="K3083" s="148"/>
      <c r="L3083" s="148"/>
      <c r="M3083" s="148"/>
      <c r="N3083" s="148"/>
      <c r="O3083" s="148"/>
      <c r="P3083" s="148"/>
      <c r="Q3083" s="148"/>
      <c r="R3083" s="148"/>
      <c r="S3083" s="148"/>
      <c r="T3083" s="148"/>
      <c r="U3083" s="148"/>
      <c r="V3083" s="148"/>
      <c r="W3083" s="148"/>
      <c r="X3083" s="148"/>
      <c r="Y3083" s="148"/>
      <c r="Z3083" s="148"/>
      <c r="AA3083" s="148"/>
      <c r="AB3083" s="148"/>
      <c r="AC3083" s="148"/>
      <c r="AD3083" s="148"/>
      <c r="AE3083" s="148"/>
      <c r="AF3083" s="148"/>
    </row>
    <row r="3084" spans="2:32">
      <c r="B3084" s="148"/>
      <c r="C3084" s="148"/>
      <c r="D3084" s="148"/>
      <c r="E3084" s="148"/>
      <c r="F3084" s="148"/>
      <c r="G3084" s="148"/>
      <c r="H3084" s="148"/>
      <c r="I3084" s="148"/>
      <c r="J3084" s="148"/>
      <c r="K3084" s="148"/>
      <c r="L3084" s="148"/>
      <c r="M3084" s="148"/>
      <c r="N3084" s="148"/>
      <c r="O3084" s="148"/>
      <c r="P3084" s="148"/>
      <c r="Q3084" s="148"/>
      <c r="R3084" s="148"/>
      <c r="S3084" s="148"/>
      <c r="T3084" s="148"/>
      <c r="U3084" s="148"/>
      <c r="V3084" s="148"/>
      <c r="W3084" s="148"/>
      <c r="X3084" s="148"/>
      <c r="Y3084" s="148"/>
      <c r="Z3084" s="148"/>
      <c r="AA3084" s="148"/>
      <c r="AB3084" s="148"/>
      <c r="AC3084" s="148"/>
      <c r="AD3084" s="148"/>
      <c r="AE3084" s="148"/>
      <c r="AF3084" s="148"/>
    </row>
    <row r="3085" spans="2:32">
      <c r="B3085" s="148"/>
      <c r="C3085" s="148"/>
      <c r="D3085" s="148"/>
      <c r="E3085" s="148"/>
      <c r="F3085" s="148"/>
      <c r="G3085" s="148"/>
      <c r="H3085" s="148"/>
      <c r="I3085" s="148"/>
      <c r="J3085" s="148"/>
      <c r="K3085" s="148"/>
      <c r="L3085" s="148"/>
      <c r="M3085" s="148"/>
      <c r="N3085" s="148"/>
      <c r="O3085" s="148"/>
      <c r="P3085" s="148"/>
      <c r="Q3085" s="148"/>
      <c r="R3085" s="148"/>
      <c r="S3085" s="148"/>
      <c r="T3085" s="148"/>
      <c r="U3085" s="148"/>
      <c r="V3085" s="148"/>
      <c r="W3085" s="148"/>
      <c r="X3085" s="148"/>
      <c r="Y3085" s="148"/>
      <c r="Z3085" s="148"/>
      <c r="AA3085" s="148"/>
      <c r="AB3085" s="148"/>
      <c r="AC3085" s="148"/>
      <c r="AD3085" s="148"/>
      <c r="AE3085" s="148"/>
      <c r="AF3085" s="148"/>
    </row>
    <row r="3086" spans="2:32">
      <c r="B3086" s="148"/>
      <c r="C3086" s="148"/>
      <c r="D3086" s="148"/>
      <c r="E3086" s="148"/>
      <c r="F3086" s="148"/>
      <c r="G3086" s="148"/>
      <c r="H3086" s="148"/>
      <c r="I3086" s="148"/>
      <c r="J3086" s="148"/>
      <c r="K3086" s="148"/>
      <c r="L3086" s="148"/>
      <c r="M3086" s="148"/>
      <c r="N3086" s="148"/>
      <c r="O3086" s="148"/>
      <c r="P3086" s="148"/>
      <c r="Q3086" s="148"/>
      <c r="R3086" s="148"/>
      <c r="S3086" s="148"/>
      <c r="T3086" s="148"/>
      <c r="U3086" s="148"/>
      <c r="V3086" s="148"/>
      <c r="W3086" s="148"/>
      <c r="X3086" s="148"/>
      <c r="Y3086" s="148"/>
      <c r="Z3086" s="148"/>
      <c r="AA3086" s="148"/>
      <c r="AB3086" s="148"/>
      <c r="AC3086" s="148"/>
      <c r="AD3086" s="148"/>
      <c r="AE3086" s="148"/>
      <c r="AF3086" s="148"/>
    </row>
    <row r="3087" spans="2:32">
      <c r="B3087" s="148"/>
      <c r="C3087" s="148"/>
      <c r="D3087" s="148"/>
      <c r="E3087" s="148"/>
      <c r="F3087" s="148"/>
      <c r="G3087" s="148"/>
      <c r="H3087" s="148"/>
      <c r="I3087" s="148"/>
      <c r="J3087" s="148"/>
      <c r="K3087" s="148"/>
      <c r="L3087" s="148"/>
      <c r="M3087" s="148"/>
      <c r="N3087" s="148"/>
      <c r="O3087" s="148"/>
      <c r="P3087" s="148"/>
      <c r="Q3087" s="148"/>
      <c r="R3087" s="148"/>
      <c r="S3087" s="148"/>
      <c r="T3087" s="148"/>
      <c r="U3087" s="148"/>
      <c r="V3087" s="148"/>
      <c r="W3087" s="148"/>
      <c r="X3087" s="148"/>
      <c r="Y3087" s="148"/>
      <c r="Z3087" s="148"/>
      <c r="AA3087" s="148"/>
      <c r="AB3087" s="148"/>
      <c r="AC3087" s="148"/>
      <c r="AD3087" s="148"/>
      <c r="AE3087" s="148"/>
      <c r="AF3087" s="148"/>
    </row>
    <row r="3088" spans="2:32">
      <c r="B3088" s="148"/>
      <c r="C3088" s="148"/>
      <c r="D3088" s="148"/>
      <c r="E3088" s="148"/>
      <c r="F3088" s="148"/>
      <c r="G3088" s="148"/>
      <c r="H3088" s="148"/>
      <c r="I3088" s="148"/>
      <c r="J3088" s="148"/>
      <c r="K3088" s="148"/>
      <c r="L3088" s="148"/>
      <c r="M3088" s="148"/>
      <c r="N3088" s="148"/>
      <c r="O3088" s="148"/>
      <c r="P3088" s="148"/>
      <c r="Q3088" s="148"/>
      <c r="R3088" s="148"/>
      <c r="S3088" s="148"/>
      <c r="T3088" s="148"/>
      <c r="U3088" s="148"/>
      <c r="V3088" s="148"/>
      <c r="W3088" s="148"/>
      <c r="X3088" s="148"/>
      <c r="Y3088" s="148"/>
      <c r="Z3088" s="148"/>
      <c r="AA3088" s="148"/>
      <c r="AB3088" s="148"/>
      <c r="AC3088" s="148"/>
      <c r="AD3088" s="148"/>
      <c r="AE3088" s="148"/>
      <c r="AF3088" s="148"/>
    </row>
    <row r="3393" spans="2:32">
      <c r="B3393" s="148"/>
      <c r="C3393" s="148"/>
      <c r="D3393" s="148"/>
      <c r="E3393" s="148"/>
      <c r="F3393" s="148"/>
      <c r="G3393" s="148"/>
      <c r="H3393" s="148"/>
      <c r="I3393" s="148"/>
      <c r="J3393" s="148"/>
      <c r="K3393" s="148"/>
      <c r="L3393" s="148"/>
      <c r="M3393" s="148"/>
      <c r="N3393" s="148"/>
      <c r="O3393" s="148"/>
      <c r="P3393" s="148"/>
      <c r="Q3393" s="148"/>
      <c r="R3393" s="148"/>
      <c r="S3393" s="148"/>
      <c r="T3393" s="148"/>
      <c r="U3393" s="148"/>
      <c r="V3393" s="148"/>
      <c r="W3393" s="148"/>
      <c r="X3393" s="148"/>
      <c r="Y3393" s="148"/>
      <c r="Z3393" s="148"/>
      <c r="AA3393" s="148"/>
      <c r="AB3393" s="148"/>
      <c r="AC3393" s="148"/>
      <c r="AD3393" s="148"/>
      <c r="AE3393" s="148"/>
      <c r="AF3393" s="148"/>
    </row>
    <row r="3394" spans="2:32">
      <c r="B3394" s="148"/>
      <c r="C3394" s="148"/>
      <c r="D3394" s="148"/>
      <c r="E3394" s="148"/>
      <c r="F3394" s="148"/>
      <c r="G3394" s="148"/>
      <c r="H3394" s="148"/>
      <c r="I3394" s="148"/>
      <c r="J3394" s="148"/>
      <c r="K3394" s="148"/>
      <c r="L3394" s="148"/>
      <c r="M3394" s="148"/>
      <c r="N3394" s="148"/>
      <c r="O3394" s="148"/>
      <c r="P3394" s="148"/>
      <c r="Q3394" s="148"/>
      <c r="R3394" s="148"/>
      <c r="S3394" s="148"/>
      <c r="T3394" s="148"/>
      <c r="U3394" s="148"/>
      <c r="V3394" s="148"/>
      <c r="W3394" s="148"/>
      <c r="X3394" s="148"/>
      <c r="Y3394" s="148"/>
      <c r="Z3394" s="148"/>
      <c r="AA3394" s="148"/>
      <c r="AB3394" s="148"/>
      <c r="AC3394" s="148"/>
      <c r="AD3394" s="148"/>
      <c r="AE3394" s="148"/>
      <c r="AF3394" s="148"/>
    </row>
    <row r="3395" spans="2:32">
      <c r="B3395" s="148"/>
      <c r="C3395" s="148"/>
      <c r="D3395" s="148"/>
      <c r="E3395" s="148"/>
      <c r="F3395" s="148"/>
      <c r="G3395" s="148"/>
      <c r="H3395" s="148"/>
      <c r="I3395" s="148"/>
      <c r="J3395" s="148"/>
      <c r="K3395" s="148"/>
      <c r="L3395" s="148"/>
      <c r="M3395" s="148"/>
      <c r="N3395" s="148"/>
      <c r="O3395" s="148"/>
      <c r="P3395" s="148"/>
      <c r="Q3395" s="148"/>
      <c r="R3395" s="148"/>
      <c r="S3395" s="148"/>
      <c r="T3395" s="148"/>
      <c r="U3395" s="148"/>
      <c r="V3395" s="148"/>
      <c r="W3395" s="148"/>
      <c r="X3395" s="148"/>
      <c r="Y3395" s="148"/>
      <c r="Z3395" s="148"/>
      <c r="AA3395" s="148"/>
      <c r="AB3395" s="148"/>
      <c r="AC3395" s="148"/>
      <c r="AD3395" s="148"/>
      <c r="AE3395" s="148"/>
      <c r="AF3395" s="148"/>
    </row>
    <row r="3396" spans="2:32">
      <c r="B3396" s="148"/>
      <c r="C3396" s="148"/>
      <c r="D3396" s="148"/>
      <c r="E3396" s="148"/>
      <c r="F3396" s="148"/>
      <c r="G3396" s="148"/>
      <c r="H3396" s="148"/>
      <c r="I3396" s="148"/>
      <c r="J3396" s="148"/>
      <c r="K3396" s="148"/>
      <c r="L3396" s="148"/>
      <c r="M3396" s="148"/>
      <c r="N3396" s="148"/>
      <c r="O3396" s="148"/>
      <c r="P3396" s="148"/>
      <c r="Q3396" s="148"/>
      <c r="R3396" s="148"/>
      <c r="S3396" s="148"/>
      <c r="T3396" s="148"/>
      <c r="U3396" s="148"/>
      <c r="V3396" s="148"/>
      <c r="W3396" s="148"/>
      <c r="X3396" s="148"/>
      <c r="Y3396" s="148"/>
      <c r="Z3396" s="148"/>
      <c r="AA3396" s="148"/>
      <c r="AB3396" s="148"/>
      <c r="AC3396" s="148"/>
      <c r="AD3396" s="148"/>
      <c r="AE3396" s="148"/>
      <c r="AF3396" s="148"/>
    </row>
    <row r="3397" spans="2:32">
      <c r="B3397" s="148"/>
      <c r="C3397" s="148"/>
      <c r="D3397" s="148"/>
      <c r="E3397" s="148"/>
      <c r="F3397" s="148"/>
      <c r="G3397" s="148"/>
      <c r="H3397" s="148"/>
      <c r="I3397" s="148"/>
      <c r="J3397" s="148"/>
      <c r="K3397" s="148"/>
      <c r="L3397" s="148"/>
      <c r="M3397" s="148"/>
      <c r="N3397" s="148"/>
      <c r="O3397" s="148"/>
      <c r="P3397" s="148"/>
      <c r="Q3397" s="148"/>
      <c r="R3397" s="148"/>
      <c r="S3397" s="148"/>
      <c r="T3397" s="148"/>
      <c r="U3397" s="148"/>
      <c r="V3397" s="148"/>
      <c r="W3397" s="148"/>
      <c r="X3397" s="148"/>
      <c r="Y3397" s="148"/>
      <c r="Z3397" s="148"/>
      <c r="AA3397" s="148"/>
      <c r="AB3397" s="148"/>
      <c r="AC3397" s="148"/>
      <c r="AD3397" s="148"/>
      <c r="AE3397" s="148"/>
      <c r="AF3397" s="148"/>
    </row>
    <row r="3398" spans="2:32">
      <c r="B3398" s="148"/>
      <c r="C3398" s="148"/>
      <c r="D3398" s="148"/>
      <c r="E3398" s="148"/>
      <c r="F3398" s="148"/>
      <c r="G3398" s="148"/>
      <c r="H3398" s="148"/>
      <c r="I3398" s="148"/>
      <c r="J3398" s="148"/>
      <c r="K3398" s="148"/>
      <c r="L3398" s="148"/>
      <c r="M3398" s="148"/>
      <c r="N3398" s="148"/>
      <c r="O3398" s="148"/>
      <c r="P3398" s="148"/>
      <c r="Q3398" s="148"/>
      <c r="R3398" s="148"/>
      <c r="S3398" s="148"/>
      <c r="T3398" s="148"/>
      <c r="U3398" s="148"/>
      <c r="V3398" s="148"/>
      <c r="W3398" s="148"/>
      <c r="X3398" s="148"/>
      <c r="Y3398" s="148"/>
      <c r="Z3398" s="148"/>
      <c r="AA3398" s="148"/>
      <c r="AB3398" s="148"/>
      <c r="AC3398" s="148"/>
      <c r="AD3398" s="148"/>
      <c r="AE3398" s="148"/>
      <c r="AF3398" s="148"/>
    </row>
    <row r="3399" spans="2:32">
      <c r="B3399" s="148"/>
      <c r="C3399" s="148"/>
      <c r="D3399" s="148"/>
      <c r="E3399" s="148"/>
      <c r="F3399" s="148"/>
      <c r="G3399" s="148"/>
      <c r="H3399" s="148"/>
      <c r="I3399" s="148"/>
      <c r="J3399" s="148"/>
      <c r="K3399" s="148"/>
      <c r="L3399" s="148"/>
      <c r="M3399" s="148"/>
      <c r="N3399" s="148"/>
      <c r="O3399" s="148"/>
      <c r="P3399" s="148"/>
      <c r="Q3399" s="148"/>
      <c r="R3399" s="148"/>
      <c r="S3399" s="148"/>
      <c r="T3399" s="148"/>
      <c r="U3399" s="148"/>
      <c r="V3399" s="148"/>
      <c r="W3399" s="148"/>
      <c r="X3399" s="148"/>
      <c r="Y3399" s="148"/>
      <c r="Z3399" s="148"/>
      <c r="AA3399" s="148"/>
      <c r="AB3399" s="148"/>
      <c r="AC3399" s="148"/>
      <c r="AD3399" s="148"/>
      <c r="AE3399" s="148"/>
      <c r="AF3399" s="148"/>
    </row>
    <row r="3400" spans="2:32">
      <c r="B3400" s="148"/>
      <c r="C3400" s="148"/>
      <c r="D3400" s="148"/>
      <c r="E3400" s="148"/>
      <c r="F3400" s="148"/>
      <c r="G3400" s="148"/>
      <c r="H3400" s="148"/>
      <c r="I3400" s="148"/>
      <c r="J3400" s="148"/>
      <c r="K3400" s="148"/>
      <c r="L3400" s="148"/>
      <c r="M3400" s="148"/>
      <c r="N3400" s="148"/>
      <c r="O3400" s="148"/>
      <c r="P3400" s="148"/>
      <c r="Q3400" s="148"/>
      <c r="R3400" s="148"/>
      <c r="S3400" s="148"/>
      <c r="T3400" s="148"/>
      <c r="U3400" s="148"/>
      <c r="V3400" s="148"/>
      <c r="W3400" s="148"/>
      <c r="X3400" s="148"/>
      <c r="Y3400" s="148"/>
      <c r="Z3400" s="148"/>
      <c r="AA3400" s="148"/>
      <c r="AB3400" s="148"/>
      <c r="AC3400" s="148"/>
      <c r="AD3400" s="148"/>
      <c r="AE3400" s="148"/>
      <c r="AF3400" s="148"/>
    </row>
    <row r="3401" spans="2:32">
      <c r="B3401" s="148"/>
      <c r="C3401" s="148"/>
      <c r="D3401" s="148"/>
      <c r="E3401" s="148"/>
      <c r="F3401" s="148"/>
      <c r="G3401" s="148"/>
      <c r="H3401" s="148"/>
      <c r="I3401" s="148"/>
      <c r="J3401" s="148"/>
      <c r="K3401" s="148"/>
      <c r="L3401" s="148"/>
      <c r="M3401" s="148"/>
      <c r="N3401" s="148"/>
      <c r="O3401" s="148"/>
      <c r="P3401" s="148"/>
      <c r="Q3401" s="148"/>
      <c r="R3401" s="148"/>
      <c r="S3401" s="148"/>
      <c r="T3401" s="148"/>
      <c r="U3401" s="148"/>
      <c r="V3401" s="148"/>
      <c r="W3401" s="148"/>
      <c r="X3401" s="148"/>
      <c r="Y3401" s="148"/>
      <c r="Z3401" s="148"/>
      <c r="AA3401" s="148"/>
      <c r="AB3401" s="148"/>
      <c r="AC3401" s="148"/>
      <c r="AD3401" s="148"/>
      <c r="AE3401" s="148"/>
      <c r="AF3401" s="148"/>
    </row>
    <row r="3402" spans="2:32">
      <c r="B3402" s="148"/>
      <c r="C3402" s="148"/>
      <c r="D3402" s="148"/>
      <c r="E3402" s="148"/>
      <c r="F3402" s="148"/>
      <c r="G3402" s="148"/>
      <c r="H3402" s="148"/>
      <c r="I3402" s="148"/>
      <c r="J3402" s="148"/>
      <c r="K3402" s="148"/>
      <c r="L3402" s="148"/>
      <c r="M3402" s="148"/>
      <c r="N3402" s="148"/>
      <c r="O3402" s="148"/>
      <c r="P3402" s="148"/>
      <c r="Q3402" s="148"/>
      <c r="R3402" s="148"/>
      <c r="S3402" s="148"/>
      <c r="T3402" s="148"/>
      <c r="U3402" s="148"/>
      <c r="V3402" s="148"/>
      <c r="W3402" s="148"/>
      <c r="X3402" s="148"/>
      <c r="Y3402" s="148"/>
      <c r="Z3402" s="148"/>
      <c r="AA3402" s="148"/>
      <c r="AB3402" s="148"/>
      <c r="AC3402" s="148"/>
      <c r="AD3402" s="148"/>
      <c r="AE3402" s="148"/>
      <c r="AF3402" s="148"/>
    </row>
    <row r="3403" spans="2:32">
      <c r="B3403" s="148"/>
      <c r="C3403" s="148"/>
      <c r="D3403" s="148"/>
      <c r="E3403" s="148"/>
      <c r="F3403" s="148"/>
      <c r="G3403" s="148"/>
      <c r="H3403" s="148"/>
      <c r="I3403" s="148"/>
      <c r="J3403" s="148"/>
      <c r="K3403" s="148"/>
      <c r="L3403" s="148"/>
      <c r="M3403" s="148"/>
      <c r="N3403" s="148"/>
      <c r="O3403" s="148"/>
      <c r="P3403" s="148"/>
      <c r="Q3403" s="148"/>
      <c r="R3403" s="148"/>
      <c r="S3403" s="148"/>
      <c r="T3403" s="148"/>
      <c r="U3403" s="148"/>
      <c r="V3403" s="148"/>
      <c r="W3403" s="148"/>
      <c r="X3403" s="148"/>
      <c r="Y3403" s="148"/>
      <c r="Z3403" s="148"/>
      <c r="AA3403" s="148"/>
      <c r="AB3403" s="148"/>
      <c r="AC3403" s="148"/>
      <c r="AD3403" s="148"/>
      <c r="AE3403" s="148"/>
      <c r="AF3403" s="148"/>
    </row>
    <row r="3404" spans="2:32">
      <c r="B3404" s="148"/>
      <c r="C3404" s="148"/>
      <c r="D3404" s="148"/>
      <c r="E3404" s="148"/>
      <c r="F3404" s="148"/>
      <c r="G3404" s="148"/>
      <c r="H3404" s="148"/>
      <c r="I3404" s="148"/>
      <c r="J3404" s="148"/>
      <c r="K3404" s="148"/>
      <c r="L3404" s="148"/>
      <c r="M3404" s="148"/>
      <c r="N3404" s="148"/>
      <c r="O3404" s="148"/>
      <c r="P3404" s="148"/>
      <c r="Q3404" s="148"/>
      <c r="R3404" s="148"/>
      <c r="S3404" s="148"/>
      <c r="T3404" s="148"/>
      <c r="U3404" s="148"/>
      <c r="V3404" s="148"/>
      <c r="W3404" s="148"/>
      <c r="X3404" s="148"/>
      <c r="Y3404" s="148"/>
      <c r="Z3404" s="148"/>
      <c r="AA3404" s="148"/>
      <c r="AB3404" s="148"/>
      <c r="AC3404" s="148"/>
      <c r="AD3404" s="148"/>
      <c r="AE3404" s="148"/>
      <c r="AF3404" s="148"/>
    </row>
    <row r="3405" spans="2:32">
      <c r="B3405" s="148"/>
      <c r="C3405" s="148"/>
      <c r="D3405" s="148"/>
      <c r="E3405" s="148"/>
      <c r="F3405" s="148"/>
      <c r="G3405" s="148"/>
      <c r="H3405" s="148"/>
      <c r="I3405" s="148"/>
      <c r="J3405" s="148"/>
      <c r="K3405" s="148"/>
      <c r="L3405" s="148"/>
      <c r="M3405" s="148"/>
      <c r="N3405" s="148"/>
      <c r="O3405" s="148"/>
      <c r="P3405" s="148"/>
      <c r="Q3405" s="148"/>
      <c r="R3405" s="148"/>
      <c r="S3405" s="148"/>
      <c r="T3405" s="148"/>
      <c r="U3405" s="148"/>
      <c r="V3405" s="148"/>
      <c r="W3405" s="148"/>
      <c r="X3405" s="148"/>
      <c r="Y3405" s="148"/>
      <c r="Z3405" s="148"/>
      <c r="AA3405" s="148"/>
      <c r="AB3405" s="148"/>
      <c r="AC3405" s="148"/>
      <c r="AD3405" s="148"/>
      <c r="AE3405" s="148"/>
      <c r="AF3405" s="148"/>
    </row>
    <row r="3406" spans="2:32">
      <c r="B3406" s="148"/>
      <c r="C3406" s="148"/>
      <c r="D3406" s="148"/>
      <c r="E3406" s="148"/>
      <c r="F3406" s="148"/>
      <c r="G3406" s="148"/>
      <c r="H3406" s="148"/>
      <c r="I3406" s="148"/>
      <c r="J3406" s="148"/>
      <c r="K3406" s="148"/>
      <c r="L3406" s="148"/>
      <c r="M3406" s="148"/>
      <c r="N3406" s="148"/>
      <c r="O3406" s="148"/>
      <c r="P3406" s="148"/>
      <c r="Q3406" s="148"/>
      <c r="R3406" s="148"/>
      <c r="S3406" s="148"/>
      <c r="T3406" s="148"/>
      <c r="U3406" s="148"/>
      <c r="V3406" s="148"/>
      <c r="W3406" s="148"/>
      <c r="X3406" s="148"/>
      <c r="Y3406" s="148"/>
      <c r="Z3406" s="148"/>
      <c r="AA3406" s="148"/>
      <c r="AB3406" s="148"/>
      <c r="AC3406" s="148"/>
      <c r="AD3406" s="148"/>
      <c r="AE3406" s="148"/>
      <c r="AF3406" s="148"/>
    </row>
    <row r="3407" spans="2:32">
      <c r="B3407" s="148"/>
      <c r="C3407" s="148"/>
      <c r="D3407" s="148"/>
      <c r="E3407" s="148"/>
      <c r="F3407" s="148"/>
      <c r="G3407" s="148"/>
      <c r="H3407" s="148"/>
      <c r="I3407" s="148"/>
      <c r="J3407" s="148"/>
      <c r="K3407" s="148"/>
      <c r="L3407" s="148"/>
      <c r="M3407" s="148"/>
      <c r="N3407" s="148"/>
      <c r="O3407" s="148"/>
      <c r="P3407" s="148"/>
      <c r="Q3407" s="148"/>
      <c r="R3407" s="148"/>
      <c r="S3407" s="148"/>
      <c r="T3407" s="148"/>
      <c r="U3407" s="148"/>
      <c r="V3407" s="148"/>
      <c r="W3407" s="148"/>
      <c r="X3407" s="148"/>
      <c r="Y3407" s="148"/>
      <c r="Z3407" s="148"/>
      <c r="AA3407" s="148"/>
      <c r="AB3407" s="148"/>
      <c r="AC3407" s="148"/>
      <c r="AD3407" s="148"/>
      <c r="AE3407" s="148"/>
      <c r="AF3407" s="148"/>
    </row>
    <row r="3408" spans="2:32">
      <c r="B3408" s="148"/>
      <c r="C3408" s="148"/>
      <c r="D3408" s="148"/>
      <c r="E3408" s="148"/>
      <c r="F3408" s="148"/>
      <c r="G3408" s="148"/>
      <c r="H3408" s="148"/>
      <c r="I3408" s="148"/>
      <c r="J3408" s="148"/>
      <c r="K3408" s="148"/>
      <c r="L3408" s="148"/>
      <c r="M3408" s="148"/>
      <c r="N3408" s="148"/>
      <c r="O3408" s="148"/>
      <c r="P3408" s="148"/>
      <c r="Q3408" s="148"/>
      <c r="R3408" s="148"/>
      <c r="S3408" s="148"/>
      <c r="T3408" s="148"/>
      <c r="U3408" s="148"/>
      <c r="V3408" s="148"/>
      <c r="W3408" s="148"/>
      <c r="X3408" s="148"/>
      <c r="Y3408" s="148"/>
      <c r="Z3408" s="148"/>
      <c r="AA3408" s="148"/>
      <c r="AB3408" s="148"/>
      <c r="AC3408" s="148"/>
      <c r="AD3408" s="148"/>
      <c r="AE3408" s="148"/>
      <c r="AF3408" s="148"/>
    </row>
    <row r="3496" spans="2:32">
      <c r="B3496" s="148"/>
      <c r="C3496" s="148"/>
      <c r="D3496" s="148"/>
      <c r="E3496" s="148"/>
      <c r="F3496" s="148"/>
      <c r="G3496" s="148"/>
      <c r="H3496" s="148"/>
      <c r="I3496" s="148"/>
      <c r="J3496" s="148"/>
      <c r="K3496" s="148"/>
      <c r="L3496" s="148"/>
      <c r="M3496" s="148"/>
      <c r="N3496" s="148"/>
      <c r="O3496" s="148"/>
      <c r="P3496" s="148"/>
      <c r="Q3496" s="148"/>
      <c r="R3496" s="148"/>
      <c r="S3496" s="148"/>
      <c r="T3496" s="148"/>
      <c r="U3496" s="148"/>
      <c r="V3496" s="148"/>
      <c r="W3496" s="148"/>
      <c r="X3496" s="148"/>
      <c r="Y3496" s="148"/>
      <c r="Z3496" s="148"/>
      <c r="AA3496" s="148"/>
      <c r="AB3496" s="148"/>
      <c r="AC3496" s="148"/>
      <c r="AD3496" s="148"/>
      <c r="AE3496" s="148"/>
      <c r="AF3496" s="148"/>
    </row>
    <row r="3499" spans="2:32">
      <c r="B3499" s="148"/>
      <c r="C3499" s="148"/>
      <c r="D3499" s="148"/>
      <c r="E3499" s="148"/>
      <c r="F3499" s="148"/>
      <c r="G3499" s="148"/>
      <c r="H3499" s="148"/>
      <c r="I3499" s="148"/>
      <c r="J3499" s="148"/>
      <c r="K3499" s="148"/>
      <c r="L3499" s="148"/>
      <c r="M3499" s="148"/>
      <c r="N3499" s="148"/>
      <c r="O3499" s="148"/>
      <c r="P3499" s="148"/>
      <c r="Q3499" s="148"/>
      <c r="R3499" s="148"/>
      <c r="S3499" s="148"/>
      <c r="T3499" s="148"/>
      <c r="U3499" s="148"/>
      <c r="V3499" s="148"/>
      <c r="W3499" s="148"/>
      <c r="X3499" s="148"/>
      <c r="Y3499" s="148"/>
      <c r="Z3499" s="148"/>
      <c r="AA3499" s="148"/>
      <c r="AB3499" s="148"/>
      <c r="AC3499" s="148"/>
      <c r="AD3499" s="148"/>
      <c r="AE3499" s="148"/>
      <c r="AF3499" s="148"/>
    </row>
    <row r="3501" spans="2:32">
      <c r="B3501" s="148"/>
      <c r="C3501" s="148"/>
      <c r="D3501" s="148"/>
      <c r="E3501" s="148"/>
      <c r="F3501" s="148"/>
      <c r="G3501" s="148"/>
      <c r="H3501" s="148"/>
      <c r="I3501" s="148"/>
      <c r="J3501" s="148"/>
      <c r="K3501" s="148"/>
      <c r="L3501" s="148"/>
      <c r="M3501" s="148"/>
      <c r="N3501" s="148"/>
      <c r="O3501" s="148"/>
      <c r="P3501" s="148"/>
      <c r="Q3501" s="148"/>
      <c r="R3501" s="148"/>
      <c r="S3501" s="148"/>
      <c r="T3501" s="148"/>
      <c r="U3501" s="148"/>
      <c r="V3501" s="148"/>
      <c r="W3501" s="148"/>
      <c r="X3501" s="148"/>
      <c r="Y3501" s="148"/>
      <c r="Z3501" s="148"/>
      <c r="AA3501" s="148"/>
      <c r="AB3501" s="148"/>
      <c r="AC3501" s="148"/>
      <c r="AD3501" s="148"/>
      <c r="AE3501" s="148"/>
      <c r="AF3501" s="148"/>
    </row>
    <row r="3502" spans="2:32">
      <c r="B3502" s="148"/>
      <c r="C3502" s="148"/>
      <c r="D3502" s="148"/>
      <c r="E3502" s="148"/>
      <c r="F3502" s="148"/>
      <c r="G3502" s="148"/>
      <c r="H3502" s="148"/>
      <c r="I3502" s="148"/>
      <c r="J3502" s="148"/>
      <c r="K3502" s="148"/>
      <c r="L3502" s="148"/>
      <c r="M3502" s="148"/>
      <c r="N3502" s="148"/>
      <c r="O3502" s="148"/>
      <c r="P3502" s="148"/>
      <c r="Q3502" s="148"/>
      <c r="R3502" s="148"/>
      <c r="S3502" s="148"/>
      <c r="T3502" s="148"/>
      <c r="U3502" s="148"/>
      <c r="V3502" s="148"/>
      <c r="W3502" s="148"/>
      <c r="X3502" s="148"/>
      <c r="Y3502" s="148"/>
      <c r="Z3502" s="148"/>
      <c r="AA3502" s="148"/>
      <c r="AB3502" s="148"/>
      <c r="AC3502" s="148"/>
      <c r="AD3502" s="148"/>
      <c r="AE3502" s="148"/>
      <c r="AF3502" s="148"/>
    </row>
    <row r="3621" spans="2:32">
      <c r="B3621" s="148"/>
      <c r="C3621" s="148"/>
      <c r="D3621" s="148"/>
      <c r="E3621" s="148"/>
      <c r="F3621" s="148"/>
      <c r="G3621" s="148"/>
      <c r="H3621" s="148"/>
      <c r="I3621" s="148"/>
      <c r="J3621" s="148"/>
      <c r="K3621" s="148"/>
      <c r="L3621" s="148"/>
      <c r="M3621" s="148"/>
      <c r="N3621" s="148"/>
      <c r="O3621" s="148"/>
      <c r="P3621" s="148"/>
      <c r="Q3621" s="148"/>
      <c r="R3621" s="148"/>
      <c r="S3621" s="148"/>
      <c r="T3621" s="148"/>
      <c r="U3621" s="148"/>
      <c r="V3621" s="148"/>
      <c r="W3621" s="148"/>
      <c r="X3621" s="148"/>
      <c r="Y3621" s="148"/>
      <c r="Z3621" s="148"/>
      <c r="AA3621" s="148"/>
      <c r="AB3621" s="148"/>
      <c r="AC3621" s="148"/>
      <c r="AD3621" s="148"/>
      <c r="AE3621" s="148"/>
      <c r="AF3621" s="148"/>
    </row>
    <row r="3624" spans="2:32">
      <c r="B3624" s="148"/>
      <c r="C3624" s="148"/>
      <c r="D3624" s="148"/>
      <c r="E3624" s="148"/>
      <c r="F3624" s="148"/>
      <c r="G3624" s="148"/>
      <c r="H3624" s="148"/>
      <c r="I3624" s="148"/>
      <c r="J3624" s="148"/>
      <c r="K3624" s="148"/>
      <c r="L3624" s="148"/>
      <c r="M3624" s="148"/>
      <c r="N3624" s="148"/>
      <c r="O3624" s="148"/>
      <c r="P3624" s="148"/>
      <c r="Q3624" s="148"/>
      <c r="R3624" s="148"/>
      <c r="S3624" s="148"/>
      <c r="T3624" s="148"/>
      <c r="U3624" s="148"/>
      <c r="V3624" s="148"/>
      <c r="W3624" s="148"/>
      <c r="X3624" s="148"/>
      <c r="Y3624" s="148"/>
      <c r="Z3624" s="148"/>
      <c r="AA3624" s="148"/>
      <c r="AB3624" s="148"/>
      <c r="AC3624" s="148"/>
      <c r="AD3624" s="148"/>
      <c r="AE3624" s="148"/>
      <c r="AF3624" s="148"/>
    </row>
    <row r="3626" spans="2:32">
      <c r="B3626" s="148"/>
      <c r="C3626" s="148"/>
      <c r="D3626" s="148"/>
      <c r="E3626" s="148"/>
      <c r="F3626" s="148"/>
      <c r="G3626" s="148"/>
      <c r="H3626" s="148"/>
      <c r="I3626" s="148"/>
      <c r="J3626" s="148"/>
      <c r="K3626" s="148"/>
      <c r="L3626" s="148"/>
      <c r="M3626" s="148"/>
      <c r="N3626" s="148"/>
      <c r="O3626" s="148"/>
      <c r="P3626" s="148"/>
      <c r="Q3626" s="148"/>
      <c r="R3626" s="148"/>
      <c r="S3626" s="148"/>
      <c r="T3626" s="148"/>
      <c r="U3626" s="148"/>
      <c r="V3626" s="148"/>
      <c r="W3626" s="148"/>
      <c r="X3626" s="148"/>
      <c r="Y3626" s="148"/>
      <c r="Z3626" s="148"/>
      <c r="AA3626" s="148"/>
      <c r="AB3626" s="148"/>
      <c r="AC3626" s="148"/>
      <c r="AD3626" s="148"/>
      <c r="AE3626" s="148"/>
      <c r="AF3626" s="148"/>
    </row>
    <row r="3627" spans="2:32">
      <c r="B3627" s="148"/>
      <c r="C3627" s="148"/>
      <c r="D3627" s="148"/>
      <c r="E3627" s="148"/>
      <c r="F3627" s="148"/>
      <c r="G3627" s="148"/>
      <c r="H3627" s="148"/>
      <c r="I3627" s="148"/>
      <c r="J3627" s="148"/>
      <c r="K3627" s="148"/>
      <c r="L3627" s="148"/>
      <c r="M3627" s="148"/>
      <c r="N3627" s="148"/>
      <c r="O3627" s="148"/>
      <c r="P3627" s="148"/>
      <c r="Q3627" s="148"/>
      <c r="R3627" s="148"/>
      <c r="S3627" s="148"/>
      <c r="T3627" s="148"/>
      <c r="U3627" s="148"/>
      <c r="V3627" s="148"/>
      <c r="W3627" s="148"/>
      <c r="X3627" s="148"/>
      <c r="Y3627" s="148"/>
      <c r="Z3627" s="148"/>
      <c r="AA3627" s="148"/>
      <c r="AB3627" s="148"/>
      <c r="AC3627" s="148"/>
      <c r="AD3627" s="148"/>
      <c r="AE3627" s="148"/>
      <c r="AF3627" s="148"/>
    </row>
    <row r="3746" spans="2:32">
      <c r="B3746" s="148"/>
      <c r="C3746" s="148"/>
      <c r="D3746" s="148"/>
      <c r="E3746" s="148"/>
      <c r="F3746" s="148"/>
      <c r="G3746" s="148"/>
      <c r="H3746" s="148"/>
      <c r="I3746" s="148"/>
      <c r="J3746" s="148"/>
      <c r="K3746" s="148"/>
      <c r="L3746" s="148"/>
      <c r="M3746" s="148"/>
      <c r="N3746" s="148"/>
      <c r="O3746" s="148"/>
      <c r="P3746" s="148"/>
      <c r="Q3746" s="148"/>
      <c r="R3746" s="148"/>
      <c r="S3746" s="148"/>
      <c r="T3746" s="148"/>
      <c r="U3746" s="148"/>
      <c r="V3746" s="148"/>
      <c r="W3746" s="148"/>
      <c r="X3746" s="148"/>
      <c r="Y3746" s="148"/>
      <c r="Z3746" s="148"/>
      <c r="AA3746" s="148"/>
      <c r="AB3746" s="148"/>
      <c r="AC3746" s="148"/>
      <c r="AD3746" s="148"/>
      <c r="AE3746" s="148"/>
      <c r="AF3746" s="148"/>
    </row>
    <row r="3749" spans="2:32">
      <c r="B3749" s="148"/>
      <c r="C3749" s="148"/>
      <c r="D3749" s="148"/>
      <c r="E3749" s="148"/>
      <c r="F3749" s="148"/>
      <c r="G3749" s="148"/>
      <c r="H3749" s="148"/>
      <c r="I3749" s="148"/>
      <c r="J3749" s="148"/>
      <c r="K3749" s="148"/>
      <c r="L3749" s="148"/>
      <c r="M3749" s="148"/>
      <c r="N3749" s="148"/>
      <c r="O3749" s="148"/>
      <c r="P3749" s="148"/>
      <c r="Q3749" s="148"/>
      <c r="R3749" s="148"/>
      <c r="S3749" s="148"/>
      <c r="T3749" s="148"/>
      <c r="U3749" s="148"/>
      <c r="V3749" s="148"/>
      <c r="W3749" s="148"/>
      <c r="X3749" s="148"/>
      <c r="Y3749" s="148"/>
      <c r="Z3749" s="148"/>
      <c r="AA3749" s="148"/>
      <c r="AB3749" s="148"/>
      <c r="AC3749" s="148"/>
      <c r="AD3749" s="148"/>
      <c r="AE3749" s="148"/>
      <c r="AF3749" s="148"/>
    </row>
    <row r="3751" spans="2:32">
      <c r="B3751" s="148"/>
      <c r="C3751" s="148"/>
      <c r="D3751" s="148"/>
      <c r="E3751" s="148"/>
      <c r="F3751" s="148"/>
      <c r="G3751" s="148"/>
      <c r="H3751" s="148"/>
      <c r="I3751" s="148"/>
      <c r="J3751" s="148"/>
      <c r="K3751" s="148"/>
      <c r="L3751" s="148"/>
      <c r="M3751" s="148"/>
      <c r="N3751" s="148"/>
      <c r="O3751" s="148"/>
      <c r="P3751" s="148"/>
      <c r="Q3751" s="148"/>
      <c r="R3751" s="148"/>
      <c r="S3751" s="148"/>
      <c r="T3751" s="148"/>
      <c r="U3751" s="148"/>
      <c r="V3751" s="148"/>
      <c r="W3751" s="148"/>
      <c r="X3751" s="148"/>
      <c r="Y3751" s="148"/>
      <c r="Z3751" s="148"/>
      <c r="AA3751" s="148"/>
      <c r="AB3751" s="148"/>
      <c r="AC3751" s="148"/>
      <c r="AD3751" s="148"/>
      <c r="AE3751" s="148"/>
      <c r="AF3751" s="148"/>
    </row>
    <row r="3752" spans="2:32">
      <c r="B3752" s="148"/>
      <c r="C3752" s="148"/>
      <c r="D3752" s="148"/>
      <c r="E3752" s="148"/>
      <c r="F3752" s="148"/>
      <c r="G3752" s="148"/>
      <c r="H3752" s="148"/>
      <c r="I3752" s="148"/>
      <c r="J3752" s="148"/>
      <c r="K3752" s="148"/>
      <c r="L3752" s="148"/>
      <c r="M3752" s="148"/>
      <c r="N3752" s="148"/>
      <c r="O3752" s="148"/>
      <c r="P3752" s="148"/>
      <c r="Q3752" s="148"/>
      <c r="R3752" s="148"/>
      <c r="S3752" s="148"/>
      <c r="T3752" s="148"/>
      <c r="U3752" s="148"/>
      <c r="V3752" s="148"/>
      <c r="W3752" s="148"/>
      <c r="X3752" s="148"/>
      <c r="Y3752" s="148"/>
      <c r="Z3752" s="148"/>
      <c r="AA3752" s="148"/>
      <c r="AB3752" s="148"/>
      <c r="AC3752" s="148"/>
      <c r="AD3752" s="148"/>
      <c r="AE3752" s="148"/>
      <c r="AF3752" s="148"/>
    </row>
    <row r="3874" spans="2:32">
      <c r="B3874" s="148"/>
      <c r="C3874" s="148"/>
      <c r="D3874" s="148"/>
      <c r="E3874" s="148"/>
      <c r="F3874" s="148"/>
      <c r="G3874" s="148"/>
      <c r="H3874" s="148"/>
      <c r="I3874" s="148"/>
      <c r="J3874" s="148"/>
      <c r="K3874" s="148"/>
      <c r="L3874" s="148"/>
      <c r="M3874" s="148"/>
      <c r="N3874" s="148"/>
      <c r="O3874" s="148"/>
      <c r="P3874" s="148"/>
      <c r="Q3874" s="148"/>
      <c r="R3874" s="148"/>
      <c r="S3874" s="148"/>
      <c r="T3874" s="148"/>
      <c r="U3874" s="148"/>
      <c r="V3874" s="148"/>
      <c r="W3874" s="148"/>
      <c r="X3874" s="148"/>
      <c r="Y3874" s="148"/>
      <c r="Z3874" s="148"/>
      <c r="AA3874" s="148"/>
      <c r="AB3874" s="148"/>
      <c r="AC3874" s="148"/>
      <c r="AD3874" s="148"/>
      <c r="AE3874" s="148"/>
      <c r="AF3874" s="148"/>
    </row>
    <row r="3876" spans="2:32">
      <c r="B3876" s="148"/>
      <c r="C3876" s="148"/>
      <c r="D3876" s="148"/>
      <c r="E3876" s="148"/>
      <c r="F3876" s="148"/>
      <c r="G3876" s="148"/>
      <c r="H3876" s="148"/>
      <c r="I3876" s="148"/>
      <c r="J3876" s="148"/>
      <c r="K3876" s="148"/>
      <c r="L3876" s="148"/>
      <c r="M3876" s="148"/>
      <c r="N3876" s="148"/>
      <c r="O3876" s="148"/>
      <c r="P3876" s="148"/>
      <c r="Q3876" s="148"/>
      <c r="R3876" s="148"/>
      <c r="S3876" s="148"/>
      <c r="T3876" s="148"/>
      <c r="U3876" s="148"/>
      <c r="V3876" s="148"/>
      <c r="W3876" s="148"/>
      <c r="X3876" s="148"/>
      <c r="Y3876" s="148"/>
      <c r="Z3876" s="148"/>
      <c r="AA3876" s="148"/>
      <c r="AB3876" s="148"/>
      <c r="AC3876" s="148"/>
      <c r="AD3876" s="148"/>
      <c r="AE3876" s="148"/>
      <c r="AF3876" s="148"/>
    </row>
    <row r="3877" spans="2:32">
      <c r="B3877" s="148"/>
      <c r="C3877" s="148"/>
      <c r="D3877" s="148"/>
      <c r="E3877" s="148"/>
      <c r="F3877" s="148"/>
      <c r="G3877" s="148"/>
      <c r="H3877" s="148"/>
      <c r="I3877" s="148"/>
      <c r="J3877" s="148"/>
      <c r="K3877" s="148"/>
      <c r="L3877" s="148"/>
      <c r="M3877" s="148"/>
      <c r="N3877" s="148"/>
      <c r="O3877" s="148"/>
      <c r="P3877" s="148"/>
      <c r="Q3877" s="148"/>
      <c r="R3877" s="148"/>
      <c r="S3877" s="148"/>
      <c r="T3877" s="148"/>
      <c r="U3877" s="148"/>
      <c r="V3877" s="148"/>
      <c r="W3877" s="148"/>
      <c r="X3877" s="148"/>
      <c r="Y3877" s="148"/>
      <c r="Z3877" s="148"/>
      <c r="AA3877" s="148"/>
      <c r="AB3877" s="148"/>
      <c r="AC3877" s="148"/>
      <c r="AD3877" s="148"/>
      <c r="AE3877" s="148"/>
      <c r="AF3877" s="148"/>
    </row>
    <row r="3886" spans="2:32">
      <c r="B3886" s="148"/>
      <c r="C3886" s="148"/>
      <c r="D3886" s="148"/>
      <c r="E3886" s="148"/>
      <c r="F3886" s="148"/>
      <c r="G3886" s="148"/>
      <c r="H3886" s="148"/>
      <c r="I3886" s="148"/>
      <c r="J3886" s="148"/>
      <c r="K3886" s="148"/>
      <c r="L3886" s="148"/>
      <c r="M3886" s="148"/>
      <c r="N3886" s="148"/>
      <c r="O3886" s="148"/>
      <c r="P3886" s="148"/>
      <c r="Q3886" s="148"/>
      <c r="R3886" s="148"/>
      <c r="S3886" s="148"/>
      <c r="T3886" s="148"/>
      <c r="U3886" s="148"/>
      <c r="V3886" s="148"/>
      <c r="W3886" s="148"/>
      <c r="X3886" s="148"/>
      <c r="Y3886" s="148"/>
      <c r="Z3886" s="148"/>
      <c r="AA3886" s="148"/>
      <c r="AB3886" s="148"/>
      <c r="AC3886" s="148"/>
      <c r="AD3886" s="148"/>
      <c r="AE3886" s="148"/>
      <c r="AF3886" s="148"/>
    </row>
    <row r="3887" spans="2:32">
      <c r="B3887" s="148"/>
      <c r="C3887" s="148"/>
      <c r="D3887" s="148"/>
      <c r="E3887" s="148"/>
      <c r="F3887" s="148"/>
      <c r="G3887" s="148"/>
      <c r="H3887" s="148"/>
      <c r="I3887" s="148"/>
      <c r="J3887" s="148"/>
      <c r="K3887" s="148"/>
      <c r="L3887" s="148"/>
      <c r="M3887" s="148"/>
      <c r="N3887" s="148"/>
      <c r="O3887" s="148"/>
      <c r="P3887" s="148"/>
      <c r="Q3887" s="148"/>
      <c r="R3887" s="148"/>
      <c r="S3887" s="148"/>
      <c r="T3887" s="148"/>
      <c r="U3887" s="148"/>
      <c r="V3887" s="148"/>
      <c r="W3887" s="148"/>
      <c r="X3887" s="148"/>
      <c r="Y3887" s="148"/>
      <c r="Z3887" s="148"/>
      <c r="AA3887" s="148"/>
      <c r="AB3887" s="148"/>
      <c r="AC3887" s="148"/>
      <c r="AD3887" s="148"/>
      <c r="AE3887" s="148"/>
      <c r="AF3887" s="148"/>
    </row>
    <row r="3888" spans="2:32">
      <c r="B3888" s="148"/>
      <c r="C3888" s="148"/>
      <c r="D3888" s="148"/>
      <c r="E3888" s="148"/>
      <c r="F3888" s="148"/>
      <c r="G3888" s="148"/>
      <c r="H3888" s="148"/>
      <c r="I3888" s="148"/>
      <c r="J3888" s="148"/>
      <c r="K3888" s="148"/>
      <c r="L3888" s="148"/>
      <c r="M3888" s="148"/>
      <c r="N3888" s="148"/>
      <c r="O3888" s="148"/>
      <c r="P3888" s="148"/>
      <c r="Q3888" s="148"/>
      <c r="R3888" s="148"/>
      <c r="S3888" s="148"/>
      <c r="T3888" s="148"/>
      <c r="U3888" s="148"/>
      <c r="V3888" s="148"/>
      <c r="W3888" s="148"/>
      <c r="X3888" s="148"/>
      <c r="Y3888" s="148"/>
      <c r="Z3888" s="148"/>
      <c r="AA3888" s="148"/>
      <c r="AB3888" s="148"/>
      <c r="AC3888" s="148"/>
      <c r="AD3888" s="148"/>
      <c r="AE3888" s="148"/>
      <c r="AF3888" s="148"/>
    </row>
    <row r="4001" spans="2:32">
      <c r="B4001" s="148"/>
      <c r="C4001" s="148"/>
      <c r="D4001" s="148"/>
      <c r="E4001" s="148"/>
      <c r="F4001" s="148"/>
      <c r="G4001" s="148"/>
      <c r="H4001" s="148"/>
      <c r="I4001" s="148"/>
      <c r="J4001" s="148"/>
      <c r="K4001" s="148"/>
      <c r="L4001" s="148"/>
      <c r="M4001" s="148"/>
      <c r="N4001" s="148"/>
      <c r="O4001" s="148"/>
      <c r="P4001" s="148"/>
      <c r="Q4001" s="148"/>
      <c r="R4001" s="148"/>
      <c r="S4001" s="148"/>
      <c r="T4001" s="148"/>
      <c r="U4001" s="148"/>
      <c r="V4001" s="148"/>
      <c r="W4001" s="148"/>
      <c r="X4001" s="148"/>
      <c r="Y4001" s="148"/>
      <c r="Z4001" s="148"/>
      <c r="AA4001" s="148"/>
      <c r="AB4001" s="148"/>
      <c r="AC4001" s="148"/>
      <c r="AD4001" s="148"/>
      <c r="AE4001" s="148"/>
      <c r="AF4001" s="148"/>
    </row>
    <row r="4002" spans="2:32">
      <c r="B4002" s="148"/>
      <c r="C4002" s="148"/>
      <c r="D4002" s="148"/>
      <c r="E4002" s="148"/>
      <c r="F4002" s="148"/>
      <c r="G4002" s="148"/>
      <c r="H4002" s="148"/>
      <c r="I4002" s="148"/>
      <c r="J4002" s="148"/>
      <c r="K4002" s="148"/>
      <c r="L4002" s="148"/>
      <c r="M4002" s="148"/>
      <c r="N4002" s="148"/>
      <c r="O4002" s="148"/>
      <c r="P4002" s="148"/>
      <c r="Q4002" s="148"/>
      <c r="R4002" s="148"/>
      <c r="S4002" s="148"/>
      <c r="T4002" s="148"/>
      <c r="U4002" s="148"/>
      <c r="V4002" s="148"/>
      <c r="W4002" s="148"/>
      <c r="X4002" s="148"/>
      <c r="Y4002" s="148"/>
      <c r="Z4002" s="148"/>
      <c r="AA4002" s="148"/>
      <c r="AB4002" s="148"/>
      <c r="AC4002" s="148"/>
      <c r="AD4002" s="148"/>
      <c r="AE4002" s="148"/>
      <c r="AF4002" s="148"/>
    </row>
    <row r="4011" spans="2:32">
      <c r="B4011" s="148"/>
      <c r="C4011" s="148"/>
      <c r="D4011" s="148"/>
      <c r="E4011" s="148"/>
      <c r="F4011" s="148"/>
      <c r="G4011" s="148"/>
      <c r="H4011" s="148"/>
      <c r="I4011" s="148"/>
      <c r="J4011" s="148"/>
      <c r="K4011" s="148"/>
      <c r="L4011" s="148"/>
      <c r="M4011" s="148"/>
      <c r="N4011" s="148"/>
      <c r="O4011" s="148"/>
      <c r="P4011" s="148"/>
      <c r="Q4011" s="148"/>
      <c r="R4011" s="148"/>
      <c r="S4011" s="148"/>
      <c r="T4011" s="148"/>
      <c r="U4011" s="148"/>
      <c r="V4011" s="148"/>
      <c r="W4011" s="148"/>
      <c r="X4011" s="148"/>
      <c r="Y4011" s="148"/>
      <c r="Z4011" s="148"/>
      <c r="AA4011" s="148"/>
      <c r="AB4011" s="148"/>
      <c r="AC4011" s="148"/>
      <c r="AD4011" s="148"/>
      <c r="AE4011" s="148"/>
      <c r="AF4011" s="148"/>
    </row>
    <row r="4012" spans="2:32">
      <c r="B4012" s="148"/>
      <c r="C4012" s="148"/>
      <c r="D4012" s="148"/>
      <c r="E4012" s="148"/>
      <c r="F4012" s="148"/>
      <c r="G4012" s="148"/>
      <c r="H4012" s="148"/>
      <c r="I4012" s="148"/>
      <c r="J4012" s="148"/>
      <c r="K4012" s="148"/>
      <c r="L4012" s="148"/>
      <c r="M4012" s="148"/>
      <c r="N4012" s="148"/>
      <c r="O4012" s="148"/>
      <c r="P4012" s="148"/>
      <c r="Q4012" s="148"/>
      <c r="R4012" s="148"/>
      <c r="S4012" s="148"/>
      <c r="T4012" s="148"/>
      <c r="U4012" s="148"/>
      <c r="V4012" s="148"/>
      <c r="W4012" s="148"/>
      <c r="X4012" s="148"/>
      <c r="Y4012" s="148"/>
      <c r="Z4012" s="148"/>
      <c r="AA4012" s="148"/>
      <c r="AB4012" s="148"/>
      <c r="AC4012" s="148"/>
      <c r="AD4012" s="148"/>
      <c r="AE4012" s="148"/>
      <c r="AF4012" s="148"/>
    </row>
    <row r="4013" spans="2:32">
      <c r="B4013" s="148"/>
      <c r="C4013" s="148"/>
      <c r="D4013" s="148"/>
      <c r="E4013" s="148"/>
      <c r="F4013" s="148"/>
      <c r="G4013" s="148"/>
      <c r="H4013" s="148"/>
      <c r="I4013" s="148"/>
      <c r="J4013" s="148"/>
      <c r="K4013" s="148"/>
      <c r="L4013" s="148"/>
      <c r="M4013" s="148"/>
      <c r="N4013" s="148"/>
      <c r="O4013" s="148"/>
      <c r="P4013" s="148"/>
      <c r="Q4013" s="148"/>
      <c r="R4013" s="148"/>
      <c r="S4013" s="148"/>
      <c r="T4013" s="148"/>
      <c r="U4013" s="148"/>
      <c r="V4013" s="148"/>
      <c r="W4013" s="148"/>
      <c r="X4013" s="148"/>
      <c r="Y4013" s="148"/>
      <c r="Z4013" s="148"/>
      <c r="AA4013" s="148"/>
      <c r="AB4013" s="148"/>
      <c r="AC4013" s="148"/>
      <c r="AD4013" s="148"/>
      <c r="AE4013" s="148"/>
      <c r="AF4013" s="148"/>
    </row>
    <row r="4014" spans="2:32">
      <c r="B4014" s="148"/>
      <c r="C4014" s="148"/>
      <c r="D4014" s="148"/>
      <c r="E4014" s="148"/>
      <c r="F4014" s="148"/>
      <c r="G4014" s="148"/>
      <c r="H4014" s="148"/>
      <c r="I4014" s="148"/>
      <c r="J4014" s="148"/>
      <c r="K4014" s="148"/>
      <c r="L4014" s="148"/>
      <c r="M4014" s="148"/>
      <c r="N4014" s="148"/>
      <c r="O4014" s="148"/>
      <c r="P4014" s="148"/>
      <c r="Q4014" s="148"/>
      <c r="R4014" s="148"/>
      <c r="S4014" s="148"/>
      <c r="T4014" s="148"/>
      <c r="U4014" s="148"/>
      <c r="V4014" s="148"/>
      <c r="W4014" s="148"/>
      <c r="X4014" s="148"/>
      <c r="Y4014" s="148"/>
      <c r="Z4014" s="148"/>
      <c r="AA4014" s="148"/>
      <c r="AB4014" s="148"/>
      <c r="AC4014" s="148"/>
      <c r="AD4014" s="148"/>
      <c r="AE4014" s="148"/>
      <c r="AF4014" s="148"/>
    </row>
    <row r="4015" spans="2:32">
      <c r="B4015" s="148"/>
      <c r="C4015" s="148"/>
      <c r="D4015" s="148"/>
      <c r="E4015" s="148"/>
      <c r="F4015" s="148"/>
      <c r="G4015" s="148"/>
      <c r="H4015" s="148"/>
      <c r="I4015" s="148"/>
      <c r="J4015" s="148"/>
      <c r="K4015" s="148"/>
      <c r="L4015" s="148"/>
      <c r="M4015" s="148"/>
      <c r="N4015" s="148"/>
      <c r="O4015" s="148"/>
      <c r="P4015" s="148"/>
      <c r="Q4015" s="148"/>
      <c r="R4015" s="148"/>
      <c r="S4015" s="148"/>
      <c r="T4015" s="148"/>
      <c r="U4015" s="148"/>
      <c r="V4015" s="148"/>
      <c r="W4015" s="148"/>
      <c r="X4015" s="148"/>
      <c r="Y4015" s="148"/>
      <c r="Z4015" s="148"/>
      <c r="AA4015" s="148"/>
      <c r="AB4015" s="148"/>
      <c r="AC4015" s="148"/>
      <c r="AD4015" s="148"/>
      <c r="AE4015" s="148"/>
      <c r="AF4015" s="148"/>
    </row>
    <row r="4016" spans="2:32">
      <c r="B4016" s="148"/>
      <c r="C4016" s="148"/>
      <c r="D4016" s="148"/>
      <c r="E4016" s="148"/>
      <c r="F4016" s="148"/>
      <c r="G4016" s="148"/>
      <c r="H4016" s="148"/>
      <c r="I4016" s="148"/>
      <c r="J4016" s="148"/>
      <c r="K4016" s="148"/>
      <c r="L4016" s="148"/>
      <c r="M4016" s="148"/>
      <c r="N4016" s="148"/>
      <c r="O4016" s="148"/>
      <c r="P4016" s="148"/>
      <c r="Q4016" s="148"/>
      <c r="R4016" s="148"/>
      <c r="S4016" s="148"/>
      <c r="T4016" s="148"/>
      <c r="U4016" s="148"/>
      <c r="V4016" s="148"/>
      <c r="W4016" s="148"/>
      <c r="X4016" s="148"/>
      <c r="Y4016" s="148"/>
      <c r="Z4016" s="148"/>
      <c r="AA4016" s="148"/>
      <c r="AB4016" s="148"/>
      <c r="AC4016" s="148"/>
      <c r="AD4016" s="148"/>
      <c r="AE4016" s="148"/>
      <c r="AF4016" s="148"/>
    </row>
    <row r="4121" spans="2:32">
      <c r="B4121" s="148"/>
      <c r="C4121" s="148"/>
      <c r="D4121" s="148"/>
      <c r="E4121" s="148"/>
      <c r="F4121" s="148"/>
      <c r="G4121" s="148"/>
      <c r="H4121" s="148"/>
      <c r="I4121" s="148"/>
      <c r="J4121" s="148"/>
      <c r="K4121" s="148"/>
      <c r="L4121" s="148"/>
      <c r="M4121" s="148"/>
      <c r="N4121" s="148"/>
      <c r="O4121" s="148"/>
      <c r="P4121" s="148"/>
      <c r="Q4121" s="148"/>
      <c r="R4121" s="148"/>
      <c r="S4121" s="148"/>
      <c r="T4121" s="148"/>
      <c r="U4121" s="148"/>
      <c r="V4121" s="148"/>
      <c r="W4121" s="148"/>
      <c r="X4121" s="148"/>
      <c r="Y4121" s="148"/>
      <c r="Z4121" s="148"/>
      <c r="AA4121" s="148"/>
      <c r="AB4121" s="148"/>
      <c r="AC4121" s="148"/>
      <c r="AD4121" s="148"/>
      <c r="AE4121" s="148"/>
      <c r="AF4121" s="148"/>
    </row>
    <row r="4124" spans="2:32">
      <c r="B4124" s="148"/>
      <c r="C4124" s="148"/>
      <c r="D4124" s="148"/>
      <c r="E4124" s="148"/>
      <c r="F4124" s="148"/>
      <c r="G4124" s="148"/>
      <c r="H4124" s="148"/>
      <c r="I4124" s="148"/>
      <c r="J4124" s="148"/>
      <c r="K4124" s="148"/>
      <c r="L4124" s="148"/>
      <c r="M4124" s="148"/>
      <c r="N4124" s="148"/>
      <c r="O4124" s="148"/>
      <c r="P4124" s="148"/>
      <c r="Q4124" s="148"/>
      <c r="R4124" s="148"/>
      <c r="S4124" s="148"/>
      <c r="T4124" s="148"/>
      <c r="U4124" s="148"/>
      <c r="V4124" s="148"/>
      <c r="W4124" s="148"/>
      <c r="X4124" s="148"/>
      <c r="Y4124" s="148"/>
      <c r="Z4124" s="148"/>
      <c r="AA4124" s="148"/>
      <c r="AB4124" s="148"/>
      <c r="AC4124" s="148"/>
      <c r="AD4124" s="148"/>
      <c r="AE4124" s="148"/>
      <c r="AF4124" s="148"/>
    </row>
    <row r="4126" spans="2:32">
      <c r="B4126" s="148"/>
      <c r="C4126" s="148"/>
      <c r="D4126" s="148"/>
      <c r="E4126" s="148"/>
      <c r="F4126" s="148"/>
      <c r="G4126" s="148"/>
      <c r="H4126" s="148"/>
      <c r="I4126" s="148"/>
      <c r="J4126" s="148"/>
      <c r="K4126" s="148"/>
      <c r="L4126" s="148"/>
      <c r="M4126" s="148"/>
      <c r="N4126" s="148"/>
      <c r="O4126" s="148"/>
      <c r="P4126" s="148"/>
      <c r="Q4126" s="148"/>
      <c r="R4126" s="148"/>
      <c r="S4126" s="148"/>
      <c r="T4126" s="148"/>
      <c r="U4126" s="148"/>
      <c r="V4126" s="148"/>
      <c r="W4126" s="148"/>
      <c r="X4126" s="148"/>
      <c r="Y4126" s="148"/>
      <c r="Z4126" s="148"/>
      <c r="AA4126" s="148"/>
      <c r="AB4126" s="148"/>
      <c r="AC4126" s="148"/>
      <c r="AD4126" s="148"/>
      <c r="AE4126" s="148"/>
      <c r="AF4126" s="148"/>
    </row>
    <row r="4127" spans="2:32">
      <c r="B4127" s="148"/>
      <c r="C4127" s="148"/>
      <c r="D4127" s="148"/>
      <c r="E4127" s="148"/>
      <c r="F4127" s="148"/>
      <c r="G4127" s="148"/>
      <c r="H4127" s="148"/>
      <c r="I4127" s="148"/>
      <c r="J4127" s="148"/>
      <c r="K4127" s="148"/>
      <c r="L4127" s="148"/>
      <c r="M4127" s="148"/>
      <c r="N4127" s="148"/>
      <c r="O4127" s="148"/>
      <c r="P4127" s="148"/>
      <c r="Q4127" s="148"/>
      <c r="R4127" s="148"/>
      <c r="S4127" s="148"/>
      <c r="T4127" s="148"/>
      <c r="U4127" s="148"/>
      <c r="V4127" s="148"/>
      <c r="W4127" s="148"/>
      <c r="X4127" s="148"/>
      <c r="Y4127" s="148"/>
      <c r="Z4127" s="148"/>
      <c r="AA4127" s="148"/>
      <c r="AB4127" s="148"/>
      <c r="AC4127" s="148"/>
      <c r="AD4127" s="148"/>
      <c r="AE4127" s="148"/>
      <c r="AF4127" s="148"/>
    </row>
    <row r="4246" spans="2:32">
      <c r="B4246" s="148"/>
      <c r="C4246" s="148"/>
      <c r="D4246" s="148"/>
      <c r="E4246" s="148"/>
      <c r="F4246" s="148"/>
      <c r="G4246" s="148"/>
      <c r="H4246" s="148"/>
      <c r="I4246" s="148"/>
      <c r="J4246" s="148"/>
      <c r="K4246" s="148"/>
      <c r="L4246" s="148"/>
      <c r="M4246" s="148"/>
      <c r="N4246" s="148"/>
      <c r="O4246" s="148"/>
      <c r="P4246" s="148"/>
      <c r="Q4246" s="148"/>
      <c r="R4246" s="148"/>
      <c r="S4246" s="148"/>
      <c r="T4246" s="148"/>
      <c r="U4246" s="148"/>
      <c r="V4246" s="148"/>
      <c r="W4246" s="148"/>
      <c r="X4246" s="148"/>
      <c r="Y4246" s="148"/>
      <c r="Z4246" s="148"/>
      <c r="AA4246" s="148"/>
      <c r="AB4246" s="148"/>
      <c r="AC4246" s="148"/>
      <c r="AD4246" s="148"/>
      <c r="AE4246" s="148"/>
      <c r="AF4246" s="148"/>
    </row>
    <row r="4249" spans="2:32">
      <c r="B4249" s="148"/>
      <c r="C4249" s="148"/>
      <c r="D4249" s="148"/>
      <c r="E4249" s="148"/>
      <c r="F4249" s="148"/>
      <c r="G4249" s="148"/>
      <c r="H4249" s="148"/>
      <c r="I4249" s="148"/>
      <c r="J4249" s="148"/>
      <c r="K4249" s="148"/>
      <c r="L4249" s="148"/>
      <c r="M4249" s="148"/>
      <c r="N4249" s="148"/>
      <c r="O4249" s="148"/>
      <c r="P4249" s="148"/>
      <c r="Q4249" s="148"/>
      <c r="R4249" s="148"/>
      <c r="S4249" s="148"/>
      <c r="T4249" s="148"/>
      <c r="U4249" s="148"/>
      <c r="V4249" s="148"/>
      <c r="W4249" s="148"/>
      <c r="X4249" s="148"/>
      <c r="Y4249" s="148"/>
      <c r="Z4249" s="148"/>
      <c r="AA4249" s="148"/>
      <c r="AB4249" s="148"/>
      <c r="AC4249" s="148"/>
      <c r="AD4249" s="148"/>
      <c r="AE4249" s="148"/>
      <c r="AF4249" s="148"/>
    </row>
    <row r="4251" spans="2:32">
      <c r="B4251" s="148"/>
      <c r="C4251" s="148"/>
      <c r="D4251" s="148"/>
      <c r="E4251" s="148"/>
      <c r="F4251" s="148"/>
      <c r="G4251" s="148"/>
      <c r="H4251" s="148"/>
      <c r="I4251" s="148"/>
      <c r="J4251" s="148"/>
      <c r="K4251" s="148"/>
      <c r="L4251" s="148"/>
      <c r="M4251" s="148"/>
      <c r="N4251" s="148"/>
      <c r="O4251" s="148"/>
      <c r="P4251" s="148"/>
      <c r="Q4251" s="148"/>
      <c r="R4251" s="148"/>
      <c r="S4251" s="148"/>
      <c r="T4251" s="148"/>
      <c r="U4251" s="148"/>
      <c r="V4251" s="148"/>
      <c r="W4251" s="148"/>
      <c r="X4251" s="148"/>
      <c r="Y4251" s="148"/>
      <c r="Z4251" s="148"/>
      <c r="AA4251" s="148"/>
      <c r="AB4251" s="148"/>
      <c r="AC4251" s="148"/>
      <c r="AD4251" s="148"/>
      <c r="AE4251" s="148"/>
      <c r="AF4251" s="148"/>
    </row>
    <row r="4252" spans="2:32">
      <c r="B4252" s="148"/>
      <c r="C4252" s="148"/>
      <c r="D4252" s="148"/>
      <c r="E4252" s="148"/>
      <c r="F4252" s="148"/>
      <c r="G4252" s="148"/>
      <c r="H4252" s="148"/>
      <c r="I4252" s="148"/>
      <c r="J4252" s="148"/>
      <c r="K4252" s="148"/>
      <c r="L4252" s="148"/>
      <c r="M4252" s="148"/>
      <c r="N4252" s="148"/>
      <c r="O4252" s="148"/>
      <c r="P4252" s="148"/>
      <c r="Q4252" s="148"/>
      <c r="R4252" s="148"/>
      <c r="S4252" s="148"/>
      <c r="T4252" s="148"/>
      <c r="U4252" s="148"/>
      <c r="V4252" s="148"/>
      <c r="W4252" s="148"/>
      <c r="X4252" s="148"/>
      <c r="Y4252" s="148"/>
      <c r="Z4252" s="148"/>
      <c r="AA4252" s="148"/>
      <c r="AB4252" s="148"/>
      <c r="AC4252" s="148"/>
      <c r="AD4252" s="148"/>
      <c r="AE4252" s="148"/>
      <c r="AF4252" s="148"/>
    </row>
    <row r="4371" spans="2:32">
      <c r="B4371" s="148"/>
      <c r="C4371" s="148"/>
      <c r="D4371" s="148"/>
      <c r="E4371" s="148"/>
      <c r="F4371" s="148"/>
      <c r="G4371" s="148"/>
      <c r="H4371" s="148"/>
      <c r="I4371" s="148"/>
      <c r="J4371" s="148"/>
      <c r="K4371" s="148"/>
      <c r="L4371" s="148"/>
      <c r="M4371" s="148"/>
      <c r="N4371" s="148"/>
      <c r="O4371" s="148"/>
      <c r="P4371" s="148"/>
      <c r="Q4371" s="148"/>
      <c r="R4371" s="148"/>
      <c r="S4371" s="148"/>
      <c r="T4371" s="148"/>
      <c r="U4371" s="148"/>
      <c r="V4371" s="148"/>
      <c r="W4371" s="148"/>
      <c r="X4371" s="148"/>
      <c r="Y4371" s="148"/>
      <c r="Z4371" s="148"/>
      <c r="AA4371" s="148"/>
      <c r="AB4371" s="148"/>
      <c r="AC4371" s="148"/>
      <c r="AD4371" s="148"/>
      <c r="AE4371" s="148"/>
      <c r="AF4371" s="148"/>
    </row>
    <row r="4374" spans="2:32">
      <c r="B4374" s="148"/>
      <c r="C4374" s="148"/>
      <c r="D4374" s="148"/>
      <c r="E4374" s="148"/>
      <c r="F4374" s="148"/>
      <c r="G4374" s="148"/>
      <c r="H4374" s="148"/>
      <c r="I4374" s="148"/>
      <c r="J4374" s="148"/>
      <c r="K4374" s="148"/>
      <c r="L4374" s="148"/>
      <c r="M4374" s="148"/>
      <c r="N4374" s="148"/>
      <c r="O4374" s="148"/>
      <c r="P4374" s="148"/>
      <c r="Q4374" s="148"/>
      <c r="R4374" s="148"/>
      <c r="S4374" s="148"/>
      <c r="T4374" s="148"/>
      <c r="U4374" s="148"/>
      <c r="V4374" s="148"/>
      <c r="W4374" s="148"/>
      <c r="X4374" s="148"/>
      <c r="Y4374" s="148"/>
      <c r="Z4374" s="148"/>
      <c r="AA4374" s="148"/>
      <c r="AB4374" s="148"/>
      <c r="AC4374" s="148"/>
      <c r="AD4374" s="148"/>
      <c r="AE4374" s="148"/>
      <c r="AF4374" s="148"/>
    </row>
    <row r="4376" spans="2:32">
      <c r="B4376" s="148"/>
      <c r="C4376" s="148"/>
      <c r="D4376" s="148"/>
      <c r="E4376" s="148"/>
      <c r="F4376" s="148"/>
      <c r="G4376" s="148"/>
      <c r="H4376" s="148"/>
      <c r="I4376" s="148"/>
      <c r="J4376" s="148"/>
      <c r="K4376" s="148"/>
      <c r="L4376" s="148"/>
      <c r="M4376" s="148"/>
      <c r="N4376" s="148"/>
      <c r="O4376" s="148"/>
      <c r="P4376" s="148"/>
      <c r="Q4376" s="148"/>
      <c r="R4376" s="148"/>
      <c r="S4376" s="148"/>
      <c r="T4376" s="148"/>
      <c r="U4376" s="148"/>
      <c r="V4376" s="148"/>
      <c r="W4376" s="148"/>
      <c r="X4376" s="148"/>
      <c r="Y4376" s="148"/>
      <c r="Z4376" s="148"/>
      <c r="AA4376" s="148"/>
      <c r="AB4376" s="148"/>
      <c r="AC4376" s="148"/>
      <c r="AD4376" s="148"/>
      <c r="AE4376" s="148"/>
      <c r="AF4376" s="148"/>
    </row>
    <row r="4377" spans="2:32">
      <c r="B4377" s="148"/>
      <c r="C4377" s="148"/>
      <c r="D4377" s="148"/>
      <c r="E4377" s="148"/>
      <c r="F4377" s="148"/>
      <c r="G4377" s="148"/>
      <c r="H4377" s="148"/>
      <c r="I4377" s="148"/>
      <c r="J4377" s="148"/>
      <c r="K4377" s="148"/>
      <c r="L4377" s="148"/>
      <c r="M4377" s="148"/>
      <c r="N4377" s="148"/>
      <c r="O4377" s="148"/>
      <c r="P4377" s="148"/>
      <c r="Q4377" s="148"/>
      <c r="R4377" s="148"/>
      <c r="S4377" s="148"/>
      <c r="T4377" s="148"/>
      <c r="U4377" s="148"/>
      <c r="V4377" s="148"/>
      <c r="W4377" s="148"/>
      <c r="X4377" s="148"/>
      <c r="Y4377" s="148"/>
      <c r="Z4377" s="148"/>
      <c r="AA4377" s="148"/>
      <c r="AB4377" s="148"/>
      <c r="AC4377" s="148"/>
      <c r="AD4377" s="148"/>
      <c r="AE4377" s="148"/>
      <c r="AF4377" s="148"/>
    </row>
    <row r="4499" spans="2:32">
      <c r="B4499" s="148"/>
      <c r="C4499" s="148"/>
      <c r="D4499" s="148"/>
      <c r="E4499" s="148"/>
      <c r="F4499" s="148"/>
      <c r="G4499" s="148"/>
      <c r="H4499" s="148"/>
      <c r="I4499" s="148"/>
      <c r="J4499" s="148"/>
      <c r="K4499" s="148"/>
      <c r="L4499" s="148"/>
      <c r="M4499" s="148"/>
      <c r="N4499" s="148"/>
      <c r="O4499" s="148"/>
      <c r="P4499" s="148"/>
      <c r="Q4499" s="148"/>
      <c r="R4499" s="148"/>
      <c r="S4499" s="148"/>
      <c r="T4499" s="148"/>
      <c r="U4499" s="148"/>
      <c r="V4499" s="148"/>
      <c r="W4499" s="148"/>
      <c r="X4499" s="148"/>
      <c r="Y4499" s="148"/>
      <c r="Z4499" s="148"/>
      <c r="AA4499" s="148"/>
      <c r="AB4499" s="148"/>
      <c r="AC4499" s="148"/>
      <c r="AD4499" s="148"/>
      <c r="AE4499" s="148"/>
      <c r="AF4499" s="148"/>
    </row>
    <row r="4501" spans="2:32">
      <c r="B4501" s="148"/>
      <c r="C4501" s="148"/>
      <c r="D4501" s="148"/>
      <c r="E4501" s="148"/>
      <c r="F4501" s="148"/>
      <c r="G4501" s="148"/>
      <c r="H4501" s="148"/>
      <c r="I4501" s="148"/>
      <c r="J4501" s="148"/>
      <c r="K4501" s="148"/>
      <c r="L4501" s="148"/>
      <c r="M4501" s="148"/>
      <c r="N4501" s="148"/>
      <c r="O4501" s="148"/>
      <c r="P4501" s="148"/>
      <c r="Q4501" s="148"/>
      <c r="R4501" s="148"/>
      <c r="S4501" s="148"/>
      <c r="T4501" s="148"/>
      <c r="U4501" s="148"/>
      <c r="V4501" s="148"/>
      <c r="W4501" s="148"/>
      <c r="X4501" s="148"/>
      <c r="Y4501" s="148"/>
      <c r="Z4501" s="148"/>
      <c r="AA4501" s="148"/>
      <c r="AB4501" s="148"/>
      <c r="AC4501" s="148"/>
      <c r="AD4501" s="148"/>
      <c r="AE4501" s="148"/>
      <c r="AF4501" s="148"/>
    </row>
    <row r="4502" spans="2:32">
      <c r="B4502" s="148"/>
      <c r="C4502" s="148"/>
      <c r="D4502" s="148"/>
      <c r="E4502" s="148"/>
      <c r="F4502" s="148"/>
      <c r="G4502" s="148"/>
      <c r="H4502" s="148"/>
      <c r="I4502" s="148"/>
      <c r="J4502" s="148"/>
      <c r="K4502" s="148"/>
      <c r="L4502" s="148"/>
      <c r="M4502" s="148"/>
      <c r="N4502" s="148"/>
      <c r="O4502" s="148"/>
      <c r="P4502" s="148"/>
      <c r="Q4502" s="148"/>
      <c r="R4502" s="148"/>
      <c r="S4502" s="148"/>
      <c r="T4502" s="148"/>
      <c r="U4502" s="148"/>
      <c r="V4502" s="148"/>
      <c r="W4502" s="148"/>
      <c r="X4502" s="148"/>
      <c r="Y4502" s="148"/>
      <c r="Z4502" s="148"/>
      <c r="AA4502" s="148"/>
      <c r="AB4502" s="148"/>
      <c r="AC4502" s="148"/>
      <c r="AD4502" s="148"/>
      <c r="AE4502" s="148"/>
      <c r="AF4502" s="14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P98"/>
  <sheetViews>
    <sheetView workbookViewId="0">
      <selection sqref="A1:XFD1048576"/>
    </sheetView>
  </sheetViews>
  <sheetFormatPr defaultColWidth="8.7109375" defaultRowHeight="12.75"/>
  <cols>
    <col min="1" max="1" width="34.5703125" style="7" customWidth="1"/>
    <col min="2" max="19" width="10.85546875" style="7" customWidth="1"/>
    <col min="20" max="20" width="10.85546875" style="16" customWidth="1"/>
    <col min="21" max="42" width="10.85546875" style="7" customWidth="1"/>
    <col min="43" max="16384" width="8.7109375" style="7"/>
  </cols>
  <sheetData>
    <row r="1" spans="1:42" ht="16.5" customHeight="1" thickBot="1">
      <c r="A1" s="110" t="s">
        <v>77</v>
      </c>
      <c r="B1" s="110"/>
      <c r="C1" s="110"/>
      <c r="D1" s="110"/>
      <c r="E1" s="110"/>
      <c r="F1" s="110"/>
      <c r="G1" s="110"/>
      <c r="H1" s="110"/>
      <c r="I1" s="110"/>
      <c r="J1" s="110"/>
      <c r="K1" s="110"/>
      <c r="L1" s="110"/>
      <c r="M1" s="110"/>
      <c r="N1" s="110"/>
      <c r="O1" s="110"/>
      <c r="P1" s="110"/>
      <c r="Q1" s="110"/>
      <c r="R1" s="110"/>
      <c r="S1" s="110"/>
      <c r="T1" s="110"/>
      <c r="U1" s="110"/>
      <c r="V1" s="110"/>
      <c r="W1" s="110"/>
      <c r="X1" s="110"/>
      <c r="Y1" s="110"/>
      <c r="Z1" s="110"/>
      <c r="AA1" s="110"/>
      <c r="AB1" s="110"/>
      <c r="AC1" s="110"/>
      <c r="AD1" s="110"/>
      <c r="AE1" s="110"/>
      <c r="AF1" s="110"/>
      <c r="AG1" s="110"/>
      <c r="AH1" s="110"/>
      <c r="AI1" s="110"/>
      <c r="AJ1" s="110"/>
      <c r="AK1" s="110"/>
      <c r="AL1" s="110"/>
      <c r="AM1" s="110"/>
      <c r="AN1" s="110"/>
      <c r="AO1" s="110"/>
      <c r="AP1" s="110"/>
    </row>
    <row r="2" spans="1:42" s="10" customFormat="1" ht="16.5" customHeight="1">
      <c r="A2" s="23"/>
      <c r="B2" s="24">
        <v>1960</v>
      </c>
      <c r="C2" s="24">
        <v>1965</v>
      </c>
      <c r="D2" s="24">
        <v>1970</v>
      </c>
      <c r="E2" s="24">
        <v>1975</v>
      </c>
      <c r="F2" s="24">
        <v>1980</v>
      </c>
      <c r="G2" s="24">
        <v>1985</v>
      </c>
      <c r="H2" s="24">
        <v>1990</v>
      </c>
      <c r="I2" s="24">
        <v>1991</v>
      </c>
      <c r="J2" s="24">
        <v>1992</v>
      </c>
      <c r="K2" s="24">
        <v>1993</v>
      </c>
      <c r="L2" s="24">
        <v>1994</v>
      </c>
      <c r="M2" s="24">
        <v>1995</v>
      </c>
      <c r="N2" s="24">
        <v>1996</v>
      </c>
      <c r="O2" s="24">
        <v>1997</v>
      </c>
      <c r="P2" s="24">
        <v>1998</v>
      </c>
      <c r="Q2" s="24">
        <v>1999</v>
      </c>
      <c r="R2" s="24">
        <v>2000</v>
      </c>
      <c r="S2" s="24">
        <v>2001</v>
      </c>
      <c r="T2" s="24">
        <v>2002</v>
      </c>
      <c r="U2" s="24">
        <v>2003</v>
      </c>
      <c r="V2" s="24">
        <v>2004</v>
      </c>
      <c r="W2" s="24">
        <v>2005</v>
      </c>
      <c r="X2" s="24">
        <v>2006</v>
      </c>
      <c r="Y2" s="24">
        <v>2007</v>
      </c>
      <c r="Z2" s="24">
        <v>2008</v>
      </c>
      <c r="AA2" s="24">
        <v>2009</v>
      </c>
      <c r="AB2" s="24">
        <v>2010</v>
      </c>
      <c r="AC2" s="24">
        <v>2011</v>
      </c>
      <c r="AD2" s="24">
        <v>2012</v>
      </c>
      <c r="AE2" s="24">
        <v>2013</v>
      </c>
      <c r="AF2" s="24">
        <v>2014</v>
      </c>
      <c r="AG2" s="24">
        <v>2015</v>
      </c>
      <c r="AH2" s="24">
        <v>2016</v>
      </c>
      <c r="AI2" s="24">
        <v>2017</v>
      </c>
      <c r="AJ2" s="24">
        <v>2018</v>
      </c>
      <c r="AK2" s="24">
        <v>2019</v>
      </c>
      <c r="AL2" s="24">
        <v>2020</v>
      </c>
      <c r="AM2" s="24">
        <v>2021</v>
      </c>
      <c r="AN2" s="24">
        <v>2022</v>
      </c>
      <c r="AO2" s="24">
        <v>2023</v>
      </c>
      <c r="AP2" s="25">
        <v>2024</v>
      </c>
    </row>
    <row r="3" spans="1:42" s="10" customFormat="1" ht="16.5" customHeight="1">
      <c r="A3" s="26" t="s">
        <v>76</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row>
    <row r="4" spans="1:42" s="10" customFormat="1" ht="16.5" customHeight="1">
      <c r="A4" s="111" t="s">
        <v>75</v>
      </c>
      <c r="B4" s="38">
        <v>2135</v>
      </c>
      <c r="C4" s="38">
        <v>2125</v>
      </c>
      <c r="D4" s="38">
        <v>2679</v>
      </c>
      <c r="E4" s="38">
        <v>2495</v>
      </c>
      <c r="F4" s="38">
        <v>3808</v>
      </c>
      <c r="G4" s="38">
        <v>4678</v>
      </c>
      <c r="H4" s="38">
        <v>6083</v>
      </c>
      <c r="I4" s="38">
        <v>6054</v>
      </c>
      <c r="J4" s="38">
        <v>7320</v>
      </c>
      <c r="K4" s="38">
        <v>7297</v>
      </c>
      <c r="L4" s="38">
        <v>7370</v>
      </c>
      <c r="M4" s="38">
        <v>6865</v>
      </c>
      <c r="N4" s="38">
        <v>7077</v>
      </c>
      <c r="O4" s="38">
        <v>7043</v>
      </c>
      <c r="P4" s="38">
        <v>7451</v>
      </c>
      <c r="Q4" s="27">
        <v>7859</v>
      </c>
      <c r="R4" s="27">
        <v>7826</v>
      </c>
      <c r="S4" s="27">
        <v>7746</v>
      </c>
      <c r="T4" s="27">
        <v>7673</v>
      </c>
      <c r="U4" s="27">
        <v>7564</v>
      </c>
      <c r="V4" s="27">
        <v>7764</v>
      </c>
      <c r="W4" s="27">
        <v>7686</v>
      </c>
      <c r="X4" s="27">
        <v>7637</v>
      </c>
      <c r="Y4" s="27">
        <v>7732</v>
      </c>
      <c r="Z4" s="27">
        <v>7337</v>
      </c>
      <c r="AA4" s="27">
        <v>7169</v>
      </c>
      <c r="AB4" s="27">
        <v>7185</v>
      </c>
      <c r="AC4" s="27">
        <v>7167</v>
      </c>
      <c r="AD4" s="27">
        <v>6914</v>
      </c>
      <c r="AE4" s="27">
        <v>6740</v>
      </c>
      <c r="AF4" s="27">
        <v>6761</v>
      </c>
      <c r="AG4" s="27">
        <v>6876</v>
      </c>
      <c r="AH4" s="27">
        <v>7077</v>
      </c>
      <c r="AI4" s="27">
        <v>7196</v>
      </c>
      <c r="AJ4" s="27">
        <v>7475</v>
      </c>
      <c r="AK4" s="27">
        <v>7628</v>
      </c>
      <c r="AL4" s="27">
        <v>5884</v>
      </c>
      <c r="AM4" s="27">
        <v>5815</v>
      </c>
      <c r="AN4" s="27">
        <v>6852</v>
      </c>
      <c r="AO4" s="27">
        <v>7572</v>
      </c>
      <c r="AP4" s="27">
        <v>7387</v>
      </c>
    </row>
    <row r="5" spans="1:42" s="10" customFormat="1" ht="16.5" customHeight="1">
      <c r="A5" s="111" t="s">
        <v>74</v>
      </c>
      <c r="B5" s="38">
        <v>76549</v>
      </c>
      <c r="C5" s="38">
        <v>95442</v>
      </c>
      <c r="D5" s="38">
        <v>131743</v>
      </c>
      <c r="E5" s="38">
        <v>168475</v>
      </c>
      <c r="F5" s="38">
        <v>211045</v>
      </c>
      <c r="G5" s="38">
        <v>210654</v>
      </c>
      <c r="H5" s="38">
        <v>198000</v>
      </c>
      <c r="I5" s="38">
        <v>196874</v>
      </c>
      <c r="J5" s="38">
        <v>185650</v>
      </c>
      <c r="K5" s="38">
        <v>177120</v>
      </c>
      <c r="L5" s="38">
        <v>172935</v>
      </c>
      <c r="M5" s="38">
        <v>188089</v>
      </c>
      <c r="N5" s="38">
        <v>191129</v>
      </c>
      <c r="O5" s="38">
        <v>192414</v>
      </c>
      <c r="P5" s="38">
        <v>204710</v>
      </c>
      <c r="Q5" s="27">
        <v>219464</v>
      </c>
      <c r="R5" s="27">
        <v>217533</v>
      </c>
      <c r="S5" s="27">
        <v>211446</v>
      </c>
      <c r="T5" s="27">
        <v>211244</v>
      </c>
      <c r="U5" s="27">
        <v>209708</v>
      </c>
      <c r="V5" s="27">
        <v>219426</v>
      </c>
      <c r="W5" s="27">
        <v>224352</v>
      </c>
      <c r="X5" s="27">
        <v>221943</v>
      </c>
      <c r="Y5" s="27">
        <v>231607</v>
      </c>
      <c r="Z5" s="27">
        <v>228663</v>
      </c>
      <c r="AA5" s="27">
        <v>223877</v>
      </c>
      <c r="AB5" s="27">
        <v>223370</v>
      </c>
      <c r="AC5" s="27">
        <v>220453.22868848289</v>
      </c>
      <c r="AD5" s="27">
        <v>209033.99999999994</v>
      </c>
      <c r="AE5" s="27">
        <v>199927</v>
      </c>
      <c r="AF5" s="27">
        <v>204408</v>
      </c>
      <c r="AG5" s="27">
        <v>210031</v>
      </c>
      <c r="AH5" s="27">
        <v>211794</v>
      </c>
      <c r="AI5" s="27">
        <v>211757</v>
      </c>
      <c r="AJ5" s="27">
        <v>211749</v>
      </c>
      <c r="AK5" s="27">
        <v>210981</v>
      </c>
      <c r="AL5" s="27">
        <v>204140</v>
      </c>
      <c r="AM5" s="27">
        <v>209194</v>
      </c>
      <c r="AN5" s="27">
        <v>209540</v>
      </c>
      <c r="AO5" s="27">
        <v>214222</v>
      </c>
      <c r="AP5" s="27">
        <v>214940</v>
      </c>
    </row>
    <row r="6" spans="1:42" s="8" customFormat="1" ht="16.5" customHeight="1">
      <c r="A6" s="26" t="s">
        <v>73</v>
      </c>
      <c r="B6" s="39">
        <v>73857768</v>
      </c>
      <c r="C6" s="39">
        <v>90357667</v>
      </c>
      <c r="D6" s="39">
        <v>111242295</v>
      </c>
      <c r="E6" s="39">
        <v>137912779</v>
      </c>
      <c r="F6" s="39">
        <v>161490159</v>
      </c>
      <c r="G6" s="39">
        <v>177133282</v>
      </c>
      <c r="H6" s="39">
        <v>193057376</v>
      </c>
      <c r="I6" s="39">
        <v>192313834</v>
      </c>
      <c r="J6" s="39">
        <v>194427346</v>
      </c>
      <c r="K6" s="39">
        <v>198041338</v>
      </c>
      <c r="L6" s="39">
        <v>201801918</v>
      </c>
      <c r="M6" s="39">
        <v>205427212</v>
      </c>
      <c r="N6" s="39">
        <v>210441248.708</v>
      </c>
      <c r="O6" s="39">
        <v>211580033</v>
      </c>
      <c r="P6" s="39">
        <v>215496003</v>
      </c>
      <c r="Q6" s="29">
        <v>220461056</v>
      </c>
      <c r="R6" s="29">
        <v>225821241</v>
      </c>
      <c r="S6" s="29">
        <v>235331382</v>
      </c>
      <c r="T6" s="29">
        <v>234624135</v>
      </c>
      <c r="U6" s="29">
        <v>236760033</v>
      </c>
      <c r="V6" s="29">
        <v>243010549</v>
      </c>
      <c r="W6" s="29">
        <v>247421120</v>
      </c>
      <c r="X6" s="29">
        <v>250844644</v>
      </c>
      <c r="Y6" s="29">
        <v>254403081</v>
      </c>
      <c r="Z6" s="29">
        <v>255917664</v>
      </c>
      <c r="AA6" s="29">
        <v>254212611</v>
      </c>
      <c r="AB6" s="29">
        <v>250070048</v>
      </c>
      <c r="AC6" s="29">
        <v>253215681</v>
      </c>
      <c r="AD6" s="29">
        <v>253639386</v>
      </c>
      <c r="AE6" s="29">
        <v>255876822</v>
      </c>
      <c r="AF6" s="29">
        <v>260350938</v>
      </c>
      <c r="AG6" s="29">
        <v>263610219</v>
      </c>
      <c r="AH6" s="29">
        <v>268799083</v>
      </c>
      <c r="AI6" s="29">
        <v>272480899</v>
      </c>
      <c r="AJ6" s="29">
        <v>273602100</v>
      </c>
      <c r="AK6" s="29">
        <v>276491174</v>
      </c>
      <c r="AL6" s="29">
        <v>275936367</v>
      </c>
      <c r="AM6" s="29">
        <v>281185492</v>
      </c>
      <c r="AN6" s="29">
        <v>282174766</v>
      </c>
      <c r="AO6" s="29">
        <v>284614269</v>
      </c>
      <c r="AP6" s="29" t="s">
        <v>59</v>
      </c>
    </row>
    <row r="7" spans="1:42" s="10" customFormat="1" ht="16.5" customHeight="1">
      <c r="A7" s="111" t="s">
        <v>390</v>
      </c>
      <c r="B7" s="38">
        <v>61671390</v>
      </c>
      <c r="C7" s="38">
        <v>75257588</v>
      </c>
      <c r="D7" s="38">
        <v>92067655</v>
      </c>
      <c r="E7" s="38">
        <v>111670004</v>
      </c>
      <c r="F7" s="38">
        <v>127294783</v>
      </c>
      <c r="G7" s="38">
        <v>133329597</v>
      </c>
      <c r="H7" s="38">
        <v>137959958</v>
      </c>
      <c r="I7" s="38">
        <v>132476966</v>
      </c>
      <c r="J7" s="38">
        <v>130646266</v>
      </c>
      <c r="K7" s="38">
        <v>131305045</v>
      </c>
      <c r="L7" s="38">
        <v>133929661</v>
      </c>
      <c r="M7" s="38">
        <v>128386775</v>
      </c>
      <c r="N7" s="38">
        <v>129728341</v>
      </c>
      <c r="O7" s="38">
        <v>129748704</v>
      </c>
      <c r="P7" s="38">
        <v>131838538</v>
      </c>
      <c r="Q7" s="27">
        <v>132432044</v>
      </c>
      <c r="R7" s="27">
        <v>133621420</v>
      </c>
      <c r="S7" s="27">
        <v>137633467</v>
      </c>
      <c r="T7" s="27">
        <v>135920677</v>
      </c>
      <c r="U7" s="27">
        <v>135669897</v>
      </c>
      <c r="V7" s="27">
        <v>136430651</v>
      </c>
      <c r="W7" s="27">
        <v>136568083</v>
      </c>
      <c r="X7" s="27">
        <v>135399945</v>
      </c>
      <c r="Y7" s="27">
        <v>196491176</v>
      </c>
      <c r="Z7" s="27">
        <v>196762927</v>
      </c>
      <c r="AA7" s="27">
        <v>193979654</v>
      </c>
      <c r="AB7" s="27">
        <v>190202782</v>
      </c>
      <c r="AC7" s="27">
        <v>183522635</v>
      </c>
      <c r="AD7" s="27">
        <v>183171882</v>
      </c>
      <c r="AE7" s="27">
        <v>184497490</v>
      </c>
      <c r="AF7" s="27">
        <v>187554928</v>
      </c>
      <c r="AG7" s="27">
        <v>189618308</v>
      </c>
      <c r="AH7" s="27">
        <v>192774508</v>
      </c>
      <c r="AI7" s="27">
        <v>193672370</v>
      </c>
      <c r="AJ7" s="27">
        <v>192856211</v>
      </c>
      <c r="AK7" s="27">
        <v>194348815</v>
      </c>
      <c r="AL7" s="27">
        <v>194788825</v>
      </c>
      <c r="AM7" s="27">
        <v>196611629</v>
      </c>
      <c r="AN7" s="27">
        <v>196467427</v>
      </c>
      <c r="AO7" s="27">
        <v>197134299</v>
      </c>
      <c r="AP7" s="27" t="s">
        <v>59</v>
      </c>
    </row>
    <row r="8" spans="1:42" s="10" customFormat="1" ht="16.5" customHeight="1">
      <c r="A8" s="111" t="s">
        <v>391</v>
      </c>
      <c r="B8" s="38" t="s">
        <v>59</v>
      </c>
      <c r="C8" s="38" t="s">
        <v>59</v>
      </c>
      <c r="D8" s="38" t="s">
        <v>59</v>
      </c>
      <c r="E8" s="38" t="s">
        <v>59</v>
      </c>
      <c r="F8" s="38" t="s">
        <v>59</v>
      </c>
      <c r="G8" s="38" t="s">
        <v>59</v>
      </c>
      <c r="H8" s="38" t="s">
        <v>59</v>
      </c>
      <c r="I8" s="38" t="s">
        <v>59</v>
      </c>
      <c r="J8" s="38" t="s">
        <v>59</v>
      </c>
      <c r="K8" s="38" t="s">
        <v>59</v>
      </c>
      <c r="L8" s="38">
        <v>3756553</v>
      </c>
      <c r="M8" s="38">
        <v>3897191</v>
      </c>
      <c r="N8" s="38">
        <v>3871599</v>
      </c>
      <c r="O8" s="38">
        <v>3826373</v>
      </c>
      <c r="P8" s="38">
        <v>3879450</v>
      </c>
      <c r="Q8" s="27">
        <v>4152433</v>
      </c>
      <c r="R8" s="27">
        <v>4346068</v>
      </c>
      <c r="S8" s="27">
        <v>4903056</v>
      </c>
      <c r="T8" s="27">
        <v>5004156</v>
      </c>
      <c r="U8" s="27">
        <v>5370035</v>
      </c>
      <c r="V8" s="27">
        <v>5767934</v>
      </c>
      <c r="W8" s="27">
        <v>6227146</v>
      </c>
      <c r="X8" s="27">
        <v>6678958</v>
      </c>
      <c r="Y8" s="27">
        <v>7138476</v>
      </c>
      <c r="Z8" s="27">
        <v>7752926</v>
      </c>
      <c r="AA8" s="27">
        <v>7929724</v>
      </c>
      <c r="AB8" s="27">
        <v>8009503</v>
      </c>
      <c r="AC8" s="27">
        <v>8437502</v>
      </c>
      <c r="AD8" s="27">
        <v>8454939</v>
      </c>
      <c r="AE8" s="27">
        <v>8404687</v>
      </c>
      <c r="AF8" s="27">
        <v>8417718</v>
      </c>
      <c r="AG8" s="27">
        <v>8600936</v>
      </c>
      <c r="AH8" s="27">
        <v>8679380</v>
      </c>
      <c r="AI8" s="27">
        <v>8715204</v>
      </c>
      <c r="AJ8" s="27">
        <v>8666185</v>
      </c>
      <c r="AK8" s="27">
        <v>8596314</v>
      </c>
      <c r="AL8" s="27">
        <v>8347435</v>
      </c>
      <c r="AM8" s="27">
        <v>9424769</v>
      </c>
      <c r="AN8" s="27">
        <v>9186256</v>
      </c>
      <c r="AO8" s="27">
        <v>9516910</v>
      </c>
      <c r="AP8" s="27" t="s">
        <v>59</v>
      </c>
    </row>
    <row r="9" spans="1:42" s="10" customFormat="1" ht="16.5" customHeight="1">
      <c r="A9" s="111" t="s">
        <v>72</v>
      </c>
      <c r="B9" s="38" t="s">
        <v>59</v>
      </c>
      <c r="C9" s="38" t="s">
        <v>59</v>
      </c>
      <c r="D9" s="38">
        <v>14210591</v>
      </c>
      <c r="E9" s="38">
        <v>20418250</v>
      </c>
      <c r="F9" s="38">
        <v>27875934</v>
      </c>
      <c r="G9" s="38">
        <v>37213863</v>
      </c>
      <c r="H9" s="38">
        <v>48274555</v>
      </c>
      <c r="I9" s="38">
        <v>53033443</v>
      </c>
      <c r="J9" s="38">
        <v>57091143</v>
      </c>
      <c r="K9" s="38">
        <v>59993706</v>
      </c>
      <c r="L9" s="38">
        <v>57141967</v>
      </c>
      <c r="M9" s="38">
        <v>65738322</v>
      </c>
      <c r="N9" s="38">
        <v>69133912.708000004</v>
      </c>
      <c r="O9" s="38">
        <v>70224082</v>
      </c>
      <c r="P9" s="38">
        <v>71330205</v>
      </c>
      <c r="Q9" s="27">
        <v>75356376</v>
      </c>
      <c r="R9" s="27">
        <v>79084979</v>
      </c>
      <c r="S9" s="27">
        <v>84187636</v>
      </c>
      <c r="T9" s="27">
        <v>85011305</v>
      </c>
      <c r="U9" s="27">
        <v>87186663</v>
      </c>
      <c r="V9" s="27">
        <v>91845327</v>
      </c>
      <c r="W9" s="27">
        <v>95336839</v>
      </c>
      <c r="X9" s="27">
        <v>99124775</v>
      </c>
      <c r="Y9" s="27">
        <v>39186974</v>
      </c>
      <c r="Z9" s="27">
        <v>39685228</v>
      </c>
      <c r="AA9" s="27">
        <v>40488025</v>
      </c>
      <c r="AB9" s="27">
        <v>40241658</v>
      </c>
      <c r="AC9" s="27">
        <v>50318787</v>
      </c>
      <c r="AD9" s="27">
        <v>50588676</v>
      </c>
      <c r="AE9" s="27">
        <v>51512740</v>
      </c>
      <c r="AF9" s="27">
        <v>52600309</v>
      </c>
      <c r="AG9" s="27">
        <v>53298884</v>
      </c>
      <c r="AH9" s="27">
        <v>54870473</v>
      </c>
      <c r="AI9" s="27">
        <v>56880878</v>
      </c>
      <c r="AJ9" s="27">
        <v>57853642</v>
      </c>
      <c r="AK9" s="27">
        <v>59465369</v>
      </c>
      <c r="AL9" s="27">
        <v>58890431</v>
      </c>
      <c r="AM9" s="27">
        <v>60382963</v>
      </c>
      <c r="AN9" s="27">
        <v>61273790</v>
      </c>
      <c r="AO9" s="27">
        <v>62103995</v>
      </c>
      <c r="AP9" s="27" t="s">
        <v>59</v>
      </c>
    </row>
    <row r="10" spans="1:42" s="10" customFormat="1" ht="16.5" customHeight="1">
      <c r="A10" s="112" t="s">
        <v>443</v>
      </c>
      <c r="B10" s="38" t="s">
        <v>59</v>
      </c>
      <c r="C10" s="38">
        <v>13999285</v>
      </c>
      <c r="D10" s="38">
        <v>3681405</v>
      </c>
      <c r="E10" s="38">
        <v>4231622</v>
      </c>
      <c r="F10" s="38">
        <v>4373784</v>
      </c>
      <c r="G10" s="38">
        <v>4593071</v>
      </c>
      <c r="H10" s="38">
        <v>4486981</v>
      </c>
      <c r="I10" s="38">
        <v>4480815</v>
      </c>
      <c r="J10" s="38">
        <v>4369842</v>
      </c>
      <c r="K10" s="38">
        <v>4407850</v>
      </c>
      <c r="L10" s="38">
        <v>4724608</v>
      </c>
      <c r="M10" s="38">
        <v>5023670</v>
      </c>
      <c r="N10" s="38">
        <v>5266029</v>
      </c>
      <c r="O10" s="38">
        <v>5293358</v>
      </c>
      <c r="P10" s="38">
        <v>5734925</v>
      </c>
      <c r="Q10" s="27">
        <v>5762864</v>
      </c>
      <c r="R10" s="27">
        <v>5926030</v>
      </c>
      <c r="S10" s="27">
        <v>5703501</v>
      </c>
      <c r="T10" s="27">
        <v>5650619</v>
      </c>
      <c r="U10" s="27">
        <v>5848523</v>
      </c>
      <c r="V10" s="27">
        <v>6161028</v>
      </c>
      <c r="W10" s="27">
        <v>6395240</v>
      </c>
      <c r="X10" s="27">
        <v>6649337</v>
      </c>
      <c r="Y10" s="27">
        <v>8116672</v>
      </c>
      <c r="Z10" s="27">
        <v>8288046</v>
      </c>
      <c r="AA10" s="27">
        <v>8356097</v>
      </c>
      <c r="AB10" s="27">
        <v>8217189</v>
      </c>
      <c r="AC10" s="27">
        <v>7819055</v>
      </c>
      <c r="AD10" s="27">
        <v>8190286</v>
      </c>
      <c r="AE10" s="27">
        <v>8126007</v>
      </c>
      <c r="AF10" s="27">
        <v>8328759</v>
      </c>
      <c r="AG10" s="27">
        <v>8456302</v>
      </c>
      <c r="AH10" s="27">
        <v>8746518</v>
      </c>
      <c r="AI10" s="27">
        <v>9336998</v>
      </c>
      <c r="AJ10" s="27">
        <v>10327899</v>
      </c>
      <c r="AK10" s="27">
        <v>10160433</v>
      </c>
      <c r="AL10" s="27">
        <v>9908410</v>
      </c>
      <c r="AM10" s="27">
        <v>10687394</v>
      </c>
      <c r="AN10" s="27">
        <v>11049522</v>
      </c>
      <c r="AO10" s="27">
        <v>11567428</v>
      </c>
      <c r="AP10" s="27" t="s">
        <v>59</v>
      </c>
    </row>
    <row r="11" spans="1:42" s="10" customFormat="1" ht="16.5" customHeight="1">
      <c r="A11" s="111" t="s">
        <v>392</v>
      </c>
      <c r="B11" s="38">
        <v>11914249</v>
      </c>
      <c r="C11" s="38">
        <v>786510</v>
      </c>
      <c r="D11" s="38">
        <v>905082</v>
      </c>
      <c r="E11" s="38">
        <v>1130747</v>
      </c>
      <c r="F11" s="38">
        <v>1416869</v>
      </c>
      <c r="G11" s="38">
        <v>1403266</v>
      </c>
      <c r="H11" s="38">
        <v>1708895</v>
      </c>
      <c r="I11" s="38">
        <v>1691331</v>
      </c>
      <c r="J11" s="38">
        <v>1675363</v>
      </c>
      <c r="K11" s="38">
        <v>1680305</v>
      </c>
      <c r="L11" s="38">
        <v>1578706</v>
      </c>
      <c r="M11" s="38">
        <v>1695751</v>
      </c>
      <c r="N11" s="38">
        <v>1746586</v>
      </c>
      <c r="O11" s="38">
        <v>1789968</v>
      </c>
      <c r="P11" s="38">
        <v>1997345</v>
      </c>
      <c r="Q11" s="27">
        <v>2028562</v>
      </c>
      <c r="R11" s="27">
        <v>2096619</v>
      </c>
      <c r="S11" s="27">
        <v>2154174</v>
      </c>
      <c r="T11" s="27">
        <v>2276661</v>
      </c>
      <c r="U11" s="27">
        <v>1908365</v>
      </c>
      <c r="V11" s="27">
        <v>2010335</v>
      </c>
      <c r="W11" s="27">
        <v>2086759</v>
      </c>
      <c r="X11" s="27">
        <v>2169670</v>
      </c>
      <c r="Y11" s="27">
        <v>2635347</v>
      </c>
      <c r="Z11" s="27">
        <v>2585229</v>
      </c>
      <c r="AA11" s="27">
        <v>2617118</v>
      </c>
      <c r="AB11" s="27">
        <v>2552865</v>
      </c>
      <c r="AC11" s="27">
        <v>2451638</v>
      </c>
      <c r="AD11" s="27">
        <v>2469094</v>
      </c>
      <c r="AE11" s="27">
        <v>2471349</v>
      </c>
      <c r="AF11" s="27">
        <v>2577197</v>
      </c>
      <c r="AG11" s="27">
        <v>2746882</v>
      </c>
      <c r="AH11" s="27">
        <v>2752043</v>
      </c>
      <c r="AI11" s="27">
        <v>2892218</v>
      </c>
      <c r="AJ11" s="27">
        <v>2906011</v>
      </c>
      <c r="AK11" s="27">
        <v>2925210</v>
      </c>
      <c r="AL11" s="27">
        <v>2990962</v>
      </c>
      <c r="AM11" s="27">
        <v>3135181</v>
      </c>
      <c r="AN11" s="27">
        <v>3239716</v>
      </c>
      <c r="AO11" s="27">
        <v>3324112</v>
      </c>
      <c r="AP11" s="27" t="s">
        <v>59</v>
      </c>
    </row>
    <row r="12" spans="1:42" s="10" customFormat="1" ht="16.5" customHeight="1">
      <c r="A12" s="111" t="s">
        <v>71</v>
      </c>
      <c r="B12" s="38">
        <v>272129</v>
      </c>
      <c r="C12" s="38">
        <v>314284</v>
      </c>
      <c r="D12" s="38">
        <v>377562</v>
      </c>
      <c r="E12" s="38">
        <v>462156</v>
      </c>
      <c r="F12" s="38">
        <v>528789</v>
      </c>
      <c r="G12" s="38">
        <v>593485</v>
      </c>
      <c r="H12" s="38">
        <v>626987</v>
      </c>
      <c r="I12" s="38">
        <v>631279</v>
      </c>
      <c r="J12" s="38">
        <v>644732</v>
      </c>
      <c r="K12" s="38">
        <v>654432</v>
      </c>
      <c r="L12" s="38">
        <v>670423</v>
      </c>
      <c r="M12" s="38">
        <v>685503</v>
      </c>
      <c r="N12" s="38">
        <v>694781</v>
      </c>
      <c r="O12" s="38">
        <v>697548</v>
      </c>
      <c r="P12" s="38">
        <v>715540</v>
      </c>
      <c r="Q12" s="27">
        <v>728777</v>
      </c>
      <c r="R12" s="27">
        <v>746125</v>
      </c>
      <c r="S12" s="27">
        <v>749548</v>
      </c>
      <c r="T12" s="27">
        <v>760717</v>
      </c>
      <c r="U12" s="27">
        <v>776550</v>
      </c>
      <c r="V12" s="27">
        <v>795274</v>
      </c>
      <c r="W12" s="27">
        <v>807053</v>
      </c>
      <c r="X12" s="27">
        <v>821959</v>
      </c>
      <c r="Y12" s="27">
        <v>834436</v>
      </c>
      <c r="Z12" s="27">
        <v>843308</v>
      </c>
      <c r="AA12" s="27">
        <v>841993</v>
      </c>
      <c r="AB12" s="27">
        <v>846051</v>
      </c>
      <c r="AC12" s="27">
        <v>666064</v>
      </c>
      <c r="AD12" s="27">
        <v>764509</v>
      </c>
      <c r="AE12" s="27">
        <v>864549</v>
      </c>
      <c r="AF12" s="27">
        <v>872027</v>
      </c>
      <c r="AG12" s="27">
        <v>888907</v>
      </c>
      <c r="AH12" s="27">
        <v>976161</v>
      </c>
      <c r="AI12" s="27">
        <v>983231</v>
      </c>
      <c r="AJ12" s="27">
        <v>992152</v>
      </c>
      <c r="AK12" s="27">
        <v>995033</v>
      </c>
      <c r="AL12" s="27">
        <v>1010304</v>
      </c>
      <c r="AM12" s="27">
        <v>943556</v>
      </c>
      <c r="AN12" s="27">
        <v>958055</v>
      </c>
      <c r="AO12" s="27">
        <v>967525</v>
      </c>
      <c r="AP12" s="27" t="s">
        <v>59</v>
      </c>
    </row>
    <row r="13" spans="1:42" s="10" customFormat="1" ht="16.5" customHeight="1">
      <c r="A13" s="30" t="s">
        <v>393</v>
      </c>
      <c r="B13" s="38"/>
      <c r="C13" s="38"/>
      <c r="D13" s="38"/>
      <c r="E13" s="38"/>
      <c r="F13" s="38"/>
      <c r="G13" s="38"/>
      <c r="H13" s="38"/>
      <c r="I13" s="38"/>
      <c r="J13" s="38"/>
      <c r="K13" s="38"/>
      <c r="L13" s="38"/>
      <c r="M13" s="38"/>
      <c r="N13" s="38"/>
      <c r="O13" s="38"/>
      <c r="P13" s="38"/>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row>
    <row r="14" spans="1:42" s="10" customFormat="1" ht="16.5" customHeight="1">
      <c r="A14" s="111" t="s">
        <v>394</v>
      </c>
      <c r="B14" s="38">
        <v>49600</v>
      </c>
      <c r="C14" s="38">
        <v>49600</v>
      </c>
      <c r="D14" s="38">
        <v>49700</v>
      </c>
      <c r="E14" s="38">
        <v>50822</v>
      </c>
      <c r="F14" s="38">
        <v>59411</v>
      </c>
      <c r="G14" s="38">
        <v>64258</v>
      </c>
      <c r="H14" s="38">
        <v>58714</v>
      </c>
      <c r="I14" s="38">
        <v>60377</v>
      </c>
      <c r="J14" s="38">
        <v>63080</v>
      </c>
      <c r="K14" s="38">
        <v>64850</v>
      </c>
      <c r="L14" s="38">
        <v>68123</v>
      </c>
      <c r="M14" s="38">
        <v>67107</v>
      </c>
      <c r="N14" s="38">
        <v>53339</v>
      </c>
      <c r="O14" s="38">
        <v>54946</v>
      </c>
      <c r="P14" s="38">
        <v>55661</v>
      </c>
      <c r="Q14" s="27">
        <v>57352</v>
      </c>
      <c r="R14" s="27">
        <v>58578</v>
      </c>
      <c r="S14" s="27">
        <v>60256</v>
      </c>
      <c r="T14" s="27">
        <v>60719</v>
      </c>
      <c r="U14" s="27">
        <v>61659</v>
      </c>
      <c r="V14" s="27">
        <v>61318</v>
      </c>
      <c r="W14" s="27">
        <v>62284</v>
      </c>
      <c r="X14" s="27">
        <v>64025</v>
      </c>
      <c r="Y14" s="27">
        <v>63359</v>
      </c>
      <c r="Z14" s="27">
        <v>63151</v>
      </c>
      <c r="AA14" s="27">
        <v>63343</v>
      </c>
      <c r="AB14" s="27">
        <v>63108</v>
      </c>
      <c r="AC14" s="27">
        <v>61127</v>
      </c>
      <c r="AD14" s="27">
        <v>61245</v>
      </c>
      <c r="AE14" s="27">
        <v>66823</v>
      </c>
      <c r="AF14" s="27">
        <v>62449</v>
      </c>
      <c r="AG14" s="27">
        <v>63573</v>
      </c>
      <c r="AH14" s="27">
        <v>63270</v>
      </c>
      <c r="AI14" s="27">
        <v>63759</v>
      </c>
      <c r="AJ14" s="27">
        <v>63284</v>
      </c>
      <c r="AK14" s="27">
        <v>64000</v>
      </c>
      <c r="AL14" s="27">
        <v>63903</v>
      </c>
      <c r="AM14" s="27">
        <v>62836</v>
      </c>
      <c r="AN14" s="27">
        <v>62766</v>
      </c>
      <c r="AO14" s="27">
        <v>61131</v>
      </c>
      <c r="AP14" s="27">
        <v>60998</v>
      </c>
    </row>
    <row r="15" spans="1:42" s="10" customFormat="1" ht="16.5" customHeight="1">
      <c r="A15" s="111" t="s">
        <v>395</v>
      </c>
      <c r="B15" s="38">
        <v>2856</v>
      </c>
      <c r="C15" s="38">
        <v>1549</v>
      </c>
      <c r="D15" s="38">
        <v>1262</v>
      </c>
      <c r="E15" s="38">
        <v>1061</v>
      </c>
      <c r="F15" s="38">
        <v>1013</v>
      </c>
      <c r="G15" s="38">
        <v>717</v>
      </c>
      <c r="H15" s="38">
        <v>910</v>
      </c>
      <c r="I15" s="38">
        <v>1092</v>
      </c>
      <c r="J15" s="38">
        <v>1055</v>
      </c>
      <c r="K15" s="38">
        <v>1001</v>
      </c>
      <c r="L15" s="38">
        <v>1051</v>
      </c>
      <c r="M15" s="38">
        <v>1048</v>
      </c>
      <c r="N15" s="38">
        <v>1097</v>
      </c>
      <c r="O15" s="38">
        <v>1062</v>
      </c>
      <c r="P15" s="38">
        <v>1061</v>
      </c>
      <c r="Q15" s="27">
        <v>1160</v>
      </c>
      <c r="R15" s="27">
        <v>1306</v>
      </c>
      <c r="S15" s="27">
        <v>1359</v>
      </c>
      <c r="T15" s="27">
        <v>1448</v>
      </c>
      <c r="U15" s="27">
        <v>1482</v>
      </c>
      <c r="V15" s="27">
        <v>1622</v>
      </c>
      <c r="W15" s="27">
        <v>1645</v>
      </c>
      <c r="X15" s="27">
        <v>1801</v>
      </c>
      <c r="Y15" s="27">
        <v>1802</v>
      </c>
      <c r="Z15" s="27">
        <v>1948</v>
      </c>
      <c r="AA15" s="27">
        <v>2059</v>
      </c>
      <c r="AB15" s="27">
        <v>2096</v>
      </c>
      <c r="AC15" s="27">
        <v>2284</v>
      </c>
      <c r="AD15" s="27">
        <v>2348</v>
      </c>
      <c r="AE15" s="27">
        <v>2842</v>
      </c>
      <c r="AF15" s="27">
        <v>2444</v>
      </c>
      <c r="AG15" s="27">
        <v>2478</v>
      </c>
      <c r="AH15" s="27">
        <v>2553</v>
      </c>
      <c r="AI15" s="27">
        <v>2557</v>
      </c>
      <c r="AJ15" s="27">
        <v>2729</v>
      </c>
      <c r="AK15" s="27">
        <v>2811</v>
      </c>
      <c r="AL15" s="27">
        <v>2799</v>
      </c>
      <c r="AM15" s="27">
        <v>2859</v>
      </c>
      <c r="AN15" s="27">
        <v>2892</v>
      </c>
      <c r="AO15" s="27">
        <v>2964</v>
      </c>
      <c r="AP15" s="27">
        <v>3009</v>
      </c>
    </row>
    <row r="16" spans="1:42" s="10" customFormat="1" ht="16.5" customHeight="1">
      <c r="A16" s="113" t="s">
        <v>70</v>
      </c>
      <c r="B16" s="38">
        <v>9010</v>
      </c>
      <c r="C16" s="38">
        <v>9115</v>
      </c>
      <c r="D16" s="38">
        <v>9338</v>
      </c>
      <c r="E16" s="38">
        <v>9608</v>
      </c>
      <c r="F16" s="38">
        <v>9641</v>
      </c>
      <c r="G16" s="38">
        <v>9326</v>
      </c>
      <c r="H16" s="38">
        <v>10567</v>
      </c>
      <c r="I16" s="38">
        <v>10478</v>
      </c>
      <c r="J16" s="38">
        <v>10391</v>
      </c>
      <c r="K16" s="38">
        <v>10282</v>
      </c>
      <c r="L16" s="38">
        <v>10282</v>
      </c>
      <c r="M16" s="38">
        <v>10166</v>
      </c>
      <c r="N16" s="38">
        <v>10243</v>
      </c>
      <c r="O16" s="38">
        <v>10228</v>
      </c>
      <c r="P16" s="38">
        <v>10296</v>
      </c>
      <c r="Q16" s="27">
        <v>10362</v>
      </c>
      <c r="R16" s="27">
        <v>10311</v>
      </c>
      <c r="S16" s="27">
        <v>10718</v>
      </c>
      <c r="T16" s="27">
        <v>10849</v>
      </c>
      <c r="U16" s="27">
        <v>10754</v>
      </c>
      <c r="V16" s="27">
        <v>10858</v>
      </c>
      <c r="W16" s="27">
        <v>11110</v>
      </c>
      <c r="X16" s="27">
        <v>11052</v>
      </c>
      <c r="Y16" s="27">
        <v>11222</v>
      </c>
      <c r="Z16" s="27">
        <v>11377</v>
      </c>
      <c r="AA16" s="27">
        <v>11461</v>
      </c>
      <c r="AB16" s="27">
        <v>11510</v>
      </c>
      <c r="AC16" s="27">
        <v>14942</v>
      </c>
      <c r="AD16" s="27">
        <v>10469</v>
      </c>
      <c r="AE16" s="27">
        <v>10380</v>
      </c>
      <c r="AF16" s="27">
        <v>10551</v>
      </c>
      <c r="AG16" s="27">
        <v>10737</v>
      </c>
      <c r="AH16" s="27">
        <v>10775</v>
      </c>
      <c r="AI16" s="27">
        <v>10705</v>
      </c>
      <c r="AJ16" s="27">
        <v>10763</v>
      </c>
      <c r="AK16" s="27">
        <v>11198</v>
      </c>
      <c r="AL16" s="27">
        <v>11064</v>
      </c>
      <c r="AM16" s="27">
        <v>10942</v>
      </c>
      <c r="AN16" s="27">
        <v>10880</v>
      </c>
      <c r="AO16" s="27">
        <v>11069</v>
      </c>
      <c r="AP16" s="27">
        <v>11076</v>
      </c>
    </row>
    <row r="17" spans="1:42" s="10" customFormat="1" ht="16.5" customHeight="1">
      <c r="A17" s="111" t="s">
        <v>69</v>
      </c>
      <c r="B17" s="38">
        <v>3826</v>
      </c>
      <c r="C17" s="38">
        <v>1453</v>
      </c>
      <c r="D17" s="38">
        <v>1050</v>
      </c>
      <c r="E17" s="38">
        <v>703</v>
      </c>
      <c r="F17" s="38">
        <v>823</v>
      </c>
      <c r="G17" s="38">
        <v>676</v>
      </c>
      <c r="H17" s="38">
        <v>610</v>
      </c>
      <c r="I17" s="38">
        <v>551</v>
      </c>
      <c r="J17" s="38">
        <v>665</v>
      </c>
      <c r="K17" s="38">
        <v>635</v>
      </c>
      <c r="L17" s="38">
        <v>643</v>
      </c>
      <c r="M17" s="38">
        <v>695</v>
      </c>
      <c r="N17" s="38">
        <v>675</v>
      </c>
      <c r="O17" s="38">
        <v>655</v>
      </c>
      <c r="P17" s="38">
        <v>646</v>
      </c>
      <c r="Q17" s="27">
        <v>657</v>
      </c>
      <c r="R17" s="27">
        <v>652</v>
      </c>
      <c r="S17" s="27">
        <v>600</v>
      </c>
      <c r="T17" s="27">
        <v>616</v>
      </c>
      <c r="U17" s="27">
        <v>672</v>
      </c>
      <c r="V17" s="27">
        <v>597</v>
      </c>
      <c r="W17" s="27">
        <v>615</v>
      </c>
      <c r="X17" s="27">
        <v>609</v>
      </c>
      <c r="Y17" s="27">
        <v>559</v>
      </c>
      <c r="Z17" s="27">
        <v>590</v>
      </c>
      <c r="AA17" s="27">
        <v>531</v>
      </c>
      <c r="AB17" s="27">
        <v>571</v>
      </c>
      <c r="AC17" s="27">
        <v>479</v>
      </c>
      <c r="AD17" s="27">
        <v>570</v>
      </c>
      <c r="AE17" s="27">
        <v>560</v>
      </c>
      <c r="AF17" s="27">
        <v>537</v>
      </c>
      <c r="AG17" s="27">
        <v>611</v>
      </c>
      <c r="AH17" s="27">
        <v>601</v>
      </c>
      <c r="AI17" s="27">
        <v>539</v>
      </c>
      <c r="AJ17" s="27">
        <v>571</v>
      </c>
      <c r="AK17" s="27">
        <v>572</v>
      </c>
      <c r="AL17" s="27">
        <v>633</v>
      </c>
      <c r="AM17" s="27">
        <v>563</v>
      </c>
      <c r="AN17" s="27">
        <v>563</v>
      </c>
      <c r="AO17" s="27">
        <v>535</v>
      </c>
      <c r="AP17" s="27">
        <v>535</v>
      </c>
    </row>
    <row r="18" spans="1:42" s="10" customFormat="1" ht="16.5" customHeight="1">
      <c r="A18" s="111" t="s">
        <v>68</v>
      </c>
      <c r="B18" s="38" t="s">
        <v>444</v>
      </c>
      <c r="C18" s="38" t="s">
        <v>444</v>
      </c>
      <c r="D18" s="38" t="s">
        <v>444</v>
      </c>
      <c r="E18" s="38" t="s">
        <v>444</v>
      </c>
      <c r="F18" s="38">
        <v>4500</v>
      </c>
      <c r="G18" s="38">
        <v>4035</v>
      </c>
      <c r="H18" s="38">
        <v>4982</v>
      </c>
      <c r="I18" s="38">
        <v>5126</v>
      </c>
      <c r="J18" s="38">
        <v>5164</v>
      </c>
      <c r="K18" s="38">
        <v>4982</v>
      </c>
      <c r="L18" s="38">
        <v>5126</v>
      </c>
      <c r="M18" s="38">
        <v>5164</v>
      </c>
      <c r="N18" s="38">
        <v>5239</v>
      </c>
      <c r="O18" s="38">
        <v>5425</v>
      </c>
      <c r="P18" s="38">
        <v>5535</v>
      </c>
      <c r="Q18" s="28">
        <v>5549</v>
      </c>
      <c r="R18" s="28">
        <v>5497</v>
      </c>
      <c r="S18" s="28">
        <v>5528</v>
      </c>
      <c r="T18" s="28">
        <v>5631</v>
      </c>
      <c r="U18" s="28">
        <v>5866</v>
      </c>
      <c r="V18" s="28">
        <v>6130</v>
      </c>
      <c r="W18" s="28">
        <v>6290</v>
      </c>
      <c r="X18" s="28">
        <v>6300</v>
      </c>
      <c r="Y18" s="28">
        <v>6279</v>
      </c>
      <c r="Z18" s="28">
        <v>6494</v>
      </c>
      <c r="AA18" s="28">
        <v>6722</v>
      </c>
      <c r="AB18" s="28">
        <v>6768</v>
      </c>
      <c r="AC18" s="28">
        <v>6971</v>
      </c>
      <c r="AD18" s="28">
        <v>6938</v>
      </c>
      <c r="AE18" s="28">
        <v>7150</v>
      </c>
      <c r="AF18" s="28">
        <v>7177</v>
      </c>
      <c r="AG18" s="28">
        <v>7151</v>
      </c>
      <c r="AH18" s="28">
        <v>7190</v>
      </c>
      <c r="AI18" s="28">
        <v>7129</v>
      </c>
      <c r="AJ18" s="28">
        <v>7023</v>
      </c>
      <c r="AK18" s="28">
        <v>7144</v>
      </c>
      <c r="AL18" s="28">
        <v>7524</v>
      </c>
      <c r="AM18" s="28">
        <v>7545</v>
      </c>
      <c r="AN18" s="28">
        <v>7645</v>
      </c>
      <c r="AO18" s="28">
        <v>7603</v>
      </c>
      <c r="AP18" s="27">
        <v>7643</v>
      </c>
    </row>
    <row r="19" spans="1:42" s="10" customFormat="1" ht="16.5" customHeight="1">
      <c r="A19" s="111" t="s">
        <v>67</v>
      </c>
      <c r="B19" s="38" t="s">
        <v>444</v>
      </c>
      <c r="C19" s="38" t="s">
        <v>444</v>
      </c>
      <c r="D19" s="38" t="s">
        <v>444</v>
      </c>
      <c r="E19" s="38" t="s">
        <v>444</v>
      </c>
      <c r="F19" s="38" t="s">
        <v>444</v>
      </c>
      <c r="G19" s="38">
        <v>14490</v>
      </c>
      <c r="H19" s="38">
        <v>16471</v>
      </c>
      <c r="I19" s="38">
        <v>17879</v>
      </c>
      <c r="J19" s="38">
        <v>20695</v>
      </c>
      <c r="K19" s="38">
        <v>23527</v>
      </c>
      <c r="L19" s="38">
        <v>28729</v>
      </c>
      <c r="M19" s="38">
        <v>29352</v>
      </c>
      <c r="N19" s="38">
        <v>17738</v>
      </c>
      <c r="O19" s="38">
        <v>19820</v>
      </c>
      <c r="P19" s="38">
        <v>20042</v>
      </c>
      <c r="Q19" s="28">
        <v>20761</v>
      </c>
      <c r="R19" s="28">
        <v>22087</v>
      </c>
      <c r="S19" s="28">
        <v>24668</v>
      </c>
      <c r="T19" s="28">
        <v>24808</v>
      </c>
      <c r="U19" s="28">
        <v>25873</v>
      </c>
      <c r="V19" s="28">
        <v>26333</v>
      </c>
      <c r="W19" s="28">
        <v>28346</v>
      </c>
      <c r="X19" s="28">
        <v>29406</v>
      </c>
      <c r="Y19" s="28">
        <v>29433</v>
      </c>
      <c r="Z19" s="28">
        <v>30773</v>
      </c>
      <c r="AA19" s="28">
        <v>34266</v>
      </c>
      <c r="AB19" s="28">
        <v>32696</v>
      </c>
      <c r="AC19" s="28">
        <v>31846</v>
      </c>
      <c r="AD19" s="28">
        <v>31929</v>
      </c>
      <c r="AE19" s="28">
        <v>31433</v>
      </c>
      <c r="AF19" s="28">
        <v>31359</v>
      </c>
      <c r="AG19" s="28">
        <v>32490</v>
      </c>
      <c r="AH19" s="28">
        <v>33225</v>
      </c>
      <c r="AI19" s="28">
        <v>33012</v>
      </c>
      <c r="AJ19" s="28">
        <v>33253</v>
      </c>
      <c r="AK19" s="28">
        <v>34613</v>
      </c>
      <c r="AL19" s="28">
        <v>34633</v>
      </c>
      <c r="AM19" s="28">
        <v>31553</v>
      </c>
      <c r="AN19" s="28">
        <v>31777</v>
      </c>
      <c r="AO19" s="28">
        <v>32423</v>
      </c>
      <c r="AP19" s="27">
        <v>34458</v>
      </c>
    </row>
    <row r="20" spans="1:42" s="10" customFormat="1" ht="16.5" customHeight="1">
      <c r="A20" s="111" t="s">
        <v>396</v>
      </c>
      <c r="B20" s="38" t="s">
        <v>444</v>
      </c>
      <c r="C20" s="38" t="s">
        <v>444</v>
      </c>
      <c r="D20" s="38" t="s">
        <v>444</v>
      </c>
      <c r="E20" s="38" t="s">
        <v>444</v>
      </c>
      <c r="F20" s="38" t="s">
        <v>444</v>
      </c>
      <c r="G20" s="38">
        <v>867</v>
      </c>
      <c r="H20" s="38">
        <v>1176</v>
      </c>
      <c r="I20" s="38">
        <v>1568</v>
      </c>
      <c r="J20" s="38">
        <v>1821</v>
      </c>
      <c r="K20" s="38">
        <v>2268</v>
      </c>
      <c r="L20" s="38">
        <v>2462</v>
      </c>
      <c r="M20" s="38">
        <v>2809</v>
      </c>
      <c r="N20" s="38">
        <v>5344</v>
      </c>
      <c r="O20" s="38">
        <v>6245</v>
      </c>
      <c r="P20" s="38">
        <v>7105</v>
      </c>
      <c r="Q20" s="28">
        <v>7467</v>
      </c>
      <c r="R20" s="28">
        <v>7705</v>
      </c>
      <c r="S20" s="28">
        <v>8137</v>
      </c>
      <c r="T20" s="28">
        <v>8033</v>
      </c>
      <c r="U20" s="28">
        <v>8626</v>
      </c>
      <c r="V20" s="28">
        <v>10544</v>
      </c>
      <c r="W20" s="28">
        <v>11622</v>
      </c>
      <c r="X20" s="28">
        <v>12454</v>
      </c>
      <c r="Y20" s="28">
        <v>12953</v>
      </c>
      <c r="Z20" s="28">
        <v>14953</v>
      </c>
      <c r="AA20" s="28">
        <v>17766</v>
      </c>
      <c r="AB20" s="28">
        <v>18066</v>
      </c>
      <c r="AC20" s="28">
        <v>18965</v>
      </c>
      <c r="AD20" s="28">
        <v>16996</v>
      </c>
      <c r="AE20" s="28">
        <v>17793</v>
      </c>
      <c r="AF20" s="28">
        <v>17994</v>
      </c>
      <c r="AG20" s="28">
        <v>18601</v>
      </c>
      <c r="AH20" s="28">
        <v>17042</v>
      </c>
      <c r="AI20" s="28">
        <v>18104</v>
      </c>
      <c r="AJ20" s="28">
        <v>17803</v>
      </c>
      <c r="AK20" s="28">
        <v>17491</v>
      </c>
      <c r="AL20" s="28">
        <v>17511</v>
      </c>
      <c r="AM20" s="28">
        <v>13748</v>
      </c>
      <c r="AN20" s="28">
        <v>13451</v>
      </c>
      <c r="AO20" s="28">
        <v>14245</v>
      </c>
      <c r="AP20" s="27">
        <v>14147</v>
      </c>
    </row>
    <row r="21" spans="1:42" s="10" customFormat="1" ht="16.5" customHeight="1">
      <c r="A21" s="26" t="s">
        <v>66</v>
      </c>
      <c r="B21" s="38"/>
      <c r="C21" s="38"/>
      <c r="D21" s="38"/>
      <c r="E21" s="38"/>
      <c r="F21" s="38"/>
      <c r="G21" s="38"/>
      <c r="H21" s="38"/>
      <c r="I21" s="38"/>
      <c r="J21" s="38"/>
      <c r="K21" s="38"/>
      <c r="L21" s="38"/>
      <c r="M21" s="38"/>
      <c r="N21" s="38"/>
      <c r="O21" s="38"/>
      <c r="P21" s="38"/>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row>
    <row r="22" spans="1:42" s="10" customFormat="1" ht="16.5" customHeight="1">
      <c r="A22" s="111" t="s">
        <v>65</v>
      </c>
      <c r="B22" s="38">
        <v>1658292</v>
      </c>
      <c r="C22" s="38">
        <v>1478005</v>
      </c>
      <c r="D22" s="38">
        <v>1423921</v>
      </c>
      <c r="E22" s="38">
        <v>1359459</v>
      </c>
      <c r="F22" s="38">
        <v>1168114</v>
      </c>
      <c r="G22" s="38">
        <v>867070</v>
      </c>
      <c r="H22" s="38">
        <v>658902</v>
      </c>
      <c r="I22" s="38">
        <v>633489</v>
      </c>
      <c r="J22" s="38">
        <v>605189</v>
      </c>
      <c r="K22" s="38">
        <v>587033</v>
      </c>
      <c r="L22" s="38">
        <v>590930</v>
      </c>
      <c r="M22" s="38">
        <v>583486</v>
      </c>
      <c r="N22" s="38">
        <v>570865</v>
      </c>
      <c r="O22" s="38">
        <v>568493</v>
      </c>
      <c r="P22" s="38">
        <v>575604</v>
      </c>
      <c r="Q22" s="27">
        <v>579140</v>
      </c>
      <c r="R22" s="27">
        <v>560154</v>
      </c>
      <c r="S22" s="27">
        <v>499860</v>
      </c>
      <c r="T22" s="27">
        <v>477751</v>
      </c>
      <c r="U22" s="27">
        <v>467063</v>
      </c>
      <c r="V22" s="27">
        <v>473773</v>
      </c>
      <c r="W22" s="27">
        <v>474839</v>
      </c>
      <c r="X22" s="27">
        <v>475415</v>
      </c>
      <c r="Y22" s="27">
        <v>460172</v>
      </c>
      <c r="Z22" s="27">
        <v>450297</v>
      </c>
      <c r="AA22" s="27">
        <v>416180</v>
      </c>
      <c r="AB22" s="27">
        <v>397730</v>
      </c>
      <c r="AC22" s="27">
        <v>380699</v>
      </c>
      <c r="AD22" s="27">
        <v>380641</v>
      </c>
      <c r="AE22" s="27">
        <v>373838</v>
      </c>
      <c r="AF22" s="27">
        <v>371642</v>
      </c>
      <c r="AG22" s="27">
        <v>330996</v>
      </c>
      <c r="AH22" s="27">
        <v>315227</v>
      </c>
      <c r="AI22" s="27">
        <v>306268</v>
      </c>
      <c r="AJ22" s="27">
        <v>293742</v>
      </c>
      <c r="AK22" s="27">
        <v>270378</v>
      </c>
      <c r="AL22" s="27">
        <v>252400</v>
      </c>
      <c r="AM22" s="27">
        <v>243087</v>
      </c>
      <c r="AN22" s="27">
        <v>251997</v>
      </c>
      <c r="AO22" s="27">
        <v>258001</v>
      </c>
      <c r="AP22" s="27" t="s">
        <v>59</v>
      </c>
    </row>
    <row r="23" spans="1:42" s="10" customFormat="1" ht="16.5" customHeight="1">
      <c r="A23" s="111" t="s">
        <v>42</v>
      </c>
      <c r="B23" s="38">
        <v>29031</v>
      </c>
      <c r="C23" s="38">
        <v>27780</v>
      </c>
      <c r="D23" s="38">
        <v>27077</v>
      </c>
      <c r="E23" s="38">
        <v>27846</v>
      </c>
      <c r="F23" s="38">
        <v>28094</v>
      </c>
      <c r="G23" s="38">
        <v>22548</v>
      </c>
      <c r="H23" s="38">
        <v>18835</v>
      </c>
      <c r="I23" s="38">
        <v>18344</v>
      </c>
      <c r="J23" s="38">
        <v>18004</v>
      </c>
      <c r="K23" s="38">
        <v>18161</v>
      </c>
      <c r="L23" s="38">
        <v>18505</v>
      </c>
      <c r="M23" s="38">
        <v>18812</v>
      </c>
      <c r="N23" s="38">
        <v>19269</v>
      </c>
      <c r="O23" s="38">
        <v>19684</v>
      </c>
      <c r="P23" s="38">
        <v>20261</v>
      </c>
      <c r="Q23" s="27">
        <v>20256</v>
      </c>
      <c r="R23" s="27">
        <v>20028</v>
      </c>
      <c r="S23" s="27">
        <v>19745</v>
      </c>
      <c r="T23" s="27">
        <v>20506</v>
      </c>
      <c r="U23" s="27">
        <v>20774</v>
      </c>
      <c r="V23" s="27">
        <v>22015</v>
      </c>
      <c r="W23" s="27">
        <v>22779</v>
      </c>
      <c r="X23" s="27">
        <v>23732</v>
      </c>
      <c r="Y23" s="27">
        <v>24143</v>
      </c>
      <c r="Z23" s="27">
        <v>24003</v>
      </c>
      <c r="AA23" s="27">
        <v>24045</v>
      </c>
      <c r="AB23" s="27">
        <v>23893</v>
      </c>
      <c r="AC23" s="27">
        <v>24250</v>
      </c>
      <c r="AD23" s="27">
        <v>24707</v>
      </c>
      <c r="AE23" s="27">
        <v>25033</v>
      </c>
      <c r="AF23" s="27">
        <v>25916</v>
      </c>
      <c r="AG23" s="27">
        <v>26574</v>
      </c>
      <c r="AH23" s="27">
        <v>26716</v>
      </c>
      <c r="AI23" s="27">
        <v>26547</v>
      </c>
      <c r="AJ23" s="27">
        <v>26086</v>
      </c>
      <c r="AK23" s="27">
        <v>24597</v>
      </c>
      <c r="AL23" s="27">
        <v>23544</v>
      </c>
      <c r="AM23" s="27">
        <v>23264</v>
      </c>
      <c r="AN23" s="27">
        <v>23184</v>
      </c>
      <c r="AO23" s="27">
        <v>23156</v>
      </c>
      <c r="AP23" s="27" t="s">
        <v>59</v>
      </c>
    </row>
    <row r="24" spans="1:42" s="10" customFormat="1" ht="16.5" customHeight="1">
      <c r="A24" s="111" t="s">
        <v>64</v>
      </c>
      <c r="B24" s="38">
        <v>32104</v>
      </c>
      <c r="C24" s="38">
        <v>37164</v>
      </c>
      <c r="D24" s="38">
        <v>29787</v>
      </c>
      <c r="E24" s="38">
        <v>29407</v>
      </c>
      <c r="F24" s="38">
        <v>102161</v>
      </c>
      <c r="G24" s="38">
        <v>111086</v>
      </c>
      <c r="H24" s="38">
        <v>103527</v>
      </c>
      <c r="I24" s="38">
        <v>97492</v>
      </c>
      <c r="J24" s="38">
        <v>90064</v>
      </c>
      <c r="K24" s="38">
        <v>88513</v>
      </c>
      <c r="L24" s="38">
        <v>86120</v>
      </c>
      <c r="M24" s="38">
        <v>84724</v>
      </c>
      <c r="N24" s="38">
        <v>87364</v>
      </c>
      <c r="O24" s="38">
        <v>116108</v>
      </c>
      <c r="P24" s="38">
        <v>121659</v>
      </c>
      <c r="Q24" s="27">
        <v>126762</v>
      </c>
      <c r="R24" s="27">
        <v>132448</v>
      </c>
      <c r="S24" s="27">
        <v>125470</v>
      </c>
      <c r="T24" s="27">
        <v>130590</v>
      </c>
      <c r="U24" s="27">
        <v>124580</v>
      </c>
      <c r="V24" s="27">
        <v>120169</v>
      </c>
      <c r="W24" s="27">
        <v>120195</v>
      </c>
      <c r="X24" s="27">
        <v>120688</v>
      </c>
      <c r="Y24" s="27">
        <v>120463</v>
      </c>
      <c r="Z24" s="27">
        <v>109487</v>
      </c>
      <c r="AA24" s="27">
        <v>108233</v>
      </c>
      <c r="AB24" s="27">
        <v>101755</v>
      </c>
      <c r="AC24" s="27">
        <v>95972</v>
      </c>
      <c r="AD24" s="27">
        <v>92742</v>
      </c>
      <c r="AE24" s="27">
        <v>88122</v>
      </c>
      <c r="AF24" s="27" t="s">
        <v>444</v>
      </c>
      <c r="AG24" s="27" t="s">
        <v>444</v>
      </c>
      <c r="AH24" s="27" t="s">
        <v>444</v>
      </c>
      <c r="AI24" s="27" t="s">
        <v>444</v>
      </c>
      <c r="AJ24" s="27" t="s">
        <v>444</v>
      </c>
      <c r="AK24" s="27" t="s">
        <v>444</v>
      </c>
      <c r="AL24" s="27" t="s">
        <v>444</v>
      </c>
      <c r="AM24" s="27" t="s">
        <v>444</v>
      </c>
      <c r="AN24" s="27" t="s">
        <v>444</v>
      </c>
      <c r="AO24" s="27" t="s">
        <v>444</v>
      </c>
      <c r="AP24" s="28" t="s">
        <v>444</v>
      </c>
    </row>
    <row r="25" spans="1:42" s="10" customFormat="1" ht="16.5" customHeight="1">
      <c r="A25" s="111" t="s">
        <v>63</v>
      </c>
      <c r="B25" s="38">
        <v>275090</v>
      </c>
      <c r="C25" s="38">
        <v>285493</v>
      </c>
      <c r="D25" s="38">
        <v>330473</v>
      </c>
      <c r="E25" s="38">
        <v>334739</v>
      </c>
      <c r="F25" s="38">
        <v>440552</v>
      </c>
      <c r="G25" s="38">
        <v>443530</v>
      </c>
      <c r="H25" s="38">
        <v>449832</v>
      </c>
      <c r="I25" s="38">
        <v>458679</v>
      </c>
      <c r="J25" s="38">
        <v>477883</v>
      </c>
      <c r="K25" s="38">
        <v>497586</v>
      </c>
      <c r="L25" s="38">
        <v>515362</v>
      </c>
      <c r="M25" s="38">
        <v>550717</v>
      </c>
      <c r="N25" s="38">
        <v>582344</v>
      </c>
      <c r="O25" s="38">
        <v>585818</v>
      </c>
      <c r="P25" s="38">
        <v>618404</v>
      </c>
      <c r="Q25" s="27">
        <v>662934</v>
      </c>
      <c r="R25" s="27">
        <v>688194</v>
      </c>
      <c r="S25" s="27">
        <v>688806</v>
      </c>
      <c r="T25" s="27">
        <v>691329</v>
      </c>
      <c r="U25" s="27">
        <v>687337</v>
      </c>
      <c r="V25" s="27">
        <v>693978</v>
      </c>
      <c r="W25" s="27">
        <v>717211</v>
      </c>
      <c r="X25" s="27">
        <v>750404</v>
      </c>
      <c r="Y25" s="27">
        <v>805074</v>
      </c>
      <c r="Z25" s="27">
        <v>833188</v>
      </c>
      <c r="AA25" s="27">
        <v>839020</v>
      </c>
      <c r="AB25" s="27">
        <v>809544</v>
      </c>
      <c r="AC25" s="27">
        <v>806554</v>
      </c>
      <c r="AD25" s="27">
        <v>842802</v>
      </c>
      <c r="AE25" s="27">
        <v>873679</v>
      </c>
      <c r="AF25" s="27" t="s">
        <v>444</v>
      </c>
      <c r="AG25" s="27" t="s">
        <v>444</v>
      </c>
      <c r="AH25" s="27" t="s">
        <v>444</v>
      </c>
      <c r="AI25" s="27" t="s">
        <v>444</v>
      </c>
      <c r="AJ25" s="27" t="s">
        <v>444</v>
      </c>
      <c r="AK25" s="27" t="s">
        <v>444</v>
      </c>
      <c r="AL25" s="27" t="s">
        <v>444</v>
      </c>
      <c r="AM25" s="27" t="s">
        <v>444</v>
      </c>
      <c r="AN25" s="27" t="s">
        <v>444</v>
      </c>
      <c r="AO25" s="27" t="s">
        <v>444</v>
      </c>
      <c r="AP25" s="28" t="s">
        <v>444</v>
      </c>
    </row>
    <row r="26" spans="1:42" s="10" customFormat="1" ht="16.5" customHeight="1">
      <c r="A26" s="111" t="s">
        <v>62</v>
      </c>
      <c r="B26" s="38" t="s">
        <v>444</v>
      </c>
      <c r="C26" s="38" t="s">
        <v>444</v>
      </c>
      <c r="D26" s="38" t="s">
        <v>444</v>
      </c>
      <c r="E26" s="38">
        <v>1913</v>
      </c>
      <c r="F26" s="38">
        <v>2128</v>
      </c>
      <c r="G26" s="38">
        <v>1854</v>
      </c>
      <c r="H26" s="38">
        <v>1863</v>
      </c>
      <c r="I26" s="38">
        <v>1786</v>
      </c>
      <c r="J26" s="38">
        <v>1796</v>
      </c>
      <c r="K26" s="38">
        <v>1853</v>
      </c>
      <c r="L26" s="38">
        <v>1852</v>
      </c>
      <c r="M26" s="38">
        <v>1722</v>
      </c>
      <c r="N26" s="38">
        <v>1730</v>
      </c>
      <c r="O26" s="38">
        <v>1728</v>
      </c>
      <c r="P26" s="38">
        <v>1962</v>
      </c>
      <c r="Q26" s="28">
        <v>1992</v>
      </c>
      <c r="R26" s="28">
        <v>1894</v>
      </c>
      <c r="S26" s="28">
        <v>2084</v>
      </c>
      <c r="T26" s="28">
        <v>2896</v>
      </c>
      <c r="U26" s="28">
        <v>1623</v>
      </c>
      <c r="V26" s="28">
        <v>1211</v>
      </c>
      <c r="W26" s="28">
        <v>1186</v>
      </c>
      <c r="X26" s="28">
        <v>1191</v>
      </c>
      <c r="Y26" s="28">
        <v>1164</v>
      </c>
      <c r="Z26" s="28">
        <v>1177</v>
      </c>
      <c r="AA26" s="28">
        <v>1214</v>
      </c>
      <c r="AB26" s="28">
        <v>1274</v>
      </c>
      <c r="AC26" s="28">
        <v>1301</v>
      </c>
      <c r="AD26" s="28">
        <v>2090</v>
      </c>
      <c r="AE26" s="28">
        <v>1447</v>
      </c>
      <c r="AF26" s="28">
        <v>1419</v>
      </c>
      <c r="AG26" s="28">
        <v>1428</v>
      </c>
      <c r="AH26" s="28">
        <v>1402</v>
      </c>
      <c r="AI26" s="28">
        <v>1405</v>
      </c>
      <c r="AJ26" s="28">
        <v>1403</v>
      </c>
      <c r="AK26" s="28">
        <v>1415</v>
      </c>
      <c r="AL26" s="28">
        <v>1313</v>
      </c>
      <c r="AM26" s="28">
        <v>1443</v>
      </c>
      <c r="AN26" s="28">
        <v>1344</v>
      </c>
      <c r="AO26" s="28">
        <v>1353</v>
      </c>
      <c r="AP26" s="28" t="s">
        <v>59</v>
      </c>
    </row>
    <row r="27" spans="1:42" s="10" customFormat="1" ht="16.5" customHeight="1">
      <c r="A27" s="111" t="s">
        <v>61</v>
      </c>
      <c r="B27" s="38" t="s">
        <v>444</v>
      </c>
      <c r="C27" s="38" t="s">
        <v>444</v>
      </c>
      <c r="D27" s="38" t="s">
        <v>444</v>
      </c>
      <c r="E27" s="38">
        <v>355</v>
      </c>
      <c r="F27" s="38">
        <v>419</v>
      </c>
      <c r="G27" s="38">
        <v>291</v>
      </c>
      <c r="H27" s="38">
        <v>318</v>
      </c>
      <c r="I27" s="38">
        <v>316</v>
      </c>
      <c r="J27" s="38">
        <v>336</v>
      </c>
      <c r="K27" s="38">
        <v>360</v>
      </c>
      <c r="L27" s="38">
        <v>338</v>
      </c>
      <c r="M27" s="38">
        <v>313</v>
      </c>
      <c r="N27" s="38">
        <v>299</v>
      </c>
      <c r="O27" s="38">
        <v>332</v>
      </c>
      <c r="P27" s="38">
        <v>345</v>
      </c>
      <c r="Q27" s="28">
        <v>329</v>
      </c>
      <c r="R27" s="28">
        <v>378</v>
      </c>
      <c r="S27" s="28">
        <v>401</v>
      </c>
      <c r="T27" s="28">
        <v>372</v>
      </c>
      <c r="U27" s="28">
        <v>442</v>
      </c>
      <c r="V27" s="28">
        <v>276</v>
      </c>
      <c r="W27" s="28">
        <v>258</v>
      </c>
      <c r="X27" s="28">
        <v>319</v>
      </c>
      <c r="Y27" s="28">
        <v>270</v>
      </c>
      <c r="Z27" s="28">
        <v>278</v>
      </c>
      <c r="AA27" s="28">
        <v>274</v>
      </c>
      <c r="AB27" s="28">
        <v>282</v>
      </c>
      <c r="AC27" s="28">
        <v>287</v>
      </c>
      <c r="AD27" s="28">
        <v>485</v>
      </c>
      <c r="AE27" s="28">
        <v>418</v>
      </c>
      <c r="AF27" s="28">
        <v>428</v>
      </c>
      <c r="AG27" s="28">
        <v>423</v>
      </c>
      <c r="AH27" s="28">
        <v>434</v>
      </c>
      <c r="AI27" s="28">
        <v>419</v>
      </c>
      <c r="AJ27" s="28">
        <v>431</v>
      </c>
      <c r="AK27" s="28">
        <v>403</v>
      </c>
      <c r="AL27" s="28">
        <v>384</v>
      </c>
      <c r="AM27" s="28">
        <v>395</v>
      </c>
      <c r="AN27" s="28">
        <v>391</v>
      </c>
      <c r="AO27" s="28">
        <v>413</v>
      </c>
      <c r="AP27" s="28" t="s">
        <v>59</v>
      </c>
    </row>
    <row r="28" spans="1:42" s="10" customFormat="1" ht="16.5" customHeight="1">
      <c r="A28" s="26" t="s">
        <v>60</v>
      </c>
      <c r="B28" s="38"/>
      <c r="C28" s="38"/>
      <c r="D28" s="38"/>
      <c r="E28" s="38"/>
      <c r="F28" s="38"/>
      <c r="G28" s="38"/>
      <c r="H28" s="38"/>
      <c r="I28" s="38"/>
      <c r="J28" s="38"/>
      <c r="K28" s="38"/>
      <c r="L28" s="38"/>
      <c r="M28" s="38"/>
      <c r="N28" s="38"/>
      <c r="O28" s="38"/>
      <c r="P28" s="38"/>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row>
    <row r="29" spans="1:42" s="10" customFormat="1" ht="16.5" customHeight="1">
      <c r="A29" s="111" t="s">
        <v>397</v>
      </c>
      <c r="B29" s="38">
        <v>16777</v>
      </c>
      <c r="C29" s="38">
        <v>17033</v>
      </c>
      <c r="D29" s="38">
        <v>19377</v>
      </c>
      <c r="E29" s="38">
        <v>25515</v>
      </c>
      <c r="F29" s="38">
        <v>31662</v>
      </c>
      <c r="G29" s="38">
        <v>33597</v>
      </c>
      <c r="H29" s="38">
        <v>33597</v>
      </c>
      <c r="I29" s="38" t="s">
        <v>59</v>
      </c>
      <c r="J29" s="38">
        <v>30899</v>
      </c>
      <c r="K29" s="38">
        <v>30785</v>
      </c>
      <c r="L29" s="38">
        <v>30730</v>
      </c>
      <c r="M29" s="38">
        <v>27851</v>
      </c>
      <c r="N29" s="38">
        <v>28908</v>
      </c>
      <c r="O29" s="38">
        <v>33790</v>
      </c>
      <c r="P29" s="38">
        <v>33759</v>
      </c>
      <c r="Q29" s="31">
        <v>34448</v>
      </c>
      <c r="R29" s="27">
        <v>35008</v>
      </c>
      <c r="S29" s="27">
        <v>35036</v>
      </c>
      <c r="T29" s="27">
        <v>34681</v>
      </c>
      <c r="U29" s="27">
        <v>33780</v>
      </c>
      <c r="V29" s="27">
        <v>32989</v>
      </c>
      <c r="W29" s="27">
        <v>32380</v>
      </c>
      <c r="X29" s="27">
        <v>32889</v>
      </c>
      <c r="Y29" s="27">
        <v>33486</v>
      </c>
      <c r="Z29" s="27">
        <v>32932</v>
      </c>
      <c r="AA29" s="27">
        <v>31761</v>
      </c>
      <c r="AB29" s="27">
        <v>31906</v>
      </c>
      <c r="AC29" s="27">
        <v>32454</v>
      </c>
      <c r="AD29" s="27">
        <v>32880</v>
      </c>
      <c r="AE29" s="27">
        <v>32895</v>
      </c>
      <c r="AF29" s="27">
        <v>32275</v>
      </c>
      <c r="AG29" s="27">
        <v>32819</v>
      </c>
      <c r="AH29" s="27">
        <v>33472</v>
      </c>
      <c r="AI29" s="27">
        <v>33712</v>
      </c>
      <c r="AJ29" s="27">
        <v>33852</v>
      </c>
      <c r="AK29" s="27">
        <v>33600</v>
      </c>
      <c r="AL29" s="27">
        <v>34209</v>
      </c>
      <c r="AM29" s="27">
        <v>34802</v>
      </c>
      <c r="AN29" s="27">
        <v>35076</v>
      </c>
      <c r="AO29" s="27">
        <v>35255</v>
      </c>
      <c r="AP29" s="28" t="s">
        <v>59</v>
      </c>
    </row>
    <row r="30" spans="1:42" s="10" customFormat="1" ht="16.5" customHeight="1">
      <c r="A30" s="111" t="s">
        <v>398</v>
      </c>
      <c r="B30" s="38">
        <v>6543</v>
      </c>
      <c r="C30" s="38">
        <v>6083</v>
      </c>
      <c r="D30" s="38">
        <v>6455</v>
      </c>
      <c r="E30" s="38">
        <v>6144</v>
      </c>
      <c r="F30" s="38">
        <v>7126</v>
      </c>
      <c r="G30" s="38">
        <v>7522</v>
      </c>
      <c r="H30" s="38">
        <v>8236</v>
      </c>
      <c r="I30" s="38" t="s">
        <v>59</v>
      </c>
      <c r="J30" s="38">
        <v>8311</v>
      </c>
      <c r="K30" s="38">
        <v>8323</v>
      </c>
      <c r="L30" s="38">
        <v>8334</v>
      </c>
      <c r="M30" s="38">
        <v>9009</v>
      </c>
      <c r="N30" s="38">
        <v>9037</v>
      </c>
      <c r="O30" s="38">
        <v>9966</v>
      </c>
      <c r="P30" s="38">
        <v>9980</v>
      </c>
      <c r="Q30" s="31">
        <v>10279</v>
      </c>
      <c r="R30" s="27">
        <v>10410</v>
      </c>
      <c r="S30" s="27">
        <v>10449</v>
      </c>
      <c r="T30" s="27">
        <v>10437</v>
      </c>
      <c r="U30" s="27">
        <v>10470</v>
      </c>
      <c r="V30" s="27">
        <v>10367</v>
      </c>
      <c r="W30" s="27">
        <v>10497</v>
      </c>
      <c r="X30" s="27">
        <v>10587</v>
      </c>
      <c r="Y30" s="27">
        <v>10640</v>
      </c>
      <c r="Z30" s="27">
        <v>10786</v>
      </c>
      <c r="AA30" s="27">
        <v>10607</v>
      </c>
      <c r="AB30" s="27">
        <v>10775</v>
      </c>
      <c r="AC30" s="27">
        <v>10702</v>
      </c>
      <c r="AD30" s="27">
        <v>10673</v>
      </c>
      <c r="AE30" s="27">
        <v>10566</v>
      </c>
      <c r="AF30" s="27">
        <v>10187</v>
      </c>
      <c r="AG30" s="27">
        <v>10108</v>
      </c>
      <c r="AH30" s="27">
        <v>10068</v>
      </c>
      <c r="AI30" s="27">
        <v>10114</v>
      </c>
      <c r="AJ30" s="27">
        <v>10150</v>
      </c>
      <c r="AK30" s="27">
        <v>10152</v>
      </c>
      <c r="AL30" s="27">
        <v>10339</v>
      </c>
      <c r="AM30" s="27">
        <v>10473</v>
      </c>
      <c r="AN30" s="27">
        <v>10522</v>
      </c>
      <c r="AO30" s="27">
        <v>10518</v>
      </c>
      <c r="AP30" s="28" t="s">
        <v>59</v>
      </c>
    </row>
    <row r="31" spans="1:42" s="10" customFormat="1" ht="33" customHeight="1">
      <c r="A31" s="111" t="s">
        <v>399</v>
      </c>
      <c r="B31" s="38">
        <v>2926</v>
      </c>
      <c r="C31" s="38">
        <v>2376</v>
      </c>
      <c r="D31" s="38">
        <v>1579</v>
      </c>
      <c r="E31" s="38">
        <v>857</v>
      </c>
      <c r="F31" s="38">
        <v>864</v>
      </c>
      <c r="G31" s="38">
        <v>737</v>
      </c>
      <c r="H31" s="38">
        <v>636</v>
      </c>
      <c r="I31" s="38">
        <v>619</v>
      </c>
      <c r="J31" s="38">
        <v>603</v>
      </c>
      <c r="K31" s="38">
        <v>565</v>
      </c>
      <c r="L31" s="38">
        <v>543</v>
      </c>
      <c r="M31" s="38">
        <v>509</v>
      </c>
      <c r="N31" s="38">
        <v>495</v>
      </c>
      <c r="O31" s="38">
        <v>477</v>
      </c>
      <c r="P31" s="38">
        <v>470</v>
      </c>
      <c r="Q31" s="31">
        <v>463</v>
      </c>
      <c r="R31" s="32">
        <v>282</v>
      </c>
      <c r="S31" s="32">
        <v>274</v>
      </c>
      <c r="T31" s="32">
        <v>261</v>
      </c>
      <c r="U31" s="32">
        <v>246</v>
      </c>
      <c r="V31" s="32">
        <v>233</v>
      </c>
      <c r="W31" s="32">
        <v>231</v>
      </c>
      <c r="X31" s="32">
        <v>229</v>
      </c>
      <c r="Y31" s="32">
        <v>220</v>
      </c>
      <c r="Z31" s="32">
        <v>225</v>
      </c>
      <c r="AA31" s="32">
        <v>217</v>
      </c>
      <c r="AB31" s="32">
        <v>221</v>
      </c>
      <c r="AC31" s="32">
        <v>214</v>
      </c>
      <c r="AD31" s="32">
        <v>198</v>
      </c>
      <c r="AE31" s="32">
        <v>187</v>
      </c>
      <c r="AF31" s="32">
        <v>179</v>
      </c>
      <c r="AG31" s="32">
        <v>170</v>
      </c>
      <c r="AH31" s="32">
        <v>169</v>
      </c>
      <c r="AI31" s="32">
        <v>176</v>
      </c>
      <c r="AJ31" s="32">
        <v>182</v>
      </c>
      <c r="AK31" s="32">
        <v>182</v>
      </c>
      <c r="AL31" s="32">
        <v>185</v>
      </c>
      <c r="AM31" s="32">
        <v>183</v>
      </c>
      <c r="AN31" s="32">
        <v>178</v>
      </c>
      <c r="AO31" s="32">
        <v>177</v>
      </c>
      <c r="AP31" s="9">
        <v>185</v>
      </c>
    </row>
    <row r="32" spans="1:42" s="10" customFormat="1" ht="16.5" customHeight="1" thickBot="1">
      <c r="A32" s="114" t="s">
        <v>400</v>
      </c>
      <c r="B32" s="38">
        <v>2450484</v>
      </c>
      <c r="C32" s="38">
        <v>4138140</v>
      </c>
      <c r="D32" s="38">
        <v>5128345</v>
      </c>
      <c r="E32" s="38">
        <v>7303286</v>
      </c>
      <c r="F32" s="38">
        <v>8577857</v>
      </c>
      <c r="G32" s="38">
        <v>9589483</v>
      </c>
      <c r="H32" s="38">
        <v>10996253</v>
      </c>
      <c r="I32" s="38">
        <v>11068440</v>
      </c>
      <c r="J32" s="38">
        <v>11132386</v>
      </c>
      <c r="K32" s="38">
        <v>11282736</v>
      </c>
      <c r="L32" s="38">
        <v>11429585</v>
      </c>
      <c r="M32" s="38">
        <v>11734710</v>
      </c>
      <c r="N32" s="38">
        <v>11877938</v>
      </c>
      <c r="O32" s="38">
        <v>12312982</v>
      </c>
      <c r="P32" s="38">
        <v>12565930</v>
      </c>
      <c r="Q32" s="34">
        <v>12738271</v>
      </c>
      <c r="R32" s="33">
        <v>12782143</v>
      </c>
      <c r="S32" s="33">
        <v>12876346</v>
      </c>
      <c r="T32" s="33">
        <v>12854054</v>
      </c>
      <c r="U32" s="33">
        <v>12794616</v>
      </c>
      <c r="V32" s="33">
        <v>12781476</v>
      </c>
      <c r="W32" s="33">
        <v>12942414</v>
      </c>
      <c r="X32" s="33">
        <v>12746126</v>
      </c>
      <c r="Y32" s="33">
        <v>12875568</v>
      </c>
      <c r="Z32" s="33">
        <v>12692892</v>
      </c>
      <c r="AA32" s="33">
        <v>12721541</v>
      </c>
      <c r="AB32" s="33">
        <v>12438926</v>
      </c>
      <c r="AC32" s="33">
        <v>12173935</v>
      </c>
      <c r="AD32" s="33">
        <v>12101936</v>
      </c>
      <c r="AE32" s="33">
        <v>12013496</v>
      </c>
      <c r="AF32" s="33">
        <v>11804002</v>
      </c>
      <c r="AG32" s="33">
        <v>11867049</v>
      </c>
      <c r="AH32" s="33">
        <v>11861811</v>
      </c>
      <c r="AI32" s="33">
        <v>11961568</v>
      </c>
      <c r="AJ32" s="33">
        <v>11852969</v>
      </c>
      <c r="AK32" s="33">
        <v>11878542</v>
      </c>
      <c r="AL32" s="33">
        <v>11838188</v>
      </c>
      <c r="AM32" s="33">
        <v>11957886</v>
      </c>
      <c r="AN32" s="33">
        <v>11770383</v>
      </c>
      <c r="AO32" s="33">
        <v>11546512</v>
      </c>
      <c r="AP32" s="35">
        <v>11674073</v>
      </c>
    </row>
    <row r="33" spans="1:37" ht="12.75" customHeight="1">
      <c r="A33" s="120" t="s">
        <v>1176</v>
      </c>
      <c r="B33" s="120"/>
      <c r="C33" s="120"/>
      <c r="D33" s="120"/>
      <c r="E33" s="120"/>
      <c r="F33" s="120"/>
      <c r="G33" s="120"/>
      <c r="H33" s="120"/>
      <c r="I33" s="120"/>
      <c r="J33" s="120"/>
      <c r="K33" s="120"/>
      <c r="L33" s="120"/>
      <c r="M33" s="120"/>
      <c r="N33" s="120"/>
      <c r="O33" s="120"/>
      <c r="P33" s="120"/>
      <c r="Q33" s="120"/>
      <c r="R33" s="120"/>
      <c r="S33" s="120"/>
      <c r="T33" s="120"/>
      <c r="U33" s="120"/>
      <c r="V33" s="120"/>
      <c r="W33" s="36"/>
      <c r="X33" s="36"/>
      <c r="Y33" s="36"/>
      <c r="Z33" s="36"/>
      <c r="AA33" s="36"/>
      <c r="AB33" s="36"/>
      <c r="AC33" s="36"/>
      <c r="AD33" s="11"/>
      <c r="AE33" s="12"/>
      <c r="AF33" s="11"/>
      <c r="AG33" s="11"/>
      <c r="AH33" s="11"/>
      <c r="AI33" s="11"/>
      <c r="AJ33" s="11"/>
      <c r="AK33" s="11"/>
    </row>
    <row r="34" spans="1:37" ht="12.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
      <c r="X34" s="11"/>
      <c r="Y34" s="11"/>
      <c r="Z34" s="11"/>
      <c r="AA34" s="11"/>
      <c r="AB34" s="11"/>
      <c r="AC34" s="11"/>
      <c r="AD34" s="11"/>
      <c r="AE34" s="11"/>
      <c r="AF34" s="11"/>
      <c r="AG34" s="11"/>
      <c r="AH34" s="11"/>
      <c r="AI34" s="11"/>
      <c r="AJ34" s="11"/>
      <c r="AK34" s="11"/>
    </row>
    <row r="35" spans="1:37" ht="12.75" customHeight="1">
      <c r="A35" s="116" t="s">
        <v>58</v>
      </c>
      <c r="B35" s="116"/>
      <c r="C35" s="116"/>
      <c r="D35" s="116"/>
      <c r="E35" s="116"/>
      <c r="F35" s="116"/>
      <c r="G35" s="116"/>
      <c r="H35" s="116"/>
      <c r="I35" s="116"/>
      <c r="J35" s="116"/>
      <c r="K35" s="116"/>
      <c r="L35" s="116"/>
      <c r="M35" s="116"/>
      <c r="N35" s="116"/>
      <c r="O35" s="116"/>
      <c r="P35" s="116"/>
      <c r="Q35" s="116"/>
      <c r="R35" s="116"/>
      <c r="S35" s="116"/>
      <c r="T35" s="116"/>
      <c r="U35" s="116"/>
      <c r="V35" s="116"/>
      <c r="W35" s="40"/>
      <c r="X35" s="40"/>
      <c r="Y35" s="40"/>
      <c r="Z35" s="40"/>
      <c r="AA35" s="40"/>
      <c r="AB35" s="40"/>
      <c r="AC35" s="40"/>
      <c r="AD35" s="40"/>
      <c r="AE35" s="40"/>
      <c r="AF35" s="40"/>
      <c r="AG35" s="40"/>
      <c r="AH35" s="40"/>
      <c r="AI35" s="40"/>
      <c r="AJ35" s="40"/>
      <c r="AK35" s="40"/>
    </row>
    <row r="36" spans="1:37" ht="25.5" customHeight="1">
      <c r="A36" s="117" t="s">
        <v>57</v>
      </c>
      <c r="B36" s="117"/>
      <c r="C36" s="117"/>
      <c r="D36" s="117"/>
      <c r="E36" s="117"/>
      <c r="F36" s="117"/>
      <c r="G36" s="117"/>
      <c r="H36" s="117"/>
      <c r="I36" s="117"/>
      <c r="J36" s="117"/>
      <c r="K36" s="117"/>
      <c r="L36" s="117"/>
      <c r="M36" s="117"/>
      <c r="N36" s="117"/>
      <c r="O36" s="117"/>
      <c r="P36" s="117"/>
      <c r="Q36" s="117"/>
      <c r="R36" s="117"/>
      <c r="S36" s="117"/>
      <c r="T36" s="117"/>
      <c r="U36" s="117"/>
      <c r="V36" s="117"/>
      <c r="W36" s="40"/>
      <c r="X36" s="40"/>
      <c r="Y36" s="40"/>
      <c r="Z36" s="40"/>
      <c r="AA36" s="40"/>
      <c r="AB36" s="40"/>
      <c r="AC36" s="40"/>
      <c r="AD36" s="40"/>
      <c r="AE36" s="40"/>
      <c r="AF36" s="40"/>
      <c r="AG36" s="40"/>
      <c r="AH36" s="40"/>
      <c r="AI36" s="40"/>
      <c r="AJ36" s="40"/>
      <c r="AK36" s="40"/>
    </row>
    <row r="37" spans="1:37" ht="38.25" customHeight="1">
      <c r="A37" s="118" t="s">
        <v>401</v>
      </c>
      <c r="B37" s="118"/>
      <c r="C37" s="118"/>
      <c r="D37" s="118"/>
      <c r="E37" s="118"/>
      <c r="F37" s="118"/>
      <c r="G37" s="118"/>
      <c r="H37" s="118"/>
      <c r="I37" s="118"/>
      <c r="J37" s="118"/>
      <c r="K37" s="118"/>
      <c r="L37" s="118"/>
      <c r="M37" s="118"/>
      <c r="N37" s="118"/>
      <c r="O37" s="118"/>
      <c r="P37" s="118"/>
      <c r="Q37" s="118"/>
      <c r="R37" s="118"/>
      <c r="S37" s="118"/>
      <c r="T37" s="118"/>
      <c r="U37" s="118"/>
      <c r="V37" s="118"/>
      <c r="W37" s="40"/>
      <c r="X37" s="40"/>
      <c r="Y37" s="40"/>
      <c r="Z37" s="40"/>
      <c r="AA37" s="40"/>
      <c r="AB37" s="40"/>
      <c r="AC37" s="40"/>
      <c r="AD37" s="40"/>
      <c r="AE37" s="40"/>
      <c r="AF37" s="40"/>
      <c r="AG37" s="40"/>
      <c r="AH37" s="40"/>
      <c r="AI37" s="40"/>
      <c r="AJ37" s="40"/>
      <c r="AK37" s="40"/>
    </row>
    <row r="38" spans="1:37" ht="12.75" customHeight="1">
      <c r="A38" s="117" t="s">
        <v>445</v>
      </c>
      <c r="B38" s="117"/>
      <c r="C38" s="117"/>
      <c r="D38" s="117"/>
      <c r="E38" s="117"/>
      <c r="F38" s="117"/>
      <c r="G38" s="117"/>
      <c r="H38" s="117"/>
      <c r="I38" s="117"/>
      <c r="J38" s="117"/>
      <c r="K38" s="117"/>
      <c r="L38" s="117"/>
      <c r="M38" s="117"/>
      <c r="N38" s="117"/>
      <c r="O38" s="117"/>
      <c r="P38" s="117"/>
      <c r="Q38" s="117"/>
      <c r="R38" s="117"/>
      <c r="S38" s="117"/>
      <c r="T38" s="117"/>
      <c r="U38" s="117"/>
      <c r="V38" s="117"/>
      <c r="W38" s="40"/>
      <c r="X38" s="40"/>
      <c r="Y38" s="40"/>
      <c r="Z38" s="40"/>
      <c r="AA38" s="40"/>
      <c r="AB38" s="40"/>
      <c r="AC38" s="40"/>
      <c r="AD38" s="40"/>
      <c r="AE38" s="40"/>
      <c r="AF38" s="40"/>
      <c r="AG38" s="40"/>
      <c r="AH38" s="40"/>
      <c r="AI38" s="40"/>
      <c r="AJ38" s="40"/>
      <c r="AK38" s="40"/>
    </row>
    <row r="39" spans="1:37" ht="12.75" customHeight="1">
      <c r="A39" s="117" t="s">
        <v>402</v>
      </c>
      <c r="B39" s="117"/>
      <c r="C39" s="117"/>
      <c r="D39" s="117"/>
      <c r="E39" s="117"/>
      <c r="F39" s="117"/>
      <c r="G39" s="117"/>
      <c r="H39" s="117"/>
      <c r="I39" s="117"/>
      <c r="J39" s="117"/>
      <c r="K39" s="117"/>
      <c r="L39" s="117"/>
      <c r="M39" s="117"/>
      <c r="N39" s="117"/>
      <c r="O39" s="117"/>
      <c r="P39" s="117"/>
      <c r="Q39" s="117"/>
      <c r="R39" s="117"/>
      <c r="S39" s="117"/>
      <c r="T39" s="117"/>
      <c r="U39" s="117"/>
      <c r="V39" s="117"/>
      <c r="W39" s="40"/>
      <c r="X39" s="40"/>
      <c r="Y39" s="40"/>
      <c r="Z39" s="40"/>
      <c r="AA39" s="40"/>
      <c r="AB39" s="40"/>
      <c r="AC39" s="40"/>
      <c r="AD39" s="40"/>
      <c r="AE39" s="40"/>
      <c r="AF39" s="40"/>
      <c r="AG39" s="40"/>
      <c r="AH39" s="40"/>
      <c r="AI39" s="40"/>
      <c r="AJ39" s="40"/>
      <c r="AK39" s="40"/>
    </row>
    <row r="40" spans="1:37" ht="12.75" customHeight="1">
      <c r="A40" s="117" t="s">
        <v>403</v>
      </c>
      <c r="B40" s="117"/>
      <c r="C40" s="117"/>
      <c r="D40" s="117"/>
      <c r="E40" s="117"/>
      <c r="F40" s="117"/>
      <c r="G40" s="117"/>
      <c r="H40" s="117"/>
      <c r="I40" s="117"/>
      <c r="J40" s="117"/>
      <c r="K40" s="117"/>
      <c r="L40" s="117"/>
      <c r="M40" s="117"/>
      <c r="N40" s="117"/>
      <c r="O40" s="117"/>
      <c r="P40" s="117"/>
      <c r="Q40" s="117"/>
      <c r="R40" s="117"/>
      <c r="S40" s="117"/>
      <c r="T40" s="117"/>
      <c r="U40" s="117"/>
      <c r="V40" s="117"/>
      <c r="W40" s="40"/>
      <c r="X40" s="40"/>
      <c r="Y40" s="40"/>
      <c r="Z40" s="40"/>
      <c r="AA40" s="40"/>
      <c r="AB40" s="40"/>
      <c r="AC40" s="40"/>
      <c r="AD40" s="40"/>
      <c r="AE40" s="40"/>
      <c r="AF40" s="40"/>
      <c r="AG40" s="40"/>
      <c r="AH40" s="40"/>
      <c r="AI40" s="40"/>
      <c r="AJ40" s="40"/>
      <c r="AK40" s="40"/>
    </row>
    <row r="41" spans="1:37" ht="12.75" customHeight="1">
      <c r="A41" s="117" t="s">
        <v>404</v>
      </c>
      <c r="B41" s="117"/>
      <c r="C41" s="117"/>
      <c r="D41" s="117"/>
      <c r="E41" s="117"/>
      <c r="F41" s="117"/>
      <c r="G41" s="117"/>
      <c r="H41" s="117"/>
      <c r="I41" s="117"/>
      <c r="J41" s="117"/>
      <c r="K41" s="117"/>
      <c r="L41" s="117"/>
      <c r="M41" s="117"/>
      <c r="N41" s="117"/>
      <c r="O41" s="117"/>
      <c r="P41" s="117"/>
      <c r="Q41" s="117"/>
      <c r="R41" s="117"/>
      <c r="S41" s="117"/>
      <c r="T41" s="117"/>
      <c r="U41" s="117"/>
      <c r="V41" s="117"/>
      <c r="W41" s="40"/>
      <c r="X41" s="40"/>
      <c r="Y41" s="40"/>
      <c r="Z41" s="40"/>
      <c r="AA41" s="40"/>
      <c r="AB41" s="40"/>
      <c r="AC41" s="40"/>
      <c r="AD41" s="40"/>
      <c r="AE41" s="40"/>
      <c r="AF41" s="40"/>
      <c r="AG41" s="40"/>
      <c r="AH41" s="40"/>
      <c r="AI41" s="40"/>
      <c r="AJ41" s="40"/>
      <c r="AK41" s="40"/>
    </row>
    <row r="42" spans="1:37" ht="12.75" customHeight="1">
      <c r="A42" s="117" t="s">
        <v>405</v>
      </c>
      <c r="B42" s="117"/>
      <c r="C42" s="117"/>
      <c r="D42" s="117"/>
      <c r="E42" s="117"/>
      <c r="F42" s="117"/>
      <c r="G42" s="117"/>
      <c r="H42" s="117"/>
      <c r="I42" s="117"/>
      <c r="J42" s="117"/>
      <c r="K42" s="117"/>
      <c r="L42" s="117"/>
      <c r="M42" s="117"/>
      <c r="N42" s="117"/>
      <c r="O42" s="117"/>
      <c r="P42" s="117"/>
      <c r="Q42" s="117"/>
      <c r="R42" s="117"/>
      <c r="S42" s="117"/>
      <c r="T42" s="117"/>
      <c r="U42" s="117"/>
      <c r="V42" s="117"/>
      <c r="W42" s="40"/>
      <c r="X42" s="40"/>
      <c r="Y42" s="40"/>
      <c r="Z42" s="40"/>
      <c r="AA42" s="40"/>
      <c r="AB42" s="40"/>
      <c r="AC42" s="40"/>
      <c r="AD42" s="40"/>
      <c r="AE42" s="40"/>
      <c r="AF42" s="40"/>
      <c r="AG42" s="40"/>
      <c r="AH42" s="40"/>
      <c r="AI42" s="40"/>
      <c r="AJ42" s="40"/>
      <c r="AK42" s="40"/>
    </row>
    <row r="43" spans="1:37" ht="12.75" customHeight="1">
      <c r="A43" s="117" t="s">
        <v>406</v>
      </c>
      <c r="B43" s="117"/>
      <c r="C43" s="117"/>
      <c r="D43" s="117"/>
      <c r="E43" s="117"/>
      <c r="F43" s="117"/>
      <c r="G43" s="117"/>
      <c r="H43" s="117"/>
      <c r="I43" s="117"/>
      <c r="J43" s="117"/>
      <c r="K43" s="117"/>
      <c r="L43" s="117"/>
      <c r="M43" s="117"/>
      <c r="N43" s="117"/>
      <c r="O43" s="117"/>
      <c r="P43" s="117"/>
      <c r="Q43" s="117"/>
      <c r="R43" s="117"/>
      <c r="S43" s="117"/>
      <c r="T43" s="117"/>
      <c r="U43" s="117"/>
      <c r="V43" s="117"/>
      <c r="W43" s="40"/>
      <c r="X43" s="40"/>
      <c r="Y43" s="40"/>
      <c r="Z43" s="40"/>
      <c r="AA43" s="40"/>
      <c r="AB43" s="40"/>
      <c r="AC43" s="40"/>
      <c r="AD43" s="40"/>
      <c r="AE43" s="40"/>
      <c r="AF43" s="40"/>
      <c r="AG43" s="40"/>
      <c r="AH43" s="40"/>
      <c r="AI43" s="40"/>
      <c r="AJ43" s="40"/>
      <c r="AK43" s="40"/>
    </row>
    <row r="44" spans="1:37" ht="12.75" customHeight="1">
      <c r="A44" s="118" t="s">
        <v>407</v>
      </c>
      <c r="B44" s="118"/>
      <c r="C44" s="118"/>
      <c r="D44" s="118"/>
      <c r="E44" s="118"/>
      <c r="F44" s="118"/>
      <c r="G44" s="118"/>
      <c r="H44" s="118"/>
      <c r="I44" s="118"/>
      <c r="J44" s="118"/>
      <c r="K44" s="118"/>
      <c r="L44" s="118"/>
      <c r="M44" s="118"/>
      <c r="N44" s="118"/>
      <c r="O44" s="118"/>
      <c r="P44" s="118"/>
      <c r="Q44" s="118"/>
      <c r="R44" s="118"/>
      <c r="S44" s="118"/>
      <c r="T44" s="118"/>
      <c r="U44" s="118"/>
      <c r="V44" s="118"/>
      <c r="W44" s="40"/>
      <c r="X44" s="40"/>
      <c r="Y44" s="40"/>
      <c r="Z44" s="40"/>
      <c r="AA44" s="40"/>
      <c r="AB44" s="40"/>
      <c r="AC44" s="40"/>
      <c r="AD44" s="40"/>
      <c r="AE44" s="40"/>
      <c r="AF44" s="40"/>
      <c r="AG44" s="40"/>
      <c r="AH44" s="40"/>
      <c r="AI44" s="40"/>
      <c r="AJ44" s="40"/>
      <c r="AK44" s="40"/>
    </row>
    <row r="45" spans="1:37" ht="12.75" customHeight="1">
      <c r="A45" s="117" t="s">
        <v>408</v>
      </c>
      <c r="B45" s="117"/>
      <c r="C45" s="117"/>
      <c r="D45" s="117"/>
      <c r="E45" s="117"/>
      <c r="F45" s="117"/>
      <c r="G45" s="117"/>
      <c r="H45" s="117"/>
      <c r="I45" s="117"/>
      <c r="J45" s="117"/>
      <c r="K45" s="117"/>
      <c r="L45" s="117"/>
      <c r="M45" s="117"/>
      <c r="N45" s="117"/>
      <c r="O45" s="117"/>
      <c r="P45" s="117"/>
      <c r="Q45" s="117"/>
      <c r="R45" s="117"/>
      <c r="S45" s="117"/>
      <c r="T45" s="117"/>
      <c r="U45" s="117"/>
      <c r="V45" s="117"/>
      <c r="W45" s="40"/>
      <c r="X45" s="40"/>
      <c r="Y45" s="40"/>
      <c r="Z45" s="40"/>
      <c r="AA45" s="40"/>
      <c r="AB45" s="40"/>
      <c r="AC45" s="40"/>
      <c r="AD45" s="40"/>
      <c r="AE45" s="40"/>
      <c r="AF45" s="40"/>
      <c r="AG45" s="40"/>
      <c r="AH45" s="40"/>
      <c r="AI45" s="40"/>
      <c r="AJ45" s="40"/>
      <c r="AK45" s="40"/>
    </row>
    <row r="46" spans="1:37" ht="12.75" customHeight="1">
      <c r="A46" s="117" t="s">
        <v>409</v>
      </c>
      <c r="B46" s="117"/>
      <c r="C46" s="117"/>
      <c r="D46" s="117"/>
      <c r="E46" s="117"/>
      <c r="F46" s="117"/>
      <c r="G46" s="117"/>
      <c r="H46" s="117"/>
      <c r="I46" s="117"/>
      <c r="J46" s="117"/>
      <c r="K46" s="117"/>
      <c r="L46" s="117"/>
      <c r="M46" s="117"/>
      <c r="N46" s="117"/>
      <c r="O46" s="117"/>
      <c r="P46" s="117"/>
      <c r="Q46" s="117"/>
      <c r="R46" s="117"/>
      <c r="S46" s="117"/>
      <c r="T46" s="117"/>
      <c r="U46" s="117"/>
      <c r="V46" s="117"/>
      <c r="W46" s="40"/>
      <c r="X46" s="40"/>
      <c r="Y46" s="40"/>
      <c r="Z46" s="40"/>
      <c r="AA46" s="40"/>
      <c r="AB46" s="40"/>
      <c r="AC46" s="40"/>
      <c r="AD46" s="40"/>
      <c r="AE46" s="40"/>
      <c r="AF46" s="40"/>
      <c r="AG46" s="40"/>
      <c r="AH46" s="40"/>
      <c r="AI46" s="40"/>
      <c r="AJ46" s="40"/>
      <c r="AK46" s="40"/>
    </row>
    <row r="47" spans="1:37" ht="12.75" customHeight="1">
      <c r="A47" s="117" t="s">
        <v>410</v>
      </c>
      <c r="B47" s="117"/>
      <c r="C47" s="117"/>
      <c r="D47" s="117"/>
      <c r="E47" s="117"/>
      <c r="F47" s="117"/>
      <c r="G47" s="117"/>
      <c r="H47" s="117"/>
      <c r="I47" s="117"/>
      <c r="J47" s="117"/>
      <c r="K47" s="117"/>
      <c r="L47" s="117"/>
      <c r="M47" s="117"/>
      <c r="N47" s="117"/>
      <c r="O47" s="117"/>
      <c r="P47" s="117"/>
      <c r="Q47" s="117"/>
      <c r="R47" s="117"/>
      <c r="S47" s="117"/>
      <c r="T47" s="117"/>
      <c r="U47" s="117"/>
      <c r="V47" s="117"/>
      <c r="W47" s="40"/>
      <c r="X47" s="40"/>
      <c r="Y47" s="40"/>
      <c r="Z47" s="40"/>
      <c r="AA47" s="40"/>
      <c r="AB47" s="40"/>
      <c r="AC47" s="40"/>
      <c r="AD47" s="40"/>
      <c r="AE47" s="40"/>
      <c r="AF47" s="40"/>
      <c r="AG47" s="40"/>
      <c r="AH47" s="40"/>
      <c r="AI47" s="40"/>
      <c r="AJ47" s="40"/>
      <c r="AK47" s="40"/>
    </row>
    <row r="48" spans="1:37" ht="25.5" customHeight="1">
      <c r="A48" s="117" t="s">
        <v>411</v>
      </c>
      <c r="B48" s="117"/>
      <c r="C48" s="117"/>
      <c r="D48" s="117"/>
      <c r="E48" s="117"/>
      <c r="F48" s="117"/>
      <c r="G48" s="117"/>
      <c r="H48" s="117"/>
      <c r="I48" s="117"/>
      <c r="J48" s="117"/>
      <c r="K48" s="117"/>
      <c r="L48" s="117"/>
      <c r="M48" s="117"/>
      <c r="N48" s="117"/>
      <c r="O48" s="117"/>
      <c r="P48" s="117"/>
      <c r="Q48" s="117"/>
      <c r="R48" s="117"/>
      <c r="S48" s="117"/>
      <c r="T48" s="117"/>
      <c r="U48" s="117"/>
      <c r="V48" s="117"/>
      <c r="W48" s="40"/>
      <c r="X48" s="40"/>
      <c r="Y48" s="40"/>
      <c r="Z48" s="40"/>
      <c r="AA48" s="40"/>
      <c r="AB48" s="40"/>
      <c r="AC48" s="40"/>
      <c r="AD48" s="40"/>
      <c r="AE48" s="40"/>
      <c r="AF48" s="40"/>
      <c r="AG48" s="40"/>
      <c r="AH48" s="40"/>
      <c r="AI48" s="40"/>
      <c r="AJ48" s="40"/>
      <c r="AK48" s="40"/>
    </row>
    <row r="49" spans="1:37" ht="12.75" customHeight="1">
      <c r="A49" s="117" t="s">
        <v>412</v>
      </c>
      <c r="B49" s="117"/>
      <c r="C49" s="117"/>
      <c r="D49" s="117"/>
      <c r="E49" s="117"/>
      <c r="F49" s="117"/>
      <c r="G49" s="117"/>
      <c r="H49" s="117"/>
      <c r="I49" s="117"/>
      <c r="J49" s="117"/>
      <c r="K49" s="117"/>
      <c r="L49" s="117"/>
      <c r="M49" s="117"/>
      <c r="N49" s="117"/>
      <c r="O49" s="117"/>
      <c r="P49" s="117"/>
      <c r="Q49" s="117"/>
      <c r="R49" s="117"/>
      <c r="S49" s="117"/>
      <c r="T49" s="117"/>
      <c r="U49" s="117"/>
      <c r="V49" s="117"/>
      <c r="W49" s="40"/>
      <c r="X49" s="40"/>
      <c r="Y49" s="40"/>
      <c r="Z49" s="40"/>
      <c r="AA49" s="40"/>
      <c r="AB49" s="40"/>
      <c r="AC49" s="40"/>
      <c r="AD49" s="40"/>
      <c r="AE49" s="40"/>
      <c r="AF49" s="40"/>
      <c r="AG49" s="40"/>
      <c r="AH49" s="40"/>
      <c r="AI49" s="40"/>
      <c r="AJ49" s="40"/>
      <c r="AK49" s="40"/>
    </row>
    <row r="50" spans="1:37" ht="12.75" customHeight="1">
      <c r="A50" s="117" t="s">
        <v>446</v>
      </c>
      <c r="B50" s="117"/>
      <c r="C50" s="117"/>
      <c r="D50" s="117"/>
      <c r="E50" s="117"/>
      <c r="F50" s="117"/>
      <c r="G50" s="117"/>
      <c r="H50" s="117"/>
      <c r="I50" s="117"/>
      <c r="J50" s="117"/>
      <c r="K50" s="117"/>
      <c r="L50" s="117"/>
      <c r="M50" s="117"/>
      <c r="N50" s="117"/>
      <c r="O50" s="117"/>
      <c r="P50" s="117"/>
      <c r="Q50" s="117"/>
      <c r="R50" s="117"/>
      <c r="S50" s="117"/>
      <c r="T50" s="117"/>
      <c r="U50" s="117"/>
      <c r="V50" s="117"/>
      <c r="W50" s="40"/>
      <c r="X50" s="40"/>
      <c r="Y50" s="40"/>
      <c r="Z50" s="40"/>
      <c r="AA50" s="40"/>
      <c r="AB50" s="40"/>
      <c r="AC50" s="40"/>
      <c r="AD50" s="40"/>
      <c r="AE50" s="40"/>
      <c r="AF50" s="40"/>
      <c r="AG50" s="40"/>
      <c r="AH50" s="40"/>
      <c r="AI50" s="40"/>
      <c r="AJ50" s="40"/>
      <c r="AK50" s="40"/>
    </row>
    <row r="51" spans="1:37" ht="12.75" customHeight="1">
      <c r="A51" s="117"/>
      <c r="B51" s="117"/>
      <c r="C51" s="117"/>
      <c r="D51" s="117"/>
      <c r="E51" s="117"/>
      <c r="F51" s="117"/>
      <c r="G51" s="117"/>
      <c r="H51" s="117"/>
      <c r="I51" s="117"/>
      <c r="J51" s="117"/>
      <c r="K51" s="117"/>
      <c r="L51" s="117"/>
      <c r="M51" s="117"/>
      <c r="N51" s="117"/>
      <c r="O51" s="117"/>
      <c r="P51" s="117"/>
      <c r="Q51" s="117"/>
      <c r="R51" s="117"/>
      <c r="S51" s="117"/>
      <c r="T51" s="117"/>
      <c r="U51" s="117"/>
      <c r="V51" s="117"/>
      <c r="W51" s="40"/>
      <c r="X51" s="40"/>
      <c r="Y51" s="40"/>
      <c r="Z51" s="40"/>
      <c r="AA51" s="40"/>
      <c r="AB51" s="40"/>
      <c r="AC51" s="40"/>
      <c r="AD51" s="40"/>
      <c r="AE51" s="40"/>
      <c r="AF51" s="40"/>
      <c r="AG51" s="40"/>
      <c r="AH51" s="40"/>
      <c r="AI51" s="40"/>
      <c r="AJ51" s="40"/>
      <c r="AK51" s="40"/>
    </row>
    <row r="52" spans="1:37" ht="12.75" customHeight="1">
      <c r="A52" s="119" t="s">
        <v>56</v>
      </c>
      <c r="B52" s="119"/>
      <c r="C52" s="119"/>
      <c r="D52" s="119"/>
      <c r="E52" s="119"/>
      <c r="F52" s="119"/>
      <c r="G52" s="119"/>
      <c r="H52" s="119"/>
      <c r="I52" s="119"/>
      <c r="J52" s="119"/>
      <c r="K52" s="119"/>
      <c r="L52" s="119"/>
      <c r="M52" s="119"/>
      <c r="N52" s="119"/>
      <c r="O52" s="119"/>
      <c r="P52" s="119"/>
      <c r="Q52" s="119"/>
      <c r="R52" s="119"/>
      <c r="S52" s="119"/>
      <c r="T52" s="119"/>
      <c r="U52" s="119"/>
      <c r="V52" s="119"/>
      <c r="W52" s="40"/>
      <c r="X52" s="40"/>
      <c r="Y52" s="40"/>
      <c r="Z52" s="40"/>
      <c r="AA52" s="40"/>
      <c r="AB52" s="40"/>
      <c r="AC52" s="40"/>
      <c r="AD52" s="40"/>
      <c r="AE52" s="40"/>
      <c r="AF52" s="40"/>
      <c r="AG52" s="40"/>
      <c r="AH52" s="40"/>
      <c r="AI52" s="40"/>
      <c r="AJ52" s="40"/>
      <c r="AK52" s="40"/>
    </row>
    <row r="53" spans="1:37" ht="12.75" customHeight="1">
      <c r="A53" s="12" t="s">
        <v>55</v>
      </c>
      <c r="B53" s="12"/>
      <c r="C53" s="12"/>
      <c r="D53" s="12"/>
      <c r="E53" s="12"/>
      <c r="F53" s="12"/>
      <c r="G53" s="12"/>
      <c r="H53" s="12"/>
      <c r="I53" s="12"/>
      <c r="J53" s="12"/>
      <c r="K53" s="12"/>
      <c r="L53" s="12"/>
      <c r="M53" s="12"/>
      <c r="N53" s="12"/>
      <c r="O53" s="12"/>
      <c r="P53" s="12"/>
      <c r="Q53" s="12"/>
      <c r="R53" s="12"/>
      <c r="S53" s="12"/>
      <c r="T53" s="12"/>
      <c r="U53" s="12"/>
      <c r="V53" s="12"/>
      <c r="W53" s="40"/>
      <c r="X53" s="40"/>
      <c r="Y53" s="40"/>
      <c r="Z53" s="40"/>
      <c r="AA53" s="40"/>
      <c r="AB53" s="40"/>
      <c r="AC53" s="40"/>
      <c r="AD53" s="40"/>
      <c r="AE53" s="40"/>
      <c r="AF53" s="40"/>
      <c r="AG53" s="40"/>
      <c r="AH53" s="40"/>
      <c r="AI53" s="40"/>
      <c r="AJ53" s="40"/>
      <c r="AK53" s="40"/>
    </row>
    <row r="54" spans="1:37" ht="38.25" customHeight="1">
      <c r="A54" s="121" t="s">
        <v>54</v>
      </c>
      <c r="B54" s="121"/>
      <c r="C54" s="121"/>
      <c r="D54" s="121"/>
      <c r="E54" s="121"/>
      <c r="F54" s="121"/>
      <c r="G54" s="121"/>
      <c r="H54" s="121"/>
      <c r="I54" s="121"/>
      <c r="J54" s="121"/>
      <c r="K54" s="121"/>
      <c r="L54" s="121"/>
      <c r="M54" s="121"/>
      <c r="N54" s="121"/>
      <c r="O54" s="121"/>
      <c r="P54" s="121"/>
      <c r="Q54" s="121"/>
      <c r="R54" s="121"/>
      <c r="S54" s="121"/>
      <c r="T54" s="121"/>
      <c r="U54" s="121"/>
      <c r="V54" s="121"/>
      <c r="W54" s="13"/>
      <c r="X54" s="13"/>
      <c r="Y54" s="13"/>
      <c r="Z54" s="13"/>
      <c r="AA54" s="13"/>
      <c r="AB54" s="13"/>
      <c r="AC54" s="13"/>
      <c r="AD54" s="13"/>
      <c r="AE54" s="13"/>
      <c r="AF54" s="13"/>
      <c r="AG54" s="13"/>
      <c r="AH54" s="13"/>
      <c r="AI54" s="13"/>
      <c r="AJ54" s="13"/>
      <c r="AK54" s="13"/>
    </row>
    <row r="55" spans="1:37" ht="12.75" customHeight="1">
      <c r="A55" s="12" t="s">
        <v>53</v>
      </c>
      <c r="B55" s="12"/>
      <c r="C55" s="12"/>
      <c r="D55" s="12"/>
      <c r="E55" s="12"/>
      <c r="F55" s="12"/>
      <c r="G55" s="12"/>
      <c r="H55" s="12"/>
      <c r="I55" s="12"/>
      <c r="J55" s="12"/>
      <c r="K55" s="12"/>
      <c r="L55" s="12"/>
      <c r="M55" s="12"/>
      <c r="N55" s="12"/>
      <c r="O55" s="12"/>
      <c r="P55" s="12"/>
      <c r="Q55" s="12"/>
      <c r="R55" s="12"/>
      <c r="S55" s="12"/>
      <c r="T55" s="12"/>
      <c r="U55" s="12"/>
      <c r="V55" s="12"/>
      <c r="W55" s="40"/>
      <c r="X55" s="40"/>
      <c r="Y55" s="40"/>
      <c r="Z55" s="40"/>
      <c r="AA55" s="40"/>
      <c r="AB55" s="40"/>
      <c r="AC55" s="40"/>
      <c r="AD55" s="40"/>
      <c r="AE55" s="40"/>
      <c r="AF55" s="40"/>
      <c r="AG55" s="40"/>
      <c r="AH55" s="40"/>
      <c r="AI55" s="40"/>
      <c r="AJ55" s="40"/>
      <c r="AK55" s="40"/>
    </row>
    <row r="56" spans="1:37" ht="12.75" customHeight="1">
      <c r="A56" s="12" t="s">
        <v>52</v>
      </c>
      <c r="B56" s="12"/>
      <c r="C56" s="12"/>
      <c r="D56" s="12"/>
      <c r="E56" s="12"/>
      <c r="F56" s="12"/>
      <c r="G56" s="12"/>
      <c r="H56" s="12"/>
      <c r="I56" s="12"/>
      <c r="J56" s="12"/>
      <c r="K56" s="12"/>
      <c r="L56" s="12"/>
      <c r="M56" s="12"/>
      <c r="N56" s="12"/>
      <c r="O56" s="12"/>
      <c r="P56" s="12"/>
      <c r="Q56" s="12"/>
      <c r="R56" s="12"/>
      <c r="S56" s="12"/>
      <c r="T56" s="12"/>
      <c r="U56" s="12"/>
      <c r="V56" s="12"/>
      <c r="W56" s="40"/>
      <c r="X56" s="40"/>
      <c r="Y56" s="40"/>
      <c r="Z56" s="40"/>
      <c r="AA56" s="40"/>
      <c r="AB56" s="40"/>
      <c r="AC56" s="40"/>
      <c r="AD56" s="40"/>
      <c r="AE56" s="40"/>
      <c r="AF56" s="40"/>
      <c r="AG56" s="40"/>
      <c r="AH56" s="40"/>
      <c r="AI56" s="40"/>
      <c r="AJ56" s="40"/>
      <c r="AK56" s="40"/>
    </row>
    <row r="57" spans="1:37" ht="12.75" customHeight="1">
      <c r="A57" s="12" t="s">
        <v>51</v>
      </c>
      <c r="B57" s="12"/>
      <c r="C57" s="12"/>
      <c r="D57" s="12"/>
      <c r="E57" s="12"/>
      <c r="F57" s="12"/>
      <c r="G57" s="12"/>
      <c r="H57" s="12"/>
      <c r="I57" s="12"/>
      <c r="J57" s="12"/>
      <c r="K57" s="12"/>
      <c r="L57" s="12"/>
      <c r="M57" s="12"/>
      <c r="N57" s="12"/>
      <c r="O57" s="12"/>
      <c r="P57" s="12"/>
      <c r="Q57" s="12"/>
      <c r="R57" s="12"/>
      <c r="S57" s="12"/>
      <c r="T57" s="12"/>
      <c r="U57" s="12"/>
      <c r="V57" s="12"/>
      <c r="W57" s="40"/>
      <c r="X57" s="40"/>
      <c r="Y57" s="40"/>
      <c r="Z57" s="40"/>
      <c r="AA57" s="40"/>
      <c r="AB57" s="40"/>
      <c r="AC57" s="40"/>
      <c r="AD57" s="40"/>
      <c r="AE57" s="40"/>
      <c r="AF57" s="40"/>
      <c r="AG57" s="40"/>
      <c r="AH57" s="40"/>
      <c r="AI57" s="40"/>
      <c r="AJ57" s="40"/>
      <c r="AK57" s="40"/>
    </row>
    <row r="58" spans="1:37" ht="12.75" customHeight="1">
      <c r="A58" s="12"/>
      <c r="B58" s="12"/>
      <c r="C58" s="12"/>
      <c r="D58" s="12"/>
      <c r="E58" s="12"/>
      <c r="F58" s="12"/>
      <c r="G58" s="12"/>
      <c r="H58" s="12"/>
      <c r="I58" s="12"/>
      <c r="J58" s="12"/>
      <c r="K58" s="12"/>
      <c r="L58" s="12"/>
      <c r="M58" s="12"/>
      <c r="N58" s="12"/>
      <c r="O58" s="12"/>
      <c r="P58" s="12"/>
      <c r="Q58" s="12"/>
      <c r="R58" s="12"/>
      <c r="S58" s="12"/>
      <c r="T58" s="12"/>
      <c r="U58" s="12"/>
      <c r="V58" s="12"/>
      <c r="W58" s="40"/>
      <c r="X58" s="40"/>
      <c r="Y58" s="40"/>
      <c r="Z58" s="40"/>
      <c r="AA58" s="40"/>
      <c r="AB58" s="40"/>
      <c r="AC58" s="40"/>
      <c r="AD58" s="40"/>
      <c r="AE58" s="40"/>
      <c r="AF58" s="40"/>
      <c r="AG58" s="40"/>
      <c r="AH58" s="40"/>
      <c r="AI58" s="40"/>
      <c r="AJ58" s="40"/>
      <c r="AK58" s="40"/>
    </row>
    <row r="59" spans="1:37" ht="12.75" customHeight="1">
      <c r="A59" s="122" t="s">
        <v>50</v>
      </c>
      <c r="B59" s="122"/>
      <c r="C59" s="122"/>
      <c r="D59" s="122"/>
      <c r="E59" s="122"/>
      <c r="F59" s="122"/>
      <c r="G59" s="122"/>
      <c r="H59" s="122"/>
      <c r="I59" s="122"/>
      <c r="J59" s="122"/>
      <c r="K59" s="122"/>
      <c r="L59" s="122"/>
      <c r="M59" s="122"/>
      <c r="N59" s="122"/>
      <c r="O59" s="122"/>
      <c r="P59" s="122"/>
      <c r="Q59" s="122"/>
      <c r="R59" s="122"/>
      <c r="S59" s="122"/>
      <c r="T59" s="122"/>
      <c r="U59" s="122"/>
      <c r="V59" s="122"/>
      <c r="W59" s="40"/>
      <c r="X59" s="40"/>
      <c r="Y59" s="40"/>
      <c r="Z59" s="40"/>
      <c r="AA59" s="40"/>
      <c r="AB59" s="40"/>
      <c r="AC59" s="40"/>
      <c r="AD59" s="40"/>
      <c r="AE59" s="40"/>
      <c r="AF59" s="40"/>
      <c r="AG59" s="40"/>
      <c r="AH59" s="40"/>
      <c r="AI59" s="40"/>
      <c r="AJ59" s="40"/>
      <c r="AK59" s="40"/>
    </row>
    <row r="60" spans="1:37" ht="12.75" customHeight="1">
      <c r="A60" s="122" t="s">
        <v>49</v>
      </c>
      <c r="B60" s="122"/>
      <c r="C60" s="122"/>
      <c r="D60" s="122"/>
      <c r="E60" s="122"/>
      <c r="F60" s="122"/>
      <c r="G60" s="122"/>
      <c r="H60" s="122"/>
      <c r="I60" s="122"/>
      <c r="J60" s="122"/>
      <c r="K60" s="122"/>
      <c r="L60" s="122"/>
      <c r="M60" s="122"/>
      <c r="N60" s="122"/>
      <c r="O60" s="122"/>
      <c r="P60" s="122"/>
      <c r="Q60" s="122"/>
      <c r="R60" s="122"/>
      <c r="S60" s="122"/>
      <c r="T60" s="122"/>
      <c r="U60" s="122"/>
      <c r="V60" s="122"/>
      <c r="W60" s="40"/>
      <c r="X60" s="40"/>
      <c r="Y60" s="40"/>
      <c r="Z60" s="40"/>
      <c r="AA60" s="40"/>
      <c r="AB60" s="40"/>
      <c r="AC60" s="40"/>
      <c r="AD60" s="40"/>
      <c r="AE60" s="40"/>
      <c r="AF60" s="40"/>
      <c r="AG60" s="40"/>
      <c r="AH60" s="40"/>
      <c r="AI60" s="40"/>
      <c r="AJ60" s="40"/>
      <c r="AK60" s="40"/>
    </row>
    <row r="61" spans="1:37" ht="12.75" customHeight="1">
      <c r="A61" s="123" t="s">
        <v>48</v>
      </c>
      <c r="B61" s="123"/>
      <c r="C61" s="123"/>
      <c r="D61" s="123"/>
      <c r="E61" s="123"/>
      <c r="F61" s="123"/>
      <c r="G61" s="123"/>
      <c r="H61" s="123"/>
      <c r="I61" s="123"/>
      <c r="J61" s="123"/>
      <c r="K61" s="123"/>
      <c r="L61" s="123"/>
      <c r="M61" s="123"/>
      <c r="N61" s="123"/>
      <c r="O61" s="123"/>
      <c r="P61" s="123"/>
      <c r="Q61" s="123"/>
      <c r="R61" s="123"/>
      <c r="S61" s="123"/>
      <c r="T61" s="123"/>
      <c r="U61" s="123"/>
      <c r="V61" s="123"/>
      <c r="W61" s="40"/>
      <c r="X61" s="40"/>
      <c r="Y61" s="40"/>
      <c r="Z61" s="40"/>
      <c r="AA61" s="40"/>
      <c r="AB61" s="40"/>
      <c r="AC61" s="40"/>
      <c r="AD61" s="40"/>
      <c r="AE61" s="40"/>
      <c r="AF61" s="40"/>
      <c r="AG61" s="40"/>
      <c r="AH61" s="40"/>
      <c r="AI61" s="40"/>
      <c r="AJ61" s="40"/>
      <c r="AK61" s="40"/>
    </row>
    <row r="62" spans="1:37" ht="12.75" customHeight="1">
      <c r="A62" s="124" t="s">
        <v>413</v>
      </c>
      <c r="B62" s="124"/>
      <c r="C62" s="124"/>
      <c r="D62" s="124"/>
      <c r="E62" s="124"/>
      <c r="F62" s="124"/>
      <c r="G62" s="124"/>
      <c r="H62" s="124"/>
      <c r="I62" s="124"/>
      <c r="J62" s="124"/>
      <c r="K62" s="124"/>
      <c r="L62" s="124"/>
      <c r="M62" s="124"/>
      <c r="N62" s="124"/>
      <c r="O62" s="124"/>
      <c r="P62" s="124"/>
      <c r="Q62" s="124"/>
      <c r="R62" s="124"/>
      <c r="S62" s="124"/>
      <c r="T62" s="124"/>
      <c r="U62" s="124"/>
      <c r="V62" s="124"/>
      <c r="W62" s="40"/>
      <c r="X62" s="40"/>
      <c r="Y62" s="40"/>
      <c r="Z62" s="40"/>
      <c r="AA62" s="40"/>
      <c r="AB62" s="40"/>
      <c r="AC62" s="40"/>
      <c r="AD62" s="40"/>
      <c r="AE62" s="40"/>
      <c r="AF62" s="40"/>
      <c r="AG62" s="40"/>
      <c r="AH62" s="40"/>
      <c r="AI62" s="40"/>
      <c r="AJ62" s="40"/>
      <c r="AK62" s="40"/>
    </row>
    <row r="63" spans="1:37" ht="12.75" customHeight="1">
      <c r="A63" s="124" t="s">
        <v>414</v>
      </c>
      <c r="B63" s="124"/>
      <c r="C63" s="124"/>
      <c r="D63" s="124"/>
      <c r="E63" s="124"/>
      <c r="F63" s="124"/>
      <c r="G63" s="124"/>
      <c r="H63" s="124"/>
      <c r="I63" s="124"/>
      <c r="J63" s="124"/>
      <c r="K63" s="124"/>
      <c r="L63" s="124"/>
      <c r="M63" s="124"/>
      <c r="N63" s="124"/>
      <c r="O63" s="124"/>
      <c r="P63" s="124"/>
      <c r="Q63" s="124"/>
      <c r="R63" s="124"/>
      <c r="S63" s="124"/>
      <c r="T63" s="124"/>
      <c r="U63" s="124"/>
      <c r="V63" s="124"/>
      <c r="W63" s="40"/>
      <c r="X63" s="40"/>
      <c r="Y63" s="40"/>
      <c r="Z63" s="40"/>
      <c r="AA63" s="40"/>
      <c r="AB63" s="40"/>
      <c r="AC63" s="40"/>
      <c r="AD63" s="40"/>
      <c r="AE63" s="40"/>
      <c r="AF63" s="40"/>
      <c r="AG63" s="40"/>
      <c r="AH63" s="40"/>
      <c r="AI63" s="40"/>
      <c r="AJ63" s="40"/>
      <c r="AK63" s="40"/>
    </row>
    <row r="64" spans="1:37" ht="12.75" customHeight="1">
      <c r="A64" s="124" t="s">
        <v>415</v>
      </c>
      <c r="B64" s="124"/>
      <c r="C64" s="124"/>
      <c r="D64" s="124"/>
      <c r="E64" s="124"/>
      <c r="F64" s="124"/>
      <c r="G64" s="124"/>
      <c r="H64" s="124"/>
      <c r="I64" s="124"/>
      <c r="J64" s="124"/>
      <c r="K64" s="124"/>
      <c r="L64" s="124"/>
      <c r="M64" s="124"/>
      <c r="N64" s="124"/>
      <c r="O64" s="124"/>
      <c r="P64" s="124"/>
      <c r="Q64" s="124"/>
      <c r="R64" s="124"/>
      <c r="S64" s="124"/>
      <c r="T64" s="124"/>
      <c r="U64" s="124"/>
      <c r="V64" s="124"/>
      <c r="W64" s="40"/>
      <c r="X64" s="40"/>
      <c r="Y64" s="40"/>
      <c r="Z64" s="40"/>
      <c r="AA64" s="40"/>
      <c r="AB64" s="40"/>
      <c r="AC64" s="40"/>
      <c r="AD64" s="40"/>
      <c r="AE64" s="40"/>
      <c r="AF64" s="40"/>
      <c r="AG64" s="40"/>
      <c r="AH64" s="40"/>
      <c r="AI64" s="40"/>
      <c r="AJ64" s="40"/>
      <c r="AK64" s="40"/>
    </row>
    <row r="65" spans="1:37" ht="12.75" customHeight="1">
      <c r="A65" s="124" t="s">
        <v>416</v>
      </c>
      <c r="B65" s="124"/>
      <c r="C65" s="124"/>
      <c r="D65" s="124"/>
      <c r="E65" s="124"/>
      <c r="F65" s="124"/>
      <c r="G65" s="124"/>
      <c r="H65" s="124"/>
      <c r="I65" s="124"/>
      <c r="J65" s="124"/>
      <c r="K65" s="124"/>
      <c r="L65" s="124"/>
      <c r="M65" s="124"/>
      <c r="N65" s="124"/>
      <c r="O65" s="124"/>
      <c r="P65" s="124"/>
      <c r="Q65" s="124"/>
      <c r="R65" s="124"/>
      <c r="S65" s="124"/>
      <c r="T65" s="124"/>
      <c r="U65" s="124"/>
      <c r="V65" s="124"/>
      <c r="W65" s="40"/>
      <c r="X65" s="40"/>
      <c r="Y65" s="40"/>
      <c r="Z65" s="40"/>
      <c r="AA65" s="40"/>
      <c r="AB65" s="40"/>
      <c r="AC65" s="40"/>
      <c r="AD65" s="40"/>
      <c r="AE65" s="40"/>
      <c r="AF65" s="40"/>
      <c r="AG65" s="40"/>
      <c r="AH65" s="40"/>
      <c r="AI65" s="40"/>
      <c r="AJ65" s="40"/>
      <c r="AK65" s="40"/>
    </row>
    <row r="66" spans="1:37" ht="12.75" customHeight="1">
      <c r="A66" s="124" t="s">
        <v>1177</v>
      </c>
      <c r="B66" s="124"/>
      <c r="C66" s="124"/>
      <c r="D66" s="124"/>
      <c r="E66" s="124"/>
      <c r="F66" s="124"/>
      <c r="G66" s="124"/>
      <c r="H66" s="124"/>
      <c r="I66" s="124"/>
      <c r="J66" s="124"/>
      <c r="K66" s="124"/>
      <c r="L66" s="124"/>
      <c r="M66" s="124"/>
      <c r="N66" s="124"/>
      <c r="O66" s="124"/>
      <c r="P66" s="124"/>
      <c r="Q66" s="124"/>
      <c r="R66" s="124"/>
      <c r="S66" s="124"/>
      <c r="T66" s="124"/>
      <c r="U66" s="124"/>
      <c r="V66" s="124"/>
      <c r="W66" s="40"/>
      <c r="X66" s="40"/>
      <c r="Y66" s="40"/>
      <c r="Z66" s="40"/>
      <c r="AA66" s="40"/>
      <c r="AB66" s="40"/>
      <c r="AC66" s="40"/>
      <c r="AD66" s="40"/>
      <c r="AE66" s="40"/>
      <c r="AF66" s="40"/>
      <c r="AG66" s="40"/>
      <c r="AH66" s="40"/>
      <c r="AI66" s="40"/>
      <c r="AJ66" s="40"/>
      <c r="AK66" s="40"/>
    </row>
    <row r="67" spans="1:37" ht="12.75" customHeight="1">
      <c r="A67" s="123" t="s">
        <v>47</v>
      </c>
      <c r="B67" s="123"/>
      <c r="C67" s="123"/>
      <c r="D67" s="123"/>
      <c r="E67" s="123"/>
      <c r="F67" s="123"/>
      <c r="G67" s="123"/>
      <c r="H67" s="123"/>
      <c r="I67" s="123"/>
      <c r="J67" s="123"/>
      <c r="K67" s="123"/>
      <c r="L67" s="123"/>
      <c r="M67" s="123"/>
      <c r="N67" s="123"/>
      <c r="O67" s="123"/>
      <c r="P67" s="123"/>
      <c r="Q67" s="123"/>
      <c r="R67" s="123"/>
      <c r="S67" s="123"/>
      <c r="T67" s="123"/>
      <c r="U67" s="123"/>
      <c r="V67" s="123"/>
      <c r="W67" s="40"/>
      <c r="X67" s="40"/>
      <c r="Y67" s="40"/>
      <c r="Z67" s="40"/>
      <c r="AA67" s="40"/>
      <c r="AB67" s="40"/>
      <c r="AC67" s="40"/>
      <c r="AD67" s="40"/>
      <c r="AE67" s="40"/>
      <c r="AF67" s="40"/>
      <c r="AG67" s="40"/>
      <c r="AH67" s="40"/>
      <c r="AI67" s="40"/>
      <c r="AJ67" s="40"/>
      <c r="AK67" s="40"/>
    </row>
    <row r="68" spans="1:37" ht="12.75" customHeight="1">
      <c r="A68" s="124" t="s">
        <v>46</v>
      </c>
      <c r="B68" s="124"/>
      <c r="C68" s="124"/>
      <c r="D68" s="124"/>
      <c r="E68" s="124"/>
      <c r="F68" s="124"/>
      <c r="G68" s="124"/>
      <c r="H68" s="124"/>
      <c r="I68" s="124"/>
      <c r="J68" s="124"/>
      <c r="K68" s="124"/>
      <c r="L68" s="124"/>
      <c r="M68" s="124"/>
      <c r="N68" s="124"/>
      <c r="O68" s="124"/>
      <c r="P68" s="124"/>
      <c r="Q68" s="124"/>
      <c r="R68" s="124"/>
      <c r="S68" s="124"/>
      <c r="T68" s="124"/>
      <c r="U68" s="124"/>
      <c r="V68" s="124"/>
      <c r="W68" s="40"/>
      <c r="X68" s="40"/>
      <c r="Y68" s="40"/>
      <c r="Z68" s="40"/>
      <c r="AA68" s="40"/>
      <c r="AB68" s="40"/>
      <c r="AC68" s="40"/>
      <c r="AD68" s="40"/>
      <c r="AE68" s="40"/>
      <c r="AF68" s="40"/>
      <c r="AG68" s="40"/>
      <c r="AH68" s="40"/>
      <c r="AI68" s="40"/>
      <c r="AJ68" s="40"/>
      <c r="AK68" s="40"/>
    </row>
    <row r="69" spans="1:37" ht="12.75" customHeight="1">
      <c r="A69" s="124" t="s">
        <v>417</v>
      </c>
      <c r="B69" s="124"/>
      <c r="C69" s="124"/>
      <c r="D69" s="124"/>
      <c r="E69" s="124"/>
      <c r="F69" s="124"/>
      <c r="G69" s="124"/>
      <c r="H69" s="124"/>
      <c r="I69" s="124"/>
      <c r="J69" s="124"/>
      <c r="K69" s="124"/>
      <c r="L69" s="124"/>
      <c r="M69" s="124"/>
      <c r="N69" s="124"/>
      <c r="O69" s="124"/>
      <c r="P69" s="124"/>
      <c r="Q69" s="124"/>
      <c r="R69" s="124"/>
      <c r="S69" s="124"/>
      <c r="T69" s="124"/>
      <c r="U69" s="124"/>
      <c r="V69" s="124"/>
      <c r="W69" s="40"/>
      <c r="X69" s="40"/>
      <c r="Y69" s="40"/>
      <c r="Z69" s="40"/>
      <c r="AA69" s="40"/>
      <c r="AB69" s="40"/>
      <c r="AC69" s="40"/>
      <c r="AD69" s="40"/>
      <c r="AE69" s="40"/>
      <c r="AF69" s="40"/>
      <c r="AG69" s="40"/>
      <c r="AH69" s="40"/>
      <c r="AI69" s="40"/>
      <c r="AJ69" s="40"/>
      <c r="AK69" s="40"/>
    </row>
    <row r="70" spans="1:37" ht="12.75" customHeight="1">
      <c r="A70" s="124" t="s">
        <v>418</v>
      </c>
      <c r="B70" s="124"/>
      <c r="C70" s="124"/>
      <c r="D70" s="124"/>
      <c r="E70" s="124"/>
      <c r="F70" s="124"/>
      <c r="G70" s="124"/>
      <c r="H70" s="124"/>
      <c r="I70" s="124"/>
      <c r="J70" s="124"/>
      <c r="K70" s="124"/>
      <c r="L70" s="124"/>
      <c r="M70" s="124"/>
      <c r="N70" s="124"/>
      <c r="O70" s="124"/>
      <c r="P70" s="124"/>
      <c r="Q70" s="124"/>
      <c r="R70" s="124"/>
      <c r="S70" s="124"/>
      <c r="T70" s="124"/>
      <c r="U70" s="124"/>
      <c r="V70" s="124"/>
      <c r="W70" s="40"/>
      <c r="X70" s="40"/>
      <c r="Y70" s="40"/>
      <c r="Z70" s="40"/>
      <c r="AA70" s="40"/>
      <c r="AB70" s="40"/>
      <c r="AC70" s="40"/>
      <c r="AD70" s="40"/>
      <c r="AE70" s="40"/>
      <c r="AF70" s="40"/>
      <c r="AG70" s="40"/>
      <c r="AH70" s="40"/>
      <c r="AI70" s="40"/>
      <c r="AJ70" s="40"/>
      <c r="AK70" s="40"/>
    </row>
    <row r="71" spans="1:37" ht="12.75" customHeight="1">
      <c r="A71" s="124" t="s">
        <v>419</v>
      </c>
      <c r="B71" s="124"/>
      <c r="C71" s="124"/>
      <c r="D71" s="124"/>
      <c r="E71" s="124"/>
      <c r="F71" s="124"/>
      <c r="G71" s="124"/>
      <c r="H71" s="124"/>
      <c r="I71" s="124"/>
      <c r="J71" s="124"/>
      <c r="K71" s="124"/>
      <c r="L71" s="124"/>
      <c r="M71" s="124"/>
      <c r="N71" s="124"/>
      <c r="O71" s="124"/>
      <c r="P71" s="124"/>
      <c r="Q71" s="124"/>
      <c r="R71" s="124"/>
      <c r="S71" s="124"/>
      <c r="T71" s="124"/>
      <c r="U71" s="124"/>
      <c r="V71" s="124"/>
      <c r="W71" s="40"/>
      <c r="X71" s="40"/>
      <c r="Y71" s="40"/>
      <c r="Z71" s="40"/>
      <c r="AA71" s="40"/>
      <c r="AB71" s="40"/>
      <c r="AC71" s="40"/>
      <c r="AD71" s="40"/>
      <c r="AE71" s="40"/>
      <c r="AF71" s="40"/>
      <c r="AG71" s="40"/>
      <c r="AH71" s="40"/>
      <c r="AI71" s="40"/>
      <c r="AJ71" s="40"/>
      <c r="AK71" s="40"/>
    </row>
    <row r="72" spans="1:37" ht="12.75" customHeight="1">
      <c r="A72" s="124" t="s">
        <v>447</v>
      </c>
      <c r="B72" s="124"/>
      <c r="C72" s="124"/>
      <c r="D72" s="124"/>
      <c r="E72" s="124"/>
      <c r="F72" s="124"/>
      <c r="G72" s="124"/>
      <c r="H72" s="124"/>
      <c r="I72" s="124"/>
      <c r="J72" s="124"/>
      <c r="K72" s="124"/>
      <c r="L72" s="124"/>
      <c r="M72" s="124"/>
      <c r="N72" s="124"/>
      <c r="O72" s="124"/>
      <c r="P72" s="124"/>
      <c r="Q72" s="124"/>
      <c r="R72" s="124"/>
      <c r="S72" s="124"/>
      <c r="T72" s="124"/>
      <c r="U72" s="124"/>
      <c r="V72" s="124"/>
      <c r="W72" s="40"/>
      <c r="X72" s="40"/>
      <c r="Y72" s="40"/>
      <c r="Z72" s="40"/>
      <c r="AA72" s="40"/>
      <c r="AB72" s="40"/>
      <c r="AC72" s="40"/>
      <c r="AD72" s="40"/>
      <c r="AE72" s="40"/>
      <c r="AF72" s="40"/>
      <c r="AG72" s="40"/>
      <c r="AH72" s="40"/>
      <c r="AI72" s="40"/>
      <c r="AJ72" s="40"/>
      <c r="AK72" s="40"/>
    </row>
    <row r="73" spans="1:37" ht="12.75" customHeight="1">
      <c r="A73" s="124" t="s">
        <v>1178</v>
      </c>
      <c r="B73" s="124"/>
      <c r="C73" s="124"/>
      <c r="D73" s="124"/>
      <c r="E73" s="124"/>
      <c r="F73" s="124"/>
      <c r="G73" s="124"/>
      <c r="H73" s="124"/>
      <c r="I73" s="124"/>
      <c r="J73" s="124"/>
      <c r="K73" s="124"/>
      <c r="L73" s="124"/>
      <c r="M73" s="124"/>
      <c r="N73" s="124"/>
      <c r="O73" s="124"/>
      <c r="P73" s="124"/>
      <c r="Q73" s="124"/>
      <c r="R73" s="124"/>
      <c r="S73" s="124"/>
      <c r="T73" s="124"/>
      <c r="U73" s="124"/>
      <c r="V73" s="124"/>
      <c r="W73" s="40"/>
      <c r="X73" s="40"/>
      <c r="Y73" s="40"/>
      <c r="Z73" s="40"/>
      <c r="AA73" s="40"/>
      <c r="AB73" s="40"/>
      <c r="AC73" s="40"/>
      <c r="AD73" s="40"/>
      <c r="AE73" s="40"/>
      <c r="AF73" s="40"/>
      <c r="AG73" s="40"/>
      <c r="AH73" s="40"/>
      <c r="AI73" s="40"/>
      <c r="AJ73" s="40"/>
      <c r="AK73" s="40"/>
    </row>
    <row r="74" spans="1:37" ht="12.75" customHeight="1">
      <c r="A74" s="125" t="s">
        <v>45</v>
      </c>
      <c r="B74" s="125"/>
      <c r="C74" s="125"/>
      <c r="D74" s="125"/>
      <c r="E74" s="125"/>
      <c r="F74" s="125"/>
      <c r="G74" s="125"/>
      <c r="H74" s="125"/>
      <c r="I74" s="125"/>
      <c r="J74" s="125"/>
      <c r="K74" s="125"/>
      <c r="L74" s="125"/>
      <c r="M74" s="125"/>
      <c r="N74" s="125"/>
      <c r="O74" s="125"/>
      <c r="P74" s="125"/>
      <c r="Q74" s="125"/>
      <c r="R74" s="125"/>
      <c r="S74" s="125"/>
      <c r="T74" s="125"/>
      <c r="U74" s="125"/>
      <c r="V74" s="125"/>
      <c r="W74" s="40"/>
      <c r="X74" s="40"/>
      <c r="Y74" s="40"/>
      <c r="Z74" s="40"/>
      <c r="AA74" s="40"/>
      <c r="AB74" s="40"/>
      <c r="AC74" s="40"/>
      <c r="AD74" s="40"/>
      <c r="AE74" s="40"/>
      <c r="AF74" s="40"/>
      <c r="AG74" s="40"/>
      <c r="AH74" s="40"/>
      <c r="AI74" s="40"/>
      <c r="AJ74" s="40"/>
      <c r="AK74" s="40"/>
    </row>
    <row r="75" spans="1:37" ht="12.75" customHeight="1">
      <c r="A75" s="12" t="s">
        <v>420</v>
      </c>
      <c r="B75" s="12"/>
      <c r="C75" s="12"/>
      <c r="D75" s="12"/>
      <c r="E75" s="12"/>
      <c r="F75" s="12"/>
      <c r="G75" s="12"/>
      <c r="H75" s="12"/>
      <c r="I75" s="12"/>
      <c r="J75" s="12"/>
      <c r="K75" s="12"/>
      <c r="L75" s="12"/>
      <c r="M75" s="12"/>
      <c r="N75" s="12"/>
      <c r="O75" s="12"/>
      <c r="P75" s="12"/>
      <c r="Q75" s="12"/>
      <c r="R75" s="12"/>
      <c r="S75" s="12"/>
      <c r="T75" s="12"/>
      <c r="U75" s="12"/>
      <c r="V75" s="12"/>
      <c r="W75" s="40"/>
      <c r="X75" s="40"/>
      <c r="Y75" s="40"/>
      <c r="Z75" s="40"/>
      <c r="AA75" s="40"/>
      <c r="AB75" s="40"/>
      <c r="AC75" s="40"/>
      <c r="AD75" s="40"/>
      <c r="AE75" s="40"/>
      <c r="AF75" s="40"/>
      <c r="AG75" s="40"/>
      <c r="AH75" s="40"/>
      <c r="AI75" s="40"/>
      <c r="AJ75" s="40"/>
      <c r="AK75" s="40"/>
    </row>
    <row r="76" spans="1:37" ht="12.75" customHeight="1">
      <c r="A76" s="124" t="s">
        <v>1179</v>
      </c>
      <c r="B76" s="124"/>
      <c r="C76" s="124"/>
      <c r="D76" s="124"/>
      <c r="E76" s="124"/>
      <c r="F76" s="124"/>
      <c r="G76" s="124"/>
      <c r="H76" s="124"/>
      <c r="I76" s="124"/>
      <c r="J76" s="124"/>
      <c r="K76" s="124"/>
      <c r="L76" s="124"/>
      <c r="M76" s="124"/>
      <c r="N76" s="124"/>
      <c r="O76" s="124"/>
      <c r="P76" s="124"/>
      <c r="Q76" s="124"/>
      <c r="R76" s="124"/>
      <c r="S76" s="124"/>
      <c r="T76" s="124"/>
      <c r="U76" s="124"/>
      <c r="V76" s="124"/>
      <c r="W76" s="40"/>
      <c r="X76" s="40"/>
      <c r="Y76" s="40"/>
      <c r="Z76" s="40"/>
      <c r="AA76" s="40"/>
      <c r="AB76" s="40"/>
      <c r="AC76" s="40"/>
      <c r="AD76" s="40"/>
      <c r="AE76" s="40"/>
      <c r="AF76" s="40"/>
      <c r="AG76" s="40"/>
      <c r="AH76" s="40"/>
      <c r="AI76" s="40"/>
      <c r="AJ76" s="40"/>
      <c r="AK76" s="40"/>
    </row>
    <row r="77" spans="1:37" ht="12.75" customHeight="1">
      <c r="A77" s="125" t="s">
        <v>44</v>
      </c>
      <c r="B77" s="125"/>
      <c r="C77" s="125"/>
      <c r="D77" s="125"/>
      <c r="E77" s="125"/>
      <c r="F77" s="125"/>
      <c r="G77" s="125"/>
      <c r="H77" s="125"/>
      <c r="I77" s="125"/>
      <c r="J77" s="125"/>
      <c r="K77" s="125"/>
      <c r="L77" s="125"/>
      <c r="M77" s="125"/>
      <c r="N77" s="125"/>
      <c r="O77" s="125"/>
      <c r="P77" s="125"/>
      <c r="Q77" s="125"/>
      <c r="R77" s="125"/>
      <c r="S77" s="125"/>
      <c r="T77" s="125"/>
      <c r="U77" s="125"/>
      <c r="V77" s="125"/>
      <c r="W77" s="40"/>
      <c r="X77" s="40"/>
      <c r="Y77" s="40"/>
      <c r="Z77" s="40"/>
      <c r="AA77" s="40"/>
      <c r="AB77" s="40"/>
      <c r="AC77" s="40"/>
      <c r="AD77" s="40"/>
      <c r="AE77" s="40"/>
      <c r="AF77" s="40"/>
      <c r="AG77" s="40"/>
      <c r="AH77" s="40"/>
      <c r="AI77" s="40"/>
      <c r="AJ77" s="40"/>
      <c r="AK77" s="40"/>
    </row>
    <row r="78" spans="1:37" ht="12.75" customHeight="1">
      <c r="A78" s="124" t="s">
        <v>421</v>
      </c>
      <c r="B78" s="124"/>
      <c r="C78" s="124"/>
      <c r="D78" s="124"/>
      <c r="E78" s="124"/>
      <c r="F78" s="124"/>
      <c r="G78" s="124"/>
      <c r="H78" s="124"/>
      <c r="I78" s="124"/>
      <c r="J78" s="124"/>
      <c r="K78" s="124"/>
      <c r="L78" s="124"/>
      <c r="M78" s="124"/>
      <c r="N78" s="124"/>
      <c r="O78" s="124"/>
      <c r="P78" s="124"/>
      <c r="Q78" s="124"/>
      <c r="R78" s="124"/>
      <c r="S78" s="124"/>
      <c r="T78" s="124"/>
      <c r="U78" s="124"/>
      <c r="V78" s="124"/>
      <c r="W78" s="40"/>
      <c r="X78" s="40"/>
      <c r="Y78" s="40"/>
      <c r="Z78" s="40"/>
      <c r="AA78" s="40"/>
      <c r="AB78" s="40"/>
      <c r="AC78" s="40"/>
      <c r="AD78" s="40"/>
      <c r="AE78" s="40"/>
      <c r="AF78" s="40"/>
      <c r="AG78" s="40"/>
      <c r="AH78" s="40"/>
      <c r="AI78" s="40"/>
      <c r="AJ78" s="40"/>
      <c r="AK78" s="40"/>
    </row>
    <row r="79" spans="1:37" ht="12.75" customHeight="1">
      <c r="A79" s="124" t="s">
        <v>422</v>
      </c>
      <c r="B79" s="124"/>
      <c r="C79" s="124"/>
      <c r="D79" s="124"/>
      <c r="E79" s="124"/>
      <c r="F79" s="124"/>
      <c r="G79" s="124"/>
      <c r="H79" s="124"/>
      <c r="I79" s="124"/>
      <c r="J79" s="124"/>
      <c r="K79" s="124"/>
      <c r="L79" s="124"/>
      <c r="M79" s="124"/>
      <c r="N79" s="124"/>
      <c r="O79" s="124"/>
      <c r="P79" s="124"/>
      <c r="Q79" s="124"/>
      <c r="R79" s="124"/>
      <c r="S79" s="124"/>
      <c r="T79" s="124"/>
      <c r="U79" s="124"/>
      <c r="V79" s="124"/>
      <c r="W79" s="40"/>
      <c r="X79" s="40"/>
      <c r="Y79" s="40"/>
      <c r="Z79" s="40"/>
      <c r="AA79" s="40"/>
      <c r="AB79" s="40"/>
      <c r="AC79" s="40"/>
      <c r="AD79" s="40"/>
      <c r="AE79" s="40"/>
      <c r="AF79" s="40"/>
      <c r="AG79" s="40"/>
      <c r="AH79" s="40"/>
      <c r="AI79" s="40"/>
      <c r="AJ79" s="40"/>
      <c r="AK79" s="40"/>
    </row>
    <row r="80" spans="1:37" ht="12.75" customHeight="1">
      <c r="A80" s="124" t="s">
        <v>1180</v>
      </c>
      <c r="B80" s="124"/>
      <c r="C80" s="124"/>
      <c r="D80" s="124"/>
      <c r="E80" s="124"/>
      <c r="F80" s="124"/>
      <c r="G80" s="124"/>
      <c r="H80" s="124"/>
      <c r="I80" s="124"/>
      <c r="J80" s="124"/>
      <c r="K80" s="124"/>
      <c r="L80" s="124"/>
      <c r="M80" s="124"/>
      <c r="N80" s="124"/>
      <c r="O80" s="124"/>
      <c r="P80" s="124"/>
      <c r="Q80" s="124"/>
      <c r="R80" s="124"/>
      <c r="S80" s="124"/>
      <c r="T80" s="124"/>
      <c r="U80" s="124"/>
      <c r="V80" s="124"/>
      <c r="W80" s="40"/>
      <c r="X80" s="40"/>
      <c r="Y80" s="40"/>
      <c r="Z80" s="40"/>
      <c r="AA80" s="40"/>
      <c r="AB80" s="40"/>
      <c r="AC80" s="40"/>
      <c r="AD80" s="40"/>
      <c r="AE80" s="40"/>
      <c r="AF80" s="40"/>
      <c r="AG80" s="40"/>
      <c r="AH80" s="40"/>
      <c r="AI80" s="40"/>
      <c r="AJ80" s="40"/>
      <c r="AK80" s="40"/>
    </row>
    <row r="81" spans="1:37" ht="12.75" customHeight="1">
      <c r="A81" s="125" t="s">
        <v>43</v>
      </c>
      <c r="B81" s="125"/>
      <c r="C81" s="125"/>
      <c r="D81" s="125"/>
      <c r="E81" s="125"/>
      <c r="F81" s="125"/>
      <c r="G81" s="125"/>
      <c r="H81" s="125"/>
      <c r="I81" s="125"/>
      <c r="J81" s="125"/>
      <c r="K81" s="125"/>
      <c r="L81" s="125"/>
      <c r="M81" s="125"/>
      <c r="N81" s="125"/>
      <c r="O81" s="125"/>
      <c r="P81" s="125"/>
      <c r="Q81" s="125"/>
      <c r="R81" s="125"/>
      <c r="S81" s="125"/>
      <c r="T81" s="125"/>
      <c r="U81" s="125"/>
      <c r="V81" s="125"/>
      <c r="W81" s="40"/>
      <c r="X81" s="40"/>
      <c r="Y81" s="40"/>
      <c r="Z81" s="40"/>
      <c r="AA81" s="40"/>
      <c r="AB81" s="40"/>
      <c r="AC81" s="40"/>
      <c r="AD81" s="40"/>
      <c r="AE81" s="40"/>
      <c r="AF81" s="40"/>
      <c r="AG81" s="40"/>
      <c r="AH81" s="40"/>
      <c r="AI81" s="40"/>
      <c r="AJ81" s="40"/>
      <c r="AK81" s="40"/>
    </row>
    <row r="82" spans="1:37" ht="12.75" customHeight="1">
      <c r="A82" s="124" t="s">
        <v>448</v>
      </c>
      <c r="B82" s="124"/>
      <c r="C82" s="124"/>
      <c r="D82" s="124"/>
      <c r="E82" s="124"/>
      <c r="F82" s="124"/>
      <c r="G82" s="124"/>
      <c r="H82" s="124"/>
      <c r="I82" s="124"/>
      <c r="J82" s="124"/>
      <c r="K82" s="124"/>
      <c r="L82" s="124"/>
      <c r="M82" s="124"/>
      <c r="N82" s="124"/>
      <c r="O82" s="124"/>
      <c r="P82" s="124"/>
      <c r="Q82" s="124"/>
      <c r="R82" s="124"/>
      <c r="S82" s="124"/>
      <c r="T82" s="124"/>
      <c r="U82" s="124"/>
      <c r="V82" s="124"/>
      <c r="W82" s="40"/>
      <c r="X82" s="40"/>
      <c r="Y82" s="40"/>
      <c r="Z82" s="40"/>
      <c r="AA82" s="40"/>
      <c r="AB82" s="40"/>
      <c r="AC82" s="40"/>
      <c r="AD82" s="40"/>
      <c r="AE82" s="40"/>
      <c r="AF82" s="40"/>
      <c r="AG82" s="40"/>
      <c r="AH82" s="40"/>
      <c r="AI82" s="40"/>
      <c r="AJ82" s="40"/>
      <c r="AK82" s="40"/>
    </row>
    <row r="83" spans="1:37" ht="12.75" customHeight="1">
      <c r="A83" s="125" t="s">
        <v>41</v>
      </c>
      <c r="B83" s="125"/>
      <c r="C83" s="125"/>
      <c r="D83" s="125"/>
      <c r="E83" s="125"/>
      <c r="F83" s="125"/>
      <c r="G83" s="125"/>
      <c r="H83" s="125"/>
      <c r="I83" s="125"/>
      <c r="J83" s="125"/>
      <c r="K83" s="125"/>
      <c r="L83" s="125"/>
      <c r="M83" s="125"/>
      <c r="N83" s="125"/>
      <c r="O83" s="125"/>
      <c r="P83" s="125"/>
      <c r="Q83" s="125"/>
      <c r="R83" s="125"/>
      <c r="S83" s="125"/>
      <c r="T83" s="125"/>
      <c r="U83" s="125"/>
      <c r="V83" s="125"/>
      <c r="W83" s="40"/>
      <c r="X83" s="40"/>
      <c r="Y83" s="40"/>
      <c r="Z83" s="40"/>
      <c r="AA83" s="40"/>
      <c r="AB83" s="40"/>
      <c r="AC83" s="40"/>
      <c r="AD83" s="40"/>
      <c r="AE83" s="40"/>
      <c r="AF83" s="40"/>
      <c r="AG83" s="40"/>
      <c r="AH83" s="40"/>
      <c r="AI83" s="40"/>
      <c r="AJ83" s="40"/>
      <c r="AK83" s="40"/>
    </row>
    <row r="84" spans="1:37" ht="12.75" customHeight="1">
      <c r="A84" s="124" t="s">
        <v>40</v>
      </c>
      <c r="B84" s="124"/>
      <c r="C84" s="124"/>
      <c r="D84" s="124"/>
      <c r="E84" s="124"/>
      <c r="F84" s="124"/>
      <c r="G84" s="124"/>
      <c r="H84" s="124"/>
      <c r="I84" s="124"/>
      <c r="J84" s="124"/>
      <c r="K84" s="124"/>
      <c r="L84" s="124"/>
      <c r="M84" s="124"/>
      <c r="N84" s="124"/>
      <c r="O84" s="124"/>
      <c r="P84" s="124"/>
      <c r="Q84" s="124"/>
      <c r="R84" s="124"/>
      <c r="S84" s="124"/>
      <c r="T84" s="124"/>
      <c r="U84" s="124"/>
      <c r="V84" s="124"/>
      <c r="W84" s="40"/>
      <c r="X84" s="40"/>
      <c r="Y84" s="40"/>
      <c r="Z84" s="40"/>
      <c r="AA84" s="40"/>
      <c r="AB84" s="40"/>
      <c r="AC84" s="40"/>
      <c r="AD84" s="40"/>
      <c r="AE84" s="40"/>
      <c r="AF84" s="40"/>
      <c r="AG84" s="40"/>
      <c r="AH84" s="40"/>
      <c r="AI84" s="40"/>
      <c r="AJ84" s="40"/>
      <c r="AK84" s="40"/>
    </row>
    <row r="85" spans="1:37" ht="12.75" customHeight="1">
      <c r="A85" s="124" t="s">
        <v>423</v>
      </c>
      <c r="B85" s="124"/>
      <c r="C85" s="124"/>
      <c r="D85" s="124"/>
      <c r="E85" s="124"/>
      <c r="F85" s="124"/>
      <c r="G85" s="124"/>
      <c r="H85" s="124"/>
      <c r="I85" s="124"/>
      <c r="J85" s="124"/>
      <c r="K85" s="124"/>
      <c r="L85" s="124"/>
      <c r="M85" s="124"/>
      <c r="N85" s="124"/>
      <c r="O85" s="124"/>
      <c r="P85" s="124"/>
      <c r="Q85" s="124"/>
      <c r="R85" s="124"/>
      <c r="S85" s="124"/>
      <c r="T85" s="124"/>
      <c r="U85" s="124"/>
      <c r="V85" s="124"/>
      <c r="W85" s="40"/>
      <c r="X85" s="40"/>
      <c r="Y85" s="40"/>
      <c r="Z85" s="40"/>
      <c r="AA85" s="40"/>
      <c r="AB85" s="40"/>
      <c r="AC85" s="40"/>
      <c r="AD85" s="40"/>
      <c r="AE85" s="40"/>
      <c r="AF85" s="40"/>
      <c r="AG85" s="40"/>
      <c r="AH85" s="40"/>
      <c r="AI85" s="40"/>
      <c r="AJ85" s="40"/>
      <c r="AK85" s="40"/>
    </row>
    <row r="86" spans="1:37" ht="12.75" customHeight="1">
      <c r="A86" s="124" t="s">
        <v>1181</v>
      </c>
      <c r="B86" s="124"/>
      <c r="C86" s="124"/>
      <c r="D86" s="124"/>
      <c r="E86" s="124"/>
      <c r="F86" s="124"/>
      <c r="G86" s="124"/>
      <c r="H86" s="124"/>
      <c r="I86" s="124"/>
      <c r="J86" s="124"/>
      <c r="K86" s="124"/>
      <c r="L86" s="124"/>
      <c r="M86" s="124"/>
      <c r="N86" s="124"/>
      <c r="O86" s="124"/>
      <c r="P86" s="124"/>
      <c r="Q86" s="124"/>
      <c r="R86" s="124"/>
      <c r="S86" s="124"/>
      <c r="T86" s="124"/>
      <c r="U86" s="124"/>
      <c r="V86" s="124"/>
      <c r="W86" s="40"/>
      <c r="X86" s="40"/>
      <c r="Y86" s="40"/>
      <c r="Z86" s="40"/>
      <c r="AA86" s="40"/>
      <c r="AB86" s="40"/>
      <c r="AC86" s="40"/>
      <c r="AD86" s="40"/>
      <c r="AE86" s="40"/>
      <c r="AF86" s="40"/>
      <c r="AG86" s="40"/>
      <c r="AH86" s="40"/>
      <c r="AI86" s="40"/>
      <c r="AJ86" s="40"/>
      <c r="AK86" s="40"/>
    </row>
    <row r="87" spans="1:37" ht="12.75" customHeight="1">
      <c r="A87" s="125" t="s">
        <v>39</v>
      </c>
      <c r="B87" s="125"/>
      <c r="C87" s="125"/>
      <c r="D87" s="125"/>
      <c r="E87" s="125"/>
      <c r="F87" s="125"/>
      <c r="G87" s="125"/>
      <c r="H87" s="125"/>
      <c r="I87" s="125"/>
      <c r="J87" s="125"/>
      <c r="K87" s="125"/>
      <c r="L87" s="125"/>
      <c r="M87" s="125"/>
      <c r="N87" s="125"/>
      <c r="O87" s="125"/>
      <c r="P87" s="125"/>
      <c r="Q87" s="125"/>
      <c r="R87" s="125"/>
      <c r="S87" s="125"/>
      <c r="T87" s="125"/>
      <c r="U87" s="125"/>
      <c r="V87" s="125"/>
      <c r="W87" s="40"/>
      <c r="X87" s="40"/>
      <c r="Y87" s="40"/>
      <c r="Z87" s="40"/>
      <c r="AA87" s="40"/>
      <c r="AB87" s="40"/>
      <c r="AC87" s="40"/>
      <c r="AD87" s="40"/>
      <c r="AE87" s="40"/>
      <c r="AF87" s="40"/>
      <c r="AG87" s="40"/>
      <c r="AH87" s="40"/>
      <c r="AI87" s="40"/>
      <c r="AJ87" s="40"/>
      <c r="AK87" s="40"/>
    </row>
    <row r="88" spans="1:37" ht="12.75" customHeight="1">
      <c r="A88" s="123" t="s">
        <v>38</v>
      </c>
      <c r="B88" s="123"/>
      <c r="C88" s="123"/>
      <c r="D88" s="123"/>
      <c r="E88" s="123"/>
      <c r="F88" s="123"/>
      <c r="G88" s="123"/>
      <c r="H88" s="123"/>
      <c r="I88" s="123"/>
      <c r="J88" s="123"/>
      <c r="K88" s="123"/>
      <c r="L88" s="123"/>
      <c r="M88" s="123"/>
      <c r="N88" s="123"/>
      <c r="O88" s="123"/>
      <c r="P88" s="123"/>
      <c r="Q88" s="123"/>
      <c r="R88" s="123"/>
      <c r="S88" s="123"/>
      <c r="T88" s="123"/>
      <c r="U88" s="123"/>
      <c r="V88" s="123"/>
      <c r="W88" s="40"/>
      <c r="X88" s="40"/>
      <c r="Y88" s="40"/>
      <c r="Z88" s="40"/>
      <c r="AA88" s="40"/>
      <c r="AB88" s="40"/>
      <c r="AC88" s="40"/>
      <c r="AD88" s="40"/>
      <c r="AE88" s="40"/>
      <c r="AF88" s="40"/>
      <c r="AG88" s="40"/>
      <c r="AH88" s="40"/>
      <c r="AI88" s="40"/>
      <c r="AJ88" s="40"/>
      <c r="AK88" s="40"/>
    </row>
    <row r="89" spans="1:37" ht="12.75" customHeight="1">
      <c r="A89" s="12" t="s">
        <v>424</v>
      </c>
      <c r="B89" s="12"/>
      <c r="C89" s="12"/>
      <c r="D89" s="12"/>
      <c r="E89" s="12"/>
      <c r="F89" s="12"/>
      <c r="G89" s="12"/>
      <c r="H89" s="12"/>
      <c r="I89" s="12"/>
      <c r="J89" s="12"/>
      <c r="K89" s="12"/>
      <c r="L89" s="12"/>
      <c r="M89" s="12"/>
      <c r="N89" s="12"/>
      <c r="O89" s="12"/>
      <c r="P89" s="12"/>
      <c r="Q89" s="12"/>
      <c r="R89" s="12"/>
      <c r="S89" s="12"/>
      <c r="T89" s="12"/>
      <c r="U89" s="12"/>
      <c r="V89" s="12"/>
      <c r="W89" s="40"/>
      <c r="X89" s="40"/>
      <c r="Y89" s="40"/>
      <c r="Z89" s="40"/>
      <c r="AA89" s="40"/>
      <c r="AB89" s="40"/>
      <c r="AC89" s="40"/>
      <c r="AD89" s="40"/>
      <c r="AE89" s="40"/>
      <c r="AF89" s="40"/>
      <c r="AG89" s="40"/>
      <c r="AH89" s="40"/>
      <c r="AI89" s="40"/>
      <c r="AJ89" s="40"/>
      <c r="AK89" s="40"/>
    </row>
    <row r="90" spans="1:37" ht="12.75" customHeight="1">
      <c r="A90" s="12" t="s">
        <v>1182</v>
      </c>
      <c r="B90" s="12"/>
      <c r="C90" s="12"/>
      <c r="D90" s="12"/>
      <c r="E90" s="12"/>
      <c r="F90" s="12"/>
      <c r="G90" s="12"/>
      <c r="H90" s="12"/>
      <c r="I90" s="12"/>
      <c r="J90" s="12"/>
      <c r="K90" s="12"/>
      <c r="L90" s="12"/>
      <c r="M90" s="12"/>
      <c r="N90" s="12"/>
      <c r="O90" s="12"/>
      <c r="P90" s="12"/>
      <c r="Q90" s="12"/>
      <c r="R90" s="12"/>
      <c r="S90" s="12"/>
      <c r="T90" s="12"/>
      <c r="U90" s="12"/>
      <c r="V90" s="12"/>
      <c r="W90" s="40"/>
      <c r="X90" s="40"/>
      <c r="Y90" s="40"/>
      <c r="Z90" s="40"/>
      <c r="AA90" s="40"/>
      <c r="AB90" s="40"/>
      <c r="AC90" s="40"/>
      <c r="AD90" s="40"/>
      <c r="AE90" s="40"/>
      <c r="AF90" s="40"/>
      <c r="AG90" s="40"/>
      <c r="AH90" s="40"/>
      <c r="AI90" s="40"/>
      <c r="AJ90" s="40"/>
      <c r="AK90" s="40"/>
    </row>
    <row r="91" spans="1:37" ht="12.75" customHeight="1">
      <c r="A91" s="123" t="s">
        <v>37</v>
      </c>
      <c r="B91" s="123"/>
      <c r="C91" s="123"/>
      <c r="D91" s="123"/>
      <c r="E91" s="123"/>
      <c r="F91" s="123"/>
      <c r="G91" s="123"/>
      <c r="H91" s="123"/>
      <c r="I91" s="123"/>
      <c r="J91" s="123"/>
      <c r="K91" s="123"/>
      <c r="L91" s="123"/>
      <c r="M91" s="123"/>
      <c r="N91" s="123"/>
      <c r="O91" s="123"/>
      <c r="P91" s="123"/>
      <c r="Q91" s="123"/>
      <c r="R91" s="123"/>
      <c r="S91" s="123"/>
      <c r="T91" s="123"/>
      <c r="U91" s="123"/>
      <c r="V91" s="123"/>
      <c r="W91" s="40"/>
      <c r="X91" s="40"/>
      <c r="Y91" s="40"/>
      <c r="Z91" s="40"/>
      <c r="AA91" s="40"/>
      <c r="AB91" s="40"/>
      <c r="AC91" s="40"/>
      <c r="AD91" s="40"/>
      <c r="AE91" s="40"/>
      <c r="AF91" s="40"/>
      <c r="AG91" s="40"/>
      <c r="AH91" s="40"/>
      <c r="AI91" s="40"/>
      <c r="AJ91" s="40"/>
      <c r="AK91" s="40"/>
    </row>
    <row r="92" spans="1:37" ht="12.75" customHeight="1">
      <c r="A92" s="124" t="s">
        <v>425</v>
      </c>
      <c r="B92" s="124"/>
      <c r="C92" s="124"/>
      <c r="D92" s="124"/>
      <c r="E92" s="124"/>
      <c r="F92" s="124"/>
      <c r="G92" s="124"/>
      <c r="H92" s="124"/>
      <c r="I92" s="124"/>
      <c r="J92" s="124"/>
      <c r="K92" s="124"/>
      <c r="L92" s="124"/>
      <c r="M92" s="124"/>
      <c r="N92" s="124"/>
      <c r="O92" s="124"/>
      <c r="P92" s="124"/>
      <c r="Q92" s="124"/>
      <c r="R92" s="124"/>
      <c r="S92" s="124"/>
      <c r="T92" s="124"/>
      <c r="U92" s="124"/>
      <c r="V92" s="124"/>
      <c r="W92" s="40"/>
      <c r="X92" s="40"/>
      <c r="Y92" s="40"/>
      <c r="Z92" s="40"/>
      <c r="AA92" s="40"/>
      <c r="AB92" s="40"/>
      <c r="AC92" s="40"/>
      <c r="AD92" s="40"/>
      <c r="AE92" s="40"/>
      <c r="AF92" s="40"/>
      <c r="AG92" s="40"/>
      <c r="AH92" s="40"/>
      <c r="AI92" s="40"/>
      <c r="AJ92" s="40"/>
      <c r="AK92" s="40"/>
    </row>
    <row r="93" spans="1:37" ht="12.75" customHeight="1">
      <c r="A93" s="12" t="s">
        <v>449</v>
      </c>
      <c r="B93" s="12"/>
      <c r="C93" s="12"/>
      <c r="D93" s="12"/>
      <c r="E93" s="12"/>
      <c r="F93" s="12"/>
      <c r="G93" s="12"/>
      <c r="H93" s="12"/>
      <c r="I93" s="12"/>
      <c r="J93" s="12"/>
      <c r="K93" s="12"/>
      <c r="L93" s="12"/>
      <c r="M93" s="12"/>
      <c r="N93" s="12"/>
      <c r="O93" s="12"/>
      <c r="P93" s="12"/>
      <c r="Q93" s="12"/>
      <c r="R93" s="12"/>
      <c r="S93" s="12"/>
      <c r="T93" s="12"/>
      <c r="U93" s="12"/>
      <c r="V93" s="12"/>
      <c r="W93" s="40"/>
      <c r="X93" s="40"/>
      <c r="Y93" s="40"/>
      <c r="Z93" s="40"/>
      <c r="AA93" s="40"/>
      <c r="AB93" s="40"/>
      <c r="AC93" s="40"/>
      <c r="AD93" s="40"/>
      <c r="AE93" s="40"/>
      <c r="AF93" s="40"/>
      <c r="AG93" s="40"/>
      <c r="AH93" s="40"/>
      <c r="AI93" s="40"/>
      <c r="AJ93" s="40"/>
      <c r="AK93" s="40"/>
    </row>
    <row r="94" spans="1:37" ht="12.75" customHeight="1">
      <c r="A94" s="12" t="s">
        <v>1183</v>
      </c>
      <c r="B94" s="12"/>
      <c r="C94" s="12"/>
      <c r="D94" s="12"/>
      <c r="E94" s="12"/>
      <c r="F94" s="12"/>
      <c r="G94" s="12"/>
      <c r="H94" s="12"/>
      <c r="I94" s="12"/>
      <c r="J94" s="12"/>
      <c r="K94" s="12"/>
      <c r="L94" s="12"/>
      <c r="M94" s="12"/>
      <c r="N94" s="12"/>
      <c r="O94" s="12"/>
      <c r="P94" s="12"/>
      <c r="Q94" s="12"/>
      <c r="R94" s="12"/>
      <c r="S94" s="12"/>
      <c r="T94" s="12"/>
      <c r="U94" s="12"/>
      <c r="V94" s="12"/>
      <c r="W94" s="40"/>
      <c r="X94" s="40"/>
      <c r="Y94" s="40"/>
      <c r="Z94" s="40"/>
      <c r="AA94" s="40"/>
      <c r="AB94" s="40"/>
      <c r="AC94" s="40"/>
      <c r="AD94" s="40"/>
      <c r="AE94" s="40"/>
      <c r="AF94" s="40"/>
      <c r="AG94" s="40"/>
      <c r="AH94" s="40"/>
      <c r="AI94" s="40"/>
      <c r="AJ94" s="40"/>
      <c r="AK94" s="40"/>
    </row>
    <row r="95" spans="1:37" ht="12.75" customHeight="1">
      <c r="A95" s="123" t="s">
        <v>36</v>
      </c>
      <c r="B95" s="123"/>
      <c r="C95" s="123"/>
      <c r="D95" s="123"/>
      <c r="E95" s="123"/>
      <c r="F95" s="123"/>
      <c r="G95" s="123"/>
      <c r="H95" s="123"/>
      <c r="I95" s="123"/>
      <c r="J95" s="123"/>
      <c r="K95" s="123"/>
      <c r="L95" s="123"/>
      <c r="M95" s="123"/>
      <c r="N95" s="123"/>
      <c r="O95" s="123"/>
      <c r="P95" s="123"/>
      <c r="Q95" s="123"/>
      <c r="R95" s="123"/>
      <c r="S95" s="123"/>
      <c r="T95" s="123"/>
      <c r="U95" s="123"/>
      <c r="V95" s="123"/>
      <c r="W95" s="40"/>
      <c r="X95" s="40"/>
      <c r="Y95" s="40"/>
      <c r="Z95" s="40"/>
      <c r="AA95" s="40"/>
      <c r="AB95" s="40"/>
      <c r="AC95" s="40"/>
      <c r="AD95" s="40"/>
      <c r="AE95" s="40"/>
      <c r="AF95" s="40"/>
      <c r="AG95" s="40"/>
      <c r="AH95" s="40"/>
      <c r="AI95" s="40"/>
      <c r="AJ95" s="40"/>
      <c r="AK95" s="40"/>
    </row>
    <row r="96" spans="1:37" ht="12.75" customHeight="1">
      <c r="A96" s="124" t="s">
        <v>1184</v>
      </c>
      <c r="B96" s="124"/>
      <c r="C96" s="124"/>
      <c r="D96" s="124"/>
      <c r="E96" s="124"/>
      <c r="F96" s="124"/>
      <c r="G96" s="124"/>
      <c r="H96" s="124"/>
      <c r="I96" s="124"/>
      <c r="J96" s="124"/>
      <c r="K96" s="124"/>
      <c r="L96" s="124"/>
      <c r="M96" s="124"/>
      <c r="N96" s="124"/>
      <c r="O96" s="124"/>
      <c r="P96" s="124"/>
      <c r="Q96" s="124"/>
      <c r="R96" s="124"/>
      <c r="S96" s="124"/>
      <c r="T96" s="124"/>
      <c r="U96" s="124"/>
      <c r="V96" s="124"/>
      <c r="W96" s="40"/>
      <c r="X96" s="40"/>
      <c r="Y96" s="40"/>
      <c r="Z96" s="40"/>
      <c r="AA96" s="14"/>
      <c r="AB96" s="14"/>
      <c r="AC96" s="14"/>
      <c r="AD96" s="14"/>
      <c r="AE96" s="14"/>
      <c r="AF96" s="14"/>
      <c r="AG96" s="14"/>
      <c r="AH96" s="14"/>
      <c r="AI96" s="14"/>
      <c r="AJ96" s="14"/>
      <c r="AK96" s="14"/>
    </row>
    <row r="97" spans="1:37" ht="13.5">
      <c r="A97" s="12"/>
      <c r="B97" s="126"/>
      <c r="C97" s="126"/>
      <c r="D97" s="126"/>
      <c r="E97" s="127"/>
      <c r="F97" s="127"/>
      <c r="G97" s="127"/>
      <c r="H97" s="127"/>
      <c r="I97" s="127"/>
      <c r="J97" s="127"/>
      <c r="K97" s="127"/>
      <c r="L97" s="127"/>
      <c r="M97" s="127"/>
      <c r="N97" s="127"/>
      <c r="O97" s="127"/>
      <c r="P97" s="14"/>
      <c r="Q97" s="14"/>
      <c r="R97" s="14"/>
      <c r="S97" s="14"/>
      <c r="T97" s="128"/>
      <c r="U97" s="14"/>
      <c r="V97" s="14"/>
      <c r="W97" s="14"/>
      <c r="X97" s="14"/>
      <c r="Y97" s="14"/>
      <c r="Z97" s="14"/>
      <c r="AA97" s="15"/>
      <c r="AB97" s="15"/>
      <c r="AC97" s="15"/>
      <c r="AD97" s="15"/>
      <c r="AE97" s="15"/>
      <c r="AF97" s="15"/>
      <c r="AG97" s="15"/>
      <c r="AH97" s="15"/>
      <c r="AI97" s="15"/>
      <c r="AJ97" s="15"/>
      <c r="AK97" s="15"/>
    </row>
    <row r="98" spans="1:37" ht="13.5">
      <c r="A98" s="15"/>
      <c r="B98" s="15"/>
      <c r="C98" s="15"/>
      <c r="D98" s="15"/>
      <c r="E98" s="15"/>
      <c r="F98" s="15"/>
      <c r="G98" s="15"/>
      <c r="H98" s="15"/>
      <c r="I98" s="15"/>
      <c r="J98" s="15"/>
      <c r="K98" s="15"/>
      <c r="L98" s="15"/>
      <c r="M98" s="15"/>
      <c r="N98" s="15"/>
      <c r="O98" s="15"/>
      <c r="P98" s="15"/>
      <c r="Q98" s="15"/>
      <c r="R98" s="15"/>
      <c r="S98" s="15"/>
      <c r="T98" s="129"/>
      <c r="U98" s="15"/>
      <c r="V98" s="15"/>
      <c r="W98" s="15"/>
      <c r="X98" s="15"/>
      <c r="Y98" s="15"/>
      <c r="Z98" s="15"/>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25" right="0.25" top="0.75" bottom="0.75" header="0.3" footer="0.3"/>
  <pageSetup scale="35" fitToHeight="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1"/>
  <sheetViews>
    <sheetView workbookViewId="0">
      <selection activeCell="G8" sqref="G8"/>
    </sheetView>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242</v>
      </c>
    </row>
    <row r="2" spans="1:7">
      <c r="A2" s="1"/>
    </row>
    <row r="3" spans="1:7" ht="45">
      <c r="A3" s="18" t="s">
        <v>243</v>
      </c>
      <c r="B3" s="18" t="s">
        <v>244</v>
      </c>
      <c r="C3" s="18" t="s">
        <v>245</v>
      </c>
      <c r="D3" s="18" t="s">
        <v>246</v>
      </c>
      <c r="E3" s="18" t="s">
        <v>247</v>
      </c>
      <c r="F3" s="18" t="s">
        <v>248</v>
      </c>
      <c r="G3" s="18" t="s">
        <v>249</v>
      </c>
    </row>
    <row r="4" spans="1:7">
      <c r="A4" t="s">
        <v>250</v>
      </c>
      <c r="B4" s="4">
        <v>21611</v>
      </c>
      <c r="C4" s="4">
        <v>244203</v>
      </c>
      <c r="D4" s="4">
        <v>3584</v>
      </c>
      <c r="E4">
        <v>11.3</v>
      </c>
      <c r="F4">
        <v>5.7</v>
      </c>
      <c r="G4">
        <v>2.4</v>
      </c>
    </row>
    <row r="5" spans="1:7">
      <c r="A5" t="s">
        <v>251</v>
      </c>
      <c r="B5" s="4">
        <v>10147</v>
      </c>
      <c r="C5" s="4">
        <v>121865</v>
      </c>
      <c r="D5" s="4">
        <v>2035</v>
      </c>
      <c r="E5">
        <v>12</v>
      </c>
      <c r="F5">
        <v>6</v>
      </c>
      <c r="G5">
        <v>2.7</v>
      </c>
    </row>
    <row r="6" spans="1:7">
      <c r="A6" t="s">
        <v>252</v>
      </c>
      <c r="B6">
        <v>735</v>
      </c>
      <c r="C6" s="4">
        <v>8137</v>
      </c>
      <c r="D6">
        <v>154</v>
      </c>
      <c r="E6">
        <v>11.1</v>
      </c>
      <c r="F6">
        <v>7.8</v>
      </c>
      <c r="G6">
        <v>2.4</v>
      </c>
    </row>
    <row r="7" spans="1:7">
      <c r="A7" t="s">
        <v>253</v>
      </c>
      <c r="B7">
        <v>854</v>
      </c>
      <c r="C7" s="4">
        <v>12694</v>
      </c>
      <c r="D7">
        <v>220</v>
      </c>
      <c r="E7">
        <v>14.9</v>
      </c>
      <c r="F7">
        <v>4.0999999999999996</v>
      </c>
      <c r="G7">
        <v>3.8</v>
      </c>
    </row>
    <row r="8" spans="1:7">
      <c r="A8" t="s">
        <v>254</v>
      </c>
      <c r="B8" s="4">
        <v>1704</v>
      </c>
      <c r="C8" s="4">
        <v>18728</v>
      </c>
      <c r="D8">
        <v>212</v>
      </c>
      <c r="E8">
        <v>11</v>
      </c>
      <c r="F8">
        <v>4.7</v>
      </c>
      <c r="G8">
        <v>2.2999999999999998</v>
      </c>
    </row>
    <row r="9" spans="1:7">
      <c r="A9" t="s">
        <v>255</v>
      </c>
      <c r="B9" s="4">
        <v>2508</v>
      </c>
      <c r="C9" s="4">
        <v>21580</v>
      </c>
      <c r="D9">
        <v>362</v>
      </c>
      <c r="E9">
        <v>8.6</v>
      </c>
      <c r="F9">
        <v>6.3</v>
      </c>
      <c r="G9">
        <v>2.2999999999999998</v>
      </c>
    </row>
    <row r="10" spans="1:7">
      <c r="A10" t="s">
        <v>256</v>
      </c>
      <c r="B10" s="4">
        <v>3916</v>
      </c>
      <c r="C10" s="4">
        <v>43741</v>
      </c>
      <c r="D10">
        <v>280</v>
      </c>
      <c r="E10">
        <v>11.2</v>
      </c>
      <c r="F10">
        <v>4.5999999999999996</v>
      </c>
      <c r="G10">
        <v>1.3</v>
      </c>
    </row>
    <row r="11" spans="1:7">
      <c r="A11" t="s">
        <v>257</v>
      </c>
      <c r="B11" s="4">
        <v>1747</v>
      </c>
      <c r="C11" s="4">
        <v>17458</v>
      </c>
      <c r="D11">
        <v>322</v>
      </c>
      <c r="E11">
        <v>10</v>
      </c>
      <c r="F11">
        <v>6.8</v>
      </c>
      <c r="G11">
        <v>2.4</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4"/>
  <sheetViews>
    <sheetView workbookViewId="0">
      <selection activeCell="E4" sqref="E4"/>
    </sheetView>
  </sheetViews>
  <sheetFormatPr defaultRowHeight="15"/>
  <cols>
    <col min="1" max="1" width="16.85546875" customWidth="1"/>
    <col min="2" max="2" width="24.42578125" customWidth="1"/>
    <col min="3" max="5" width="16.85546875" customWidth="1"/>
  </cols>
  <sheetData>
    <row r="1" spans="1:5">
      <c r="A1" s="1" t="s">
        <v>202</v>
      </c>
      <c r="B1" s="5" t="s">
        <v>203</v>
      </c>
      <c r="C1" s="5" t="s">
        <v>204</v>
      </c>
      <c r="D1" s="5" t="s">
        <v>205</v>
      </c>
      <c r="E1" s="5" t="s">
        <v>206</v>
      </c>
    </row>
    <row r="2" spans="1:5">
      <c r="A2" t="s">
        <v>207</v>
      </c>
      <c r="B2">
        <v>7</v>
      </c>
      <c r="C2">
        <v>95264</v>
      </c>
      <c r="D2">
        <v>163464</v>
      </c>
      <c r="E2">
        <v>67.599999999999994</v>
      </c>
    </row>
    <row r="3" spans="1:5">
      <c r="A3" t="s">
        <v>208</v>
      </c>
      <c r="B3">
        <v>21</v>
      </c>
      <c r="C3">
        <v>10355</v>
      </c>
      <c r="D3">
        <v>5507</v>
      </c>
      <c r="E3">
        <v>1.4</v>
      </c>
    </row>
    <row r="4" spans="1:5">
      <c r="A4" t="s">
        <v>209</v>
      </c>
      <c r="B4">
        <v>546</v>
      </c>
      <c r="C4">
        <v>32858</v>
      </c>
      <c r="D4">
        <v>12293</v>
      </c>
      <c r="E4">
        <v>2.6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G17"/>
  <sheetViews>
    <sheetView workbookViewId="0">
      <selection activeCell="A17" sqref="A17"/>
    </sheetView>
  </sheetViews>
  <sheetFormatPr defaultRowHeight="15"/>
  <cols>
    <col min="1" max="1" width="14.28515625" customWidth="1"/>
    <col min="2" max="2" width="32.7109375" customWidth="1"/>
  </cols>
  <sheetData>
    <row r="1" spans="1:33">
      <c r="A1">
        <v>10</v>
      </c>
      <c r="B1" t="s">
        <v>78</v>
      </c>
    </row>
    <row r="3" spans="1:33">
      <c r="A3">
        <v>300</v>
      </c>
      <c r="B3" t="s">
        <v>224</v>
      </c>
    </row>
    <row r="5" spans="1:33">
      <c r="A5">
        <f>B14/SUM(B14:B15)</f>
        <v>0.75216927859794647</v>
      </c>
      <c r="B5" t="s">
        <v>265</v>
      </c>
    </row>
    <row r="6" spans="1:33">
      <c r="A6">
        <f>1-A5</f>
        <v>0.24783072140205353</v>
      </c>
      <c r="B6" t="s">
        <v>266</v>
      </c>
    </row>
    <row r="8" spans="1:33">
      <c r="A8">
        <f>SUM(INDEX('AEO 2023 36'!$100:$100,MATCH(About!$B$98,'AEO 2023 36'!$1:$1,0)))/INDEX('AEO 2023 36'!$99:$99,MATCH(About!$B$98,'AEO 2023 36'!$1:$1,0))</f>
        <v>0.80530539302477955</v>
      </c>
      <c r="B8" t="s">
        <v>268</v>
      </c>
    </row>
    <row r="9" spans="1:33">
      <c r="A9">
        <f>SUM(INDEX('AEO 2023 36'!$101:$101,MATCH(About!$B$98,'AEO 2023 36'!$1:$1,0)))/INDEX('AEO 2023 36'!$99:$99,MATCH(About!$B$98,'AEO 2023 36'!$1:$1,0))</f>
        <v>0.19469457182812364</v>
      </c>
      <c r="B9" t="s">
        <v>267</v>
      </c>
    </row>
    <row r="10" spans="1:33">
      <c r="A10" s="19"/>
    </row>
    <row r="11" spans="1:33">
      <c r="A11" t="s">
        <v>269</v>
      </c>
      <c r="B11" s="20">
        <v>0.32500000000000001</v>
      </c>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row>
    <row r="12" spans="1:33">
      <c r="A12" t="s">
        <v>270</v>
      </c>
      <c r="B12" s="20">
        <v>0.95</v>
      </c>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row>
    <row r="14" spans="1:33">
      <c r="A14" t="s">
        <v>271</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272</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109">
        <f>'AEO 2023 47'!C43/SUM('AEO 2023 47'!C43,'AEO 2023 47'!C61)</f>
        <v>0.74492317701702737</v>
      </c>
      <c r="B17" t="s">
        <v>1173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0A9EA-BD89-4953-A013-DBF0FA19A1D8}">
  <dimension ref="A1:AX71"/>
  <sheetViews>
    <sheetView workbookViewId="0">
      <selection activeCell="N71" sqref="N71"/>
    </sheetView>
  </sheetViews>
  <sheetFormatPr defaultRowHeight="15"/>
  <cols>
    <col min="14" max="14" width="9.140625" style="63"/>
    <col min="15" max="23" width="0" hidden="1" customWidth="1"/>
    <col min="24" max="24" width="11.42578125" style="63" customWidth="1"/>
    <col min="25" max="45" width="0" hidden="1" customWidth="1"/>
    <col min="46" max="46" width="13.5703125" style="63" customWidth="1"/>
  </cols>
  <sheetData>
    <row r="1" spans="1:50" ht="79.5">
      <c r="A1" s="43" t="s">
        <v>457</v>
      </c>
      <c r="B1" s="43" t="s">
        <v>458</v>
      </c>
      <c r="C1" s="43" t="s">
        <v>459</v>
      </c>
      <c r="D1" s="43" t="s">
        <v>460</v>
      </c>
      <c r="E1" s="43" t="s">
        <v>461</v>
      </c>
      <c r="F1" s="43" t="s">
        <v>462</v>
      </c>
      <c r="G1" s="43" t="s">
        <v>463</v>
      </c>
      <c r="H1" s="43" t="s">
        <v>464</v>
      </c>
      <c r="I1" s="43" t="s">
        <v>465</v>
      </c>
      <c r="J1" s="43" t="s">
        <v>466</v>
      </c>
      <c r="K1" s="43" t="s">
        <v>467</v>
      </c>
      <c r="L1" s="43" t="s">
        <v>468</v>
      </c>
      <c r="M1" s="43" t="s">
        <v>469</v>
      </c>
      <c r="N1" s="44" t="s">
        <v>470</v>
      </c>
      <c r="O1" s="43" t="s">
        <v>471</v>
      </c>
      <c r="P1" s="43" t="s">
        <v>472</v>
      </c>
      <c r="Q1" s="43" t="s">
        <v>473</v>
      </c>
      <c r="R1" s="43" t="s">
        <v>474</v>
      </c>
      <c r="S1" s="43" t="s">
        <v>475</v>
      </c>
      <c r="T1" s="43" t="s">
        <v>476</v>
      </c>
      <c r="U1" s="43" t="s">
        <v>477</v>
      </c>
      <c r="V1" s="43" t="s">
        <v>478</v>
      </c>
      <c r="W1" s="43" t="s">
        <v>479</v>
      </c>
      <c r="X1" s="45" t="s">
        <v>480</v>
      </c>
      <c r="Y1" s="43" t="s">
        <v>481</v>
      </c>
      <c r="Z1" s="43" t="s">
        <v>482</v>
      </c>
      <c r="AA1" s="43" t="s">
        <v>483</v>
      </c>
      <c r="AB1" s="43" t="s">
        <v>484</v>
      </c>
      <c r="AC1" s="46" t="s">
        <v>485</v>
      </c>
      <c r="AD1" s="47" t="s">
        <v>486</v>
      </c>
      <c r="AE1" s="46" t="s">
        <v>487</v>
      </c>
      <c r="AF1" s="47" t="s">
        <v>488</v>
      </c>
      <c r="AG1" s="46" t="s">
        <v>489</v>
      </c>
      <c r="AH1" s="47" t="s">
        <v>490</v>
      </c>
      <c r="AI1" s="46" t="s">
        <v>491</v>
      </c>
      <c r="AJ1" s="47" t="s">
        <v>492</v>
      </c>
      <c r="AK1" s="46" t="s">
        <v>493</v>
      </c>
      <c r="AL1" s="47" t="s">
        <v>494</v>
      </c>
      <c r="AM1" s="46" t="s">
        <v>495</v>
      </c>
      <c r="AN1" s="47" t="s">
        <v>496</v>
      </c>
      <c r="AO1" s="46" t="s">
        <v>497</v>
      </c>
      <c r="AP1" s="47" t="s">
        <v>498</v>
      </c>
      <c r="AQ1" s="46" t="s">
        <v>499</v>
      </c>
      <c r="AR1" s="47" t="s">
        <v>500</v>
      </c>
      <c r="AS1" s="46" t="s">
        <v>501</v>
      </c>
      <c r="AT1" s="48" t="s">
        <v>502</v>
      </c>
      <c r="AU1" s="49" t="s">
        <v>503</v>
      </c>
      <c r="AV1" s="50" t="s">
        <v>504</v>
      </c>
      <c r="AW1" s="49" t="s">
        <v>505</v>
      </c>
      <c r="AX1" s="43" t="s">
        <v>506</v>
      </c>
    </row>
    <row r="2" spans="1:50">
      <c r="A2" s="51" t="s">
        <v>507</v>
      </c>
      <c r="B2" s="51" t="s">
        <v>508</v>
      </c>
      <c r="C2" s="51" t="s">
        <v>509</v>
      </c>
      <c r="D2" s="52">
        <v>2008</v>
      </c>
      <c r="E2" s="53">
        <v>20008</v>
      </c>
      <c r="F2" s="51" t="s">
        <v>510</v>
      </c>
      <c r="G2" s="51" t="s">
        <v>511</v>
      </c>
      <c r="H2" s="54">
        <v>18351295</v>
      </c>
      <c r="I2" s="55">
        <v>10427</v>
      </c>
      <c r="J2" s="51" t="s">
        <v>512</v>
      </c>
      <c r="K2" s="51" t="s">
        <v>513</v>
      </c>
      <c r="L2" s="56">
        <v>5413</v>
      </c>
      <c r="M2" s="51"/>
      <c r="N2" s="57">
        <v>527</v>
      </c>
      <c r="O2" s="55"/>
      <c r="P2" s="58">
        <v>18.215599999999998</v>
      </c>
      <c r="Q2" s="55"/>
      <c r="R2" s="58">
        <v>4.2031999999999998</v>
      </c>
      <c r="S2" s="55"/>
      <c r="T2" s="58">
        <v>62.403700000000001</v>
      </c>
      <c r="U2" s="55"/>
      <c r="V2" s="54">
        <v>376401985</v>
      </c>
      <c r="W2" s="55"/>
      <c r="X2" s="59">
        <v>334949157</v>
      </c>
      <c r="Y2" s="55"/>
      <c r="Z2" s="54">
        <v>324782077</v>
      </c>
      <c r="AA2" s="55"/>
      <c r="AB2" s="54">
        <v>10167080</v>
      </c>
      <c r="AC2" s="55"/>
      <c r="AD2" s="54">
        <v>18782357</v>
      </c>
      <c r="AE2" s="55"/>
      <c r="AF2" s="54">
        <v>17829918</v>
      </c>
      <c r="AG2" s="55"/>
      <c r="AH2" s="54">
        <v>952439</v>
      </c>
      <c r="AI2" s="55"/>
      <c r="AJ2" s="54">
        <v>36770774</v>
      </c>
      <c r="AK2" s="55"/>
      <c r="AL2" s="54">
        <v>35625281</v>
      </c>
      <c r="AM2" s="55"/>
      <c r="AN2" s="54">
        <v>2060234</v>
      </c>
      <c r="AO2" s="55"/>
      <c r="AP2" s="60">
        <v>1955760</v>
      </c>
      <c r="AQ2" s="55"/>
      <c r="AR2" s="54">
        <v>1112653405</v>
      </c>
      <c r="AS2" s="55"/>
      <c r="AT2" s="59">
        <v>4676670633</v>
      </c>
      <c r="AU2" s="51"/>
      <c r="AV2" s="61">
        <v>493.68</v>
      </c>
      <c r="AW2" s="51" t="s">
        <v>21</v>
      </c>
      <c r="AX2" s="51" t="s">
        <v>514</v>
      </c>
    </row>
    <row r="3" spans="1:50">
      <c r="A3" s="51" t="s">
        <v>515</v>
      </c>
      <c r="B3" s="51" t="s">
        <v>516</v>
      </c>
      <c r="C3" s="51" t="s">
        <v>517</v>
      </c>
      <c r="D3" s="52">
        <v>2080</v>
      </c>
      <c r="E3" s="53">
        <v>20080</v>
      </c>
      <c r="F3" s="51" t="s">
        <v>518</v>
      </c>
      <c r="G3" s="51" t="s">
        <v>511</v>
      </c>
      <c r="H3" s="54">
        <v>18351295</v>
      </c>
      <c r="I3" s="55">
        <v>3646</v>
      </c>
      <c r="J3" s="51" t="s">
        <v>519</v>
      </c>
      <c r="K3" s="51" t="s">
        <v>520</v>
      </c>
      <c r="L3" s="56">
        <v>42</v>
      </c>
      <c r="M3" s="51"/>
      <c r="N3" s="57">
        <v>20</v>
      </c>
      <c r="O3" s="55"/>
      <c r="P3" s="58">
        <v>16.576499999999999</v>
      </c>
      <c r="Q3" s="55"/>
      <c r="R3" s="58">
        <v>3.7544</v>
      </c>
      <c r="S3" s="55"/>
      <c r="T3" s="58">
        <v>104.70910000000001</v>
      </c>
      <c r="U3" s="55"/>
      <c r="V3" s="54">
        <v>1809860</v>
      </c>
      <c r="W3" s="55"/>
      <c r="X3" s="59">
        <v>1929113</v>
      </c>
      <c r="Y3" s="55"/>
      <c r="Z3" s="54">
        <v>1893039</v>
      </c>
      <c r="AA3" s="55"/>
      <c r="AB3" s="54">
        <v>36074</v>
      </c>
      <c r="AC3" s="55"/>
      <c r="AD3" s="54">
        <v>115699</v>
      </c>
      <c r="AE3" s="55"/>
      <c r="AF3" s="54">
        <v>114200</v>
      </c>
      <c r="AG3" s="55"/>
      <c r="AH3" s="54">
        <v>1499</v>
      </c>
      <c r="AI3" s="55"/>
      <c r="AJ3" s="54">
        <v>1096779</v>
      </c>
      <c r="AK3" s="55"/>
      <c r="AL3" s="54">
        <v>1076347</v>
      </c>
      <c r="AM3" s="55"/>
      <c r="AN3" s="54">
        <v>64689</v>
      </c>
      <c r="AO3" s="55"/>
      <c r="AP3" s="60">
        <v>63804</v>
      </c>
      <c r="AQ3" s="55"/>
      <c r="AR3" s="54">
        <v>11957780</v>
      </c>
      <c r="AS3" s="55"/>
      <c r="AT3" s="59">
        <v>44894834</v>
      </c>
      <c r="AU3" s="51"/>
      <c r="AV3" s="61">
        <v>34.08</v>
      </c>
      <c r="AW3" s="51" t="s">
        <v>21</v>
      </c>
      <c r="AX3" s="51" t="s">
        <v>514</v>
      </c>
    </row>
    <row r="4" spans="1:50">
      <c r="A4" s="51" t="s">
        <v>515</v>
      </c>
      <c r="B4" s="51" t="s">
        <v>516</v>
      </c>
      <c r="C4" s="51" t="s">
        <v>517</v>
      </c>
      <c r="D4" s="52">
        <v>2080</v>
      </c>
      <c r="E4" s="53">
        <v>20080</v>
      </c>
      <c r="F4" s="51" t="s">
        <v>518</v>
      </c>
      <c r="G4" s="51" t="s">
        <v>511</v>
      </c>
      <c r="H4" s="54">
        <v>18351295</v>
      </c>
      <c r="I4" s="55">
        <v>3646</v>
      </c>
      <c r="J4" s="51" t="s">
        <v>519</v>
      </c>
      <c r="K4" s="51" t="s">
        <v>513</v>
      </c>
      <c r="L4" s="56">
        <v>15</v>
      </c>
      <c r="M4" s="51"/>
      <c r="N4" s="57">
        <v>15</v>
      </c>
      <c r="O4" s="55"/>
      <c r="P4" s="58">
        <v>9.3912999999999993</v>
      </c>
      <c r="Q4" s="55"/>
      <c r="R4" s="58">
        <v>2.2517</v>
      </c>
      <c r="S4" s="55"/>
      <c r="T4" s="58">
        <v>88.662099999999995</v>
      </c>
      <c r="U4" s="55"/>
      <c r="V4" s="54">
        <v>458806</v>
      </c>
      <c r="W4" s="55"/>
      <c r="X4" s="59">
        <v>481308</v>
      </c>
      <c r="Y4" s="55"/>
      <c r="Z4" s="54">
        <v>470004</v>
      </c>
      <c r="AA4" s="55"/>
      <c r="AB4" s="54">
        <v>11304</v>
      </c>
      <c r="AC4" s="55"/>
      <c r="AD4" s="54">
        <v>55608</v>
      </c>
      <c r="AE4" s="55"/>
      <c r="AF4" s="54">
        <v>50047</v>
      </c>
      <c r="AG4" s="55"/>
      <c r="AH4" s="54">
        <v>5561</v>
      </c>
      <c r="AI4" s="55"/>
      <c r="AJ4" s="54">
        <v>481308</v>
      </c>
      <c r="AK4" s="55"/>
      <c r="AL4" s="54">
        <v>470004</v>
      </c>
      <c r="AM4" s="55"/>
      <c r="AN4" s="54">
        <v>55608</v>
      </c>
      <c r="AO4" s="55"/>
      <c r="AP4" s="60">
        <v>50047</v>
      </c>
      <c r="AQ4" s="55"/>
      <c r="AR4" s="54">
        <v>4437270</v>
      </c>
      <c r="AS4" s="55"/>
      <c r="AT4" s="59">
        <v>9991369</v>
      </c>
      <c r="AU4" s="51"/>
      <c r="AV4" s="61">
        <v>12.42</v>
      </c>
      <c r="AW4" s="51" t="s">
        <v>21</v>
      </c>
      <c r="AX4" s="51" t="s">
        <v>514</v>
      </c>
    </row>
    <row r="5" spans="1:50">
      <c r="A5" s="51" t="s">
        <v>515</v>
      </c>
      <c r="B5" s="51" t="s">
        <v>516</v>
      </c>
      <c r="C5" s="51" t="s">
        <v>517</v>
      </c>
      <c r="D5" s="52">
        <v>2080</v>
      </c>
      <c r="E5" s="53">
        <v>20080</v>
      </c>
      <c r="F5" s="51" t="s">
        <v>518</v>
      </c>
      <c r="G5" s="51" t="s">
        <v>511</v>
      </c>
      <c r="H5" s="54">
        <v>18351295</v>
      </c>
      <c r="I5" s="55">
        <v>3646</v>
      </c>
      <c r="J5" s="51" t="s">
        <v>521</v>
      </c>
      <c r="K5" s="51" t="s">
        <v>513</v>
      </c>
      <c r="L5" s="56">
        <v>904</v>
      </c>
      <c r="M5" s="51"/>
      <c r="N5" s="57">
        <v>105</v>
      </c>
      <c r="O5" s="55"/>
      <c r="P5" s="58">
        <v>32.758000000000003</v>
      </c>
      <c r="Q5" s="55"/>
      <c r="R5" s="58">
        <v>22.010100000000001</v>
      </c>
      <c r="S5" s="55"/>
      <c r="T5" s="58">
        <v>40.014699999999998</v>
      </c>
      <c r="U5" s="55"/>
      <c r="V5" s="54">
        <v>54847772</v>
      </c>
      <c r="W5" s="55"/>
      <c r="X5" s="59">
        <v>57155030</v>
      </c>
      <c r="Y5" s="55"/>
      <c r="Z5" s="54">
        <v>54301350</v>
      </c>
      <c r="AA5" s="55"/>
      <c r="AB5" s="54">
        <v>2853680</v>
      </c>
      <c r="AC5" s="55"/>
      <c r="AD5" s="54">
        <v>1953118</v>
      </c>
      <c r="AE5" s="55"/>
      <c r="AF5" s="54">
        <v>1657653</v>
      </c>
      <c r="AG5" s="55"/>
      <c r="AH5" s="54">
        <v>295465</v>
      </c>
      <c r="AI5" s="55"/>
      <c r="AJ5" s="54">
        <v>8422625</v>
      </c>
      <c r="AK5" s="55"/>
      <c r="AL5" s="54">
        <v>7942892</v>
      </c>
      <c r="AM5" s="55"/>
      <c r="AN5" s="54">
        <v>287491</v>
      </c>
      <c r="AO5" s="55"/>
      <c r="AP5" s="60">
        <v>248272</v>
      </c>
      <c r="AQ5" s="55"/>
      <c r="AR5" s="54">
        <v>66330426</v>
      </c>
      <c r="AS5" s="55"/>
      <c r="AT5" s="59">
        <v>1459936301</v>
      </c>
      <c r="AU5" s="51"/>
      <c r="AV5" s="61">
        <v>920.4</v>
      </c>
      <c r="AW5" s="51" t="s">
        <v>21</v>
      </c>
      <c r="AX5" s="51" t="s">
        <v>514</v>
      </c>
    </row>
    <row r="6" spans="1:50">
      <c r="A6" s="51" t="s">
        <v>522</v>
      </c>
      <c r="B6" s="51" t="s">
        <v>523</v>
      </c>
      <c r="C6" s="51" t="s">
        <v>524</v>
      </c>
      <c r="D6" s="52">
        <v>9154</v>
      </c>
      <c r="E6" s="53">
        <v>90154</v>
      </c>
      <c r="F6" s="51" t="s">
        <v>525</v>
      </c>
      <c r="G6" s="51" t="s">
        <v>511</v>
      </c>
      <c r="H6" s="54">
        <v>12150996</v>
      </c>
      <c r="I6" s="55">
        <v>3482</v>
      </c>
      <c r="J6" s="51" t="s">
        <v>519</v>
      </c>
      <c r="K6" s="51" t="s">
        <v>513</v>
      </c>
      <c r="L6" s="56">
        <v>203</v>
      </c>
      <c r="M6" s="51"/>
      <c r="N6" s="57">
        <v>74</v>
      </c>
      <c r="O6" s="55"/>
      <c r="P6" s="58">
        <v>20.558</v>
      </c>
      <c r="Q6" s="55"/>
      <c r="R6" s="58">
        <v>7.5712999999999999</v>
      </c>
      <c r="S6" s="55"/>
      <c r="T6" s="58">
        <v>55.704000000000001</v>
      </c>
      <c r="U6" s="55"/>
      <c r="V6" s="54">
        <v>15592469</v>
      </c>
      <c r="W6" s="55"/>
      <c r="X6" s="59">
        <v>16090545</v>
      </c>
      <c r="Y6" s="55"/>
      <c r="Z6" s="54">
        <v>15536688</v>
      </c>
      <c r="AA6" s="55"/>
      <c r="AB6" s="54">
        <v>553857</v>
      </c>
      <c r="AC6" s="55"/>
      <c r="AD6" s="54">
        <v>792734</v>
      </c>
      <c r="AE6" s="55"/>
      <c r="AF6" s="54">
        <v>755749</v>
      </c>
      <c r="AG6" s="55"/>
      <c r="AH6" s="54">
        <v>36985</v>
      </c>
      <c r="AI6" s="55"/>
      <c r="AJ6" s="54">
        <v>6384468</v>
      </c>
      <c r="AK6" s="55"/>
      <c r="AL6" s="54">
        <v>6156417</v>
      </c>
      <c r="AM6" s="55"/>
      <c r="AN6" s="54">
        <v>309440</v>
      </c>
      <c r="AO6" s="55"/>
      <c r="AP6" s="60">
        <v>294220</v>
      </c>
      <c r="AQ6" s="55"/>
      <c r="AR6" s="54">
        <v>42098255</v>
      </c>
      <c r="AS6" s="55"/>
      <c r="AT6" s="59">
        <v>318737668</v>
      </c>
      <c r="AU6" s="51"/>
      <c r="AV6" s="61">
        <v>171.92</v>
      </c>
      <c r="AW6" s="51" t="s">
        <v>21</v>
      </c>
      <c r="AX6" s="51" t="s">
        <v>514</v>
      </c>
    </row>
    <row r="7" spans="1:50">
      <c r="A7" s="51" t="s">
        <v>522</v>
      </c>
      <c r="B7" s="51" t="s">
        <v>523</v>
      </c>
      <c r="C7" s="51" t="s">
        <v>524</v>
      </c>
      <c r="D7" s="52">
        <v>9154</v>
      </c>
      <c r="E7" s="53">
        <v>90154</v>
      </c>
      <c r="F7" s="51" t="s">
        <v>525</v>
      </c>
      <c r="G7" s="51" t="s">
        <v>511</v>
      </c>
      <c r="H7" s="54">
        <v>12150996</v>
      </c>
      <c r="I7" s="55">
        <v>3482</v>
      </c>
      <c r="J7" s="51" t="s">
        <v>512</v>
      </c>
      <c r="K7" s="51" t="s">
        <v>513</v>
      </c>
      <c r="L7" s="56">
        <v>68</v>
      </c>
      <c r="M7" s="51"/>
      <c r="N7" s="57">
        <v>13</v>
      </c>
      <c r="O7" s="55"/>
      <c r="P7" s="58">
        <v>21.8993</v>
      </c>
      <c r="Q7" s="55"/>
      <c r="R7" s="58">
        <v>4.8391999999999999</v>
      </c>
      <c r="S7" s="55"/>
      <c r="T7" s="58">
        <v>108.40730000000001</v>
      </c>
      <c r="U7" s="55"/>
      <c r="V7" s="54">
        <v>6821561</v>
      </c>
      <c r="W7" s="55"/>
      <c r="X7" s="59">
        <v>6973555</v>
      </c>
      <c r="Y7" s="55"/>
      <c r="Z7" s="54">
        <v>6801301</v>
      </c>
      <c r="AA7" s="55"/>
      <c r="AB7" s="54">
        <v>172254</v>
      </c>
      <c r="AC7" s="55"/>
      <c r="AD7" s="54">
        <v>327668</v>
      </c>
      <c r="AE7" s="55"/>
      <c r="AF7" s="54">
        <v>310572</v>
      </c>
      <c r="AG7" s="55"/>
      <c r="AH7" s="54">
        <v>17096</v>
      </c>
      <c r="AI7" s="55"/>
      <c r="AJ7" s="54">
        <v>1383514</v>
      </c>
      <c r="AK7" s="55"/>
      <c r="AL7" s="54">
        <v>1350454</v>
      </c>
      <c r="AM7" s="55"/>
      <c r="AN7" s="54">
        <v>66480</v>
      </c>
      <c r="AO7" s="55"/>
      <c r="AP7" s="60">
        <v>63158</v>
      </c>
      <c r="AQ7" s="55"/>
      <c r="AR7" s="54">
        <v>33668265</v>
      </c>
      <c r="AS7" s="55"/>
      <c r="AT7" s="59">
        <v>162927528</v>
      </c>
      <c r="AU7" s="51"/>
      <c r="AV7" s="61">
        <v>31.9</v>
      </c>
      <c r="AW7" s="51" t="s">
        <v>21</v>
      </c>
      <c r="AX7" s="51" t="s">
        <v>514</v>
      </c>
    </row>
    <row r="8" spans="1:50">
      <c r="A8" s="51" t="s">
        <v>526</v>
      </c>
      <c r="B8" s="51" t="s">
        <v>527</v>
      </c>
      <c r="C8" s="51" t="s">
        <v>528</v>
      </c>
      <c r="D8" s="52">
        <v>3030</v>
      </c>
      <c r="E8" s="53">
        <v>30030</v>
      </c>
      <c r="F8" s="51" t="s">
        <v>525</v>
      </c>
      <c r="G8" s="51" t="s">
        <v>511</v>
      </c>
      <c r="H8" s="54">
        <v>4586770</v>
      </c>
      <c r="I8" s="55">
        <v>3304</v>
      </c>
      <c r="J8" s="51" t="s">
        <v>512</v>
      </c>
      <c r="K8" s="51" t="s">
        <v>513</v>
      </c>
      <c r="L8" s="56">
        <v>998</v>
      </c>
      <c r="M8" s="51"/>
      <c r="N8" s="57">
        <v>129</v>
      </c>
      <c r="O8" s="55"/>
      <c r="P8" s="58">
        <v>23.3386</v>
      </c>
      <c r="Q8" s="55"/>
      <c r="R8" s="58">
        <v>5.6486999999999998</v>
      </c>
      <c r="S8" s="55"/>
      <c r="T8" s="58">
        <v>51.016399999999997</v>
      </c>
      <c r="U8" s="55"/>
      <c r="V8" s="54">
        <v>81860566</v>
      </c>
      <c r="W8" s="55"/>
      <c r="X8" s="59">
        <v>82234530</v>
      </c>
      <c r="Y8" s="55"/>
      <c r="Z8" s="54">
        <v>79847615</v>
      </c>
      <c r="AA8" s="55"/>
      <c r="AB8" s="54">
        <v>2386915</v>
      </c>
      <c r="AC8" s="55"/>
      <c r="AD8" s="54">
        <v>3524685</v>
      </c>
      <c r="AE8" s="55"/>
      <c r="AF8" s="54">
        <v>3421264</v>
      </c>
      <c r="AG8" s="55"/>
      <c r="AH8" s="54">
        <v>103421</v>
      </c>
      <c r="AI8" s="55"/>
      <c r="AJ8" s="54">
        <v>11770449</v>
      </c>
      <c r="AK8" s="55"/>
      <c r="AL8" s="54">
        <v>11432619</v>
      </c>
      <c r="AM8" s="55"/>
      <c r="AN8" s="54">
        <v>505929</v>
      </c>
      <c r="AO8" s="55"/>
      <c r="AP8" s="60">
        <v>489793</v>
      </c>
      <c r="AQ8" s="55"/>
      <c r="AR8" s="54">
        <v>174540714</v>
      </c>
      <c r="AS8" s="55"/>
      <c r="AT8" s="59">
        <v>985922295</v>
      </c>
      <c r="AU8" s="51"/>
      <c r="AV8" s="61">
        <v>234.2</v>
      </c>
      <c r="AW8" s="51" t="s">
        <v>21</v>
      </c>
      <c r="AX8" s="51" t="s">
        <v>514</v>
      </c>
    </row>
    <row r="9" spans="1:50">
      <c r="A9" s="51" t="s">
        <v>529</v>
      </c>
      <c r="B9" s="51" t="s">
        <v>530</v>
      </c>
      <c r="C9" s="51" t="s">
        <v>531</v>
      </c>
      <c r="D9" s="52">
        <v>5066</v>
      </c>
      <c r="E9" s="53">
        <v>50066</v>
      </c>
      <c r="F9" s="51" t="s">
        <v>525</v>
      </c>
      <c r="G9" s="51" t="s">
        <v>511</v>
      </c>
      <c r="H9" s="54">
        <v>8608208</v>
      </c>
      <c r="I9" s="55">
        <v>2703</v>
      </c>
      <c r="J9" s="51" t="s">
        <v>512</v>
      </c>
      <c r="K9" s="51" t="s">
        <v>513</v>
      </c>
      <c r="L9" s="56">
        <v>1148</v>
      </c>
      <c r="M9" s="51"/>
      <c r="N9" s="57">
        <v>158</v>
      </c>
      <c r="O9" s="55"/>
      <c r="P9" s="58">
        <v>18.0276</v>
      </c>
      <c r="Q9" s="55"/>
      <c r="R9" s="58">
        <v>6.3144</v>
      </c>
      <c r="S9" s="55" t="s">
        <v>532</v>
      </c>
      <c r="T9" s="58">
        <v>19.723500000000001</v>
      </c>
      <c r="U9" s="55"/>
      <c r="V9" s="54">
        <v>82996946</v>
      </c>
      <c r="W9" s="55"/>
      <c r="X9" s="59">
        <v>70519745</v>
      </c>
      <c r="Y9" s="55"/>
      <c r="Z9" s="54">
        <v>69510641</v>
      </c>
      <c r="AA9" s="55"/>
      <c r="AB9" s="54">
        <v>1009104</v>
      </c>
      <c r="AC9" s="55"/>
      <c r="AD9" s="54">
        <v>4177041</v>
      </c>
      <c r="AE9" s="55"/>
      <c r="AF9" s="54">
        <v>3855798</v>
      </c>
      <c r="AG9" s="55"/>
      <c r="AH9" s="54">
        <v>321243</v>
      </c>
      <c r="AI9" s="55"/>
      <c r="AJ9" s="54">
        <v>10533049</v>
      </c>
      <c r="AK9" s="55"/>
      <c r="AL9" s="54">
        <v>10388783</v>
      </c>
      <c r="AM9" s="55"/>
      <c r="AN9" s="54">
        <v>631507</v>
      </c>
      <c r="AO9" s="55"/>
      <c r="AP9" s="60">
        <v>582079</v>
      </c>
      <c r="AQ9" s="55"/>
      <c r="AR9" s="54">
        <v>76049871</v>
      </c>
      <c r="AS9" s="55"/>
      <c r="AT9" s="59">
        <v>480210760</v>
      </c>
      <c r="AU9" s="51" t="s">
        <v>532</v>
      </c>
      <c r="AV9" s="61">
        <v>207.84</v>
      </c>
      <c r="AW9" s="51" t="s">
        <v>21</v>
      </c>
      <c r="AX9" s="51" t="s">
        <v>533</v>
      </c>
    </row>
    <row r="10" spans="1:50">
      <c r="A10" s="51" t="s">
        <v>534</v>
      </c>
      <c r="B10" s="51" t="s">
        <v>535</v>
      </c>
      <c r="C10" s="51" t="s">
        <v>536</v>
      </c>
      <c r="D10" s="52">
        <v>1003</v>
      </c>
      <c r="E10" s="53">
        <v>10003</v>
      </c>
      <c r="F10" s="51" t="s">
        <v>525</v>
      </c>
      <c r="G10" s="51" t="s">
        <v>511</v>
      </c>
      <c r="H10" s="54">
        <v>4181019</v>
      </c>
      <c r="I10" s="55">
        <v>2428</v>
      </c>
      <c r="J10" s="51" t="s">
        <v>519</v>
      </c>
      <c r="K10" s="51" t="s">
        <v>513</v>
      </c>
      <c r="L10" s="56">
        <v>154</v>
      </c>
      <c r="M10" s="51"/>
      <c r="N10" s="57">
        <v>86</v>
      </c>
      <c r="O10" s="55"/>
      <c r="P10" s="58">
        <v>7.3029000000000002</v>
      </c>
      <c r="Q10" s="55"/>
      <c r="R10" s="58">
        <v>2.3538000000000001</v>
      </c>
      <c r="S10" s="55"/>
      <c r="T10" s="58">
        <v>57.774500000000003</v>
      </c>
      <c r="U10" s="55"/>
      <c r="V10" s="54">
        <v>5714964</v>
      </c>
      <c r="W10" s="55"/>
      <c r="X10" s="59">
        <v>5260506</v>
      </c>
      <c r="Y10" s="55"/>
      <c r="Z10" s="54">
        <v>5241369</v>
      </c>
      <c r="AA10" s="55"/>
      <c r="AB10" s="54">
        <v>19137</v>
      </c>
      <c r="AC10" s="55"/>
      <c r="AD10" s="54">
        <v>726323</v>
      </c>
      <c r="AE10" s="55"/>
      <c r="AF10" s="54">
        <v>717709</v>
      </c>
      <c r="AG10" s="55"/>
      <c r="AH10" s="54">
        <v>8614</v>
      </c>
      <c r="AI10" s="55" t="s">
        <v>537</v>
      </c>
      <c r="AJ10" s="54">
        <v>2876932</v>
      </c>
      <c r="AK10" s="55"/>
      <c r="AL10" s="54">
        <v>2870560</v>
      </c>
      <c r="AM10" s="55"/>
      <c r="AN10" s="54">
        <v>321018</v>
      </c>
      <c r="AO10" s="55"/>
      <c r="AP10" s="60">
        <v>315916</v>
      </c>
      <c r="AQ10" s="55"/>
      <c r="AR10" s="54">
        <v>41465243</v>
      </c>
      <c r="AS10" s="55"/>
      <c r="AT10" s="59">
        <v>97602251</v>
      </c>
      <c r="AU10" s="51"/>
      <c r="AV10" s="61">
        <v>51</v>
      </c>
      <c r="AW10" s="51" t="s">
        <v>21</v>
      </c>
      <c r="AX10" s="51" t="s">
        <v>533</v>
      </c>
    </row>
    <row r="11" spans="1:50">
      <c r="A11" s="51" t="s">
        <v>534</v>
      </c>
      <c r="B11" s="51" t="s">
        <v>535</v>
      </c>
      <c r="C11" s="51" t="s">
        <v>536</v>
      </c>
      <c r="D11" s="52">
        <v>1003</v>
      </c>
      <c r="E11" s="53">
        <v>10003</v>
      </c>
      <c r="F11" s="51" t="s">
        <v>525</v>
      </c>
      <c r="G11" s="51" t="s">
        <v>511</v>
      </c>
      <c r="H11" s="54">
        <v>4181019</v>
      </c>
      <c r="I11" s="55">
        <v>2428</v>
      </c>
      <c r="J11" s="51" t="s">
        <v>512</v>
      </c>
      <c r="K11" s="51" t="s">
        <v>513</v>
      </c>
      <c r="L11" s="56">
        <v>338</v>
      </c>
      <c r="M11" s="51"/>
      <c r="N11" s="57">
        <v>56</v>
      </c>
      <c r="O11" s="55"/>
      <c r="P11" s="58">
        <v>16.707100000000001</v>
      </c>
      <c r="Q11" s="55"/>
      <c r="R11" s="58">
        <v>3.5198</v>
      </c>
      <c r="S11" s="55"/>
      <c r="T11" s="58">
        <v>87.046400000000006</v>
      </c>
      <c r="U11" s="55"/>
      <c r="V11" s="54">
        <v>23317516</v>
      </c>
      <c r="W11" s="55"/>
      <c r="X11" s="59">
        <v>22746421</v>
      </c>
      <c r="Y11" s="55"/>
      <c r="Z11" s="54">
        <v>22203578</v>
      </c>
      <c r="AA11" s="55"/>
      <c r="AB11" s="54">
        <v>542843</v>
      </c>
      <c r="AC11" s="55"/>
      <c r="AD11" s="54">
        <v>1393950</v>
      </c>
      <c r="AE11" s="55"/>
      <c r="AF11" s="54">
        <v>1328990</v>
      </c>
      <c r="AG11" s="55"/>
      <c r="AH11" s="54">
        <v>64960</v>
      </c>
      <c r="AI11" s="55"/>
      <c r="AJ11" s="54">
        <v>3791070</v>
      </c>
      <c r="AK11" s="55"/>
      <c r="AL11" s="54">
        <v>3700596</v>
      </c>
      <c r="AM11" s="55"/>
      <c r="AN11" s="54">
        <v>253575</v>
      </c>
      <c r="AO11" s="55"/>
      <c r="AP11" s="60">
        <v>242748</v>
      </c>
      <c r="AQ11" s="55"/>
      <c r="AR11" s="54">
        <v>115683733</v>
      </c>
      <c r="AS11" s="55"/>
      <c r="AT11" s="59">
        <v>407181618</v>
      </c>
      <c r="AU11" s="51"/>
      <c r="AV11" s="61">
        <v>76.3</v>
      </c>
      <c r="AW11" s="51" t="s">
        <v>21</v>
      </c>
      <c r="AX11" s="51" t="s">
        <v>514</v>
      </c>
    </row>
    <row r="12" spans="1:50">
      <c r="A12" s="51" t="s">
        <v>534</v>
      </c>
      <c r="B12" s="51" t="s">
        <v>535</v>
      </c>
      <c r="C12" s="51" t="s">
        <v>536</v>
      </c>
      <c r="D12" s="52">
        <v>1003</v>
      </c>
      <c r="E12" s="53">
        <v>10003</v>
      </c>
      <c r="F12" s="51" t="s">
        <v>525</v>
      </c>
      <c r="G12" s="51" t="s">
        <v>511</v>
      </c>
      <c r="H12" s="54">
        <v>4181019</v>
      </c>
      <c r="I12" s="55">
        <v>2428</v>
      </c>
      <c r="J12" s="51" t="s">
        <v>521</v>
      </c>
      <c r="K12" s="51" t="s">
        <v>520</v>
      </c>
      <c r="L12" s="56">
        <v>436</v>
      </c>
      <c r="M12" s="51"/>
      <c r="N12" s="57">
        <v>67</v>
      </c>
      <c r="O12" s="55"/>
      <c r="P12" s="58">
        <v>29.729199999999999</v>
      </c>
      <c r="Q12" s="55"/>
      <c r="R12" s="58">
        <v>20.751000000000001</v>
      </c>
      <c r="S12" s="55"/>
      <c r="T12" s="58">
        <v>33.01</v>
      </c>
      <c r="U12" s="55"/>
      <c r="V12" s="54">
        <v>22195183</v>
      </c>
      <c r="W12" s="55"/>
      <c r="X12" s="59">
        <v>22810502</v>
      </c>
      <c r="Y12" s="55"/>
      <c r="Z12" s="54">
        <v>22300695</v>
      </c>
      <c r="AA12" s="55"/>
      <c r="AB12" s="54">
        <v>509807</v>
      </c>
      <c r="AC12" s="55"/>
      <c r="AD12" s="54">
        <v>768699</v>
      </c>
      <c r="AE12" s="55"/>
      <c r="AF12" s="54">
        <v>750128</v>
      </c>
      <c r="AG12" s="55"/>
      <c r="AH12" s="54">
        <v>18571</v>
      </c>
      <c r="AI12" s="55"/>
      <c r="AJ12" s="54">
        <v>4189947</v>
      </c>
      <c r="AK12" s="55"/>
      <c r="AL12" s="54">
        <v>4093393</v>
      </c>
      <c r="AM12" s="55"/>
      <c r="AN12" s="54">
        <v>141215</v>
      </c>
      <c r="AO12" s="55"/>
      <c r="AP12" s="60">
        <v>137738</v>
      </c>
      <c r="AQ12" s="55"/>
      <c r="AR12" s="54">
        <v>24761705</v>
      </c>
      <c r="AS12" s="55"/>
      <c r="AT12" s="59">
        <v>513830968</v>
      </c>
      <c r="AU12" s="51"/>
      <c r="AV12" s="61">
        <v>776.08</v>
      </c>
      <c r="AW12" s="51" t="s">
        <v>21</v>
      </c>
      <c r="AX12" s="51" t="s">
        <v>514</v>
      </c>
    </row>
    <row r="13" spans="1:50">
      <c r="A13" s="51" t="s">
        <v>538</v>
      </c>
      <c r="B13" s="51" t="s">
        <v>539</v>
      </c>
      <c r="C13" s="51" t="s">
        <v>540</v>
      </c>
      <c r="D13" s="52">
        <v>3019</v>
      </c>
      <c r="E13" s="53">
        <v>30019</v>
      </c>
      <c r="F13" s="51" t="s">
        <v>525</v>
      </c>
      <c r="G13" s="51" t="s">
        <v>511</v>
      </c>
      <c r="H13" s="54">
        <v>5441567</v>
      </c>
      <c r="I13" s="55">
        <v>2406</v>
      </c>
      <c r="J13" s="51" t="s">
        <v>512</v>
      </c>
      <c r="K13" s="51" t="s">
        <v>513</v>
      </c>
      <c r="L13" s="56">
        <v>286</v>
      </c>
      <c r="M13" s="51"/>
      <c r="N13" s="57">
        <v>61</v>
      </c>
      <c r="O13" s="55"/>
      <c r="P13" s="58">
        <v>17.097100000000001</v>
      </c>
      <c r="Q13" s="55"/>
      <c r="R13" s="58">
        <v>4.4253999999999998</v>
      </c>
      <c r="S13" s="55" t="s">
        <v>532</v>
      </c>
      <c r="T13" s="58">
        <v>75.514099999999999</v>
      </c>
      <c r="U13" s="55" t="s">
        <v>532</v>
      </c>
      <c r="V13" s="54">
        <v>16431036</v>
      </c>
      <c r="W13" s="55"/>
      <c r="X13" s="59">
        <v>16168711</v>
      </c>
      <c r="Y13" s="55"/>
      <c r="Z13" s="54">
        <v>16089713</v>
      </c>
      <c r="AA13" s="55"/>
      <c r="AB13" s="54">
        <v>78998</v>
      </c>
      <c r="AC13" s="55"/>
      <c r="AD13" s="54">
        <v>945947</v>
      </c>
      <c r="AE13" s="55"/>
      <c r="AF13" s="54">
        <v>941080</v>
      </c>
      <c r="AG13" s="55"/>
      <c r="AH13" s="54">
        <v>4867</v>
      </c>
      <c r="AI13" s="55"/>
      <c r="AJ13" s="54">
        <v>3121305</v>
      </c>
      <c r="AK13" s="55"/>
      <c r="AL13" s="54">
        <v>3101700</v>
      </c>
      <c r="AM13" s="55"/>
      <c r="AN13" s="54">
        <v>182557</v>
      </c>
      <c r="AO13" s="55"/>
      <c r="AP13" s="60">
        <v>181391</v>
      </c>
      <c r="AQ13" s="55"/>
      <c r="AR13" s="54">
        <v>71064786</v>
      </c>
      <c r="AS13" s="55" t="s">
        <v>532</v>
      </c>
      <c r="AT13" s="59">
        <v>314489396</v>
      </c>
      <c r="AU13" s="51" t="s">
        <v>532</v>
      </c>
      <c r="AV13" s="61">
        <v>74.900000000000006</v>
      </c>
      <c r="AW13" s="51" t="s">
        <v>21</v>
      </c>
      <c r="AX13" s="51" t="s">
        <v>533</v>
      </c>
    </row>
    <row r="14" spans="1:50">
      <c r="A14" s="51" t="s">
        <v>538</v>
      </c>
      <c r="B14" s="51" t="s">
        <v>539</v>
      </c>
      <c r="C14" s="51" t="s">
        <v>540</v>
      </c>
      <c r="D14" s="52">
        <v>3019</v>
      </c>
      <c r="E14" s="53">
        <v>30019</v>
      </c>
      <c r="F14" s="51" t="s">
        <v>525</v>
      </c>
      <c r="G14" s="51" t="s">
        <v>511</v>
      </c>
      <c r="H14" s="54">
        <v>5441567</v>
      </c>
      <c r="I14" s="55">
        <v>2406</v>
      </c>
      <c r="J14" s="51" t="s">
        <v>521</v>
      </c>
      <c r="K14" s="51" t="s">
        <v>513</v>
      </c>
      <c r="L14" s="56">
        <v>357</v>
      </c>
      <c r="M14" s="51"/>
      <c r="N14" s="57">
        <v>84</v>
      </c>
      <c r="O14" s="55"/>
      <c r="P14" s="58">
        <v>19.690899999999999</v>
      </c>
      <c r="Q14" s="55"/>
      <c r="R14" s="58">
        <v>13.449400000000001</v>
      </c>
      <c r="S14" s="55" t="s">
        <v>532</v>
      </c>
      <c r="T14" s="58">
        <v>29.793900000000001</v>
      </c>
      <c r="U14" s="55" t="s">
        <v>532</v>
      </c>
      <c r="V14" s="54">
        <v>16896038</v>
      </c>
      <c r="W14" s="55"/>
      <c r="X14" s="59">
        <v>17498310</v>
      </c>
      <c r="Y14" s="55"/>
      <c r="Z14" s="54">
        <v>16621821</v>
      </c>
      <c r="AA14" s="55"/>
      <c r="AB14" s="54">
        <v>876489</v>
      </c>
      <c r="AC14" s="55"/>
      <c r="AD14" s="54">
        <v>882766</v>
      </c>
      <c r="AE14" s="55"/>
      <c r="AF14" s="54">
        <v>844136</v>
      </c>
      <c r="AG14" s="55"/>
      <c r="AH14" s="54">
        <v>38630</v>
      </c>
      <c r="AI14" s="55"/>
      <c r="AJ14" s="54">
        <v>4453116</v>
      </c>
      <c r="AK14" s="55"/>
      <c r="AL14" s="54">
        <v>4225898</v>
      </c>
      <c r="AM14" s="55"/>
      <c r="AN14" s="54">
        <v>224140</v>
      </c>
      <c r="AO14" s="55"/>
      <c r="AP14" s="60">
        <v>214329</v>
      </c>
      <c r="AQ14" s="55"/>
      <c r="AR14" s="54">
        <v>25150117</v>
      </c>
      <c r="AS14" s="55" t="s">
        <v>532</v>
      </c>
      <c r="AT14" s="59">
        <v>338253606</v>
      </c>
      <c r="AU14" s="51" t="s">
        <v>532</v>
      </c>
      <c r="AV14" s="61">
        <v>446.94</v>
      </c>
      <c r="AW14" s="51" t="s">
        <v>21</v>
      </c>
      <c r="AX14" s="51" t="s">
        <v>533</v>
      </c>
    </row>
    <row r="15" spans="1:50">
      <c r="A15" s="51" t="s">
        <v>541</v>
      </c>
      <c r="B15" s="51" t="s">
        <v>542</v>
      </c>
      <c r="C15" s="51" t="s">
        <v>543</v>
      </c>
      <c r="D15" s="52">
        <v>6008</v>
      </c>
      <c r="E15" s="53">
        <v>60008</v>
      </c>
      <c r="F15" s="51" t="s">
        <v>525</v>
      </c>
      <c r="G15" s="51" t="s">
        <v>511</v>
      </c>
      <c r="H15" s="54">
        <v>4944332</v>
      </c>
      <c r="I15" s="55">
        <v>2157</v>
      </c>
      <c r="J15" s="51" t="s">
        <v>519</v>
      </c>
      <c r="K15" s="51" t="s">
        <v>513</v>
      </c>
      <c r="L15" s="56">
        <v>56</v>
      </c>
      <c r="M15" s="51"/>
      <c r="N15" s="57">
        <v>29</v>
      </c>
      <c r="O15" s="55"/>
      <c r="P15" s="58">
        <v>12.147399999999999</v>
      </c>
      <c r="Q15" s="55"/>
      <c r="R15" s="58">
        <v>2.9095</v>
      </c>
      <c r="S15" s="55"/>
      <c r="T15" s="58">
        <v>48.3795</v>
      </c>
      <c r="U15" s="55"/>
      <c r="V15" s="54">
        <v>3257209</v>
      </c>
      <c r="W15" s="55"/>
      <c r="X15" s="59">
        <v>3247125</v>
      </c>
      <c r="Y15" s="55"/>
      <c r="Z15" s="54">
        <v>3236011</v>
      </c>
      <c r="AA15" s="55"/>
      <c r="AB15" s="54">
        <v>11114</v>
      </c>
      <c r="AC15" s="55"/>
      <c r="AD15" s="54">
        <v>268268</v>
      </c>
      <c r="AE15" s="55"/>
      <c r="AF15" s="54">
        <v>266396</v>
      </c>
      <c r="AG15" s="55"/>
      <c r="AH15" s="54">
        <v>1872</v>
      </c>
      <c r="AI15" s="55"/>
      <c r="AJ15" s="54">
        <v>1940638</v>
      </c>
      <c r="AK15" s="55"/>
      <c r="AL15" s="54">
        <v>1929524</v>
      </c>
      <c r="AM15" s="55"/>
      <c r="AN15" s="54">
        <v>176143</v>
      </c>
      <c r="AO15" s="55"/>
      <c r="AP15" s="60">
        <v>174271</v>
      </c>
      <c r="AQ15" s="55"/>
      <c r="AR15" s="54">
        <v>12888105</v>
      </c>
      <c r="AS15" s="55"/>
      <c r="AT15" s="59">
        <v>37497523</v>
      </c>
      <c r="AU15" s="51"/>
      <c r="AV15" s="61">
        <v>43.59</v>
      </c>
      <c r="AW15" s="51" t="s">
        <v>21</v>
      </c>
      <c r="AX15" s="51" t="s">
        <v>514</v>
      </c>
    </row>
    <row r="16" spans="1:50">
      <c r="A16" s="51" t="s">
        <v>544</v>
      </c>
      <c r="B16" s="51" t="s">
        <v>545</v>
      </c>
      <c r="C16" s="51" t="s">
        <v>546</v>
      </c>
      <c r="D16" s="52">
        <v>3034</v>
      </c>
      <c r="E16" s="53">
        <v>30034</v>
      </c>
      <c r="F16" s="51" t="s">
        <v>547</v>
      </c>
      <c r="G16" s="51" t="s">
        <v>511</v>
      </c>
      <c r="H16" s="54">
        <v>2203663</v>
      </c>
      <c r="I16" s="55">
        <v>1888</v>
      </c>
      <c r="J16" s="51" t="s">
        <v>519</v>
      </c>
      <c r="K16" s="51" t="s">
        <v>513</v>
      </c>
      <c r="L16" s="56">
        <v>38</v>
      </c>
      <c r="M16" s="51"/>
      <c r="N16" s="57">
        <v>18</v>
      </c>
      <c r="O16" s="55"/>
      <c r="P16" s="58">
        <v>19.6769</v>
      </c>
      <c r="Q16" s="55"/>
      <c r="R16" s="58">
        <v>5.7127999999999997</v>
      </c>
      <c r="S16" s="55" t="s">
        <v>532</v>
      </c>
      <c r="T16" s="58">
        <v>35.373800000000003</v>
      </c>
      <c r="U16" s="55"/>
      <c r="V16" s="54">
        <v>2774375</v>
      </c>
      <c r="W16" s="55"/>
      <c r="X16" s="59">
        <v>2676810</v>
      </c>
      <c r="Y16" s="55"/>
      <c r="Z16" s="54">
        <v>2588105</v>
      </c>
      <c r="AA16" s="55"/>
      <c r="AB16" s="54">
        <v>88705</v>
      </c>
      <c r="AC16" s="55"/>
      <c r="AD16" s="54">
        <v>138492</v>
      </c>
      <c r="AE16" s="55"/>
      <c r="AF16" s="54">
        <v>131530</v>
      </c>
      <c r="AG16" s="55"/>
      <c r="AH16" s="54">
        <v>6962</v>
      </c>
      <c r="AI16" s="55"/>
      <c r="AJ16" s="54">
        <v>1046361</v>
      </c>
      <c r="AK16" s="55"/>
      <c r="AL16" s="54">
        <v>1044905</v>
      </c>
      <c r="AM16" s="55"/>
      <c r="AN16" s="54">
        <v>58730</v>
      </c>
      <c r="AO16" s="55"/>
      <c r="AP16" s="60">
        <v>58193</v>
      </c>
      <c r="AQ16" s="55"/>
      <c r="AR16" s="54">
        <v>4652718</v>
      </c>
      <c r="AS16" s="55"/>
      <c r="AT16" s="59">
        <v>26579844</v>
      </c>
      <c r="AU16" s="51" t="s">
        <v>532</v>
      </c>
      <c r="AV16" s="61">
        <v>57.6</v>
      </c>
      <c r="AW16" s="51" t="s">
        <v>21</v>
      </c>
      <c r="AX16" s="51" t="s">
        <v>533</v>
      </c>
    </row>
    <row r="17" spans="1:50">
      <c r="A17" s="51" t="s">
        <v>544</v>
      </c>
      <c r="B17" s="51" t="s">
        <v>545</v>
      </c>
      <c r="C17" s="51" t="s">
        <v>546</v>
      </c>
      <c r="D17" s="52">
        <v>3034</v>
      </c>
      <c r="E17" s="53">
        <v>30034</v>
      </c>
      <c r="F17" s="51" t="s">
        <v>547</v>
      </c>
      <c r="G17" s="51" t="s">
        <v>511</v>
      </c>
      <c r="H17" s="54">
        <v>2203663</v>
      </c>
      <c r="I17" s="55">
        <v>1888</v>
      </c>
      <c r="J17" s="51" t="s">
        <v>512</v>
      </c>
      <c r="K17" s="51" t="s">
        <v>513</v>
      </c>
      <c r="L17" s="56">
        <v>54</v>
      </c>
      <c r="M17" s="51"/>
      <c r="N17" s="57">
        <v>9</v>
      </c>
      <c r="O17" s="55"/>
      <c r="P17" s="58">
        <v>26.092600000000001</v>
      </c>
      <c r="Q17" s="55"/>
      <c r="R17" s="58">
        <v>4.7674000000000003</v>
      </c>
      <c r="S17" s="55" t="s">
        <v>532</v>
      </c>
      <c r="T17" s="58">
        <v>36.698</v>
      </c>
      <c r="U17" s="55"/>
      <c r="V17" s="54">
        <v>4289979</v>
      </c>
      <c r="W17" s="55"/>
      <c r="X17" s="59">
        <v>4659371</v>
      </c>
      <c r="Y17" s="55"/>
      <c r="Z17" s="54">
        <v>4169492</v>
      </c>
      <c r="AA17" s="55"/>
      <c r="AB17" s="54">
        <v>489879</v>
      </c>
      <c r="AC17" s="55"/>
      <c r="AD17" s="54">
        <v>180401</v>
      </c>
      <c r="AE17" s="55"/>
      <c r="AF17" s="54">
        <v>159796</v>
      </c>
      <c r="AG17" s="55"/>
      <c r="AH17" s="54">
        <v>20605</v>
      </c>
      <c r="AI17" s="55"/>
      <c r="AJ17" s="54">
        <v>845652</v>
      </c>
      <c r="AK17" s="55"/>
      <c r="AL17" s="54">
        <v>734915</v>
      </c>
      <c r="AM17" s="55"/>
      <c r="AN17" s="54">
        <v>32887</v>
      </c>
      <c r="AO17" s="55"/>
      <c r="AP17" s="60">
        <v>28462</v>
      </c>
      <c r="AQ17" s="55"/>
      <c r="AR17" s="54">
        <v>5864191</v>
      </c>
      <c r="AS17" s="55"/>
      <c r="AT17" s="59">
        <v>27957087</v>
      </c>
      <c r="AU17" s="51" t="s">
        <v>532</v>
      </c>
      <c r="AV17" s="61">
        <v>29.4</v>
      </c>
      <c r="AW17" s="51" t="s">
        <v>21</v>
      </c>
      <c r="AX17" s="51" t="s">
        <v>533</v>
      </c>
    </row>
    <row r="18" spans="1:50">
      <c r="A18" s="51" t="s">
        <v>544</v>
      </c>
      <c r="B18" s="51" t="s">
        <v>545</v>
      </c>
      <c r="C18" s="51" t="s">
        <v>546</v>
      </c>
      <c r="D18" s="52">
        <v>3034</v>
      </c>
      <c r="E18" s="53">
        <v>30034</v>
      </c>
      <c r="F18" s="51" t="s">
        <v>547</v>
      </c>
      <c r="G18" s="51" t="s">
        <v>511</v>
      </c>
      <c r="H18" s="54">
        <v>2203663</v>
      </c>
      <c r="I18" s="55">
        <v>1888</v>
      </c>
      <c r="J18" s="51" t="s">
        <v>521</v>
      </c>
      <c r="K18" s="51" t="s">
        <v>520</v>
      </c>
      <c r="L18" s="56">
        <v>149</v>
      </c>
      <c r="M18" s="51"/>
      <c r="N18" s="57">
        <v>28</v>
      </c>
      <c r="O18" s="55"/>
      <c r="P18" s="58">
        <v>38.328299999999999</v>
      </c>
      <c r="Q18" s="55"/>
      <c r="R18" s="58">
        <v>29.584599999999998</v>
      </c>
      <c r="S18" s="55" t="s">
        <v>532</v>
      </c>
      <c r="T18" s="58">
        <v>45.747900000000001</v>
      </c>
      <c r="U18" s="55"/>
      <c r="V18" s="54">
        <v>6001808</v>
      </c>
      <c r="W18" s="55"/>
      <c r="X18" s="59">
        <v>5996542</v>
      </c>
      <c r="Y18" s="55"/>
      <c r="Z18" s="54">
        <v>5596811</v>
      </c>
      <c r="AA18" s="55"/>
      <c r="AB18" s="54">
        <v>399731</v>
      </c>
      <c r="AC18" s="55"/>
      <c r="AD18" s="54">
        <v>155174</v>
      </c>
      <c r="AE18" s="55"/>
      <c r="AF18" s="54">
        <v>146023</v>
      </c>
      <c r="AG18" s="55"/>
      <c r="AH18" s="54">
        <v>9151</v>
      </c>
      <c r="AI18" s="55"/>
      <c r="AJ18" s="54">
        <v>1094365</v>
      </c>
      <c r="AK18" s="55"/>
      <c r="AL18" s="54">
        <v>1036558</v>
      </c>
      <c r="AM18" s="55"/>
      <c r="AN18" s="54">
        <v>30902</v>
      </c>
      <c r="AO18" s="55"/>
      <c r="AP18" s="60">
        <v>28513</v>
      </c>
      <c r="AQ18" s="55"/>
      <c r="AR18" s="54">
        <v>6680248</v>
      </c>
      <c r="AS18" s="55"/>
      <c r="AT18" s="59">
        <v>197632189</v>
      </c>
      <c r="AU18" s="51" t="s">
        <v>532</v>
      </c>
      <c r="AV18" s="61">
        <v>400.4</v>
      </c>
      <c r="AW18" s="51" t="s">
        <v>21</v>
      </c>
      <c r="AX18" s="51" t="s">
        <v>533</v>
      </c>
    </row>
    <row r="19" spans="1:50">
      <c r="A19" s="51" t="s">
        <v>548</v>
      </c>
      <c r="B19" s="51" t="s">
        <v>549</v>
      </c>
      <c r="C19" s="51" t="s">
        <v>550</v>
      </c>
      <c r="D19" s="52">
        <v>4034</v>
      </c>
      <c r="E19" s="53">
        <v>40034</v>
      </c>
      <c r="F19" s="51" t="s">
        <v>551</v>
      </c>
      <c r="G19" s="51" t="s">
        <v>511</v>
      </c>
      <c r="H19" s="54">
        <v>5502379</v>
      </c>
      <c r="I19" s="55">
        <v>1452</v>
      </c>
      <c r="J19" s="51" t="s">
        <v>512</v>
      </c>
      <c r="K19" s="51" t="s">
        <v>513</v>
      </c>
      <c r="L19" s="56">
        <v>76</v>
      </c>
      <c r="M19" s="51"/>
      <c r="N19" s="57">
        <v>18</v>
      </c>
      <c r="O19" s="55"/>
      <c r="P19" s="58">
        <v>21.7622</v>
      </c>
      <c r="Q19" s="55"/>
      <c r="R19" s="58">
        <v>7.3830999999999998</v>
      </c>
      <c r="S19" s="55" t="s">
        <v>532</v>
      </c>
      <c r="T19" s="58">
        <v>35.960099999999997</v>
      </c>
      <c r="U19" s="55"/>
      <c r="V19" s="54">
        <v>7212362</v>
      </c>
      <c r="W19" s="55"/>
      <c r="X19" s="59">
        <v>7598157</v>
      </c>
      <c r="Y19" s="55"/>
      <c r="Z19" s="54">
        <v>7178627</v>
      </c>
      <c r="AA19" s="55"/>
      <c r="AB19" s="54">
        <v>419530</v>
      </c>
      <c r="AC19" s="55"/>
      <c r="AD19" s="54">
        <v>362201</v>
      </c>
      <c r="AE19" s="55"/>
      <c r="AF19" s="54">
        <v>329867</v>
      </c>
      <c r="AG19" s="55"/>
      <c r="AH19" s="54">
        <v>32334</v>
      </c>
      <c r="AI19" s="55"/>
      <c r="AJ19" s="54">
        <v>1899556</v>
      </c>
      <c r="AK19" s="55"/>
      <c r="AL19" s="54">
        <v>1794673</v>
      </c>
      <c r="AM19" s="55"/>
      <c r="AN19" s="54">
        <v>90549</v>
      </c>
      <c r="AO19" s="55"/>
      <c r="AP19" s="60">
        <v>82465</v>
      </c>
      <c r="AQ19" s="55"/>
      <c r="AR19" s="54">
        <v>11862059</v>
      </c>
      <c r="AS19" s="55"/>
      <c r="AT19" s="59">
        <v>87578321</v>
      </c>
      <c r="AU19" s="51" t="s">
        <v>532</v>
      </c>
      <c r="AV19" s="61">
        <v>49.84</v>
      </c>
      <c r="AW19" s="51" t="s">
        <v>21</v>
      </c>
      <c r="AX19" s="51" t="s">
        <v>533</v>
      </c>
    </row>
    <row r="20" spans="1:50">
      <c r="A20" s="51" t="s">
        <v>552</v>
      </c>
      <c r="B20" s="51" t="s">
        <v>553</v>
      </c>
      <c r="C20" s="51" t="s">
        <v>554</v>
      </c>
      <c r="D20" s="52">
        <v>8006</v>
      </c>
      <c r="E20" s="53">
        <v>80006</v>
      </c>
      <c r="F20" s="51" t="s">
        <v>525</v>
      </c>
      <c r="G20" s="51" t="s">
        <v>511</v>
      </c>
      <c r="H20" s="54">
        <v>2374203</v>
      </c>
      <c r="I20" s="55">
        <v>1431</v>
      </c>
      <c r="J20" s="51" t="s">
        <v>519</v>
      </c>
      <c r="K20" s="51" t="s">
        <v>513</v>
      </c>
      <c r="L20" s="56">
        <v>156</v>
      </c>
      <c r="M20" s="51"/>
      <c r="N20" s="57">
        <v>41</v>
      </c>
      <c r="O20" s="55"/>
      <c r="P20" s="58">
        <v>17.200199999999999</v>
      </c>
      <c r="Q20" s="55"/>
      <c r="R20" s="58">
        <v>6.9672999999999998</v>
      </c>
      <c r="S20" s="55"/>
      <c r="T20" s="58">
        <v>19.858599999999999</v>
      </c>
      <c r="U20" s="55"/>
      <c r="V20" s="54">
        <v>9004264</v>
      </c>
      <c r="W20" s="55"/>
      <c r="X20" s="59">
        <v>9327859</v>
      </c>
      <c r="Y20" s="55"/>
      <c r="Z20" s="54">
        <v>9063803</v>
      </c>
      <c r="AA20" s="55"/>
      <c r="AB20" s="54">
        <v>264056</v>
      </c>
      <c r="AC20" s="55"/>
      <c r="AD20" s="54">
        <v>590892</v>
      </c>
      <c r="AE20" s="55"/>
      <c r="AF20" s="54">
        <v>526960</v>
      </c>
      <c r="AG20" s="55"/>
      <c r="AH20" s="54">
        <v>63932</v>
      </c>
      <c r="AI20" s="55"/>
      <c r="AJ20" s="54">
        <v>3900081</v>
      </c>
      <c r="AK20" s="55"/>
      <c r="AL20" s="54">
        <v>3745938</v>
      </c>
      <c r="AM20" s="55"/>
      <c r="AN20" s="54">
        <v>267096</v>
      </c>
      <c r="AO20" s="55"/>
      <c r="AP20" s="60">
        <v>226007</v>
      </c>
      <c r="AQ20" s="55"/>
      <c r="AR20" s="54">
        <v>10464678</v>
      </c>
      <c r="AS20" s="55"/>
      <c r="AT20" s="59">
        <v>72910951</v>
      </c>
      <c r="AU20" s="51"/>
      <c r="AV20" s="61">
        <v>119.78</v>
      </c>
      <c r="AW20" s="51" t="s">
        <v>21</v>
      </c>
      <c r="AX20" s="51" t="s">
        <v>514</v>
      </c>
    </row>
    <row r="21" spans="1:50">
      <c r="A21" s="51" t="s">
        <v>552</v>
      </c>
      <c r="B21" s="51" t="s">
        <v>553</v>
      </c>
      <c r="C21" s="51" t="s">
        <v>554</v>
      </c>
      <c r="D21" s="52">
        <v>8006</v>
      </c>
      <c r="E21" s="53">
        <v>80006</v>
      </c>
      <c r="F21" s="51" t="s">
        <v>525</v>
      </c>
      <c r="G21" s="51" t="s">
        <v>511</v>
      </c>
      <c r="H21" s="54">
        <v>2374203</v>
      </c>
      <c r="I21" s="55">
        <v>1431</v>
      </c>
      <c r="J21" s="51" t="s">
        <v>521</v>
      </c>
      <c r="K21" s="51" t="s">
        <v>520</v>
      </c>
      <c r="L21" s="56">
        <v>44</v>
      </c>
      <c r="M21" s="51"/>
      <c r="N21" s="57">
        <v>12</v>
      </c>
      <c r="O21" s="55"/>
      <c r="P21" s="58">
        <v>27.563099999999999</v>
      </c>
      <c r="Q21" s="55"/>
      <c r="R21" s="58">
        <v>11.5166</v>
      </c>
      <c r="S21" s="55"/>
      <c r="T21" s="58">
        <v>21.7837</v>
      </c>
      <c r="U21" s="55"/>
      <c r="V21" s="54">
        <v>6222945</v>
      </c>
      <c r="W21" s="55"/>
      <c r="X21" s="59">
        <v>6197643</v>
      </c>
      <c r="Y21" s="55"/>
      <c r="Z21" s="54">
        <v>6048702</v>
      </c>
      <c r="AA21" s="55"/>
      <c r="AB21" s="54">
        <v>148941</v>
      </c>
      <c r="AC21" s="55"/>
      <c r="AD21" s="54">
        <v>228257</v>
      </c>
      <c r="AE21" s="55"/>
      <c r="AF21" s="54">
        <v>219449</v>
      </c>
      <c r="AG21" s="55"/>
      <c r="AH21" s="54">
        <v>8808</v>
      </c>
      <c r="AI21" s="55"/>
      <c r="AJ21" s="54">
        <v>2010537</v>
      </c>
      <c r="AK21" s="55"/>
      <c r="AL21" s="54">
        <v>1917204</v>
      </c>
      <c r="AM21" s="55"/>
      <c r="AN21" s="54">
        <v>74540</v>
      </c>
      <c r="AO21" s="55"/>
      <c r="AP21" s="60">
        <v>70293</v>
      </c>
      <c r="AQ21" s="55"/>
      <c r="AR21" s="54">
        <v>4780402</v>
      </c>
      <c r="AS21" s="55"/>
      <c r="AT21" s="59">
        <v>55053882</v>
      </c>
      <c r="AU21" s="51"/>
      <c r="AV21" s="61">
        <v>72.760000000000005</v>
      </c>
      <c r="AW21" s="51" t="s">
        <v>21</v>
      </c>
      <c r="AX21" s="51" t="s">
        <v>514</v>
      </c>
    </row>
    <row r="22" spans="1:50">
      <c r="A22" s="51" t="s">
        <v>552</v>
      </c>
      <c r="B22" s="51" t="s">
        <v>553</v>
      </c>
      <c r="C22" s="51" t="s">
        <v>554</v>
      </c>
      <c r="D22" s="52">
        <v>8006</v>
      </c>
      <c r="E22" s="53">
        <v>80006</v>
      </c>
      <c r="F22" s="51" t="s">
        <v>525</v>
      </c>
      <c r="G22" s="51" t="s">
        <v>511</v>
      </c>
      <c r="H22" s="54">
        <v>2374203</v>
      </c>
      <c r="I22" s="55">
        <v>1431</v>
      </c>
      <c r="J22" s="51" t="s">
        <v>521</v>
      </c>
      <c r="K22" s="51" t="s">
        <v>513</v>
      </c>
      <c r="L22" s="56">
        <v>8</v>
      </c>
      <c r="M22" s="51"/>
      <c r="N22" s="57">
        <v>3</v>
      </c>
      <c r="O22" s="55"/>
      <c r="P22" s="58">
        <v>20.484200000000001</v>
      </c>
      <c r="Q22" s="55"/>
      <c r="R22" s="58">
        <v>8.6130999999999993</v>
      </c>
      <c r="S22" s="55"/>
      <c r="T22" s="58">
        <v>18.016100000000002</v>
      </c>
      <c r="U22" s="55"/>
      <c r="V22" s="54">
        <v>203262</v>
      </c>
      <c r="W22" s="55"/>
      <c r="X22" s="59">
        <v>223786</v>
      </c>
      <c r="Y22" s="55"/>
      <c r="Z22" s="54">
        <v>197570</v>
      </c>
      <c r="AA22" s="55"/>
      <c r="AB22" s="54">
        <v>26216</v>
      </c>
      <c r="AC22" s="55"/>
      <c r="AD22" s="54">
        <v>12511</v>
      </c>
      <c r="AE22" s="55"/>
      <c r="AF22" s="54">
        <v>9645</v>
      </c>
      <c r="AG22" s="55"/>
      <c r="AH22" s="54">
        <v>2866</v>
      </c>
      <c r="AI22" s="55"/>
      <c r="AJ22" s="54">
        <v>115030</v>
      </c>
      <c r="AK22" s="55"/>
      <c r="AL22" s="54">
        <v>98743</v>
      </c>
      <c r="AM22" s="55"/>
      <c r="AN22" s="54">
        <v>6243</v>
      </c>
      <c r="AO22" s="55"/>
      <c r="AP22" s="60">
        <v>4937</v>
      </c>
      <c r="AQ22" s="55"/>
      <c r="AR22" s="54">
        <v>173765</v>
      </c>
      <c r="AS22" s="55"/>
      <c r="AT22" s="59">
        <v>1496661</v>
      </c>
      <c r="AU22" s="51"/>
      <c r="AV22" s="61">
        <v>26.32</v>
      </c>
      <c r="AW22" s="51" t="s">
        <v>21</v>
      </c>
      <c r="AX22" s="51" t="s">
        <v>514</v>
      </c>
    </row>
    <row r="23" spans="1:50">
      <c r="A23" s="51" t="s">
        <v>555</v>
      </c>
      <c r="B23" s="51" t="s">
        <v>556</v>
      </c>
      <c r="C23" s="51" t="s">
        <v>509</v>
      </c>
      <c r="D23" s="52">
        <v>2078</v>
      </c>
      <c r="E23" s="53">
        <v>20078</v>
      </c>
      <c r="F23" s="51" t="s">
        <v>510</v>
      </c>
      <c r="G23" s="51" t="s">
        <v>511</v>
      </c>
      <c r="H23" s="54">
        <v>18351295</v>
      </c>
      <c r="I23" s="55">
        <v>1133</v>
      </c>
      <c r="J23" s="51" t="s">
        <v>521</v>
      </c>
      <c r="K23" s="51" t="s">
        <v>513</v>
      </c>
      <c r="L23" s="56">
        <v>1122</v>
      </c>
      <c r="M23" s="51"/>
      <c r="N23" s="57">
        <v>135</v>
      </c>
      <c r="O23" s="55"/>
      <c r="P23" s="58">
        <v>31.299700000000001</v>
      </c>
      <c r="Q23" s="55"/>
      <c r="R23" s="58">
        <v>22.852399999999999</v>
      </c>
      <c r="S23" s="55" t="s">
        <v>532</v>
      </c>
      <c r="T23" s="58">
        <v>18.882400000000001</v>
      </c>
      <c r="U23" s="55"/>
      <c r="V23" s="54">
        <v>47488237</v>
      </c>
      <c r="W23" s="55"/>
      <c r="X23" s="59">
        <v>53139671</v>
      </c>
      <c r="Y23" s="55"/>
      <c r="Z23" s="54">
        <v>48719168</v>
      </c>
      <c r="AA23" s="55"/>
      <c r="AB23" s="54">
        <v>4420503</v>
      </c>
      <c r="AC23" s="55"/>
      <c r="AD23" s="54">
        <v>1709469</v>
      </c>
      <c r="AE23" s="55"/>
      <c r="AF23" s="54">
        <v>1556539</v>
      </c>
      <c r="AG23" s="55"/>
      <c r="AH23" s="54">
        <v>152930</v>
      </c>
      <c r="AI23" s="55"/>
      <c r="AJ23" s="54">
        <v>7201726</v>
      </c>
      <c r="AK23" s="55"/>
      <c r="AL23" s="54">
        <v>6564652</v>
      </c>
      <c r="AM23" s="55"/>
      <c r="AN23" s="54">
        <v>225218</v>
      </c>
      <c r="AO23" s="55"/>
      <c r="AP23" s="60">
        <v>203440</v>
      </c>
      <c r="AQ23" s="55"/>
      <c r="AR23" s="54">
        <v>29391259</v>
      </c>
      <c r="AS23" s="55"/>
      <c r="AT23" s="59">
        <v>671661254</v>
      </c>
      <c r="AU23" s="51" t="s">
        <v>532</v>
      </c>
      <c r="AV23" s="61">
        <v>545.74</v>
      </c>
      <c r="AW23" s="51" t="s">
        <v>21</v>
      </c>
      <c r="AX23" s="51" t="s">
        <v>533</v>
      </c>
    </row>
    <row r="24" spans="1:50">
      <c r="A24" s="51" t="s">
        <v>557</v>
      </c>
      <c r="B24" s="51" t="s">
        <v>558</v>
      </c>
      <c r="C24" s="51" t="s">
        <v>543</v>
      </c>
      <c r="D24" s="52">
        <v>6056</v>
      </c>
      <c r="E24" s="53">
        <v>60056</v>
      </c>
      <c r="F24" s="51" t="s">
        <v>525</v>
      </c>
      <c r="G24" s="51" t="s">
        <v>511</v>
      </c>
      <c r="H24" s="54">
        <v>5121892</v>
      </c>
      <c r="I24" s="55">
        <v>1082</v>
      </c>
      <c r="J24" s="51" t="s">
        <v>519</v>
      </c>
      <c r="K24" s="51" t="s">
        <v>513</v>
      </c>
      <c r="L24" s="56">
        <v>117</v>
      </c>
      <c r="M24" s="51"/>
      <c r="N24" s="57">
        <v>44</v>
      </c>
      <c r="O24" s="55"/>
      <c r="P24" s="58">
        <v>20.510100000000001</v>
      </c>
      <c r="Q24" s="55"/>
      <c r="R24" s="58">
        <v>8.1821999999999999</v>
      </c>
      <c r="S24" s="55"/>
      <c r="T24" s="58">
        <v>41.742400000000004</v>
      </c>
      <c r="U24" s="55"/>
      <c r="V24" s="54">
        <v>9953657</v>
      </c>
      <c r="W24" s="55"/>
      <c r="X24" s="59">
        <v>9937246</v>
      </c>
      <c r="Y24" s="55"/>
      <c r="Z24" s="54">
        <v>9866803</v>
      </c>
      <c r="AA24" s="55"/>
      <c r="AB24" s="54">
        <v>70443</v>
      </c>
      <c r="AC24" s="55"/>
      <c r="AD24" s="54">
        <v>486886</v>
      </c>
      <c r="AE24" s="55"/>
      <c r="AF24" s="54">
        <v>481071</v>
      </c>
      <c r="AG24" s="55"/>
      <c r="AH24" s="54">
        <v>5815</v>
      </c>
      <c r="AI24" s="55"/>
      <c r="AJ24" s="54">
        <v>5348975</v>
      </c>
      <c r="AK24" s="55"/>
      <c r="AL24" s="54">
        <v>5310292</v>
      </c>
      <c r="AM24" s="55"/>
      <c r="AN24" s="54">
        <v>261692</v>
      </c>
      <c r="AO24" s="55"/>
      <c r="AP24" s="60">
        <v>258495</v>
      </c>
      <c r="AQ24" s="55"/>
      <c r="AR24" s="54">
        <v>20081036</v>
      </c>
      <c r="AS24" s="55"/>
      <c r="AT24" s="59">
        <v>164306746</v>
      </c>
      <c r="AU24" s="51"/>
      <c r="AV24" s="61">
        <v>182.44</v>
      </c>
      <c r="AW24" s="51" t="s">
        <v>21</v>
      </c>
      <c r="AX24" s="51" t="s">
        <v>514</v>
      </c>
    </row>
    <row r="25" spans="1:50">
      <c r="A25" s="51" t="s">
        <v>557</v>
      </c>
      <c r="B25" s="51" t="s">
        <v>558</v>
      </c>
      <c r="C25" s="51" t="s">
        <v>543</v>
      </c>
      <c r="D25" s="52">
        <v>6056</v>
      </c>
      <c r="E25" s="53">
        <v>60056</v>
      </c>
      <c r="F25" s="51" t="s">
        <v>525</v>
      </c>
      <c r="G25" s="51" t="s">
        <v>511</v>
      </c>
      <c r="H25" s="54">
        <v>5121892</v>
      </c>
      <c r="I25" s="55">
        <v>1082</v>
      </c>
      <c r="J25" s="51" t="s">
        <v>521</v>
      </c>
      <c r="K25" s="51" t="s">
        <v>520</v>
      </c>
      <c r="L25" s="56">
        <v>23</v>
      </c>
      <c r="M25" s="51"/>
      <c r="N25" s="57">
        <v>3</v>
      </c>
      <c r="O25" s="55"/>
      <c r="P25" s="58">
        <v>22.474</v>
      </c>
      <c r="Q25" s="55"/>
      <c r="R25" s="58">
        <v>17.300799999999999</v>
      </c>
      <c r="S25" s="55"/>
      <c r="T25" s="58">
        <v>20.252400000000002</v>
      </c>
      <c r="U25" s="55"/>
      <c r="V25" s="54">
        <v>1390207</v>
      </c>
      <c r="W25" s="55"/>
      <c r="X25" s="59">
        <v>1437340</v>
      </c>
      <c r="Y25" s="55"/>
      <c r="Z25" s="54">
        <v>1404961</v>
      </c>
      <c r="AA25" s="55"/>
      <c r="AB25" s="54">
        <v>32379</v>
      </c>
      <c r="AC25" s="55"/>
      <c r="AD25" s="54">
        <v>63773</v>
      </c>
      <c r="AE25" s="55"/>
      <c r="AF25" s="54">
        <v>62515</v>
      </c>
      <c r="AG25" s="55"/>
      <c r="AH25" s="54">
        <v>1258</v>
      </c>
      <c r="AI25" s="55"/>
      <c r="AJ25" s="54">
        <v>506768</v>
      </c>
      <c r="AK25" s="55"/>
      <c r="AL25" s="54">
        <v>495677</v>
      </c>
      <c r="AM25" s="55"/>
      <c r="AN25" s="54">
        <v>22535</v>
      </c>
      <c r="AO25" s="55"/>
      <c r="AP25" s="60">
        <v>22090</v>
      </c>
      <c r="AQ25" s="55"/>
      <c r="AR25" s="54">
        <v>1266076</v>
      </c>
      <c r="AS25" s="55"/>
      <c r="AT25" s="59">
        <v>21904126</v>
      </c>
      <c r="AU25" s="51"/>
      <c r="AV25" s="61">
        <v>72.3</v>
      </c>
      <c r="AW25" s="51" t="s">
        <v>21</v>
      </c>
      <c r="AX25" s="51" t="s">
        <v>514</v>
      </c>
    </row>
    <row r="26" spans="1:50">
      <c r="A26" s="51" t="s">
        <v>559</v>
      </c>
      <c r="B26" s="51" t="s">
        <v>560</v>
      </c>
      <c r="C26" s="51" t="s">
        <v>561</v>
      </c>
      <c r="D26" s="52">
        <v>8001</v>
      </c>
      <c r="E26" s="53">
        <v>80001</v>
      </c>
      <c r="F26" s="51" t="s">
        <v>525</v>
      </c>
      <c r="G26" s="51" t="s">
        <v>511</v>
      </c>
      <c r="H26" s="54">
        <v>1021243</v>
      </c>
      <c r="I26" s="55">
        <v>1081</v>
      </c>
      <c r="J26" s="51" t="s">
        <v>519</v>
      </c>
      <c r="K26" s="51" t="s">
        <v>513</v>
      </c>
      <c r="L26" s="56">
        <v>89</v>
      </c>
      <c r="M26" s="51"/>
      <c r="N26" s="57">
        <v>22</v>
      </c>
      <c r="O26" s="55"/>
      <c r="P26" s="58">
        <v>17.192799999999998</v>
      </c>
      <c r="Q26" s="55"/>
      <c r="R26" s="58">
        <v>4.7436999999999996</v>
      </c>
      <c r="S26" s="55"/>
      <c r="T26" s="58">
        <v>23.191400000000002</v>
      </c>
      <c r="U26" s="55"/>
      <c r="V26" s="54">
        <v>6112222</v>
      </c>
      <c r="W26" s="55"/>
      <c r="X26" s="59">
        <v>6204641</v>
      </c>
      <c r="Y26" s="55"/>
      <c r="Z26" s="54">
        <v>6114108</v>
      </c>
      <c r="AA26" s="55"/>
      <c r="AB26" s="54">
        <v>90533</v>
      </c>
      <c r="AC26" s="55"/>
      <c r="AD26" s="54">
        <v>367255</v>
      </c>
      <c r="AE26" s="55"/>
      <c r="AF26" s="54">
        <v>355621</v>
      </c>
      <c r="AG26" s="55"/>
      <c r="AH26" s="54">
        <v>11634</v>
      </c>
      <c r="AI26" s="55"/>
      <c r="AJ26" s="54">
        <v>2255583</v>
      </c>
      <c r="AK26" s="55"/>
      <c r="AL26" s="54">
        <v>2223959</v>
      </c>
      <c r="AM26" s="55"/>
      <c r="AN26" s="54">
        <v>136213</v>
      </c>
      <c r="AO26" s="55"/>
      <c r="AP26" s="60">
        <v>131989</v>
      </c>
      <c r="AQ26" s="55"/>
      <c r="AR26" s="54">
        <v>8247364</v>
      </c>
      <c r="AS26" s="55"/>
      <c r="AT26" s="59">
        <v>39122864</v>
      </c>
      <c r="AU26" s="51"/>
      <c r="AV26" s="61">
        <v>93.91</v>
      </c>
      <c r="AW26" s="51" t="s">
        <v>21</v>
      </c>
      <c r="AX26" s="51" t="s">
        <v>514</v>
      </c>
    </row>
    <row r="27" spans="1:50">
      <c r="A27" s="51" t="s">
        <v>559</v>
      </c>
      <c r="B27" s="51" t="s">
        <v>560</v>
      </c>
      <c r="C27" s="51" t="s">
        <v>561</v>
      </c>
      <c r="D27" s="52">
        <v>8001</v>
      </c>
      <c r="E27" s="53">
        <v>80001</v>
      </c>
      <c r="F27" s="51" t="s">
        <v>525</v>
      </c>
      <c r="G27" s="51" t="s">
        <v>511</v>
      </c>
      <c r="H27" s="54">
        <v>1021243</v>
      </c>
      <c r="I27" s="55">
        <v>1081</v>
      </c>
      <c r="J27" s="51" t="s">
        <v>521</v>
      </c>
      <c r="K27" s="51" t="s">
        <v>513</v>
      </c>
      <c r="L27" s="56">
        <v>50</v>
      </c>
      <c r="M27" s="51"/>
      <c r="N27" s="57">
        <v>9</v>
      </c>
      <c r="O27" s="55"/>
      <c r="P27" s="58">
        <v>32.473599999999998</v>
      </c>
      <c r="Q27" s="55"/>
      <c r="R27" s="58">
        <v>25.643899999999999</v>
      </c>
      <c r="S27" s="55"/>
      <c r="T27" s="58">
        <v>16.274799999999999</v>
      </c>
      <c r="U27" s="55"/>
      <c r="V27" s="54">
        <v>4053946</v>
      </c>
      <c r="W27" s="55"/>
      <c r="X27" s="59">
        <v>4051779</v>
      </c>
      <c r="Y27" s="55"/>
      <c r="Z27" s="54">
        <v>4039581</v>
      </c>
      <c r="AA27" s="55"/>
      <c r="AB27" s="54">
        <v>12198</v>
      </c>
      <c r="AC27" s="55"/>
      <c r="AD27" s="54">
        <v>128674</v>
      </c>
      <c r="AE27" s="55"/>
      <c r="AF27" s="54">
        <v>124396</v>
      </c>
      <c r="AG27" s="55"/>
      <c r="AH27" s="54">
        <v>4278</v>
      </c>
      <c r="AI27" s="55"/>
      <c r="AJ27" s="54">
        <v>1067699</v>
      </c>
      <c r="AK27" s="55"/>
      <c r="AL27" s="54">
        <v>1064546</v>
      </c>
      <c r="AM27" s="55"/>
      <c r="AN27" s="54">
        <v>33846</v>
      </c>
      <c r="AO27" s="55"/>
      <c r="AP27" s="60">
        <v>32741</v>
      </c>
      <c r="AQ27" s="55"/>
      <c r="AR27" s="54">
        <v>2024524</v>
      </c>
      <c r="AS27" s="55"/>
      <c r="AT27" s="59">
        <v>51916777</v>
      </c>
      <c r="AU27" s="51"/>
      <c r="AV27" s="61">
        <v>174.46</v>
      </c>
      <c r="AW27" s="51" t="s">
        <v>21</v>
      </c>
      <c r="AX27" s="51" t="s">
        <v>514</v>
      </c>
    </row>
    <row r="28" spans="1:50">
      <c r="A28" s="51" t="s">
        <v>562</v>
      </c>
      <c r="B28" s="51" t="s">
        <v>530</v>
      </c>
      <c r="C28" s="51" t="s">
        <v>531</v>
      </c>
      <c r="D28" s="52">
        <v>5118</v>
      </c>
      <c r="E28" s="53">
        <v>50118</v>
      </c>
      <c r="F28" s="51" t="s">
        <v>525</v>
      </c>
      <c r="G28" s="51" t="s">
        <v>511</v>
      </c>
      <c r="H28" s="54">
        <v>8608208</v>
      </c>
      <c r="I28" s="55">
        <v>1066</v>
      </c>
      <c r="J28" s="51" t="s">
        <v>521</v>
      </c>
      <c r="K28" s="51" t="s">
        <v>520</v>
      </c>
      <c r="L28" s="56">
        <v>527</v>
      </c>
      <c r="M28" s="51"/>
      <c r="N28" s="57">
        <v>40</v>
      </c>
      <c r="O28" s="55"/>
      <c r="P28" s="58">
        <v>30.932500000000001</v>
      </c>
      <c r="Q28" s="55"/>
      <c r="R28" s="58">
        <v>21.712499999999999</v>
      </c>
      <c r="S28" s="55"/>
      <c r="T28" s="58">
        <v>18.979099999999999</v>
      </c>
      <c r="U28" s="55"/>
      <c r="V28" s="54">
        <v>16284231</v>
      </c>
      <c r="W28" s="55"/>
      <c r="X28" s="59">
        <v>16302662</v>
      </c>
      <c r="Y28" s="55"/>
      <c r="Z28" s="54">
        <v>15388572</v>
      </c>
      <c r="AA28" s="55"/>
      <c r="AB28" s="54">
        <v>914090</v>
      </c>
      <c r="AC28" s="55"/>
      <c r="AD28" s="54">
        <v>520340</v>
      </c>
      <c r="AE28" s="55"/>
      <c r="AF28" s="54">
        <v>497488</v>
      </c>
      <c r="AG28" s="55"/>
      <c r="AH28" s="54">
        <v>22852</v>
      </c>
      <c r="AI28" s="55"/>
      <c r="AJ28" s="54">
        <v>2394714</v>
      </c>
      <c r="AK28" s="55"/>
      <c r="AL28" s="54">
        <v>2258067</v>
      </c>
      <c r="AM28" s="55"/>
      <c r="AN28" s="54">
        <v>76862</v>
      </c>
      <c r="AO28" s="55"/>
      <c r="AP28" s="60">
        <v>73504</v>
      </c>
      <c r="AQ28" s="55"/>
      <c r="AR28" s="54">
        <v>9441882</v>
      </c>
      <c r="AS28" s="55"/>
      <c r="AT28" s="59">
        <v>205006670</v>
      </c>
      <c r="AU28" s="51"/>
      <c r="AV28" s="61">
        <v>399.6</v>
      </c>
      <c r="AW28" s="51" t="s">
        <v>21</v>
      </c>
      <c r="AX28" s="51" t="s">
        <v>514</v>
      </c>
    </row>
    <row r="29" spans="1:50">
      <c r="A29" s="51" t="s">
        <v>562</v>
      </c>
      <c r="B29" s="51" t="s">
        <v>530</v>
      </c>
      <c r="C29" s="51" t="s">
        <v>531</v>
      </c>
      <c r="D29" s="52">
        <v>5118</v>
      </c>
      <c r="E29" s="53">
        <v>50118</v>
      </c>
      <c r="F29" s="51" t="s">
        <v>525</v>
      </c>
      <c r="G29" s="51" t="s">
        <v>511</v>
      </c>
      <c r="H29" s="54">
        <v>8608208</v>
      </c>
      <c r="I29" s="55">
        <v>1066</v>
      </c>
      <c r="J29" s="51" t="s">
        <v>521</v>
      </c>
      <c r="K29" s="51" t="s">
        <v>513</v>
      </c>
      <c r="L29" s="56">
        <v>539</v>
      </c>
      <c r="M29" s="51"/>
      <c r="N29" s="57">
        <v>53</v>
      </c>
      <c r="O29" s="55"/>
      <c r="P29" s="58">
        <v>29.0824</v>
      </c>
      <c r="Q29" s="55"/>
      <c r="R29" s="58">
        <v>21.172499999999999</v>
      </c>
      <c r="S29" s="55"/>
      <c r="T29" s="58">
        <v>13.8796</v>
      </c>
      <c r="U29" s="55"/>
      <c r="V29" s="54">
        <v>16028080</v>
      </c>
      <c r="W29" s="55"/>
      <c r="X29" s="59">
        <v>15585872</v>
      </c>
      <c r="Y29" s="55"/>
      <c r="Z29" s="54">
        <v>15273179</v>
      </c>
      <c r="AA29" s="55"/>
      <c r="AB29" s="54">
        <v>312693</v>
      </c>
      <c r="AC29" s="55"/>
      <c r="AD29" s="54">
        <v>535954</v>
      </c>
      <c r="AE29" s="55"/>
      <c r="AF29" s="54">
        <v>525169</v>
      </c>
      <c r="AG29" s="55"/>
      <c r="AH29" s="54">
        <v>10785</v>
      </c>
      <c r="AI29" s="55"/>
      <c r="AJ29" s="54">
        <v>2545102</v>
      </c>
      <c r="AK29" s="55"/>
      <c r="AL29" s="54">
        <v>2494601</v>
      </c>
      <c r="AM29" s="55"/>
      <c r="AN29" s="54">
        <v>89035</v>
      </c>
      <c r="AO29" s="55"/>
      <c r="AP29" s="60">
        <v>87312</v>
      </c>
      <c r="AQ29" s="55"/>
      <c r="AR29" s="54">
        <v>7289149</v>
      </c>
      <c r="AS29" s="55"/>
      <c r="AT29" s="59">
        <v>154329520</v>
      </c>
      <c r="AU29" s="51"/>
      <c r="AV29" s="61">
        <v>575.4</v>
      </c>
      <c r="AW29" s="51" t="s">
        <v>21</v>
      </c>
      <c r="AX29" s="51" t="s">
        <v>514</v>
      </c>
    </row>
    <row r="30" spans="1:50">
      <c r="A30" s="51" t="s">
        <v>563</v>
      </c>
      <c r="B30" s="51" t="s">
        <v>564</v>
      </c>
      <c r="C30" s="51" t="s">
        <v>509</v>
      </c>
      <c r="D30" s="52">
        <v>2100</v>
      </c>
      <c r="E30" s="53">
        <v>20100</v>
      </c>
      <c r="F30" s="51" t="s">
        <v>510</v>
      </c>
      <c r="G30" s="51" t="s">
        <v>511</v>
      </c>
      <c r="H30" s="54">
        <v>18351295</v>
      </c>
      <c r="I30" s="55">
        <v>1022</v>
      </c>
      <c r="J30" s="51" t="s">
        <v>521</v>
      </c>
      <c r="K30" s="51" t="s">
        <v>513</v>
      </c>
      <c r="L30" s="56">
        <v>1022</v>
      </c>
      <c r="M30" s="51"/>
      <c r="N30" s="57">
        <v>107</v>
      </c>
      <c r="O30" s="55"/>
      <c r="P30" s="58">
        <v>29.212299999999999</v>
      </c>
      <c r="Q30" s="55"/>
      <c r="R30" s="58">
        <v>28.269200000000001</v>
      </c>
      <c r="S30" s="55" t="s">
        <v>532</v>
      </c>
      <c r="T30" s="58">
        <v>20.565999999999999</v>
      </c>
      <c r="U30" s="55" t="s">
        <v>532</v>
      </c>
      <c r="V30" s="54">
        <v>61301708</v>
      </c>
      <c r="W30" s="55"/>
      <c r="X30" s="59">
        <v>68469245</v>
      </c>
      <c r="Y30" s="55"/>
      <c r="Z30" s="54">
        <v>61766650</v>
      </c>
      <c r="AA30" s="55"/>
      <c r="AB30" s="54">
        <v>6702595</v>
      </c>
      <c r="AC30" s="55"/>
      <c r="AD30" s="54">
        <v>2305899</v>
      </c>
      <c r="AE30" s="55"/>
      <c r="AF30" s="54">
        <v>2114409</v>
      </c>
      <c r="AG30" s="55"/>
      <c r="AH30" s="54">
        <v>191490</v>
      </c>
      <c r="AI30" s="55"/>
      <c r="AJ30" s="54">
        <v>7765181</v>
      </c>
      <c r="AK30" s="55"/>
      <c r="AL30" s="54">
        <v>6968685</v>
      </c>
      <c r="AM30" s="55"/>
      <c r="AN30" s="54">
        <v>266731</v>
      </c>
      <c r="AO30" s="55"/>
      <c r="AP30" s="60">
        <v>199752</v>
      </c>
      <c r="AQ30" s="55"/>
      <c r="AR30" s="54">
        <v>43484907</v>
      </c>
      <c r="AS30" s="55" t="s">
        <v>532</v>
      </c>
      <c r="AT30" s="59">
        <v>1229284540</v>
      </c>
      <c r="AU30" s="51" t="s">
        <v>532</v>
      </c>
      <c r="AV30" s="61">
        <v>638.20000000000005</v>
      </c>
      <c r="AW30" s="51" t="s">
        <v>21</v>
      </c>
      <c r="AX30" s="51" t="s">
        <v>533</v>
      </c>
    </row>
    <row r="31" spans="1:50">
      <c r="A31" s="51" t="s">
        <v>565</v>
      </c>
      <c r="B31" s="51" t="s">
        <v>566</v>
      </c>
      <c r="C31" s="51" t="s">
        <v>524</v>
      </c>
      <c r="D31" s="52">
        <v>9015</v>
      </c>
      <c r="E31" s="53">
        <v>90015</v>
      </c>
      <c r="F31" s="51" t="s">
        <v>551</v>
      </c>
      <c r="G31" s="51" t="s">
        <v>511</v>
      </c>
      <c r="H31" s="54">
        <v>3281212</v>
      </c>
      <c r="I31" s="55">
        <v>996</v>
      </c>
      <c r="J31" s="51" t="s">
        <v>519</v>
      </c>
      <c r="K31" s="51" t="s">
        <v>513</v>
      </c>
      <c r="L31" s="56">
        <v>149</v>
      </c>
      <c r="M31" s="51"/>
      <c r="N31" s="57">
        <v>141</v>
      </c>
      <c r="O31" s="55"/>
      <c r="P31" s="58">
        <v>9.4969999999999999</v>
      </c>
      <c r="Q31" s="55"/>
      <c r="R31" s="58">
        <v>2.7421000000000002</v>
      </c>
      <c r="S31" s="55"/>
      <c r="T31" s="58">
        <v>76.584800000000001</v>
      </c>
      <c r="U31" s="55"/>
      <c r="V31" s="54">
        <v>4944335</v>
      </c>
      <c r="W31" s="55"/>
      <c r="X31" s="59">
        <v>4660934</v>
      </c>
      <c r="Y31" s="55"/>
      <c r="Z31" s="54">
        <v>4640244</v>
      </c>
      <c r="AA31" s="55"/>
      <c r="AB31" s="54">
        <v>20690</v>
      </c>
      <c r="AC31" s="55"/>
      <c r="AD31" s="54">
        <v>491748</v>
      </c>
      <c r="AE31" s="55"/>
      <c r="AF31" s="54">
        <v>488601</v>
      </c>
      <c r="AG31" s="55"/>
      <c r="AH31" s="54">
        <v>3147</v>
      </c>
      <c r="AI31" s="55"/>
      <c r="AJ31" s="54">
        <v>3097363</v>
      </c>
      <c r="AK31" s="55"/>
      <c r="AL31" s="54">
        <v>3084167</v>
      </c>
      <c r="AM31" s="55"/>
      <c r="AN31" s="54">
        <v>326422</v>
      </c>
      <c r="AO31" s="55"/>
      <c r="AP31" s="60">
        <v>324323</v>
      </c>
      <c r="AQ31" s="55"/>
      <c r="AR31" s="54">
        <v>37419416</v>
      </c>
      <c r="AS31" s="55"/>
      <c r="AT31" s="59">
        <v>102607757</v>
      </c>
      <c r="AU31" s="51"/>
      <c r="AV31" s="61">
        <v>64.400000000000006</v>
      </c>
      <c r="AW31" s="51" t="s">
        <v>21</v>
      </c>
      <c r="AX31" s="51" t="s">
        <v>514</v>
      </c>
    </row>
    <row r="32" spans="1:50">
      <c r="A32" s="51" t="s">
        <v>567</v>
      </c>
      <c r="B32" s="51" t="s">
        <v>568</v>
      </c>
      <c r="C32" s="51" t="s">
        <v>569</v>
      </c>
      <c r="D32" s="52">
        <v>8</v>
      </c>
      <c r="E32" s="53">
        <v>8</v>
      </c>
      <c r="F32" s="51" t="s">
        <v>525</v>
      </c>
      <c r="G32" s="51" t="s">
        <v>511</v>
      </c>
      <c r="H32" s="54">
        <v>1849898</v>
      </c>
      <c r="I32" s="55">
        <v>982</v>
      </c>
      <c r="J32" s="51" t="s">
        <v>519</v>
      </c>
      <c r="K32" s="51" t="s">
        <v>513</v>
      </c>
      <c r="L32" s="56">
        <v>116</v>
      </c>
      <c r="M32" s="51"/>
      <c r="N32" s="57">
        <v>55</v>
      </c>
      <c r="O32" s="55"/>
      <c r="P32" s="58">
        <v>14.136900000000001</v>
      </c>
      <c r="Q32" s="55"/>
      <c r="R32" s="58">
        <v>5.2552000000000003</v>
      </c>
      <c r="S32" s="55"/>
      <c r="T32" s="58">
        <v>48.392400000000002</v>
      </c>
      <c r="U32" s="55"/>
      <c r="V32" s="54">
        <v>8977599</v>
      </c>
      <c r="W32" s="55"/>
      <c r="X32" s="59">
        <v>8981104</v>
      </c>
      <c r="Y32" s="55"/>
      <c r="Z32" s="54">
        <v>8864217</v>
      </c>
      <c r="AA32" s="55"/>
      <c r="AB32" s="54">
        <v>116887</v>
      </c>
      <c r="AC32" s="55"/>
      <c r="AD32" s="54">
        <v>636882</v>
      </c>
      <c r="AE32" s="55"/>
      <c r="AF32" s="54">
        <v>627025</v>
      </c>
      <c r="AG32" s="55"/>
      <c r="AH32" s="54">
        <v>9857</v>
      </c>
      <c r="AI32" s="55"/>
      <c r="AJ32" s="54">
        <v>4501055</v>
      </c>
      <c r="AK32" s="55"/>
      <c r="AL32" s="54">
        <v>4442373</v>
      </c>
      <c r="AM32" s="55"/>
      <c r="AN32" s="54">
        <v>319090</v>
      </c>
      <c r="AO32" s="55"/>
      <c r="AP32" s="60">
        <v>314140</v>
      </c>
      <c r="AQ32" s="55"/>
      <c r="AR32" s="54">
        <v>30343267</v>
      </c>
      <c r="AS32" s="55"/>
      <c r="AT32" s="59">
        <v>159458488</v>
      </c>
      <c r="AU32" s="51"/>
      <c r="AV32" s="61">
        <v>118.91</v>
      </c>
      <c r="AW32" s="51" t="s">
        <v>21</v>
      </c>
      <c r="AX32" s="51" t="s">
        <v>514</v>
      </c>
    </row>
    <row r="33" spans="1:50">
      <c r="A33" s="51" t="s">
        <v>570</v>
      </c>
      <c r="B33" s="51" t="s">
        <v>571</v>
      </c>
      <c r="C33" s="51" t="s">
        <v>572</v>
      </c>
      <c r="D33" s="52">
        <v>4022</v>
      </c>
      <c r="E33" s="53">
        <v>40022</v>
      </c>
      <c r="F33" s="51" t="s">
        <v>525</v>
      </c>
      <c r="G33" s="51" t="s">
        <v>511</v>
      </c>
      <c r="H33" s="54">
        <v>4515419</v>
      </c>
      <c r="I33" s="55">
        <v>943</v>
      </c>
      <c r="J33" s="51" t="s">
        <v>512</v>
      </c>
      <c r="K33" s="51" t="s">
        <v>513</v>
      </c>
      <c r="L33" s="56">
        <v>212</v>
      </c>
      <c r="M33" s="51"/>
      <c r="N33" s="57">
        <v>39</v>
      </c>
      <c r="O33" s="55"/>
      <c r="P33" s="58">
        <v>26.494</v>
      </c>
      <c r="Q33" s="55"/>
      <c r="R33" s="58">
        <v>7.2762000000000002</v>
      </c>
      <c r="S33" s="55"/>
      <c r="T33" s="58">
        <v>58.747300000000003</v>
      </c>
      <c r="U33" s="55"/>
      <c r="V33" s="54">
        <v>20499724</v>
      </c>
      <c r="W33" s="55"/>
      <c r="X33" s="59">
        <v>21145309</v>
      </c>
      <c r="Y33" s="55"/>
      <c r="Z33" s="54">
        <v>20430752</v>
      </c>
      <c r="AA33" s="55"/>
      <c r="AB33" s="54">
        <v>714557</v>
      </c>
      <c r="AC33" s="55"/>
      <c r="AD33" s="54">
        <v>794602</v>
      </c>
      <c r="AE33" s="55"/>
      <c r="AF33" s="54">
        <v>771146</v>
      </c>
      <c r="AG33" s="55"/>
      <c r="AH33" s="54">
        <v>23456</v>
      </c>
      <c r="AI33" s="55"/>
      <c r="AJ33" s="54">
        <v>3715370</v>
      </c>
      <c r="AK33" s="55"/>
      <c r="AL33" s="54">
        <v>3628801</v>
      </c>
      <c r="AM33" s="55"/>
      <c r="AN33" s="54">
        <v>143614</v>
      </c>
      <c r="AO33" s="55"/>
      <c r="AP33" s="60">
        <v>139086</v>
      </c>
      <c r="AQ33" s="55"/>
      <c r="AR33" s="54">
        <v>45302714</v>
      </c>
      <c r="AS33" s="55"/>
      <c r="AT33" s="59">
        <v>329631085</v>
      </c>
      <c r="AU33" s="51"/>
      <c r="AV33" s="61">
        <v>96.06</v>
      </c>
      <c r="AW33" s="51" t="s">
        <v>21</v>
      </c>
      <c r="AX33" s="51" t="s">
        <v>514</v>
      </c>
    </row>
    <row r="34" spans="1:50">
      <c r="A34" s="51" t="s">
        <v>573</v>
      </c>
      <c r="B34" s="51" t="s">
        <v>574</v>
      </c>
      <c r="C34" s="51" t="s">
        <v>540</v>
      </c>
      <c r="D34" s="52">
        <v>3022</v>
      </c>
      <c r="E34" s="53">
        <v>30022</v>
      </c>
      <c r="F34" s="51" t="s">
        <v>525</v>
      </c>
      <c r="G34" s="51" t="s">
        <v>511</v>
      </c>
      <c r="H34" s="54">
        <v>1733853</v>
      </c>
      <c r="I34" s="55">
        <v>930</v>
      </c>
      <c r="J34" s="51" t="s">
        <v>519</v>
      </c>
      <c r="K34" s="51" t="s">
        <v>513</v>
      </c>
      <c r="L34" s="56">
        <v>58</v>
      </c>
      <c r="M34" s="51"/>
      <c r="N34" s="57">
        <v>29</v>
      </c>
      <c r="O34" s="55"/>
      <c r="P34" s="58">
        <v>12.909700000000001</v>
      </c>
      <c r="Q34" s="55"/>
      <c r="R34" s="58">
        <v>4.0317999999999996</v>
      </c>
      <c r="S34" s="55"/>
      <c r="T34" s="58">
        <v>37.530500000000004</v>
      </c>
      <c r="U34" s="55"/>
      <c r="V34" s="54">
        <v>2027777</v>
      </c>
      <c r="W34" s="55"/>
      <c r="X34" s="59">
        <v>1999310</v>
      </c>
      <c r="Y34" s="55"/>
      <c r="Z34" s="54">
        <v>1916792</v>
      </c>
      <c r="AA34" s="55"/>
      <c r="AB34" s="54">
        <v>82518</v>
      </c>
      <c r="AC34" s="55"/>
      <c r="AD34" s="54">
        <v>155486</v>
      </c>
      <c r="AE34" s="55"/>
      <c r="AF34" s="54">
        <v>148477</v>
      </c>
      <c r="AG34" s="55"/>
      <c r="AH34" s="54">
        <v>7009</v>
      </c>
      <c r="AI34" s="55"/>
      <c r="AJ34" s="54">
        <v>1497766</v>
      </c>
      <c r="AK34" s="55"/>
      <c r="AL34" s="54">
        <v>1442245</v>
      </c>
      <c r="AM34" s="55"/>
      <c r="AN34" s="54">
        <v>116738</v>
      </c>
      <c r="AO34" s="55"/>
      <c r="AP34" s="60">
        <v>112071</v>
      </c>
      <c r="AQ34" s="55"/>
      <c r="AR34" s="54">
        <v>5572417</v>
      </c>
      <c r="AS34" s="55"/>
      <c r="AT34" s="59">
        <v>22466673</v>
      </c>
      <c r="AU34" s="51"/>
      <c r="AV34" s="61">
        <v>49.64</v>
      </c>
      <c r="AW34" s="51" t="s">
        <v>21</v>
      </c>
      <c r="AX34" s="51" t="s">
        <v>514</v>
      </c>
    </row>
    <row r="35" spans="1:50">
      <c r="A35" s="51" t="s">
        <v>575</v>
      </c>
      <c r="B35" s="51" t="s">
        <v>576</v>
      </c>
      <c r="C35" s="51" t="s">
        <v>524</v>
      </c>
      <c r="D35" s="52">
        <v>9026</v>
      </c>
      <c r="E35" s="53">
        <v>90026</v>
      </c>
      <c r="F35" s="51" t="s">
        <v>525</v>
      </c>
      <c r="G35" s="51" t="s">
        <v>511</v>
      </c>
      <c r="H35" s="54">
        <v>2956746</v>
      </c>
      <c r="I35" s="55">
        <v>906</v>
      </c>
      <c r="J35" s="51" t="s">
        <v>519</v>
      </c>
      <c r="K35" s="51" t="s">
        <v>513</v>
      </c>
      <c r="L35" s="56">
        <v>103</v>
      </c>
      <c r="M35" s="51"/>
      <c r="N35" s="57">
        <v>35</v>
      </c>
      <c r="O35" s="55"/>
      <c r="P35" s="58">
        <v>18.120799999999999</v>
      </c>
      <c r="Q35" s="55"/>
      <c r="R35" s="58">
        <v>6.0708000000000002</v>
      </c>
      <c r="S35" s="55"/>
      <c r="T35" s="58">
        <v>62.966000000000001</v>
      </c>
      <c r="U35" s="55"/>
      <c r="V35" s="54">
        <v>9662505</v>
      </c>
      <c r="W35" s="55"/>
      <c r="X35" s="59">
        <v>9410942</v>
      </c>
      <c r="Y35" s="55"/>
      <c r="Z35" s="54">
        <v>9210076</v>
      </c>
      <c r="AA35" s="55"/>
      <c r="AB35" s="54">
        <v>200866</v>
      </c>
      <c r="AC35" s="55"/>
      <c r="AD35" s="54">
        <v>527144</v>
      </c>
      <c r="AE35" s="55"/>
      <c r="AF35" s="54">
        <v>508259</v>
      </c>
      <c r="AG35" s="55"/>
      <c r="AH35" s="54">
        <v>18885</v>
      </c>
      <c r="AI35" s="55"/>
      <c r="AJ35" s="54">
        <v>3279625</v>
      </c>
      <c r="AK35" s="55"/>
      <c r="AL35" s="54">
        <v>3207856</v>
      </c>
      <c r="AM35" s="55"/>
      <c r="AN35" s="54">
        <v>183992</v>
      </c>
      <c r="AO35" s="55"/>
      <c r="AP35" s="60">
        <v>177429</v>
      </c>
      <c r="AQ35" s="55"/>
      <c r="AR35" s="54">
        <v>32003027</v>
      </c>
      <c r="AS35" s="55"/>
      <c r="AT35" s="59">
        <v>194284885</v>
      </c>
      <c r="AU35" s="51"/>
      <c r="AV35" s="61">
        <v>108.4</v>
      </c>
      <c r="AW35" s="51" t="s">
        <v>21</v>
      </c>
      <c r="AX35" s="51" t="s">
        <v>514</v>
      </c>
    </row>
    <row r="36" spans="1:50">
      <c r="A36" s="51" t="s">
        <v>577</v>
      </c>
      <c r="B36" s="51" t="s">
        <v>578</v>
      </c>
      <c r="C36" s="51" t="s">
        <v>579</v>
      </c>
      <c r="D36" s="52">
        <v>5027</v>
      </c>
      <c r="E36" s="53">
        <v>50027</v>
      </c>
      <c r="F36" s="51" t="s">
        <v>510</v>
      </c>
      <c r="G36" s="51" t="s">
        <v>511</v>
      </c>
      <c r="H36" s="54">
        <v>2650890</v>
      </c>
      <c r="I36" s="55">
        <v>823</v>
      </c>
      <c r="J36" s="51" t="s">
        <v>519</v>
      </c>
      <c r="K36" s="51" t="s">
        <v>513</v>
      </c>
      <c r="L36" s="56">
        <v>76</v>
      </c>
      <c r="M36" s="51"/>
      <c r="N36" s="57">
        <v>23</v>
      </c>
      <c r="O36" s="55"/>
      <c r="P36" s="58">
        <v>11.985900000000001</v>
      </c>
      <c r="Q36" s="55"/>
      <c r="R36" s="58">
        <v>3.9723999999999999</v>
      </c>
      <c r="S36" s="55" t="s">
        <v>532</v>
      </c>
      <c r="T36" s="58">
        <v>30.465299999999999</v>
      </c>
      <c r="U36" s="55"/>
      <c r="V36" s="54">
        <v>4237895</v>
      </c>
      <c r="W36" s="55"/>
      <c r="X36" s="59">
        <v>4129925</v>
      </c>
      <c r="Y36" s="55"/>
      <c r="Z36" s="54">
        <v>4034814</v>
      </c>
      <c r="AA36" s="55"/>
      <c r="AB36" s="54">
        <v>95111</v>
      </c>
      <c r="AC36" s="55"/>
      <c r="AD36" s="54">
        <v>354913</v>
      </c>
      <c r="AE36" s="55"/>
      <c r="AF36" s="54">
        <v>336629</v>
      </c>
      <c r="AG36" s="55"/>
      <c r="AH36" s="54">
        <v>18284</v>
      </c>
      <c r="AI36" s="55"/>
      <c r="AJ36" s="54">
        <v>1500026</v>
      </c>
      <c r="AK36" s="55"/>
      <c r="AL36" s="54">
        <v>1436691</v>
      </c>
      <c r="AM36" s="55"/>
      <c r="AN36" s="54">
        <v>125192</v>
      </c>
      <c r="AO36" s="55"/>
      <c r="AP36" s="60">
        <v>118274</v>
      </c>
      <c r="AQ36" s="55"/>
      <c r="AR36" s="54">
        <v>10255520</v>
      </c>
      <c r="AS36" s="55"/>
      <c r="AT36" s="59">
        <v>40738989</v>
      </c>
      <c r="AU36" s="51" t="s">
        <v>532</v>
      </c>
      <c r="AV36" s="61">
        <v>44.26</v>
      </c>
      <c r="AW36" s="51" t="s">
        <v>21</v>
      </c>
      <c r="AX36" s="51" t="s">
        <v>533</v>
      </c>
    </row>
    <row r="37" spans="1:50">
      <c r="A37" s="51" t="s">
        <v>577</v>
      </c>
      <c r="B37" s="51" t="s">
        <v>578</v>
      </c>
      <c r="C37" s="51" t="s">
        <v>579</v>
      </c>
      <c r="D37" s="52">
        <v>5027</v>
      </c>
      <c r="E37" s="53">
        <v>50027</v>
      </c>
      <c r="F37" s="51" t="s">
        <v>510</v>
      </c>
      <c r="G37" s="51" t="s">
        <v>511</v>
      </c>
      <c r="H37" s="54">
        <v>2650890</v>
      </c>
      <c r="I37" s="55">
        <v>823</v>
      </c>
      <c r="J37" s="51" t="s">
        <v>521</v>
      </c>
      <c r="K37" s="51" t="s">
        <v>520</v>
      </c>
      <c r="L37" s="56">
        <v>20</v>
      </c>
      <c r="M37" s="51"/>
      <c r="N37" s="57">
        <v>4</v>
      </c>
      <c r="O37" s="55"/>
      <c r="P37" s="58">
        <v>43.768999999999998</v>
      </c>
      <c r="Q37" s="55"/>
      <c r="R37" s="58">
        <v>24.702500000000001</v>
      </c>
      <c r="S37" s="55" t="s">
        <v>532</v>
      </c>
      <c r="T37" s="58">
        <v>26.3444</v>
      </c>
      <c r="U37" s="55"/>
      <c r="V37" s="54">
        <v>253487</v>
      </c>
      <c r="W37" s="55"/>
      <c r="X37" s="59">
        <v>256360</v>
      </c>
      <c r="Y37" s="55"/>
      <c r="Z37" s="54">
        <v>253291</v>
      </c>
      <c r="AA37" s="55"/>
      <c r="AB37" s="54">
        <v>3069</v>
      </c>
      <c r="AC37" s="55"/>
      <c r="AD37" s="54">
        <v>6199</v>
      </c>
      <c r="AE37" s="55"/>
      <c r="AF37" s="54">
        <v>5787</v>
      </c>
      <c r="AG37" s="55"/>
      <c r="AH37" s="54">
        <v>412</v>
      </c>
      <c r="AI37" s="55"/>
      <c r="AJ37" s="54">
        <v>64139</v>
      </c>
      <c r="AK37" s="55"/>
      <c r="AL37" s="54">
        <v>63372</v>
      </c>
      <c r="AM37" s="55"/>
      <c r="AN37" s="54">
        <v>1552</v>
      </c>
      <c r="AO37" s="55"/>
      <c r="AP37" s="60">
        <v>1448</v>
      </c>
      <c r="AQ37" s="55"/>
      <c r="AR37" s="54">
        <v>152455</v>
      </c>
      <c r="AS37" s="55"/>
      <c r="AT37" s="59">
        <v>3766017</v>
      </c>
      <c r="AU37" s="51" t="s">
        <v>532</v>
      </c>
      <c r="AV37" s="61">
        <v>77.900000000000006</v>
      </c>
      <c r="AW37" s="51" t="s">
        <v>21</v>
      </c>
      <c r="AX37" s="51" t="s">
        <v>533</v>
      </c>
    </row>
    <row r="38" spans="1:50">
      <c r="A38" s="51" t="s">
        <v>580</v>
      </c>
      <c r="B38" s="51" t="s">
        <v>581</v>
      </c>
      <c r="C38" s="51" t="s">
        <v>524</v>
      </c>
      <c r="D38" s="52">
        <v>9013</v>
      </c>
      <c r="E38" s="53">
        <v>90013</v>
      </c>
      <c r="F38" s="51" t="s">
        <v>525</v>
      </c>
      <c r="G38" s="51" t="s">
        <v>511</v>
      </c>
      <c r="H38" s="54">
        <v>1664496</v>
      </c>
      <c r="I38" s="55">
        <v>635</v>
      </c>
      <c r="J38" s="51" t="s">
        <v>519</v>
      </c>
      <c r="K38" s="51" t="s">
        <v>513</v>
      </c>
      <c r="L38" s="56">
        <v>61</v>
      </c>
      <c r="M38" s="51"/>
      <c r="N38" s="57">
        <v>29</v>
      </c>
      <c r="O38" s="55"/>
      <c r="P38" s="58">
        <v>14.6876</v>
      </c>
      <c r="Q38" s="55"/>
      <c r="R38" s="58">
        <v>5.3385999999999996</v>
      </c>
      <c r="S38" s="55"/>
      <c r="T38" s="58">
        <v>31.957599999999999</v>
      </c>
      <c r="U38" s="55"/>
      <c r="V38" s="54">
        <v>3049391</v>
      </c>
      <c r="W38" s="55"/>
      <c r="X38" s="59">
        <v>3045104</v>
      </c>
      <c r="Y38" s="55"/>
      <c r="Z38" s="54">
        <v>2886997</v>
      </c>
      <c r="AA38" s="55"/>
      <c r="AB38" s="54">
        <v>158107</v>
      </c>
      <c r="AC38" s="55"/>
      <c r="AD38" s="54">
        <v>208938</v>
      </c>
      <c r="AE38" s="55"/>
      <c r="AF38" s="54">
        <v>196560</v>
      </c>
      <c r="AG38" s="55"/>
      <c r="AH38" s="54">
        <v>12378</v>
      </c>
      <c r="AI38" s="55"/>
      <c r="AJ38" s="54">
        <v>1824324</v>
      </c>
      <c r="AK38" s="55"/>
      <c r="AL38" s="54">
        <v>1733696</v>
      </c>
      <c r="AM38" s="55"/>
      <c r="AN38" s="54">
        <v>131172</v>
      </c>
      <c r="AO38" s="55"/>
      <c r="AP38" s="60">
        <v>123509</v>
      </c>
      <c r="AQ38" s="55"/>
      <c r="AR38" s="54">
        <v>6281578</v>
      </c>
      <c r="AS38" s="55"/>
      <c r="AT38" s="59">
        <v>33535077</v>
      </c>
      <c r="AU38" s="51"/>
      <c r="AV38" s="61">
        <v>80.959999999999994</v>
      </c>
      <c r="AW38" s="51" t="s">
        <v>21</v>
      </c>
      <c r="AX38" s="51" t="s">
        <v>514</v>
      </c>
    </row>
    <row r="39" spans="1:50">
      <c r="A39" s="51" t="s">
        <v>582</v>
      </c>
      <c r="B39" s="51" t="s">
        <v>583</v>
      </c>
      <c r="C39" s="51" t="s">
        <v>524</v>
      </c>
      <c r="D39" s="52">
        <v>9003</v>
      </c>
      <c r="E39" s="53">
        <v>90003</v>
      </c>
      <c r="F39" s="51" t="s">
        <v>525</v>
      </c>
      <c r="G39" s="51" t="s">
        <v>511</v>
      </c>
      <c r="H39" s="54">
        <v>3281212</v>
      </c>
      <c r="I39" s="55">
        <v>616</v>
      </c>
      <c r="J39" s="51" t="s">
        <v>512</v>
      </c>
      <c r="K39" s="51" t="s">
        <v>513</v>
      </c>
      <c r="L39" s="56">
        <v>599</v>
      </c>
      <c r="M39" s="51"/>
      <c r="N39" s="57">
        <v>56</v>
      </c>
      <c r="O39" s="55"/>
      <c r="P39" s="58">
        <v>34.829900000000002</v>
      </c>
      <c r="Q39" s="55" t="s">
        <v>532</v>
      </c>
      <c r="R39" s="58">
        <v>13.962999999999999</v>
      </c>
      <c r="S39" s="55"/>
      <c r="T39" s="58">
        <v>44.260899999999999</v>
      </c>
      <c r="U39" s="55" t="s">
        <v>532</v>
      </c>
      <c r="V39" s="54">
        <v>69597595</v>
      </c>
      <c r="W39" s="55"/>
      <c r="X39" s="59">
        <v>72050709</v>
      </c>
      <c r="Y39" s="55"/>
      <c r="Z39" s="54">
        <v>69799195</v>
      </c>
      <c r="AA39" s="55"/>
      <c r="AB39" s="54">
        <v>2251514</v>
      </c>
      <c r="AC39" s="55"/>
      <c r="AD39" s="54">
        <v>2377255</v>
      </c>
      <c r="AE39" s="55"/>
      <c r="AF39" s="54">
        <v>2004002</v>
      </c>
      <c r="AG39" s="55" t="s">
        <v>532</v>
      </c>
      <c r="AH39" s="54">
        <v>373253</v>
      </c>
      <c r="AI39" s="55"/>
      <c r="AJ39" s="54">
        <v>8255518</v>
      </c>
      <c r="AK39" s="55"/>
      <c r="AL39" s="54">
        <v>7973519</v>
      </c>
      <c r="AM39" s="55"/>
      <c r="AN39" s="54">
        <v>277276</v>
      </c>
      <c r="AO39" s="55"/>
      <c r="AP39" s="60">
        <v>229211</v>
      </c>
      <c r="AQ39" s="55"/>
      <c r="AR39" s="54">
        <v>88698878</v>
      </c>
      <c r="AS39" s="55"/>
      <c r="AT39" s="59">
        <v>1238506222</v>
      </c>
      <c r="AU39" s="51"/>
      <c r="AV39" s="61">
        <v>239.42</v>
      </c>
      <c r="AW39" s="51" t="s">
        <v>21</v>
      </c>
      <c r="AX39" s="51" t="s">
        <v>533</v>
      </c>
    </row>
    <row r="40" spans="1:50">
      <c r="A40" s="51" t="s">
        <v>584</v>
      </c>
      <c r="B40" s="51" t="s">
        <v>585</v>
      </c>
      <c r="C40" s="51" t="s">
        <v>586</v>
      </c>
      <c r="D40" s="52">
        <v>7006</v>
      </c>
      <c r="E40" s="53">
        <v>70006</v>
      </c>
      <c r="F40" s="51" t="s">
        <v>525</v>
      </c>
      <c r="G40" s="51" t="s">
        <v>511</v>
      </c>
      <c r="H40" s="54">
        <v>2150706</v>
      </c>
      <c r="I40" s="55">
        <v>493</v>
      </c>
      <c r="J40" s="51" t="s">
        <v>519</v>
      </c>
      <c r="K40" s="51" t="s">
        <v>513</v>
      </c>
      <c r="L40" s="56">
        <v>50</v>
      </c>
      <c r="M40" s="51"/>
      <c r="N40" s="57">
        <v>25</v>
      </c>
      <c r="O40" s="55"/>
      <c r="P40" s="58">
        <v>23.1905</v>
      </c>
      <c r="Q40" s="55"/>
      <c r="R40" s="58">
        <v>6.7489999999999997</v>
      </c>
      <c r="S40" s="55"/>
      <c r="T40" s="58">
        <v>41.739400000000003</v>
      </c>
      <c r="U40" s="55"/>
      <c r="V40" s="54">
        <v>5954691</v>
      </c>
      <c r="W40" s="55"/>
      <c r="X40" s="59">
        <v>5905439</v>
      </c>
      <c r="Y40" s="55"/>
      <c r="Z40" s="54">
        <v>5839491</v>
      </c>
      <c r="AA40" s="55"/>
      <c r="AB40" s="54">
        <v>65948</v>
      </c>
      <c r="AC40" s="55"/>
      <c r="AD40" s="54">
        <v>256119</v>
      </c>
      <c r="AE40" s="55"/>
      <c r="AF40" s="54">
        <v>251805</v>
      </c>
      <c r="AG40" s="55"/>
      <c r="AH40" s="54">
        <v>4314</v>
      </c>
      <c r="AI40" s="55"/>
      <c r="AJ40" s="54">
        <v>2952712</v>
      </c>
      <c r="AK40" s="55"/>
      <c r="AL40" s="54">
        <v>2919745</v>
      </c>
      <c r="AM40" s="55"/>
      <c r="AN40" s="54">
        <v>128060</v>
      </c>
      <c r="AO40" s="55"/>
      <c r="AP40" s="60">
        <v>125902</v>
      </c>
      <c r="AQ40" s="55"/>
      <c r="AR40" s="54">
        <v>10510179</v>
      </c>
      <c r="AS40" s="55"/>
      <c r="AT40" s="59">
        <v>70933375</v>
      </c>
      <c r="AU40" s="51"/>
      <c r="AV40" s="61">
        <v>91.06</v>
      </c>
      <c r="AW40" s="51" t="s">
        <v>21</v>
      </c>
      <c r="AX40" s="51" t="s">
        <v>514</v>
      </c>
    </row>
    <row r="41" spans="1:50">
      <c r="A41" s="51" t="s">
        <v>587</v>
      </c>
      <c r="B41" s="51" t="s">
        <v>588</v>
      </c>
      <c r="C41" s="51" t="s">
        <v>589</v>
      </c>
      <c r="D41" s="52">
        <v>5015</v>
      </c>
      <c r="E41" s="53">
        <v>50015</v>
      </c>
      <c r="F41" s="51" t="s">
        <v>525</v>
      </c>
      <c r="G41" s="51" t="s">
        <v>511</v>
      </c>
      <c r="H41" s="54">
        <v>1780673</v>
      </c>
      <c r="I41" s="55">
        <v>418</v>
      </c>
      <c r="J41" s="51" t="s">
        <v>519</v>
      </c>
      <c r="K41" s="51" t="s">
        <v>513</v>
      </c>
      <c r="L41" s="56">
        <v>6</v>
      </c>
      <c r="M41" s="51"/>
      <c r="N41" s="57">
        <v>6</v>
      </c>
      <c r="O41" s="55"/>
      <c r="P41" s="58">
        <v>14.0802</v>
      </c>
      <c r="Q41" s="55"/>
      <c r="R41" s="58">
        <v>3.5057</v>
      </c>
      <c r="S41" s="55" t="s">
        <v>532</v>
      </c>
      <c r="T41" s="58">
        <v>14.4611</v>
      </c>
      <c r="U41" s="55"/>
      <c r="V41" s="54">
        <v>559327</v>
      </c>
      <c r="W41" s="55"/>
      <c r="X41" s="59">
        <v>577077</v>
      </c>
      <c r="Y41" s="55"/>
      <c r="Z41" s="54">
        <v>573726</v>
      </c>
      <c r="AA41" s="55"/>
      <c r="AB41" s="54">
        <v>3351</v>
      </c>
      <c r="AC41" s="55"/>
      <c r="AD41" s="54">
        <v>41389</v>
      </c>
      <c r="AE41" s="55"/>
      <c r="AF41" s="54">
        <v>40747</v>
      </c>
      <c r="AG41" s="55"/>
      <c r="AH41" s="54">
        <v>642</v>
      </c>
      <c r="AI41" s="55"/>
      <c r="AJ41" s="54">
        <v>562513</v>
      </c>
      <c r="AK41" s="55"/>
      <c r="AL41" s="54">
        <v>559161</v>
      </c>
      <c r="AM41" s="55"/>
      <c r="AN41" s="54">
        <v>40336</v>
      </c>
      <c r="AO41" s="55"/>
      <c r="AP41" s="60">
        <v>39693</v>
      </c>
      <c r="AQ41" s="55"/>
      <c r="AR41" s="54">
        <v>589245</v>
      </c>
      <c r="AS41" s="55"/>
      <c r="AT41" s="59">
        <v>2065735</v>
      </c>
      <c r="AU41" s="51" t="s">
        <v>532</v>
      </c>
      <c r="AV41" s="61">
        <v>30.38</v>
      </c>
      <c r="AW41" s="51" t="s">
        <v>21</v>
      </c>
      <c r="AX41" s="51" t="s">
        <v>533</v>
      </c>
    </row>
    <row r="42" spans="1:50">
      <c r="A42" s="51" t="s">
        <v>587</v>
      </c>
      <c r="B42" s="51" t="s">
        <v>588</v>
      </c>
      <c r="C42" s="51" t="s">
        <v>589</v>
      </c>
      <c r="D42" s="52">
        <v>5015</v>
      </c>
      <c r="E42" s="53">
        <v>50015</v>
      </c>
      <c r="F42" s="51" t="s">
        <v>525</v>
      </c>
      <c r="G42" s="51" t="s">
        <v>511</v>
      </c>
      <c r="H42" s="54">
        <v>1780673</v>
      </c>
      <c r="I42" s="55">
        <v>418</v>
      </c>
      <c r="J42" s="51" t="s">
        <v>512</v>
      </c>
      <c r="K42" s="51" t="s">
        <v>513</v>
      </c>
      <c r="L42" s="56">
        <v>16</v>
      </c>
      <c r="M42" s="51"/>
      <c r="N42" s="57">
        <v>8</v>
      </c>
      <c r="O42" s="55"/>
      <c r="P42" s="58">
        <v>19.014700000000001</v>
      </c>
      <c r="Q42" s="55"/>
      <c r="R42" s="58">
        <v>6.9599000000000002</v>
      </c>
      <c r="S42" s="55" t="s">
        <v>532</v>
      </c>
      <c r="T42" s="58">
        <v>20.605499999999999</v>
      </c>
      <c r="U42" s="55"/>
      <c r="V42" s="54">
        <v>2472057</v>
      </c>
      <c r="W42" s="55"/>
      <c r="X42" s="59">
        <v>2440418</v>
      </c>
      <c r="Y42" s="55"/>
      <c r="Z42" s="54">
        <v>2434523</v>
      </c>
      <c r="AA42" s="55"/>
      <c r="AB42" s="54">
        <v>5895</v>
      </c>
      <c r="AC42" s="55"/>
      <c r="AD42" s="54">
        <v>129302</v>
      </c>
      <c r="AE42" s="55"/>
      <c r="AF42" s="54">
        <v>128034</v>
      </c>
      <c r="AG42" s="55"/>
      <c r="AH42" s="54">
        <v>1268</v>
      </c>
      <c r="AI42" s="55"/>
      <c r="AJ42" s="54">
        <v>1238321</v>
      </c>
      <c r="AK42" s="55"/>
      <c r="AL42" s="54">
        <v>1235375</v>
      </c>
      <c r="AM42" s="55"/>
      <c r="AN42" s="54">
        <v>65610</v>
      </c>
      <c r="AO42" s="55"/>
      <c r="AP42" s="60">
        <v>64976</v>
      </c>
      <c r="AQ42" s="55"/>
      <c r="AR42" s="54">
        <v>2638201</v>
      </c>
      <c r="AS42" s="55"/>
      <c r="AT42" s="59">
        <v>18361515</v>
      </c>
      <c r="AU42" s="51" t="s">
        <v>532</v>
      </c>
      <c r="AV42" s="61">
        <v>38.08</v>
      </c>
      <c r="AW42" s="51" t="s">
        <v>21</v>
      </c>
      <c r="AX42" s="51" t="s">
        <v>533</v>
      </c>
    </row>
    <row r="43" spans="1:50">
      <c r="A43" s="51" t="s">
        <v>590</v>
      </c>
      <c r="B43" s="51" t="s">
        <v>591</v>
      </c>
      <c r="C43" s="51" t="s">
        <v>592</v>
      </c>
      <c r="D43" s="52">
        <v>3083</v>
      </c>
      <c r="E43" s="53">
        <v>30083</v>
      </c>
      <c r="F43" s="51" t="s">
        <v>525</v>
      </c>
      <c r="G43" s="51" t="s">
        <v>511</v>
      </c>
      <c r="H43" s="54">
        <v>1439666</v>
      </c>
      <c r="I43" s="55">
        <v>417</v>
      </c>
      <c r="J43" s="51" t="s">
        <v>519</v>
      </c>
      <c r="K43" s="51" t="s">
        <v>513</v>
      </c>
      <c r="L43" s="56">
        <v>6</v>
      </c>
      <c r="M43" s="51"/>
      <c r="N43" s="57">
        <v>6</v>
      </c>
      <c r="O43" s="55"/>
      <c r="P43" s="58">
        <v>13.267099999999999</v>
      </c>
      <c r="Q43" s="55"/>
      <c r="R43" s="58">
        <v>3.2271999999999998</v>
      </c>
      <c r="S43" s="55"/>
      <c r="T43" s="58">
        <v>40.308999999999997</v>
      </c>
      <c r="U43" s="55"/>
      <c r="V43" s="54">
        <v>344336</v>
      </c>
      <c r="W43" s="55"/>
      <c r="X43" s="59">
        <v>344847</v>
      </c>
      <c r="Y43" s="55"/>
      <c r="Z43" s="54">
        <v>343618</v>
      </c>
      <c r="AA43" s="55"/>
      <c r="AB43" s="54">
        <v>1229</v>
      </c>
      <c r="AC43" s="55"/>
      <c r="AD43" s="54">
        <v>26101</v>
      </c>
      <c r="AE43" s="55"/>
      <c r="AF43" s="54">
        <v>25900</v>
      </c>
      <c r="AG43" s="55"/>
      <c r="AH43" s="54">
        <v>201</v>
      </c>
      <c r="AI43" s="55"/>
      <c r="AJ43" s="54">
        <v>344847</v>
      </c>
      <c r="AK43" s="55"/>
      <c r="AL43" s="54">
        <v>343618</v>
      </c>
      <c r="AM43" s="55"/>
      <c r="AN43" s="54">
        <v>26101</v>
      </c>
      <c r="AO43" s="55"/>
      <c r="AP43" s="60">
        <v>25900</v>
      </c>
      <c r="AQ43" s="55"/>
      <c r="AR43" s="54">
        <v>1044002</v>
      </c>
      <c r="AS43" s="55"/>
      <c r="AT43" s="59">
        <v>3369249</v>
      </c>
      <c r="AU43" s="51"/>
      <c r="AV43" s="61">
        <v>14.8</v>
      </c>
      <c r="AW43" s="51" t="s">
        <v>21</v>
      </c>
      <c r="AX43" s="51" t="s">
        <v>514</v>
      </c>
    </row>
    <row r="44" spans="1:50">
      <c r="A44" s="51" t="s">
        <v>593</v>
      </c>
      <c r="B44" s="51" t="s">
        <v>594</v>
      </c>
      <c r="C44" s="51" t="s">
        <v>595</v>
      </c>
      <c r="D44" s="52">
        <v>4008</v>
      </c>
      <c r="E44" s="53">
        <v>40008</v>
      </c>
      <c r="F44" s="51" t="s">
        <v>551</v>
      </c>
      <c r="G44" s="51" t="s">
        <v>511</v>
      </c>
      <c r="H44" s="54">
        <v>1249442</v>
      </c>
      <c r="I44" s="55">
        <v>409</v>
      </c>
      <c r="J44" s="51" t="s">
        <v>519</v>
      </c>
      <c r="K44" s="51" t="s">
        <v>513</v>
      </c>
      <c r="L44" s="56">
        <v>36</v>
      </c>
      <c r="M44" s="51"/>
      <c r="N44" s="57">
        <v>16</v>
      </c>
      <c r="O44" s="55"/>
      <c r="P44" s="58">
        <v>16.140799999999999</v>
      </c>
      <c r="Q44" s="55"/>
      <c r="R44" s="58">
        <v>5.1829999999999998</v>
      </c>
      <c r="S44" s="55"/>
      <c r="T44" s="58">
        <v>55.526200000000003</v>
      </c>
      <c r="U44" s="55"/>
      <c r="V44" s="54">
        <v>2178959</v>
      </c>
      <c r="W44" s="55"/>
      <c r="X44" s="59">
        <v>2267166</v>
      </c>
      <c r="Y44" s="55"/>
      <c r="Z44" s="54">
        <v>2110955</v>
      </c>
      <c r="AA44" s="55"/>
      <c r="AB44" s="54">
        <v>156211</v>
      </c>
      <c r="AC44" s="55"/>
      <c r="AD44" s="54">
        <v>138754</v>
      </c>
      <c r="AE44" s="55"/>
      <c r="AF44" s="54">
        <v>130784</v>
      </c>
      <c r="AG44" s="55"/>
      <c r="AH44" s="54">
        <v>7970</v>
      </c>
      <c r="AI44" s="55"/>
      <c r="AJ44" s="54">
        <v>1141671</v>
      </c>
      <c r="AK44" s="55"/>
      <c r="AL44" s="54">
        <v>1059265</v>
      </c>
      <c r="AM44" s="55"/>
      <c r="AN44" s="54">
        <v>69828</v>
      </c>
      <c r="AO44" s="55"/>
      <c r="AP44" s="60">
        <v>65622</v>
      </c>
      <c r="AQ44" s="55"/>
      <c r="AR44" s="54">
        <v>7261944</v>
      </c>
      <c r="AS44" s="55"/>
      <c r="AT44" s="59">
        <v>37638865</v>
      </c>
      <c r="AU44" s="51"/>
      <c r="AV44" s="61">
        <v>37.299999999999997</v>
      </c>
      <c r="AW44" s="51" t="s">
        <v>21</v>
      </c>
      <c r="AX44" s="51" t="s">
        <v>514</v>
      </c>
    </row>
    <row r="45" spans="1:50">
      <c r="A45" s="51" t="s">
        <v>596</v>
      </c>
      <c r="B45" s="51" t="s">
        <v>597</v>
      </c>
      <c r="C45" s="51" t="s">
        <v>598</v>
      </c>
      <c r="D45" s="52">
        <v>40</v>
      </c>
      <c r="E45" s="53">
        <v>40</v>
      </c>
      <c r="F45" s="51" t="s">
        <v>525</v>
      </c>
      <c r="G45" s="51" t="s">
        <v>511</v>
      </c>
      <c r="H45" s="54">
        <v>3059393</v>
      </c>
      <c r="I45" s="55">
        <v>381</v>
      </c>
      <c r="J45" s="51" t="s">
        <v>519</v>
      </c>
      <c r="K45" s="51" t="s">
        <v>513</v>
      </c>
      <c r="L45" s="56">
        <v>48</v>
      </c>
      <c r="M45" s="51"/>
      <c r="N45" s="57">
        <v>17</v>
      </c>
      <c r="O45" s="55"/>
      <c r="P45" s="58">
        <v>18.259</v>
      </c>
      <c r="Q45" s="55"/>
      <c r="R45" s="58">
        <v>6.3029999999999999</v>
      </c>
      <c r="S45" s="55"/>
      <c r="T45" s="58">
        <v>35.367199999999997</v>
      </c>
      <c r="U45" s="55"/>
      <c r="V45" s="54">
        <v>3994837</v>
      </c>
      <c r="W45" s="55"/>
      <c r="X45" s="59">
        <v>4168064</v>
      </c>
      <c r="Y45" s="55"/>
      <c r="Z45" s="54">
        <v>4078592</v>
      </c>
      <c r="AA45" s="55"/>
      <c r="AB45" s="54">
        <v>89472</v>
      </c>
      <c r="AC45" s="55"/>
      <c r="AD45" s="54">
        <v>233843</v>
      </c>
      <c r="AE45" s="55"/>
      <c r="AF45" s="54">
        <v>223374</v>
      </c>
      <c r="AG45" s="55"/>
      <c r="AH45" s="54">
        <v>10469</v>
      </c>
      <c r="AI45" s="55"/>
      <c r="AJ45" s="54">
        <v>1165448</v>
      </c>
      <c r="AK45" s="55"/>
      <c r="AL45" s="54">
        <v>1140397</v>
      </c>
      <c r="AM45" s="55"/>
      <c r="AN45" s="54">
        <v>65104</v>
      </c>
      <c r="AO45" s="55"/>
      <c r="AP45" s="60">
        <v>61879</v>
      </c>
      <c r="AQ45" s="55"/>
      <c r="AR45" s="54">
        <v>7900122</v>
      </c>
      <c r="AS45" s="55"/>
      <c r="AT45" s="59">
        <v>49794569</v>
      </c>
      <c r="AU45" s="51"/>
      <c r="AV45" s="61">
        <v>40.4</v>
      </c>
      <c r="AW45" s="51" t="s">
        <v>21</v>
      </c>
      <c r="AX45" s="51" t="s">
        <v>514</v>
      </c>
    </row>
    <row r="46" spans="1:50">
      <c r="A46" s="51" t="s">
        <v>596</v>
      </c>
      <c r="B46" s="51" t="s">
        <v>597</v>
      </c>
      <c r="C46" s="51" t="s">
        <v>598</v>
      </c>
      <c r="D46" s="52">
        <v>40</v>
      </c>
      <c r="E46" s="53">
        <v>40</v>
      </c>
      <c r="F46" s="51" t="s">
        <v>525</v>
      </c>
      <c r="G46" s="51" t="s">
        <v>511</v>
      </c>
      <c r="H46" s="54">
        <v>3059393</v>
      </c>
      <c r="I46" s="55">
        <v>381</v>
      </c>
      <c r="J46" s="51" t="s">
        <v>521</v>
      </c>
      <c r="K46" s="51" t="s">
        <v>520</v>
      </c>
      <c r="L46" s="56">
        <v>70</v>
      </c>
      <c r="M46" s="51"/>
      <c r="N46" s="57">
        <v>23</v>
      </c>
      <c r="O46" s="55"/>
      <c r="P46" s="58">
        <v>30.116700000000002</v>
      </c>
      <c r="Q46" s="55"/>
      <c r="R46" s="58">
        <v>25.192499999999999</v>
      </c>
      <c r="S46" s="55"/>
      <c r="T46" s="58">
        <v>24.971</v>
      </c>
      <c r="U46" s="55"/>
      <c r="V46" s="54">
        <v>1617729</v>
      </c>
      <c r="W46" s="55"/>
      <c r="X46" s="59">
        <v>1562310</v>
      </c>
      <c r="Y46" s="55"/>
      <c r="Z46" s="54">
        <v>1526737</v>
      </c>
      <c r="AA46" s="55"/>
      <c r="AB46" s="54">
        <v>35573</v>
      </c>
      <c r="AC46" s="55"/>
      <c r="AD46" s="54">
        <v>54020</v>
      </c>
      <c r="AE46" s="55"/>
      <c r="AF46" s="54">
        <v>50694</v>
      </c>
      <c r="AG46" s="55"/>
      <c r="AH46" s="54">
        <v>3326</v>
      </c>
      <c r="AI46" s="55"/>
      <c r="AJ46" s="54">
        <v>250453</v>
      </c>
      <c r="AK46" s="55"/>
      <c r="AL46" s="54">
        <v>244746</v>
      </c>
      <c r="AM46" s="55"/>
      <c r="AN46" s="54">
        <v>8818</v>
      </c>
      <c r="AO46" s="55"/>
      <c r="AP46" s="60">
        <v>8281</v>
      </c>
      <c r="AQ46" s="55"/>
      <c r="AR46" s="54">
        <v>1265882</v>
      </c>
      <c r="AS46" s="55"/>
      <c r="AT46" s="59">
        <v>31890678</v>
      </c>
      <c r="AU46" s="51"/>
      <c r="AV46" s="61">
        <v>163.84</v>
      </c>
      <c r="AW46" s="51" t="s">
        <v>21</v>
      </c>
      <c r="AX46" s="51" t="s">
        <v>514</v>
      </c>
    </row>
    <row r="47" spans="1:50">
      <c r="A47" s="51" t="s">
        <v>599</v>
      </c>
      <c r="B47" s="51" t="s">
        <v>600</v>
      </c>
      <c r="C47" s="51" t="s">
        <v>509</v>
      </c>
      <c r="D47" s="52">
        <v>2004</v>
      </c>
      <c r="E47" s="53">
        <v>20004</v>
      </c>
      <c r="F47" s="51" t="s">
        <v>525</v>
      </c>
      <c r="G47" s="51" t="s">
        <v>511</v>
      </c>
      <c r="H47" s="54">
        <v>935906</v>
      </c>
      <c r="I47" s="55">
        <v>359</v>
      </c>
      <c r="J47" s="51" t="s">
        <v>519</v>
      </c>
      <c r="K47" s="51" t="s">
        <v>513</v>
      </c>
      <c r="L47" s="56">
        <v>23</v>
      </c>
      <c r="M47" s="51"/>
      <c r="N47" s="57">
        <v>7</v>
      </c>
      <c r="O47" s="55"/>
      <c r="P47" s="58">
        <v>11.1447</v>
      </c>
      <c r="Q47" s="55"/>
      <c r="R47" s="58">
        <v>2.6665000000000001</v>
      </c>
      <c r="S47" s="55"/>
      <c r="T47" s="58">
        <v>48.610100000000003</v>
      </c>
      <c r="U47" s="55"/>
      <c r="V47" s="54">
        <v>962940</v>
      </c>
      <c r="W47" s="55"/>
      <c r="X47" s="59">
        <v>984827</v>
      </c>
      <c r="Y47" s="55"/>
      <c r="Z47" s="54">
        <v>968353</v>
      </c>
      <c r="AA47" s="55"/>
      <c r="AB47" s="54">
        <v>16474</v>
      </c>
      <c r="AC47" s="55"/>
      <c r="AD47" s="54">
        <v>91599</v>
      </c>
      <c r="AE47" s="55"/>
      <c r="AF47" s="54">
        <v>86889</v>
      </c>
      <c r="AG47" s="55"/>
      <c r="AH47" s="54">
        <v>4710</v>
      </c>
      <c r="AI47" s="55"/>
      <c r="AJ47" s="54">
        <v>347313</v>
      </c>
      <c r="AK47" s="55"/>
      <c r="AL47" s="54">
        <v>341503</v>
      </c>
      <c r="AM47" s="55"/>
      <c r="AN47" s="54">
        <v>32115</v>
      </c>
      <c r="AO47" s="55"/>
      <c r="AP47" s="60">
        <v>30462</v>
      </c>
      <c r="AQ47" s="55"/>
      <c r="AR47" s="54">
        <v>4223681</v>
      </c>
      <c r="AS47" s="55"/>
      <c r="AT47" s="59">
        <v>11262397</v>
      </c>
      <c r="AU47" s="51"/>
      <c r="AV47" s="61">
        <v>12.4</v>
      </c>
      <c r="AW47" s="51" t="s">
        <v>21</v>
      </c>
      <c r="AX47" s="51" t="s">
        <v>514</v>
      </c>
    </row>
    <row r="48" spans="1:50">
      <c r="A48" s="51" t="s">
        <v>601</v>
      </c>
      <c r="B48" s="51" t="s">
        <v>602</v>
      </c>
      <c r="C48" s="51" t="s">
        <v>524</v>
      </c>
      <c r="D48" s="52">
        <v>9019</v>
      </c>
      <c r="E48" s="53">
        <v>90019</v>
      </c>
      <c r="F48" s="51" t="s">
        <v>525</v>
      </c>
      <c r="G48" s="51" t="s">
        <v>511</v>
      </c>
      <c r="H48" s="54">
        <v>1723634</v>
      </c>
      <c r="I48" s="55">
        <v>331</v>
      </c>
      <c r="J48" s="51" t="s">
        <v>519</v>
      </c>
      <c r="K48" s="51" t="s">
        <v>513</v>
      </c>
      <c r="L48" s="56">
        <v>69</v>
      </c>
      <c r="M48" s="51"/>
      <c r="N48" s="57">
        <v>18</v>
      </c>
      <c r="O48" s="55"/>
      <c r="P48" s="58">
        <v>17.4438</v>
      </c>
      <c r="Q48" s="55"/>
      <c r="R48" s="58">
        <v>5.9108000000000001</v>
      </c>
      <c r="S48" s="55"/>
      <c r="T48" s="58">
        <v>43.433199999999999</v>
      </c>
      <c r="U48" s="55"/>
      <c r="V48" s="54">
        <v>3637080</v>
      </c>
      <c r="W48" s="55"/>
      <c r="X48" s="59">
        <v>3765256</v>
      </c>
      <c r="Y48" s="55"/>
      <c r="Z48" s="54">
        <v>3610107</v>
      </c>
      <c r="AA48" s="55"/>
      <c r="AB48" s="54">
        <v>155149</v>
      </c>
      <c r="AC48" s="55"/>
      <c r="AD48" s="54">
        <v>213385</v>
      </c>
      <c r="AE48" s="55"/>
      <c r="AF48" s="54">
        <v>206957</v>
      </c>
      <c r="AG48" s="55"/>
      <c r="AH48" s="54">
        <v>6428</v>
      </c>
      <c r="AI48" s="55"/>
      <c r="AJ48" s="54">
        <v>1757466</v>
      </c>
      <c r="AK48" s="55"/>
      <c r="AL48" s="54">
        <v>1710343</v>
      </c>
      <c r="AM48" s="55"/>
      <c r="AN48" s="54">
        <v>101083</v>
      </c>
      <c r="AO48" s="55"/>
      <c r="AP48" s="60">
        <v>98064</v>
      </c>
      <c r="AQ48" s="55"/>
      <c r="AR48" s="54">
        <v>8988806</v>
      </c>
      <c r="AS48" s="55"/>
      <c r="AT48" s="59">
        <v>53131252</v>
      </c>
      <c r="AU48" s="51"/>
      <c r="AV48" s="61">
        <v>84.92</v>
      </c>
      <c r="AW48" s="51" t="s">
        <v>21</v>
      </c>
      <c r="AX48" s="51" t="s">
        <v>514</v>
      </c>
    </row>
    <row r="49" spans="1:50">
      <c r="A49" s="51" t="s">
        <v>603</v>
      </c>
      <c r="B49" s="51" t="s">
        <v>604</v>
      </c>
      <c r="C49" s="51" t="s">
        <v>543</v>
      </c>
      <c r="D49" s="52">
        <v>6007</v>
      </c>
      <c r="E49" s="53">
        <v>60007</v>
      </c>
      <c r="F49" s="51" t="s">
        <v>525</v>
      </c>
      <c r="G49" s="51" t="s">
        <v>511</v>
      </c>
      <c r="H49" s="54">
        <v>5121892</v>
      </c>
      <c r="I49" s="55">
        <v>312</v>
      </c>
      <c r="J49" s="51" t="s">
        <v>521</v>
      </c>
      <c r="K49" s="51" t="s">
        <v>520</v>
      </c>
      <c r="L49" s="56">
        <v>20</v>
      </c>
      <c r="M49" s="51"/>
      <c r="N49" s="57">
        <v>5</v>
      </c>
      <c r="O49" s="55"/>
      <c r="P49" s="58">
        <v>19.5091</v>
      </c>
      <c r="Q49" s="55"/>
      <c r="R49" s="58">
        <v>15.8208</v>
      </c>
      <c r="S49" s="55" t="s">
        <v>537</v>
      </c>
      <c r="T49" s="58">
        <v>2.8578999999999999</v>
      </c>
      <c r="U49" s="55" t="s">
        <v>537</v>
      </c>
      <c r="V49" s="54">
        <v>2417541</v>
      </c>
      <c r="W49" s="55"/>
      <c r="X49" s="59">
        <v>2349671</v>
      </c>
      <c r="Y49" s="55"/>
      <c r="Z49" s="54">
        <v>2320998</v>
      </c>
      <c r="AA49" s="55"/>
      <c r="AB49" s="54">
        <v>28673</v>
      </c>
      <c r="AC49" s="55"/>
      <c r="AD49" s="54">
        <v>120510</v>
      </c>
      <c r="AE49" s="55"/>
      <c r="AF49" s="54">
        <v>118970</v>
      </c>
      <c r="AG49" s="55"/>
      <c r="AH49" s="54">
        <v>1540</v>
      </c>
      <c r="AI49" s="55"/>
      <c r="AJ49" s="54">
        <v>587418</v>
      </c>
      <c r="AK49" s="55"/>
      <c r="AL49" s="54">
        <v>580250</v>
      </c>
      <c r="AM49" s="55" t="s">
        <v>537</v>
      </c>
      <c r="AN49" s="54">
        <v>30128</v>
      </c>
      <c r="AO49" s="55"/>
      <c r="AP49" s="60">
        <v>29743</v>
      </c>
      <c r="AQ49" s="55" t="s">
        <v>537</v>
      </c>
      <c r="AR49" s="54">
        <v>340008</v>
      </c>
      <c r="AS49" s="55" t="s">
        <v>537</v>
      </c>
      <c r="AT49" s="59">
        <v>5379214</v>
      </c>
      <c r="AU49" s="51" t="s">
        <v>537</v>
      </c>
      <c r="AV49" s="61">
        <v>52.34</v>
      </c>
      <c r="AW49" s="51" t="s">
        <v>21</v>
      </c>
      <c r="AX49" s="51" t="s">
        <v>533</v>
      </c>
    </row>
    <row r="50" spans="1:50">
      <c r="A50" s="51" t="s">
        <v>605</v>
      </c>
      <c r="B50" s="51" t="s">
        <v>556</v>
      </c>
      <c r="C50" s="51" t="s">
        <v>517</v>
      </c>
      <c r="D50" s="52">
        <v>2098</v>
      </c>
      <c r="E50" s="53">
        <v>20098</v>
      </c>
      <c r="F50" s="51" t="s">
        <v>525</v>
      </c>
      <c r="G50" s="51" t="s">
        <v>511</v>
      </c>
      <c r="H50" s="54">
        <v>18351295</v>
      </c>
      <c r="I50" s="55">
        <v>310</v>
      </c>
      <c r="J50" s="51" t="s">
        <v>512</v>
      </c>
      <c r="K50" s="51" t="s">
        <v>513</v>
      </c>
      <c r="L50" s="56">
        <v>304</v>
      </c>
      <c r="M50" s="51"/>
      <c r="N50" s="57">
        <v>33</v>
      </c>
      <c r="O50" s="55"/>
      <c r="P50" s="58">
        <v>13.624599999999999</v>
      </c>
      <c r="Q50" s="55"/>
      <c r="R50" s="58">
        <v>5.0683999999999996</v>
      </c>
      <c r="S50" s="55"/>
      <c r="T50" s="58">
        <v>31.703499999999998</v>
      </c>
      <c r="U50" s="55"/>
      <c r="V50" s="54">
        <v>12823047</v>
      </c>
      <c r="W50" s="55"/>
      <c r="X50" s="59">
        <v>13103345</v>
      </c>
      <c r="Y50" s="55"/>
      <c r="Z50" s="54">
        <v>12744198</v>
      </c>
      <c r="AA50" s="55"/>
      <c r="AB50" s="54">
        <v>359147</v>
      </c>
      <c r="AC50" s="55"/>
      <c r="AD50" s="54">
        <v>954091</v>
      </c>
      <c r="AE50" s="55"/>
      <c r="AF50" s="54">
        <v>935379</v>
      </c>
      <c r="AG50" s="55"/>
      <c r="AH50" s="54">
        <v>18712</v>
      </c>
      <c r="AI50" s="55"/>
      <c r="AJ50" s="54">
        <v>1753804</v>
      </c>
      <c r="AK50" s="55"/>
      <c r="AL50" s="54">
        <v>1705415</v>
      </c>
      <c r="AM50" s="55"/>
      <c r="AN50" s="54">
        <v>129406</v>
      </c>
      <c r="AO50" s="55"/>
      <c r="AP50" s="60">
        <v>126903</v>
      </c>
      <c r="AQ50" s="55"/>
      <c r="AR50" s="54">
        <v>29654770</v>
      </c>
      <c r="AS50" s="55"/>
      <c r="AT50" s="59">
        <v>150302485</v>
      </c>
      <c r="AU50" s="51"/>
      <c r="AV50" s="61">
        <v>28.6</v>
      </c>
      <c r="AW50" s="51" t="s">
        <v>21</v>
      </c>
      <c r="AX50" s="51" t="s">
        <v>514</v>
      </c>
    </row>
    <row r="51" spans="1:50">
      <c r="A51" s="51" t="s">
        <v>606</v>
      </c>
      <c r="B51" s="51" t="s">
        <v>607</v>
      </c>
      <c r="C51" s="51" t="s">
        <v>524</v>
      </c>
      <c r="D51" s="52">
        <v>9030</v>
      </c>
      <c r="E51" s="53">
        <v>90030</v>
      </c>
      <c r="F51" s="51" t="s">
        <v>525</v>
      </c>
      <c r="G51" s="51" t="s">
        <v>511</v>
      </c>
      <c r="H51" s="54">
        <v>2956746</v>
      </c>
      <c r="I51" s="55">
        <v>205</v>
      </c>
      <c r="J51" s="51" t="s">
        <v>521</v>
      </c>
      <c r="K51" s="51" t="s">
        <v>520</v>
      </c>
      <c r="L51" s="56">
        <v>24</v>
      </c>
      <c r="M51" s="51"/>
      <c r="N51" s="57">
        <v>4</v>
      </c>
      <c r="O51" s="55"/>
      <c r="P51" s="58">
        <v>31.677499999999998</v>
      </c>
      <c r="Q51" s="55"/>
      <c r="R51" s="58">
        <v>26.441199999999998</v>
      </c>
      <c r="S51" s="55"/>
      <c r="T51" s="58">
        <v>25.204499999999999</v>
      </c>
      <c r="U51" s="55"/>
      <c r="V51" s="54">
        <v>1181583</v>
      </c>
      <c r="W51" s="55"/>
      <c r="X51" s="59">
        <v>1254334</v>
      </c>
      <c r="Y51" s="55"/>
      <c r="Z51" s="54">
        <v>1186577</v>
      </c>
      <c r="AA51" s="55"/>
      <c r="AB51" s="54">
        <v>67757</v>
      </c>
      <c r="AC51" s="55"/>
      <c r="AD51" s="54">
        <v>42212</v>
      </c>
      <c r="AE51" s="55"/>
      <c r="AF51" s="54">
        <v>37458</v>
      </c>
      <c r="AG51" s="55"/>
      <c r="AH51" s="54">
        <v>4754</v>
      </c>
      <c r="AI51" s="55"/>
      <c r="AJ51" s="54">
        <v>243076</v>
      </c>
      <c r="AK51" s="55"/>
      <c r="AL51" s="54">
        <v>230008</v>
      </c>
      <c r="AM51" s="55"/>
      <c r="AN51" s="54">
        <v>7881</v>
      </c>
      <c r="AO51" s="55"/>
      <c r="AP51" s="60">
        <v>7305</v>
      </c>
      <c r="AQ51" s="55"/>
      <c r="AR51" s="54">
        <v>944109</v>
      </c>
      <c r="AS51" s="55"/>
      <c r="AT51" s="59">
        <v>24963395</v>
      </c>
      <c r="AU51" s="51"/>
      <c r="AV51" s="61">
        <v>82.2</v>
      </c>
      <c r="AW51" s="51" t="s">
        <v>21</v>
      </c>
      <c r="AX51" s="51" t="s">
        <v>514</v>
      </c>
    </row>
    <row r="52" spans="1:50">
      <c r="A52" s="51" t="s">
        <v>608</v>
      </c>
      <c r="B52" s="51" t="s">
        <v>523</v>
      </c>
      <c r="C52" s="51" t="s">
        <v>524</v>
      </c>
      <c r="D52" s="52">
        <v>9151</v>
      </c>
      <c r="E52" s="53">
        <v>90151</v>
      </c>
      <c r="F52" s="51" t="s">
        <v>525</v>
      </c>
      <c r="G52" s="51" t="s">
        <v>511</v>
      </c>
      <c r="H52" s="54">
        <v>12150996</v>
      </c>
      <c r="I52" s="55">
        <v>195</v>
      </c>
      <c r="J52" s="51" t="s">
        <v>521</v>
      </c>
      <c r="K52" s="51" t="s">
        <v>520</v>
      </c>
      <c r="L52" s="56">
        <v>195</v>
      </c>
      <c r="M52" s="51"/>
      <c r="N52" s="57">
        <v>40</v>
      </c>
      <c r="O52" s="55"/>
      <c r="P52" s="58">
        <v>36.3401</v>
      </c>
      <c r="Q52" s="55"/>
      <c r="R52" s="58">
        <v>34.358199999999997</v>
      </c>
      <c r="S52" s="55" t="s">
        <v>532</v>
      </c>
      <c r="T52" s="58">
        <v>26.057400000000001</v>
      </c>
      <c r="U52" s="55" t="s">
        <v>532</v>
      </c>
      <c r="V52" s="54">
        <v>13061501</v>
      </c>
      <c r="W52" s="55"/>
      <c r="X52" s="59">
        <v>13618637</v>
      </c>
      <c r="Y52" s="55"/>
      <c r="Z52" s="54">
        <v>13049429</v>
      </c>
      <c r="AA52" s="55"/>
      <c r="AB52" s="54">
        <v>569208</v>
      </c>
      <c r="AC52" s="55"/>
      <c r="AD52" s="54">
        <v>387165</v>
      </c>
      <c r="AE52" s="55"/>
      <c r="AF52" s="54">
        <v>359092</v>
      </c>
      <c r="AG52" s="55"/>
      <c r="AH52" s="54">
        <v>28073</v>
      </c>
      <c r="AI52" s="55"/>
      <c r="AJ52" s="54">
        <v>2786037</v>
      </c>
      <c r="AK52" s="55"/>
      <c r="AL52" s="54">
        <v>2674879</v>
      </c>
      <c r="AM52" s="55"/>
      <c r="AN52" s="54">
        <v>80963</v>
      </c>
      <c r="AO52" s="55"/>
      <c r="AP52" s="60">
        <v>73871</v>
      </c>
      <c r="AQ52" s="55"/>
      <c r="AR52" s="54">
        <v>9357013</v>
      </c>
      <c r="AS52" s="55" t="s">
        <v>532</v>
      </c>
      <c r="AT52" s="59">
        <v>321490316</v>
      </c>
      <c r="AU52" s="51" t="s">
        <v>532</v>
      </c>
      <c r="AV52" s="61">
        <v>826.8</v>
      </c>
      <c r="AW52" s="51" t="s">
        <v>21</v>
      </c>
      <c r="AX52" s="51" t="s">
        <v>533</v>
      </c>
    </row>
    <row r="53" spans="1:50">
      <c r="A53" s="51" t="s">
        <v>609</v>
      </c>
      <c r="B53" s="51" t="s">
        <v>610</v>
      </c>
      <c r="C53" s="51" t="s">
        <v>524</v>
      </c>
      <c r="D53" s="52">
        <v>9134</v>
      </c>
      <c r="E53" s="53">
        <v>90134</v>
      </c>
      <c r="F53" s="51" t="s">
        <v>525</v>
      </c>
      <c r="G53" s="51" t="s">
        <v>511</v>
      </c>
      <c r="H53" s="54">
        <v>3281212</v>
      </c>
      <c r="I53" s="55">
        <v>141</v>
      </c>
      <c r="J53" s="51" t="s">
        <v>521</v>
      </c>
      <c r="K53" s="51" t="s">
        <v>520</v>
      </c>
      <c r="L53" s="56">
        <v>111</v>
      </c>
      <c r="M53" s="51"/>
      <c r="N53" s="57">
        <v>20</v>
      </c>
      <c r="O53" s="55"/>
      <c r="P53" s="58">
        <v>32.338700000000003</v>
      </c>
      <c r="Q53" s="55"/>
      <c r="R53" s="58">
        <v>22.0776</v>
      </c>
      <c r="S53" s="55"/>
      <c r="T53" s="58">
        <v>68.261899999999997</v>
      </c>
      <c r="U53" s="55"/>
      <c r="V53" s="54">
        <v>6469218</v>
      </c>
      <c r="W53" s="55"/>
      <c r="X53" s="59">
        <v>6644705</v>
      </c>
      <c r="Y53" s="55"/>
      <c r="Z53" s="54">
        <v>6486852</v>
      </c>
      <c r="AA53" s="55"/>
      <c r="AB53" s="54">
        <v>157853</v>
      </c>
      <c r="AC53" s="55"/>
      <c r="AD53" s="54">
        <v>216487</v>
      </c>
      <c r="AE53" s="55"/>
      <c r="AF53" s="54">
        <v>200591</v>
      </c>
      <c r="AG53" s="55"/>
      <c r="AH53" s="54">
        <v>15896</v>
      </c>
      <c r="AI53" s="55"/>
      <c r="AJ53" s="54">
        <v>1179829</v>
      </c>
      <c r="AK53" s="55"/>
      <c r="AL53" s="54">
        <v>1151035</v>
      </c>
      <c r="AM53" s="55"/>
      <c r="AN53" s="54">
        <v>38509</v>
      </c>
      <c r="AO53" s="55"/>
      <c r="AP53" s="60">
        <v>35662</v>
      </c>
      <c r="AQ53" s="55"/>
      <c r="AR53" s="54">
        <v>13692716</v>
      </c>
      <c r="AS53" s="55"/>
      <c r="AT53" s="59">
        <v>302302869</v>
      </c>
      <c r="AU53" s="51"/>
      <c r="AV53" s="61">
        <v>153.68</v>
      </c>
      <c r="AW53" s="51" t="s">
        <v>21</v>
      </c>
      <c r="AX53" s="51" t="s">
        <v>514</v>
      </c>
    </row>
    <row r="54" spans="1:50">
      <c r="A54" s="51" t="s">
        <v>611</v>
      </c>
      <c r="B54" s="51" t="s">
        <v>612</v>
      </c>
      <c r="C54" s="51" t="s">
        <v>592</v>
      </c>
      <c r="D54" s="52">
        <v>3073</v>
      </c>
      <c r="E54" s="53">
        <v>30073</v>
      </c>
      <c r="F54" s="51" t="s">
        <v>525</v>
      </c>
      <c r="G54" s="51" t="s">
        <v>511</v>
      </c>
      <c r="H54" s="54">
        <v>4586770</v>
      </c>
      <c r="I54" s="55">
        <v>99</v>
      </c>
      <c r="J54" s="51" t="s">
        <v>521</v>
      </c>
      <c r="K54" s="51" t="s">
        <v>520</v>
      </c>
      <c r="L54" s="56">
        <v>99</v>
      </c>
      <c r="M54" s="51"/>
      <c r="N54" s="57">
        <v>32</v>
      </c>
      <c r="O54" s="55"/>
      <c r="P54" s="58">
        <v>30.826899999999998</v>
      </c>
      <c r="Q54" s="55"/>
      <c r="R54" s="58">
        <v>30.3917</v>
      </c>
      <c r="S54" s="55"/>
      <c r="T54" s="58">
        <v>46.2879</v>
      </c>
      <c r="U54" s="55"/>
      <c r="V54" s="54">
        <v>2148620</v>
      </c>
      <c r="W54" s="55"/>
      <c r="X54" s="59">
        <v>2234620</v>
      </c>
      <c r="Y54" s="55"/>
      <c r="Z54" s="54">
        <v>2146074</v>
      </c>
      <c r="AA54" s="55"/>
      <c r="AB54" s="54">
        <v>88546</v>
      </c>
      <c r="AC54" s="55"/>
      <c r="AD54" s="54">
        <v>76838</v>
      </c>
      <c r="AE54" s="55"/>
      <c r="AF54" s="54">
        <v>69617</v>
      </c>
      <c r="AG54" s="55"/>
      <c r="AH54" s="54">
        <v>7221</v>
      </c>
      <c r="AI54" s="55"/>
      <c r="AJ54" s="54">
        <v>333795</v>
      </c>
      <c r="AK54" s="55"/>
      <c r="AL54" s="54">
        <v>320541</v>
      </c>
      <c r="AM54" s="55"/>
      <c r="AN54" s="54">
        <v>11411</v>
      </c>
      <c r="AO54" s="55"/>
      <c r="AP54" s="60">
        <v>10330</v>
      </c>
      <c r="AQ54" s="55"/>
      <c r="AR54" s="54">
        <v>3222428</v>
      </c>
      <c r="AS54" s="55"/>
      <c r="AT54" s="59">
        <v>97935058</v>
      </c>
      <c r="AU54" s="51"/>
      <c r="AV54" s="61">
        <v>173.62</v>
      </c>
      <c r="AW54" s="51" t="s">
        <v>21</v>
      </c>
      <c r="AX54" s="51" t="s">
        <v>514</v>
      </c>
    </row>
    <row r="55" spans="1:50">
      <c r="A55" s="51" t="s">
        <v>613</v>
      </c>
      <c r="B55" s="51" t="s">
        <v>614</v>
      </c>
      <c r="C55" s="51" t="s">
        <v>517</v>
      </c>
      <c r="D55" s="52">
        <v>2075</v>
      </c>
      <c r="E55" s="53">
        <v>20075</v>
      </c>
      <c r="F55" s="51" t="s">
        <v>525</v>
      </c>
      <c r="G55" s="51" t="s">
        <v>511</v>
      </c>
      <c r="H55" s="54">
        <v>5441567</v>
      </c>
      <c r="I55" s="55">
        <v>78</v>
      </c>
      <c r="J55" s="51" t="s">
        <v>512</v>
      </c>
      <c r="K55" s="51" t="s">
        <v>513</v>
      </c>
      <c r="L55" s="56">
        <v>78</v>
      </c>
      <c r="M55" s="51"/>
      <c r="N55" s="57">
        <v>11</v>
      </c>
      <c r="O55" s="55"/>
      <c r="P55" s="58">
        <v>31.0718</v>
      </c>
      <c r="Q55" s="55"/>
      <c r="R55" s="58">
        <v>8.5806000000000004</v>
      </c>
      <c r="S55" s="55"/>
      <c r="T55" s="58">
        <v>27.423500000000001</v>
      </c>
      <c r="U55" s="55"/>
      <c r="V55" s="54">
        <v>5618718</v>
      </c>
      <c r="W55" s="55"/>
      <c r="X55" s="59">
        <v>4662890</v>
      </c>
      <c r="Y55" s="55"/>
      <c r="Z55" s="54">
        <v>4474868</v>
      </c>
      <c r="AA55" s="55"/>
      <c r="AB55" s="54">
        <v>188022</v>
      </c>
      <c r="AC55" s="55"/>
      <c r="AD55" s="54">
        <v>154306</v>
      </c>
      <c r="AE55" s="55"/>
      <c r="AF55" s="54">
        <v>144017</v>
      </c>
      <c r="AG55" s="55"/>
      <c r="AH55" s="54">
        <v>10289</v>
      </c>
      <c r="AI55" s="55"/>
      <c r="AJ55" s="54">
        <v>899973</v>
      </c>
      <c r="AK55" s="55"/>
      <c r="AL55" s="54">
        <v>836001</v>
      </c>
      <c r="AM55" s="55"/>
      <c r="AN55" s="54">
        <v>31034</v>
      </c>
      <c r="AO55" s="55"/>
      <c r="AP55" s="60">
        <v>28828</v>
      </c>
      <c r="AQ55" s="55"/>
      <c r="AR55" s="54">
        <v>3949450</v>
      </c>
      <c r="AS55" s="55"/>
      <c r="AT55" s="59">
        <v>33888694</v>
      </c>
      <c r="AU55" s="51"/>
      <c r="AV55" s="61">
        <v>31.5</v>
      </c>
      <c r="AW55" s="51" t="s">
        <v>21</v>
      </c>
      <c r="AX55" s="51" t="s">
        <v>514</v>
      </c>
    </row>
    <row r="56" spans="1:50">
      <c r="A56" s="51" t="s">
        <v>615</v>
      </c>
      <c r="B56" s="51" t="s">
        <v>616</v>
      </c>
      <c r="C56" s="51" t="s">
        <v>617</v>
      </c>
      <c r="D56" s="52">
        <v>5104</v>
      </c>
      <c r="E56" s="53">
        <v>50104</v>
      </c>
      <c r="F56" s="51" t="s">
        <v>525</v>
      </c>
      <c r="G56" s="51" t="s">
        <v>511</v>
      </c>
      <c r="H56" s="54">
        <v>8608208</v>
      </c>
      <c r="I56" s="55">
        <v>70</v>
      </c>
      <c r="J56" s="51" t="s">
        <v>521</v>
      </c>
      <c r="K56" s="51" t="s">
        <v>513</v>
      </c>
      <c r="L56" s="56">
        <v>70</v>
      </c>
      <c r="M56" s="51"/>
      <c r="N56" s="57">
        <v>17</v>
      </c>
      <c r="O56" s="55"/>
      <c r="P56" s="58">
        <v>34.768900000000002</v>
      </c>
      <c r="Q56" s="55"/>
      <c r="R56" s="58">
        <v>33</v>
      </c>
      <c r="S56" s="55"/>
      <c r="T56" s="58">
        <v>8.8186</v>
      </c>
      <c r="U56" s="55"/>
      <c r="V56" s="54">
        <v>4013838</v>
      </c>
      <c r="W56" s="55"/>
      <c r="X56" s="59">
        <v>3988838</v>
      </c>
      <c r="Y56" s="55"/>
      <c r="Z56" s="54">
        <v>3923145</v>
      </c>
      <c r="AA56" s="55"/>
      <c r="AB56" s="54">
        <v>65693</v>
      </c>
      <c r="AC56" s="55"/>
      <c r="AD56" s="54">
        <v>114811</v>
      </c>
      <c r="AE56" s="55"/>
      <c r="AF56" s="54">
        <v>112835</v>
      </c>
      <c r="AG56" s="55"/>
      <c r="AH56" s="54">
        <v>1976</v>
      </c>
      <c r="AI56" s="55"/>
      <c r="AJ56" s="54">
        <v>739801</v>
      </c>
      <c r="AK56" s="55"/>
      <c r="AL56" s="54">
        <v>724288</v>
      </c>
      <c r="AM56" s="55"/>
      <c r="AN56" s="54">
        <v>21331</v>
      </c>
      <c r="AO56" s="55"/>
      <c r="AP56" s="60">
        <v>20981</v>
      </c>
      <c r="AQ56" s="55"/>
      <c r="AR56" s="54">
        <v>995049</v>
      </c>
      <c r="AS56" s="55"/>
      <c r="AT56" s="59">
        <v>32836617</v>
      </c>
      <c r="AU56" s="51"/>
      <c r="AV56" s="61">
        <v>179.8</v>
      </c>
      <c r="AW56" s="51" t="s">
        <v>21</v>
      </c>
      <c r="AX56" s="51" t="s">
        <v>514</v>
      </c>
    </row>
    <row r="57" spans="1:50">
      <c r="A57" s="51" t="s">
        <v>618</v>
      </c>
      <c r="B57" s="51" t="s">
        <v>619</v>
      </c>
      <c r="C57" s="51" t="s">
        <v>550</v>
      </c>
      <c r="D57" s="52">
        <v>4077</v>
      </c>
      <c r="E57" s="53">
        <v>40077</v>
      </c>
      <c r="F57" s="51" t="s">
        <v>525</v>
      </c>
      <c r="G57" s="51" t="s">
        <v>511</v>
      </c>
      <c r="H57" s="54">
        <v>5502379</v>
      </c>
      <c r="I57" s="55">
        <v>65</v>
      </c>
      <c r="J57" s="51" t="s">
        <v>521</v>
      </c>
      <c r="K57" s="51" t="s">
        <v>520</v>
      </c>
      <c r="L57" s="56">
        <v>43</v>
      </c>
      <c r="M57" s="51"/>
      <c r="N57" s="57">
        <v>10</v>
      </c>
      <c r="O57" s="55"/>
      <c r="P57" s="58">
        <v>27.9588</v>
      </c>
      <c r="Q57" s="55"/>
      <c r="R57" s="58">
        <v>27.164899999999999</v>
      </c>
      <c r="S57" s="55"/>
      <c r="T57" s="58">
        <v>31.171099999999999</v>
      </c>
      <c r="U57" s="55"/>
      <c r="V57" s="54">
        <v>3327000</v>
      </c>
      <c r="W57" s="55"/>
      <c r="X57" s="59">
        <v>3379135</v>
      </c>
      <c r="Y57" s="55"/>
      <c r="Z57" s="54">
        <v>3159070</v>
      </c>
      <c r="AA57" s="55"/>
      <c r="AB57" s="54">
        <v>220065</v>
      </c>
      <c r="AC57" s="55"/>
      <c r="AD57" s="54">
        <v>125765</v>
      </c>
      <c r="AE57" s="55"/>
      <c r="AF57" s="54">
        <v>112990</v>
      </c>
      <c r="AG57" s="55"/>
      <c r="AH57" s="54">
        <v>12775</v>
      </c>
      <c r="AI57" s="55"/>
      <c r="AJ57" s="54">
        <v>1016844</v>
      </c>
      <c r="AK57" s="55"/>
      <c r="AL57" s="54">
        <v>958905</v>
      </c>
      <c r="AM57" s="55"/>
      <c r="AN57" s="54">
        <v>37346</v>
      </c>
      <c r="AO57" s="55"/>
      <c r="AP57" s="60">
        <v>33681</v>
      </c>
      <c r="AQ57" s="55"/>
      <c r="AR57" s="54">
        <v>3522017</v>
      </c>
      <c r="AS57" s="55"/>
      <c r="AT57" s="59">
        <v>95675095</v>
      </c>
      <c r="AU57" s="51"/>
      <c r="AV57" s="61">
        <v>142.24</v>
      </c>
      <c r="AW57" s="51" t="s">
        <v>21</v>
      </c>
      <c r="AX57" s="51" t="s">
        <v>514</v>
      </c>
    </row>
    <row r="58" spans="1:50">
      <c r="A58" s="51" t="s">
        <v>620</v>
      </c>
      <c r="B58" s="51" t="s">
        <v>621</v>
      </c>
      <c r="C58" s="51" t="s">
        <v>622</v>
      </c>
      <c r="D58" s="52">
        <v>6111</v>
      </c>
      <c r="E58" s="53">
        <v>60111</v>
      </c>
      <c r="F58" s="51" t="s">
        <v>525</v>
      </c>
      <c r="G58" s="51" t="s">
        <v>511</v>
      </c>
      <c r="H58" s="54">
        <v>741318</v>
      </c>
      <c r="I58" s="55">
        <v>58</v>
      </c>
      <c r="J58" s="51" t="s">
        <v>521</v>
      </c>
      <c r="K58" s="51" t="s">
        <v>520</v>
      </c>
      <c r="L58" s="56">
        <v>25</v>
      </c>
      <c r="M58" s="51"/>
      <c r="N58" s="57">
        <v>7</v>
      </c>
      <c r="O58" s="55"/>
      <c r="P58" s="58">
        <v>37.376199999999997</v>
      </c>
      <c r="Q58" s="55"/>
      <c r="R58" s="58">
        <v>46.606200000000001</v>
      </c>
      <c r="S58" s="55"/>
      <c r="T58" s="58">
        <v>20.342199999999998</v>
      </c>
      <c r="U58" s="55"/>
      <c r="V58" s="54">
        <v>949106</v>
      </c>
      <c r="W58" s="55"/>
      <c r="X58" s="59">
        <v>965030</v>
      </c>
      <c r="Y58" s="55"/>
      <c r="Z58" s="54">
        <v>948235</v>
      </c>
      <c r="AA58" s="55"/>
      <c r="AB58" s="54">
        <v>16795</v>
      </c>
      <c r="AC58" s="55"/>
      <c r="AD58" s="54">
        <v>26411</v>
      </c>
      <c r="AE58" s="55"/>
      <c r="AF58" s="54">
        <v>25370</v>
      </c>
      <c r="AG58" s="55"/>
      <c r="AH58" s="54">
        <v>1041</v>
      </c>
      <c r="AI58" s="55"/>
      <c r="AJ58" s="54">
        <v>350454</v>
      </c>
      <c r="AK58" s="55"/>
      <c r="AL58" s="54">
        <v>318879</v>
      </c>
      <c r="AM58" s="55"/>
      <c r="AN58" s="54">
        <v>8899</v>
      </c>
      <c r="AO58" s="55"/>
      <c r="AP58" s="60">
        <v>8580</v>
      </c>
      <c r="AQ58" s="55"/>
      <c r="AR58" s="54">
        <v>516082</v>
      </c>
      <c r="AS58" s="55"/>
      <c r="AT58" s="59">
        <v>24052625</v>
      </c>
      <c r="AU58" s="51"/>
      <c r="AV58" s="61">
        <v>193.1</v>
      </c>
      <c r="AW58" s="51" t="s">
        <v>21</v>
      </c>
      <c r="AX58" s="51" t="s">
        <v>514</v>
      </c>
    </row>
    <row r="59" spans="1:50">
      <c r="A59" s="51" t="s">
        <v>623</v>
      </c>
      <c r="B59" s="51" t="s">
        <v>624</v>
      </c>
      <c r="C59" s="51" t="s">
        <v>625</v>
      </c>
      <c r="D59" s="52">
        <v>4094</v>
      </c>
      <c r="E59" s="53">
        <v>40094</v>
      </c>
      <c r="F59" s="51" t="s">
        <v>547</v>
      </c>
      <c r="G59" s="51" t="s">
        <v>511</v>
      </c>
      <c r="H59" s="54">
        <v>2148346</v>
      </c>
      <c r="I59" s="55">
        <v>54</v>
      </c>
      <c r="J59" s="51" t="s">
        <v>512</v>
      </c>
      <c r="K59" s="51" t="s">
        <v>520</v>
      </c>
      <c r="L59" s="56">
        <v>32</v>
      </c>
      <c r="M59" s="51"/>
      <c r="N59" s="57">
        <v>8</v>
      </c>
      <c r="O59" s="55"/>
      <c r="P59" s="58">
        <v>18.242100000000001</v>
      </c>
      <c r="Q59" s="55"/>
      <c r="R59" s="58">
        <v>4.7439</v>
      </c>
      <c r="S59" s="55"/>
      <c r="T59" s="58">
        <v>48.951300000000003</v>
      </c>
      <c r="U59" s="55"/>
      <c r="V59" s="54">
        <v>1280494</v>
      </c>
      <c r="W59" s="55"/>
      <c r="X59" s="59">
        <v>1388955</v>
      </c>
      <c r="Y59" s="55"/>
      <c r="Z59" s="54">
        <v>1315913</v>
      </c>
      <c r="AA59" s="55"/>
      <c r="AB59" s="54">
        <v>73042</v>
      </c>
      <c r="AC59" s="55"/>
      <c r="AD59" s="54">
        <v>75239</v>
      </c>
      <c r="AE59" s="55"/>
      <c r="AF59" s="54">
        <v>72136</v>
      </c>
      <c r="AG59" s="55"/>
      <c r="AH59" s="54">
        <v>3103</v>
      </c>
      <c r="AI59" s="55"/>
      <c r="AJ59" s="54">
        <v>434149</v>
      </c>
      <c r="AK59" s="55"/>
      <c r="AL59" s="54">
        <v>411208</v>
      </c>
      <c r="AM59" s="55"/>
      <c r="AN59" s="54">
        <v>23224</v>
      </c>
      <c r="AO59" s="55"/>
      <c r="AP59" s="60">
        <v>22380</v>
      </c>
      <c r="AQ59" s="55"/>
      <c r="AR59" s="54">
        <v>3531150</v>
      </c>
      <c r="AS59" s="55"/>
      <c r="AT59" s="59">
        <v>16751299</v>
      </c>
      <c r="AU59" s="51"/>
      <c r="AV59" s="61">
        <v>20.62</v>
      </c>
      <c r="AW59" s="51" t="s">
        <v>21</v>
      </c>
      <c r="AX59" s="51" t="s">
        <v>514</v>
      </c>
    </row>
    <row r="60" spans="1:50">
      <c r="A60" s="51" t="s">
        <v>626</v>
      </c>
      <c r="B60" s="51" t="s">
        <v>627</v>
      </c>
      <c r="C60" s="51" t="s">
        <v>628</v>
      </c>
      <c r="D60" s="52">
        <v>4159</v>
      </c>
      <c r="E60" s="53">
        <v>40159</v>
      </c>
      <c r="F60" s="51" t="s">
        <v>525</v>
      </c>
      <c r="G60" s="51" t="s">
        <v>511</v>
      </c>
      <c r="H60" s="54">
        <v>969587</v>
      </c>
      <c r="I60" s="55">
        <v>46</v>
      </c>
      <c r="J60" s="51" t="s">
        <v>521</v>
      </c>
      <c r="K60" s="51" t="s">
        <v>520</v>
      </c>
      <c r="L60" s="56">
        <v>8</v>
      </c>
      <c r="M60" s="51"/>
      <c r="N60" s="57">
        <v>2</v>
      </c>
      <c r="O60" s="55"/>
      <c r="P60" s="58">
        <v>27.200099999999999</v>
      </c>
      <c r="Q60" s="55"/>
      <c r="R60" s="58">
        <v>15.894600000000001</v>
      </c>
      <c r="S60" s="55"/>
      <c r="T60" s="58">
        <v>31.578299999999999</v>
      </c>
      <c r="U60" s="55"/>
      <c r="V60" s="54">
        <v>185032</v>
      </c>
      <c r="W60" s="55"/>
      <c r="X60" s="59">
        <v>208873</v>
      </c>
      <c r="Y60" s="55"/>
      <c r="Z60" s="54">
        <v>184417</v>
      </c>
      <c r="AA60" s="55"/>
      <c r="AB60" s="54">
        <v>24456</v>
      </c>
      <c r="AC60" s="55"/>
      <c r="AD60" s="54">
        <v>9329</v>
      </c>
      <c r="AE60" s="55"/>
      <c r="AF60" s="54">
        <v>6780</v>
      </c>
      <c r="AG60" s="55"/>
      <c r="AH60" s="54">
        <v>2549</v>
      </c>
      <c r="AI60" s="55"/>
      <c r="AJ60" s="54">
        <v>80763</v>
      </c>
      <c r="AK60" s="55"/>
      <c r="AL60" s="54">
        <v>75873</v>
      </c>
      <c r="AM60" s="55"/>
      <c r="AN60" s="54">
        <v>3127</v>
      </c>
      <c r="AO60" s="55"/>
      <c r="AP60" s="60">
        <v>2616</v>
      </c>
      <c r="AQ60" s="55"/>
      <c r="AR60" s="54">
        <v>214101</v>
      </c>
      <c r="AS60" s="55"/>
      <c r="AT60" s="59">
        <v>3403059</v>
      </c>
      <c r="AU60" s="51"/>
      <c r="AV60" s="61">
        <v>62.8</v>
      </c>
      <c r="AW60" s="51" t="s">
        <v>21</v>
      </c>
      <c r="AX60" s="51" t="s">
        <v>514</v>
      </c>
    </row>
    <row r="61" spans="1:50">
      <c r="A61" s="51" t="s">
        <v>629</v>
      </c>
      <c r="B61" s="51" t="s">
        <v>630</v>
      </c>
      <c r="C61" s="51" t="s">
        <v>509</v>
      </c>
      <c r="D61" s="52">
        <v>2099</v>
      </c>
      <c r="E61" s="53">
        <v>20099</v>
      </c>
      <c r="F61" s="51" t="s">
        <v>510</v>
      </c>
      <c r="G61" s="51" t="s">
        <v>511</v>
      </c>
      <c r="H61" s="54">
        <v>18351295</v>
      </c>
      <c r="I61" s="55">
        <v>44</v>
      </c>
      <c r="J61" s="51" t="s">
        <v>512</v>
      </c>
      <c r="K61" s="51" t="s">
        <v>513</v>
      </c>
      <c r="L61" s="56">
        <v>44</v>
      </c>
      <c r="M61" s="51"/>
      <c r="N61" s="57">
        <v>11</v>
      </c>
      <c r="O61" s="55"/>
      <c r="P61" s="58">
        <v>14.9787</v>
      </c>
      <c r="Q61" s="55"/>
      <c r="R61" s="58">
        <v>6.2369000000000003</v>
      </c>
      <c r="S61" s="55"/>
      <c r="T61" s="58">
        <v>20.2651</v>
      </c>
      <c r="U61" s="55"/>
      <c r="V61" s="54">
        <v>2119585</v>
      </c>
      <c r="W61" s="55"/>
      <c r="X61" s="59">
        <v>2255067</v>
      </c>
      <c r="Y61" s="55"/>
      <c r="Z61" s="54">
        <v>2005981</v>
      </c>
      <c r="AA61" s="55"/>
      <c r="AB61" s="54">
        <v>249086</v>
      </c>
      <c r="AC61" s="55"/>
      <c r="AD61" s="54">
        <v>144198</v>
      </c>
      <c r="AE61" s="55"/>
      <c r="AF61" s="54">
        <v>133922</v>
      </c>
      <c r="AG61" s="55"/>
      <c r="AH61" s="54">
        <v>10276</v>
      </c>
      <c r="AI61" s="55"/>
      <c r="AJ61" s="54">
        <v>563767</v>
      </c>
      <c r="AK61" s="55"/>
      <c r="AL61" s="54">
        <v>501496</v>
      </c>
      <c r="AM61" s="55"/>
      <c r="AN61" s="54">
        <v>36049</v>
      </c>
      <c r="AO61" s="55"/>
      <c r="AP61" s="60">
        <v>33480</v>
      </c>
      <c r="AQ61" s="55"/>
      <c r="AR61" s="54">
        <v>2713941</v>
      </c>
      <c r="AS61" s="55"/>
      <c r="AT61" s="59">
        <v>16926538</v>
      </c>
      <c r="AU61" s="51"/>
      <c r="AV61" s="61">
        <v>28.6</v>
      </c>
      <c r="AW61" s="51" t="s">
        <v>21</v>
      </c>
      <c r="AX61" s="51" t="s">
        <v>514</v>
      </c>
    </row>
    <row r="62" spans="1:50">
      <c r="A62" s="51" t="s">
        <v>631</v>
      </c>
      <c r="B62" s="51" t="s">
        <v>632</v>
      </c>
      <c r="C62" s="51" t="s">
        <v>633</v>
      </c>
      <c r="D62" s="52">
        <v>1102</v>
      </c>
      <c r="E62" s="53">
        <v>10102</v>
      </c>
      <c r="F62" s="51" t="s">
        <v>547</v>
      </c>
      <c r="G62" s="51" t="s">
        <v>511</v>
      </c>
      <c r="H62" s="54">
        <v>924859</v>
      </c>
      <c r="I62" s="55">
        <v>43</v>
      </c>
      <c r="J62" s="51" t="s">
        <v>521</v>
      </c>
      <c r="K62" s="51" t="s">
        <v>520</v>
      </c>
      <c r="L62" s="56">
        <v>28</v>
      </c>
      <c r="M62" s="51"/>
      <c r="N62" s="57">
        <v>5</v>
      </c>
      <c r="O62" s="55"/>
      <c r="P62" s="58">
        <v>41.5304</v>
      </c>
      <c r="Q62" s="55"/>
      <c r="R62" s="58">
        <v>26.974699999999999</v>
      </c>
      <c r="S62" s="55"/>
      <c r="T62" s="58">
        <v>14.137</v>
      </c>
      <c r="U62" s="55"/>
      <c r="V62" s="54">
        <v>1532134</v>
      </c>
      <c r="W62" s="55"/>
      <c r="X62" s="59">
        <v>1717047</v>
      </c>
      <c r="Y62" s="55"/>
      <c r="Z62" s="54">
        <v>1403229</v>
      </c>
      <c r="AA62" s="55"/>
      <c r="AB62" s="54">
        <v>313818</v>
      </c>
      <c r="AC62" s="55"/>
      <c r="AD62" s="54">
        <v>40817</v>
      </c>
      <c r="AE62" s="55"/>
      <c r="AF62" s="54">
        <v>33788</v>
      </c>
      <c r="AG62" s="55"/>
      <c r="AH62" s="54">
        <v>7029</v>
      </c>
      <c r="AI62" s="55"/>
      <c r="AJ62" s="54">
        <v>501997</v>
      </c>
      <c r="AK62" s="55"/>
      <c r="AL62" s="54">
        <v>418641</v>
      </c>
      <c r="AM62" s="55"/>
      <c r="AN62" s="54">
        <v>11906</v>
      </c>
      <c r="AO62" s="55"/>
      <c r="AP62" s="60">
        <v>9943</v>
      </c>
      <c r="AQ62" s="55"/>
      <c r="AR62" s="54">
        <v>477660</v>
      </c>
      <c r="AS62" s="55"/>
      <c r="AT62" s="59">
        <v>12884750</v>
      </c>
      <c r="AU62" s="51"/>
      <c r="AV62" s="61">
        <v>101.2</v>
      </c>
      <c r="AW62" s="51" t="s">
        <v>21</v>
      </c>
      <c r="AX62" s="51" t="s">
        <v>514</v>
      </c>
    </row>
    <row r="63" spans="1:50">
      <c r="A63" s="51" t="s">
        <v>634</v>
      </c>
      <c r="B63" s="51" t="s">
        <v>635</v>
      </c>
      <c r="C63" s="51" t="s">
        <v>636</v>
      </c>
      <c r="D63" s="52">
        <v>9209</v>
      </c>
      <c r="E63" s="53">
        <v>90209</v>
      </c>
      <c r="F63" s="51" t="s">
        <v>518</v>
      </c>
      <c r="G63" s="51" t="s">
        <v>511</v>
      </c>
      <c r="H63" s="54">
        <v>3629114</v>
      </c>
      <c r="I63" s="55">
        <v>38</v>
      </c>
      <c r="J63" s="51" t="s">
        <v>519</v>
      </c>
      <c r="K63" s="51" t="s">
        <v>520</v>
      </c>
      <c r="L63" s="56">
        <v>38</v>
      </c>
      <c r="M63" s="51"/>
      <c r="N63" s="57">
        <v>17</v>
      </c>
      <c r="O63" s="55"/>
      <c r="P63" s="58">
        <v>15.732699999999999</v>
      </c>
      <c r="Q63" s="55"/>
      <c r="R63" s="58">
        <v>7.0598999999999998</v>
      </c>
      <c r="S63" s="55"/>
      <c r="T63" s="58">
        <v>59.326099999999997</v>
      </c>
      <c r="U63" s="55"/>
      <c r="V63" s="54">
        <v>3379368</v>
      </c>
      <c r="W63" s="55"/>
      <c r="X63" s="59">
        <v>3435184</v>
      </c>
      <c r="Y63" s="55"/>
      <c r="Z63" s="54">
        <v>3401452</v>
      </c>
      <c r="AA63" s="55"/>
      <c r="AB63" s="54">
        <v>33732</v>
      </c>
      <c r="AC63" s="55"/>
      <c r="AD63" s="54">
        <v>220467</v>
      </c>
      <c r="AE63" s="55"/>
      <c r="AF63" s="54">
        <v>216203</v>
      </c>
      <c r="AG63" s="55"/>
      <c r="AH63" s="54">
        <v>4264</v>
      </c>
      <c r="AI63" s="55"/>
      <c r="AJ63" s="54">
        <v>1639416</v>
      </c>
      <c r="AK63" s="55"/>
      <c r="AL63" s="54">
        <v>1623906</v>
      </c>
      <c r="AM63" s="55"/>
      <c r="AN63" s="54">
        <v>105253</v>
      </c>
      <c r="AO63" s="55"/>
      <c r="AP63" s="60">
        <v>103186</v>
      </c>
      <c r="AQ63" s="55"/>
      <c r="AR63" s="54">
        <v>12826471</v>
      </c>
      <c r="AS63" s="55"/>
      <c r="AT63" s="59">
        <v>90553779</v>
      </c>
      <c r="AU63" s="51"/>
      <c r="AV63" s="61">
        <v>54.48</v>
      </c>
      <c r="AW63" s="51" t="s">
        <v>21</v>
      </c>
      <c r="AX63" s="51" t="s">
        <v>514</v>
      </c>
    </row>
    <row r="64" spans="1:50">
      <c r="A64" s="51" t="s">
        <v>637</v>
      </c>
      <c r="B64" s="51" t="s">
        <v>638</v>
      </c>
      <c r="C64" s="51" t="s">
        <v>524</v>
      </c>
      <c r="D64" s="52">
        <v>9182</v>
      </c>
      <c r="E64" s="53">
        <v>90182</v>
      </c>
      <c r="F64" s="51" t="s">
        <v>525</v>
      </c>
      <c r="G64" s="51" t="s">
        <v>511</v>
      </c>
      <c r="H64" s="54">
        <v>370583</v>
      </c>
      <c r="I64" s="55">
        <v>35</v>
      </c>
      <c r="J64" s="51" t="s">
        <v>521</v>
      </c>
      <c r="K64" s="51" t="s">
        <v>520</v>
      </c>
      <c r="L64" s="56">
        <v>35</v>
      </c>
      <c r="M64" s="51"/>
      <c r="N64" s="57">
        <v>7</v>
      </c>
      <c r="O64" s="55"/>
      <c r="P64" s="58">
        <v>39.364699999999999</v>
      </c>
      <c r="Q64" s="55"/>
      <c r="R64" s="58">
        <v>43.7104</v>
      </c>
      <c r="S64" s="55"/>
      <c r="T64" s="58">
        <v>41.436999999999998</v>
      </c>
      <c r="U64" s="55"/>
      <c r="V64" s="54">
        <v>1050950</v>
      </c>
      <c r="W64" s="55"/>
      <c r="X64" s="59">
        <v>1050950</v>
      </c>
      <c r="Y64" s="55"/>
      <c r="Z64" s="54">
        <v>1008877</v>
      </c>
      <c r="AA64" s="55"/>
      <c r="AB64" s="54">
        <v>42073</v>
      </c>
      <c r="AC64" s="55"/>
      <c r="AD64" s="54">
        <v>31545</v>
      </c>
      <c r="AE64" s="55"/>
      <c r="AF64" s="54">
        <v>25629</v>
      </c>
      <c r="AG64" s="55"/>
      <c r="AH64" s="54">
        <v>5916</v>
      </c>
      <c r="AI64" s="55"/>
      <c r="AJ64" s="54">
        <v>168072</v>
      </c>
      <c r="AK64" s="55"/>
      <c r="AL64" s="54">
        <v>158131</v>
      </c>
      <c r="AM64" s="55"/>
      <c r="AN64" s="54">
        <v>4801</v>
      </c>
      <c r="AO64" s="55"/>
      <c r="AP64" s="60">
        <v>4126</v>
      </c>
      <c r="AQ64" s="55"/>
      <c r="AR64" s="54">
        <v>1061990</v>
      </c>
      <c r="AS64" s="55"/>
      <c r="AT64" s="59">
        <v>46419957</v>
      </c>
      <c r="AU64" s="51"/>
      <c r="AV64" s="61">
        <v>172</v>
      </c>
      <c r="AW64" s="51" t="s">
        <v>21</v>
      </c>
      <c r="AX64" s="51" t="s">
        <v>514</v>
      </c>
    </row>
    <row r="65" spans="1:50">
      <c r="A65" s="51" t="s">
        <v>639</v>
      </c>
      <c r="B65" s="51" t="s">
        <v>640</v>
      </c>
      <c r="C65" s="51" t="s">
        <v>550</v>
      </c>
      <c r="D65" s="52">
        <v>4232</v>
      </c>
      <c r="E65" s="53">
        <v>40232</v>
      </c>
      <c r="F65" s="51" t="s">
        <v>547</v>
      </c>
      <c r="G65" s="51" t="s">
        <v>511</v>
      </c>
      <c r="H65" s="54">
        <v>1510516</v>
      </c>
      <c r="I65" s="55">
        <v>25</v>
      </c>
      <c r="J65" s="51" t="s">
        <v>521</v>
      </c>
      <c r="K65" s="51" t="s">
        <v>520</v>
      </c>
      <c r="L65" s="56">
        <v>25</v>
      </c>
      <c r="M65" s="51"/>
      <c r="N65" s="57">
        <v>7</v>
      </c>
      <c r="O65" s="55"/>
      <c r="P65" s="58">
        <v>27.875299999999999</v>
      </c>
      <c r="Q65" s="55"/>
      <c r="R65" s="58">
        <v>16.655999999999999</v>
      </c>
      <c r="S65" s="55"/>
      <c r="T65" s="58">
        <v>36.110199999999999</v>
      </c>
      <c r="U65" s="55"/>
      <c r="V65" s="54">
        <v>961119</v>
      </c>
      <c r="W65" s="55"/>
      <c r="X65" s="59">
        <v>987220</v>
      </c>
      <c r="Y65" s="55"/>
      <c r="Z65" s="54">
        <v>959969</v>
      </c>
      <c r="AA65" s="55"/>
      <c r="AB65" s="54">
        <v>27251</v>
      </c>
      <c r="AC65" s="55"/>
      <c r="AD65" s="54">
        <v>35457</v>
      </c>
      <c r="AE65" s="55"/>
      <c r="AF65" s="54">
        <v>34438</v>
      </c>
      <c r="AG65" s="55"/>
      <c r="AH65" s="54">
        <v>1019</v>
      </c>
      <c r="AI65" s="55"/>
      <c r="AJ65" s="54">
        <v>486222</v>
      </c>
      <c r="AK65" s="55"/>
      <c r="AL65" s="54">
        <v>472840</v>
      </c>
      <c r="AM65" s="55"/>
      <c r="AN65" s="54">
        <v>17449</v>
      </c>
      <c r="AO65" s="55"/>
      <c r="AP65" s="60">
        <v>16961</v>
      </c>
      <c r="AQ65" s="55"/>
      <c r="AR65" s="54">
        <v>1243563</v>
      </c>
      <c r="AS65" s="55"/>
      <c r="AT65" s="59">
        <v>20712830</v>
      </c>
      <c r="AU65" s="51"/>
      <c r="AV65" s="61">
        <v>97.94</v>
      </c>
      <c r="AW65" s="51" t="s">
        <v>21</v>
      </c>
      <c r="AX65" s="51" t="s">
        <v>514</v>
      </c>
    </row>
    <row r="66" spans="1:50">
      <c r="A66" s="51" t="s">
        <v>641</v>
      </c>
      <c r="B66" s="51" t="s">
        <v>568</v>
      </c>
      <c r="C66" s="51" t="s">
        <v>642</v>
      </c>
      <c r="D66" s="52">
        <v>1115</v>
      </c>
      <c r="E66" s="53">
        <v>10115</v>
      </c>
      <c r="F66" s="51" t="s">
        <v>525</v>
      </c>
      <c r="G66" s="51" t="s">
        <v>511</v>
      </c>
      <c r="H66" s="54">
        <v>203914</v>
      </c>
      <c r="I66" s="55">
        <v>21</v>
      </c>
      <c r="J66" s="51" t="s">
        <v>521</v>
      </c>
      <c r="K66" s="51" t="s">
        <v>520</v>
      </c>
      <c r="L66" s="56">
        <v>21</v>
      </c>
      <c r="M66" s="51"/>
      <c r="N66" s="57">
        <v>3</v>
      </c>
      <c r="O66" s="55"/>
      <c r="P66" s="58">
        <v>31.0428</v>
      </c>
      <c r="Q66" s="55"/>
      <c r="R66" s="58">
        <v>80.967200000000005</v>
      </c>
      <c r="S66" s="55"/>
      <c r="T66" s="58">
        <v>6.5294999999999996</v>
      </c>
      <c r="U66" s="55"/>
      <c r="V66" s="54">
        <v>2681492</v>
      </c>
      <c r="W66" s="55"/>
      <c r="X66" s="59">
        <v>1974842</v>
      </c>
      <c r="Y66" s="55"/>
      <c r="Z66" s="54">
        <v>1962156</v>
      </c>
      <c r="AA66" s="55"/>
      <c r="AB66" s="54">
        <v>12686</v>
      </c>
      <c r="AC66" s="55"/>
      <c r="AD66" s="54">
        <v>64602</v>
      </c>
      <c r="AE66" s="55"/>
      <c r="AF66" s="54">
        <v>63208</v>
      </c>
      <c r="AG66" s="55"/>
      <c r="AH66" s="54">
        <v>1394</v>
      </c>
      <c r="AI66" s="55"/>
      <c r="AJ66" s="54">
        <v>394968</v>
      </c>
      <c r="AK66" s="55"/>
      <c r="AL66" s="54">
        <v>392431</v>
      </c>
      <c r="AM66" s="55"/>
      <c r="AN66" s="54">
        <v>12909</v>
      </c>
      <c r="AO66" s="55"/>
      <c r="AP66" s="60">
        <v>12630</v>
      </c>
      <c r="AQ66" s="55"/>
      <c r="AR66" s="54">
        <v>412718</v>
      </c>
      <c r="AS66" s="55"/>
      <c r="AT66" s="59">
        <v>33416609</v>
      </c>
      <c r="AU66" s="51"/>
      <c r="AV66" s="61">
        <v>287.60000000000002</v>
      </c>
      <c r="AW66" s="51" t="s">
        <v>21</v>
      </c>
      <c r="AX66" s="51" t="s">
        <v>514</v>
      </c>
    </row>
    <row r="67" spans="1:50">
      <c r="A67" s="51" t="s">
        <v>643</v>
      </c>
      <c r="B67" s="51" t="s">
        <v>644</v>
      </c>
      <c r="C67" s="51" t="s">
        <v>540</v>
      </c>
      <c r="D67" s="52">
        <v>3057</v>
      </c>
      <c r="E67" s="53">
        <v>30057</v>
      </c>
      <c r="F67" s="51" t="s">
        <v>547</v>
      </c>
      <c r="G67" s="51" t="s">
        <v>511</v>
      </c>
      <c r="H67" s="54">
        <v>5441567</v>
      </c>
      <c r="I67" s="55">
        <v>20</v>
      </c>
      <c r="J67" s="51" t="s">
        <v>521</v>
      </c>
      <c r="K67" s="51" t="s">
        <v>520</v>
      </c>
      <c r="L67" s="56">
        <v>20</v>
      </c>
      <c r="M67" s="51"/>
      <c r="N67" s="57">
        <v>2</v>
      </c>
      <c r="O67" s="55"/>
      <c r="P67" s="58">
        <v>56.726300000000002</v>
      </c>
      <c r="Q67" s="55"/>
      <c r="R67" s="58">
        <v>86.293899999999994</v>
      </c>
      <c r="S67" s="55"/>
      <c r="T67" s="58">
        <v>20.154699999999998</v>
      </c>
      <c r="U67" s="55"/>
      <c r="V67" s="54">
        <v>2195188</v>
      </c>
      <c r="W67" s="55"/>
      <c r="X67" s="59">
        <v>1628329</v>
      </c>
      <c r="Y67" s="55"/>
      <c r="Z67" s="54">
        <v>1628329</v>
      </c>
      <c r="AA67" s="55"/>
      <c r="AB67" s="54">
        <v>0</v>
      </c>
      <c r="AC67" s="55"/>
      <c r="AD67" s="54">
        <v>28705</v>
      </c>
      <c r="AE67" s="55"/>
      <c r="AF67" s="54">
        <v>28705</v>
      </c>
      <c r="AG67" s="55"/>
      <c r="AH67" s="54">
        <v>0</v>
      </c>
      <c r="AI67" s="55"/>
      <c r="AJ67" s="54">
        <v>325666</v>
      </c>
      <c r="AK67" s="55"/>
      <c r="AL67" s="54">
        <v>325666</v>
      </c>
      <c r="AM67" s="55"/>
      <c r="AN67" s="54">
        <v>5741</v>
      </c>
      <c r="AO67" s="55"/>
      <c r="AP67" s="60">
        <v>5741</v>
      </c>
      <c r="AQ67" s="55"/>
      <c r="AR67" s="54">
        <v>578541</v>
      </c>
      <c r="AS67" s="55"/>
      <c r="AT67" s="59">
        <v>49924566</v>
      </c>
      <c r="AU67" s="51"/>
      <c r="AV67" s="61">
        <v>144.4</v>
      </c>
      <c r="AW67" s="51" t="s">
        <v>21</v>
      </c>
      <c r="AX67" s="51" t="s">
        <v>514</v>
      </c>
    </row>
    <row r="68" spans="1:50">
      <c r="A68" s="51" t="s">
        <v>645</v>
      </c>
      <c r="B68" s="51" t="s">
        <v>646</v>
      </c>
      <c r="C68" s="51" t="s">
        <v>524</v>
      </c>
      <c r="D68" s="52"/>
      <c r="E68" s="53">
        <v>90299</v>
      </c>
      <c r="F68" s="51" t="s">
        <v>525</v>
      </c>
      <c r="G68" s="51" t="s">
        <v>511</v>
      </c>
      <c r="H68" s="54">
        <v>308231</v>
      </c>
      <c r="I68" s="55">
        <v>12</v>
      </c>
      <c r="J68" s="51" t="s">
        <v>521</v>
      </c>
      <c r="K68" s="51" t="s">
        <v>513</v>
      </c>
      <c r="L68" s="56">
        <v>12</v>
      </c>
      <c r="M68" s="51"/>
      <c r="N68" s="57">
        <v>4</v>
      </c>
      <c r="O68" s="55"/>
      <c r="P68" s="58">
        <v>28.331499999999998</v>
      </c>
      <c r="Q68" s="55"/>
      <c r="R68" s="58">
        <v>23.8338</v>
      </c>
      <c r="S68" s="55"/>
      <c r="T68" s="58">
        <v>19.559999999999999</v>
      </c>
      <c r="U68" s="55"/>
      <c r="V68" s="54">
        <v>857003</v>
      </c>
      <c r="W68" s="55"/>
      <c r="X68" s="59">
        <v>833350</v>
      </c>
      <c r="Y68" s="55"/>
      <c r="Z68" s="54">
        <v>821415</v>
      </c>
      <c r="AA68" s="55"/>
      <c r="AB68" s="54">
        <v>11935</v>
      </c>
      <c r="AC68" s="55"/>
      <c r="AD68" s="54">
        <v>30370</v>
      </c>
      <c r="AE68" s="55"/>
      <c r="AF68" s="54">
        <v>28993</v>
      </c>
      <c r="AG68" s="55"/>
      <c r="AH68" s="54">
        <v>1377</v>
      </c>
      <c r="AI68" s="55"/>
      <c r="AJ68" s="54">
        <v>389580</v>
      </c>
      <c r="AK68" s="55"/>
      <c r="AL68" s="54">
        <v>384000</v>
      </c>
      <c r="AM68" s="55"/>
      <c r="AN68" s="54">
        <v>14198</v>
      </c>
      <c r="AO68" s="55"/>
      <c r="AP68" s="60">
        <v>13554</v>
      </c>
      <c r="AQ68" s="55"/>
      <c r="AR68" s="54">
        <v>567103</v>
      </c>
      <c r="AS68" s="55"/>
      <c r="AT68" s="59">
        <v>13516234</v>
      </c>
      <c r="AU68" s="51"/>
      <c r="AV68" s="61">
        <v>90.1</v>
      </c>
      <c r="AW68" s="51" t="s">
        <v>21</v>
      </c>
      <c r="AX68" s="51" t="s">
        <v>514</v>
      </c>
    </row>
    <row r="71" spans="1:50">
      <c r="N71" s="62">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78257-BDA3-4C97-868B-F50E891953D1}">
  <dimension ref="A1:BG70"/>
  <sheetViews>
    <sheetView topLeftCell="C1" workbookViewId="0">
      <selection activeCell="AL23" sqref="AL23"/>
    </sheetView>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64" t="s">
        <v>457</v>
      </c>
      <c r="B1" s="64" t="s">
        <v>458</v>
      </c>
      <c r="C1" s="65" t="s">
        <v>459</v>
      </c>
      <c r="D1" s="66" t="s">
        <v>460</v>
      </c>
      <c r="E1" s="67" t="s">
        <v>461</v>
      </c>
      <c r="F1" s="68" t="s">
        <v>462</v>
      </c>
      <c r="G1" s="69" t="s">
        <v>464</v>
      </c>
      <c r="H1" s="69" t="s">
        <v>465</v>
      </c>
      <c r="I1" s="68" t="s">
        <v>466</v>
      </c>
      <c r="J1" s="68" t="s">
        <v>647</v>
      </c>
      <c r="K1" s="68" t="s">
        <v>468</v>
      </c>
      <c r="L1" s="68" t="s">
        <v>648</v>
      </c>
      <c r="M1" s="69" t="s">
        <v>649</v>
      </c>
      <c r="N1" s="69" t="s">
        <v>650</v>
      </c>
      <c r="O1" s="69" t="s">
        <v>651</v>
      </c>
      <c r="P1" s="69" t="s">
        <v>652</v>
      </c>
      <c r="Q1" s="69" t="s">
        <v>653</v>
      </c>
      <c r="R1" s="69" t="s">
        <v>654</v>
      </c>
      <c r="S1" s="69" t="s">
        <v>655</v>
      </c>
      <c r="T1" s="69" t="s">
        <v>656</v>
      </c>
      <c r="U1" s="69" t="s">
        <v>657</v>
      </c>
      <c r="V1" s="69" t="s">
        <v>658</v>
      </c>
      <c r="W1" s="69" t="s">
        <v>659</v>
      </c>
      <c r="X1" s="69" t="s">
        <v>660</v>
      </c>
      <c r="Y1" s="69" t="s">
        <v>661</v>
      </c>
      <c r="Z1" s="69" t="s">
        <v>662</v>
      </c>
      <c r="AA1" s="69" t="s">
        <v>663</v>
      </c>
      <c r="AB1" s="69" t="s">
        <v>664</v>
      </c>
      <c r="AC1" s="70" t="s">
        <v>665</v>
      </c>
      <c r="AD1" s="71" t="s">
        <v>297</v>
      </c>
      <c r="AE1" s="71" t="s">
        <v>666</v>
      </c>
      <c r="AF1" s="71" t="s">
        <v>300</v>
      </c>
      <c r="AG1" s="71" t="s">
        <v>667</v>
      </c>
      <c r="AH1" s="71" t="s">
        <v>668</v>
      </c>
      <c r="AI1" s="71" t="s">
        <v>669</v>
      </c>
      <c r="AJ1" s="71" t="s">
        <v>286</v>
      </c>
      <c r="AK1" s="71" t="s">
        <v>670</v>
      </c>
      <c r="AL1" s="71" t="s">
        <v>671</v>
      </c>
      <c r="AM1" s="71" t="s">
        <v>672</v>
      </c>
      <c r="AN1" s="71" t="s">
        <v>673</v>
      </c>
      <c r="AO1" s="71" t="s">
        <v>674</v>
      </c>
      <c r="AP1" s="71" t="s">
        <v>675</v>
      </c>
      <c r="AQ1" s="71" t="s">
        <v>676</v>
      </c>
      <c r="AR1" s="72" t="s">
        <v>677</v>
      </c>
      <c r="AS1" s="73" t="s">
        <v>678</v>
      </c>
      <c r="AT1" s="73" t="s">
        <v>679</v>
      </c>
      <c r="AU1" s="73" t="s">
        <v>680</v>
      </c>
      <c r="AV1" s="73" t="s">
        <v>681</v>
      </c>
      <c r="AW1" s="73" t="s">
        <v>682</v>
      </c>
      <c r="AX1" s="73" t="s">
        <v>683</v>
      </c>
      <c r="AY1" s="73" t="s">
        <v>684</v>
      </c>
      <c r="AZ1" s="73" t="s">
        <v>685</v>
      </c>
      <c r="BA1" s="73" t="s">
        <v>686</v>
      </c>
      <c r="BB1" s="73" t="s">
        <v>687</v>
      </c>
      <c r="BC1" s="73" t="s">
        <v>688</v>
      </c>
      <c r="BD1" s="73" t="s">
        <v>689</v>
      </c>
      <c r="BE1" s="73" t="s">
        <v>690</v>
      </c>
      <c r="BF1" s="73" t="s">
        <v>691</v>
      </c>
      <c r="BG1" s="68" t="s">
        <v>692</v>
      </c>
    </row>
    <row r="2" spans="1:59">
      <c r="A2" s="74" t="s">
        <v>507</v>
      </c>
      <c r="B2" s="74" t="s">
        <v>508</v>
      </c>
      <c r="C2" s="75" t="s">
        <v>509</v>
      </c>
      <c r="D2" s="76">
        <v>2008</v>
      </c>
      <c r="E2" s="77">
        <v>20008</v>
      </c>
      <c r="F2" s="75" t="s">
        <v>510</v>
      </c>
      <c r="G2" s="78">
        <v>18351295</v>
      </c>
      <c r="H2" s="79">
        <v>10427</v>
      </c>
      <c r="I2" s="75" t="s">
        <v>512</v>
      </c>
      <c r="J2" s="80" t="s">
        <v>513</v>
      </c>
      <c r="K2" s="80">
        <v>5413</v>
      </c>
      <c r="L2" s="81"/>
      <c r="M2" s="82">
        <v>0</v>
      </c>
      <c r="N2" s="82"/>
      <c r="O2" s="82">
        <v>0</v>
      </c>
      <c r="P2" s="82"/>
      <c r="Q2" s="82">
        <v>0</v>
      </c>
      <c r="R2" s="82"/>
      <c r="S2" s="82">
        <v>0</v>
      </c>
      <c r="T2" s="82"/>
      <c r="U2" s="82">
        <v>0</v>
      </c>
      <c r="V2" s="82"/>
      <c r="W2" s="82">
        <v>0</v>
      </c>
      <c r="X2" s="82"/>
      <c r="Y2" s="82">
        <v>1596235000</v>
      </c>
      <c r="Z2" s="82"/>
      <c r="AA2" s="79">
        <v>0</v>
      </c>
      <c r="AB2" s="83"/>
      <c r="AC2" s="84"/>
      <c r="AD2" s="83">
        <v>0</v>
      </c>
      <c r="AE2" s="83"/>
      <c r="AF2" s="83">
        <v>0</v>
      </c>
      <c r="AG2" s="83"/>
      <c r="AH2" s="83">
        <v>0</v>
      </c>
      <c r="AI2" s="83"/>
      <c r="AJ2" s="83">
        <v>0</v>
      </c>
      <c r="AK2" s="83"/>
      <c r="AL2" s="83">
        <v>0</v>
      </c>
      <c r="AM2" s="83"/>
      <c r="AN2" s="83">
        <v>335497633</v>
      </c>
      <c r="AO2" s="83"/>
      <c r="AP2" s="83">
        <v>0</v>
      </c>
      <c r="AQ2" s="74"/>
      <c r="AR2" s="85"/>
      <c r="AS2" s="86"/>
      <c r="AT2" s="86"/>
      <c r="AU2" s="86"/>
      <c r="AV2" s="86"/>
      <c r="AW2" s="86"/>
      <c r="AX2" s="86"/>
      <c r="AY2" s="86"/>
      <c r="AZ2" s="86"/>
      <c r="BA2" s="86"/>
      <c r="BB2" s="86"/>
      <c r="BC2" s="86">
        <v>0.2102</v>
      </c>
      <c r="BD2" s="86"/>
      <c r="BE2" s="86"/>
      <c r="BF2" s="74"/>
      <c r="BG2" s="74" t="s">
        <v>514</v>
      </c>
    </row>
    <row r="3" spans="1:59">
      <c r="A3" s="74" t="s">
        <v>515</v>
      </c>
      <c r="B3" s="74" t="s">
        <v>516</v>
      </c>
      <c r="C3" s="75" t="s">
        <v>517</v>
      </c>
      <c r="D3" s="76">
        <v>2080</v>
      </c>
      <c r="E3" s="77">
        <v>20080</v>
      </c>
      <c r="F3" s="75" t="s">
        <v>518</v>
      </c>
      <c r="G3" s="78">
        <v>18351295</v>
      </c>
      <c r="H3" s="79">
        <v>3646</v>
      </c>
      <c r="I3" s="75" t="s">
        <v>521</v>
      </c>
      <c r="J3" s="80" t="s">
        <v>513</v>
      </c>
      <c r="K3" s="80">
        <v>904</v>
      </c>
      <c r="L3" s="81"/>
      <c r="M3" s="82">
        <v>13166567</v>
      </c>
      <c r="N3" s="82"/>
      <c r="O3" s="82">
        <v>0</v>
      </c>
      <c r="P3" s="82"/>
      <c r="Q3" s="82">
        <v>0</v>
      </c>
      <c r="R3" s="82"/>
      <c r="S3" s="82">
        <v>0</v>
      </c>
      <c r="T3" s="82"/>
      <c r="U3" s="82">
        <v>0</v>
      </c>
      <c r="V3" s="82"/>
      <c r="W3" s="82">
        <v>0</v>
      </c>
      <c r="X3" s="82"/>
      <c r="Y3" s="82">
        <v>359673989</v>
      </c>
      <c r="Z3" s="82"/>
      <c r="AA3" s="79">
        <v>0</v>
      </c>
      <c r="AB3" s="83"/>
      <c r="AC3" s="84"/>
      <c r="AD3" s="83">
        <v>2485889</v>
      </c>
      <c r="AE3" s="83"/>
      <c r="AF3" s="83">
        <v>0</v>
      </c>
      <c r="AG3" s="83"/>
      <c r="AH3" s="83">
        <v>0</v>
      </c>
      <c r="AI3" s="83"/>
      <c r="AJ3" s="83">
        <v>0</v>
      </c>
      <c r="AK3" s="83"/>
      <c r="AL3" s="83">
        <v>1663636</v>
      </c>
      <c r="AM3" s="83"/>
      <c r="AN3" s="83">
        <v>8381067</v>
      </c>
      <c r="AO3" s="83"/>
      <c r="AP3" s="83">
        <v>0</v>
      </c>
      <c r="AQ3" s="74"/>
      <c r="AR3" s="85"/>
      <c r="AS3" s="86">
        <v>0.1888</v>
      </c>
      <c r="AT3" s="86"/>
      <c r="AU3" s="86"/>
      <c r="AV3" s="86"/>
      <c r="AW3" s="86"/>
      <c r="AX3" s="86"/>
      <c r="AY3" s="86"/>
      <c r="AZ3" s="86"/>
      <c r="BA3" s="86"/>
      <c r="BB3" s="86"/>
      <c r="BC3" s="86">
        <v>2.3300000000000001E-2</v>
      </c>
      <c r="BD3" s="86"/>
      <c r="BE3" s="86"/>
      <c r="BF3" s="74"/>
      <c r="BG3" s="74" t="s">
        <v>514</v>
      </c>
    </row>
    <row r="4" spans="1:59">
      <c r="A4" s="74" t="s">
        <v>515</v>
      </c>
      <c r="B4" s="74" t="s">
        <v>516</v>
      </c>
      <c r="C4" s="75" t="s">
        <v>517</v>
      </c>
      <c r="D4" s="76">
        <v>2080</v>
      </c>
      <c r="E4" s="77">
        <v>20080</v>
      </c>
      <c r="F4" s="75" t="s">
        <v>518</v>
      </c>
      <c r="G4" s="78">
        <v>18351295</v>
      </c>
      <c r="H4" s="79">
        <v>3646</v>
      </c>
      <c r="I4" s="75" t="s">
        <v>519</v>
      </c>
      <c r="J4" s="80" t="s">
        <v>520</v>
      </c>
      <c r="K4" s="80">
        <v>42</v>
      </c>
      <c r="L4" s="81"/>
      <c r="M4" s="82">
        <v>0</v>
      </c>
      <c r="N4" s="82"/>
      <c r="O4" s="82">
        <v>0</v>
      </c>
      <c r="P4" s="82"/>
      <c r="Q4" s="82">
        <v>0</v>
      </c>
      <c r="R4" s="82"/>
      <c r="S4" s="82">
        <v>0</v>
      </c>
      <c r="T4" s="82"/>
      <c r="U4" s="82">
        <v>0</v>
      </c>
      <c r="V4" s="82"/>
      <c r="W4" s="82">
        <v>0</v>
      </c>
      <c r="X4" s="82"/>
      <c r="Y4" s="82">
        <v>27163871</v>
      </c>
      <c r="Z4" s="82"/>
      <c r="AA4" s="79">
        <v>0</v>
      </c>
      <c r="AB4" s="83"/>
      <c r="AC4" s="84"/>
      <c r="AD4" s="83">
        <v>0</v>
      </c>
      <c r="AE4" s="83"/>
      <c r="AF4" s="83">
        <v>0</v>
      </c>
      <c r="AG4" s="83"/>
      <c r="AH4" s="83">
        <v>0</v>
      </c>
      <c r="AI4" s="83"/>
      <c r="AJ4" s="83">
        <v>0</v>
      </c>
      <c r="AK4" s="83"/>
      <c r="AL4" s="83">
        <v>0</v>
      </c>
      <c r="AM4" s="83"/>
      <c r="AN4" s="83">
        <v>2073346</v>
      </c>
      <c r="AO4" s="83"/>
      <c r="AP4" s="83">
        <v>0</v>
      </c>
      <c r="AQ4" s="74"/>
      <c r="AR4" s="85"/>
      <c r="AS4" s="86"/>
      <c r="AT4" s="86"/>
      <c r="AU4" s="86"/>
      <c r="AV4" s="86"/>
      <c r="AW4" s="86"/>
      <c r="AX4" s="86"/>
      <c r="AY4" s="86"/>
      <c r="AZ4" s="86"/>
      <c r="BA4" s="86"/>
      <c r="BB4" s="86"/>
      <c r="BC4" s="86">
        <v>7.6300000000000007E-2</v>
      </c>
      <c r="BD4" s="86"/>
      <c r="BE4" s="86"/>
      <c r="BF4" s="74"/>
      <c r="BG4" s="74" t="s">
        <v>514</v>
      </c>
    </row>
    <row r="5" spans="1:59">
      <c r="A5" s="74" t="s">
        <v>515</v>
      </c>
      <c r="B5" s="74" t="s">
        <v>516</v>
      </c>
      <c r="C5" s="75" t="s">
        <v>517</v>
      </c>
      <c r="D5" s="76">
        <v>2080</v>
      </c>
      <c r="E5" s="77">
        <v>20080</v>
      </c>
      <c r="F5" s="75" t="s">
        <v>518</v>
      </c>
      <c r="G5" s="78">
        <v>18351295</v>
      </c>
      <c r="H5" s="79">
        <v>3646</v>
      </c>
      <c r="I5" s="75" t="s">
        <v>519</v>
      </c>
      <c r="J5" s="80" t="s">
        <v>513</v>
      </c>
      <c r="K5" s="80">
        <v>15</v>
      </c>
      <c r="L5" s="81"/>
      <c r="M5" s="82">
        <v>0</v>
      </c>
      <c r="N5" s="82"/>
      <c r="O5" s="82">
        <v>0</v>
      </c>
      <c r="P5" s="82"/>
      <c r="Q5" s="82">
        <v>0</v>
      </c>
      <c r="R5" s="82"/>
      <c r="S5" s="82">
        <v>0</v>
      </c>
      <c r="T5" s="82"/>
      <c r="U5" s="82">
        <v>0</v>
      </c>
      <c r="V5" s="82"/>
      <c r="W5" s="82">
        <v>0</v>
      </c>
      <c r="X5" s="82"/>
      <c r="Y5" s="82">
        <v>6694675</v>
      </c>
      <c r="Z5" s="82"/>
      <c r="AA5" s="79">
        <v>0</v>
      </c>
      <c r="AB5" s="83"/>
      <c r="AC5" s="84"/>
      <c r="AD5" s="83">
        <v>0</v>
      </c>
      <c r="AE5" s="83"/>
      <c r="AF5" s="83">
        <v>0</v>
      </c>
      <c r="AG5" s="83"/>
      <c r="AH5" s="83">
        <v>0</v>
      </c>
      <c r="AI5" s="83"/>
      <c r="AJ5" s="83">
        <v>0</v>
      </c>
      <c r="AK5" s="83"/>
      <c r="AL5" s="83">
        <v>0</v>
      </c>
      <c r="AM5" s="83"/>
      <c r="AN5" s="83">
        <v>492775</v>
      </c>
      <c r="AO5" s="83"/>
      <c r="AP5" s="83">
        <v>0</v>
      </c>
      <c r="AQ5" s="74"/>
      <c r="AR5" s="85"/>
      <c r="AS5" s="86"/>
      <c r="AT5" s="86"/>
      <c r="AU5" s="86"/>
      <c r="AV5" s="86"/>
      <c r="AW5" s="86"/>
      <c r="AX5" s="86"/>
      <c r="AY5" s="86"/>
      <c r="AZ5" s="86"/>
      <c r="BA5" s="86"/>
      <c r="BB5" s="86"/>
      <c r="BC5" s="86">
        <v>7.3599999999999999E-2</v>
      </c>
      <c r="BD5" s="86"/>
      <c r="BE5" s="86"/>
      <c r="BF5" s="74"/>
      <c r="BG5" s="74" t="s">
        <v>514</v>
      </c>
    </row>
    <row r="6" spans="1:59">
      <c r="A6" s="74" t="s">
        <v>522</v>
      </c>
      <c r="B6" s="74" t="s">
        <v>523</v>
      </c>
      <c r="C6" s="75" t="s">
        <v>524</v>
      </c>
      <c r="D6" s="76">
        <v>9154</v>
      </c>
      <c r="E6" s="77">
        <v>90154</v>
      </c>
      <c r="F6" s="75" t="s">
        <v>525</v>
      </c>
      <c r="G6" s="78">
        <v>12150996</v>
      </c>
      <c r="H6" s="79">
        <v>3482</v>
      </c>
      <c r="I6" s="75" t="s">
        <v>512</v>
      </c>
      <c r="J6" s="80" t="s">
        <v>513</v>
      </c>
      <c r="K6" s="80">
        <v>68</v>
      </c>
      <c r="L6" s="81"/>
      <c r="M6" s="82">
        <v>0</v>
      </c>
      <c r="N6" s="82"/>
      <c r="O6" s="82">
        <v>0</v>
      </c>
      <c r="P6" s="82"/>
      <c r="Q6" s="82">
        <v>0</v>
      </c>
      <c r="R6" s="82"/>
      <c r="S6" s="82">
        <v>0</v>
      </c>
      <c r="T6" s="82"/>
      <c r="U6" s="82">
        <v>0</v>
      </c>
      <c r="V6" s="82"/>
      <c r="W6" s="82">
        <v>0</v>
      </c>
      <c r="X6" s="82"/>
      <c r="Y6" s="82">
        <v>82163176</v>
      </c>
      <c r="Z6" s="82"/>
      <c r="AA6" s="79">
        <v>0</v>
      </c>
      <c r="AB6" s="83"/>
      <c r="AC6" s="84"/>
      <c r="AD6" s="83">
        <v>0</v>
      </c>
      <c r="AE6" s="83"/>
      <c r="AF6" s="83">
        <v>0</v>
      </c>
      <c r="AG6" s="83"/>
      <c r="AH6" s="83">
        <v>0</v>
      </c>
      <c r="AI6" s="83"/>
      <c r="AJ6" s="83">
        <v>0</v>
      </c>
      <c r="AK6" s="83"/>
      <c r="AL6" s="83">
        <v>0</v>
      </c>
      <c r="AM6" s="83"/>
      <c r="AN6" s="83">
        <v>6909214</v>
      </c>
      <c r="AO6" s="83"/>
      <c r="AP6" s="83">
        <v>0</v>
      </c>
      <c r="AQ6" s="74"/>
      <c r="AR6" s="85"/>
      <c r="AS6" s="86"/>
      <c r="AT6" s="86"/>
      <c r="AU6" s="86"/>
      <c r="AV6" s="86"/>
      <c r="AW6" s="86"/>
      <c r="AX6" s="86"/>
      <c r="AY6" s="86"/>
      <c r="AZ6" s="86"/>
      <c r="BA6" s="86"/>
      <c r="BB6" s="86"/>
      <c r="BC6" s="86">
        <v>8.4099999999999994E-2</v>
      </c>
      <c r="BD6" s="86"/>
      <c r="BE6" s="86"/>
      <c r="BF6" s="74"/>
      <c r="BG6" s="74" t="s">
        <v>514</v>
      </c>
    </row>
    <row r="7" spans="1:59">
      <c r="A7" s="74" t="s">
        <v>522</v>
      </c>
      <c r="B7" s="74" t="s">
        <v>523</v>
      </c>
      <c r="C7" s="75" t="s">
        <v>524</v>
      </c>
      <c r="D7" s="76">
        <v>9154</v>
      </c>
      <c r="E7" s="77">
        <v>90154</v>
      </c>
      <c r="F7" s="75" t="s">
        <v>525</v>
      </c>
      <c r="G7" s="78">
        <v>12150996</v>
      </c>
      <c r="H7" s="79">
        <v>3482</v>
      </c>
      <c r="I7" s="75" t="s">
        <v>519</v>
      </c>
      <c r="J7" s="80" t="s">
        <v>513</v>
      </c>
      <c r="K7" s="80">
        <v>203</v>
      </c>
      <c r="L7" s="81"/>
      <c r="M7" s="82">
        <v>0</v>
      </c>
      <c r="N7" s="82"/>
      <c r="O7" s="82">
        <v>0</v>
      </c>
      <c r="P7" s="82"/>
      <c r="Q7" s="82">
        <v>0</v>
      </c>
      <c r="R7" s="82"/>
      <c r="S7" s="82">
        <v>0</v>
      </c>
      <c r="T7" s="82"/>
      <c r="U7" s="82">
        <v>0</v>
      </c>
      <c r="V7" s="82"/>
      <c r="W7" s="82">
        <v>0</v>
      </c>
      <c r="X7" s="82"/>
      <c r="Y7" s="82">
        <v>144995154</v>
      </c>
      <c r="Z7" s="82"/>
      <c r="AA7" s="79">
        <v>0</v>
      </c>
      <c r="AB7" s="83"/>
      <c r="AC7" s="84"/>
      <c r="AD7" s="83">
        <v>0</v>
      </c>
      <c r="AE7" s="83"/>
      <c r="AF7" s="83">
        <v>0</v>
      </c>
      <c r="AG7" s="83"/>
      <c r="AH7" s="83">
        <v>0</v>
      </c>
      <c r="AI7" s="83"/>
      <c r="AJ7" s="83">
        <v>0</v>
      </c>
      <c r="AK7" s="83"/>
      <c r="AL7" s="83">
        <v>0</v>
      </c>
      <c r="AM7" s="83"/>
      <c r="AN7" s="83">
        <v>16469107</v>
      </c>
      <c r="AO7" s="83"/>
      <c r="AP7" s="83">
        <v>0</v>
      </c>
      <c r="AQ7" s="74"/>
      <c r="AR7" s="85"/>
      <c r="AS7" s="86"/>
      <c r="AT7" s="86"/>
      <c r="AU7" s="86"/>
      <c r="AV7" s="86"/>
      <c r="AW7" s="86"/>
      <c r="AX7" s="86"/>
      <c r="AY7" s="86"/>
      <c r="AZ7" s="86"/>
      <c r="BA7" s="86"/>
      <c r="BB7" s="86"/>
      <c r="BC7" s="86">
        <v>0.11360000000000001</v>
      </c>
      <c r="BD7" s="86"/>
      <c r="BE7" s="86"/>
      <c r="BF7" s="74"/>
      <c r="BG7" s="74" t="s">
        <v>514</v>
      </c>
    </row>
    <row r="8" spans="1:59">
      <c r="A8" s="74" t="s">
        <v>526</v>
      </c>
      <c r="B8" s="74" t="s">
        <v>527</v>
      </c>
      <c r="C8" s="75" t="s">
        <v>528</v>
      </c>
      <c r="D8" s="76">
        <v>3030</v>
      </c>
      <c r="E8" s="77">
        <v>30030</v>
      </c>
      <c r="F8" s="75" t="s">
        <v>525</v>
      </c>
      <c r="G8" s="78">
        <v>4586770</v>
      </c>
      <c r="H8" s="79">
        <v>3304</v>
      </c>
      <c r="I8" s="75" t="s">
        <v>512</v>
      </c>
      <c r="J8" s="80" t="s">
        <v>513</v>
      </c>
      <c r="K8" s="80">
        <v>998</v>
      </c>
      <c r="L8" s="81"/>
      <c r="M8" s="82">
        <v>0</v>
      </c>
      <c r="N8" s="82"/>
      <c r="O8" s="82">
        <v>0</v>
      </c>
      <c r="P8" s="82"/>
      <c r="Q8" s="82">
        <v>0</v>
      </c>
      <c r="R8" s="82"/>
      <c r="S8" s="82">
        <v>0</v>
      </c>
      <c r="T8" s="82"/>
      <c r="U8" s="82">
        <v>0</v>
      </c>
      <c r="V8" s="82"/>
      <c r="W8" s="82">
        <v>0</v>
      </c>
      <c r="X8" s="82"/>
      <c r="Y8" s="82">
        <v>576455528</v>
      </c>
      <c r="Z8" s="82"/>
      <c r="AA8" s="79">
        <v>0</v>
      </c>
      <c r="AB8" s="83"/>
      <c r="AC8" s="84"/>
      <c r="AD8" s="83">
        <v>0</v>
      </c>
      <c r="AE8" s="83"/>
      <c r="AF8" s="83">
        <v>0</v>
      </c>
      <c r="AG8" s="83"/>
      <c r="AH8" s="83">
        <v>0</v>
      </c>
      <c r="AI8" s="83"/>
      <c r="AJ8" s="83">
        <v>0</v>
      </c>
      <c r="AK8" s="83"/>
      <c r="AL8" s="83">
        <v>0</v>
      </c>
      <c r="AM8" s="83"/>
      <c r="AN8" s="83">
        <v>64920984</v>
      </c>
      <c r="AO8" s="83"/>
      <c r="AP8" s="83">
        <v>0</v>
      </c>
      <c r="AQ8" s="74"/>
      <c r="AR8" s="85"/>
      <c r="AS8" s="86"/>
      <c r="AT8" s="86"/>
      <c r="AU8" s="86"/>
      <c r="AV8" s="86"/>
      <c r="AW8" s="86"/>
      <c r="AX8" s="86"/>
      <c r="AY8" s="86"/>
      <c r="AZ8" s="86"/>
      <c r="BA8" s="86"/>
      <c r="BB8" s="86"/>
      <c r="BC8" s="86">
        <v>0.11260000000000001</v>
      </c>
      <c r="BD8" s="86"/>
      <c r="BE8" s="86"/>
      <c r="BF8" s="74"/>
      <c r="BG8" s="74" t="s">
        <v>514</v>
      </c>
    </row>
    <row r="9" spans="1:59">
      <c r="A9" s="74" t="s">
        <v>529</v>
      </c>
      <c r="B9" s="74" t="s">
        <v>530</v>
      </c>
      <c r="C9" s="75" t="s">
        <v>531</v>
      </c>
      <c r="D9" s="76">
        <v>5066</v>
      </c>
      <c r="E9" s="77">
        <v>50066</v>
      </c>
      <c r="F9" s="75" t="s">
        <v>525</v>
      </c>
      <c r="G9" s="78">
        <v>8608208</v>
      </c>
      <c r="H9" s="79">
        <v>2703</v>
      </c>
      <c r="I9" s="75" t="s">
        <v>512</v>
      </c>
      <c r="J9" s="80" t="s">
        <v>513</v>
      </c>
      <c r="K9" s="80">
        <v>1148</v>
      </c>
      <c r="L9" s="81"/>
      <c r="M9" s="82">
        <v>0</v>
      </c>
      <c r="N9" s="82"/>
      <c r="O9" s="82">
        <v>0</v>
      </c>
      <c r="P9" s="82"/>
      <c r="Q9" s="82">
        <v>0</v>
      </c>
      <c r="R9" s="82"/>
      <c r="S9" s="82">
        <v>0</v>
      </c>
      <c r="T9" s="82"/>
      <c r="U9" s="82">
        <v>0</v>
      </c>
      <c r="V9" s="82"/>
      <c r="W9" s="82">
        <v>0</v>
      </c>
      <c r="X9" s="82"/>
      <c r="Y9" s="82">
        <v>366545522</v>
      </c>
      <c r="Z9" s="82"/>
      <c r="AA9" s="79">
        <v>0</v>
      </c>
      <c r="AB9" s="83"/>
      <c r="AC9" s="84"/>
      <c r="AD9" s="83">
        <v>0</v>
      </c>
      <c r="AE9" s="83"/>
      <c r="AF9" s="83">
        <v>0</v>
      </c>
      <c r="AG9" s="83"/>
      <c r="AH9" s="83">
        <v>0</v>
      </c>
      <c r="AI9" s="83"/>
      <c r="AJ9" s="83">
        <v>0</v>
      </c>
      <c r="AK9" s="83"/>
      <c r="AL9" s="83">
        <v>0</v>
      </c>
      <c r="AM9" s="83"/>
      <c r="AN9" s="83">
        <v>63157258</v>
      </c>
      <c r="AO9" s="83"/>
      <c r="AP9" s="83">
        <v>0</v>
      </c>
      <c r="AQ9" s="74"/>
      <c r="AR9" s="85"/>
      <c r="AS9" s="86"/>
      <c r="AT9" s="86"/>
      <c r="AU9" s="86"/>
      <c r="AV9" s="86"/>
      <c r="AW9" s="86"/>
      <c r="AX9" s="86"/>
      <c r="AY9" s="86"/>
      <c r="AZ9" s="86"/>
      <c r="BA9" s="86"/>
      <c r="BB9" s="86"/>
      <c r="BC9" s="86">
        <v>0.17230000000000001</v>
      </c>
      <c r="BD9" s="86"/>
      <c r="BE9" s="86"/>
      <c r="BF9" s="74"/>
      <c r="BG9" s="74" t="s">
        <v>514</v>
      </c>
    </row>
    <row r="10" spans="1:59">
      <c r="A10" s="74" t="s">
        <v>534</v>
      </c>
      <c r="B10" s="74" t="s">
        <v>535</v>
      </c>
      <c r="C10" s="75" t="s">
        <v>536</v>
      </c>
      <c r="D10" s="76">
        <v>1003</v>
      </c>
      <c r="E10" s="77">
        <v>10003</v>
      </c>
      <c r="F10" s="75" t="s">
        <v>525</v>
      </c>
      <c r="G10" s="78">
        <v>4181019</v>
      </c>
      <c r="H10" s="79">
        <v>2428</v>
      </c>
      <c r="I10" s="75" t="s">
        <v>521</v>
      </c>
      <c r="J10" s="80" t="s">
        <v>520</v>
      </c>
      <c r="K10" s="80">
        <v>436</v>
      </c>
      <c r="L10" s="81"/>
      <c r="M10" s="82">
        <v>13360985</v>
      </c>
      <c r="N10" s="82"/>
      <c r="O10" s="82">
        <v>0</v>
      </c>
      <c r="P10" s="82"/>
      <c r="Q10" s="82">
        <v>0</v>
      </c>
      <c r="R10" s="82"/>
      <c r="S10" s="82">
        <v>0</v>
      </c>
      <c r="T10" s="82"/>
      <c r="U10" s="82">
        <v>0</v>
      </c>
      <c r="V10" s="82"/>
      <c r="W10" s="82">
        <v>0</v>
      </c>
      <c r="X10" s="82"/>
      <c r="Y10" s="82">
        <v>0</v>
      </c>
      <c r="Z10" s="82"/>
      <c r="AA10" s="79">
        <v>0</v>
      </c>
      <c r="AB10" s="83"/>
      <c r="AC10" s="84"/>
      <c r="AD10" s="83">
        <v>4339139</v>
      </c>
      <c r="AE10" s="83"/>
      <c r="AF10" s="83">
        <v>0</v>
      </c>
      <c r="AG10" s="83"/>
      <c r="AH10" s="83">
        <v>0</v>
      </c>
      <c r="AI10" s="83"/>
      <c r="AJ10" s="83">
        <v>0</v>
      </c>
      <c r="AK10" s="83"/>
      <c r="AL10" s="83">
        <v>0</v>
      </c>
      <c r="AM10" s="83"/>
      <c r="AN10" s="83">
        <v>0</v>
      </c>
      <c r="AO10" s="83"/>
      <c r="AP10" s="83">
        <v>0</v>
      </c>
      <c r="AQ10" s="74"/>
      <c r="AR10" s="85"/>
      <c r="AS10" s="86">
        <v>0.32479999999999998</v>
      </c>
      <c r="AT10" s="86"/>
      <c r="AU10" s="86"/>
      <c r="AV10" s="86"/>
      <c r="AW10" s="86"/>
      <c r="AX10" s="86"/>
      <c r="AY10" s="86"/>
      <c r="AZ10" s="86"/>
      <c r="BA10" s="86"/>
      <c r="BB10" s="86"/>
      <c r="BC10" s="86"/>
      <c r="BD10" s="86"/>
      <c r="BE10" s="86"/>
      <c r="BF10" s="74"/>
      <c r="BG10" s="74" t="s">
        <v>514</v>
      </c>
    </row>
    <row r="11" spans="1:59">
      <c r="A11" s="74" t="s">
        <v>534</v>
      </c>
      <c r="B11" s="74" t="s">
        <v>535</v>
      </c>
      <c r="C11" s="75" t="s">
        <v>536</v>
      </c>
      <c r="D11" s="76">
        <v>1003</v>
      </c>
      <c r="E11" s="77">
        <v>10003</v>
      </c>
      <c r="F11" s="75" t="s">
        <v>525</v>
      </c>
      <c r="G11" s="78">
        <v>4181019</v>
      </c>
      <c r="H11" s="79">
        <v>2428</v>
      </c>
      <c r="I11" s="75" t="s">
        <v>512</v>
      </c>
      <c r="J11" s="80" t="s">
        <v>513</v>
      </c>
      <c r="K11" s="80">
        <v>338</v>
      </c>
      <c r="L11" s="81"/>
      <c r="M11" s="82">
        <v>0</v>
      </c>
      <c r="N11" s="82"/>
      <c r="O11" s="82">
        <v>0</v>
      </c>
      <c r="P11" s="82"/>
      <c r="Q11" s="82">
        <v>0</v>
      </c>
      <c r="R11" s="82"/>
      <c r="S11" s="82">
        <v>0</v>
      </c>
      <c r="T11" s="82"/>
      <c r="U11" s="82">
        <v>0</v>
      </c>
      <c r="V11" s="82"/>
      <c r="W11" s="82">
        <v>0</v>
      </c>
      <c r="X11" s="82"/>
      <c r="Y11" s="82">
        <v>178406868</v>
      </c>
      <c r="Z11" s="82"/>
      <c r="AA11" s="79">
        <v>0</v>
      </c>
      <c r="AB11" s="83"/>
      <c r="AC11" s="84"/>
      <c r="AD11" s="83">
        <v>0</v>
      </c>
      <c r="AE11" s="83"/>
      <c r="AF11" s="83">
        <v>0</v>
      </c>
      <c r="AG11" s="83"/>
      <c r="AH11" s="83">
        <v>0</v>
      </c>
      <c r="AI11" s="83"/>
      <c r="AJ11" s="83">
        <v>0</v>
      </c>
      <c r="AK11" s="83"/>
      <c r="AL11" s="83">
        <v>0</v>
      </c>
      <c r="AM11" s="83"/>
      <c r="AN11" s="83">
        <v>22078161</v>
      </c>
      <c r="AO11" s="83"/>
      <c r="AP11" s="83">
        <v>0</v>
      </c>
      <c r="AQ11" s="74"/>
      <c r="AR11" s="85"/>
      <c r="AS11" s="86"/>
      <c r="AT11" s="86"/>
      <c r="AU11" s="86"/>
      <c r="AV11" s="86"/>
      <c r="AW11" s="86"/>
      <c r="AX11" s="86"/>
      <c r="AY11" s="86"/>
      <c r="AZ11" s="86"/>
      <c r="BA11" s="86"/>
      <c r="BB11" s="86"/>
      <c r="BC11" s="86">
        <v>0.12379999999999999</v>
      </c>
      <c r="BD11" s="86"/>
      <c r="BE11" s="86"/>
      <c r="BF11" s="74"/>
      <c r="BG11" s="74" t="s">
        <v>514</v>
      </c>
    </row>
    <row r="12" spans="1:59">
      <c r="A12" s="74" t="s">
        <v>534</v>
      </c>
      <c r="B12" s="74" t="s">
        <v>535</v>
      </c>
      <c r="C12" s="75" t="s">
        <v>536</v>
      </c>
      <c r="D12" s="76">
        <v>1003</v>
      </c>
      <c r="E12" s="77">
        <v>10003</v>
      </c>
      <c r="F12" s="75" t="s">
        <v>525</v>
      </c>
      <c r="G12" s="78">
        <v>4181019</v>
      </c>
      <c r="H12" s="79">
        <v>2428</v>
      </c>
      <c r="I12" s="75" t="s">
        <v>519</v>
      </c>
      <c r="J12" s="80" t="s">
        <v>513</v>
      </c>
      <c r="K12" s="80">
        <v>154</v>
      </c>
      <c r="L12" s="81"/>
      <c r="M12" s="82">
        <v>0</v>
      </c>
      <c r="N12" s="82"/>
      <c r="O12" s="82">
        <v>0</v>
      </c>
      <c r="P12" s="82"/>
      <c r="Q12" s="82">
        <v>0</v>
      </c>
      <c r="R12" s="82"/>
      <c r="S12" s="82">
        <v>0</v>
      </c>
      <c r="T12" s="82"/>
      <c r="U12" s="82">
        <v>0</v>
      </c>
      <c r="V12" s="82"/>
      <c r="W12" s="82">
        <v>0</v>
      </c>
      <c r="X12" s="82"/>
      <c r="Y12" s="82">
        <v>46803331</v>
      </c>
      <c r="Z12" s="82"/>
      <c r="AA12" s="79">
        <v>0</v>
      </c>
      <c r="AB12" s="83"/>
      <c r="AC12" s="84"/>
      <c r="AD12" s="83">
        <v>0</v>
      </c>
      <c r="AE12" s="83"/>
      <c r="AF12" s="83">
        <v>0</v>
      </c>
      <c r="AG12" s="83"/>
      <c r="AH12" s="83">
        <v>0</v>
      </c>
      <c r="AI12" s="83"/>
      <c r="AJ12" s="83">
        <v>0</v>
      </c>
      <c r="AK12" s="83"/>
      <c r="AL12" s="83">
        <v>0</v>
      </c>
      <c r="AM12" s="83"/>
      <c r="AN12" s="83">
        <v>5523588</v>
      </c>
      <c r="AO12" s="83"/>
      <c r="AP12" s="83">
        <v>0</v>
      </c>
      <c r="AQ12" s="74"/>
      <c r="AR12" s="85"/>
      <c r="AS12" s="86"/>
      <c r="AT12" s="86"/>
      <c r="AU12" s="86"/>
      <c r="AV12" s="86"/>
      <c r="AW12" s="86"/>
      <c r="AX12" s="86"/>
      <c r="AY12" s="86"/>
      <c r="AZ12" s="86"/>
      <c r="BA12" s="86"/>
      <c r="BB12" s="86"/>
      <c r="BC12" s="86">
        <v>0.11799999999999999</v>
      </c>
      <c r="BD12" s="86"/>
      <c r="BE12" s="86"/>
      <c r="BF12" s="74"/>
      <c r="BG12" s="74" t="s">
        <v>514</v>
      </c>
    </row>
    <row r="13" spans="1:59">
      <c r="A13" s="74" t="s">
        <v>538</v>
      </c>
      <c r="B13" s="74" t="s">
        <v>539</v>
      </c>
      <c r="C13" s="75" t="s">
        <v>540</v>
      </c>
      <c r="D13" s="76">
        <v>3019</v>
      </c>
      <c r="E13" s="77">
        <v>30019</v>
      </c>
      <c r="F13" s="75" t="s">
        <v>525</v>
      </c>
      <c r="G13" s="78">
        <v>5441567</v>
      </c>
      <c r="H13" s="79">
        <v>2406</v>
      </c>
      <c r="I13" s="75" t="s">
        <v>521</v>
      </c>
      <c r="J13" s="80" t="s">
        <v>513</v>
      </c>
      <c r="K13" s="80">
        <v>357</v>
      </c>
      <c r="L13" s="81"/>
      <c r="M13" s="82">
        <v>0</v>
      </c>
      <c r="N13" s="82"/>
      <c r="O13" s="82">
        <v>0</v>
      </c>
      <c r="P13" s="82"/>
      <c r="Q13" s="82">
        <v>0</v>
      </c>
      <c r="R13" s="82"/>
      <c r="S13" s="82">
        <v>0</v>
      </c>
      <c r="T13" s="82"/>
      <c r="U13" s="82">
        <v>0</v>
      </c>
      <c r="V13" s="82"/>
      <c r="W13" s="82">
        <v>0</v>
      </c>
      <c r="X13" s="82"/>
      <c r="Y13" s="82">
        <v>190958248</v>
      </c>
      <c r="Z13" s="82"/>
      <c r="AA13" s="79">
        <v>0</v>
      </c>
      <c r="AB13" s="83"/>
      <c r="AC13" s="84"/>
      <c r="AD13" s="83">
        <v>0</v>
      </c>
      <c r="AE13" s="83"/>
      <c r="AF13" s="83">
        <v>0</v>
      </c>
      <c r="AG13" s="83"/>
      <c r="AH13" s="83">
        <v>0</v>
      </c>
      <c r="AI13" s="83"/>
      <c r="AJ13" s="83">
        <v>0</v>
      </c>
      <c r="AK13" s="83"/>
      <c r="AL13" s="83">
        <v>0</v>
      </c>
      <c r="AM13" s="83"/>
      <c r="AN13" s="83">
        <v>15598066</v>
      </c>
      <c r="AO13" s="83"/>
      <c r="AP13" s="83">
        <v>0</v>
      </c>
      <c r="AQ13" s="74"/>
      <c r="AR13" s="85"/>
      <c r="AS13" s="86"/>
      <c r="AT13" s="86"/>
      <c r="AU13" s="86"/>
      <c r="AV13" s="86"/>
      <c r="AW13" s="86"/>
      <c r="AX13" s="86"/>
      <c r="AY13" s="86"/>
      <c r="AZ13" s="86"/>
      <c r="BA13" s="86"/>
      <c r="BB13" s="86"/>
      <c r="BC13" s="86">
        <v>8.1699999999999995E-2</v>
      </c>
      <c r="BD13" s="86"/>
      <c r="BE13" s="86"/>
      <c r="BF13" s="74"/>
      <c r="BG13" s="74" t="s">
        <v>514</v>
      </c>
    </row>
    <row r="14" spans="1:59">
      <c r="A14" s="74" t="s">
        <v>538</v>
      </c>
      <c r="B14" s="74" t="s">
        <v>539</v>
      </c>
      <c r="C14" s="75" t="s">
        <v>540</v>
      </c>
      <c r="D14" s="76">
        <v>3019</v>
      </c>
      <c r="E14" s="77">
        <v>30019</v>
      </c>
      <c r="F14" s="75" t="s">
        <v>525</v>
      </c>
      <c r="G14" s="78">
        <v>5441567</v>
      </c>
      <c r="H14" s="79">
        <v>2406</v>
      </c>
      <c r="I14" s="75" t="s">
        <v>512</v>
      </c>
      <c r="J14" s="80" t="s">
        <v>513</v>
      </c>
      <c r="K14" s="80">
        <v>286</v>
      </c>
      <c r="L14" s="81"/>
      <c r="M14" s="82">
        <v>0</v>
      </c>
      <c r="N14" s="82"/>
      <c r="O14" s="82">
        <v>0</v>
      </c>
      <c r="P14" s="82"/>
      <c r="Q14" s="82">
        <v>0</v>
      </c>
      <c r="R14" s="82"/>
      <c r="S14" s="82">
        <v>0</v>
      </c>
      <c r="T14" s="82"/>
      <c r="U14" s="82">
        <v>0</v>
      </c>
      <c r="V14" s="82"/>
      <c r="W14" s="82">
        <v>0</v>
      </c>
      <c r="X14" s="82"/>
      <c r="Y14" s="82">
        <v>125067726</v>
      </c>
      <c r="Z14" s="82"/>
      <c r="AA14" s="79">
        <v>0</v>
      </c>
      <c r="AB14" s="83"/>
      <c r="AC14" s="84"/>
      <c r="AD14" s="83">
        <v>0</v>
      </c>
      <c r="AE14" s="83"/>
      <c r="AF14" s="83">
        <v>0</v>
      </c>
      <c r="AG14" s="83"/>
      <c r="AH14" s="83">
        <v>0</v>
      </c>
      <c r="AI14" s="83"/>
      <c r="AJ14" s="83">
        <v>0</v>
      </c>
      <c r="AK14" s="83"/>
      <c r="AL14" s="83">
        <v>0</v>
      </c>
      <c r="AM14" s="83"/>
      <c r="AN14" s="83">
        <v>14000061</v>
      </c>
      <c r="AO14" s="83"/>
      <c r="AP14" s="83">
        <v>0</v>
      </c>
      <c r="AQ14" s="74"/>
      <c r="AR14" s="85"/>
      <c r="AS14" s="86"/>
      <c r="AT14" s="86"/>
      <c r="AU14" s="86"/>
      <c r="AV14" s="86"/>
      <c r="AW14" s="86"/>
      <c r="AX14" s="86"/>
      <c r="AY14" s="86"/>
      <c r="AZ14" s="86"/>
      <c r="BA14" s="86"/>
      <c r="BB14" s="86"/>
      <c r="BC14" s="86">
        <v>0.1119</v>
      </c>
      <c r="BD14" s="86"/>
      <c r="BE14" s="86"/>
      <c r="BF14" s="74"/>
      <c r="BG14" s="74" t="s">
        <v>514</v>
      </c>
    </row>
    <row r="15" spans="1:59">
      <c r="A15" s="74" t="s">
        <v>541</v>
      </c>
      <c r="B15" s="74" t="s">
        <v>542</v>
      </c>
      <c r="C15" s="75" t="s">
        <v>543</v>
      </c>
      <c r="D15" s="76">
        <v>6008</v>
      </c>
      <c r="E15" s="77">
        <v>60008</v>
      </c>
      <c r="F15" s="75" t="s">
        <v>525</v>
      </c>
      <c r="G15" s="78">
        <v>4944332</v>
      </c>
      <c r="H15" s="79">
        <v>2157</v>
      </c>
      <c r="I15" s="75" t="s">
        <v>519</v>
      </c>
      <c r="J15" s="80" t="s">
        <v>513</v>
      </c>
      <c r="K15" s="80">
        <v>56</v>
      </c>
      <c r="L15" s="81"/>
      <c r="M15" s="82">
        <v>0</v>
      </c>
      <c r="N15" s="82"/>
      <c r="O15" s="82">
        <v>0</v>
      </c>
      <c r="P15" s="82"/>
      <c r="Q15" s="82">
        <v>0</v>
      </c>
      <c r="R15" s="82"/>
      <c r="S15" s="82">
        <v>0</v>
      </c>
      <c r="T15" s="82"/>
      <c r="U15" s="82">
        <v>0</v>
      </c>
      <c r="V15" s="82"/>
      <c r="W15" s="82">
        <v>0</v>
      </c>
      <c r="X15" s="82"/>
      <c r="Y15" s="82">
        <v>20764234</v>
      </c>
      <c r="Z15" s="82"/>
      <c r="AA15" s="79">
        <v>0</v>
      </c>
      <c r="AB15" s="83"/>
      <c r="AC15" s="84"/>
      <c r="AD15" s="83">
        <v>0</v>
      </c>
      <c r="AE15" s="83"/>
      <c r="AF15" s="83">
        <v>0</v>
      </c>
      <c r="AG15" s="83"/>
      <c r="AH15" s="83">
        <v>0</v>
      </c>
      <c r="AI15" s="83"/>
      <c r="AJ15" s="83">
        <v>0</v>
      </c>
      <c r="AK15" s="83"/>
      <c r="AL15" s="83">
        <v>0</v>
      </c>
      <c r="AM15" s="83"/>
      <c r="AN15" s="83">
        <v>3420524</v>
      </c>
      <c r="AO15" s="83"/>
      <c r="AP15" s="83">
        <v>0</v>
      </c>
      <c r="AQ15" s="74"/>
      <c r="AR15" s="85"/>
      <c r="AS15" s="86"/>
      <c r="AT15" s="86"/>
      <c r="AU15" s="86"/>
      <c r="AV15" s="86"/>
      <c r="AW15" s="86"/>
      <c r="AX15" s="86"/>
      <c r="AY15" s="86"/>
      <c r="AZ15" s="86"/>
      <c r="BA15" s="86"/>
      <c r="BB15" s="86"/>
      <c r="BC15" s="86">
        <v>0.16470000000000001</v>
      </c>
      <c r="BD15" s="86"/>
      <c r="BE15" s="86"/>
      <c r="BF15" s="74"/>
      <c r="BG15" s="74" t="s">
        <v>514</v>
      </c>
    </row>
    <row r="16" spans="1:59">
      <c r="A16" s="74" t="s">
        <v>544</v>
      </c>
      <c r="B16" s="74" t="s">
        <v>545</v>
      </c>
      <c r="C16" s="75" t="s">
        <v>546</v>
      </c>
      <c r="D16" s="76">
        <v>3034</v>
      </c>
      <c r="E16" s="77">
        <v>30034</v>
      </c>
      <c r="F16" s="75" t="s">
        <v>547</v>
      </c>
      <c r="G16" s="78">
        <v>2203663</v>
      </c>
      <c r="H16" s="79">
        <v>1888</v>
      </c>
      <c r="I16" s="75" t="s">
        <v>512</v>
      </c>
      <c r="J16" s="80" t="s">
        <v>513</v>
      </c>
      <c r="K16" s="80">
        <v>54</v>
      </c>
      <c r="L16" s="81"/>
      <c r="M16" s="82">
        <v>0</v>
      </c>
      <c r="N16" s="82"/>
      <c r="O16" s="82">
        <v>0</v>
      </c>
      <c r="P16" s="82"/>
      <c r="Q16" s="82">
        <v>0</v>
      </c>
      <c r="R16" s="82"/>
      <c r="S16" s="82">
        <v>0</v>
      </c>
      <c r="T16" s="82"/>
      <c r="U16" s="82">
        <v>0</v>
      </c>
      <c r="V16" s="82"/>
      <c r="W16" s="82">
        <v>0</v>
      </c>
      <c r="X16" s="82"/>
      <c r="Y16" s="82">
        <v>44465246</v>
      </c>
      <c r="Z16" s="82"/>
      <c r="AA16" s="79">
        <v>0</v>
      </c>
      <c r="AB16" s="83"/>
      <c r="AC16" s="84"/>
      <c r="AD16" s="83">
        <v>0</v>
      </c>
      <c r="AE16" s="83"/>
      <c r="AF16" s="83">
        <v>0</v>
      </c>
      <c r="AG16" s="83"/>
      <c r="AH16" s="83">
        <v>0</v>
      </c>
      <c r="AI16" s="83"/>
      <c r="AJ16" s="83">
        <v>0</v>
      </c>
      <c r="AK16" s="83"/>
      <c r="AL16" s="83">
        <v>0</v>
      </c>
      <c r="AM16" s="83"/>
      <c r="AN16" s="83">
        <v>0</v>
      </c>
      <c r="AO16" s="83"/>
      <c r="AP16" s="83">
        <v>0</v>
      </c>
      <c r="AQ16" s="74"/>
      <c r="AR16" s="85"/>
      <c r="AS16" s="86"/>
      <c r="AT16" s="86"/>
      <c r="AU16" s="86"/>
      <c r="AV16" s="86"/>
      <c r="AW16" s="86"/>
      <c r="AX16" s="86"/>
      <c r="AY16" s="86"/>
      <c r="AZ16" s="86"/>
      <c r="BA16" s="86"/>
      <c r="BB16" s="86"/>
      <c r="BC16" s="86">
        <v>0</v>
      </c>
      <c r="BD16" s="86"/>
      <c r="BE16" s="86"/>
      <c r="BF16" s="74"/>
      <c r="BG16" s="74" t="s">
        <v>514</v>
      </c>
    </row>
    <row r="17" spans="1:59">
      <c r="A17" s="74" t="s">
        <v>544</v>
      </c>
      <c r="B17" s="74" t="s">
        <v>545</v>
      </c>
      <c r="C17" s="75" t="s">
        <v>546</v>
      </c>
      <c r="D17" s="76">
        <v>3034</v>
      </c>
      <c r="E17" s="77">
        <v>30034</v>
      </c>
      <c r="F17" s="75" t="s">
        <v>547</v>
      </c>
      <c r="G17" s="78">
        <v>2203663</v>
      </c>
      <c r="H17" s="79">
        <v>1888</v>
      </c>
      <c r="I17" s="75" t="s">
        <v>519</v>
      </c>
      <c r="J17" s="80" t="s">
        <v>513</v>
      </c>
      <c r="K17" s="80">
        <v>38</v>
      </c>
      <c r="L17" s="81"/>
      <c r="M17" s="82">
        <v>0</v>
      </c>
      <c r="N17" s="82"/>
      <c r="O17" s="82">
        <v>0</v>
      </c>
      <c r="P17" s="82"/>
      <c r="Q17" s="82">
        <v>0</v>
      </c>
      <c r="R17" s="82"/>
      <c r="S17" s="82">
        <v>0</v>
      </c>
      <c r="T17" s="82"/>
      <c r="U17" s="82">
        <v>0</v>
      </c>
      <c r="V17" s="82"/>
      <c r="W17" s="82">
        <v>0</v>
      </c>
      <c r="X17" s="82"/>
      <c r="Y17" s="82">
        <v>25044315</v>
      </c>
      <c r="Z17" s="82"/>
      <c r="AA17" s="79">
        <v>0</v>
      </c>
      <c r="AB17" s="83"/>
      <c r="AC17" s="84"/>
      <c r="AD17" s="83">
        <v>0</v>
      </c>
      <c r="AE17" s="83"/>
      <c r="AF17" s="83">
        <v>0</v>
      </c>
      <c r="AG17" s="83"/>
      <c r="AH17" s="83">
        <v>0</v>
      </c>
      <c r="AI17" s="83"/>
      <c r="AJ17" s="83">
        <v>0</v>
      </c>
      <c r="AK17" s="83"/>
      <c r="AL17" s="83">
        <v>0</v>
      </c>
      <c r="AM17" s="83"/>
      <c r="AN17" s="83">
        <v>2679810</v>
      </c>
      <c r="AO17" s="83"/>
      <c r="AP17" s="83">
        <v>0</v>
      </c>
      <c r="AQ17" s="74"/>
      <c r="AR17" s="85"/>
      <c r="AS17" s="86"/>
      <c r="AT17" s="86"/>
      <c r="AU17" s="86"/>
      <c r="AV17" s="86"/>
      <c r="AW17" s="86"/>
      <c r="AX17" s="86"/>
      <c r="AY17" s="86"/>
      <c r="AZ17" s="86"/>
      <c r="BA17" s="86"/>
      <c r="BB17" s="86"/>
      <c r="BC17" s="86">
        <v>0.107</v>
      </c>
      <c r="BD17" s="86"/>
      <c r="BE17" s="86"/>
      <c r="BF17" s="74"/>
      <c r="BG17" s="74" t="s">
        <v>514</v>
      </c>
    </row>
    <row r="18" spans="1:59">
      <c r="A18" s="74" t="s">
        <v>544</v>
      </c>
      <c r="B18" s="74" t="s">
        <v>545</v>
      </c>
      <c r="C18" s="75" t="s">
        <v>546</v>
      </c>
      <c r="D18" s="76">
        <v>3034</v>
      </c>
      <c r="E18" s="77">
        <v>30034</v>
      </c>
      <c r="F18" s="75" t="s">
        <v>547</v>
      </c>
      <c r="G18" s="78">
        <v>2203663</v>
      </c>
      <c r="H18" s="79">
        <v>1888</v>
      </c>
      <c r="I18" s="75" t="s">
        <v>521</v>
      </c>
      <c r="J18" s="80" t="s">
        <v>520</v>
      </c>
      <c r="K18" s="80">
        <v>149</v>
      </c>
      <c r="L18" s="81"/>
      <c r="M18" s="82">
        <v>3709703</v>
      </c>
      <c r="N18" s="82"/>
      <c r="O18" s="82">
        <v>0</v>
      </c>
      <c r="P18" s="82"/>
      <c r="Q18" s="82">
        <v>0</v>
      </c>
      <c r="R18" s="82"/>
      <c r="S18" s="82">
        <v>0</v>
      </c>
      <c r="T18" s="82"/>
      <c r="U18" s="82">
        <v>0</v>
      </c>
      <c r="V18" s="82"/>
      <c r="W18" s="82">
        <v>0</v>
      </c>
      <c r="X18" s="82"/>
      <c r="Y18" s="82">
        <v>21715405</v>
      </c>
      <c r="Z18" s="82"/>
      <c r="AA18" s="79">
        <v>0</v>
      </c>
      <c r="AB18" s="83"/>
      <c r="AC18" s="84"/>
      <c r="AD18" s="83">
        <v>764117</v>
      </c>
      <c r="AE18" s="83"/>
      <c r="AF18" s="83">
        <v>0</v>
      </c>
      <c r="AG18" s="83"/>
      <c r="AH18" s="83">
        <v>0</v>
      </c>
      <c r="AI18" s="83"/>
      <c r="AJ18" s="83">
        <v>0</v>
      </c>
      <c r="AK18" s="83"/>
      <c r="AL18" s="83">
        <v>0</v>
      </c>
      <c r="AM18" s="83"/>
      <c r="AN18" s="83">
        <v>163832</v>
      </c>
      <c r="AO18" s="83"/>
      <c r="AP18" s="83">
        <v>0</v>
      </c>
      <c r="AQ18" s="74"/>
      <c r="AR18" s="85"/>
      <c r="AS18" s="86">
        <v>0.20599999999999999</v>
      </c>
      <c r="AT18" s="86"/>
      <c r="AU18" s="86"/>
      <c r="AV18" s="86"/>
      <c r="AW18" s="86"/>
      <c r="AX18" s="86"/>
      <c r="AY18" s="86"/>
      <c r="AZ18" s="86"/>
      <c r="BA18" s="86"/>
      <c r="BB18" s="86"/>
      <c r="BC18" s="86">
        <v>7.4999999999999997E-3</v>
      </c>
      <c r="BD18" s="86"/>
      <c r="BE18" s="86"/>
      <c r="BF18" s="74"/>
      <c r="BG18" s="74" t="s">
        <v>514</v>
      </c>
    </row>
    <row r="19" spans="1:59">
      <c r="A19" s="74" t="s">
        <v>548</v>
      </c>
      <c r="B19" s="74" t="s">
        <v>549</v>
      </c>
      <c r="C19" s="75" t="s">
        <v>550</v>
      </c>
      <c r="D19" s="76">
        <v>4034</v>
      </c>
      <c r="E19" s="77">
        <v>40034</v>
      </c>
      <c r="F19" s="75" t="s">
        <v>551</v>
      </c>
      <c r="G19" s="78">
        <v>5502379</v>
      </c>
      <c r="H19" s="79">
        <v>1452</v>
      </c>
      <c r="I19" s="75" t="s">
        <v>512</v>
      </c>
      <c r="J19" s="80" t="s">
        <v>513</v>
      </c>
      <c r="K19" s="80">
        <v>76</v>
      </c>
      <c r="L19" s="81"/>
      <c r="M19" s="82">
        <v>0</v>
      </c>
      <c r="N19" s="82"/>
      <c r="O19" s="82">
        <v>0</v>
      </c>
      <c r="P19" s="82"/>
      <c r="Q19" s="82">
        <v>0</v>
      </c>
      <c r="R19" s="82"/>
      <c r="S19" s="82">
        <v>0</v>
      </c>
      <c r="T19" s="82"/>
      <c r="U19" s="82">
        <v>0</v>
      </c>
      <c r="V19" s="82"/>
      <c r="W19" s="82">
        <v>0</v>
      </c>
      <c r="X19" s="82"/>
      <c r="Y19" s="82">
        <v>66954261</v>
      </c>
      <c r="Z19" s="82"/>
      <c r="AA19" s="79">
        <v>0</v>
      </c>
      <c r="AB19" s="83"/>
      <c r="AC19" s="84"/>
      <c r="AD19" s="83">
        <v>0</v>
      </c>
      <c r="AE19" s="83"/>
      <c r="AF19" s="83">
        <v>0</v>
      </c>
      <c r="AG19" s="83"/>
      <c r="AH19" s="83">
        <v>0</v>
      </c>
      <c r="AI19" s="83"/>
      <c r="AJ19" s="83">
        <v>0</v>
      </c>
      <c r="AK19" s="83"/>
      <c r="AL19" s="83">
        <v>0</v>
      </c>
      <c r="AM19" s="83"/>
      <c r="AN19" s="83">
        <v>559892</v>
      </c>
      <c r="AO19" s="83"/>
      <c r="AP19" s="83">
        <v>0</v>
      </c>
      <c r="AQ19" s="74"/>
      <c r="AR19" s="85"/>
      <c r="AS19" s="86"/>
      <c r="AT19" s="86"/>
      <c r="AU19" s="86"/>
      <c r="AV19" s="86"/>
      <c r="AW19" s="86"/>
      <c r="AX19" s="86"/>
      <c r="AY19" s="86"/>
      <c r="AZ19" s="86"/>
      <c r="BA19" s="86"/>
      <c r="BB19" s="86"/>
      <c r="BC19" s="86">
        <v>8.3999999999999995E-3</v>
      </c>
      <c r="BD19" s="86"/>
      <c r="BE19" s="86"/>
      <c r="BF19" s="74"/>
      <c r="BG19" s="74" t="s">
        <v>514</v>
      </c>
    </row>
    <row r="20" spans="1:59">
      <c r="A20" s="74" t="s">
        <v>552</v>
      </c>
      <c r="B20" s="74" t="s">
        <v>553</v>
      </c>
      <c r="C20" s="75" t="s">
        <v>554</v>
      </c>
      <c r="D20" s="76">
        <v>8006</v>
      </c>
      <c r="E20" s="77">
        <v>80006</v>
      </c>
      <c r="F20" s="75" t="s">
        <v>525</v>
      </c>
      <c r="G20" s="78">
        <v>2374203</v>
      </c>
      <c r="H20" s="79">
        <v>1431</v>
      </c>
      <c r="I20" s="75" t="s">
        <v>521</v>
      </c>
      <c r="J20" s="80" t="s">
        <v>513</v>
      </c>
      <c r="K20" s="80">
        <v>8</v>
      </c>
      <c r="L20" s="81"/>
      <c r="M20" s="82">
        <v>0</v>
      </c>
      <c r="N20" s="82"/>
      <c r="O20" s="82">
        <v>0</v>
      </c>
      <c r="P20" s="82"/>
      <c r="Q20" s="82">
        <v>0</v>
      </c>
      <c r="R20" s="82"/>
      <c r="S20" s="82">
        <v>0</v>
      </c>
      <c r="T20" s="82"/>
      <c r="U20" s="82">
        <v>0</v>
      </c>
      <c r="V20" s="82"/>
      <c r="W20" s="82">
        <v>0</v>
      </c>
      <c r="X20" s="82"/>
      <c r="Y20" s="82">
        <v>688983</v>
      </c>
      <c r="Z20" s="82"/>
      <c r="AA20" s="79">
        <v>0</v>
      </c>
      <c r="AB20" s="83"/>
      <c r="AC20" s="84"/>
      <c r="AD20" s="83">
        <v>0</v>
      </c>
      <c r="AE20" s="83"/>
      <c r="AF20" s="83">
        <v>0</v>
      </c>
      <c r="AG20" s="83"/>
      <c r="AH20" s="83">
        <v>0</v>
      </c>
      <c r="AI20" s="83"/>
      <c r="AJ20" s="83">
        <v>0</v>
      </c>
      <c r="AK20" s="83"/>
      <c r="AL20" s="83">
        <v>0</v>
      </c>
      <c r="AM20" s="83"/>
      <c r="AN20" s="83">
        <v>0</v>
      </c>
      <c r="AO20" s="83"/>
      <c r="AP20" s="83">
        <v>0</v>
      </c>
      <c r="AQ20" s="74"/>
      <c r="AR20" s="85"/>
      <c r="AS20" s="86"/>
      <c r="AT20" s="86"/>
      <c r="AU20" s="86"/>
      <c r="AV20" s="86"/>
      <c r="AW20" s="86"/>
      <c r="AX20" s="86"/>
      <c r="AY20" s="86"/>
      <c r="AZ20" s="86"/>
      <c r="BA20" s="86"/>
      <c r="BB20" s="86"/>
      <c r="BC20" s="86">
        <v>0</v>
      </c>
      <c r="BD20" s="86"/>
      <c r="BE20" s="86"/>
      <c r="BF20" s="74"/>
      <c r="BG20" s="74" t="s">
        <v>514</v>
      </c>
    </row>
    <row r="21" spans="1:59">
      <c r="A21" s="74" t="s">
        <v>552</v>
      </c>
      <c r="B21" s="74" t="s">
        <v>553</v>
      </c>
      <c r="C21" s="75" t="s">
        <v>554</v>
      </c>
      <c r="D21" s="76">
        <v>8006</v>
      </c>
      <c r="E21" s="77">
        <v>80006</v>
      </c>
      <c r="F21" s="75" t="s">
        <v>525</v>
      </c>
      <c r="G21" s="78">
        <v>2374203</v>
      </c>
      <c r="H21" s="79">
        <v>1431</v>
      </c>
      <c r="I21" s="75" t="s">
        <v>521</v>
      </c>
      <c r="J21" s="80" t="s">
        <v>520</v>
      </c>
      <c r="K21" s="80">
        <v>44</v>
      </c>
      <c r="L21" s="81"/>
      <c r="M21" s="82">
        <v>0</v>
      </c>
      <c r="N21" s="82"/>
      <c r="O21" s="82">
        <v>0</v>
      </c>
      <c r="P21" s="82"/>
      <c r="Q21" s="82">
        <v>0</v>
      </c>
      <c r="R21" s="82"/>
      <c r="S21" s="82">
        <v>0</v>
      </c>
      <c r="T21" s="82"/>
      <c r="U21" s="82">
        <v>0</v>
      </c>
      <c r="V21" s="82"/>
      <c r="W21" s="82">
        <v>0</v>
      </c>
      <c r="X21" s="82"/>
      <c r="Y21" s="82">
        <v>40149051</v>
      </c>
      <c r="Z21" s="82"/>
      <c r="AA21" s="79">
        <v>0</v>
      </c>
      <c r="AB21" s="83"/>
      <c r="AC21" s="84"/>
      <c r="AD21" s="83">
        <v>0</v>
      </c>
      <c r="AE21" s="83"/>
      <c r="AF21" s="83">
        <v>0</v>
      </c>
      <c r="AG21" s="83"/>
      <c r="AH21" s="83">
        <v>0</v>
      </c>
      <c r="AI21" s="83"/>
      <c r="AJ21" s="83">
        <v>0</v>
      </c>
      <c r="AK21" s="83"/>
      <c r="AL21" s="83">
        <v>0</v>
      </c>
      <c r="AM21" s="83"/>
      <c r="AN21" s="83">
        <v>6311542</v>
      </c>
      <c r="AO21" s="83"/>
      <c r="AP21" s="83">
        <v>0</v>
      </c>
      <c r="AQ21" s="74"/>
      <c r="AR21" s="85"/>
      <c r="AS21" s="86"/>
      <c r="AT21" s="86"/>
      <c r="AU21" s="86"/>
      <c r="AV21" s="86"/>
      <c r="AW21" s="86"/>
      <c r="AX21" s="86"/>
      <c r="AY21" s="86"/>
      <c r="AZ21" s="86"/>
      <c r="BA21" s="86"/>
      <c r="BB21" s="86"/>
      <c r="BC21" s="86">
        <v>0.15720000000000001</v>
      </c>
      <c r="BD21" s="86"/>
      <c r="BE21" s="86"/>
      <c r="BF21" s="74"/>
      <c r="BG21" s="74" t="s">
        <v>514</v>
      </c>
    </row>
    <row r="22" spans="1:59">
      <c r="A22" s="74" t="s">
        <v>552</v>
      </c>
      <c r="B22" s="74" t="s">
        <v>553</v>
      </c>
      <c r="C22" s="75" t="s">
        <v>554</v>
      </c>
      <c r="D22" s="76">
        <v>8006</v>
      </c>
      <c r="E22" s="77">
        <v>80006</v>
      </c>
      <c r="F22" s="75" t="s">
        <v>525</v>
      </c>
      <c r="G22" s="78">
        <v>2374203</v>
      </c>
      <c r="H22" s="79">
        <v>1431</v>
      </c>
      <c r="I22" s="75" t="s">
        <v>519</v>
      </c>
      <c r="J22" s="80" t="s">
        <v>513</v>
      </c>
      <c r="K22" s="80">
        <v>156</v>
      </c>
      <c r="L22" s="81"/>
      <c r="M22" s="82">
        <v>0</v>
      </c>
      <c r="N22" s="82"/>
      <c r="O22" s="82">
        <v>0</v>
      </c>
      <c r="P22" s="82"/>
      <c r="Q22" s="82">
        <v>0</v>
      </c>
      <c r="R22" s="82"/>
      <c r="S22" s="82">
        <v>0</v>
      </c>
      <c r="T22" s="82"/>
      <c r="U22" s="82">
        <v>0</v>
      </c>
      <c r="V22" s="82"/>
      <c r="W22" s="82">
        <v>0</v>
      </c>
      <c r="X22" s="82"/>
      <c r="Y22" s="82">
        <v>60630772</v>
      </c>
      <c r="Z22" s="82"/>
      <c r="AA22" s="79">
        <v>0</v>
      </c>
      <c r="AB22" s="83"/>
      <c r="AC22" s="84"/>
      <c r="AD22" s="83">
        <v>0</v>
      </c>
      <c r="AE22" s="83"/>
      <c r="AF22" s="83">
        <v>0</v>
      </c>
      <c r="AG22" s="83"/>
      <c r="AH22" s="83">
        <v>0</v>
      </c>
      <c r="AI22" s="83"/>
      <c r="AJ22" s="83">
        <v>0</v>
      </c>
      <c r="AK22" s="83"/>
      <c r="AL22" s="83">
        <v>0</v>
      </c>
      <c r="AM22" s="83"/>
      <c r="AN22" s="83">
        <v>9327859</v>
      </c>
      <c r="AO22" s="83"/>
      <c r="AP22" s="83">
        <v>0</v>
      </c>
      <c r="AQ22" s="74"/>
      <c r="AR22" s="85"/>
      <c r="AS22" s="86"/>
      <c r="AT22" s="86"/>
      <c r="AU22" s="86"/>
      <c r="AV22" s="86"/>
      <c r="AW22" s="86"/>
      <c r="AX22" s="86"/>
      <c r="AY22" s="86"/>
      <c r="AZ22" s="86"/>
      <c r="BA22" s="86"/>
      <c r="BB22" s="86"/>
      <c r="BC22" s="86">
        <v>0.15379999999999999</v>
      </c>
      <c r="BD22" s="86"/>
      <c r="BE22" s="86"/>
      <c r="BF22" s="74"/>
      <c r="BG22" s="74" t="s">
        <v>514</v>
      </c>
    </row>
    <row r="23" spans="1:59">
      <c r="A23" s="74" t="s">
        <v>555</v>
      </c>
      <c r="B23" s="74" t="s">
        <v>556</v>
      </c>
      <c r="C23" s="75" t="s">
        <v>509</v>
      </c>
      <c r="D23" s="76">
        <v>2078</v>
      </c>
      <c r="E23" s="77">
        <v>20078</v>
      </c>
      <c r="F23" s="75" t="s">
        <v>510</v>
      </c>
      <c r="G23" s="78">
        <v>18351295</v>
      </c>
      <c r="H23" s="79">
        <v>1133</v>
      </c>
      <c r="I23" s="75" t="s">
        <v>521</v>
      </c>
      <c r="J23" s="80" t="s">
        <v>513</v>
      </c>
      <c r="K23" s="80">
        <v>1122</v>
      </c>
      <c r="L23" s="81"/>
      <c r="M23" s="82">
        <v>5697351</v>
      </c>
      <c r="N23" s="82"/>
      <c r="O23" s="82">
        <v>0</v>
      </c>
      <c r="P23" s="82"/>
      <c r="Q23" s="82">
        <v>0</v>
      </c>
      <c r="R23" s="82"/>
      <c r="S23" s="82">
        <v>0</v>
      </c>
      <c r="T23" s="82"/>
      <c r="U23" s="82">
        <v>0</v>
      </c>
      <c r="V23" s="82"/>
      <c r="W23" s="82">
        <v>0</v>
      </c>
      <c r="X23" s="82"/>
      <c r="Y23" s="82">
        <v>367362724</v>
      </c>
      <c r="Z23" s="82"/>
      <c r="AA23" s="79">
        <v>0</v>
      </c>
      <c r="AB23" s="83"/>
      <c r="AC23" s="84"/>
      <c r="AD23" s="83">
        <v>0</v>
      </c>
      <c r="AE23" s="83"/>
      <c r="AF23" s="83">
        <v>0</v>
      </c>
      <c r="AG23" s="83"/>
      <c r="AH23" s="83">
        <v>0</v>
      </c>
      <c r="AI23" s="83"/>
      <c r="AJ23" s="83">
        <v>0</v>
      </c>
      <c r="AK23" s="83"/>
      <c r="AL23" s="83">
        <v>2002432</v>
      </c>
      <c r="AM23" s="83"/>
      <c r="AN23" s="83">
        <v>40070882</v>
      </c>
      <c r="AO23" s="83"/>
      <c r="AP23" s="83">
        <v>0</v>
      </c>
      <c r="AQ23" s="74"/>
      <c r="AR23" s="85"/>
      <c r="AS23" s="86">
        <v>0</v>
      </c>
      <c r="AT23" s="86"/>
      <c r="AU23" s="86"/>
      <c r="AV23" s="86"/>
      <c r="AW23" s="86"/>
      <c r="AX23" s="86"/>
      <c r="AY23" s="86"/>
      <c r="AZ23" s="86"/>
      <c r="BA23" s="86"/>
      <c r="BB23" s="86"/>
      <c r="BC23" s="86">
        <v>0.1091</v>
      </c>
      <c r="BD23" s="86"/>
      <c r="BE23" s="86"/>
      <c r="BF23" s="74"/>
      <c r="BG23" s="74" t="s">
        <v>514</v>
      </c>
    </row>
    <row r="24" spans="1:59">
      <c r="A24" s="74" t="s">
        <v>557</v>
      </c>
      <c r="B24" s="74" t="s">
        <v>558</v>
      </c>
      <c r="C24" s="75" t="s">
        <v>543</v>
      </c>
      <c r="D24" s="76">
        <v>6056</v>
      </c>
      <c r="E24" s="77">
        <v>60056</v>
      </c>
      <c r="F24" s="75" t="s">
        <v>525</v>
      </c>
      <c r="G24" s="78">
        <v>5121892</v>
      </c>
      <c r="H24" s="79">
        <v>1082</v>
      </c>
      <c r="I24" s="75" t="s">
        <v>521</v>
      </c>
      <c r="J24" s="80" t="s">
        <v>520</v>
      </c>
      <c r="K24" s="80">
        <v>23</v>
      </c>
      <c r="L24" s="81"/>
      <c r="M24" s="82">
        <v>1375987</v>
      </c>
      <c r="N24" s="82"/>
      <c r="O24" s="82">
        <v>0</v>
      </c>
      <c r="P24" s="82"/>
      <c r="Q24" s="82">
        <v>0</v>
      </c>
      <c r="R24" s="82"/>
      <c r="S24" s="82">
        <v>0</v>
      </c>
      <c r="T24" s="82"/>
      <c r="U24" s="82">
        <v>0</v>
      </c>
      <c r="V24" s="82"/>
      <c r="W24" s="82">
        <v>0</v>
      </c>
      <c r="X24" s="82"/>
      <c r="Y24" s="82">
        <v>0</v>
      </c>
      <c r="Z24" s="82"/>
      <c r="AA24" s="79">
        <v>0</v>
      </c>
      <c r="AB24" s="83"/>
      <c r="AC24" s="84"/>
      <c r="AD24" s="83">
        <v>460806</v>
      </c>
      <c r="AE24" s="83"/>
      <c r="AF24" s="83">
        <v>0</v>
      </c>
      <c r="AG24" s="83"/>
      <c r="AH24" s="83">
        <v>0</v>
      </c>
      <c r="AI24" s="83"/>
      <c r="AJ24" s="83">
        <v>0</v>
      </c>
      <c r="AK24" s="83"/>
      <c r="AL24" s="83">
        <v>0</v>
      </c>
      <c r="AM24" s="83"/>
      <c r="AN24" s="83">
        <v>0</v>
      </c>
      <c r="AO24" s="83"/>
      <c r="AP24" s="83">
        <v>0</v>
      </c>
      <c r="AQ24" s="74"/>
      <c r="AR24" s="85"/>
      <c r="AS24" s="86">
        <v>0.33489999999999998</v>
      </c>
      <c r="AT24" s="86"/>
      <c r="AU24" s="86"/>
      <c r="AV24" s="86"/>
      <c r="AW24" s="86"/>
      <c r="AX24" s="86"/>
      <c r="AY24" s="86"/>
      <c r="AZ24" s="86"/>
      <c r="BA24" s="86"/>
      <c r="BB24" s="86"/>
      <c r="BC24" s="86"/>
      <c r="BD24" s="86"/>
      <c r="BE24" s="86"/>
      <c r="BF24" s="74"/>
      <c r="BG24" s="74" t="s">
        <v>514</v>
      </c>
    </row>
    <row r="25" spans="1:59">
      <c r="A25" s="74" t="s">
        <v>557</v>
      </c>
      <c r="B25" s="74" t="s">
        <v>558</v>
      </c>
      <c r="C25" s="75" t="s">
        <v>543</v>
      </c>
      <c r="D25" s="76">
        <v>6056</v>
      </c>
      <c r="E25" s="77">
        <v>60056</v>
      </c>
      <c r="F25" s="75" t="s">
        <v>525</v>
      </c>
      <c r="G25" s="78">
        <v>5121892</v>
      </c>
      <c r="H25" s="79">
        <v>1082</v>
      </c>
      <c r="I25" s="75" t="s">
        <v>519</v>
      </c>
      <c r="J25" s="80" t="s">
        <v>513</v>
      </c>
      <c r="K25" s="80">
        <v>117</v>
      </c>
      <c r="L25" s="81"/>
      <c r="M25" s="82">
        <v>0</v>
      </c>
      <c r="N25" s="82"/>
      <c r="O25" s="82">
        <v>0</v>
      </c>
      <c r="P25" s="82"/>
      <c r="Q25" s="82">
        <v>0</v>
      </c>
      <c r="R25" s="82"/>
      <c r="S25" s="82">
        <v>0</v>
      </c>
      <c r="T25" s="82"/>
      <c r="U25" s="82">
        <v>0</v>
      </c>
      <c r="V25" s="82"/>
      <c r="W25" s="82">
        <v>0</v>
      </c>
      <c r="X25" s="82"/>
      <c r="Y25" s="82">
        <v>116183770</v>
      </c>
      <c r="Z25" s="82"/>
      <c r="AA25" s="79">
        <v>0</v>
      </c>
      <c r="AB25" s="83"/>
      <c r="AC25" s="84"/>
      <c r="AD25" s="83">
        <v>0</v>
      </c>
      <c r="AE25" s="83"/>
      <c r="AF25" s="83">
        <v>0</v>
      </c>
      <c r="AG25" s="83"/>
      <c r="AH25" s="83">
        <v>0</v>
      </c>
      <c r="AI25" s="83"/>
      <c r="AJ25" s="83">
        <v>0</v>
      </c>
      <c r="AK25" s="83"/>
      <c r="AL25" s="83">
        <v>0</v>
      </c>
      <c r="AM25" s="83"/>
      <c r="AN25" s="83">
        <v>9894309</v>
      </c>
      <c r="AO25" s="83"/>
      <c r="AP25" s="83">
        <v>0</v>
      </c>
      <c r="AQ25" s="74"/>
      <c r="AR25" s="85"/>
      <c r="AS25" s="86"/>
      <c r="AT25" s="86"/>
      <c r="AU25" s="86"/>
      <c r="AV25" s="86"/>
      <c r="AW25" s="86"/>
      <c r="AX25" s="86"/>
      <c r="AY25" s="86"/>
      <c r="AZ25" s="86"/>
      <c r="BA25" s="86"/>
      <c r="BB25" s="86"/>
      <c r="BC25" s="86">
        <v>8.5199999999999998E-2</v>
      </c>
      <c r="BD25" s="86"/>
      <c r="BE25" s="86"/>
      <c r="BF25" s="74"/>
      <c r="BG25" s="74" t="s">
        <v>514</v>
      </c>
    </row>
    <row r="26" spans="1:59">
      <c r="A26" s="74" t="s">
        <v>559</v>
      </c>
      <c r="B26" s="74" t="s">
        <v>560</v>
      </c>
      <c r="C26" s="75" t="s">
        <v>561</v>
      </c>
      <c r="D26" s="76">
        <v>8001</v>
      </c>
      <c r="E26" s="77">
        <v>80001</v>
      </c>
      <c r="F26" s="75" t="s">
        <v>525</v>
      </c>
      <c r="G26" s="78">
        <v>1021243</v>
      </c>
      <c r="H26" s="79">
        <v>1081</v>
      </c>
      <c r="I26" s="75" t="s">
        <v>519</v>
      </c>
      <c r="J26" s="80" t="s">
        <v>513</v>
      </c>
      <c r="K26" s="80">
        <v>89</v>
      </c>
      <c r="L26" s="81"/>
      <c r="M26" s="82">
        <v>0</v>
      </c>
      <c r="N26" s="82"/>
      <c r="O26" s="82">
        <v>0</v>
      </c>
      <c r="P26" s="82"/>
      <c r="Q26" s="82">
        <v>0</v>
      </c>
      <c r="R26" s="82"/>
      <c r="S26" s="82">
        <v>0</v>
      </c>
      <c r="T26" s="82"/>
      <c r="U26" s="82">
        <v>0</v>
      </c>
      <c r="V26" s="82"/>
      <c r="W26" s="82">
        <v>0</v>
      </c>
      <c r="X26" s="82"/>
      <c r="Y26" s="82">
        <v>39602347</v>
      </c>
      <c r="Z26" s="82"/>
      <c r="AA26" s="79">
        <v>0</v>
      </c>
      <c r="AB26" s="83"/>
      <c r="AC26" s="84"/>
      <c r="AD26" s="83">
        <v>0</v>
      </c>
      <c r="AE26" s="83"/>
      <c r="AF26" s="83">
        <v>0</v>
      </c>
      <c r="AG26" s="83"/>
      <c r="AH26" s="83">
        <v>0</v>
      </c>
      <c r="AI26" s="83"/>
      <c r="AJ26" s="83">
        <v>0</v>
      </c>
      <c r="AK26" s="83"/>
      <c r="AL26" s="83">
        <v>0</v>
      </c>
      <c r="AM26" s="83"/>
      <c r="AN26" s="83">
        <v>6307169</v>
      </c>
      <c r="AO26" s="83"/>
      <c r="AP26" s="83">
        <v>0</v>
      </c>
      <c r="AQ26" s="74"/>
      <c r="AR26" s="85"/>
      <c r="AS26" s="86"/>
      <c r="AT26" s="86"/>
      <c r="AU26" s="86"/>
      <c r="AV26" s="86"/>
      <c r="AW26" s="86"/>
      <c r="AX26" s="86"/>
      <c r="AY26" s="86"/>
      <c r="AZ26" s="86"/>
      <c r="BA26" s="86"/>
      <c r="BB26" s="86"/>
      <c r="BC26" s="86">
        <v>0.1593</v>
      </c>
      <c r="BD26" s="86"/>
      <c r="BE26" s="86"/>
      <c r="BF26" s="74"/>
      <c r="BG26" s="74" t="s">
        <v>514</v>
      </c>
    </row>
    <row r="27" spans="1:59">
      <c r="A27" s="74" t="s">
        <v>559</v>
      </c>
      <c r="B27" s="74" t="s">
        <v>560</v>
      </c>
      <c r="C27" s="75" t="s">
        <v>561</v>
      </c>
      <c r="D27" s="76">
        <v>8001</v>
      </c>
      <c r="E27" s="77">
        <v>80001</v>
      </c>
      <c r="F27" s="75" t="s">
        <v>525</v>
      </c>
      <c r="G27" s="78">
        <v>1021243</v>
      </c>
      <c r="H27" s="79">
        <v>1081</v>
      </c>
      <c r="I27" s="75" t="s">
        <v>521</v>
      </c>
      <c r="J27" s="80" t="s">
        <v>513</v>
      </c>
      <c r="K27" s="80">
        <v>50</v>
      </c>
      <c r="L27" s="81"/>
      <c r="M27" s="82">
        <v>1921417</v>
      </c>
      <c r="N27" s="82"/>
      <c r="O27" s="82">
        <v>0</v>
      </c>
      <c r="P27" s="82"/>
      <c r="Q27" s="82">
        <v>0</v>
      </c>
      <c r="R27" s="82"/>
      <c r="S27" s="82">
        <v>0</v>
      </c>
      <c r="T27" s="82"/>
      <c r="U27" s="82">
        <v>0</v>
      </c>
      <c r="V27" s="82"/>
      <c r="W27" s="82">
        <v>0</v>
      </c>
      <c r="X27" s="82"/>
      <c r="Y27" s="82">
        <v>0</v>
      </c>
      <c r="Z27" s="82"/>
      <c r="AA27" s="79">
        <v>0</v>
      </c>
      <c r="AB27" s="83"/>
      <c r="AC27" s="84"/>
      <c r="AD27" s="83">
        <v>850933</v>
      </c>
      <c r="AE27" s="83"/>
      <c r="AF27" s="83">
        <v>0</v>
      </c>
      <c r="AG27" s="83"/>
      <c r="AH27" s="83">
        <v>0</v>
      </c>
      <c r="AI27" s="83"/>
      <c r="AJ27" s="83">
        <v>0</v>
      </c>
      <c r="AK27" s="83"/>
      <c r="AL27" s="83">
        <v>0</v>
      </c>
      <c r="AM27" s="83"/>
      <c r="AN27" s="83">
        <v>0</v>
      </c>
      <c r="AO27" s="83"/>
      <c r="AP27" s="83">
        <v>0</v>
      </c>
      <c r="AQ27" s="74"/>
      <c r="AR27" s="85"/>
      <c r="AS27" s="86">
        <v>0.44290000000000002</v>
      </c>
      <c r="AT27" s="86"/>
      <c r="AU27" s="86"/>
      <c r="AV27" s="86"/>
      <c r="AW27" s="86"/>
      <c r="AX27" s="86"/>
      <c r="AY27" s="86"/>
      <c r="AZ27" s="86"/>
      <c r="BA27" s="86"/>
      <c r="BB27" s="86"/>
      <c r="BC27" s="86"/>
      <c r="BD27" s="86"/>
      <c r="BE27" s="86"/>
      <c r="BF27" s="74"/>
      <c r="BG27" s="74" t="s">
        <v>514</v>
      </c>
    </row>
    <row r="28" spans="1:59">
      <c r="A28" s="74" t="s">
        <v>562</v>
      </c>
      <c r="B28" s="74" t="s">
        <v>530</v>
      </c>
      <c r="C28" s="75" t="s">
        <v>531</v>
      </c>
      <c r="D28" s="76">
        <v>5118</v>
      </c>
      <c r="E28" s="77">
        <v>50118</v>
      </c>
      <c r="F28" s="75" t="s">
        <v>525</v>
      </c>
      <c r="G28" s="78">
        <v>8608208</v>
      </c>
      <c r="H28" s="79">
        <v>1066</v>
      </c>
      <c r="I28" s="75" t="s">
        <v>521</v>
      </c>
      <c r="J28" s="80" t="s">
        <v>513</v>
      </c>
      <c r="K28" s="80">
        <v>539</v>
      </c>
      <c r="L28" s="81"/>
      <c r="M28" s="82">
        <v>18100043</v>
      </c>
      <c r="N28" s="82"/>
      <c r="O28" s="82">
        <v>0</v>
      </c>
      <c r="P28" s="82"/>
      <c r="Q28" s="82">
        <v>0</v>
      </c>
      <c r="R28" s="82"/>
      <c r="S28" s="82">
        <v>0</v>
      </c>
      <c r="T28" s="82"/>
      <c r="U28" s="82">
        <v>0</v>
      </c>
      <c r="V28" s="82"/>
      <c r="W28" s="82">
        <v>0</v>
      </c>
      <c r="X28" s="82"/>
      <c r="Y28" s="82">
        <v>56262281</v>
      </c>
      <c r="Z28" s="82"/>
      <c r="AA28" s="79">
        <v>0</v>
      </c>
      <c r="AB28" s="83"/>
      <c r="AC28" s="84"/>
      <c r="AD28" s="83">
        <v>5202961</v>
      </c>
      <c r="AE28" s="83"/>
      <c r="AF28" s="83">
        <v>0</v>
      </c>
      <c r="AG28" s="83"/>
      <c r="AH28" s="83">
        <v>0</v>
      </c>
      <c r="AI28" s="83"/>
      <c r="AJ28" s="83">
        <v>0</v>
      </c>
      <c r="AK28" s="83"/>
      <c r="AL28" s="83">
        <v>0</v>
      </c>
      <c r="AM28" s="83"/>
      <c r="AN28" s="83">
        <v>3759786</v>
      </c>
      <c r="AO28" s="83"/>
      <c r="AP28" s="83">
        <v>0</v>
      </c>
      <c r="AQ28" s="74"/>
      <c r="AR28" s="85"/>
      <c r="AS28" s="86">
        <v>0.28749999999999998</v>
      </c>
      <c r="AT28" s="86"/>
      <c r="AU28" s="86"/>
      <c r="AV28" s="86"/>
      <c r="AW28" s="86"/>
      <c r="AX28" s="86"/>
      <c r="AY28" s="86"/>
      <c r="AZ28" s="86"/>
      <c r="BA28" s="86"/>
      <c r="BB28" s="86"/>
      <c r="BC28" s="86">
        <v>6.6799999999999998E-2</v>
      </c>
      <c r="BD28" s="86"/>
      <c r="BE28" s="86"/>
      <c r="BF28" s="74"/>
      <c r="BG28" s="74" t="s">
        <v>514</v>
      </c>
    </row>
    <row r="29" spans="1:59">
      <c r="A29" s="74" t="s">
        <v>562</v>
      </c>
      <c r="B29" s="74" t="s">
        <v>530</v>
      </c>
      <c r="C29" s="75" t="s">
        <v>531</v>
      </c>
      <c r="D29" s="76">
        <v>5118</v>
      </c>
      <c r="E29" s="77">
        <v>50118</v>
      </c>
      <c r="F29" s="75" t="s">
        <v>525</v>
      </c>
      <c r="G29" s="78">
        <v>8608208</v>
      </c>
      <c r="H29" s="79">
        <v>1066</v>
      </c>
      <c r="I29" s="75" t="s">
        <v>521</v>
      </c>
      <c r="J29" s="80" t="s">
        <v>520</v>
      </c>
      <c r="K29" s="80">
        <v>527</v>
      </c>
      <c r="L29" s="81"/>
      <c r="M29" s="82">
        <v>18100043</v>
      </c>
      <c r="N29" s="82"/>
      <c r="O29" s="82">
        <v>0</v>
      </c>
      <c r="P29" s="82"/>
      <c r="Q29" s="82">
        <v>0</v>
      </c>
      <c r="R29" s="82"/>
      <c r="S29" s="82">
        <v>0</v>
      </c>
      <c r="T29" s="82"/>
      <c r="U29" s="82">
        <v>0</v>
      </c>
      <c r="V29" s="82"/>
      <c r="W29" s="82">
        <v>0</v>
      </c>
      <c r="X29" s="82"/>
      <c r="Y29" s="82">
        <v>0</v>
      </c>
      <c r="Z29" s="82"/>
      <c r="AA29" s="79">
        <v>0</v>
      </c>
      <c r="AB29" s="83"/>
      <c r="AC29" s="84"/>
      <c r="AD29" s="83">
        <v>0</v>
      </c>
      <c r="AE29" s="83"/>
      <c r="AF29" s="83">
        <v>0</v>
      </c>
      <c r="AG29" s="83"/>
      <c r="AH29" s="83">
        <v>0</v>
      </c>
      <c r="AI29" s="83"/>
      <c r="AJ29" s="83">
        <v>0</v>
      </c>
      <c r="AK29" s="83"/>
      <c r="AL29" s="83">
        <v>0</v>
      </c>
      <c r="AM29" s="83"/>
      <c r="AN29" s="83">
        <v>0</v>
      </c>
      <c r="AO29" s="83"/>
      <c r="AP29" s="83">
        <v>0</v>
      </c>
      <c r="AQ29" s="74"/>
      <c r="AR29" s="85"/>
      <c r="AS29" s="86">
        <v>0</v>
      </c>
      <c r="AT29" s="86"/>
      <c r="AU29" s="86"/>
      <c r="AV29" s="86"/>
      <c r="AW29" s="86"/>
      <c r="AX29" s="86"/>
      <c r="AY29" s="86"/>
      <c r="AZ29" s="86"/>
      <c r="BA29" s="86"/>
      <c r="BB29" s="86"/>
      <c r="BC29" s="86"/>
      <c r="BD29" s="86"/>
      <c r="BE29" s="86"/>
      <c r="BF29" s="74"/>
      <c r="BG29" s="74" t="s">
        <v>514</v>
      </c>
    </row>
    <row r="30" spans="1:59">
      <c r="A30" s="74" t="s">
        <v>563</v>
      </c>
      <c r="B30" s="74" t="s">
        <v>564</v>
      </c>
      <c r="C30" s="75" t="s">
        <v>509</v>
      </c>
      <c r="D30" s="76">
        <v>2100</v>
      </c>
      <c r="E30" s="77">
        <v>20100</v>
      </c>
      <c r="F30" s="75" t="s">
        <v>510</v>
      </c>
      <c r="G30" s="78">
        <v>18351295</v>
      </c>
      <c r="H30" s="79">
        <v>1022</v>
      </c>
      <c r="I30" s="75" t="s">
        <v>521</v>
      </c>
      <c r="J30" s="80" t="s">
        <v>513</v>
      </c>
      <c r="K30" s="80">
        <v>1022</v>
      </c>
      <c r="L30" s="81"/>
      <c r="M30" s="82">
        <v>7034074</v>
      </c>
      <c r="N30" s="82"/>
      <c r="O30" s="82">
        <v>0</v>
      </c>
      <c r="P30" s="82"/>
      <c r="Q30" s="82">
        <v>0</v>
      </c>
      <c r="R30" s="82"/>
      <c r="S30" s="82">
        <v>0</v>
      </c>
      <c r="T30" s="82"/>
      <c r="U30" s="82">
        <v>0</v>
      </c>
      <c r="V30" s="82"/>
      <c r="W30" s="82">
        <v>0</v>
      </c>
      <c r="X30" s="82"/>
      <c r="Y30" s="82">
        <v>471350200</v>
      </c>
      <c r="Z30" s="82"/>
      <c r="AA30" s="79">
        <v>0</v>
      </c>
      <c r="AB30" s="83"/>
      <c r="AC30" s="84"/>
      <c r="AD30" s="83">
        <v>757533</v>
      </c>
      <c r="AE30" s="83"/>
      <c r="AF30" s="83">
        <v>0</v>
      </c>
      <c r="AG30" s="83"/>
      <c r="AH30" s="83">
        <v>0</v>
      </c>
      <c r="AI30" s="83"/>
      <c r="AJ30" s="83">
        <v>0</v>
      </c>
      <c r="AK30" s="83"/>
      <c r="AL30" s="83">
        <v>757533</v>
      </c>
      <c r="AM30" s="83"/>
      <c r="AN30" s="83">
        <v>54919600</v>
      </c>
      <c r="AO30" s="83"/>
      <c r="AP30" s="83">
        <v>0</v>
      </c>
      <c r="AQ30" s="74"/>
      <c r="AR30" s="85"/>
      <c r="AS30" s="86">
        <v>0.1077</v>
      </c>
      <c r="AT30" s="86"/>
      <c r="AU30" s="86"/>
      <c r="AV30" s="86"/>
      <c r="AW30" s="86"/>
      <c r="AX30" s="86"/>
      <c r="AY30" s="86"/>
      <c r="AZ30" s="86"/>
      <c r="BA30" s="86"/>
      <c r="BB30" s="86"/>
      <c r="BC30" s="86">
        <v>0.11650000000000001</v>
      </c>
      <c r="BD30" s="86"/>
      <c r="BE30" s="86"/>
      <c r="BF30" s="74"/>
      <c r="BG30" s="74" t="s">
        <v>514</v>
      </c>
    </row>
    <row r="31" spans="1:59">
      <c r="A31" s="74" t="s">
        <v>565</v>
      </c>
      <c r="B31" s="74" t="s">
        <v>566</v>
      </c>
      <c r="C31" s="75" t="s">
        <v>524</v>
      </c>
      <c r="D31" s="76">
        <v>9015</v>
      </c>
      <c r="E31" s="77">
        <v>90015</v>
      </c>
      <c r="F31" s="75" t="s">
        <v>551</v>
      </c>
      <c r="G31" s="78">
        <v>3281212</v>
      </c>
      <c r="H31" s="79">
        <v>996</v>
      </c>
      <c r="I31" s="75" t="s">
        <v>519</v>
      </c>
      <c r="J31" s="80" t="s">
        <v>513</v>
      </c>
      <c r="K31" s="80">
        <v>149</v>
      </c>
      <c r="L31" s="81"/>
      <c r="M31" s="82">
        <v>0</v>
      </c>
      <c r="N31" s="82"/>
      <c r="O31" s="82">
        <v>0</v>
      </c>
      <c r="P31" s="82"/>
      <c r="Q31" s="82">
        <v>0</v>
      </c>
      <c r="R31" s="82"/>
      <c r="S31" s="82">
        <v>0</v>
      </c>
      <c r="T31" s="82"/>
      <c r="U31" s="82">
        <v>0</v>
      </c>
      <c r="V31" s="82"/>
      <c r="W31" s="82">
        <v>0</v>
      </c>
      <c r="X31" s="82"/>
      <c r="Y31" s="82">
        <v>51453351</v>
      </c>
      <c r="Z31" s="82"/>
      <c r="AA31" s="79">
        <v>0</v>
      </c>
      <c r="AB31" s="83"/>
      <c r="AC31" s="84"/>
      <c r="AD31" s="83">
        <v>0</v>
      </c>
      <c r="AE31" s="83"/>
      <c r="AF31" s="83">
        <v>0</v>
      </c>
      <c r="AG31" s="83"/>
      <c r="AH31" s="83">
        <v>0</v>
      </c>
      <c r="AI31" s="83"/>
      <c r="AJ31" s="83">
        <v>0</v>
      </c>
      <c r="AK31" s="83"/>
      <c r="AL31" s="83">
        <v>0</v>
      </c>
      <c r="AM31" s="83"/>
      <c r="AN31" s="83">
        <v>5286597</v>
      </c>
      <c r="AO31" s="83"/>
      <c r="AP31" s="83">
        <v>0</v>
      </c>
      <c r="AQ31" s="74"/>
      <c r="AR31" s="85"/>
      <c r="AS31" s="86"/>
      <c r="AT31" s="86"/>
      <c r="AU31" s="86"/>
      <c r="AV31" s="86"/>
      <c r="AW31" s="86"/>
      <c r="AX31" s="86"/>
      <c r="AY31" s="86"/>
      <c r="AZ31" s="86"/>
      <c r="BA31" s="86"/>
      <c r="BB31" s="86"/>
      <c r="BC31" s="86">
        <v>0.1027</v>
      </c>
      <c r="BD31" s="86"/>
      <c r="BE31" s="86"/>
      <c r="BF31" s="74"/>
      <c r="BG31" s="74" t="s">
        <v>514</v>
      </c>
    </row>
    <row r="32" spans="1:59">
      <c r="A32" s="74" t="s">
        <v>567</v>
      </c>
      <c r="B32" s="74" t="s">
        <v>568</v>
      </c>
      <c r="C32" s="75" t="s">
        <v>569</v>
      </c>
      <c r="D32" s="76">
        <v>8</v>
      </c>
      <c r="E32" s="77">
        <v>8</v>
      </c>
      <c r="F32" s="75" t="s">
        <v>525</v>
      </c>
      <c r="G32" s="78">
        <v>1849898</v>
      </c>
      <c r="H32" s="79">
        <v>982</v>
      </c>
      <c r="I32" s="75" t="s">
        <v>519</v>
      </c>
      <c r="J32" s="80" t="s">
        <v>513</v>
      </c>
      <c r="K32" s="80">
        <v>116</v>
      </c>
      <c r="L32" s="81"/>
      <c r="M32" s="82">
        <v>0</v>
      </c>
      <c r="N32" s="82"/>
      <c r="O32" s="82">
        <v>0</v>
      </c>
      <c r="P32" s="82"/>
      <c r="Q32" s="82">
        <v>0</v>
      </c>
      <c r="R32" s="82"/>
      <c r="S32" s="82">
        <v>0</v>
      </c>
      <c r="T32" s="82"/>
      <c r="U32" s="82">
        <v>0</v>
      </c>
      <c r="V32" s="82"/>
      <c r="W32" s="82">
        <v>0</v>
      </c>
      <c r="X32" s="82"/>
      <c r="Y32" s="82">
        <v>54389715</v>
      </c>
      <c r="Z32" s="82"/>
      <c r="AA32" s="79">
        <v>0</v>
      </c>
      <c r="AB32" s="83"/>
      <c r="AC32" s="84"/>
      <c r="AD32" s="83">
        <v>0</v>
      </c>
      <c r="AE32" s="83"/>
      <c r="AF32" s="83">
        <v>0</v>
      </c>
      <c r="AG32" s="83"/>
      <c r="AH32" s="83">
        <v>0</v>
      </c>
      <c r="AI32" s="83"/>
      <c r="AJ32" s="83">
        <v>0</v>
      </c>
      <c r="AK32" s="83"/>
      <c r="AL32" s="83">
        <v>0</v>
      </c>
      <c r="AM32" s="83"/>
      <c r="AN32" s="83">
        <v>9045741</v>
      </c>
      <c r="AO32" s="83"/>
      <c r="AP32" s="83">
        <v>0</v>
      </c>
      <c r="AQ32" s="74"/>
      <c r="AR32" s="85"/>
      <c r="AS32" s="86"/>
      <c r="AT32" s="86"/>
      <c r="AU32" s="86"/>
      <c r="AV32" s="86"/>
      <c r="AW32" s="86"/>
      <c r="AX32" s="86"/>
      <c r="AY32" s="86"/>
      <c r="AZ32" s="86"/>
      <c r="BA32" s="86"/>
      <c r="BB32" s="86"/>
      <c r="BC32" s="86">
        <v>0.1663</v>
      </c>
      <c r="BD32" s="86"/>
      <c r="BE32" s="86"/>
      <c r="BF32" s="74"/>
      <c r="BG32" s="74" t="s">
        <v>514</v>
      </c>
    </row>
    <row r="33" spans="1:59">
      <c r="A33" s="74" t="s">
        <v>570</v>
      </c>
      <c r="B33" s="74" t="s">
        <v>571</v>
      </c>
      <c r="C33" s="75" t="s">
        <v>572</v>
      </c>
      <c r="D33" s="76">
        <v>4022</v>
      </c>
      <c r="E33" s="77">
        <v>40022</v>
      </c>
      <c r="F33" s="75" t="s">
        <v>525</v>
      </c>
      <c r="G33" s="78">
        <v>4515419</v>
      </c>
      <c r="H33" s="79">
        <v>943</v>
      </c>
      <c r="I33" s="75" t="s">
        <v>512</v>
      </c>
      <c r="J33" s="80" t="s">
        <v>513</v>
      </c>
      <c r="K33" s="80">
        <v>212</v>
      </c>
      <c r="L33" s="81"/>
      <c r="M33" s="82">
        <v>0</v>
      </c>
      <c r="N33" s="82"/>
      <c r="O33" s="82">
        <v>0</v>
      </c>
      <c r="P33" s="82"/>
      <c r="Q33" s="82">
        <v>0</v>
      </c>
      <c r="R33" s="82"/>
      <c r="S33" s="82">
        <v>0</v>
      </c>
      <c r="T33" s="82"/>
      <c r="U33" s="82">
        <v>0</v>
      </c>
      <c r="V33" s="82"/>
      <c r="W33" s="82">
        <v>0</v>
      </c>
      <c r="X33" s="82"/>
      <c r="Y33" s="82">
        <v>83566447</v>
      </c>
      <c r="Z33" s="82"/>
      <c r="AA33" s="79">
        <v>0</v>
      </c>
      <c r="AB33" s="83"/>
      <c r="AC33" s="84"/>
      <c r="AD33" s="83">
        <v>0</v>
      </c>
      <c r="AE33" s="83"/>
      <c r="AF33" s="83">
        <v>0</v>
      </c>
      <c r="AG33" s="83"/>
      <c r="AH33" s="83">
        <v>0</v>
      </c>
      <c r="AI33" s="83"/>
      <c r="AJ33" s="83">
        <v>0</v>
      </c>
      <c r="AK33" s="83"/>
      <c r="AL33" s="83">
        <v>0</v>
      </c>
      <c r="AM33" s="83"/>
      <c r="AN33" s="83">
        <v>19692749</v>
      </c>
      <c r="AO33" s="83"/>
      <c r="AP33" s="83">
        <v>0</v>
      </c>
      <c r="AQ33" s="74"/>
      <c r="AR33" s="85"/>
      <c r="AS33" s="86"/>
      <c r="AT33" s="86"/>
      <c r="AU33" s="86"/>
      <c r="AV33" s="86"/>
      <c r="AW33" s="86"/>
      <c r="AX33" s="86"/>
      <c r="AY33" s="86"/>
      <c r="AZ33" s="86"/>
      <c r="BA33" s="86"/>
      <c r="BB33" s="86"/>
      <c r="BC33" s="86">
        <v>0.23569999999999999</v>
      </c>
      <c r="BD33" s="86"/>
      <c r="BE33" s="86"/>
      <c r="BF33" s="74"/>
      <c r="BG33" s="74" t="s">
        <v>514</v>
      </c>
    </row>
    <row r="34" spans="1:59">
      <c r="A34" s="74" t="s">
        <v>573</v>
      </c>
      <c r="B34" s="74" t="s">
        <v>574</v>
      </c>
      <c r="C34" s="75" t="s">
        <v>540</v>
      </c>
      <c r="D34" s="76">
        <v>3022</v>
      </c>
      <c r="E34" s="77">
        <v>30022</v>
      </c>
      <c r="F34" s="75" t="s">
        <v>525</v>
      </c>
      <c r="G34" s="78">
        <v>1733853</v>
      </c>
      <c r="H34" s="79">
        <v>930</v>
      </c>
      <c r="I34" s="75" t="s">
        <v>519</v>
      </c>
      <c r="J34" s="80" t="s">
        <v>513</v>
      </c>
      <c r="K34" s="80">
        <v>58</v>
      </c>
      <c r="L34" s="81"/>
      <c r="M34" s="82">
        <v>0</v>
      </c>
      <c r="N34" s="82"/>
      <c r="O34" s="82">
        <v>0</v>
      </c>
      <c r="P34" s="82"/>
      <c r="Q34" s="82">
        <v>0</v>
      </c>
      <c r="R34" s="82"/>
      <c r="S34" s="82">
        <v>0</v>
      </c>
      <c r="T34" s="82"/>
      <c r="U34" s="82">
        <v>0</v>
      </c>
      <c r="V34" s="82"/>
      <c r="W34" s="82">
        <v>0</v>
      </c>
      <c r="X34" s="82"/>
      <c r="Y34" s="82">
        <v>30547053</v>
      </c>
      <c r="Z34" s="82"/>
      <c r="AA34" s="79">
        <v>0</v>
      </c>
      <c r="AB34" s="83"/>
      <c r="AC34" s="84"/>
      <c r="AD34" s="83">
        <v>0</v>
      </c>
      <c r="AE34" s="83"/>
      <c r="AF34" s="83">
        <v>0</v>
      </c>
      <c r="AG34" s="83"/>
      <c r="AH34" s="83">
        <v>0</v>
      </c>
      <c r="AI34" s="83"/>
      <c r="AJ34" s="83">
        <v>0</v>
      </c>
      <c r="AK34" s="83"/>
      <c r="AL34" s="83">
        <v>0</v>
      </c>
      <c r="AM34" s="83"/>
      <c r="AN34" s="83">
        <v>2154526</v>
      </c>
      <c r="AO34" s="83"/>
      <c r="AP34" s="83">
        <v>0</v>
      </c>
      <c r="AQ34" s="74"/>
      <c r="AR34" s="85"/>
      <c r="AS34" s="86"/>
      <c r="AT34" s="86"/>
      <c r="AU34" s="86"/>
      <c r="AV34" s="86"/>
      <c r="AW34" s="86"/>
      <c r="AX34" s="86"/>
      <c r="AY34" s="86"/>
      <c r="AZ34" s="86"/>
      <c r="BA34" s="86"/>
      <c r="BB34" s="86"/>
      <c r="BC34" s="86">
        <v>7.0499999999999993E-2</v>
      </c>
      <c r="BD34" s="86"/>
      <c r="BE34" s="86"/>
      <c r="BF34" s="74"/>
      <c r="BG34" s="74" t="s">
        <v>514</v>
      </c>
    </row>
    <row r="35" spans="1:59">
      <c r="A35" s="74" t="s">
        <v>575</v>
      </c>
      <c r="B35" s="74" t="s">
        <v>576</v>
      </c>
      <c r="C35" s="75" t="s">
        <v>524</v>
      </c>
      <c r="D35" s="76">
        <v>9026</v>
      </c>
      <c r="E35" s="77">
        <v>90026</v>
      </c>
      <c r="F35" s="75" t="s">
        <v>525</v>
      </c>
      <c r="G35" s="78">
        <v>2956746</v>
      </c>
      <c r="H35" s="79">
        <v>906</v>
      </c>
      <c r="I35" s="75" t="s">
        <v>519</v>
      </c>
      <c r="J35" s="80" t="s">
        <v>513</v>
      </c>
      <c r="K35" s="80">
        <v>103</v>
      </c>
      <c r="L35" s="81"/>
      <c r="M35" s="82">
        <v>0</v>
      </c>
      <c r="N35" s="82"/>
      <c r="O35" s="82">
        <v>0</v>
      </c>
      <c r="P35" s="82"/>
      <c r="Q35" s="82">
        <v>0</v>
      </c>
      <c r="R35" s="82"/>
      <c r="S35" s="82">
        <v>0</v>
      </c>
      <c r="T35" s="82"/>
      <c r="U35" s="82">
        <v>0</v>
      </c>
      <c r="V35" s="82"/>
      <c r="W35" s="82">
        <v>0</v>
      </c>
      <c r="X35" s="82"/>
      <c r="Y35" s="82">
        <v>52502166</v>
      </c>
      <c r="Z35" s="82"/>
      <c r="AA35" s="79">
        <v>0</v>
      </c>
      <c r="AB35" s="83"/>
      <c r="AC35" s="84"/>
      <c r="AD35" s="83">
        <v>0</v>
      </c>
      <c r="AE35" s="83"/>
      <c r="AF35" s="83">
        <v>0</v>
      </c>
      <c r="AG35" s="83"/>
      <c r="AH35" s="83">
        <v>0</v>
      </c>
      <c r="AI35" s="83"/>
      <c r="AJ35" s="83">
        <v>0</v>
      </c>
      <c r="AK35" s="83"/>
      <c r="AL35" s="83">
        <v>0</v>
      </c>
      <c r="AM35" s="83"/>
      <c r="AN35" s="83">
        <v>9579691</v>
      </c>
      <c r="AO35" s="83"/>
      <c r="AP35" s="83">
        <v>0</v>
      </c>
      <c r="AQ35" s="74"/>
      <c r="AR35" s="85"/>
      <c r="AS35" s="86"/>
      <c r="AT35" s="86"/>
      <c r="AU35" s="86"/>
      <c r="AV35" s="86"/>
      <c r="AW35" s="86"/>
      <c r="AX35" s="86"/>
      <c r="AY35" s="86"/>
      <c r="AZ35" s="86"/>
      <c r="BA35" s="86"/>
      <c r="BB35" s="86"/>
      <c r="BC35" s="86">
        <v>0.1825</v>
      </c>
      <c r="BD35" s="86"/>
      <c r="BE35" s="86"/>
      <c r="BF35" s="74"/>
      <c r="BG35" s="74" t="s">
        <v>514</v>
      </c>
    </row>
    <row r="36" spans="1:59">
      <c r="A36" s="74" t="s">
        <v>577</v>
      </c>
      <c r="B36" s="74" t="s">
        <v>578</v>
      </c>
      <c r="C36" s="75" t="s">
        <v>579</v>
      </c>
      <c r="D36" s="76">
        <v>5027</v>
      </c>
      <c r="E36" s="77">
        <v>50027</v>
      </c>
      <c r="F36" s="75" t="s">
        <v>510</v>
      </c>
      <c r="G36" s="78">
        <v>2650890</v>
      </c>
      <c r="H36" s="79">
        <v>823</v>
      </c>
      <c r="I36" s="75" t="s">
        <v>519</v>
      </c>
      <c r="J36" s="80" t="s">
        <v>513</v>
      </c>
      <c r="K36" s="80">
        <v>76</v>
      </c>
      <c r="L36" s="81"/>
      <c r="M36" s="82">
        <v>0</v>
      </c>
      <c r="N36" s="82"/>
      <c r="O36" s="82">
        <v>0</v>
      </c>
      <c r="P36" s="82"/>
      <c r="Q36" s="82">
        <v>0</v>
      </c>
      <c r="R36" s="82"/>
      <c r="S36" s="82">
        <v>0</v>
      </c>
      <c r="T36" s="82"/>
      <c r="U36" s="82">
        <v>0</v>
      </c>
      <c r="V36" s="82"/>
      <c r="W36" s="82">
        <v>0</v>
      </c>
      <c r="X36" s="82"/>
      <c r="Y36" s="82">
        <v>31871652</v>
      </c>
      <c r="Z36" s="82"/>
      <c r="AA36" s="79">
        <v>0</v>
      </c>
      <c r="AB36" s="83"/>
      <c r="AC36" s="84"/>
      <c r="AD36" s="83">
        <v>0</v>
      </c>
      <c r="AE36" s="83"/>
      <c r="AF36" s="83">
        <v>0</v>
      </c>
      <c r="AG36" s="83"/>
      <c r="AH36" s="83">
        <v>0</v>
      </c>
      <c r="AI36" s="83"/>
      <c r="AJ36" s="83">
        <v>0</v>
      </c>
      <c r="AK36" s="83"/>
      <c r="AL36" s="83">
        <v>0</v>
      </c>
      <c r="AM36" s="83"/>
      <c r="AN36" s="83">
        <v>4153269</v>
      </c>
      <c r="AO36" s="83"/>
      <c r="AP36" s="83">
        <v>0</v>
      </c>
      <c r="AQ36" s="74"/>
      <c r="AR36" s="85"/>
      <c r="AS36" s="86"/>
      <c r="AT36" s="86"/>
      <c r="AU36" s="86"/>
      <c r="AV36" s="86"/>
      <c r="AW36" s="86"/>
      <c r="AX36" s="86"/>
      <c r="AY36" s="86"/>
      <c r="AZ36" s="86"/>
      <c r="BA36" s="86"/>
      <c r="BB36" s="86"/>
      <c r="BC36" s="86">
        <v>0.1303</v>
      </c>
      <c r="BD36" s="86"/>
      <c r="BE36" s="86"/>
      <c r="BF36" s="74"/>
      <c r="BG36" s="74" t="s">
        <v>514</v>
      </c>
    </row>
    <row r="37" spans="1:59">
      <c r="A37" s="74" t="s">
        <v>577</v>
      </c>
      <c r="B37" s="74" t="s">
        <v>578</v>
      </c>
      <c r="C37" s="75" t="s">
        <v>579</v>
      </c>
      <c r="D37" s="76">
        <v>5027</v>
      </c>
      <c r="E37" s="77">
        <v>50027</v>
      </c>
      <c r="F37" s="75" t="s">
        <v>510</v>
      </c>
      <c r="G37" s="78">
        <v>2650890</v>
      </c>
      <c r="H37" s="79">
        <v>823</v>
      </c>
      <c r="I37" s="75" t="s">
        <v>521</v>
      </c>
      <c r="J37" s="80" t="s">
        <v>520</v>
      </c>
      <c r="K37" s="80">
        <v>20</v>
      </c>
      <c r="L37" s="81"/>
      <c r="M37" s="82">
        <v>213780</v>
      </c>
      <c r="N37" s="82"/>
      <c r="O37" s="82">
        <v>0</v>
      </c>
      <c r="P37" s="82"/>
      <c r="Q37" s="82">
        <v>0</v>
      </c>
      <c r="R37" s="82"/>
      <c r="S37" s="82">
        <v>0</v>
      </c>
      <c r="T37" s="82"/>
      <c r="U37" s="82">
        <v>0</v>
      </c>
      <c r="V37" s="82"/>
      <c r="W37" s="82">
        <v>0</v>
      </c>
      <c r="X37" s="82"/>
      <c r="Y37" s="82">
        <v>0</v>
      </c>
      <c r="Z37" s="82"/>
      <c r="AA37" s="79">
        <v>0</v>
      </c>
      <c r="AB37" s="83"/>
      <c r="AC37" s="84"/>
      <c r="AD37" s="83">
        <v>63438</v>
      </c>
      <c r="AE37" s="83"/>
      <c r="AF37" s="83">
        <v>0</v>
      </c>
      <c r="AG37" s="83"/>
      <c r="AH37" s="83">
        <v>0</v>
      </c>
      <c r="AI37" s="83"/>
      <c r="AJ37" s="83">
        <v>0</v>
      </c>
      <c r="AK37" s="83"/>
      <c r="AL37" s="83">
        <v>0</v>
      </c>
      <c r="AM37" s="83"/>
      <c r="AN37" s="83">
        <v>0</v>
      </c>
      <c r="AO37" s="83"/>
      <c r="AP37" s="83">
        <v>0</v>
      </c>
      <c r="AQ37" s="74"/>
      <c r="AR37" s="85"/>
      <c r="AS37" s="86">
        <v>0.29670000000000002</v>
      </c>
      <c r="AT37" s="86"/>
      <c r="AU37" s="86"/>
      <c r="AV37" s="86"/>
      <c r="AW37" s="86"/>
      <c r="AX37" s="86"/>
      <c r="AY37" s="86"/>
      <c r="AZ37" s="86"/>
      <c r="BA37" s="86"/>
      <c r="BB37" s="86"/>
      <c r="BC37" s="86"/>
      <c r="BD37" s="86"/>
      <c r="BE37" s="86"/>
      <c r="BF37" s="74"/>
      <c r="BG37" s="74" t="s">
        <v>514</v>
      </c>
    </row>
    <row r="38" spans="1:59">
      <c r="A38" s="74" t="s">
        <v>580</v>
      </c>
      <c r="B38" s="74" t="s">
        <v>581</v>
      </c>
      <c r="C38" s="75" t="s">
        <v>524</v>
      </c>
      <c r="D38" s="76">
        <v>9013</v>
      </c>
      <c r="E38" s="77">
        <v>90013</v>
      </c>
      <c r="F38" s="75" t="s">
        <v>525</v>
      </c>
      <c r="G38" s="78">
        <v>1664496</v>
      </c>
      <c r="H38" s="79">
        <v>635</v>
      </c>
      <c r="I38" s="75" t="s">
        <v>519</v>
      </c>
      <c r="J38" s="80" t="s">
        <v>513</v>
      </c>
      <c r="K38" s="80">
        <v>61</v>
      </c>
      <c r="L38" s="81"/>
      <c r="M38" s="82">
        <v>0</v>
      </c>
      <c r="N38" s="82"/>
      <c r="O38" s="82">
        <v>0</v>
      </c>
      <c r="P38" s="82"/>
      <c r="Q38" s="82">
        <v>0</v>
      </c>
      <c r="R38" s="82"/>
      <c r="S38" s="82">
        <v>0</v>
      </c>
      <c r="T38" s="82"/>
      <c r="U38" s="82">
        <v>0</v>
      </c>
      <c r="V38" s="82"/>
      <c r="W38" s="82">
        <v>0</v>
      </c>
      <c r="X38" s="82"/>
      <c r="Y38" s="82">
        <v>22062611</v>
      </c>
      <c r="Z38" s="82"/>
      <c r="AA38" s="79">
        <v>0</v>
      </c>
      <c r="AB38" s="83"/>
      <c r="AC38" s="84"/>
      <c r="AD38" s="83">
        <v>0</v>
      </c>
      <c r="AE38" s="83"/>
      <c r="AF38" s="83">
        <v>0</v>
      </c>
      <c r="AG38" s="83"/>
      <c r="AH38" s="83">
        <v>0</v>
      </c>
      <c r="AI38" s="83"/>
      <c r="AJ38" s="83">
        <v>0</v>
      </c>
      <c r="AK38" s="83"/>
      <c r="AL38" s="83">
        <v>0</v>
      </c>
      <c r="AM38" s="83"/>
      <c r="AN38" s="83">
        <v>3093884</v>
      </c>
      <c r="AO38" s="83"/>
      <c r="AP38" s="83">
        <v>0</v>
      </c>
      <c r="AQ38" s="74"/>
      <c r="AR38" s="85"/>
      <c r="AS38" s="86"/>
      <c r="AT38" s="86"/>
      <c r="AU38" s="86"/>
      <c r="AV38" s="86"/>
      <c r="AW38" s="86"/>
      <c r="AX38" s="86"/>
      <c r="AY38" s="86"/>
      <c r="AZ38" s="86"/>
      <c r="BA38" s="86"/>
      <c r="BB38" s="86"/>
      <c r="BC38" s="86">
        <v>0.14019999999999999</v>
      </c>
      <c r="BD38" s="86"/>
      <c r="BE38" s="86"/>
      <c r="BF38" s="74"/>
      <c r="BG38" s="74" t="s">
        <v>514</v>
      </c>
    </row>
    <row r="39" spans="1:59">
      <c r="A39" s="74" t="s">
        <v>582</v>
      </c>
      <c r="B39" s="74" t="s">
        <v>583</v>
      </c>
      <c r="C39" s="75" t="s">
        <v>524</v>
      </c>
      <c r="D39" s="76">
        <v>9003</v>
      </c>
      <c r="E39" s="77">
        <v>90003</v>
      </c>
      <c r="F39" s="75" t="s">
        <v>525</v>
      </c>
      <c r="G39" s="78">
        <v>3281212</v>
      </c>
      <c r="H39" s="79">
        <v>616</v>
      </c>
      <c r="I39" s="75" t="s">
        <v>512</v>
      </c>
      <c r="J39" s="80" t="s">
        <v>513</v>
      </c>
      <c r="K39" s="80">
        <v>599</v>
      </c>
      <c r="L39" s="81"/>
      <c r="M39" s="82">
        <v>0</v>
      </c>
      <c r="N39" s="82"/>
      <c r="O39" s="82">
        <v>0</v>
      </c>
      <c r="P39" s="82"/>
      <c r="Q39" s="82">
        <v>0</v>
      </c>
      <c r="R39" s="82"/>
      <c r="S39" s="82">
        <v>0</v>
      </c>
      <c r="T39" s="82"/>
      <c r="U39" s="82">
        <v>0</v>
      </c>
      <c r="V39" s="82"/>
      <c r="W39" s="82">
        <v>0</v>
      </c>
      <c r="X39" s="82"/>
      <c r="Y39" s="82">
        <v>298200780</v>
      </c>
      <c r="Z39" s="82"/>
      <c r="AA39" s="79">
        <v>0</v>
      </c>
      <c r="AB39" s="83"/>
      <c r="AC39" s="84"/>
      <c r="AD39" s="83">
        <v>0</v>
      </c>
      <c r="AE39" s="83"/>
      <c r="AF39" s="83">
        <v>0</v>
      </c>
      <c r="AG39" s="83"/>
      <c r="AH39" s="83">
        <v>0</v>
      </c>
      <c r="AI39" s="83"/>
      <c r="AJ39" s="83">
        <v>0</v>
      </c>
      <c r="AK39" s="83"/>
      <c r="AL39" s="83">
        <v>0</v>
      </c>
      <c r="AM39" s="83"/>
      <c r="AN39" s="83">
        <v>61097126</v>
      </c>
      <c r="AO39" s="83"/>
      <c r="AP39" s="83">
        <v>0</v>
      </c>
      <c r="AQ39" s="74"/>
      <c r="AR39" s="85"/>
      <c r="AS39" s="86"/>
      <c r="AT39" s="86"/>
      <c r="AU39" s="86"/>
      <c r="AV39" s="86"/>
      <c r="AW39" s="86"/>
      <c r="AX39" s="86"/>
      <c r="AY39" s="86"/>
      <c r="AZ39" s="86"/>
      <c r="BA39" s="86"/>
      <c r="BB39" s="86"/>
      <c r="BC39" s="86">
        <v>0.2049</v>
      </c>
      <c r="BD39" s="86"/>
      <c r="BE39" s="86"/>
      <c r="BF39" s="74"/>
      <c r="BG39" s="74" t="s">
        <v>514</v>
      </c>
    </row>
    <row r="40" spans="1:59">
      <c r="A40" s="74" t="s">
        <v>584</v>
      </c>
      <c r="B40" s="74" t="s">
        <v>585</v>
      </c>
      <c r="C40" s="75" t="s">
        <v>586</v>
      </c>
      <c r="D40" s="76">
        <v>7006</v>
      </c>
      <c r="E40" s="77">
        <v>70006</v>
      </c>
      <c r="F40" s="75" t="s">
        <v>525</v>
      </c>
      <c r="G40" s="78">
        <v>2150706</v>
      </c>
      <c r="H40" s="79">
        <v>493</v>
      </c>
      <c r="I40" s="75" t="s">
        <v>519</v>
      </c>
      <c r="J40" s="80" t="s">
        <v>513</v>
      </c>
      <c r="K40" s="80">
        <v>50</v>
      </c>
      <c r="L40" s="81"/>
      <c r="M40" s="82">
        <v>0</v>
      </c>
      <c r="N40" s="82"/>
      <c r="O40" s="82">
        <v>0</v>
      </c>
      <c r="P40" s="82"/>
      <c r="Q40" s="82">
        <v>0</v>
      </c>
      <c r="R40" s="82"/>
      <c r="S40" s="82">
        <v>0</v>
      </c>
      <c r="T40" s="82"/>
      <c r="U40" s="82">
        <v>0</v>
      </c>
      <c r="V40" s="82"/>
      <c r="W40" s="82">
        <v>0</v>
      </c>
      <c r="X40" s="82"/>
      <c r="Y40" s="82">
        <v>36496148</v>
      </c>
      <c r="Z40" s="82"/>
      <c r="AA40" s="79">
        <v>0</v>
      </c>
      <c r="AB40" s="83"/>
      <c r="AC40" s="84"/>
      <c r="AD40" s="83">
        <v>0</v>
      </c>
      <c r="AE40" s="83"/>
      <c r="AF40" s="83">
        <v>0</v>
      </c>
      <c r="AG40" s="83"/>
      <c r="AH40" s="83">
        <v>0</v>
      </c>
      <c r="AI40" s="83"/>
      <c r="AJ40" s="83">
        <v>0</v>
      </c>
      <c r="AK40" s="83"/>
      <c r="AL40" s="83">
        <v>0</v>
      </c>
      <c r="AM40" s="83"/>
      <c r="AN40" s="83">
        <v>5934378</v>
      </c>
      <c r="AO40" s="83"/>
      <c r="AP40" s="83">
        <v>0</v>
      </c>
      <c r="AQ40" s="74"/>
      <c r="AR40" s="85"/>
      <c r="AS40" s="86"/>
      <c r="AT40" s="86"/>
      <c r="AU40" s="86"/>
      <c r="AV40" s="86"/>
      <c r="AW40" s="86"/>
      <c r="AX40" s="86"/>
      <c r="AY40" s="86"/>
      <c r="AZ40" s="86"/>
      <c r="BA40" s="86"/>
      <c r="BB40" s="86"/>
      <c r="BC40" s="86">
        <v>0.16259999999999999</v>
      </c>
      <c r="BD40" s="86"/>
      <c r="BE40" s="86"/>
      <c r="BF40" s="74"/>
      <c r="BG40" s="74" t="s">
        <v>514</v>
      </c>
    </row>
    <row r="41" spans="1:59">
      <c r="A41" s="74" t="s">
        <v>587</v>
      </c>
      <c r="B41" s="74" t="s">
        <v>588</v>
      </c>
      <c r="C41" s="75" t="s">
        <v>589</v>
      </c>
      <c r="D41" s="76">
        <v>5015</v>
      </c>
      <c r="E41" s="77">
        <v>50015</v>
      </c>
      <c r="F41" s="75" t="s">
        <v>525</v>
      </c>
      <c r="G41" s="78">
        <v>1780673</v>
      </c>
      <c r="H41" s="79">
        <v>418</v>
      </c>
      <c r="I41" s="75" t="s">
        <v>519</v>
      </c>
      <c r="J41" s="80" t="s">
        <v>513</v>
      </c>
      <c r="K41" s="80">
        <v>6</v>
      </c>
      <c r="L41" s="81"/>
      <c r="M41" s="82">
        <v>0</v>
      </c>
      <c r="N41" s="82"/>
      <c r="O41" s="82">
        <v>0</v>
      </c>
      <c r="P41" s="82"/>
      <c r="Q41" s="82">
        <v>0</v>
      </c>
      <c r="R41" s="82"/>
      <c r="S41" s="82">
        <v>0</v>
      </c>
      <c r="T41" s="82"/>
      <c r="U41" s="82">
        <v>0</v>
      </c>
      <c r="V41" s="82"/>
      <c r="W41" s="82">
        <v>0</v>
      </c>
      <c r="X41" s="82"/>
      <c r="Y41" s="82">
        <v>11321758</v>
      </c>
      <c r="Z41" s="82"/>
      <c r="AA41" s="79">
        <v>0</v>
      </c>
      <c r="AB41" s="83"/>
      <c r="AC41" s="84"/>
      <c r="AD41" s="83">
        <v>0</v>
      </c>
      <c r="AE41" s="83"/>
      <c r="AF41" s="83">
        <v>0</v>
      </c>
      <c r="AG41" s="83"/>
      <c r="AH41" s="83">
        <v>0</v>
      </c>
      <c r="AI41" s="83"/>
      <c r="AJ41" s="83">
        <v>0</v>
      </c>
      <c r="AK41" s="83"/>
      <c r="AL41" s="83">
        <v>0</v>
      </c>
      <c r="AM41" s="83"/>
      <c r="AN41" s="83">
        <v>625941</v>
      </c>
      <c r="AO41" s="83"/>
      <c r="AP41" s="83">
        <v>0</v>
      </c>
      <c r="AQ41" s="74"/>
      <c r="AR41" s="85"/>
      <c r="AS41" s="86"/>
      <c r="AT41" s="86"/>
      <c r="AU41" s="86"/>
      <c r="AV41" s="86"/>
      <c r="AW41" s="86"/>
      <c r="AX41" s="86"/>
      <c r="AY41" s="86"/>
      <c r="AZ41" s="86"/>
      <c r="BA41" s="86"/>
      <c r="BB41" s="86"/>
      <c r="BC41" s="86">
        <v>5.5300000000000002E-2</v>
      </c>
      <c r="BD41" s="86"/>
      <c r="BE41" s="86"/>
      <c r="BF41" s="74"/>
      <c r="BG41" s="74" t="s">
        <v>514</v>
      </c>
    </row>
    <row r="42" spans="1:59">
      <c r="A42" s="74" t="s">
        <v>587</v>
      </c>
      <c r="B42" s="74" t="s">
        <v>588</v>
      </c>
      <c r="C42" s="75" t="s">
        <v>589</v>
      </c>
      <c r="D42" s="76">
        <v>5015</v>
      </c>
      <c r="E42" s="77">
        <v>50015</v>
      </c>
      <c r="F42" s="75" t="s">
        <v>525</v>
      </c>
      <c r="G42" s="78">
        <v>1780673</v>
      </c>
      <c r="H42" s="79">
        <v>418</v>
      </c>
      <c r="I42" s="75" t="s">
        <v>512</v>
      </c>
      <c r="J42" s="80" t="s">
        <v>513</v>
      </c>
      <c r="K42" s="80">
        <v>16</v>
      </c>
      <c r="L42" s="81"/>
      <c r="M42" s="82">
        <v>0</v>
      </c>
      <c r="N42" s="82"/>
      <c r="O42" s="82">
        <v>0</v>
      </c>
      <c r="P42" s="82"/>
      <c r="Q42" s="82">
        <v>0</v>
      </c>
      <c r="R42" s="82"/>
      <c r="S42" s="82">
        <v>0</v>
      </c>
      <c r="T42" s="82"/>
      <c r="U42" s="82">
        <v>0</v>
      </c>
      <c r="V42" s="82"/>
      <c r="W42" s="82">
        <v>0</v>
      </c>
      <c r="X42" s="82"/>
      <c r="Y42" s="82">
        <v>20768378</v>
      </c>
      <c r="Z42" s="82"/>
      <c r="AA42" s="79">
        <v>0</v>
      </c>
      <c r="AB42" s="83"/>
      <c r="AC42" s="84"/>
      <c r="AD42" s="83">
        <v>0</v>
      </c>
      <c r="AE42" s="83"/>
      <c r="AF42" s="83">
        <v>0</v>
      </c>
      <c r="AG42" s="83"/>
      <c r="AH42" s="83">
        <v>0</v>
      </c>
      <c r="AI42" s="83"/>
      <c r="AJ42" s="83">
        <v>0</v>
      </c>
      <c r="AK42" s="83"/>
      <c r="AL42" s="83">
        <v>0</v>
      </c>
      <c r="AM42" s="83"/>
      <c r="AN42" s="83">
        <v>2295631</v>
      </c>
      <c r="AO42" s="83"/>
      <c r="AP42" s="83">
        <v>0</v>
      </c>
      <c r="AQ42" s="74"/>
      <c r="AR42" s="85"/>
      <c r="AS42" s="86"/>
      <c r="AT42" s="86"/>
      <c r="AU42" s="86"/>
      <c r="AV42" s="86"/>
      <c r="AW42" s="86"/>
      <c r="AX42" s="86"/>
      <c r="AY42" s="86"/>
      <c r="AZ42" s="86"/>
      <c r="BA42" s="86"/>
      <c r="BB42" s="86"/>
      <c r="BC42" s="86">
        <v>0.1105</v>
      </c>
      <c r="BD42" s="86"/>
      <c r="BE42" s="86"/>
      <c r="BF42" s="74"/>
      <c r="BG42" s="74" t="s">
        <v>514</v>
      </c>
    </row>
    <row r="43" spans="1:59">
      <c r="A43" s="74" t="s">
        <v>590</v>
      </c>
      <c r="B43" s="74" t="s">
        <v>591</v>
      </c>
      <c r="C43" s="75" t="s">
        <v>592</v>
      </c>
      <c r="D43" s="76">
        <v>3083</v>
      </c>
      <c r="E43" s="77">
        <v>30083</v>
      </c>
      <c r="F43" s="75" t="s">
        <v>525</v>
      </c>
      <c r="G43" s="78">
        <v>1439666</v>
      </c>
      <c r="H43" s="79">
        <v>417</v>
      </c>
      <c r="I43" s="75" t="s">
        <v>519</v>
      </c>
      <c r="J43" s="80" t="s">
        <v>513</v>
      </c>
      <c r="K43" s="80">
        <v>6</v>
      </c>
      <c r="L43" s="81"/>
      <c r="M43" s="82">
        <v>0</v>
      </c>
      <c r="N43" s="82"/>
      <c r="O43" s="82">
        <v>0</v>
      </c>
      <c r="P43" s="82"/>
      <c r="Q43" s="82">
        <v>0</v>
      </c>
      <c r="R43" s="82"/>
      <c r="S43" s="82">
        <v>0</v>
      </c>
      <c r="T43" s="82"/>
      <c r="U43" s="82">
        <v>0</v>
      </c>
      <c r="V43" s="82"/>
      <c r="W43" s="82">
        <v>0</v>
      </c>
      <c r="X43" s="82"/>
      <c r="Y43" s="82">
        <v>3318000</v>
      </c>
      <c r="Z43" s="82"/>
      <c r="AA43" s="79">
        <v>0</v>
      </c>
      <c r="AB43" s="83"/>
      <c r="AC43" s="84"/>
      <c r="AD43" s="83">
        <v>0</v>
      </c>
      <c r="AE43" s="83"/>
      <c r="AF43" s="83">
        <v>0</v>
      </c>
      <c r="AG43" s="83"/>
      <c r="AH43" s="83">
        <v>0</v>
      </c>
      <c r="AI43" s="83"/>
      <c r="AJ43" s="83">
        <v>0</v>
      </c>
      <c r="AK43" s="83"/>
      <c r="AL43" s="83">
        <v>0</v>
      </c>
      <c r="AM43" s="83"/>
      <c r="AN43" s="83">
        <v>345837</v>
      </c>
      <c r="AO43" s="83"/>
      <c r="AP43" s="83">
        <v>0</v>
      </c>
      <c r="AQ43" s="74"/>
      <c r="AR43" s="85"/>
      <c r="AS43" s="86"/>
      <c r="AT43" s="86"/>
      <c r="AU43" s="86"/>
      <c r="AV43" s="86"/>
      <c r="AW43" s="86"/>
      <c r="AX43" s="86"/>
      <c r="AY43" s="86"/>
      <c r="AZ43" s="86"/>
      <c r="BA43" s="86"/>
      <c r="BB43" s="86"/>
      <c r="BC43" s="86">
        <v>0.1042</v>
      </c>
      <c r="BD43" s="86"/>
      <c r="BE43" s="86"/>
      <c r="BF43" s="74"/>
      <c r="BG43" s="74" t="s">
        <v>514</v>
      </c>
    </row>
    <row r="44" spans="1:59">
      <c r="A44" s="74" t="s">
        <v>593</v>
      </c>
      <c r="B44" s="74" t="s">
        <v>594</v>
      </c>
      <c r="C44" s="75" t="s">
        <v>595</v>
      </c>
      <c r="D44" s="76">
        <v>4008</v>
      </c>
      <c r="E44" s="77">
        <v>40008</v>
      </c>
      <c r="F44" s="75" t="s">
        <v>551</v>
      </c>
      <c r="G44" s="78">
        <v>1249442</v>
      </c>
      <c r="H44" s="79">
        <v>409</v>
      </c>
      <c r="I44" s="75" t="s">
        <v>519</v>
      </c>
      <c r="J44" s="80" t="s">
        <v>513</v>
      </c>
      <c r="K44" s="80">
        <v>36</v>
      </c>
      <c r="L44" s="81"/>
      <c r="M44" s="82">
        <v>0</v>
      </c>
      <c r="N44" s="82"/>
      <c r="O44" s="82">
        <v>0</v>
      </c>
      <c r="P44" s="82"/>
      <c r="Q44" s="82">
        <v>0</v>
      </c>
      <c r="R44" s="82"/>
      <c r="S44" s="82">
        <v>0</v>
      </c>
      <c r="T44" s="82"/>
      <c r="U44" s="82">
        <v>0</v>
      </c>
      <c r="V44" s="82"/>
      <c r="W44" s="82">
        <v>0</v>
      </c>
      <c r="X44" s="82"/>
      <c r="Y44" s="82">
        <v>16786660</v>
      </c>
      <c r="Z44" s="82"/>
      <c r="AA44" s="79">
        <v>0</v>
      </c>
      <c r="AB44" s="83"/>
      <c r="AC44" s="84"/>
      <c r="AD44" s="83">
        <v>0</v>
      </c>
      <c r="AE44" s="83"/>
      <c r="AF44" s="83">
        <v>0</v>
      </c>
      <c r="AG44" s="83"/>
      <c r="AH44" s="83">
        <v>0</v>
      </c>
      <c r="AI44" s="83"/>
      <c r="AJ44" s="83">
        <v>0</v>
      </c>
      <c r="AK44" s="83"/>
      <c r="AL44" s="83">
        <v>0</v>
      </c>
      <c r="AM44" s="83"/>
      <c r="AN44" s="83">
        <v>2267804</v>
      </c>
      <c r="AO44" s="83"/>
      <c r="AP44" s="83">
        <v>0</v>
      </c>
      <c r="AQ44" s="74"/>
      <c r="AR44" s="85"/>
      <c r="AS44" s="86"/>
      <c r="AT44" s="86"/>
      <c r="AU44" s="86"/>
      <c r="AV44" s="86"/>
      <c r="AW44" s="86"/>
      <c r="AX44" s="86"/>
      <c r="AY44" s="86"/>
      <c r="AZ44" s="86"/>
      <c r="BA44" s="86"/>
      <c r="BB44" s="86"/>
      <c r="BC44" s="86">
        <v>0.1351</v>
      </c>
      <c r="BD44" s="86"/>
      <c r="BE44" s="86"/>
      <c r="BF44" s="74"/>
      <c r="BG44" s="74" t="s">
        <v>514</v>
      </c>
    </row>
    <row r="45" spans="1:59">
      <c r="A45" s="74" t="s">
        <v>596</v>
      </c>
      <c r="B45" s="74" t="s">
        <v>597</v>
      </c>
      <c r="C45" s="75" t="s">
        <v>598</v>
      </c>
      <c r="D45" s="76">
        <v>40</v>
      </c>
      <c r="E45" s="77">
        <v>40</v>
      </c>
      <c r="F45" s="75" t="s">
        <v>525</v>
      </c>
      <c r="G45" s="78">
        <v>3059393</v>
      </c>
      <c r="H45" s="79">
        <v>381</v>
      </c>
      <c r="I45" s="75" t="s">
        <v>521</v>
      </c>
      <c r="J45" s="80" t="s">
        <v>520</v>
      </c>
      <c r="K45" s="80">
        <v>70</v>
      </c>
      <c r="L45" s="81"/>
      <c r="M45" s="82">
        <v>625305</v>
      </c>
      <c r="N45" s="82"/>
      <c r="O45" s="82">
        <v>0</v>
      </c>
      <c r="P45" s="82"/>
      <c r="Q45" s="82">
        <v>0</v>
      </c>
      <c r="R45" s="82"/>
      <c r="S45" s="82">
        <v>0</v>
      </c>
      <c r="T45" s="82"/>
      <c r="U45" s="82">
        <v>0</v>
      </c>
      <c r="V45" s="82"/>
      <c r="W45" s="82">
        <v>0</v>
      </c>
      <c r="X45" s="82"/>
      <c r="Y45" s="82">
        <v>0</v>
      </c>
      <c r="Z45" s="82"/>
      <c r="AA45" s="79">
        <v>0</v>
      </c>
      <c r="AB45" s="83"/>
      <c r="AC45" s="84"/>
      <c r="AD45" s="83">
        <v>335545</v>
      </c>
      <c r="AE45" s="83"/>
      <c r="AF45" s="83">
        <v>0</v>
      </c>
      <c r="AG45" s="83"/>
      <c r="AH45" s="83">
        <v>0</v>
      </c>
      <c r="AI45" s="83"/>
      <c r="AJ45" s="83">
        <v>0</v>
      </c>
      <c r="AK45" s="83"/>
      <c r="AL45" s="83">
        <v>0</v>
      </c>
      <c r="AM45" s="83"/>
      <c r="AN45" s="83">
        <v>0</v>
      </c>
      <c r="AO45" s="83"/>
      <c r="AP45" s="83">
        <v>0</v>
      </c>
      <c r="AQ45" s="74"/>
      <c r="AR45" s="85"/>
      <c r="AS45" s="86">
        <v>0.53659999999999997</v>
      </c>
      <c r="AT45" s="86"/>
      <c r="AU45" s="86"/>
      <c r="AV45" s="86"/>
      <c r="AW45" s="86"/>
      <c r="AX45" s="86"/>
      <c r="AY45" s="86"/>
      <c r="AZ45" s="86"/>
      <c r="BA45" s="86"/>
      <c r="BB45" s="86"/>
      <c r="BC45" s="86"/>
      <c r="BD45" s="86"/>
      <c r="BE45" s="86"/>
      <c r="BF45" s="74"/>
      <c r="BG45" s="74" t="s">
        <v>514</v>
      </c>
    </row>
    <row r="46" spans="1:59">
      <c r="A46" s="74" t="s">
        <v>596</v>
      </c>
      <c r="B46" s="74" t="s">
        <v>597</v>
      </c>
      <c r="C46" s="75" t="s">
        <v>598</v>
      </c>
      <c r="D46" s="76">
        <v>40</v>
      </c>
      <c r="E46" s="77">
        <v>40</v>
      </c>
      <c r="F46" s="75" t="s">
        <v>525</v>
      </c>
      <c r="G46" s="78">
        <v>3059393</v>
      </c>
      <c r="H46" s="79">
        <v>381</v>
      </c>
      <c r="I46" s="75" t="s">
        <v>519</v>
      </c>
      <c r="J46" s="80" t="s">
        <v>513</v>
      </c>
      <c r="K46" s="80">
        <v>48</v>
      </c>
      <c r="L46" s="81"/>
      <c r="M46" s="82">
        <v>0</v>
      </c>
      <c r="N46" s="82"/>
      <c r="O46" s="82">
        <v>0</v>
      </c>
      <c r="P46" s="82"/>
      <c r="Q46" s="82">
        <v>0</v>
      </c>
      <c r="R46" s="82"/>
      <c r="S46" s="82">
        <v>0</v>
      </c>
      <c r="T46" s="82"/>
      <c r="U46" s="82">
        <v>0</v>
      </c>
      <c r="V46" s="82"/>
      <c r="W46" s="82">
        <v>0</v>
      </c>
      <c r="X46" s="82"/>
      <c r="Y46" s="82">
        <v>20355203</v>
      </c>
      <c r="Z46" s="82"/>
      <c r="AA46" s="79">
        <v>0</v>
      </c>
      <c r="AB46" s="83"/>
      <c r="AC46" s="84"/>
      <c r="AD46" s="83">
        <v>0</v>
      </c>
      <c r="AE46" s="83"/>
      <c r="AF46" s="83">
        <v>0</v>
      </c>
      <c r="AG46" s="83"/>
      <c r="AH46" s="83">
        <v>0</v>
      </c>
      <c r="AI46" s="83"/>
      <c r="AJ46" s="83">
        <v>0</v>
      </c>
      <c r="AK46" s="83"/>
      <c r="AL46" s="83">
        <v>0</v>
      </c>
      <c r="AM46" s="83"/>
      <c r="AN46" s="83">
        <v>4232555</v>
      </c>
      <c r="AO46" s="83"/>
      <c r="AP46" s="83">
        <v>0</v>
      </c>
      <c r="AQ46" s="74"/>
      <c r="AR46" s="85"/>
      <c r="AS46" s="86"/>
      <c r="AT46" s="86"/>
      <c r="AU46" s="86"/>
      <c r="AV46" s="86"/>
      <c r="AW46" s="86"/>
      <c r="AX46" s="86"/>
      <c r="AY46" s="86"/>
      <c r="AZ46" s="86"/>
      <c r="BA46" s="86"/>
      <c r="BB46" s="86"/>
      <c r="BC46" s="86">
        <v>0.2079</v>
      </c>
      <c r="BD46" s="86"/>
      <c r="BE46" s="86"/>
      <c r="BF46" s="74"/>
      <c r="BG46" s="74" t="s">
        <v>514</v>
      </c>
    </row>
    <row r="47" spans="1:59">
      <c r="A47" s="74" t="s">
        <v>599</v>
      </c>
      <c r="B47" s="74" t="s">
        <v>600</v>
      </c>
      <c r="C47" s="75" t="s">
        <v>509</v>
      </c>
      <c r="D47" s="76">
        <v>2004</v>
      </c>
      <c r="E47" s="77">
        <v>20004</v>
      </c>
      <c r="F47" s="75" t="s">
        <v>525</v>
      </c>
      <c r="G47" s="78">
        <v>935906</v>
      </c>
      <c r="H47" s="79">
        <v>359</v>
      </c>
      <c r="I47" s="75" t="s">
        <v>519</v>
      </c>
      <c r="J47" s="80" t="s">
        <v>513</v>
      </c>
      <c r="K47" s="80">
        <v>23</v>
      </c>
      <c r="L47" s="81"/>
      <c r="M47" s="82">
        <v>0</v>
      </c>
      <c r="N47" s="82"/>
      <c r="O47" s="82">
        <v>0</v>
      </c>
      <c r="P47" s="82"/>
      <c r="Q47" s="82">
        <v>0</v>
      </c>
      <c r="R47" s="82"/>
      <c r="S47" s="82">
        <v>0</v>
      </c>
      <c r="T47" s="82"/>
      <c r="U47" s="82">
        <v>0</v>
      </c>
      <c r="V47" s="82"/>
      <c r="W47" s="82">
        <v>0</v>
      </c>
      <c r="X47" s="82"/>
      <c r="Y47" s="82">
        <v>7920559</v>
      </c>
      <c r="Z47" s="82"/>
      <c r="AA47" s="79">
        <v>0</v>
      </c>
      <c r="AB47" s="83"/>
      <c r="AC47" s="84"/>
      <c r="AD47" s="83">
        <v>0</v>
      </c>
      <c r="AE47" s="83"/>
      <c r="AF47" s="83">
        <v>0</v>
      </c>
      <c r="AG47" s="83"/>
      <c r="AH47" s="83">
        <v>0</v>
      </c>
      <c r="AI47" s="83"/>
      <c r="AJ47" s="83">
        <v>0</v>
      </c>
      <c r="AK47" s="83"/>
      <c r="AL47" s="83">
        <v>0</v>
      </c>
      <c r="AM47" s="83"/>
      <c r="AN47" s="83">
        <v>990450</v>
      </c>
      <c r="AO47" s="83"/>
      <c r="AP47" s="83">
        <v>0</v>
      </c>
      <c r="AQ47" s="74"/>
      <c r="AR47" s="85"/>
      <c r="AS47" s="86"/>
      <c r="AT47" s="86"/>
      <c r="AU47" s="86"/>
      <c r="AV47" s="86"/>
      <c r="AW47" s="86"/>
      <c r="AX47" s="86"/>
      <c r="AY47" s="86"/>
      <c r="AZ47" s="86"/>
      <c r="BA47" s="86"/>
      <c r="BB47" s="86"/>
      <c r="BC47" s="86">
        <v>0.125</v>
      </c>
      <c r="BD47" s="86"/>
      <c r="BE47" s="86"/>
      <c r="BF47" s="74"/>
      <c r="BG47" s="74" t="s">
        <v>514</v>
      </c>
    </row>
    <row r="48" spans="1:59">
      <c r="A48" s="74" t="s">
        <v>601</v>
      </c>
      <c r="B48" s="74" t="s">
        <v>602</v>
      </c>
      <c r="C48" s="75" t="s">
        <v>524</v>
      </c>
      <c r="D48" s="76">
        <v>9019</v>
      </c>
      <c r="E48" s="77">
        <v>90019</v>
      </c>
      <c r="F48" s="75" t="s">
        <v>525</v>
      </c>
      <c r="G48" s="78">
        <v>1723634</v>
      </c>
      <c r="H48" s="79">
        <v>331</v>
      </c>
      <c r="I48" s="75" t="s">
        <v>519</v>
      </c>
      <c r="J48" s="80" t="s">
        <v>513</v>
      </c>
      <c r="K48" s="80">
        <v>69</v>
      </c>
      <c r="L48" s="81"/>
      <c r="M48" s="82">
        <v>0</v>
      </c>
      <c r="N48" s="82"/>
      <c r="O48" s="82">
        <v>0</v>
      </c>
      <c r="P48" s="82"/>
      <c r="Q48" s="82">
        <v>0</v>
      </c>
      <c r="R48" s="82"/>
      <c r="S48" s="82">
        <v>0</v>
      </c>
      <c r="T48" s="82"/>
      <c r="U48" s="82">
        <v>0</v>
      </c>
      <c r="V48" s="82"/>
      <c r="W48" s="82">
        <v>0</v>
      </c>
      <c r="X48" s="82"/>
      <c r="Y48" s="82">
        <v>30089655</v>
      </c>
      <c r="Z48" s="82"/>
      <c r="AA48" s="79">
        <v>0</v>
      </c>
      <c r="AB48" s="83"/>
      <c r="AC48" s="84"/>
      <c r="AD48" s="83">
        <v>0</v>
      </c>
      <c r="AE48" s="83"/>
      <c r="AF48" s="83">
        <v>0</v>
      </c>
      <c r="AG48" s="83"/>
      <c r="AH48" s="83">
        <v>0</v>
      </c>
      <c r="AI48" s="83"/>
      <c r="AJ48" s="83">
        <v>0</v>
      </c>
      <c r="AK48" s="83"/>
      <c r="AL48" s="83">
        <v>0</v>
      </c>
      <c r="AM48" s="83"/>
      <c r="AN48" s="83">
        <v>3768892</v>
      </c>
      <c r="AO48" s="83"/>
      <c r="AP48" s="83">
        <v>0</v>
      </c>
      <c r="AQ48" s="74"/>
      <c r="AR48" s="85"/>
      <c r="AS48" s="86"/>
      <c r="AT48" s="86"/>
      <c r="AU48" s="86"/>
      <c r="AV48" s="86"/>
      <c r="AW48" s="86"/>
      <c r="AX48" s="86"/>
      <c r="AY48" s="86"/>
      <c r="AZ48" s="86"/>
      <c r="BA48" s="86"/>
      <c r="BB48" s="86"/>
      <c r="BC48" s="86">
        <v>0.12529999999999999</v>
      </c>
      <c r="BD48" s="86"/>
      <c r="BE48" s="86"/>
      <c r="BF48" s="74"/>
      <c r="BG48" s="74" t="s">
        <v>514</v>
      </c>
    </row>
    <row r="49" spans="1:59">
      <c r="A49" s="74" t="s">
        <v>603</v>
      </c>
      <c r="B49" s="74" t="s">
        <v>604</v>
      </c>
      <c r="C49" s="75" t="s">
        <v>543</v>
      </c>
      <c r="D49" s="76">
        <v>6007</v>
      </c>
      <c r="E49" s="77">
        <v>60007</v>
      </c>
      <c r="F49" s="75" t="s">
        <v>525</v>
      </c>
      <c r="G49" s="78">
        <v>5121892</v>
      </c>
      <c r="H49" s="79">
        <v>312</v>
      </c>
      <c r="I49" s="75" t="s">
        <v>521</v>
      </c>
      <c r="J49" s="80" t="s">
        <v>520</v>
      </c>
      <c r="K49" s="80">
        <v>20</v>
      </c>
      <c r="L49" s="81"/>
      <c r="M49" s="82">
        <v>442412</v>
      </c>
      <c r="N49" s="82"/>
      <c r="O49" s="82">
        <v>0</v>
      </c>
      <c r="P49" s="82"/>
      <c r="Q49" s="82">
        <v>0</v>
      </c>
      <c r="R49" s="82"/>
      <c r="S49" s="82">
        <v>0</v>
      </c>
      <c r="T49" s="82"/>
      <c r="U49" s="82">
        <v>0</v>
      </c>
      <c r="V49" s="82"/>
      <c r="W49" s="82">
        <v>0</v>
      </c>
      <c r="X49" s="82"/>
      <c r="Y49" s="82">
        <v>0</v>
      </c>
      <c r="Z49" s="82"/>
      <c r="AA49" s="79">
        <v>0</v>
      </c>
      <c r="AB49" s="83"/>
      <c r="AC49" s="84"/>
      <c r="AD49" s="83">
        <v>2349673</v>
      </c>
      <c r="AE49" s="83"/>
      <c r="AF49" s="83">
        <v>0</v>
      </c>
      <c r="AG49" s="83"/>
      <c r="AH49" s="83">
        <v>0</v>
      </c>
      <c r="AI49" s="83"/>
      <c r="AJ49" s="83">
        <v>0</v>
      </c>
      <c r="AK49" s="83"/>
      <c r="AL49" s="83">
        <v>0</v>
      </c>
      <c r="AM49" s="83"/>
      <c r="AN49" s="83">
        <v>0</v>
      </c>
      <c r="AO49" s="83"/>
      <c r="AP49" s="83">
        <v>0</v>
      </c>
      <c r="AQ49" s="74"/>
      <c r="AR49" s="85"/>
      <c r="AS49" s="86">
        <v>5.3110999999999997</v>
      </c>
      <c r="AT49" s="86"/>
      <c r="AU49" s="86"/>
      <c r="AV49" s="86"/>
      <c r="AW49" s="86"/>
      <c r="AX49" s="86"/>
      <c r="AY49" s="86"/>
      <c r="AZ49" s="86"/>
      <c r="BA49" s="86"/>
      <c r="BB49" s="86"/>
      <c r="BC49" s="86"/>
      <c r="BD49" s="86"/>
      <c r="BE49" s="86"/>
      <c r="BF49" s="74"/>
      <c r="BG49" s="74" t="s">
        <v>514</v>
      </c>
    </row>
    <row r="50" spans="1:59">
      <c r="A50" s="74" t="s">
        <v>605</v>
      </c>
      <c r="B50" s="74" t="s">
        <v>556</v>
      </c>
      <c r="C50" s="75" t="s">
        <v>517</v>
      </c>
      <c r="D50" s="76">
        <v>2098</v>
      </c>
      <c r="E50" s="77">
        <v>20098</v>
      </c>
      <c r="F50" s="75" t="s">
        <v>525</v>
      </c>
      <c r="G50" s="78">
        <v>18351295</v>
      </c>
      <c r="H50" s="79">
        <v>310</v>
      </c>
      <c r="I50" s="75" t="s">
        <v>512</v>
      </c>
      <c r="J50" s="80" t="s">
        <v>513</v>
      </c>
      <c r="K50" s="80">
        <v>304</v>
      </c>
      <c r="L50" s="81"/>
      <c r="M50" s="82">
        <v>0</v>
      </c>
      <c r="N50" s="82"/>
      <c r="O50" s="82">
        <v>0</v>
      </c>
      <c r="P50" s="82"/>
      <c r="Q50" s="82">
        <v>0</v>
      </c>
      <c r="R50" s="82"/>
      <c r="S50" s="82">
        <v>0</v>
      </c>
      <c r="T50" s="82"/>
      <c r="U50" s="82">
        <v>0</v>
      </c>
      <c r="V50" s="82"/>
      <c r="W50" s="82">
        <v>0</v>
      </c>
      <c r="X50" s="82"/>
      <c r="Y50" s="82">
        <v>93567629</v>
      </c>
      <c r="Z50" s="82"/>
      <c r="AA50" s="79">
        <v>0</v>
      </c>
      <c r="AB50" s="83"/>
      <c r="AC50" s="84"/>
      <c r="AD50" s="83">
        <v>0</v>
      </c>
      <c r="AE50" s="83"/>
      <c r="AF50" s="83">
        <v>0</v>
      </c>
      <c r="AG50" s="83"/>
      <c r="AH50" s="83">
        <v>0</v>
      </c>
      <c r="AI50" s="83"/>
      <c r="AJ50" s="83">
        <v>0</v>
      </c>
      <c r="AK50" s="83"/>
      <c r="AL50" s="83">
        <v>0</v>
      </c>
      <c r="AM50" s="83"/>
      <c r="AN50" s="83">
        <v>13256385</v>
      </c>
      <c r="AO50" s="83"/>
      <c r="AP50" s="83">
        <v>0</v>
      </c>
      <c r="AQ50" s="74"/>
      <c r="AR50" s="85"/>
      <c r="AS50" s="86"/>
      <c r="AT50" s="86"/>
      <c r="AU50" s="86"/>
      <c r="AV50" s="86"/>
      <c r="AW50" s="86"/>
      <c r="AX50" s="86"/>
      <c r="AY50" s="86"/>
      <c r="AZ50" s="86"/>
      <c r="BA50" s="86"/>
      <c r="BB50" s="86"/>
      <c r="BC50" s="86">
        <v>0.14169999999999999</v>
      </c>
      <c r="BD50" s="86"/>
      <c r="BE50" s="86"/>
      <c r="BF50" s="74"/>
      <c r="BG50" s="74" t="s">
        <v>514</v>
      </c>
    </row>
    <row r="51" spans="1:59">
      <c r="A51" s="74" t="s">
        <v>606</v>
      </c>
      <c r="B51" s="74" t="s">
        <v>607</v>
      </c>
      <c r="C51" s="75" t="s">
        <v>524</v>
      </c>
      <c r="D51" s="76">
        <v>9030</v>
      </c>
      <c r="E51" s="77">
        <v>90030</v>
      </c>
      <c r="F51" s="75" t="s">
        <v>525</v>
      </c>
      <c r="G51" s="78">
        <v>2956746</v>
      </c>
      <c r="H51" s="79">
        <v>205</v>
      </c>
      <c r="I51" s="75" t="s">
        <v>521</v>
      </c>
      <c r="J51" s="80" t="s">
        <v>520</v>
      </c>
      <c r="K51" s="80">
        <v>24</v>
      </c>
      <c r="L51" s="81"/>
      <c r="M51" s="82">
        <v>766773</v>
      </c>
      <c r="N51" s="82"/>
      <c r="O51" s="82">
        <v>0</v>
      </c>
      <c r="P51" s="82"/>
      <c r="Q51" s="82">
        <v>0</v>
      </c>
      <c r="R51" s="82"/>
      <c r="S51" s="82">
        <v>0</v>
      </c>
      <c r="T51" s="82"/>
      <c r="U51" s="82">
        <v>0</v>
      </c>
      <c r="V51" s="82"/>
      <c r="W51" s="82">
        <v>0</v>
      </c>
      <c r="X51" s="82"/>
      <c r="Y51" s="82">
        <v>0</v>
      </c>
      <c r="Z51" s="82"/>
      <c r="AA51" s="79">
        <v>0</v>
      </c>
      <c r="AB51" s="83"/>
      <c r="AC51" s="84"/>
      <c r="AD51" s="83">
        <v>253519</v>
      </c>
      <c r="AE51" s="83"/>
      <c r="AF51" s="83">
        <v>0</v>
      </c>
      <c r="AG51" s="83"/>
      <c r="AH51" s="83">
        <v>0</v>
      </c>
      <c r="AI51" s="83"/>
      <c r="AJ51" s="83">
        <v>0</v>
      </c>
      <c r="AK51" s="83"/>
      <c r="AL51" s="83">
        <v>0</v>
      </c>
      <c r="AM51" s="83"/>
      <c r="AN51" s="83">
        <v>0</v>
      </c>
      <c r="AO51" s="83"/>
      <c r="AP51" s="83">
        <v>0</v>
      </c>
      <c r="AQ51" s="74"/>
      <c r="AR51" s="85"/>
      <c r="AS51" s="86">
        <v>0.3306</v>
      </c>
      <c r="AT51" s="86"/>
      <c r="AU51" s="86"/>
      <c r="AV51" s="86"/>
      <c r="AW51" s="86"/>
      <c r="AX51" s="86"/>
      <c r="AY51" s="86"/>
      <c r="AZ51" s="86"/>
      <c r="BA51" s="86"/>
      <c r="BB51" s="86"/>
      <c r="BC51" s="86"/>
      <c r="BD51" s="86"/>
      <c r="BE51" s="86"/>
      <c r="BF51" s="74"/>
      <c r="BG51" s="74" t="s">
        <v>514</v>
      </c>
    </row>
    <row r="52" spans="1:59">
      <c r="A52" s="74" t="s">
        <v>608</v>
      </c>
      <c r="B52" s="74" t="s">
        <v>523</v>
      </c>
      <c r="C52" s="75" t="s">
        <v>524</v>
      </c>
      <c r="D52" s="76">
        <v>9151</v>
      </c>
      <c r="E52" s="77">
        <v>90151</v>
      </c>
      <c r="F52" s="75" t="s">
        <v>525</v>
      </c>
      <c r="G52" s="78">
        <v>12150996</v>
      </c>
      <c r="H52" s="79">
        <v>195</v>
      </c>
      <c r="I52" s="75" t="s">
        <v>521</v>
      </c>
      <c r="J52" s="80" t="s">
        <v>520</v>
      </c>
      <c r="K52" s="80">
        <v>195</v>
      </c>
      <c r="L52" s="81"/>
      <c r="M52" s="82">
        <v>8293151</v>
      </c>
      <c r="N52" s="82"/>
      <c r="O52" s="82">
        <v>0</v>
      </c>
      <c r="P52" s="82"/>
      <c r="Q52" s="82">
        <v>0</v>
      </c>
      <c r="R52" s="82"/>
      <c r="S52" s="82">
        <v>0</v>
      </c>
      <c r="T52" s="82"/>
      <c r="U52" s="82">
        <v>0</v>
      </c>
      <c r="V52" s="82"/>
      <c r="W52" s="82">
        <v>0</v>
      </c>
      <c r="X52" s="82"/>
      <c r="Y52" s="82">
        <v>0</v>
      </c>
      <c r="Z52" s="82"/>
      <c r="AA52" s="79">
        <v>0</v>
      </c>
      <c r="AB52" s="83"/>
      <c r="AC52" s="84"/>
      <c r="AD52" s="83">
        <v>2539026</v>
      </c>
      <c r="AE52" s="83"/>
      <c r="AF52" s="83">
        <v>0</v>
      </c>
      <c r="AG52" s="83"/>
      <c r="AH52" s="83">
        <v>0</v>
      </c>
      <c r="AI52" s="83"/>
      <c r="AJ52" s="83">
        <v>0</v>
      </c>
      <c r="AK52" s="83"/>
      <c r="AL52" s="83">
        <v>0</v>
      </c>
      <c r="AM52" s="83"/>
      <c r="AN52" s="83">
        <v>0</v>
      </c>
      <c r="AO52" s="83"/>
      <c r="AP52" s="83">
        <v>0</v>
      </c>
      <c r="AQ52" s="74"/>
      <c r="AR52" s="85"/>
      <c r="AS52" s="86">
        <v>0.30620000000000003</v>
      </c>
      <c r="AT52" s="86"/>
      <c r="AU52" s="86"/>
      <c r="AV52" s="86"/>
      <c r="AW52" s="86"/>
      <c r="AX52" s="86"/>
      <c r="AY52" s="86"/>
      <c r="AZ52" s="86"/>
      <c r="BA52" s="86"/>
      <c r="BB52" s="86"/>
      <c r="BC52" s="86"/>
      <c r="BD52" s="86"/>
      <c r="BE52" s="86"/>
      <c r="BF52" s="74"/>
      <c r="BG52" s="74" t="s">
        <v>514</v>
      </c>
    </row>
    <row r="53" spans="1:59">
      <c r="A53" s="74" t="s">
        <v>609</v>
      </c>
      <c r="B53" s="74" t="s">
        <v>610</v>
      </c>
      <c r="C53" s="75" t="s">
        <v>524</v>
      </c>
      <c r="D53" s="76">
        <v>9134</v>
      </c>
      <c r="E53" s="77">
        <v>90134</v>
      </c>
      <c r="F53" s="75" t="s">
        <v>525</v>
      </c>
      <c r="G53" s="78">
        <v>3281212</v>
      </c>
      <c r="H53" s="79">
        <v>141</v>
      </c>
      <c r="I53" s="75" t="s">
        <v>521</v>
      </c>
      <c r="J53" s="80" t="s">
        <v>520</v>
      </c>
      <c r="K53" s="80">
        <v>111</v>
      </c>
      <c r="L53" s="81"/>
      <c r="M53" s="82">
        <v>3805923</v>
      </c>
      <c r="N53" s="82"/>
      <c r="O53" s="82">
        <v>0</v>
      </c>
      <c r="P53" s="82"/>
      <c r="Q53" s="82">
        <v>0</v>
      </c>
      <c r="R53" s="82"/>
      <c r="S53" s="82">
        <v>0</v>
      </c>
      <c r="T53" s="82"/>
      <c r="U53" s="82">
        <v>0</v>
      </c>
      <c r="V53" s="82"/>
      <c r="W53" s="82">
        <v>0</v>
      </c>
      <c r="X53" s="82"/>
      <c r="Y53" s="82">
        <v>0</v>
      </c>
      <c r="Z53" s="82"/>
      <c r="AA53" s="79">
        <v>0</v>
      </c>
      <c r="AB53" s="83"/>
      <c r="AC53" s="84"/>
      <c r="AD53" s="83">
        <v>1179829</v>
      </c>
      <c r="AE53" s="83"/>
      <c r="AF53" s="83">
        <v>0</v>
      </c>
      <c r="AG53" s="83"/>
      <c r="AH53" s="83">
        <v>0</v>
      </c>
      <c r="AI53" s="83"/>
      <c r="AJ53" s="83">
        <v>0</v>
      </c>
      <c r="AK53" s="83"/>
      <c r="AL53" s="83">
        <v>0</v>
      </c>
      <c r="AM53" s="83"/>
      <c r="AN53" s="83">
        <v>0</v>
      </c>
      <c r="AO53" s="83"/>
      <c r="AP53" s="83">
        <v>0</v>
      </c>
      <c r="AQ53" s="74"/>
      <c r="AR53" s="85"/>
      <c r="AS53" s="86">
        <v>0.31</v>
      </c>
      <c r="AT53" s="86"/>
      <c r="AU53" s="86"/>
      <c r="AV53" s="86"/>
      <c r="AW53" s="86"/>
      <c r="AX53" s="86"/>
      <c r="AY53" s="86"/>
      <c r="AZ53" s="86"/>
      <c r="BA53" s="86"/>
      <c r="BB53" s="86"/>
      <c r="BC53" s="86"/>
      <c r="BD53" s="86"/>
      <c r="BE53" s="86"/>
      <c r="BF53" s="74"/>
      <c r="BG53" s="74" t="s">
        <v>514</v>
      </c>
    </row>
    <row r="54" spans="1:59">
      <c r="A54" s="74" t="s">
        <v>611</v>
      </c>
      <c r="B54" s="74" t="s">
        <v>612</v>
      </c>
      <c r="C54" s="75" t="s">
        <v>592</v>
      </c>
      <c r="D54" s="76">
        <v>3073</v>
      </c>
      <c r="E54" s="77">
        <v>30073</v>
      </c>
      <c r="F54" s="75" t="s">
        <v>525</v>
      </c>
      <c r="G54" s="78">
        <v>4586770</v>
      </c>
      <c r="H54" s="79">
        <v>99</v>
      </c>
      <c r="I54" s="75" t="s">
        <v>521</v>
      </c>
      <c r="J54" s="80" t="s">
        <v>520</v>
      </c>
      <c r="K54" s="80">
        <v>99</v>
      </c>
      <c r="L54" s="81"/>
      <c r="M54" s="82">
        <v>1430638</v>
      </c>
      <c r="N54" s="82"/>
      <c r="O54" s="82">
        <v>0</v>
      </c>
      <c r="P54" s="82"/>
      <c r="Q54" s="82">
        <v>0</v>
      </c>
      <c r="R54" s="82"/>
      <c r="S54" s="82">
        <v>0</v>
      </c>
      <c r="T54" s="82"/>
      <c r="U54" s="82">
        <v>0</v>
      </c>
      <c r="V54" s="82"/>
      <c r="W54" s="82">
        <v>0</v>
      </c>
      <c r="X54" s="82"/>
      <c r="Y54" s="82">
        <v>0</v>
      </c>
      <c r="Z54" s="82"/>
      <c r="AA54" s="79">
        <v>0</v>
      </c>
      <c r="AB54" s="83"/>
      <c r="AC54" s="84"/>
      <c r="AD54" s="83">
        <v>333956</v>
      </c>
      <c r="AE54" s="83"/>
      <c r="AF54" s="83">
        <v>0</v>
      </c>
      <c r="AG54" s="83"/>
      <c r="AH54" s="83">
        <v>0</v>
      </c>
      <c r="AI54" s="83"/>
      <c r="AJ54" s="83">
        <v>0</v>
      </c>
      <c r="AK54" s="83"/>
      <c r="AL54" s="83">
        <v>0</v>
      </c>
      <c r="AM54" s="83"/>
      <c r="AN54" s="83">
        <v>0</v>
      </c>
      <c r="AO54" s="83"/>
      <c r="AP54" s="83">
        <v>0</v>
      </c>
      <c r="AQ54" s="74"/>
      <c r="AR54" s="85"/>
      <c r="AS54" s="86">
        <v>0.2334</v>
      </c>
      <c r="AT54" s="86"/>
      <c r="AU54" s="86"/>
      <c r="AV54" s="86"/>
      <c r="AW54" s="86"/>
      <c r="AX54" s="86"/>
      <c r="AY54" s="86"/>
      <c r="AZ54" s="86"/>
      <c r="BA54" s="86"/>
      <c r="BB54" s="86"/>
      <c r="BC54" s="86"/>
      <c r="BD54" s="86"/>
      <c r="BE54" s="86"/>
      <c r="BF54" s="74"/>
      <c r="BG54" s="74" t="s">
        <v>514</v>
      </c>
    </row>
    <row r="55" spans="1:59">
      <c r="A55" s="74" t="s">
        <v>613</v>
      </c>
      <c r="B55" s="74" t="s">
        <v>614</v>
      </c>
      <c r="C55" s="75" t="s">
        <v>517</v>
      </c>
      <c r="D55" s="76">
        <v>2075</v>
      </c>
      <c r="E55" s="77">
        <v>20075</v>
      </c>
      <c r="F55" s="75" t="s">
        <v>525</v>
      </c>
      <c r="G55" s="78">
        <v>5441567</v>
      </c>
      <c r="H55" s="79">
        <v>78</v>
      </c>
      <c r="I55" s="75" t="s">
        <v>512</v>
      </c>
      <c r="J55" s="80" t="s">
        <v>513</v>
      </c>
      <c r="K55" s="80">
        <v>78</v>
      </c>
      <c r="L55" s="81"/>
      <c r="M55" s="82">
        <v>0</v>
      </c>
      <c r="N55" s="82"/>
      <c r="O55" s="82">
        <v>0</v>
      </c>
      <c r="P55" s="82"/>
      <c r="Q55" s="82">
        <v>0</v>
      </c>
      <c r="R55" s="82"/>
      <c r="S55" s="82">
        <v>0</v>
      </c>
      <c r="T55" s="82"/>
      <c r="U55" s="82">
        <v>0</v>
      </c>
      <c r="V55" s="82"/>
      <c r="W55" s="82">
        <v>0</v>
      </c>
      <c r="X55" s="82"/>
      <c r="Y55" s="82">
        <v>32179173</v>
      </c>
      <c r="Z55" s="82"/>
      <c r="AA55" s="79">
        <v>0</v>
      </c>
      <c r="AB55" s="83"/>
      <c r="AC55" s="84"/>
      <c r="AD55" s="83">
        <v>0</v>
      </c>
      <c r="AE55" s="83"/>
      <c r="AF55" s="83">
        <v>0</v>
      </c>
      <c r="AG55" s="83"/>
      <c r="AH55" s="83">
        <v>0</v>
      </c>
      <c r="AI55" s="83"/>
      <c r="AJ55" s="83">
        <v>0</v>
      </c>
      <c r="AK55" s="83"/>
      <c r="AL55" s="83">
        <v>0</v>
      </c>
      <c r="AM55" s="83"/>
      <c r="AN55" s="83">
        <v>4661254</v>
      </c>
      <c r="AO55" s="83"/>
      <c r="AP55" s="83">
        <v>0</v>
      </c>
      <c r="AQ55" s="74"/>
      <c r="AR55" s="85"/>
      <c r="AS55" s="86"/>
      <c r="AT55" s="86"/>
      <c r="AU55" s="86"/>
      <c r="AV55" s="86"/>
      <c r="AW55" s="86"/>
      <c r="AX55" s="86"/>
      <c r="AY55" s="86"/>
      <c r="AZ55" s="86"/>
      <c r="BA55" s="86"/>
      <c r="BB55" s="86"/>
      <c r="BC55" s="86">
        <v>0.1449</v>
      </c>
      <c r="BD55" s="86"/>
      <c r="BE55" s="86"/>
      <c r="BF55" s="74"/>
      <c r="BG55" s="74" t="s">
        <v>514</v>
      </c>
    </row>
    <row r="56" spans="1:59">
      <c r="A56" s="74" t="s">
        <v>615</v>
      </c>
      <c r="B56" s="74" t="s">
        <v>616</v>
      </c>
      <c r="C56" s="75" t="s">
        <v>617</v>
      </c>
      <c r="D56" s="76">
        <v>5104</v>
      </c>
      <c r="E56" s="77">
        <v>50104</v>
      </c>
      <c r="F56" s="75" t="s">
        <v>525</v>
      </c>
      <c r="G56" s="78">
        <v>8608208</v>
      </c>
      <c r="H56" s="79">
        <v>70</v>
      </c>
      <c r="I56" s="75" t="s">
        <v>521</v>
      </c>
      <c r="J56" s="80" t="s">
        <v>513</v>
      </c>
      <c r="K56" s="80">
        <v>70</v>
      </c>
      <c r="L56" s="81"/>
      <c r="M56" s="82">
        <v>0</v>
      </c>
      <c r="N56" s="82"/>
      <c r="O56" s="82">
        <v>0</v>
      </c>
      <c r="P56" s="82"/>
      <c r="Q56" s="82">
        <v>0</v>
      </c>
      <c r="R56" s="82"/>
      <c r="S56" s="82">
        <v>0</v>
      </c>
      <c r="T56" s="82"/>
      <c r="U56" s="82">
        <v>0</v>
      </c>
      <c r="V56" s="82"/>
      <c r="W56" s="82">
        <v>0</v>
      </c>
      <c r="X56" s="82"/>
      <c r="Y56" s="82">
        <v>18158000</v>
      </c>
      <c r="Z56" s="82"/>
      <c r="AA56" s="79">
        <v>0</v>
      </c>
      <c r="AB56" s="83"/>
      <c r="AC56" s="84"/>
      <c r="AD56" s="83">
        <v>0</v>
      </c>
      <c r="AE56" s="83"/>
      <c r="AF56" s="83">
        <v>0</v>
      </c>
      <c r="AG56" s="83"/>
      <c r="AH56" s="83">
        <v>0</v>
      </c>
      <c r="AI56" s="83"/>
      <c r="AJ56" s="83">
        <v>0</v>
      </c>
      <c r="AK56" s="83"/>
      <c r="AL56" s="83">
        <v>0</v>
      </c>
      <c r="AM56" s="83"/>
      <c r="AN56" s="83">
        <v>3510093</v>
      </c>
      <c r="AO56" s="83"/>
      <c r="AP56" s="83">
        <v>0</v>
      </c>
      <c r="AQ56" s="74"/>
      <c r="AR56" s="85"/>
      <c r="AS56" s="86"/>
      <c r="AT56" s="86"/>
      <c r="AU56" s="86"/>
      <c r="AV56" s="86"/>
      <c r="AW56" s="86"/>
      <c r="AX56" s="86"/>
      <c r="AY56" s="86"/>
      <c r="AZ56" s="86"/>
      <c r="BA56" s="86"/>
      <c r="BB56" s="86"/>
      <c r="BC56" s="86">
        <v>0.1933</v>
      </c>
      <c r="BD56" s="86"/>
      <c r="BE56" s="86"/>
      <c r="BF56" s="74"/>
      <c r="BG56" s="74" t="s">
        <v>514</v>
      </c>
    </row>
    <row r="57" spans="1:59">
      <c r="A57" s="74" t="s">
        <v>618</v>
      </c>
      <c r="B57" s="74" t="s">
        <v>619</v>
      </c>
      <c r="C57" s="75" t="s">
        <v>550</v>
      </c>
      <c r="D57" s="76">
        <v>4077</v>
      </c>
      <c r="E57" s="77">
        <v>40077</v>
      </c>
      <c r="F57" s="75" t="s">
        <v>525</v>
      </c>
      <c r="G57" s="78">
        <v>5502379</v>
      </c>
      <c r="H57" s="79">
        <v>65</v>
      </c>
      <c r="I57" s="75" t="s">
        <v>521</v>
      </c>
      <c r="J57" s="80" t="s">
        <v>520</v>
      </c>
      <c r="K57" s="80">
        <v>43</v>
      </c>
      <c r="L57" s="81"/>
      <c r="M57" s="82">
        <v>2838234</v>
      </c>
      <c r="N57" s="82"/>
      <c r="O57" s="82">
        <v>0</v>
      </c>
      <c r="P57" s="82"/>
      <c r="Q57" s="82">
        <v>0</v>
      </c>
      <c r="R57" s="82"/>
      <c r="S57" s="82">
        <v>0</v>
      </c>
      <c r="T57" s="82"/>
      <c r="U57" s="82">
        <v>0</v>
      </c>
      <c r="V57" s="82"/>
      <c r="W57" s="82">
        <v>0</v>
      </c>
      <c r="X57" s="82"/>
      <c r="Y57" s="82">
        <v>0</v>
      </c>
      <c r="Z57" s="82"/>
      <c r="AA57" s="79">
        <v>0</v>
      </c>
      <c r="AB57" s="83"/>
      <c r="AC57" s="84"/>
      <c r="AD57" s="83">
        <v>1018267</v>
      </c>
      <c r="AE57" s="83"/>
      <c r="AF57" s="83">
        <v>0</v>
      </c>
      <c r="AG57" s="83"/>
      <c r="AH57" s="83">
        <v>0</v>
      </c>
      <c r="AI57" s="83"/>
      <c r="AJ57" s="83">
        <v>0</v>
      </c>
      <c r="AK57" s="83"/>
      <c r="AL57" s="83">
        <v>0</v>
      </c>
      <c r="AM57" s="83"/>
      <c r="AN57" s="83">
        <v>0</v>
      </c>
      <c r="AO57" s="83"/>
      <c r="AP57" s="83">
        <v>0</v>
      </c>
      <c r="AQ57" s="74"/>
      <c r="AR57" s="85"/>
      <c r="AS57" s="86">
        <v>0.35880000000000001</v>
      </c>
      <c r="AT57" s="86"/>
      <c r="AU57" s="86"/>
      <c r="AV57" s="86"/>
      <c r="AW57" s="86"/>
      <c r="AX57" s="86"/>
      <c r="AY57" s="86"/>
      <c r="AZ57" s="86"/>
      <c r="BA57" s="86"/>
      <c r="BB57" s="86"/>
      <c r="BC57" s="86"/>
      <c r="BD57" s="86"/>
      <c r="BE57" s="86"/>
      <c r="BF57" s="74"/>
      <c r="BG57" s="74" t="s">
        <v>514</v>
      </c>
    </row>
    <row r="58" spans="1:59">
      <c r="A58" s="74" t="s">
        <v>620</v>
      </c>
      <c r="B58" s="74" t="s">
        <v>621</v>
      </c>
      <c r="C58" s="75" t="s">
        <v>622</v>
      </c>
      <c r="D58" s="76">
        <v>6111</v>
      </c>
      <c r="E58" s="77">
        <v>60111</v>
      </c>
      <c r="F58" s="75" t="s">
        <v>525</v>
      </c>
      <c r="G58" s="78">
        <v>741318</v>
      </c>
      <c r="H58" s="79">
        <v>58</v>
      </c>
      <c r="I58" s="75" t="s">
        <v>521</v>
      </c>
      <c r="J58" s="80" t="s">
        <v>520</v>
      </c>
      <c r="K58" s="80">
        <v>25</v>
      </c>
      <c r="L58" s="81"/>
      <c r="M58" s="82">
        <v>0</v>
      </c>
      <c r="N58" s="82"/>
      <c r="O58" s="82">
        <v>0</v>
      </c>
      <c r="P58" s="82"/>
      <c r="Q58" s="82">
        <v>0</v>
      </c>
      <c r="R58" s="82"/>
      <c r="S58" s="82">
        <v>0</v>
      </c>
      <c r="T58" s="82"/>
      <c r="U58" s="82">
        <v>792273</v>
      </c>
      <c r="V58" s="82"/>
      <c r="W58" s="82">
        <v>0</v>
      </c>
      <c r="X58" s="82"/>
      <c r="Y58" s="82">
        <v>0</v>
      </c>
      <c r="Z58" s="82"/>
      <c r="AA58" s="79">
        <v>0</v>
      </c>
      <c r="AB58" s="83"/>
      <c r="AC58" s="84"/>
      <c r="AD58" s="83">
        <v>350453</v>
      </c>
      <c r="AE58" s="83"/>
      <c r="AF58" s="83">
        <v>0</v>
      </c>
      <c r="AG58" s="83"/>
      <c r="AH58" s="83">
        <v>0</v>
      </c>
      <c r="AI58" s="83"/>
      <c r="AJ58" s="83">
        <v>0</v>
      </c>
      <c r="AK58" s="83"/>
      <c r="AL58" s="83">
        <v>0</v>
      </c>
      <c r="AM58" s="83"/>
      <c r="AN58" s="83">
        <v>0</v>
      </c>
      <c r="AO58" s="83"/>
      <c r="AP58" s="83">
        <v>0</v>
      </c>
      <c r="AQ58" s="74"/>
      <c r="AR58" s="85"/>
      <c r="AS58" s="86"/>
      <c r="AT58" s="86"/>
      <c r="AU58" s="86"/>
      <c r="AV58" s="86"/>
      <c r="AW58" s="86"/>
      <c r="AX58" s="86"/>
      <c r="AY58" s="86"/>
      <c r="AZ58" s="86"/>
      <c r="BA58" s="86"/>
      <c r="BB58" s="86"/>
      <c r="BC58" s="86"/>
      <c r="BD58" s="86"/>
      <c r="BE58" s="86"/>
      <c r="BF58" s="74"/>
      <c r="BG58" s="74" t="s">
        <v>514</v>
      </c>
    </row>
    <row r="59" spans="1:59">
      <c r="A59" s="74" t="s">
        <v>623</v>
      </c>
      <c r="B59" s="74" t="s">
        <v>624</v>
      </c>
      <c r="C59" s="75" t="s">
        <v>625</v>
      </c>
      <c r="D59" s="76">
        <v>4094</v>
      </c>
      <c r="E59" s="77">
        <v>40094</v>
      </c>
      <c r="F59" s="75" t="s">
        <v>547</v>
      </c>
      <c r="G59" s="78">
        <v>2148346</v>
      </c>
      <c r="H59" s="79">
        <v>54</v>
      </c>
      <c r="I59" s="75" t="s">
        <v>512</v>
      </c>
      <c r="J59" s="80" t="s">
        <v>520</v>
      </c>
      <c r="K59" s="80">
        <v>32</v>
      </c>
      <c r="L59" s="81"/>
      <c r="M59" s="82">
        <v>0</v>
      </c>
      <c r="N59" s="82"/>
      <c r="O59" s="82">
        <v>0</v>
      </c>
      <c r="P59" s="82"/>
      <c r="Q59" s="82">
        <v>0</v>
      </c>
      <c r="R59" s="82"/>
      <c r="S59" s="82">
        <v>0</v>
      </c>
      <c r="T59" s="82"/>
      <c r="U59" s="82">
        <v>0</v>
      </c>
      <c r="V59" s="82"/>
      <c r="W59" s="82">
        <v>0</v>
      </c>
      <c r="X59" s="82"/>
      <c r="Y59" s="82">
        <v>4009792</v>
      </c>
      <c r="Z59" s="82"/>
      <c r="AA59" s="79">
        <v>0</v>
      </c>
      <c r="AB59" s="83"/>
      <c r="AC59" s="84"/>
      <c r="AD59" s="83">
        <v>0</v>
      </c>
      <c r="AE59" s="83"/>
      <c r="AF59" s="83">
        <v>0</v>
      </c>
      <c r="AG59" s="83"/>
      <c r="AH59" s="83">
        <v>0</v>
      </c>
      <c r="AI59" s="83"/>
      <c r="AJ59" s="83">
        <v>0</v>
      </c>
      <c r="AK59" s="83"/>
      <c r="AL59" s="83">
        <v>0</v>
      </c>
      <c r="AM59" s="83"/>
      <c r="AN59" s="83">
        <v>1432878</v>
      </c>
      <c r="AO59" s="83"/>
      <c r="AP59" s="83">
        <v>0</v>
      </c>
      <c r="AQ59" s="74"/>
      <c r="AR59" s="85"/>
      <c r="AS59" s="86"/>
      <c r="AT59" s="86"/>
      <c r="AU59" s="86"/>
      <c r="AV59" s="86"/>
      <c r="AW59" s="86"/>
      <c r="AX59" s="86"/>
      <c r="AY59" s="86"/>
      <c r="AZ59" s="86"/>
      <c r="BA59" s="86"/>
      <c r="BB59" s="86"/>
      <c r="BC59" s="86">
        <v>0.35730000000000001</v>
      </c>
      <c r="BD59" s="86"/>
      <c r="BE59" s="86"/>
      <c r="BF59" s="74"/>
      <c r="BG59" s="74" t="s">
        <v>514</v>
      </c>
    </row>
    <row r="60" spans="1:59">
      <c r="A60" s="74" t="s">
        <v>626</v>
      </c>
      <c r="B60" s="74" t="s">
        <v>627</v>
      </c>
      <c r="C60" s="75" t="s">
        <v>628</v>
      </c>
      <c r="D60" s="76">
        <v>4159</v>
      </c>
      <c r="E60" s="77">
        <v>40159</v>
      </c>
      <c r="F60" s="75" t="s">
        <v>525</v>
      </c>
      <c r="G60" s="78">
        <v>969587</v>
      </c>
      <c r="H60" s="79">
        <v>46</v>
      </c>
      <c r="I60" s="75" t="s">
        <v>521</v>
      </c>
      <c r="J60" s="80" t="s">
        <v>520</v>
      </c>
      <c r="K60" s="80">
        <v>8</v>
      </c>
      <c r="L60" s="81"/>
      <c r="M60" s="82">
        <v>195054</v>
      </c>
      <c r="N60" s="82"/>
      <c r="O60" s="82">
        <v>0</v>
      </c>
      <c r="P60" s="82"/>
      <c r="Q60" s="82">
        <v>0</v>
      </c>
      <c r="R60" s="82"/>
      <c r="S60" s="82">
        <v>0</v>
      </c>
      <c r="T60" s="82"/>
      <c r="U60" s="82">
        <v>0</v>
      </c>
      <c r="V60" s="82"/>
      <c r="W60" s="82">
        <v>0</v>
      </c>
      <c r="X60" s="82"/>
      <c r="Y60" s="82">
        <v>0</v>
      </c>
      <c r="Z60" s="82"/>
      <c r="AA60" s="79">
        <v>0</v>
      </c>
      <c r="AB60" s="83"/>
      <c r="AC60" s="84"/>
      <c r="AD60" s="83">
        <v>71832</v>
      </c>
      <c r="AE60" s="83"/>
      <c r="AF60" s="83">
        <v>0</v>
      </c>
      <c r="AG60" s="83"/>
      <c r="AH60" s="83">
        <v>0</v>
      </c>
      <c r="AI60" s="83"/>
      <c r="AJ60" s="83">
        <v>0</v>
      </c>
      <c r="AK60" s="83"/>
      <c r="AL60" s="83">
        <v>0</v>
      </c>
      <c r="AM60" s="83"/>
      <c r="AN60" s="83">
        <v>0</v>
      </c>
      <c r="AO60" s="83"/>
      <c r="AP60" s="83">
        <v>0</v>
      </c>
      <c r="AQ60" s="74"/>
      <c r="AR60" s="85"/>
      <c r="AS60" s="86">
        <v>0.36830000000000002</v>
      </c>
      <c r="AT60" s="86"/>
      <c r="AU60" s="86"/>
      <c r="AV60" s="86"/>
      <c r="AW60" s="86"/>
      <c r="AX60" s="86"/>
      <c r="AY60" s="86"/>
      <c r="AZ60" s="86"/>
      <c r="BA60" s="86"/>
      <c r="BB60" s="86"/>
      <c r="BC60" s="86"/>
      <c r="BD60" s="86"/>
      <c r="BE60" s="86"/>
      <c r="BF60" s="74"/>
      <c r="BG60" s="74" t="s">
        <v>514</v>
      </c>
    </row>
    <row r="61" spans="1:59">
      <c r="A61" s="74" t="s">
        <v>629</v>
      </c>
      <c r="B61" s="74" t="s">
        <v>630</v>
      </c>
      <c r="C61" s="75" t="s">
        <v>509</v>
      </c>
      <c r="D61" s="76">
        <v>2099</v>
      </c>
      <c r="E61" s="77">
        <v>20099</v>
      </c>
      <c r="F61" s="75" t="s">
        <v>510</v>
      </c>
      <c r="G61" s="78">
        <v>18351295</v>
      </c>
      <c r="H61" s="79">
        <v>44</v>
      </c>
      <c r="I61" s="75" t="s">
        <v>512</v>
      </c>
      <c r="J61" s="80" t="s">
        <v>513</v>
      </c>
      <c r="K61" s="80">
        <v>44</v>
      </c>
      <c r="L61" s="81"/>
      <c r="M61" s="82">
        <v>0</v>
      </c>
      <c r="N61" s="82"/>
      <c r="O61" s="82">
        <v>0</v>
      </c>
      <c r="P61" s="82"/>
      <c r="Q61" s="82">
        <v>0</v>
      </c>
      <c r="R61" s="82"/>
      <c r="S61" s="82">
        <v>0</v>
      </c>
      <c r="T61" s="82"/>
      <c r="U61" s="82">
        <v>0</v>
      </c>
      <c r="V61" s="82"/>
      <c r="W61" s="82">
        <v>0</v>
      </c>
      <c r="X61" s="82"/>
      <c r="Y61" s="82">
        <v>27982542</v>
      </c>
      <c r="Z61" s="82"/>
      <c r="AA61" s="79">
        <v>0</v>
      </c>
      <c r="AB61" s="83"/>
      <c r="AC61" s="84"/>
      <c r="AD61" s="83">
        <v>0</v>
      </c>
      <c r="AE61" s="83"/>
      <c r="AF61" s="83">
        <v>0</v>
      </c>
      <c r="AG61" s="83"/>
      <c r="AH61" s="83">
        <v>0</v>
      </c>
      <c r="AI61" s="83"/>
      <c r="AJ61" s="83">
        <v>0</v>
      </c>
      <c r="AK61" s="83"/>
      <c r="AL61" s="83">
        <v>0</v>
      </c>
      <c r="AM61" s="83"/>
      <c r="AN61" s="83">
        <v>2267541</v>
      </c>
      <c r="AO61" s="83"/>
      <c r="AP61" s="83">
        <v>0</v>
      </c>
      <c r="AQ61" s="74"/>
      <c r="AR61" s="85"/>
      <c r="AS61" s="86"/>
      <c r="AT61" s="86"/>
      <c r="AU61" s="86"/>
      <c r="AV61" s="86"/>
      <c r="AW61" s="86"/>
      <c r="AX61" s="86"/>
      <c r="AY61" s="86"/>
      <c r="AZ61" s="86"/>
      <c r="BA61" s="86"/>
      <c r="BB61" s="86"/>
      <c r="BC61" s="86">
        <v>8.1000000000000003E-2</v>
      </c>
      <c r="BD61" s="86"/>
      <c r="BE61" s="86"/>
      <c r="BF61" s="74"/>
      <c r="BG61" s="74" t="s">
        <v>514</v>
      </c>
    </row>
    <row r="62" spans="1:59">
      <c r="A62" s="74" t="s">
        <v>631</v>
      </c>
      <c r="B62" s="74" t="s">
        <v>632</v>
      </c>
      <c r="C62" s="75" t="s">
        <v>633</v>
      </c>
      <c r="D62" s="76">
        <v>1102</v>
      </c>
      <c r="E62" s="77">
        <v>10102</v>
      </c>
      <c r="F62" s="75" t="s">
        <v>547</v>
      </c>
      <c r="G62" s="78">
        <v>924859</v>
      </c>
      <c r="H62" s="79">
        <v>43</v>
      </c>
      <c r="I62" s="75" t="s">
        <v>521</v>
      </c>
      <c r="J62" s="80" t="s">
        <v>520</v>
      </c>
      <c r="K62" s="80">
        <v>28</v>
      </c>
      <c r="L62" s="81"/>
      <c r="M62" s="82">
        <v>1678569</v>
      </c>
      <c r="N62" s="82"/>
      <c r="O62" s="82">
        <v>0</v>
      </c>
      <c r="P62" s="82"/>
      <c r="Q62" s="82">
        <v>0</v>
      </c>
      <c r="R62" s="82"/>
      <c r="S62" s="82">
        <v>0</v>
      </c>
      <c r="T62" s="82"/>
      <c r="U62" s="82">
        <v>0</v>
      </c>
      <c r="V62" s="82"/>
      <c r="W62" s="82">
        <v>0</v>
      </c>
      <c r="X62" s="82"/>
      <c r="Y62" s="82">
        <v>0</v>
      </c>
      <c r="Z62" s="82"/>
      <c r="AA62" s="79">
        <v>0</v>
      </c>
      <c r="AB62" s="83"/>
      <c r="AC62" s="84"/>
      <c r="AD62" s="83">
        <v>724004</v>
      </c>
      <c r="AE62" s="83"/>
      <c r="AF62" s="83">
        <v>0</v>
      </c>
      <c r="AG62" s="83"/>
      <c r="AH62" s="83">
        <v>0</v>
      </c>
      <c r="AI62" s="83"/>
      <c r="AJ62" s="83">
        <v>0</v>
      </c>
      <c r="AK62" s="83"/>
      <c r="AL62" s="83">
        <v>0</v>
      </c>
      <c r="AM62" s="83"/>
      <c r="AN62" s="83">
        <v>0</v>
      </c>
      <c r="AO62" s="83"/>
      <c r="AP62" s="83">
        <v>0</v>
      </c>
      <c r="AQ62" s="74"/>
      <c r="AR62" s="85"/>
      <c r="AS62" s="86">
        <v>0.43130000000000002</v>
      </c>
      <c r="AT62" s="86"/>
      <c r="AU62" s="86"/>
      <c r="AV62" s="86"/>
      <c r="AW62" s="86"/>
      <c r="AX62" s="86"/>
      <c r="AY62" s="86"/>
      <c r="AZ62" s="86"/>
      <c r="BA62" s="86"/>
      <c r="BB62" s="86"/>
      <c r="BC62" s="86"/>
      <c r="BD62" s="86"/>
      <c r="BE62" s="86"/>
      <c r="BF62" s="74"/>
      <c r="BG62" s="74" t="s">
        <v>514</v>
      </c>
    </row>
    <row r="63" spans="1:59">
      <c r="A63" s="74" t="s">
        <v>634</v>
      </c>
      <c r="B63" s="74" t="s">
        <v>635</v>
      </c>
      <c r="C63" s="75" t="s">
        <v>636</v>
      </c>
      <c r="D63" s="76">
        <v>9209</v>
      </c>
      <c r="E63" s="77">
        <v>90209</v>
      </c>
      <c r="F63" s="75" t="s">
        <v>518</v>
      </c>
      <c r="G63" s="78">
        <v>3629114</v>
      </c>
      <c r="H63" s="79">
        <v>38</v>
      </c>
      <c r="I63" s="75" t="s">
        <v>519</v>
      </c>
      <c r="J63" s="80" t="s">
        <v>520</v>
      </c>
      <c r="K63" s="80">
        <v>38</v>
      </c>
      <c r="L63" s="81"/>
      <c r="M63" s="82">
        <v>0</v>
      </c>
      <c r="N63" s="82"/>
      <c r="O63" s="82">
        <v>0</v>
      </c>
      <c r="P63" s="82"/>
      <c r="Q63" s="82">
        <v>0</v>
      </c>
      <c r="R63" s="82"/>
      <c r="S63" s="82">
        <v>0</v>
      </c>
      <c r="T63" s="82"/>
      <c r="U63" s="82">
        <v>0</v>
      </c>
      <c r="V63" s="82"/>
      <c r="W63" s="82">
        <v>0</v>
      </c>
      <c r="X63" s="82"/>
      <c r="Y63" s="82">
        <v>23474521</v>
      </c>
      <c r="Z63" s="82"/>
      <c r="AA63" s="79">
        <v>0</v>
      </c>
      <c r="AB63" s="83"/>
      <c r="AC63" s="84"/>
      <c r="AD63" s="83">
        <v>0</v>
      </c>
      <c r="AE63" s="83"/>
      <c r="AF63" s="83">
        <v>0</v>
      </c>
      <c r="AG63" s="83"/>
      <c r="AH63" s="83">
        <v>0</v>
      </c>
      <c r="AI63" s="83"/>
      <c r="AJ63" s="83">
        <v>0</v>
      </c>
      <c r="AK63" s="83"/>
      <c r="AL63" s="83">
        <v>0</v>
      </c>
      <c r="AM63" s="83"/>
      <c r="AN63" s="83">
        <v>3452467</v>
      </c>
      <c r="AO63" s="83"/>
      <c r="AP63" s="83">
        <v>0</v>
      </c>
      <c r="AQ63" s="74"/>
      <c r="AR63" s="85"/>
      <c r="AS63" s="86"/>
      <c r="AT63" s="86"/>
      <c r="AU63" s="86"/>
      <c r="AV63" s="86"/>
      <c r="AW63" s="86"/>
      <c r="AX63" s="86"/>
      <c r="AY63" s="86"/>
      <c r="AZ63" s="86"/>
      <c r="BA63" s="86"/>
      <c r="BB63" s="86"/>
      <c r="BC63" s="86">
        <v>0.14710000000000001</v>
      </c>
      <c r="BD63" s="86"/>
      <c r="BE63" s="86"/>
      <c r="BF63" s="74"/>
      <c r="BG63" s="74" t="s">
        <v>514</v>
      </c>
    </row>
    <row r="64" spans="1:59">
      <c r="A64" s="74" t="s">
        <v>637</v>
      </c>
      <c r="B64" s="74" t="s">
        <v>638</v>
      </c>
      <c r="C64" s="75" t="s">
        <v>524</v>
      </c>
      <c r="D64" s="76">
        <v>9182</v>
      </c>
      <c r="E64" s="77">
        <v>90182</v>
      </c>
      <c r="F64" s="75" t="s">
        <v>525</v>
      </c>
      <c r="G64" s="78">
        <v>370583</v>
      </c>
      <c r="H64" s="79">
        <v>35</v>
      </c>
      <c r="I64" s="75" t="s">
        <v>521</v>
      </c>
      <c r="J64" s="80" t="s">
        <v>520</v>
      </c>
      <c r="K64" s="80">
        <v>35</v>
      </c>
      <c r="L64" s="81"/>
      <c r="M64" s="82">
        <v>514210</v>
      </c>
      <c r="N64" s="82"/>
      <c r="O64" s="82">
        <v>0</v>
      </c>
      <c r="P64" s="82"/>
      <c r="Q64" s="82">
        <v>0</v>
      </c>
      <c r="R64" s="82"/>
      <c r="S64" s="82">
        <v>0</v>
      </c>
      <c r="T64" s="82"/>
      <c r="U64" s="82">
        <v>0</v>
      </c>
      <c r="V64" s="82"/>
      <c r="W64" s="82">
        <v>0</v>
      </c>
      <c r="X64" s="82"/>
      <c r="Y64" s="82">
        <v>0</v>
      </c>
      <c r="Z64" s="82"/>
      <c r="AA64" s="79">
        <v>0</v>
      </c>
      <c r="AB64" s="83"/>
      <c r="AC64" s="84"/>
      <c r="AD64" s="83">
        <v>130583</v>
      </c>
      <c r="AE64" s="83"/>
      <c r="AF64" s="83">
        <v>0</v>
      </c>
      <c r="AG64" s="83"/>
      <c r="AH64" s="83">
        <v>0</v>
      </c>
      <c r="AI64" s="83"/>
      <c r="AJ64" s="83">
        <v>0</v>
      </c>
      <c r="AK64" s="83"/>
      <c r="AL64" s="83">
        <v>0</v>
      </c>
      <c r="AM64" s="83"/>
      <c r="AN64" s="83">
        <v>0</v>
      </c>
      <c r="AO64" s="83"/>
      <c r="AP64" s="83">
        <v>0</v>
      </c>
      <c r="AQ64" s="74"/>
      <c r="AR64" s="85"/>
      <c r="AS64" s="86">
        <v>0.25390000000000001</v>
      </c>
      <c r="AT64" s="86"/>
      <c r="AU64" s="86"/>
      <c r="AV64" s="86"/>
      <c r="AW64" s="86"/>
      <c r="AX64" s="86"/>
      <c r="AY64" s="86"/>
      <c r="AZ64" s="86"/>
      <c r="BA64" s="86"/>
      <c r="BB64" s="86"/>
      <c r="BC64" s="86"/>
      <c r="BD64" s="86"/>
      <c r="BE64" s="86"/>
      <c r="BF64" s="74"/>
      <c r="BG64" s="74" t="s">
        <v>514</v>
      </c>
    </row>
    <row r="65" spans="1:59">
      <c r="A65" s="74" t="s">
        <v>639</v>
      </c>
      <c r="B65" s="74" t="s">
        <v>640</v>
      </c>
      <c r="C65" s="75" t="s">
        <v>550</v>
      </c>
      <c r="D65" s="76">
        <v>4232</v>
      </c>
      <c r="E65" s="77">
        <v>40232</v>
      </c>
      <c r="F65" s="75" t="s">
        <v>547</v>
      </c>
      <c r="G65" s="78">
        <v>1510516</v>
      </c>
      <c r="H65" s="79">
        <v>25</v>
      </c>
      <c r="I65" s="75" t="s">
        <v>521</v>
      </c>
      <c r="J65" s="80" t="s">
        <v>520</v>
      </c>
      <c r="K65" s="80">
        <v>25</v>
      </c>
      <c r="L65" s="81"/>
      <c r="M65" s="82">
        <v>810032</v>
      </c>
      <c r="N65" s="82"/>
      <c r="O65" s="82">
        <v>0</v>
      </c>
      <c r="P65" s="82"/>
      <c r="Q65" s="82">
        <v>0</v>
      </c>
      <c r="R65" s="82"/>
      <c r="S65" s="82">
        <v>0</v>
      </c>
      <c r="T65" s="82"/>
      <c r="U65" s="82">
        <v>0</v>
      </c>
      <c r="V65" s="82"/>
      <c r="W65" s="82">
        <v>0</v>
      </c>
      <c r="X65" s="82"/>
      <c r="Y65" s="82">
        <v>0</v>
      </c>
      <c r="Z65" s="82"/>
      <c r="AA65" s="79">
        <v>0</v>
      </c>
      <c r="AB65" s="83"/>
      <c r="AC65" s="84"/>
      <c r="AD65" s="83">
        <v>486222</v>
      </c>
      <c r="AE65" s="83"/>
      <c r="AF65" s="83">
        <v>0</v>
      </c>
      <c r="AG65" s="83"/>
      <c r="AH65" s="83">
        <v>0</v>
      </c>
      <c r="AI65" s="83"/>
      <c r="AJ65" s="83">
        <v>0</v>
      </c>
      <c r="AK65" s="83"/>
      <c r="AL65" s="83">
        <v>0</v>
      </c>
      <c r="AM65" s="83"/>
      <c r="AN65" s="83">
        <v>0</v>
      </c>
      <c r="AO65" s="83"/>
      <c r="AP65" s="83">
        <v>0</v>
      </c>
      <c r="AQ65" s="74"/>
      <c r="AR65" s="85"/>
      <c r="AS65" s="86">
        <v>0.60029999999999994</v>
      </c>
      <c r="AT65" s="86"/>
      <c r="AU65" s="86"/>
      <c r="AV65" s="86"/>
      <c r="AW65" s="86"/>
      <c r="AX65" s="86"/>
      <c r="AY65" s="86"/>
      <c r="AZ65" s="86"/>
      <c r="BA65" s="86"/>
      <c r="BB65" s="86"/>
      <c r="BC65" s="86"/>
      <c r="BD65" s="86"/>
      <c r="BE65" s="86"/>
      <c r="BF65" s="74"/>
      <c r="BG65" s="74" t="s">
        <v>514</v>
      </c>
    </row>
    <row r="66" spans="1:59">
      <c r="A66" s="74" t="s">
        <v>641</v>
      </c>
      <c r="B66" s="74" t="s">
        <v>568</v>
      </c>
      <c r="C66" s="75" t="s">
        <v>642</v>
      </c>
      <c r="D66" s="76">
        <v>1115</v>
      </c>
      <c r="E66" s="77">
        <v>10115</v>
      </c>
      <c r="F66" s="75" t="s">
        <v>525</v>
      </c>
      <c r="G66" s="78">
        <v>203914</v>
      </c>
      <c r="H66" s="79">
        <v>21</v>
      </c>
      <c r="I66" s="75" t="s">
        <v>521</v>
      </c>
      <c r="J66" s="80" t="s">
        <v>520</v>
      </c>
      <c r="K66" s="80">
        <v>21</v>
      </c>
      <c r="L66" s="81"/>
      <c r="M66" s="82">
        <v>628302</v>
      </c>
      <c r="N66" s="82"/>
      <c r="O66" s="82">
        <v>0</v>
      </c>
      <c r="P66" s="82"/>
      <c r="Q66" s="82">
        <v>0</v>
      </c>
      <c r="R66" s="82"/>
      <c r="S66" s="82">
        <v>0</v>
      </c>
      <c r="T66" s="82"/>
      <c r="U66" s="82">
        <v>0</v>
      </c>
      <c r="V66" s="82"/>
      <c r="W66" s="82">
        <v>0</v>
      </c>
      <c r="X66" s="82"/>
      <c r="Y66" s="82">
        <v>0</v>
      </c>
      <c r="Z66" s="82"/>
      <c r="AA66" s="79">
        <v>0</v>
      </c>
      <c r="AB66" s="83"/>
      <c r="AC66" s="84"/>
      <c r="AD66" s="83">
        <v>0</v>
      </c>
      <c r="AE66" s="83"/>
      <c r="AF66" s="83">
        <v>0</v>
      </c>
      <c r="AG66" s="83"/>
      <c r="AH66" s="83">
        <v>0</v>
      </c>
      <c r="AI66" s="83"/>
      <c r="AJ66" s="83">
        <v>0</v>
      </c>
      <c r="AK66" s="83"/>
      <c r="AL66" s="83">
        <v>0</v>
      </c>
      <c r="AM66" s="83"/>
      <c r="AN66" s="83">
        <v>0</v>
      </c>
      <c r="AO66" s="83"/>
      <c r="AP66" s="83">
        <v>0</v>
      </c>
      <c r="AQ66" s="74"/>
      <c r="AR66" s="85"/>
      <c r="AS66" s="86">
        <v>0</v>
      </c>
      <c r="AT66" s="86"/>
      <c r="AU66" s="86"/>
      <c r="AV66" s="86"/>
      <c r="AW66" s="86"/>
      <c r="AX66" s="86"/>
      <c r="AY66" s="86"/>
      <c r="AZ66" s="86"/>
      <c r="BA66" s="86"/>
      <c r="BB66" s="86"/>
      <c r="BC66" s="86"/>
      <c r="BD66" s="86"/>
      <c r="BE66" s="86"/>
      <c r="BF66" s="74"/>
      <c r="BG66" s="74" t="s">
        <v>514</v>
      </c>
    </row>
    <row r="67" spans="1:59">
      <c r="A67" s="74" t="s">
        <v>643</v>
      </c>
      <c r="B67" s="74" t="s">
        <v>644</v>
      </c>
      <c r="C67" s="75" t="s">
        <v>540</v>
      </c>
      <c r="D67" s="76">
        <v>3057</v>
      </c>
      <c r="E67" s="77">
        <v>30057</v>
      </c>
      <c r="F67" s="75" t="s">
        <v>547</v>
      </c>
      <c r="G67" s="78">
        <v>5441567</v>
      </c>
      <c r="H67" s="79">
        <v>20</v>
      </c>
      <c r="I67" s="75" t="s">
        <v>521</v>
      </c>
      <c r="J67" s="80" t="s">
        <v>520</v>
      </c>
      <c r="K67" s="80">
        <v>20</v>
      </c>
      <c r="L67" s="81"/>
      <c r="M67" s="82">
        <v>0</v>
      </c>
      <c r="N67" s="82"/>
      <c r="O67" s="82">
        <v>0</v>
      </c>
      <c r="P67" s="82"/>
      <c r="Q67" s="82">
        <v>0</v>
      </c>
      <c r="R67" s="82"/>
      <c r="S67" s="82">
        <v>0</v>
      </c>
      <c r="T67" s="82"/>
      <c r="U67" s="82">
        <v>0</v>
      </c>
      <c r="V67" s="82"/>
      <c r="W67" s="82">
        <v>0</v>
      </c>
      <c r="X67" s="82"/>
      <c r="Y67" s="82">
        <v>27325354</v>
      </c>
      <c r="Z67" s="82"/>
      <c r="AA67" s="79">
        <v>0</v>
      </c>
      <c r="AB67" s="83"/>
      <c r="AC67" s="84"/>
      <c r="AD67" s="83">
        <v>0</v>
      </c>
      <c r="AE67" s="83"/>
      <c r="AF67" s="83">
        <v>0</v>
      </c>
      <c r="AG67" s="83"/>
      <c r="AH67" s="83">
        <v>0</v>
      </c>
      <c r="AI67" s="83"/>
      <c r="AJ67" s="83">
        <v>0</v>
      </c>
      <c r="AK67" s="83"/>
      <c r="AL67" s="83">
        <v>0</v>
      </c>
      <c r="AM67" s="83"/>
      <c r="AN67" s="83">
        <v>0</v>
      </c>
      <c r="AO67" s="83"/>
      <c r="AP67" s="83">
        <v>0</v>
      </c>
      <c r="AQ67" s="74"/>
      <c r="AR67" s="85"/>
      <c r="AS67" s="86"/>
      <c r="AT67" s="86"/>
      <c r="AU67" s="86"/>
      <c r="AV67" s="86"/>
      <c r="AW67" s="86"/>
      <c r="AX67" s="86"/>
      <c r="AY67" s="86"/>
      <c r="AZ67" s="86"/>
      <c r="BA67" s="86"/>
      <c r="BB67" s="86"/>
      <c r="BC67" s="86">
        <v>0</v>
      </c>
      <c r="BD67" s="86"/>
      <c r="BE67" s="86"/>
      <c r="BF67" s="74"/>
      <c r="BG67" s="74" t="s">
        <v>514</v>
      </c>
    </row>
    <row r="68" spans="1:59">
      <c r="A68" s="74" t="s">
        <v>645</v>
      </c>
      <c r="B68" s="74" t="s">
        <v>646</v>
      </c>
      <c r="C68" s="75" t="s">
        <v>524</v>
      </c>
      <c r="D68" s="76"/>
      <c r="E68" s="77">
        <v>90299</v>
      </c>
      <c r="F68" s="75" t="s">
        <v>525</v>
      </c>
      <c r="G68" s="78">
        <v>308231</v>
      </c>
      <c r="H68" s="79">
        <v>12</v>
      </c>
      <c r="I68" s="75" t="s">
        <v>521</v>
      </c>
      <c r="J68" s="80" t="s">
        <v>513</v>
      </c>
      <c r="K68" s="80">
        <v>12</v>
      </c>
      <c r="L68" s="81"/>
      <c r="M68" s="82">
        <v>286520</v>
      </c>
      <c r="N68" s="82"/>
      <c r="O68" s="82">
        <v>0</v>
      </c>
      <c r="P68" s="82"/>
      <c r="Q68" s="82">
        <v>0</v>
      </c>
      <c r="R68" s="82"/>
      <c r="S68" s="82">
        <v>0</v>
      </c>
      <c r="T68" s="82"/>
      <c r="U68" s="82">
        <v>0</v>
      </c>
      <c r="V68" s="82"/>
      <c r="W68" s="82">
        <v>0</v>
      </c>
      <c r="X68" s="82"/>
      <c r="Y68" s="82">
        <v>0</v>
      </c>
      <c r="Z68" s="82"/>
      <c r="AA68" s="79">
        <v>0</v>
      </c>
      <c r="AB68" s="83"/>
      <c r="AC68" s="84"/>
      <c r="AD68" s="83">
        <v>931897</v>
      </c>
      <c r="AE68" s="83"/>
      <c r="AF68" s="83">
        <v>0</v>
      </c>
      <c r="AG68" s="83"/>
      <c r="AH68" s="83">
        <v>0</v>
      </c>
      <c r="AI68" s="83"/>
      <c r="AJ68" s="83">
        <v>0</v>
      </c>
      <c r="AK68" s="83"/>
      <c r="AL68" s="83">
        <v>0</v>
      </c>
      <c r="AM68" s="83"/>
      <c r="AN68" s="83">
        <v>0</v>
      </c>
      <c r="AO68" s="83"/>
      <c r="AP68" s="83">
        <v>0</v>
      </c>
      <c r="AQ68" s="74"/>
      <c r="AR68" s="85"/>
      <c r="AS68" s="86">
        <v>3.2524999999999999</v>
      </c>
      <c r="AT68" s="86"/>
      <c r="AU68" s="86"/>
      <c r="AV68" s="86"/>
      <c r="AW68" s="86"/>
      <c r="AX68" s="86"/>
      <c r="AY68" s="86"/>
      <c r="AZ68" s="86"/>
      <c r="BA68" s="86"/>
      <c r="BB68" s="86"/>
      <c r="BC68" s="86"/>
      <c r="BD68" s="86"/>
      <c r="BE68" s="86"/>
      <c r="BF68" s="74"/>
      <c r="BG68" s="74" t="s">
        <v>514</v>
      </c>
    </row>
    <row r="70" spans="1:59">
      <c r="M70" s="4">
        <f>SUM(M1:M68)</f>
        <v>104995073</v>
      </c>
      <c r="N70" s="4">
        <f t="shared" ref="N70:AB70" si="0">SUM(N1:N68)</f>
        <v>0</v>
      </c>
      <c r="O70" s="4">
        <f t="shared" si="0"/>
        <v>0</v>
      </c>
      <c r="P70" s="4">
        <f t="shared" si="0"/>
        <v>0</v>
      </c>
      <c r="Q70" s="4">
        <f t="shared" si="0"/>
        <v>0</v>
      </c>
      <c r="R70" s="4">
        <f t="shared" si="0"/>
        <v>0</v>
      </c>
      <c r="S70" s="4">
        <f t="shared" si="0"/>
        <v>0</v>
      </c>
      <c r="T70" s="4">
        <f t="shared" si="0"/>
        <v>0</v>
      </c>
      <c r="U70" s="4">
        <f t="shared" si="0"/>
        <v>792273</v>
      </c>
      <c r="V70" s="4">
        <f t="shared" si="0"/>
        <v>0</v>
      </c>
      <c r="W70" s="4">
        <f t="shared" si="0"/>
        <v>0</v>
      </c>
      <c r="X70" s="4">
        <f t="shared" si="0"/>
        <v>0</v>
      </c>
      <c r="Y70" s="4">
        <f t="shared" si="0"/>
        <v>6030683824</v>
      </c>
      <c r="Z70" s="4">
        <f t="shared" si="0"/>
        <v>0</v>
      </c>
      <c r="AA70" s="4">
        <f t="shared" si="0"/>
        <v>0</v>
      </c>
      <c r="AB70" s="4">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C45B1-B468-4B77-AA6F-E945FB3DE421}">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693</v>
      </c>
      <c r="C2" s="4">
        <v>138700</v>
      </c>
    </row>
    <row r="3" spans="2:22">
      <c r="B3" s="1" t="s">
        <v>694</v>
      </c>
      <c r="C3">
        <v>3412.14</v>
      </c>
      <c r="H3" s="37"/>
    </row>
    <row r="4" spans="2:22">
      <c r="B4" s="1" t="s">
        <v>466</v>
      </c>
      <c r="C4" s="87" t="s">
        <v>695</v>
      </c>
      <c r="D4" s="87" t="s">
        <v>512</v>
      </c>
      <c r="E4" s="87" t="s">
        <v>521</v>
      </c>
      <c r="F4" s="87" t="s">
        <v>519</v>
      </c>
    </row>
    <row r="5" spans="2:22">
      <c r="B5" s="1"/>
      <c r="C5" s="1"/>
      <c r="D5" s="1"/>
      <c r="E5" s="1"/>
      <c r="F5" s="1"/>
    </row>
    <row r="6" spans="2:22">
      <c r="B6" s="1"/>
      <c r="C6" s="1"/>
      <c r="D6" s="1"/>
      <c r="E6" s="88" t="s">
        <v>696</v>
      </c>
      <c r="F6" s="88"/>
      <c r="G6" s="89"/>
      <c r="H6" s="89"/>
      <c r="I6" s="89"/>
      <c r="J6" s="89"/>
      <c r="K6" s="89"/>
      <c r="L6" s="89"/>
      <c r="M6" s="89"/>
      <c r="N6" s="89"/>
      <c r="O6" s="89"/>
      <c r="P6" s="90" t="s">
        <v>697</v>
      </c>
      <c r="Q6" s="91"/>
      <c r="R6" s="91"/>
      <c r="S6" s="91"/>
      <c r="T6" s="91"/>
      <c r="U6" s="91"/>
      <c r="V6" s="91"/>
    </row>
    <row r="7" spans="2:22">
      <c r="G7" s="92"/>
      <c r="H7" s="1" t="s">
        <v>665</v>
      </c>
      <c r="I7" s="1"/>
      <c r="J7" s="1"/>
      <c r="K7" s="1"/>
      <c r="N7" s="1"/>
      <c r="O7" s="1"/>
    </row>
    <row r="8" spans="2:22">
      <c r="B8" s="93" t="s">
        <v>459</v>
      </c>
      <c r="C8" s="93" t="s">
        <v>459</v>
      </c>
      <c r="D8" s="1" t="s">
        <v>698</v>
      </c>
      <c r="E8" s="1" t="s">
        <v>470</v>
      </c>
      <c r="F8" s="1" t="s">
        <v>480</v>
      </c>
      <c r="G8" s="1" t="s">
        <v>502</v>
      </c>
      <c r="H8" s="1" t="s">
        <v>297</v>
      </c>
      <c r="I8" s="1" t="s">
        <v>673</v>
      </c>
      <c r="J8" s="1" t="s">
        <v>699</v>
      </c>
      <c r="K8" s="1" t="s">
        <v>700</v>
      </c>
      <c r="L8" s="94" t="s">
        <v>701</v>
      </c>
      <c r="M8" s="94" t="s">
        <v>702</v>
      </c>
      <c r="N8" s="94" t="s">
        <v>703</v>
      </c>
      <c r="O8" s="94" t="s">
        <v>704</v>
      </c>
      <c r="P8" s="1" t="s">
        <v>649</v>
      </c>
      <c r="Q8" s="1" t="s">
        <v>657</v>
      </c>
      <c r="R8" s="1" t="s">
        <v>661</v>
      </c>
      <c r="S8" s="1" t="s">
        <v>705</v>
      </c>
      <c r="T8" s="1" t="s">
        <v>706</v>
      </c>
      <c r="U8" s="94" t="s">
        <v>707</v>
      </c>
      <c r="V8" s="94" t="s">
        <v>708</v>
      </c>
    </row>
    <row r="9" spans="2:22">
      <c r="B9" s="95" t="s">
        <v>709</v>
      </c>
      <c r="C9" s="95" t="s">
        <v>710</v>
      </c>
      <c r="D9" t="s">
        <v>711</v>
      </c>
      <c r="E9">
        <f>SUMIFS('Annual Service Data_rail only'!N:N,'Annual Service Data_rail only'!C:C,C9)</f>
        <v>0</v>
      </c>
      <c r="F9" s="92">
        <f>SUMIFS('Annual Service Data_rail only'!X:X,'Annual Service Data_rail only'!C:C,C9)</f>
        <v>0</v>
      </c>
      <c r="G9" s="92">
        <f>SUMIFS('Annual Service Data_rail only'!AT:AT,'Annual Service Data_rail only'!C:C,C9)</f>
        <v>0</v>
      </c>
      <c r="H9">
        <f>SUMIFS('Fuel and Energy_rail only'!AD:AD,'Fuel and Energy_rail only'!C:C,C9)</f>
        <v>0</v>
      </c>
      <c r="I9">
        <f>SUMIFS('Fuel and Energy_rail only'!AN:AN,'Fuel and Energy_rail only'!C:C,C9)</f>
        <v>0</v>
      </c>
      <c r="J9" s="37">
        <f>IFERROR(H9/SUM($H9:$I9),0)</f>
        <v>0</v>
      </c>
      <c r="K9" s="37">
        <f>IFERROR(I9/SUM($H9:$I9),0)</f>
        <v>0</v>
      </c>
      <c r="L9" s="96">
        <f t="shared" ref="L9:L40" si="0">IFERROR(G9/F9,0)</f>
        <v>0</v>
      </c>
      <c r="M9" s="97">
        <f t="shared" ref="M9:M40" si="1">IFERROR(F9/E9,0)</f>
        <v>0</v>
      </c>
      <c r="N9" s="97">
        <f>E9*J9</f>
        <v>0</v>
      </c>
      <c r="O9" s="97">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98">
        <f>IFERROR(($L9*$M9*N9)/S9,0)</f>
        <v>0</v>
      </c>
      <c r="V9" s="98">
        <f>IFERROR(($L9*$M9*O9)/T9,0)</f>
        <v>0</v>
      </c>
    </row>
    <row r="10" spans="2:22">
      <c r="B10" s="95" t="s">
        <v>712</v>
      </c>
      <c r="C10" s="95" t="s">
        <v>713</v>
      </c>
      <c r="D10" t="s">
        <v>714</v>
      </c>
      <c r="E10">
        <f>SUMIFS('Annual Service Data_rail only'!N:N,'Annual Service Data_rail only'!C:C,C10)</f>
        <v>0</v>
      </c>
      <c r="F10" s="92">
        <f>SUMIFS('Annual Service Data_rail only'!X:X,'Annual Service Data_rail only'!C:C,C10)</f>
        <v>0</v>
      </c>
      <c r="G10" s="92">
        <f>SUMIFS('Annual Service Data_rail only'!AT:AT,'Annual Service Data_rail only'!C:C,C10)</f>
        <v>0</v>
      </c>
      <c r="H10">
        <f>SUMIFS('Fuel and Energy_rail only'!AD:AD,'Fuel and Energy_rail only'!C:C,C10)</f>
        <v>0</v>
      </c>
      <c r="I10">
        <f>SUMIFS('Fuel and Energy_rail only'!AN:AN,'Fuel and Energy_rail only'!C:C,C10)</f>
        <v>0</v>
      </c>
      <c r="J10" s="37">
        <f t="shared" ref="J10:K59" si="2">IFERROR(H10/SUM($H10:$I10),0)</f>
        <v>0</v>
      </c>
      <c r="K10" s="37">
        <f t="shared" si="2"/>
        <v>0</v>
      </c>
      <c r="L10" s="96">
        <f t="shared" si="0"/>
        <v>0</v>
      </c>
      <c r="M10" s="97">
        <f t="shared" si="1"/>
        <v>0</v>
      </c>
      <c r="N10" s="97">
        <f t="shared" ref="N10:N59" si="3">E10*J10</f>
        <v>0</v>
      </c>
      <c r="O10" s="97">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98">
        <f t="shared" ref="U10:V59" si="7">IFERROR(($L10*$M10*N10)/S10,0)</f>
        <v>0</v>
      </c>
      <c r="V10" s="98">
        <f t="shared" si="7"/>
        <v>0</v>
      </c>
    </row>
    <row r="11" spans="2:22">
      <c r="B11" s="95" t="s">
        <v>715</v>
      </c>
      <c r="C11" s="95" t="s">
        <v>636</v>
      </c>
      <c r="D11" t="s">
        <v>716</v>
      </c>
      <c r="E11">
        <f>SUMIFS('Annual Service Data_rail only'!N:N,'Annual Service Data_rail only'!C:C,C11)</f>
        <v>17</v>
      </c>
      <c r="F11" s="92">
        <f>SUMIFS('Annual Service Data_rail only'!X:X,'Annual Service Data_rail only'!C:C,C11)</f>
        <v>3435184</v>
      </c>
      <c r="G11" s="92">
        <f>SUMIFS('Annual Service Data_rail only'!AT:AT,'Annual Service Data_rail only'!C:C,C11)</f>
        <v>90553779</v>
      </c>
      <c r="H11">
        <f>SUMIFS('Fuel and Energy_rail only'!AD:AD,'Fuel and Energy_rail only'!C:C,C11)</f>
        <v>0</v>
      </c>
      <c r="I11">
        <f>SUMIFS('Fuel and Energy_rail only'!AN:AN,'Fuel and Energy_rail only'!C:C,C11)</f>
        <v>3452467</v>
      </c>
      <c r="J11" s="37">
        <f t="shared" si="2"/>
        <v>0</v>
      </c>
      <c r="K11" s="37">
        <f t="shared" si="2"/>
        <v>1</v>
      </c>
      <c r="L11" s="96">
        <f t="shared" si="0"/>
        <v>26.360677914196152</v>
      </c>
      <c r="M11" s="97">
        <f t="shared" si="1"/>
        <v>202069.64705882352</v>
      </c>
      <c r="N11" s="97">
        <f t="shared" si="3"/>
        <v>0</v>
      </c>
      <c r="O11" s="97">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98">
        <f t="shared" si="7"/>
        <v>0</v>
      </c>
      <c r="V11" s="98">
        <f t="shared" si="7"/>
        <v>1.1305323598164989E-3</v>
      </c>
    </row>
    <row r="12" spans="2:22">
      <c r="B12" s="95" t="s">
        <v>717</v>
      </c>
      <c r="C12" s="95" t="s">
        <v>718</v>
      </c>
      <c r="D12" t="s">
        <v>719</v>
      </c>
      <c r="E12">
        <f>SUMIFS('Annual Service Data_rail only'!N:N,'Annual Service Data_rail only'!C:C,C12)</f>
        <v>0</v>
      </c>
      <c r="F12" s="92">
        <f>SUMIFS('Annual Service Data_rail only'!X:X,'Annual Service Data_rail only'!C:C,C12)</f>
        <v>0</v>
      </c>
      <c r="G12" s="92">
        <f>SUMIFS('Annual Service Data_rail only'!AT:AT,'Annual Service Data_rail only'!C:C,C12)</f>
        <v>0</v>
      </c>
      <c r="H12">
        <f>SUMIFS('Fuel and Energy_rail only'!AD:AD,'Fuel and Energy_rail only'!C:C,C12)</f>
        <v>0</v>
      </c>
      <c r="I12">
        <f>SUMIFS('Fuel and Energy_rail only'!AN:AN,'Fuel and Energy_rail only'!C:C,C12)</f>
        <v>0</v>
      </c>
      <c r="J12" s="37">
        <f t="shared" si="2"/>
        <v>0</v>
      </c>
      <c r="K12" s="37">
        <f t="shared" si="2"/>
        <v>0</v>
      </c>
      <c r="L12" s="96">
        <f t="shared" si="0"/>
        <v>0</v>
      </c>
      <c r="M12" s="97">
        <f t="shared" si="1"/>
        <v>0</v>
      </c>
      <c r="N12" s="97">
        <f t="shared" si="3"/>
        <v>0</v>
      </c>
      <c r="O12" s="97">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98">
        <f t="shared" si="7"/>
        <v>0</v>
      </c>
      <c r="V12" s="98">
        <f t="shared" si="7"/>
        <v>0</v>
      </c>
    </row>
    <row r="13" spans="2:22">
      <c r="B13" s="95" t="s">
        <v>720</v>
      </c>
      <c r="C13" s="95" t="s">
        <v>524</v>
      </c>
      <c r="D13" t="s">
        <v>721</v>
      </c>
      <c r="E13">
        <f>SUMIFS('Annual Service Data_rail only'!N:N,'Annual Service Data_rail only'!C:C,C13)</f>
        <v>441</v>
      </c>
      <c r="F13" s="92">
        <f>SUMIFS('Annual Service Data_rail only'!X:X,'Annual Service Data_rail only'!C:C,C13)</f>
        <v>139399021</v>
      </c>
      <c r="G13" s="92">
        <f>SUMIFS('Annual Service Data_rail only'!AT:AT,'Annual Service Data_rail only'!C:C,C13)</f>
        <v>2812423160</v>
      </c>
      <c r="H13">
        <f>SUMIFS('Fuel and Energy_rail only'!AD:AD,'Fuel and Energy_rail only'!C:C,C13)</f>
        <v>5034854</v>
      </c>
      <c r="I13">
        <f>SUMIFS('Fuel and Energy_rail only'!AN:AN,'Fuel and Energy_rail only'!C:C,C13)</f>
        <v>106204511</v>
      </c>
      <c r="J13" s="37">
        <f t="shared" si="2"/>
        <v>4.5261441397116929E-2</v>
      </c>
      <c r="K13" s="37">
        <f t="shared" si="2"/>
        <v>0.95473855860288304</v>
      </c>
      <c r="L13" s="96">
        <f t="shared" si="0"/>
        <v>20.175343699149796</v>
      </c>
      <c r="M13" s="97">
        <f t="shared" si="1"/>
        <v>316097.55328798183</v>
      </c>
      <c r="N13" s="97">
        <f t="shared" si="3"/>
        <v>19.960295656128565</v>
      </c>
      <c r="O13" s="97">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98">
        <f t="shared" si="7"/>
        <v>6.7154146282034786E-5</v>
      </c>
      <c r="V13" s="98">
        <f t="shared" si="7"/>
        <v>1.154764766486198E-3</v>
      </c>
    </row>
    <row r="14" spans="2:22">
      <c r="B14" s="95" t="s">
        <v>722</v>
      </c>
      <c r="C14" s="95" t="s">
        <v>554</v>
      </c>
      <c r="D14" t="s">
        <v>723</v>
      </c>
      <c r="E14">
        <f>SUMIFS('Annual Service Data_rail only'!N:N,'Annual Service Data_rail only'!C:C,C14)</f>
        <v>56</v>
      </c>
      <c r="F14" s="92">
        <f>SUMIFS('Annual Service Data_rail only'!X:X,'Annual Service Data_rail only'!C:C,C14)</f>
        <v>15749288</v>
      </c>
      <c r="G14" s="92">
        <f>SUMIFS('Annual Service Data_rail only'!AT:AT,'Annual Service Data_rail only'!C:C,C14)</f>
        <v>129461494</v>
      </c>
      <c r="H14">
        <f>SUMIFS('Fuel and Energy_rail only'!AD:AD,'Fuel and Energy_rail only'!C:C,C14)</f>
        <v>0</v>
      </c>
      <c r="I14">
        <f>SUMIFS('Fuel and Energy_rail only'!AN:AN,'Fuel and Energy_rail only'!C:C,C14)</f>
        <v>15639401</v>
      </c>
      <c r="J14" s="37">
        <f t="shared" si="2"/>
        <v>0</v>
      </c>
      <c r="K14" s="37">
        <f t="shared" si="2"/>
        <v>1</v>
      </c>
      <c r="L14" s="96">
        <f t="shared" si="0"/>
        <v>8.2201489997516077</v>
      </c>
      <c r="M14" s="97">
        <f t="shared" si="1"/>
        <v>281237.28571428574</v>
      </c>
      <c r="N14" s="97">
        <f t="shared" si="3"/>
        <v>0</v>
      </c>
      <c r="O14" s="97">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98">
        <f t="shared" si="7"/>
        <v>0</v>
      </c>
      <c r="V14" s="98">
        <f t="shared" si="7"/>
        <v>3.739221761641906E-4</v>
      </c>
    </row>
    <row r="15" spans="2:22">
      <c r="B15" s="95" t="s">
        <v>724</v>
      </c>
      <c r="C15" s="95" t="s">
        <v>633</v>
      </c>
      <c r="D15" t="s">
        <v>725</v>
      </c>
      <c r="E15">
        <f>SUMIFS('Annual Service Data_rail only'!N:N,'Annual Service Data_rail only'!C:C,C15)</f>
        <v>5</v>
      </c>
      <c r="F15" s="92">
        <f>SUMIFS('Annual Service Data_rail only'!X:X,'Annual Service Data_rail only'!C:C,C15)</f>
        <v>1717047</v>
      </c>
      <c r="G15" s="92">
        <f>SUMIFS('Annual Service Data_rail only'!AT:AT,'Annual Service Data_rail only'!C:C,C15)</f>
        <v>12884750</v>
      </c>
      <c r="H15">
        <f>SUMIFS('Fuel and Energy_rail only'!AD:AD,'Fuel and Energy_rail only'!C:C,C15)</f>
        <v>724004</v>
      </c>
      <c r="I15">
        <f>SUMIFS('Fuel and Energy_rail only'!AN:AN,'Fuel and Energy_rail only'!C:C,C15)</f>
        <v>0</v>
      </c>
      <c r="J15" s="37">
        <f t="shared" si="2"/>
        <v>1</v>
      </c>
      <c r="K15" s="37">
        <f t="shared" si="2"/>
        <v>0</v>
      </c>
      <c r="L15" s="96">
        <f t="shared" si="0"/>
        <v>7.5040170711692804</v>
      </c>
      <c r="M15" s="97">
        <f t="shared" si="1"/>
        <v>343409.4</v>
      </c>
      <c r="N15" s="97">
        <f t="shared" si="3"/>
        <v>5</v>
      </c>
      <c r="O15" s="97">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98">
        <f t="shared" si="7"/>
        <v>5.5342699223826415E-5</v>
      </c>
      <c r="V15" s="98">
        <f t="shared" si="7"/>
        <v>0</v>
      </c>
    </row>
    <row r="16" spans="2:22">
      <c r="B16" s="95" t="s">
        <v>726</v>
      </c>
      <c r="C16" s="95" t="s">
        <v>727</v>
      </c>
      <c r="D16" t="s">
        <v>728</v>
      </c>
      <c r="E16">
        <f>SUMIFS('Annual Service Data_rail only'!N:N,'Annual Service Data_rail only'!C:C,C16)</f>
        <v>0</v>
      </c>
      <c r="F16" s="92">
        <f>SUMIFS('Annual Service Data_rail only'!X:X,'Annual Service Data_rail only'!C:C,C16)</f>
        <v>0</v>
      </c>
      <c r="G16" s="92">
        <f>SUMIFS('Annual Service Data_rail only'!AT:AT,'Annual Service Data_rail only'!C:C,C16)</f>
        <v>0</v>
      </c>
      <c r="H16">
        <f>SUMIFS('Fuel and Energy_rail only'!AD:AD,'Fuel and Energy_rail only'!C:C,C16)</f>
        <v>0</v>
      </c>
      <c r="I16">
        <f>SUMIFS('Fuel and Energy_rail only'!AN:AN,'Fuel and Energy_rail only'!C:C,C16)</f>
        <v>0</v>
      </c>
      <c r="J16" s="37">
        <f t="shared" si="2"/>
        <v>0</v>
      </c>
      <c r="K16" s="37">
        <f t="shared" si="2"/>
        <v>0</v>
      </c>
      <c r="L16" s="96">
        <f t="shared" si="0"/>
        <v>0</v>
      </c>
      <c r="M16" s="97">
        <f t="shared" si="1"/>
        <v>0</v>
      </c>
      <c r="N16" s="97">
        <f t="shared" si="3"/>
        <v>0</v>
      </c>
      <c r="O16" s="97">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98">
        <f t="shared" si="7"/>
        <v>0</v>
      </c>
      <c r="V16" s="98">
        <f t="shared" si="7"/>
        <v>0</v>
      </c>
    </row>
    <row r="17" spans="2:22">
      <c r="B17" s="95" t="s">
        <v>528</v>
      </c>
      <c r="C17" s="95" t="s">
        <v>528</v>
      </c>
      <c r="D17" t="s">
        <v>729</v>
      </c>
      <c r="E17">
        <f>SUMIFS('Annual Service Data_rail only'!N:N,'Annual Service Data_rail only'!C:C,C17)</f>
        <v>129</v>
      </c>
      <c r="F17" s="92">
        <f>SUMIFS('Annual Service Data_rail only'!X:X,'Annual Service Data_rail only'!C:C,C17)</f>
        <v>82234530</v>
      </c>
      <c r="G17" s="92">
        <f>SUMIFS('Annual Service Data_rail only'!AT:AT,'Annual Service Data_rail only'!C:C,C17)</f>
        <v>985922295</v>
      </c>
      <c r="H17">
        <f>SUMIFS('Fuel and Energy_rail only'!AD:AD,'Fuel and Energy_rail only'!C:C,C17)</f>
        <v>0</v>
      </c>
      <c r="I17">
        <f>SUMIFS('Fuel and Energy_rail only'!AN:AN,'Fuel and Energy_rail only'!C:C,C17)</f>
        <v>64920984</v>
      </c>
      <c r="J17" s="37">
        <f t="shared" si="2"/>
        <v>0</v>
      </c>
      <c r="K17" s="37">
        <f t="shared" si="2"/>
        <v>1</v>
      </c>
      <c r="L17" s="96">
        <f t="shared" si="0"/>
        <v>11.9891521846115</v>
      </c>
      <c r="M17" s="97">
        <f t="shared" si="1"/>
        <v>637476.97674418602</v>
      </c>
      <c r="N17" s="97">
        <f t="shared" si="3"/>
        <v>0</v>
      </c>
      <c r="O17" s="97">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98">
        <f t="shared" si="7"/>
        <v>0</v>
      </c>
      <c r="V17" s="98">
        <f t="shared" si="7"/>
        <v>5.0124498137887213E-4</v>
      </c>
    </row>
    <row r="18" spans="2:22">
      <c r="B18" s="95" t="s">
        <v>730</v>
      </c>
      <c r="C18" s="95" t="s">
        <v>550</v>
      </c>
      <c r="D18" t="s">
        <v>731</v>
      </c>
      <c r="E18">
        <f>SUMIFS('Annual Service Data_rail only'!N:N,'Annual Service Data_rail only'!C:C,C18)</f>
        <v>35</v>
      </c>
      <c r="F18" s="92">
        <f>SUMIFS('Annual Service Data_rail only'!X:X,'Annual Service Data_rail only'!C:C,C18)</f>
        <v>11964512</v>
      </c>
      <c r="G18" s="92">
        <f>SUMIFS('Annual Service Data_rail only'!AT:AT,'Annual Service Data_rail only'!C:C,C18)</f>
        <v>203966246</v>
      </c>
      <c r="H18">
        <f>SUMIFS('Fuel and Energy_rail only'!AD:AD,'Fuel and Energy_rail only'!C:C,C18)</f>
        <v>1504489</v>
      </c>
      <c r="I18">
        <f>SUMIFS('Fuel and Energy_rail only'!AN:AN,'Fuel and Energy_rail only'!C:C,C18)</f>
        <v>559892</v>
      </c>
      <c r="J18" s="37">
        <f t="shared" si="2"/>
        <v>0.72878456060194319</v>
      </c>
      <c r="K18" s="37">
        <f t="shared" si="2"/>
        <v>0.27121543939805687</v>
      </c>
      <c r="L18" s="96">
        <f t="shared" si="0"/>
        <v>17.047602610118993</v>
      </c>
      <c r="M18" s="97">
        <f t="shared" si="1"/>
        <v>341843.20000000001</v>
      </c>
      <c r="N18" s="97">
        <f t="shared" si="3"/>
        <v>25.507459621068012</v>
      </c>
      <c r="O18" s="97">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98">
        <f t="shared" si="7"/>
        <v>2.9376125125377459E-4</v>
      </c>
      <c r="V18" s="98">
        <f t="shared" si="7"/>
        <v>2.421406192511685E-4</v>
      </c>
    </row>
    <row r="19" spans="2:22">
      <c r="B19" s="95" t="s">
        <v>732</v>
      </c>
      <c r="C19" s="95" t="s">
        <v>572</v>
      </c>
      <c r="D19" t="s">
        <v>733</v>
      </c>
      <c r="E19">
        <f>SUMIFS('Annual Service Data_rail only'!N:N,'Annual Service Data_rail only'!C:C,C19)</f>
        <v>39</v>
      </c>
      <c r="F19" s="92">
        <f>SUMIFS('Annual Service Data_rail only'!X:X,'Annual Service Data_rail only'!C:C,C19)</f>
        <v>21145309</v>
      </c>
      <c r="G19" s="92">
        <f>SUMIFS('Annual Service Data_rail only'!AT:AT,'Annual Service Data_rail only'!C:C,C19)</f>
        <v>329631085</v>
      </c>
      <c r="H19">
        <f>SUMIFS('Fuel and Energy_rail only'!AD:AD,'Fuel and Energy_rail only'!C:C,C19)</f>
        <v>0</v>
      </c>
      <c r="I19">
        <f>SUMIFS('Fuel and Energy_rail only'!AN:AN,'Fuel and Energy_rail only'!C:C,C19)</f>
        <v>19692749</v>
      </c>
      <c r="J19" s="37">
        <f t="shared" si="2"/>
        <v>0</v>
      </c>
      <c r="K19" s="37">
        <f t="shared" si="2"/>
        <v>1</v>
      </c>
      <c r="L19" s="96">
        <f t="shared" si="0"/>
        <v>15.588851645535186</v>
      </c>
      <c r="M19" s="97">
        <f t="shared" si="1"/>
        <v>542187.41025641025</v>
      </c>
      <c r="N19" s="97">
        <f t="shared" si="3"/>
        <v>0</v>
      </c>
      <c r="O19" s="97">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98">
        <f t="shared" si="7"/>
        <v>0</v>
      </c>
      <c r="V19" s="98">
        <f t="shared" si="7"/>
        <v>1.1560307342071744E-3</v>
      </c>
    </row>
    <row r="20" spans="2:22">
      <c r="B20" s="95" t="s">
        <v>734</v>
      </c>
      <c r="C20" s="95" t="s">
        <v>735</v>
      </c>
      <c r="D20" t="s">
        <v>736</v>
      </c>
      <c r="E20">
        <f>SUMIFS('Annual Service Data_rail only'!N:N,'Annual Service Data_rail only'!C:C,C20)</f>
        <v>0</v>
      </c>
      <c r="F20" s="92">
        <f>SUMIFS('Annual Service Data_rail only'!X:X,'Annual Service Data_rail only'!C:C,C20)</f>
        <v>0</v>
      </c>
      <c r="G20" s="92">
        <f>SUMIFS('Annual Service Data_rail only'!AT:AT,'Annual Service Data_rail only'!C:C,C20)</f>
        <v>0</v>
      </c>
      <c r="H20">
        <f>SUMIFS('Fuel and Energy_rail only'!AD:AD,'Fuel and Energy_rail only'!C:C,C20)</f>
        <v>0</v>
      </c>
      <c r="I20">
        <f>SUMIFS('Fuel and Energy_rail only'!AN:AN,'Fuel and Energy_rail only'!C:C,C20)</f>
        <v>0</v>
      </c>
      <c r="J20" s="37">
        <f t="shared" si="2"/>
        <v>0</v>
      </c>
      <c r="K20" s="37">
        <f t="shared" si="2"/>
        <v>0</v>
      </c>
      <c r="L20" s="96">
        <f t="shared" si="0"/>
        <v>0</v>
      </c>
      <c r="M20" s="97">
        <f t="shared" si="1"/>
        <v>0</v>
      </c>
      <c r="N20" s="97">
        <f t="shared" si="3"/>
        <v>0</v>
      </c>
      <c r="O20" s="97">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98">
        <f t="shared" si="7"/>
        <v>0</v>
      </c>
      <c r="V20" s="98">
        <f t="shared" si="7"/>
        <v>0</v>
      </c>
    </row>
    <row r="21" spans="2:22">
      <c r="B21" s="95" t="s">
        <v>737</v>
      </c>
      <c r="C21" s="95" t="s">
        <v>738</v>
      </c>
      <c r="D21" t="s">
        <v>739</v>
      </c>
      <c r="E21">
        <f>SUMIFS('Annual Service Data_rail only'!N:N,'Annual Service Data_rail only'!C:C,C21)</f>
        <v>0</v>
      </c>
      <c r="F21" s="92">
        <f>SUMIFS('Annual Service Data_rail only'!X:X,'Annual Service Data_rail only'!C:C,C21)</f>
        <v>0</v>
      </c>
      <c r="G21" s="92">
        <f>SUMIFS('Annual Service Data_rail only'!AT:AT,'Annual Service Data_rail only'!C:C,C21)</f>
        <v>0</v>
      </c>
      <c r="H21">
        <f>SUMIFS('Fuel and Energy_rail only'!AD:AD,'Fuel and Energy_rail only'!C:C,C21)</f>
        <v>0</v>
      </c>
      <c r="I21">
        <f>SUMIFS('Fuel and Energy_rail only'!AN:AN,'Fuel and Energy_rail only'!C:C,C21)</f>
        <v>0</v>
      </c>
      <c r="J21" s="37">
        <f t="shared" si="2"/>
        <v>0</v>
      </c>
      <c r="K21" s="37">
        <f t="shared" si="2"/>
        <v>0</v>
      </c>
      <c r="L21" s="96">
        <f t="shared" si="0"/>
        <v>0</v>
      </c>
      <c r="M21" s="97">
        <f t="shared" si="1"/>
        <v>0</v>
      </c>
      <c r="N21" s="97">
        <f t="shared" si="3"/>
        <v>0</v>
      </c>
      <c r="O21" s="97">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98">
        <f t="shared" si="7"/>
        <v>0</v>
      </c>
      <c r="V21" s="98">
        <f t="shared" si="7"/>
        <v>0</v>
      </c>
    </row>
    <row r="22" spans="2:22">
      <c r="B22" s="95" t="s">
        <v>740</v>
      </c>
      <c r="C22" s="95" t="s">
        <v>531</v>
      </c>
      <c r="D22" t="s">
        <v>741</v>
      </c>
      <c r="E22">
        <f>SUMIFS('Annual Service Data_rail only'!N:N,'Annual Service Data_rail only'!C:C,C22)</f>
        <v>251</v>
      </c>
      <c r="F22" s="92">
        <f>SUMIFS('Annual Service Data_rail only'!X:X,'Annual Service Data_rail only'!C:C,C22)</f>
        <v>102408279</v>
      </c>
      <c r="G22" s="92">
        <f>SUMIFS('Annual Service Data_rail only'!AT:AT,'Annual Service Data_rail only'!C:C,C22)</f>
        <v>839546950</v>
      </c>
      <c r="H22">
        <f>SUMIFS('Fuel and Energy_rail only'!AD:AD,'Fuel and Energy_rail only'!C:C,C22)</f>
        <v>5202961</v>
      </c>
      <c r="I22">
        <f>SUMIFS('Fuel and Energy_rail only'!AN:AN,'Fuel and Energy_rail only'!C:C,C22)</f>
        <v>66917044</v>
      </c>
      <c r="J22" s="37">
        <f t="shared" si="2"/>
        <v>7.2143103706107617E-2</v>
      </c>
      <c r="K22" s="37">
        <f t="shared" si="2"/>
        <v>0.92785689629389234</v>
      </c>
      <c r="L22" s="96">
        <f t="shared" si="0"/>
        <v>8.1980378754338794</v>
      </c>
      <c r="M22" s="97">
        <f t="shared" si="1"/>
        <v>408001.11155378487</v>
      </c>
      <c r="N22" s="97">
        <f t="shared" si="3"/>
        <v>18.107919030233013</v>
      </c>
      <c r="O22" s="97">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98">
        <f t="shared" si="7"/>
        <v>1.2062956097990302E-5</v>
      </c>
      <c r="V22" s="98">
        <f t="shared" si="7"/>
        <v>5.399532412949464E-4</v>
      </c>
    </row>
    <row r="23" spans="2:22">
      <c r="B23" s="95" t="s">
        <v>742</v>
      </c>
      <c r="C23" s="95" t="s">
        <v>617</v>
      </c>
      <c r="D23" t="s">
        <v>743</v>
      </c>
      <c r="E23">
        <f>SUMIFS('Annual Service Data_rail only'!N:N,'Annual Service Data_rail only'!C:C,C23)</f>
        <v>17</v>
      </c>
      <c r="F23" s="92">
        <f>SUMIFS('Annual Service Data_rail only'!X:X,'Annual Service Data_rail only'!C:C,C23)</f>
        <v>3988838</v>
      </c>
      <c r="G23" s="92">
        <f>SUMIFS('Annual Service Data_rail only'!AT:AT,'Annual Service Data_rail only'!C:C,C23)</f>
        <v>32836617</v>
      </c>
      <c r="H23">
        <f>SUMIFS('Fuel and Energy_rail only'!AD:AD,'Fuel and Energy_rail only'!C:C,C23)</f>
        <v>0</v>
      </c>
      <c r="I23">
        <f>SUMIFS('Fuel and Energy_rail only'!AN:AN,'Fuel and Energy_rail only'!C:C,C23)</f>
        <v>3510093</v>
      </c>
      <c r="J23" s="37">
        <f t="shared" si="2"/>
        <v>0</v>
      </c>
      <c r="K23" s="37">
        <f t="shared" si="2"/>
        <v>1</v>
      </c>
      <c r="L23" s="96">
        <f t="shared" si="0"/>
        <v>8.2321259975962917</v>
      </c>
      <c r="M23" s="97">
        <f t="shared" si="1"/>
        <v>234637.5294117647</v>
      </c>
      <c r="N23" s="97">
        <f t="shared" si="3"/>
        <v>0</v>
      </c>
      <c r="O23" s="97">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98">
        <f t="shared" si="7"/>
        <v>0</v>
      </c>
      <c r="V23" s="98">
        <f t="shared" si="7"/>
        <v>5.2998497031797435E-4</v>
      </c>
    </row>
    <row r="24" spans="2:22">
      <c r="B24" s="95" t="s">
        <v>744</v>
      </c>
      <c r="C24" s="95" t="s">
        <v>745</v>
      </c>
      <c r="D24" t="s">
        <v>746</v>
      </c>
      <c r="E24">
        <f>SUMIFS('Annual Service Data_rail only'!N:N,'Annual Service Data_rail only'!C:C,C24)</f>
        <v>0</v>
      </c>
      <c r="F24" s="92">
        <f>SUMIFS('Annual Service Data_rail only'!X:X,'Annual Service Data_rail only'!C:C,C24)</f>
        <v>0</v>
      </c>
      <c r="G24" s="92">
        <f>SUMIFS('Annual Service Data_rail only'!AT:AT,'Annual Service Data_rail only'!C:C,C24)</f>
        <v>0</v>
      </c>
      <c r="H24">
        <f>SUMIFS('Fuel and Energy_rail only'!AD:AD,'Fuel and Energy_rail only'!C:C,C24)</f>
        <v>0</v>
      </c>
      <c r="I24">
        <f>SUMIFS('Fuel and Energy_rail only'!AN:AN,'Fuel and Energy_rail only'!C:C,C24)</f>
        <v>0</v>
      </c>
      <c r="J24" s="37">
        <f t="shared" si="2"/>
        <v>0</v>
      </c>
      <c r="K24" s="37">
        <f t="shared" si="2"/>
        <v>0</v>
      </c>
      <c r="L24" s="96">
        <f t="shared" si="0"/>
        <v>0</v>
      </c>
      <c r="M24" s="97">
        <f t="shared" si="1"/>
        <v>0</v>
      </c>
      <c r="N24" s="97">
        <f t="shared" si="3"/>
        <v>0</v>
      </c>
      <c r="O24" s="97">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98">
        <f t="shared" si="7"/>
        <v>0</v>
      </c>
      <c r="V24" s="98">
        <f t="shared" si="7"/>
        <v>0</v>
      </c>
    </row>
    <row r="25" spans="2:22">
      <c r="B25" s="95" t="s">
        <v>747</v>
      </c>
      <c r="C25" s="95" t="s">
        <v>748</v>
      </c>
      <c r="D25" t="s">
        <v>749</v>
      </c>
      <c r="E25">
        <f>SUMIFS('Annual Service Data_rail only'!N:N,'Annual Service Data_rail only'!C:C,C25)</f>
        <v>0</v>
      </c>
      <c r="F25" s="92">
        <f>SUMIFS('Annual Service Data_rail only'!X:X,'Annual Service Data_rail only'!C:C,C25)</f>
        <v>0</v>
      </c>
      <c r="G25" s="92">
        <f>SUMIFS('Annual Service Data_rail only'!AT:AT,'Annual Service Data_rail only'!C:C,C25)</f>
        <v>0</v>
      </c>
      <c r="H25">
        <f>SUMIFS('Fuel and Energy_rail only'!AD:AD,'Fuel and Energy_rail only'!C:C,C25)</f>
        <v>0</v>
      </c>
      <c r="I25">
        <f>SUMIFS('Fuel and Energy_rail only'!AN:AN,'Fuel and Energy_rail only'!C:C,C25)</f>
        <v>0</v>
      </c>
      <c r="J25" s="37">
        <f t="shared" si="2"/>
        <v>0</v>
      </c>
      <c r="K25" s="37">
        <f t="shared" si="2"/>
        <v>0</v>
      </c>
      <c r="L25" s="96">
        <f t="shared" si="0"/>
        <v>0</v>
      </c>
      <c r="M25" s="97">
        <f t="shared" si="1"/>
        <v>0</v>
      </c>
      <c r="N25" s="97">
        <f t="shared" si="3"/>
        <v>0</v>
      </c>
      <c r="O25" s="97">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98">
        <f t="shared" si="7"/>
        <v>0</v>
      </c>
      <c r="V25" s="98">
        <f t="shared" si="7"/>
        <v>0</v>
      </c>
    </row>
    <row r="26" spans="2:22">
      <c r="B26" s="95" t="s">
        <v>750</v>
      </c>
      <c r="C26" s="95" t="s">
        <v>751</v>
      </c>
      <c r="D26" t="s">
        <v>752</v>
      </c>
      <c r="E26">
        <f>SUMIFS('Annual Service Data_rail only'!N:N,'Annual Service Data_rail only'!C:C,C26)</f>
        <v>0</v>
      </c>
      <c r="F26" s="92">
        <f>SUMIFS('Annual Service Data_rail only'!X:X,'Annual Service Data_rail only'!C:C,C26)</f>
        <v>0</v>
      </c>
      <c r="G26" s="92">
        <f>SUMIFS('Annual Service Data_rail only'!AT:AT,'Annual Service Data_rail only'!C:C,C26)</f>
        <v>0</v>
      </c>
      <c r="H26">
        <f>SUMIFS('Fuel and Energy_rail only'!AD:AD,'Fuel and Energy_rail only'!C:C,C26)</f>
        <v>0</v>
      </c>
      <c r="I26">
        <f>SUMIFS('Fuel and Energy_rail only'!AN:AN,'Fuel and Energy_rail only'!C:C,C26)</f>
        <v>0</v>
      </c>
      <c r="J26" s="37">
        <f t="shared" si="2"/>
        <v>0</v>
      </c>
      <c r="K26" s="37">
        <f t="shared" si="2"/>
        <v>0</v>
      </c>
      <c r="L26" s="96">
        <f t="shared" si="0"/>
        <v>0</v>
      </c>
      <c r="M26" s="97">
        <f t="shared" si="1"/>
        <v>0</v>
      </c>
      <c r="N26" s="97">
        <f t="shared" si="3"/>
        <v>0</v>
      </c>
      <c r="O26" s="97">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98">
        <f t="shared" si="7"/>
        <v>0</v>
      </c>
      <c r="V26" s="98">
        <f t="shared" si="7"/>
        <v>0</v>
      </c>
    </row>
    <row r="27" spans="2:22">
      <c r="B27" s="95" t="s">
        <v>753</v>
      </c>
      <c r="C27" s="95" t="s">
        <v>754</v>
      </c>
      <c r="D27" t="s">
        <v>755</v>
      </c>
      <c r="E27">
        <f>SUMIFS('Annual Service Data_rail only'!N:N,'Annual Service Data_rail only'!C:C,C27)</f>
        <v>0</v>
      </c>
      <c r="F27" s="92">
        <f>SUMIFS('Annual Service Data_rail only'!X:X,'Annual Service Data_rail only'!C:C,C27)</f>
        <v>0</v>
      </c>
      <c r="G27" s="92">
        <f>SUMIFS('Annual Service Data_rail only'!AT:AT,'Annual Service Data_rail only'!C:C,C27)</f>
        <v>0</v>
      </c>
      <c r="H27">
        <f>SUMIFS('Fuel and Energy_rail only'!AD:AD,'Fuel and Energy_rail only'!C:C,C27)</f>
        <v>0</v>
      </c>
      <c r="I27">
        <f>SUMIFS('Fuel and Energy_rail only'!AN:AN,'Fuel and Energy_rail only'!C:C,C27)</f>
        <v>0</v>
      </c>
      <c r="J27" s="37">
        <f t="shared" si="2"/>
        <v>0</v>
      </c>
      <c r="K27" s="37">
        <f t="shared" si="2"/>
        <v>0</v>
      </c>
      <c r="L27" s="96">
        <f t="shared" si="0"/>
        <v>0</v>
      </c>
      <c r="M27" s="97">
        <f t="shared" si="1"/>
        <v>0</v>
      </c>
      <c r="N27" s="97">
        <f t="shared" si="3"/>
        <v>0</v>
      </c>
      <c r="O27" s="97">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98">
        <f t="shared" si="7"/>
        <v>0</v>
      </c>
      <c r="V27" s="98">
        <f t="shared" si="7"/>
        <v>0</v>
      </c>
    </row>
    <row r="28" spans="2:22">
      <c r="B28" s="95" t="s">
        <v>756</v>
      </c>
      <c r="C28" s="95" t="s">
        <v>642</v>
      </c>
      <c r="D28" t="s">
        <v>757</v>
      </c>
      <c r="E28">
        <f>SUMIFS('Annual Service Data_rail only'!N:N,'Annual Service Data_rail only'!C:C,C28)</f>
        <v>3</v>
      </c>
      <c r="F28" s="92">
        <f>SUMIFS('Annual Service Data_rail only'!X:X,'Annual Service Data_rail only'!C:C,C28)</f>
        <v>1974842</v>
      </c>
      <c r="G28" s="92">
        <f>SUMIFS('Annual Service Data_rail only'!AT:AT,'Annual Service Data_rail only'!C:C,C28)</f>
        <v>33416609</v>
      </c>
      <c r="H28">
        <f>SUMIFS('Fuel and Energy_rail only'!AD:AD,'Fuel and Energy_rail only'!C:C,C28)</f>
        <v>0</v>
      </c>
      <c r="I28">
        <f>SUMIFS('Fuel and Energy_rail only'!AN:AN,'Fuel and Energy_rail only'!C:C,C28)</f>
        <v>0</v>
      </c>
      <c r="J28" s="37">
        <f t="shared" si="2"/>
        <v>0</v>
      </c>
      <c r="K28" s="37">
        <f t="shared" si="2"/>
        <v>0</v>
      </c>
      <c r="L28" s="96">
        <f t="shared" si="0"/>
        <v>16.921155717773878</v>
      </c>
      <c r="M28" s="97">
        <f t="shared" si="1"/>
        <v>658280.66666666663</v>
      </c>
      <c r="N28" s="97">
        <f t="shared" si="3"/>
        <v>0</v>
      </c>
      <c r="O28" s="97">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98">
        <f t="shared" si="7"/>
        <v>0</v>
      </c>
      <c r="V28" s="98">
        <f t="shared" si="7"/>
        <v>0</v>
      </c>
    </row>
    <row r="29" spans="2:22">
      <c r="B29" s="95" t="s">
        <v>758</v>
      </c>
      <c r="C29" s="95" t="s">
        <v>546</v>
      </c>
      <c r="D29" t="s">
        <v>759</v>
      </c>
      <c r="E29">
        <f>SUMIFS('Annual Service Data_rail only'!N:N,'Annual Service Data_rail only'!C:C,C29)</f>
        <v>55</v>
      </c>
      <c r="F29" s="92">
        <f>SUMIFS('Annual Service Data_rail only'!X:X,'Annual Service Data_rail only'!C:C,C29)</f>
        <v>13332723</v>
      </c>
      <c r="G29" s="92">
        <f>SUMIFS('Annual Service Data_rail only'!AT:AT,'Annual Service Data_rail only'!C:C,C29)</f>
        <v>252169120</v>
      </c>
      <c r="H29">
        <f>SUMIFS('Fuel and Energy_rail only'!AD:AD,'Fuel and Energy_rail only'!C:C,C29)</f>
        <v>764117</v>
      </c>
      <c r="I29">
        <f>SUMIFS('Fuel and Energy_rail only'!AN:AN,'Fuel and Energy_rail only'!C:C,C29)</f>
        <v>2843642</v>
      </c>
      <c r="J29" s="37">
        <f t="shared" si="2"/>
        <v>0.21179823818608726</v>
      </c>
      <c r="K29" s="37">
        <f t="shared" si="2"/>
        <v>0.78820176181391277</v>
      </c>
      <c r="L29" s="96">
        <f t="shared" si="0"/>
        <v>18.913549767740619</v>
      </c>
      <c r="M29" s="97">
        <f t="shared" si="1"/>
        <v>242413.14545454545</v>
      </c>
      <c r="N29" s="97">
        <f t="shared" si="3"/>
        <v>11.648903100234799</v>
      </c>
      <c r="O29" s="97">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98">
        <f t="shared" si="7"/>
        <v>1.0380030837067924E-4</v>
      </c>
      <c r="V29" s="98">
        <f t="shared" si="7"/>
        <v>6.3854094703637049E-4</v>
      </c>
    </row>
    <row r="30" spans="2:22">
      <c r="B30" s="95" t="s">
        <v>760</v>
      </c>
      <c r="C30" s="95" t="s">
        <v>536</v>
      </c>
      <c r="D30" t="s">
        <v>761</v>
      </c>
      <c r="E30">
        <f>SUMIFS('Annual Service Data_rail only'!N:N,'Annual Service Data_rail only'!C:C,C30)</f>
        <v>209</v>
      </c>
      <c r="F30" s="92">
        <f>SUMIFS('Annual Service Data_rail only'!X:X,'Annual Service Data_rail only'!C:C,C30)</f>
        <v>50817429</v>
      </c>
      <c r="G30" s="92">
        <f>SUMIFS('Annual Service Data_rail only'!AT:AT,'Annual Service Data_rail only'!C:C,C30)</f>
        <v>1018614837</v>
      </c>
      <c r="H30">
        <f>SUMIFS('Fuel and Energy_rail only'!AD:AD,'Fuel and Energy_rail only'!C:C,C30)</f>
        <v>4339139</v>
      </c>
      <c r="I30">
        <f>SUMIFS('Fuel and Energy_rail only'!AN:AN,'Fuel and Energy_rail only'!C:C,C30)</f>
        <v>27601749</v>
      </c>
      <c r="J30" s="37">
        <f t="shared" si="2"/>
        <v>0.13584904089078551</v>
      </c>
      <c r="K30" s="37">
        <f t="shared" si="2"/>
        <v>0.86415095910921447</v>
      </c>
      <c r="L30" s="96">
        <f t="shared" si="0"/>
        <v>20.044596057781671</v>
      </c>
      <c r="M30" s="97">
        <f t="shared" si="1"/>
        <v>243145.59330143541</v>
      </c>
      <c r="N30" s="97">
        <f t="shared" si="3"/>
        <v>28.39244954617417</v>
      </c>
      <c r="O30" s="97">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98">
        <f t="shared" si="7"/>
        <v>7.4670943155140035E-5</v>
      </c>
      <c r="V30" s="98">
        <f t="shared" si="7"/>
        <v>1.1454726331202542E-3</v>
      </c>
    </row>
    <row r="31" spans="2:22">
      <c r="B31" s="95" t="s">
        <v>762</v>
      </c>
      <c r="C31" s="95" t="s">
        <v>763</v>
      </c>
      <c r="D31" t="s">
        <v>764</v>
      </c>
      <c r="E31">
        <f>SUMIFS('Annual Service Data_rail only'!N:N,'Annual Service Data_rail only'!C:C,C31)</f>
        <v>0</v>
      </c>
      <c r="F31" s="92">
        <f>SUMIFS('Annual Service Data_rail only'!X:X,'Annual Service Data_rail only'!C:C,C31)</f>
        <v>0</v>
      </c>
      <c r="G31" s="92">
        <f>SUMIFS('Annual Service Data_rail only'!AT:AT,'Annual Service Data_rail only'!C:C,C31)</f>
        <v>0</v>
      </c>
      <c r="H31">
        <f>SUMIFS('Fuel and Energy_rail only'!AD:AD,'Fuel and Energy_rail only'!C:C,C31)</f>
        <v>0</v>
      </c>
      <c r="I31">
        <f>SUMIFS('Fuel and Energy_rail only'!AN:AN,'Fuel and Energy_rail only'!C:C,C31)</f>
        <v>0</v>
      </c>
      <c r="J31" s="37">
        <f t="shared" si="2"/>
        <v>0</v>
      </c>
      <c r="K31" s="37">
        <f t="shared" si="2"/>
        <v>0</v>
      </c>
      <c r="L31" s="96">
        <f t="shared" si="0"/>
        <v>0</v>
      </c>
      <c r="M31" s="97">
        <f t="shared" si="1"/>
        <v>0</v>
      </c>
      <c r="N31" s="97">
        <f t="shared" si="3"/>
        <v>0</v>
      </c>
      <c r="O31" s="97">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98">
        <f t="shared" si="7"/>
        <v>0</v>
      </c>
      <c r="V31" s="98">
        <f t="shared" si="7"/>
        <v>0</v>
      </c>
    </row>
    <row r="32" spans="2:22">
      <c r="B32" s="95" t="s">
        <v>765</v>
      </c>
      <c r="C32" s="95" t="s">
        <v>579</v>
      </c>
      <c r="D32" t="s">
        <v>766</v>
      </c>
      <c r="E32">
        <f>SUMIFS('Annual Service Data_rail only'!N:N,'Annual Service Data_rail only'!C:C,C32)</f>
        <v>27</v>
      </c>
      <c r="F32" s="92">
        <f>SUMIFS('Annual Service Data_rail only'!X:X,'Annual Service Data_rail only'!C:C,C32)</f>
        <v>4386285</v>
      </c>
      <c r="G32" s="92">
        <f>SUMIFS('Annual Service Data_rail only'!AT:AT,'Annual Service Data_rail only'!C:C,C32)</f>
        <v>44505006</v>
      </c>
      <c r="H32">
        <f>SUMIFS('Fuel and Energy_rail only'!AD:AD,'Fuel and Energy_rail only'!C:C,C32)</f>
        <v>63438</v>
      </c>
      <c r="I32">
        <f>SUMIFS('Fuel and Energy_rail only'!AN:AN,'Fuel and Energy_rail only'!C:C,C32)</f>
        <v>4153269</v>
      </c>
      <c r="J32" s="37">
        <f t="shared" si="2"/>
        <v>1.5044441076887722E-2</v>
      </c>
      <c r="K32" s="37">
        <f t="shared" si="2"/>
        <v>0.98495555892311226</v>
      </c>
      <c r="L32" s="96">
        <f t="shared" si="0"/>
        <v>10.14640088366351</v>
      </c>
      <c r="M32" s="97">
        <f t="shared" si="1"/>
        <v>162455</v>
      </c>
      <c r="N32" s="97">
        <f t="shared" si="3"/>
        <v>0.40619990907596848</v>
      </c>
      <c r="O32" s="97">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98">
        <f t="shared" si="7"/>
        <v>2.2580907296686373E-5</v>
      </c>
      <c r="V32" s="98">
        <f t="shared" si="7"/>
        <v>4.030826293059302E-4</v>
      </c>
    </row>
    <row r="33" spans="2:22">
      <c r="B33" s="95" t="s">
        <v>767</v>
      </c>
      <c r="C33" s="95" t="s">
        <v>768</v>
      </c>
      <c r="D33" t="s">
        <v>769</v>
      </c>
      <c r="E33">
        <f>SUMIFS('Annual Service Data_rail only'!N:N,'Annual Service Data_rail only'!C:C,C33)</f>
        <v>0</v>
      </c>
      <c r="F33" s="92">
        <f>SUMIFS('Annual Service Data_rail only'!X:X,'Annual Service Data_rail only'!C:C,C33)</f>
        <v>0</v>
      </c>
      <c r="G33" s="92">
        <f>SUMIFS('Annual Service Data_rail only'!AT:AT,'Annual Service Data_rail only'!C:C,C33)</f>
        <v>0</v>
      </c>
      <c r="H33">
        <f>SUMIFS('Fuel and Energy_rail only'!AD:AD,'Fuel and Energy_rail only'!C:C,C33)</f>
        <v>0</v>
      </c>
      <c r="I33">
        <f>SUMIFS('Fuel and Energy_rail only'!AN:AN,'Fuel and Energy_rail only'!C:C,C33)</f>
        <v>0</v>
      </c>
      <c r="J33" s="37">
        <f t="shared" si="2"/>
        <v>0</v>
      </c>
      <c r="K33" s="37">
        <f t="shared" si="2"/>
        <v>0</v>
      </c>
      <c r="L33" s="96">
        <f t="shared" si="0"/>
        <v>0</v>
      </c>
      <c r="M33" s="97">
        <f t="shared" si="1"/>
        <v>0</v>
      </c>
      <c r="N33" s="97">
        <f t="shared" si="3"/>
        <v>0</v>
      </c>
      <c r="O33" s="97">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98">
        <f t="shared" si="7"/>
        <v>0</v>
      </c>
      <c r="V33" s="98">
        <f t="shared" si="7"/>
        <v>0</v>
      </c>
    </row>
    <row r="34" spans="2:22">
      <c r="B34" s="95" t="s">
        <v>770</v>
      </c>
      <c r="C34" s="95" t="s">
        <v>586</v>
      </c>
      <c r="D34" t="s">
        <v>771</v>
      </c>
      <c r="E34">
        <f>SUMIFS('Annual Service Data_rail only'!N:N,'Annual Service Data_rail only'!C:C,C34)</f>
        <v>25</v>
      </c>
      <c r="F34" s="92">
        <f>SUMIFS('Annual Service Data_rail only'!X:X,'Annual Service Data_rail only'!C:C,C34)</f>
        <v>5905439</v>
      </c>
      <c r="G34" s="92">
        <f>SUMIFS('Annual Service Data_rail only'!AT:AT,'Annual Service Data_rail only'!C:C,C34)</f>
        <v>70933375</v>
      </c>
      <c r="H34">
        <f>SUMIFS('Fuel and Energy_rail only'!AD:AD,'Fuel and Energy_rail only'!C:C,C34)</f>
        <v>0</v>
      </c>
      <c r="I34">
        <f>SUMIFS('Fuel and Energy_rail only'!AN:AN,'Fuel and Energy_rail only'!C:C,C34)</f>
        <v>5934378</v>
      </c>
      <c r="J34" s="37">
        <f t="shared" si="2"/>
        <v>0</v>
      </c>
      <c r="K34" s="37">
        <f t="shared" si="2"/>
        <v>1</v>
      </c>
      <c r="L34" s="96">
        <f t="shared" si="0"/>
        <v>12.011532927526641</v>
      </c>
      <c r="M34" s="97">
        <f t="shared" si="1"/>
        <v>236217.56</v>
      </c>
      <c r="N34" s="97">
        <f t="shared" si="3"/>
        <v>0</v>
      </c>
      <c r="O34" s="97">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98">
        <f t="shared" si="7"/>
        <v>0</v>
      </c>
      <c r="V34" s="98">
        <f t="shared" si="7"/>
        <v>5.6960888234114198E-4</v>
      </c>
    </row>
    <row r="35" spans="2:22">
      <c r="B35" s="95" t="s">
        <v>772</v>
      </c>
      <c r="C35" s="95" t="s">
        <v>773</v>
      </c>
      <c r="D35" t="s">
        <v>774</v>
      </c>
      <c r="E35">
        <f>SUMIFS('Annual Service Data_rail only'!N:N,'Annual Service Data_rail only'!C:C,C35)</f>
        <v>0</v>
      </c>
      <c r="F35" s="92">
        <f>SUMIFS('Annual Service Data_rail only'!X:X,'Annual Service Data_rail only'!C:C,C35)</f>
        <v>0</v>
      </c>
      <c r="G35" s="92">
        <f>SUMIFS('Annual Service Data_rail only'!AT:AT,'Annual Service Data_rail only'!C:C,C35)</f>
        <v>0</v>
      </c>
      <c r="H35">
        <f>SUMIFS('Fuel and Energy_rail only'!AD:AD,'Fuel and Energy_rail only'!C:C,C35)</f>
        <v>0</v>
      </c>
      <c r="I35">
        <f>SUMIFS('Fuel and Energy_rail only'!AN:AN,'Fuel and Energy_rail only'!C:C,C35)</f>
        <v>0</v>
      </c>
      <c r="J35" s="37">
        <f t="shared" si="2"/>
        <v>0</v>
      </c>
      <c r="K35" s="37">
        <f t="shared" si="2"/>
        <v>0</v>
      </c>
      <c r="L35" s="96">
        <f t="shared" si="0"/>
        <v>0</v>
      </c>
      <c r="M35" s="97">
        <f t="shared" si="1"/>
        <v>0</v>
      </c>
      <c r="N35" s="97">
        <f t="shared" si="3"/>
        <v>0</v>
      </c>
      <c r="O35" s="97">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98">
        <f t="shared" si="7"/>
        <v>0</v>
      </c>
      <c r="V35" s="98">
        <f t="shared" si="7"/>
        <v>0</v>
      </c>
    </row>
    <row r="36" spans="2:22">
      <c r="B36" s="95" t="s">
        <v>775</v>
      </c>
      <c r="C36" s="95" t="s">
        <v>776</v>
      </c>
      <c r="D36" t="s">
        <v>777</v>
      </c>
      <c r="E36">
        <f>SUMIFS('Annual Service Data_rail only'!N:N,'Annual Service Data_rail only'!C:C,C36)</f>
        <v>0</v>
      </c>
      <c r="F36" s="92">
        <f>SUMIFS('Annual Service Data_rail only'!X:X,'Annual Service Data_rail only'!C:C,C36)</f>
        <v>0</v>
      </c>
      <c r="G36" s="92">
        <f>SUMIFS('Annual Service Data_rail only'!AT:AT,'Annual Service Data_rail only'!C:C,C36)</f>
        <v>0</v>
      </c>
      <c r="H36">
        <f>SUMIFS('Fuel and Energy_rail only'!AD:AD,'Fuel and Energy_rail only'!C:C,C36)</f>
        <v>0</v>
      </c>
      <c r="I36">
        <f>SUMIFS('Fuel and Energy_rail only'!AN:AN,'Fuel and Energy_rail only'!C:C,C36)</f>
        <v>0</v>
      </c>
      <c r="J36" s="37">
        <f t="shared" si="2"/>
        <v>0</v>
      </c>
      <c r="K36" s="37">
        <f t="shared" si="2"/>
        <v>0</v>
      </c>
      <c r="L36" s="96">
        <f t="shared" si="0"/>
        <v>0</v>
      </c>
      <c r="M36" s="97">
        <f t="shared" si="1"/>
        <v>0</v>
      </c>
      <c r="N36" s="97">
        <f t="shared" si="3"/>
        <v>0</v>
      </c>
      <c r="O36" s="97">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98">
        <f t="shared" si="7"/>
        <v>0</v>
      </c>
      <c r="V36" s="98">
        <f t="shared" si="7"/>
        <v>0</v>
      </c>
    </row>
    <row r="37" spans="2:22">
      <c r="B37" s="95" t="s">
        <v>778</v>
      </c>
      <c r="C37" s="95" t="s">
        <v>779</v>
      </c>
      <c r="D37" t="s">
        <v>780</v>
      </c>
      <c r="E37">
        <f>SUMIFS('Annual Service Data_rail only'!N:N,'Annual Service Data_rail only'!C:C,C37)</f>
        <v>0</v>
      </c>
      <c r="F37" s="92">
        <f>SUMIFS('Annual Service Data_rail only'!X:X,'Annual Service Data_rail only'!C:C,C37)</f>
        <v>0</v>
      </c>
      <c r="G37" s="92">
        <f>SUMIFS('Annual Service Data_rail only'!AT:AT,'Annual Service Data_rail only'!C:C,C37)</f>
        <v>0</v>
      </c>
      <c r="H37">
        <f>SUMIFS('Fuel and Energy_rail only'!AD:AD,'Fuel and Energy_rail only'!C:C,C37)</f>
        <v>0</v>
      </c>
      <c r="I37">
        <f>SUMIFS('Fuel and Energy_rail only'!AN:AN,'Fuel and Energy_rail only'!C:C,C37)</f>
        <v>0</v>
      </c>
      <c r="J37" s="37">
        <f t="shared" si="2"/>
        <v>0</v>
      </c>
      <c r="K37" s="37">
        <f t="shared" si="2"/>
        <v>0</v>
      </c>
      <c r="L37" s="96">
        <f t="shared" si="0"/>
        <v>0</v>
      </c>
      <c r="M37" s="97">
        <f t="shared" si="1"/>
        <v>0</v>
      </c>
      <c r="N37" s="97">
        <f t="shared" si="3"/>
        <v>0</v>
      </c>
      <c r="O37" s="97">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98">
        <f t="shared" si="7"/>
        <v>0</v>
      </c>
      <c r="V37" s="98">
        <f t="shared" si="7"/>
        <v>0</v>
      </c>
    </row>
    <row r="38" spans="2:22">
      <c r="B38" s="95" t="s">
        <v>781</v>
      </c>
      <c r="C38" s="95" t="s">
        <v>782</v>
      </c>
      <c r="D38" t="s">
        <v>783</v>
      </c>
      <c r="E38">
        <f>SUMIFS('Annual Service Data_rail only'!N:N,'Annual Service Data_rail only'!C:C,C38)</f>
        <v>0</v>
      </c>
      <c r="F38" s="92">
        <f>SUMIFS('Annual Service Data_rail only'!X:X,'Annual Service Data_rail only'!C:C,C38)</f>
        <v>0</v>
      </c>
      <c r="G38" s="92">
        <f>SUMIFS('Annual Service Data_rail only'!AT:AT,'Annual Service Data_rail only'!C:C,C38)</f>
        <v>0</v>
      </c>
      <c r="H38">
        <f>SUMIFS('Fuel and Energy_rail only'!AD:AD,'Fuel and Energy_rail only'!C:C,C38)</f>
        <v>0</v>
      </c>
      <c r="I38">
        <f>SUMIFS('Fuel and Energy_rail only'!AN:AN,'Fuel and Energy_rail only'!C:C,C38)</f>
        <v>0</v>
      </c>
      <c r="J38" s="37">
        <f t="shared" si="2"/>
        <v>0</v>
      </c>
      <c r="K38" s="37">
        <f t="shared" si="2"/>
        <v>0</v>
      </c>
      <c r="L38" s="96">
        <f t="shared" si="0"/>
        <v>0</v>
      </c>
      <c r="M38" s="97">
        <f t="shared" si="1"/>
        <v>0</v>
      </c>
      <c r="N38" s="97">
        <f t="shared" si="3"/>
        <v>0</v>
      </c>
      <c r="O38" s="97">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98">
        <f t="shared" si="7"/>
        <v>0</v>
      </c>
      <c r="V38" s="98">
        <f t="shared" si="7"/>
        <v>0</v>
      </c>
    </row>
    <row r="39" spans="2:22">
      <c r="B39" s="95" t="s">
        <v>784</v>
      </c>
      <c r="C39" s="95" t="s">
        <v>517</v>
      </c>
      <c r="D39" t="s">
        <v>785</v>
      </c>
      <c r="E39">
        <f>SUMIFS('Annual Service Data_rail only'!N:N,'Annual Service Data_rail only'!C:C,C39)</f>
        <v>184</v>
      </c>
      <c r="F39" s="92">
        <f>SUMIFS('Annual Service Data_rail only'!X:X,'Annual Service Data_rail only'!C:C,C39)</f>
        <v>77331686</v>
      </c>
      <c r="G39" s="92">
        <f>SUMIFS('Annual Service Data_rail only'!AT:AT,'Annual Service Data_rail only'!C:C,C39)</f>
        <v>1699013683</v>
      </c>
      <c r="H39">
        <f>SUMIFS('Fuel and Energy_rail only'!AD:AD,'Fuel and Energy_rail only'!C:C,C39)</f>
        <v>2485889</v>
      </c>
      <c r="I39">
        <f>SUMIFS('Fuel and Energy_rail only'!AN:AN,'Fuel and Energy_rail only'!C:C,C39)</f>
        <v>28864827</v>
      </c>
      <c r="J39" s="37">
        <f t="shared" si="2"/>
        <v>7.9292893980475593E-2</v>
      </c>
      <c r="K39" s="37">
        <f t="shared" si="2"/>
        <v>0.92070710601952443</v>
      </c>
      <c r="L39" s="96">
        <f t="shared" si="0"/>
        <v>21.97047253049675</v>
      </c>
      <c r="M39" s="97">
        <f t="shared" si="1"/>
        <v>420280.90217391303</v>
      </c>
      <c r="N39" s="97">
        <f t="shared" si="3"/>
        <v>14.589892492407509</v>
      </c>
      <c r="O39" s="97">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98">
        <f t="shared" si="7"/>
        <v>7.3770398705306041E-5</v>
      </c>
      <c r="V39" s="98">
        <f t="shared" si="7"/>
        <v>8.8285725032966977E-4</v>
      </c>
    </row>
    <row r="40" spans="2:22">
      <c r="B40" s="95" t="s">
        <v>786</v>
      </c>
      <c r="C40" s="95" t="s">
        <v>622</v>
      </c>
      <c r="D40" t="s">
        <v>787</v>
      </c>
      <c r="E40">
        <f>SUMIFS('Annual Service Data_rail only'!N:N,'Annual Service Data_rail only'!C:C,C40)</f>
        <v>7</v>
      </c>
      <c r="F40" s="92">
        <f>SUMIFS('Annual Service Data_rail only'!X:X,'Annual Service Data_rail only'!C:C,C40)</f>
        <v>965030</v>
      </c>
      <c r="G40" s="92">
        <f>SUMIFS('Annual Service Data_rail only'!AT:AT,'Annual Service Data_rail only'!C:C,C40)</f>
        <v>24052625</v>
      </c>
      <c r="H40">
        <f>SUMIFS('Fuel and Energy_rail only'!AD:AD,'Fuel and Energy_rail only'!C:C,C40)</f>
        <v>350453</v>
      </c>
      <c r="I40">
        <f>SUMIFS('Fuel and Energy_rail only'!AN:AN,'Fuel and Energy_rail only'!C:C,C40)</f>
        <v>0</v>
      </c>
      <c r="J40" s="37">
        <f t="shared" si="2"/>
        <v>1</v>
      </c>
      <c r="K40" s="37">
        <f t="shared" si="2"/>
        <v>0</v>
      </c>
      <c r="L40" s="96">
        <f t="shared" si="0"/>
        <v>24.924225153622167</v>
      </c>
      <c r="M40" s="97">
        <f t="shared" si="1"/>
        <v>137861.42857142858</v>
      </c>
      <c r="N40" s="97">
        <f t="shared" si="3"/>
        <v>7</v>
      </c>
      <c r="O40" s="97">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98">
        <f t="shared" si="7"/>
        <v>2.1888256201070918E-4</v>
      </c>
      <c r="V40" s="98">
        <f t="shared" si="7"/>
        <v>0</v>
      </c>
    </row>
    <row r="41" spans="2:22">
      <c r="B41" s="95" t="s">
        <v>556</v>
      </c>
      <c r="C41" s="95" t="s">
        <v>509</v>
      </c>
      <c r="D41" t="s">
        <v>788</v>
      </c>
      <c r="E41">
        <f>SUMIFS('Annual Service Data_rail only'!N:N,'Annual Service Data_rail only'!C:C,C41)</f>
        <v>787</v>
      </c>
      <c r="F41" s="92">
        <f>SUMIFS('Annual Service Data_rail only'!X:X,'Annual Service Data_rail only'!C:C,C41)</f>
        <v>459797967</v>
      </c>
      <c r="G41" s="92">
        <f>SUMIFS('Annual Service Data_rail only'!AT:AT,'Annual Service Data_rail only'!C:C,C41)</f>
        <v>6605805362</v>
      </c>
      <c r="H41">
        <f>SUMIFS('Fuel and Energy_rail only'!AD:AD,'Fuel and Energy_rail only'!C:C,C41)</f>
        <v>757533</v>
      </c>
      <c r="I41">
        <f>SUMIFS('Fuel and Energy_rail only'!AN:AN,'Fuel and Energy_rail only'!C:C,C41)</f>
        <v>433746106</v>
      </c>
      <c r="J41" s="37">
        <f t="shared" si="2"/>
        <v>1.7434445468476271E-3</v>
      </c>
      <c r="K41" s="37">
        <f t="shared" si="2"/>
        <v>0.99825655545315239</v>
      </c>
      <c r="L41" s="96">
        <f t="shared" ref="L41:L59" si="8">IFERROR(G41/F41,0)</f>
        <v>14.366756349751325</v>
      </c>
      <c r="M41" s="97">
        <f t="shared" ref="M41:M59" si="9">IFERROR(F41/E41,0)</f>
        <v>584241.3811944091</v>
      </c>
      <c r="N41" s="97">
        <f t="shared" si="3"/>
        <v>1.3720908583690825</v>
      </c>
      <c r="O41" s="97">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98">
        <f t="shared" si="7"/>
        <v>6.5219945957546822E-6</v>
      </c>
      <c r="V41" s="98">
        <f t="shared" si="7"/>
        <v>7.8215808848957843E-4</v>
      </c>
    </row>
    <row r="42" spans="2:22">
      <c r="B42" s="95" t="s">
        <v>789</v>
      </c>
      <c r="C42" s="95" t="s">
        <v>595</v>
      </c>
      <c r="D42" t="s">
        <v>790</v>
      </c>
      <c r="E42">
        <f>SUMIFS('Annual Service Data_rail only'!N:N,'Annual Service Data_rail only'!C:C,C42)</f>
        <v>16</v>
      </c>
      <c r="F42" s="92">
        <f>SUMIFS('Annual Service Data_rail only'!X:X,'Annual Service Data_rail only'!C:C,C42)</f>
        <v>2267166</v>
      </c>
      <c r="G42" s="92">
        <f>SUMIFS('Annual Service Data_rail only'!AT:AT,'Annual Service Data_rail only'!C:C,C42)</f>
        <v>37638865</v>
      </c>
      <c r="H42">
        <f>SUMIFS('Fuel and Energy_rail only'!AD:AD,'Fuel and Energy_rail only'!C:C,C42)</f>
        <v>0</v>
      </c>
      <c r="I42">
        <f>SUMIFS('Fuel and Energy_rail only'!AN:AN,'Fuel and Energy_rail only'!C:C,C42)</f>
        <v>2267804</v>
      </c>
      <c r="J42" s="37">
        <f t="shared" si="2"/>
        <v>0</v>
      </c>
      <c r="K42" s="37">
        <f t="shared" si="2"/>
        <v>1</v>
      </c>
      <c r="L42" s="96">
        <f t="shared" si="8"/>
        <v>16.601724355428761</v>
      </c>
      <c r="M42" s="97">
        <f t="shared" si="9"/>
        <v>141697.875</v>
      </c>
      <c r="N42" s="97">
        <f t="shared" si="3"/>
        <v>0</v>
      </c>
      <c r="O42" s="97">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98">
        <f t="shared" si="7"/>
        <v>0</v>
      </c>
      <c r="V42" s="98">
        <f t="shared" si="7"/>
        <v>6.5712105476848151E-4</v>
      </c>
    </row>
    <row r="43" spans="2:22">
      <c r="B43" s="95" t="s">
        <v>791</v>
      </c>
      <c r="C43" s="95" t="s">
        <v>792</v>
      </c>
      <c r="D43" t="s">
        <v>793</v>
      </c>
      <c r="E43">
        <f>SUMIFS('Annual Service Data_rail only'!N:N,'Annual Service Data_rail only'!C:C,C43)</f>
        <v>0</v>
      </c>
      <c r="F43" s="92">
        <f>SUMIFS('Annual Service Data_rail only'!X:X,'Annual Service Data_rail only'!C:C,C43)</f>
        <v>0</v>
      </c>
      <c r="G43" s="92">
        <f>SUMIFS('Annual Service Data_rail only'!AT:AT,'Annual Service Data_rail only'!C:C,C43)</f>
        <v>0</v>
      </c>
      <c r="H43">
        <f>SUMIFS('Fuel and Energy_rail only'!AD:AD,'Fuel and Energy_rail only'!C:C,C43)</f>
        <v>0</v>
      </c>
      <c r="I43">
        <f>SUMIFS('Fuel and Energy_rail only'!AN:AN,'Fuel and Energy_rail only'!C:C,C43)</f>
        <v>0</v>
      </c>
      <c r="J43" s="37">
        <f t="shared" si="2"/>
        <v>0</v>
      </c>
      <c r="K43" s="37">
        <f t="shared" si="2"/>
        <v>0</v>
      </c>
      <c r="L43" s="96">
        <f t="shared" si="8"/>
        <v>0</v>
      </c>
      <c r="M43" s="97">
        <f t="shared" si="9"/>
        <v>0</v>
      </c>
      <c r="N43" s="97">
        <f t="shared" si="3"/>
        <v>0</v>
      </c>
      <c r="O43" s="97">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98">
        <f t="shared" si="7"/>
        <v>0</v>
      </c>
      <c r="V43" s="98">
        <f t="shared" si="7"/>
        <v>0</v>
      </c>
    </row>
    <row r="44" spans="2:22">
      <c r="B44" s="95" t="s">
        <v>794</v>
      </c>
      <c r="C44" s="95" t="s">
        <v>589</v>
      </c>
      <c r="D44" t="s">
        <v>795</v>
      </c>
      <c r="E44">
        <f>SUMIFS('Annual Service Data_rail only'!N:N,'Annual Service Data_rail only'!C:C,C44)</f>
        <v>14</v>
      </c>
      <c r="F44" s="92">
        <f>SUMIFS('Annual Service Data_rail only'!X:X,'Annual Service Data_rail only'!C:C,C44)</f>
        <v>3017495</v>
      </c>
      <c r="G44" s="92">
        <f>SUMIFS('Annual Service Data_rail only'!AT:AT,'Annual Service Data_rail only'!C:C,C44)</f>
        <v>20427250</v>
      </c>
      <c r="H44">
        <f>SUMIFS('Fuel and Energy_rail only'!AD:AD,'Fuel and Energy_rail only'!C:C,C44)</f>
        <v>0</v>
      </c>
      <c r="I44">
        <f>SUMIFS('Fuel and Energy_rail only'!AN:AN,'Fuel and Energy_rail only'!C:C,C44)</f>
        <v>2921572</v>
      </c>
      <c r="J44" s="37">
        <f t="shared" si="2"/>
        <v>0</v>
      </c>
      <c r="K44" s="37">
        <f t="shared" si="2"/>
        <v>1</v>
      </c>
      <c r="L44" s="96">
        <f t="shared" si="8"/>
        <v>6.769605252038529</v>
      </c>
      <c r="M44" s="97">
        <f t="shared" si="9"/>
        <v>215535.35714285713</v>
      </c>
      <c r="N44" s="97">
        <f t="shared" si="3"/>
        <v>0</v>
      </c>
      <c r="O44" s="97">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98">
        <f t="shared" si="7"/>
        <v>0</v>
      </c>
      <c r="V44" s="98">
        <f t="shared" si="7"/>
        <v>1.8655698073438882E-4</v>
      </c>
    </row>
    <row r="45" spans="2:22">
      <c r="B45" s="95" t="s">
        <v>796</v>
      </c>
      <c r="C45" s="95" t="s">
        <v>797</v>
      </c>
      <c r="D45" t="s">
        <v>798</v>
      </c>
      <c r="E45">
        <f>SUMIFS('Annual Service Data_rail only'!N:N,'Annual Service Data_rail only'!C:C,C45)</f>
        <v>0</v>
      </c>
      <c r="F45" s="92">
        <f>SUMIFS('Annual Service Data_rail only'!X:X,'Annual Service Data_rail only'!C:C,C45)</f>
        <v>0</v>
      </c>
      <c r="G45" s="92">
        <f>SUMIFS('Annual Service Data_rail only'!AT:AT,'Annual Service Data_rail only'!C:C,C45)</f>
        <v>0</v>
      </c>
      <c r="H45">
        <f>SUMIFS('Fuel and Energy_rail only'!AD:AD,'Fuel and Energy_rail only'!C:C,C45)</f>
        <v>0</v>
      </c>
      <c r="I45">
        <f>SUMIFS('Fuel and Energy_rail only'!AN:AN,'Fuel and Energy_rail only'!C:C,C45)</f>
        <v>0</v>
      </c>
      <c r="J45" s="37">
        <f t="shared" si="2"/>
        <v>0</v>
      </c>
      <c r="K45" s="37">
        <f t="shared" si="2"/>
        <v>0</v>
      </c>
      <c r="L45" s="96">
        <f t="shared" si="8"/>
        <v>0</v>
      </c>
      <c r="M45" s="97">
        <f t="shared" si="9"/>
        <v>0</v>
      </c>
      <c r="N45" s="97">
        <f t="shared" si="3"/>
        <v>0</v>
      </c>
      <c r="O45" s="97">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98">
        <f t="shared" si="7"/>
        <v>0</v>
      </c>
      <c r="V45" s="98">
        <f t="shared" si="7"/>
        <v>0</v>
      </c>
    </row>
    <row r="46" spans="2:22">
      <c r="B46" s="95" t="s">
        <v>799</v>
      </c>
      <c r="C46" s="95" t="s">
        <v>569</v>
      </c>
      <c r="D46" t="s">
        <v>800</v>
      </c>
      <c r="E46">
        <f>SUMIFS('Annual Service Data_rail only'!N:N,'Annual Service Data_rail only'!C:C,C46)</f>
        <v>55</v>
      </c>
      <c r="F46" s="92">
        <f>SUMIFS('Annual Service Data_rail only'!X:X,'Annual Service Data_rail only'!C:C,C46)</f>
        <v>8981104</v>
      </c>
      <c r="G46" s="92">
        <f>SUMIFS('Annual Service Data_rail only'!AT:AT,'Annual Service Data_rail only'!C:C,C46)</f>
        <v>159458488</v>
      </c>
      <c r="H46">
        <f>SUMIFS('Fuel and Energy_rail only'!AD:AD,'Fuel and Energy_rail only'!C:C,C46)</f>
        <v>0</v>
      </c>
      <c r="I46">
        <f>SUMIFS('Fuel and Energy_rail only'!AN:AN,'Fuel and Energy_rail only'!C:C,C46)</f>
        <v>9045741</v>
      </c>
      <c r="J46" s="37">
        <f t="shared" si="2"/>
        <v>0</v>
      </c>
      <c r="K46" s="37">
        <f t="shared" si="2"/>
        <v>1</v>
      </c>
      <c r="L46" s="96">
        <f t="shared" si="8"/>
        <v>17.754887149731257</v>
      </c>
      <c r="M46" s="97">
        <f t="shared" si="9"/>
        <v>163292.79999999999</v>
      </c>
      <c r="N46" s="97">
        <f t="shared" si="3"/>
        <v>0</v>
      </c>
      <c r="O46" s="97">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98">
        <f t="shared" si="7"/>
        <v>0</v>
      </c>
      <c r="V46" s="98">
        <f t="shared" si="7"/>
        <v>8.5921928610077983E-4</v>
      </c>
    </row>
    <row r="47" spans="2:22">
      <c r="B47" s="95" t="s">
        <v>801</v>
      </c>
      <c r="C47" s="95" t="s">
        <v>540</v>
      </c>
      <c r="D47" t="s">
        <v>802</v>
      </c>
      <c r="E47">
        <f>SUMIFS('Annual Service Data_rail only'!N:N,'Annual Service Data_rail only'!C:C,C47)</f>
        <v>176</v>
      </c>
      <c r="F47" s="92">
        <f>SUMIFS('Annual Service Data_rail only'!X:X,'Annual Service Data_rail only'!C:C,C47)</f>
        <v>37294660</v>
      </c>
      <c r="G47" s="92">
        <f>SUMIFS('Annual Service Data_rail only'!AT:AT,'Annual Service Data_rail only'!C:C,C47)</f>
        <v>725134241</v>
      </c>
      <c r="H47">
        <f>SUMIFS('Fuel and Energy_rail only'!AD:AD,'Fuel and Energy_rail only'!C:C,C47)</f>
        <v>0</v>
      </c>
      <c r="I47">
        <f>SUMIFS('Fuel and Energy_rail only'!AN:AN,'Fuel and Energy_rail only'!C:C,C47)</f>
        <v>31752653</v>
      </c>
      <c r="J47" s="37">
        <f t="shared" si="2"/>
        <v>0</v>
      </c>
      <c r="K47" s="37">
        <f t="shared" si="2"/>
        <v>1</v>
      </c>
      <c r="L47" s="96">
        <f t="shared" si="8"/>
        <v>19.443379856526377</v>
      </c>
      <c r="M47" s="97">
        <f t="shared" si="9"/>
        <v>211901.47727272726</v>
      </c>
      <c r="N47" s="97">
        <f t="shared" si="3"/>
        <v>0</v>
      </c>
      <c r="O47" s="97">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98">
        <f t="shared" si="7"/>
        <v>0</v>
      </c>
      <c r="V47" s="98">
        <f t="shared" si="7"/>
        <v>5.6837895145453508E-4</v>
      </c>
    </row>
    <row r="48" spans="2:22">
      <c r="B48" s="95" t="s">
        <v>803</v>
      </c>
      <c r="C48" s="95" t="s">
        <v>804</v>
      </c>
      <c r="D48" t="s">
        <v>805</v>
      </c>
      <c r="E48">
        <f>SUMIFS('Annual Service Data_rail only'!N:N,'Annual Service Data_rail only'!C:C,C48)</f>
        <v>0</v>
      </c>
      <c r="F48" s="92">
        <f>SUMIFS('Annual Service Data_rail only'!X:X,'Annual Service Data_rail only'!C:C,C48)</f>
        <v>0</v>
      </c>
      <c r="G48" s="92">
        <f>SUMIFS('Annual Service Data_rail only'!AT:AT,'Annual Service Data_rail only'!C:C,C48)</f>
        <v>0</v>
      </c>
      <c r="H48">
        <f>SUMIFS('Fuel and Energy_rail only'!AD:AD,'Fuel and Energy_rail only'!C:C,C48)</f>
        <v>0</v>
      </c>
      <c r="I48">
        <f>SUMIFS('Fuel and Energy_rail only'!AN:AN,'Fuel and Energy_rail only'!C:C,C48)</f>
        <v>0</v>
      </c>
      <c r="J48" s="37">
        <f t="shared" si="2"/>
        <v>0</v>
      </c>
      <c r="K48" s="37">
        <f t="shared" si="2"/>
        <v>0</v>
      </c>
      <c r="L48" s="96">
        <f t="shared" si="8"/>
        <v>0</v>
      </c>
      <c r="M48" s="97">
        <f t="shared" si="9"/>
        <v>0</v>
      </c>
      <c r="N48" s="97">
        <f t="shared" si="3"/>
        <v>0</v>
      </c>
      <c r="O48" s="97">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98">
        <f t="shared" si="7"/>
        <v>0</v>
      </c>
      <c r="V48" s="98">
        <f t="shared" si="7"/>
        <v>0</v>
      </c>
    </row>
    <row r="49" spans="2:24">
      <c r="B49" s="95" t="s">
        <v>806</v>
      </c>
      <c r="C49" s="95" t="s">
        <v>807</v>
      </c>
      <c r="D49" t="s">
        <v>808</v>
      </c>
      <c r="E49">
        <f>SUMIFS('Annual Service Data_rail only'!N:N,'Annual Service Data_rail only'!C:C,C49)</f>
        <v>0</v>
      </c>
      <c r="F49" s="92">
        <f>SUMIFS('Annual Service Data_rail only'!X:X,'Annual Service Data_rail only'!C:C,C49)</f>
        <v>0</v>
      </c>
      <c r="G49" s="92">
        <f>SUMIFS('Annual Service Data_rail only'!AT:AT,'Annual Service Data_rail only'!C:C,C49)</f>
        <v>0</v>
      </c>
      <c r="H49">
        <f>SUMIFS('Fuel and Energy_rail only'!AD:AD,'Fuel and Energy_rail only'!C:C,C49)</f>
        <v>0</v>
      </c>
      <c r="I49">
        <f>SUMIFS('Fuel and Energy_rail only'!AN:AN,'Fuel and Energy_rail only'!C:C,C49)</f>
        <v>0</v>
      </c>
      <c r="J49" s="37">
        <f t="shared" si="2"/>
        <v>0</v>
      </c>
      <c r="K49" s="37">
        <f t="shared" si="2"/>
        <v>0</v>
      </c>
      <c r="L49" s="96">
        <f t="shared" si="8"/>
        <v>0</v>
      </c>
      <c r="M49" s="97">
        <f t="shared" si="9"/>
        <v>0</v>
      </c>
      <c r="N49" s="97">
        <f t="shared" si="3"/>
        <v>0</v>
      </c>
      <c r="O49" s="97">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98">
        <f t="shared" si="7"/>
        <v>0</v>
      </c>
      <c r="V49" s="98">
        <f t="shared" si="7"/>
        <v>0</v>
      </c>
    </row>
    <row r="50" spans="2:24">
      <c r="B50" s="95" t="s">
        <v>809</v>
      </c>
      <c r="C50" s="95" t="s">
        <v>810</v>
      </c>
      <c r="D50" t="s">
        <v>811</v>
      </c>
      <c r="E50">
        <f>SUMIFS('Annual Service Data_rail only'!N:N,'Annual Service Data_rail only'!C:C,C50)</f>
        <v>0</v>
      </c>
      <c r="F50" s="92">
        <f>SUMIFS('Annual Service Data_rail only'!X:X,'Annual Service Data_rail only'!C:C,C50)</f>
        <v>0</v>
      </c>
      <c r="G50" s="92">
        <f>SUMIFS('Annual Service Data_rail only'!AT:AT,'Annual Service Data_rail only'!C:C,C50)</f>
        <v>0</v>
      </c>
      <c r="H50">
        <f>SUMIFS('Fuel and Energy_rail only'!AD:AD,'Fuel and Energy_rail only'!C:C,C50)</f>
        <v>0</v>
      </c>
      <c r="I50">
        <f>SUMIFS('Fuel and Energy_rail only'!AN:AN,'Fuel and Energy_rail only'!C:C,C50)</f>
        <v>0</v>
      </c>
      <c r="J50" s="37">
        <f t="shared" si="2"/>
        <v>0</v>
      </c>
      <c r="K50" s="37">
        <f t="shared" si="2"/>
        <v>0</v>
      </c>
      <c r="L50" s="96">
        <f t="shared" si="8"/>
        <v>0</v>
      </c>
      <c r="M50" s="97">
        <f t="shared" si="9"/>
        <v>0</v>
      </c>
      <c r="N50" s="97">
        <f t="shared" si="3"/>
        <v>0</v>
      </c>
      <c r="O50" s="97">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98">
        <f t="shared" si="7"/>
        <v>0</v>
      </c>
      <c r="V50" s="98">
        <f t="shared" si="7"/>
        <v>0</v>
      </c>
    </row>
    <row r="51" spans="2:24">
      <c r="B51" s="95" t="s">
        <v>812</v>
      </c>
      <c r="C51" s="95" t="s">
        <v>628</v>
      </c>
      <c r="D51" t="s">
        <v>813</v>
      </c>
      <c r="E51">
        <f>SUMIFS('Annual Service Data_rail only'!N:N,'Annual Service Data_rail only'!C:C,C51)</f>
        <v>2</v>
      </c>
      <c r="F51" s="92">
        <f>SUMIFS('Annual Service Data_rail only'!X:X,'Annual Service Data_rail only'!C:C,C51)</f>
        <v>208873</v>
      </c>
      <c r="G51" s="92">
        <f>SUMIFS('Annual Service Data_rail only'!AT:AT,'Annual Service Data_rail only'!C:C,C51)</f>
        <v>3403059</v>
      </c>
      <c r="H51">
        <f>SUMIFS('Fuel and Energy_rail only'!AD:AD,'Fuel and Energy_rail only'!C:C,C51)</f>
        <v>71832</v>
      </c>
      <c r="I51">
        <f>SUMIFS('Fuel and Energy_rail only'!AN:AN,'Fuel and Energy_rail only'!C:C,C51)</f>
        <v>0</v>
      </c>
      <c r="J51" s="37">
        <f t="shared" si="2"/>
        <v>1</v>
      </c>
      <c r="K51" s="37">
        <f t="shared" si="2"/>
        <v>0</v>
      </c>
      <c r="L51" s="96">
        <f t="shared" si="8"/>
        <v>16.292479161978811</v>
      </c>
      <c r="M51" s="97">
        <f t="shared" si="9"/>
        <v>104436.5</v>
      </c>
      <c r="N51" s="97">
        <f t="shared" si="3"/>
        <v>2</v>
      </c>
      <c r="O51" s="97">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98">
        <f t="shared" si="7"/>
        <v>1.2578769435331124E-4</v>
      </c>
      <c r="V51" s="98">
        <f t="shared" si="7"/>
        <v>0</v>
      </c>
    </row>
    <row r="52" spans="2:24">
      <c r="B52" s="95" t="s">
        <v>814</v>
      </c>
      <c r="C52" s="95" t="s">
        <v>543</v>
      </c>
      <c r="D52" t="s">
        <v>815</v>
      </c>
      <c r="E52">
        <f>SUMIFS('Annual Service Data_rail only'!N:N,'Annual Service Data_rail only'!C:C,C52)</f>
        <v>81</v>
      </c>
      <c r="F52" s="92">
        <f>SUMIFS('Annual Service Data_rail only'!X:X,'Annual Service Data_rail only'!C:C,C52)</f>
        <v>16971382</v>
      </c>
      <c r="G52" s="92">
        <f>SUMIFS('Annual Service Data_rail only'!AT:AT,'Annual Service Data_rail only'!C:C,C52)</f>
        <v>229087609</v>
      </c>
      <c r="H52">
        <f>SUMIFS('Fuel and Energy_rail only'!AD:AD,'Fuel and Energy_rail only'!C:C,C52)</f>
        <v>2810479</v>
      </c>
      <c r="I52">
        <f>SUMIFS('Fuel and Energy_rail only'!AN:AN,'Fuel and Energy_rail only'!C:C,C52)</f>
        <v>13314833</v>
      </c>
      <c r="J52" s="37">
        <f t="shared" si="2"/>
        <v>0.17428989901094627</v>
      </c>
      <c r="K52" s="37">
        <f t="shared" si="2"/>
        <v>0.82571010098905373</v>
      </c>
      <c r="L52" s="96">
        <f t="shared" si="8"/>
        <v>13.498465180973476</v>
      </c>
      <c r="M52" s="97">
        <f t="shared" si="9"/>
        <v>209523.23456790124</v>
      </c>
      <c r="N52" s="97">
        <f t="shared" si="3"/>
        <v>14.117481819886647</v>
      </c>
      <c r="O52" s="97">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98">
        <f t="shared" si="7"/>
        <v>1.5830993580821838E-4</v>
      </c>
      <c r="V52" s="98">
        <f t="shared" si="7"/>
        <v>4.0480572702220627E-4</v>
      </c>
    </row>
    <row r="53" spans="2:24">
      <c r="B53" s="95" t="s">
        <v>816</v>
      </c>
      <c r="C53" s="95" t="s">
        <v>561</v>
      </c>
      <c r="D53" t="s">
        <v>817</v>
      </c>
      <c r="E53">
        <f>SUMIFS('Annual Service Data_rail only'!N:N,'Annual Service Data_rail only'!C:C,C53)</f>
        <v>31</v>
      </c>
      <c r="F53" s="92">
        <f>SUMIFS('Annual Service Data_rail only'!X:X,'Annual Service Data_rail only'!C:C,C53)</f>
        <v>10256420</v>
      </c>
      <c r="G53" s="92">
        <f>SUMIFS('Annual Service Data_rail only'!AT:AT,'Annual Service Data_rail only'!C:C,C53)</f>
        <v>91039641</v>
      </c>
      <c r="H53">
        <f>SUMIFS('Fuel and Energy_rail only'!AD:AD,'Fuel and Energy_rail only'!C:C,C53)</f>
        <v>850933</v>
      </c>
      <c r="I53">
        <f>SUMIFS('Fuel and Energy_rail only'!AN:AN,'Fuel and Energy_rail only'!C:C,C53)</f>
        <v>6307169</v>
      </c>
      <c r="J53" s="37">
        <f t="shared" si="2"/>
        <v>0.11887690340260589</v>
      </c>
      <c r="K53" s="37">
        <f t="shared" si="2"/>
        <v>0.88112309659739407</v>
      </c>
      <c r="L53" s="96">
        <f t="shared" si="8"/>
        <v>8.876356564961263</v>
      </c>
      <c r="M53" s="97">
        <f t="shared" si="9"/>
        <v>330852.25806451612</v>
      </c>
      <c r="N53" s="97">
        <f t="shared" si="3"/>
        <v>3.6851840054807825</v>
      </c>
      <c r="O53" s="97">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98">
        <f t="shared" si="7"/>
        <v>4.0609713939961685E-5</v>
      </c>
      <c r="V53" s="98">
        <f t="shared" si="7"/>
        <v>5.9363480406708256E-4</v>
      </c>
    </row>
    <row r="54" spans="2:24">
      <c r="B54" s="95" t="s">
        <v>818</v>
      </c>
      <c r="C54" s="95" t="s">
        <v>819</v>
      </c>
      <c r="D54" t="s">
        <v>820</v>
      </c>
      <c r="E54">
        <f>SUMIFS('Annual Service Data_rail only'!N:N,'Annual Service Data_rail only'!C:C,C54)</f>
        <v>0</v>
      </c>
      <c r="F54" s="92">
        <f>SUMIFS('Annual Service Data_rail only'!X:X,'Annual Service Data_rail only'!C:C,C54)</f>
        <v>0</v>
      </c>
      <c r="G54" s="92">
        <f>SUMIFS('Annual Service Data_rail only'!AT:AT,'Annual Service Data_rail only'!C:C,C54)</f>
        <v>0</v>
      </c>
      <c r="H54">
        <f>SUMIFS('Fuel and Energy_rail only'!AD:AD,'Fuel and Energy_rail only'!C:C,C54)</f>
        <v>0</v>
      </c>
      <c r="I54">
        <f>SUMIFS('Fuel and Energy_rail only'!AN:AN,'Fuel and Energy_rail only'!C:C,C54)</f>
        <v>0</v>
      </c>
      <c r="J54" s="37">
        <f t="shared" si="2"/>
        <v>0</v>
      </c>
      <c r="K54" s="37">
        <f t="shared" si="2"/>
        <v>0</v>
      </c>
      <c r="L54" s="96">
        <f t="shared" si="8"/>
        <v>0</v>
      </c>
      <c r="M54" s="97">
        <f t="shared" si="9"/>
        <v>0</v>
      </c>
      <c r="N54" s="97">
        <f t="shared" si="3"/>
        <v>0</v>
      </c>
      <c r="O54" s="97">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98">
        <f t="shared" si="7"/>
        <v>0</v>
      </c>
      <c r="V54" s="98">
        <f t="shared" si="7"/>
        <v>0</v>
      </c>
    </row>
    <row r="55" spans="2:24">
      <c r="B55" s="95" t="s">
        <v>821</v>
      </c>
      <c r="C55" s="95" t="s">
        <v>592</v>
      </c>
      <c r="D55" t="s">
        <v>822</v>
      </c>
      <c r="E55">
        <f>SUMIFS('Annual Service Data_rail only'!N:N,'Annual Service Data_rail only'!C:C,C55)</f>
        <v>38</v>
      </c>
      <c r="F55" s="92">
        <f>SUMIFS('Annual Service Data_rail only'!X:X,'Annual Service Data_rail only'!C:C,C55)</f>
        <v>2579467</v>
      </c>
      <c r="G55" s="92">
        <f>SUMIFS('Annual Service Data_rail only'!AT:AT,'Annual Service Data_rail only'!C:C,C55)</f>
        <v>101304307</v>
      </c>
      <c r="H55">
        <f>SUMIFS('Fuel and Energy_rail only'!AD:AD,'Fuel and Energy_rail only'!C:C,C55)</f>
        <v>333956</v>
      </c>
      <c r="I55">
        <f>SUMIFS('Fuel and Energy_rail only'!AN:AN,'Fuel and Energy_rail only'!C:C,C55)</f>
        <v>345837</v>
      </c>
      <c r="J55" s="37">
        <f t="shared" si="2"/>
        <v>0.49126131042832155</v>
      </c>
      <c r="K55" s="37">
        <f t="shared" si="2"/>
        <v>0.50873868957167845</v>
      </c>
      <c r="L55" s="96">
        <f t="shared" si="8"/>
        <v>39.273348718940774</v>
      </c>
      <c r="M55" s="97">
        <f t="shared" si="9"/>
        <v>67880.710526315786</v>
      </c>
      <c r="N55" s="97">
        <f t="shared" si="3"/>
        <v>18.667929796276219</v>
      </c>
      <c r="O55" s="97">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98">
        <f t="shared" si="7"/>
        <v>2.5080388231794913E-4</v>
      </c>
      <c r="V55" s="98">
        <f t="shared" si="7"/>
        <v>4.5521802824377436E-3</v>
      </c>
    </row>
    <row r="56" spans="2:24">
      <c r="B56" s="95" t="s">
        <v>527</v>
      </c>
      <c r="C56" s="95" t="s">
        <v>598</v>
      </c>
      <c r="D56" t="s">
        <v>823</v>
      </c>
      <c r="E56">
        <f>SUMIFS('Annual Service Data_rail only'!N:N,'Annual Service Data_rail only'!C:C,C56)</f>
        <v>40</v>
      </c>
      <c r="F56" s="92">
        <f>SUMIFS('Annual Service Data_rail only'!X:X,'Annual Service Data_rail only'!C:C,C56)</f>
        <v>5730374</v>
      </c>
      <c r="G56" s="92">
        <f>SUMIFS('Annual Service Data_rail only'!AT:AT,'Annual Service Data_rail only'!C:C,C56)</f>
        <v>81685247</v>
      </c>
      <c r="H56">
        <f>SUMIFS('Fuel and Energy_rail only'!AD:AD,'Fuel and Energy_rail only'!C:C,C56)</f>
        <v>335545</v>
      </c>
      <c r="I56">
        <f>SUMIFS('Fuel and Energy_rail only'!AN:AN,'Fuel and Energy_rail only'!C:C,C56)</f>
        <v>4232555</v>
      </c>
      <c r="J56" s="37">
        <f t="shared" si="2"/>
        <v>7.345395240909787E-2</v>
      </c>
      <c r="K56" s="37">
        <f t="shared" si="2"/>
        <v>0.92654604759090209</v>
      </c>
      <c r="L56" s="96">
        <f t="shared" si="8"/>
        <v>14.254784591721238</v>
      </c>
      <c r="M56" s="97">
        <f t="shared" si="9"/>
        <v>143259.35</v>
      </c>
      <c r="N56" s="97">
        <f t="shared" si="3"/>
        <v>2.9381580963639147</v>
      </c>
      <c r="O56" s="97">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98">
        <f t="shared" si="7"/>
        <v>6.9181573156261154E-5</v>
      </c>
      <c r="V56" s="98">
        <f t="shared" si="7"/>
        <v>1.0897035219714086E-3</v>
      </c>
    </row>
    <row r="57" spans="2:24">
      <c r="B57" s="95" t="s">
        <v>824</v>
      </c>
      <c r="C57" s="95" t="s">
        <v>825</v>
      </c>
      <c r="D57" t="s">
        <v>826</v>
      </c>
      <c r="E57">
        <f>SUMIFS('Annual Service Data_rail only'!N:N,'Annual Service Data_rail only'!C:C,C57)</f>
        <v>0</v>
      </c>
      <c r="F57" s="92">
        <f>SUMIFS('Annual Service Data_rail only'!X:X,'Annual Service Data_rail only'!C:C,C57)</f>
        <v>0</v>
      </c>
      <c r="G57" s="92">
        <f>SUMIFS('Annual Service Data_rail only'!AT:AT,'Annual Service Data_rail only'!C:C,C57)</f>
        <v>0</v>
      </c>
      <c r="H57">
        <f>SUMIFS('Fuel and Energy_rail only'!AD:AD,'Fuel and Energy_rail only'!C:C,C57)</f>
        <v>0</v>
      </c>
      <c r="I57">
        <f>SUMIFS('Fuel and Energy_rail only'!AN:AN,'Fuel and Energy_rail only'!C:C,C57)</f>
        <v>0</v>
      </c>
      <c r="J57" s="37">
        <f t="shared" si="2"/>
        <v>0</v>
      </c>
      <c r="K57" s="37">
        <f t="shared" si="2"/>
        <v>0</v>
      </c>
      <c r="L57" s="96">
        <f t="shared" si="8"/>
        <v>0</v>
      </c>
      <c r="M57" s="97">
        <f t="shared" si="9"/>
        <v>0</v>
      </c>
      <c r="N57" s="97">
        <f t="shared" si="3"/>
        <v>0</v>
      </c>
      <c r="O57" s="97">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98">
        <f t="shared" si="7"/>
        <v>0</v>
      </c>
      <c r="V57" s="98">
        <f t="shared" si="7"/>
        <v>0</v>
      </c>
    </row>
    <row r="58" spans="2:24">
      <c r="B58" s="95" t="s">
        <v>827</v>
      </c>
      <c r="C58" s="95" t="s">
        <v>828</v>
      </c>
      <c r="D58" t="s">
        <v>829</v>
      </c>
      <c r="E58">
        <f>SUMIFS('Annual Service Data_rail only'!N:N,'Annual Service Data_rail only'!C:C,C58)</f>
        <v>0</v>
      </c>
      <c r="F58" s="92">
        <f>SUMIFS('Annual Service Data_rail only'!X:X,'Annual Service Data_rail only'!C:C,C58)</f>
        <v>0</v>
      </c>
      <c r="G58" s="92">
        <f>SUMIFS('Annual Service Data_rail only'!AT:AT,'Annual Service Data_rail only'!C:C,C58)</f>
        <v>0</v>
      </c>
      <c r="H58">
        <f>SUMIFS('Fuel and Energy_rail only'!AD:AD,'Fuel and Energy_rail only'!C:C,C58)</f>
        <v>0</v>
      </c>
      <c r="I58">
        <f>SUMIFS('Fuel and Energy_rail only'!AN:AN,'Fuel and Energy_rail only'!C:C,C58)</f>
        <v>0</v>
      </c>
      <c r="J58" s="37">
        <f t="shared" si="2"/>
        <v>0</v>
      </c>
      <c r="K58" s="37">
        <f t="shared" si="2"/>
        <v>0</v>
      </c>
      <c r="L58" s="96">
        <f t="shared" si="8"/>
        <v>0</v>
      </c>
      <c r="M58" s="97">
        <f t="shared" si="9"/>
        <v>0</v>
      </c>
      <c r="N58" s="97">
        <f t="shared" si="3"/>
        <v>0</v>
      </c>
      <c r="O58" s="97">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98">
        <f t="shared" si="7"/>
        <v>0</v>
      </c>
      <c r="V58" s="98">
        <f t="shared" si="7"/>
        <v>0</v>
      </c>
    </row>
    <row r="59" spans="2:24">
      <c r="B59" s="95" t="s">
        <v>830</v>
      </c>
      <c r="C59" s="95" t="s">
        <v>831</v>
      </c>
      <c r="D59" t="s">
        <v>832</v>
      </c>
      <c r="E59">
        <f>SUMIFS('Annual Service Data_rail only'!N:N,'Annual Service Data_rail only'!C:C,C59)</f>
        <v>0</v>
      </c>
      <c r="F59" s="92">
        <f>SUMIFS('Annual Service Data_rail only'!X:X,'Annual Service Data_rail only'!C:C,C59)</f>
        <v>0</v>
      </c>
      <c r="G59" s="92">
        <f>SUMIFS('Annual Service Data_rail only'!AT:AT,'Annual Service Data_rail only'!C:C,C59)</f>
        <v>0</v>
      </c>
      <c r="H59">
        <f>SUMIFS('Fuel and Energy_rail only'!AD:AD,'Fuel and Energy_rail only'!C:C,C59)</f>
        <v>0</v>
      </c>
      <c r="I59">
        <f>SUMIFS('Fuel and Energy_rail only'!AN:AN,'Fuel and Energy_rail only'!C:C,C59)</f>
        <v>0</v>
      </c>
      <c r="J59" s="37">
        <f t="shared" si="2"/>
        <v>0</v>
      </c>
      <c r="K59" s="37">
        <f t="shared" si="2"/>
        <v>0</v>
      </c>
      <c r="L59" s="96">
        <f t="shared" si="8"/>
        <v>0</v>
      </c>
      <c r="M59" s="97">
        <f t="shared" si="9"/>
        <v>0</v>
      </c>
      <c r="N59" s="97">
        <f t="shared" si="3"/>
        <v>0</v>
      </c>
      <c r="O59" s="97">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98">
        <f t="shared" si="7"/>
        <v>0</v>
      </c>
      <c r="V59" s="98">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833</v>
      </c>
      <c r="E62" s="2">
        <f>SUM(E9:E59)</f>
        <v>2740</v>
      </c>
      <c r="F62" s="2">
        <f t="shared" ref="F62:G62" si="11">SUM(F9:F59)</f>
        <v>1083860350</v>
      </c>
      <c r="G62" s="2">
        <f t="shared" si="11"/>
        <v>16634915700</v>
      </c>
      <c r="H62" s="2"/>
      <c r="I62" s="2"/>
      <c r="J62" s="2"/>
      <c r="K62" s="2"/>
      <c r="L62" s="99">
        <f>IFERROR(G62/F62,0)</f>
        <v>15.34784042981183</v>
      </c>
      <c r="M62" s="100">
        <f>IFERROR(F62/E62,0)</f>
        <v>395569.47080291971</v>
      </c>
      <c r="N62" s="100">
        <f>SUM(N9:N59)</f>
        <v>173.39396393169866</v>
      </c>
      <c r="O62" s="100">
        <f>SUM(O9:O59)</f>
        <v>2563.6060360683009</v>
      </c>
      <c r="P62" s="101"/>
      <c r="Q62" s="101"/>
      <c r="R62" s="101"/>
      <c r="S62" s="2">
        <f>SUM(S9:S59)</f>
        <v>14672704890200</v>
      </c>
      <c r="T62" s="2">
        <f>SUM(T9:T59)</f>
        <v>20563855531548.477</v>
      </c>
      <c r="U62" s="102">
        <f>IFERROR(($L62*$M62*N62)/S62,0)</f>
        <v>7.1745362435245036E-5</v>
      </c>
      <c r="V62" s="102">
        <f>IFERROR(($L62*$M62*O62)/T62,0)</f>
        <v>7.5686214263268839E-4</v>
      </c>
      <c r="W62" s="103"/>
      <c r="X62" s="103"/>
    </row>
    <row r="64" spans="2:24">
      <c r="D64" t="s">
        <v>834</v>
      </c>
      <c r="E64" s="37">
        <f>E62/SUM(N62:O62)</f>
        <v>1.0010960906101574</v>
      </c>
      <c r="G64" s="37">
        <f>L62*M62*SUM(N62:O62)/G62</f>
        <v>0.99890510948905087</v>
      </c>
      <c r="K64" s="104"/>
      <c r="S64" s="37">
        <f>($L62*$M62*N62/U62)/S62</f>
        <v>1</v>
      </c>
      <c r="T64" s="37">
        <f>($L62*$M62*O62/V62)/T62</f>
        <v>1</v>
      </c>
    </row>
  </sheetData>
  <conditionalFormatting sqref="C93:C1048576 C4:C63">
    <cfRule type="duplicateValues" dxfId="0" priority="1"/>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J23"/>
  <sheetViews>
    <sheetView workbookViewId="0">
      <selection activeCell="G16" sqref="G16"/>
    </sheetView>
  </sheetViews>
  <sheetFormatPr defaultRowHeight="15"/>
  <cols>
    <col min="1" max="1" width="16.85546875" style="175" customWidth="1"/>
    <col min="2" max="8" width="13.5703125" style="175" customWidth="1"/>
    <col min="9" max="9" width="10" style="175" bestFit="1" customWidth="1"/>
    <col min="10" max="10" width="14.42578125" style="175" bestFit="1" customWidth="1"/>
    <col min="11" max="16384" width="9.140625" style="175"/>
  </cols>
  <sheetData>
    <row r="1" spans="1:10" ht="30">
      <c r="A1" s="173" t="s">
        <v>264</v>
      </c>
      <c r="B1" s="174" t="s">
        <v>10</v>
      </c>
      <c r="C1" s="174" t="s">
        <v>11</v>
      </c>
      <c r="D1" s="174" t="s">
        <v>12</v>
      </c>
      <c r="E1" s="174" t="s">
        <v>13</v>
      </c>
      <c r="F1" s="174" t="s">
        <v>14</v>
      </c>
      <c r="G1" s="174" t="s">
        <v>240</v>
      </c>
      <c r="H1" s="174" t="s">
        <v>241</v>
      </c>
    </row>
    <row r="2" spans="1:10">
      <c r="A2" s="176" t="s">
        <v>4</v>
      </c>
      <c r="B2" s="20">
        <f>(SUM(INDEX('AEO 2023 39'!$22:$24,0,MATCH(About!$B$98,'AEO 2023 39'!$1:$1,0)))+SUM(INDEX('AEO 2023 39'!$44:$46,0,MATCH(About!$B$98,'AEO 2023 39'!$1:$1,0))))*1000000</f>
        <v>2799214</v>
      </c>
      <c r="C2" s="20">
        <f>(SUM(INDEX('AEO 2023 39'!$29:$30,0,MATCH(About!$B$98,'AEO 2023 39'!$1:$1,0)))+SUM(INDEX('AEO 2023 39'!$51:$52,0,MATCH(About!$B$98,'AEO 2023 39'!$1:$1,0))))*1000000</f>
        <v>16648</v>
      </c>
      <c r="D2" s="20">
        <f>SUM(INDEX('AEO 2023 39'!$17:$17,MATCH(About!$B$98,'AEO 2023 39'!$1:$1,0)),INDEX('AEO 2023 39'!$21:$21,MATCH(About!$B$98,'AEO 2023 39'!$1:$1,0)),INDEX('AEO 2023 39'!$28:$28,MATCH(About!$B$98,'AEO 2023 39'!$1:$1,0)),INDEX('AEO 2023 39'!$39:$39,MATCH(About!$B$98,'AEO 2023 39'!$1:$1,0)),INDEX('AEO 2023 39'!$50:$50,MATCH(About!$B$98,'AEO 2023 39'!$1:$1,0)),INDEX('AEO 2023 39'!$43:$43,MATCH(About!$B$98,'AEO 2023 39'!$1:$1,0)))*1000000</f>
        <v>256819978</v>
      </c>
      <c r="E2" s="20">
        <f>(INDEX('AEO 2023 39'!$18:$18,MATCH(About!$B$98,'AEO 2023 39'!$1:$1,0))+INDEX('AEO 2023 39'!$40:$40,MATCH(About!$B$98,'AEO 2023 39'!$1:$1,0)))*1000000</f>
        <v>1348635</v>
      </c>
      <c r="F2" s="20">
        <f>(SUM(INDEX('AEO 2023 39'!$25:$26,0,MATCH(About!$B$98,'AEO 2023 39'!$1:$1,0)))+SUM(INDEX('AEO 2023 39'!$47:$48,0,MATCH(About!$B$98,'AEO 2023 39'!$1:$1,0))))*1000000</f>
        <v>1130472.0000000002</v>
      </c>
      <c r="G2" s="20">
        <f>(SUM(INDEX('AEO 2023 39'!$31:$32,0,MATCH(About!$B$98,'AEO 2023 39'!$1:$1,0)))+SUM(INDEX('AEO 2023 39'!$53:$54,0,MATCH(About!$B$98,'AEO 2023 39'!$1:$1,0))))*1000000</f>
        <v>16384</v>
      </c>
      <c r="H2" s="20">
        <f>(SUM(INDEX('AEO 2023 39'!$34:$34,0,MATCH(About!$B$98,'AEO 2023 39'!$1:$1,0)))+SUM(INDEX('AEO 2023 39'!$56:$56,0,MATCH(About!$B$98,'AEO 2023 39'!$1:$1,0))))*1000000</f>
        <v>15809</v>
      </c>
      <c r="J2" s="177"/>
    </row>
    <row r="3" spans="1:10">
      <c r="A3" s="176" t="s">
        <v>5</v>
      </c>
      <c r="B3" s="20">
        <f>Misc!A3</f>
        <v>300</v>
      </c>
      <c r="C3" s="20">
        <f>SUM(INDEX('AEO 2023 36'!$66:$66,MATCH(About!$B$98,'AEO 2023 36'!$1:$1,0)),INDEX('AEO 2023 36'!$74:$74,MATCH(About!$B$98,'AEO 2023 36'!$1:$1,0)),INDEX('AEO 2023 36'!$82:$82,MATCH(About!$B$98,'AEO 2023 36'!$1:$1,0)))/INDEX('AEO 2023 36'!$61:$61,MATCH(About!$B$98,'AEO 2023 36'!$1:$1,0))*INDEX('NTS 1-11'!$12:$12,MATCH(About!$B$98,'NTS 1-11'!$2:$2,0))</f>
        <v>123405.86316307285</v>
      </c>
      <c r="D3" s="20">
        <f>SUM(INDEX('AEO 2023 36'!$63:$63,MATCH(About!$B$98,'AEO 2023 36'!$1:$1,0)),INDEX('AEO 2023 36'!$71:$71,MATCH(About!$B$98,'AEO 2023 36'!$1:$1,0)),INDEX('AEO 2023 36'!$79:$79,MATCH(About!$B$98,'AEO 2023 36'!$1:$1,0)))/INDEX('AEO 2023 36'!$61:$61,MATCH(About!$B$98,'AEO 2023 36'!$1:$1,0))*INDEX('NTS 1-11'!$12:$12,MATCH(About!$B$98,'NTS 1-11'!$2:$2,0))</f>
        <v>98369.804893824577</v>
      </c>
      <c r="E3" s="20">
        <f>SUM(INDEX('AEO 2023 36'!$65:$65,MATCH(About!$B$98,'AEO 2023 36'!$1:$1,0)),INDEX('AEO 2023 36'!$73:$73,MATCH(About!$B$98,'AEO 2023 36'!$1:$1,0)),INDEX('AEO 2023 36'!$81:$81,MATCH(About!$B$98,'AEO 2023 36'!$1:$1,0)))/INDEX('AEO 2023 36'!$61:$61,MATCH(About!$B$98,'AEO 2023 36'!$1:$1,0))*INDEX('NTS 1-11'!$12:$12,MATCH(About!$B$98,'NTS 1-11'!$2:$2,0))</f>
        <v>703911.92875736777</v>
      </c>
      <c r="F3" s="20">
        <v>0</v>
      </c>
      <c r="G3" s="20">
        <f>SUM(INDEX('AEO 2023 36'!$67:$67,MATCH(About!$B$98,'AEO 2023 36'!$1:$1,0)),INDEX('AEO 2023 36'!$75:$75,MATCH(About!$B$98,'AEO 2023 36'!$1:$1,0)),INDEX('AEO 2023 36'!$83:$83,MATCH(About!$B$98,'AEO 2023 36'!$1:$1,0)))/INDEX('AEO 2023 36'!$61:$61,MATCH(About!$B$98,'AEO 2023 36'!$1:$1,0))*INDEX('NTS 1-11'!$12:$12,MATCH(About!$B$98,'NTS 1-11'!$2:$2,0))</f>
        <v>41837.429476286045</v>
      </c>
      <c r="H3" s="20">
        <f>SUM(INDEX('AEO 2023 36'!$69:$69,MATCH(About!$B$98,'AEO 2023 36'!$1:$1,0)),INDEX('AEO 2023 36'!$77:$77,MATCH(About!$B$98,'AEO 2023 36'!$1:$1,0)),INDEX('AEO 2023 36'!$85:$85,MATCH(About!$B$98,'AEO 2023 36'!$1:$1,0)))/INDEX('AEO 2023 36'!$61:$61,MATCH(About!$B$98,'AEO 2023 36'!$1:$1,0))*INDEX('NTS 1-11'!$12:$12,MATCH(About!$B$98,'NTS 1-11'!$2:$2,0))</f>
        <v>105.31556700313551</v>
      </c>
      <c r="J3" s="177"/>
    </row>
    <row r="4" spans="1:10">
      <c r="A4" s="176" t="s">
        <v>6</v>
      </c>
      <c r="B4" s="20">
        <v>0</v>
      </c>
      <c r="C4" s="20">
        <v>0</v>
      </c>
      <c r="D4" s="20">
        <v>0</v>
      </c>
      <c r="E4" s="20">
        <f>INDEX('AEO 2023 48'!$70:$70,MATCH(2021,'AEO 2023 48'!$1:$1,0))*Misc!A17</f>
        <v>0</v>
      </c>
      <c r="F4" s="20">
        <v>0</v>
      </c>
      <c r="G4" s="20">
        <v>0</v>
      </c>
      <c r="H4" s="20">
        <v>0</v>
      </c>
      <c r="J4" s="177"/>
    </row>
    <row r="5" spans="1:10">
      <c r="A5" s="176" t="s">
        <v>7</v>
      </c>
      <c r="B5" s="20">
        <f>'psgr rail calcs'!O62</f>
        <v>2563.6060360683009</v>
      </c>
      <c r="C5" s="20">
        <v>0</v>
      </c>
      <c r="D5" s="20">
        <v>0</v>
      </c>
      <c r="E5" s="20">
        <f>'psgr rail calcs'!N62</f>
        <v>173.39396393169866</v>
      </c>
      <c r="F5" s="20">
        <v>0</v>
      </c>
      <c r="G5" s="20">
        <v>0</v>
      </c>
      <c r="H5" s="20">
        <v>0</v>
      </c>
      <c r="J5" s="177"/>
    </row>
    <row r="6" spans="1:10">
      <c r="A6" s="176" t="s">
        <v>8</v>
      </c>
      <c r="B6" s="20">
        <v>0</v>
      </c>
      <c r="C6" s="20">
        <v>0</v>
      </c>
      <c r="D6" s="20">
        <f>SUM('NRBS 40'!B5,'NRBS 40'!B7,'NRBS 40'!B8)*1000*Misc!A8</f>
        <v>10231405.018379824</v>
      </c>
      <c r="E6" s="20">
        <f>SUM('NRBS 40'!B5,'NRBS 40'!B7,'NRBS 40'!B8)*1000*Misc!A9</f>
        <v>2473594.5350763109</v>
      </c>
      <c r="F6" s="20">
        <v>0</v>
      </c>
      <c r="G6" s="20">
        <v>0</v>
      </c>
      <c r="H6" s="20">
        <v>0</v>
      </c>
      <c r="J6" s="177"/>
    </row>
    <row r="7" spans="1:10">
      <c r="A7" s="176" t="s">
        <v>9</v>
      </c>
      <c r="B7" s="20">
        <v>0</v>
      </c>
      <c r="C7" s="20">
        <v>0</v>
      </c>
      <c r="D7" s="20">
        <f>'NTS 1-11'!AO8</f>
        <v>9516910</v>
      </c>
      <c r="E7" s="20">
        <v>0</v>
      </c>
      <c r="F7" s="20">
        <v>0</v>
      </c>
      <c r="G7" s="20">
        <v>0</v>
      </c>
      <c r="H7" s="20">
        <v>0</v>
      </c>
      <c r="J7" s="177"/>
    </row>
    <row r="9" spans="1:10">
      <c r="A9" s="20"/>
      <c r="B9" s="20"/>
      <c r="C9" s="20"/>
      <c r="D9" s="20"/>
      <c r="E9" s="20"/>
      <c r="F9" s="20"/>
      <c r="G9" s="20"/>
      <c r="H9" s="20"/>
    </row>
    <row r="10" spans="1:10">
      <c r="A10" s="20"/>
      <c r="B10" s="20"/>
      <c r="C10" s="20"/>
      <c r="D10" s="20"/>
      <c r="E10" s="20"/>
      <c r="F10" s="20"/>
      <c r="G10" s="20"/>
      <c r="H10" s="20"/>
    </row>
    <row r="11" spans="1:10">
      <c r="A11" s="20"/>
      <c r="B11" s="20"/>
      <c r="C11" s="20"/>
      <c r="D11" s="20"/>
      <c r="E11" s="20"/>
      <c r="F11" s="20"/>
      <c r="G11" s="20"/>
      <c r="H11" s="20"/>
    </row>
    <row r="12" spans="1:10">
      <c r="A12" s="20"/>
      <c r="B12" s="20"/>
      <c r="C12" s="20"/>
      <c r="D12" s="20"/>
      <c r="E12" s="20"/>
      <c r="F12" s="20"/>
      <c r="G12" s="20"/>
      <c r="H12" s="20"/>
    </row>
    <row r="13" spans="1:10">
      <c r="A13" s="20"/>
      <c r="B13" s="20"/>
      <c r="C13" s="20"/>
      <c r="D13" s="20"/>
      <c r="E13" s="20"/>
      <c r="F13" s="20"/>
      <c r="G13" s="20"/>
      <c r="H13" s="20"/>
    </row>
    <row r="14" spans="1:10">
      <c r="A14" s="20"/>
      <c r="B14" s="20"/>
      <c r="C14" s="20"/>
      <c r="D14" s="20"/>
      <c r="E14" s="20"/>
      <c r="F14" s="20"/>
      <c r="G14" s="20"/>
      <c r="H14" s="20"/>
    </row>
    <row r="15" spans="1:10">
      <c r="A15" s="20"/>
      <c r="B15" s="20"/>
      <c r="C15" s="20"/>
      <c r="D15" s="20"/>
      <c r="E15" s="20"/>
      <c r="F15" s="20"/>
      <c r="G15" s="20"/>
      <c r="H15" s="20"/>
    </row>
    <row r="17" spans="1:8">
      <c r="A17" s="20"/>
      <c r="B17" s="20"/>
      <c r="C17" s="20"/>
      <c r="D17" s="20"/>
      <c r="E17" s="20"/>
      <c r="F17" s="20"/>
      <c r="G17" s="20"/>
      <c r="H17" s="20"/>
    </row>
    <row r="18" spans="1:8">
      <c r="A18" s="20"/>
      <c r="B18" s="177"/>
      <c r="C18" s="177"/>
      <c r="D18" s="177"/>
      <c r="E18" s="177"/>
      <c r="F18" s="177"/>
      <c r="G18" s="177"/>
      <c r="H18" s="177"/>
    </row>
    <row r="19" spans="1:8">
      <c r="A19" s="20"/>
      <c r="B19" s="177"/>
      <c r="C19" s="177"/>
      <c r="D19" s="177"/>
      <c r="E19" s="177"/>
      <c r="F19" s="177"/>
      <c r="G19" s="177"/>
      <c r="H19" s="177"/>
    </row>
    <row r="20" spans="1:8">
      <c r="A20" s="20"/>
      <c r="B20" s="177"/>
      <c r="C20" s="177"/>
      <c r="D20" s="177"/>
      <c r="E20" s="177"/>
      <c r="F20" s="177"/>
      <c r="G20" s="177"/>
      <c r="H20" s="177"/>
    </row>
    <row r="21" spans="1:8">
      <c r="A21" s="20"/>
      <c r="B21" s="177"/>
      <c r="C21" s="177"/>
      <c r="D21" s="177"/>
      <c r="E21" s="177"/>
      <c r="F21" s="177"/>
      <c r="G21" s="177"/>
      <c r="H21" s="177"/>
    </row>
    <row r="22" spans="1:8">
      <c r="A22" s="20"/>
      <c r="B22" s="177"/>
      <c r="C22" s="177"/>
      <c r="D22" s="177"/>
      <c r="E22" s="177"/>
      <c r="F22" s="177"/>
      <c r="G22" s="177"/>
      <c r="H22" s="177"/>
    </row>
    <row r="23" spans="1:8">
      <c r="A23" s="20"/>
      <c r="B23" s="177"/>
      <c r="C23" s="177"/>
      <c r="D23" s="177"/>
      <c r="E23" s="177"/>
      <c r="F23" s="177"/>
      <c r="G23" s="177"/>
      <c r="H23" s="177"/>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J23"/>
  <sheetViews>
    <sheetView tabSelected="1" workbookViewId="0">
      <selection activeCell="E14" sqref="E14"/>
    </sheetView>
  </sheetViews>
  <sheetFormatPr defaultRowHeight="15"/>
  <cols>
    <col min="1" max="1" width="16.85546875" customWidth="1"/>
    <col min="2" max="8" width="15.140625" customWidth="1"/>
    <col min="9" max="9" width="10" bestFit="1" customWidth="1"/>
    <col min="10" max="10" width="14.42578125" bestFit="1" customWidth="1"/>
  </cols>
  <sheetData>
    <row r="1" spans="1:10" ht="30">
      <c r="A1" s="18" t="s">
        <v>264</v>
      </c>
      <c r="B1" s="5" t="s">
        <v>10</v>
      </c>
      <c r="C1" s="5" t="s">
        <v>11</v>
      </c>
      <c r="D1" s="5" t="s">
        <v>12</v>
      </c>
      <c r="E1" s="5" t="s">
        <v>13</v>
      </c>
      <c r="F1" s="5" t="s">
        <v>14</v>
      </c>
      <c r="G1" s="5" t="s">
        <v>240</v>
      </c>
      <c r="H1" s="5" t="s">
        <v>241</v>
      </c>
    </row>
    <row r="2" spans="1:10">
      <c r="A2" s="1" t="s">
        <v>4</v>
      </c>
      <c r="B2" s="6">
        <f>SUM(INDEX('AEO 2023 45'!66:66,0,MATCH(About!$B$98,'AEO 2023 45'!1:1,0)))*1000+SUM(INDEX('AEO 2023 49'!$139:$139,MATCH(About!$B$98,'AEO 2023 49'!$1:$1,0)),INDEX('AEO 2023 49'!$150:$150,MATCH(About!$B$98,'AEO 2023 49'!$1:$1,0)))*10^6</f>
        <v>368.00000000000006</v>
      </c>
      <c r="C2" s="6">
        <f>SUM(INDEX('AEO 2023 45'!64:64,0,MATCH(About!$B$98,'AEO 2023 45'!1:1,0)))*1000+SUM(INDEX('AEO 2023 49'!$137:$137,MATCH(About!$B$98,'AEO 2023 49'!$1:$1,0)),INDEX('AEO 2023 49'!$148:$148,MATCH(About!$B$98,'AEO 2023 49'!$1:$1,0)))*10^6</f>
        <v>15528.946</v>
      </c>
      <c r="D2" s="6">
        <f>SUM(INDEX('AEO 2023 45'!61:61,MATCH(About!$B$98,'AEO 2023 45'!1:1,0)),INDEX('AEO 2023 45'!65:65,MATCH(About!$B$98,'AEO 2023 45'!1:1,0)))*1000+SUM(INDEX('AEO 2023 49'!$135:$135,MATCH(About!$B$98,'AEO 2023 49'!$1:$1,0)),INDEX('AEO 2023 49'!$138:$138,MATCH(About!$B$98,'AEO 2023 49'!$1:$1,0)),INDEX('AEO 2023 49'!$146:$146,MATCH(About!$B$98,'AEO 2023 49'!$1:$1,0)),INDEX('AEO 2023 49'!$149:$149,MATCH(About!$B$98,'AEO 2023 49'!$1:$1,0)))*10^6</f>
        <v>12709651.744000001</v>
      </c>
      <c r="E2" s="6">
        <f>INDEX('AEO 2023 45'!62:62,MATCH(About!$B$98,'AEO 2023 45'!$1:$1,0))*1000+SUM(INDEX('AEO 2023 49'!$134:$134,MATCH(About!$B$98,'AEO 2023 49'!$1:$1,0)),INDEX('AEO 2023 49'!$145:$145,MATCH(About!$B$98,'AEO 2023 49'!$1:$1,0)))*10^6</f>
        <v>10634736.973000001</v>
      </c>
      <c r="F2" s="6">
        <f>INDEX('AEO 2023 45'!67:67,MATCH(About!$B$98,'AEO 2023 45'!$1:$1,0))*1000+INDEX('AEO 2023 45'!68:68,MATCH(About!$B$98,'AEO 2023 45'!$1:$1,0))*1000+SUM(SUM(INDEX('AEO 2023 49'!$140:$141,0,MATCH(About!$B$98,'AEO 2023 49'!1:1,0))),SUM(INDEX('AEO 2023 49'!$151:$152,0,MATCH(About!$B$98,'AEO 2023 49'!1:1,0))))*10^6</f>
        <v>2288.1999999999998</v>
      </c>
      <c r="G2" s="6">
        <f>SUM(INDEX('AEO 2023 45'!63:63,0,MATCH(About!$B$98,'AEO 2023 45'!1:1,0)))*1000+SUM(INDEX('AEO 2023 49'!$136:$136,MATCH(About!$B$98,'AEO 2023 49'!$1:$1,0)),INDEX('AEO 2023 49'!$147:$147,MATCH(About!$B$98,'AEO 2023 49'!$1:$1,0)))*10^6</f>
        <v>3349.4049999999997</v>
      </c>
      <c r="H2" s="6">
        <f>SUM(INDEX('AEO 2023 45'!69:69,0,MATCH(About!$B$98,'AEO 2023 45'!1:1,0)))*1000+SUM(INDEX('AEO 2023 49'!$142:$142,MATCH(About!$B$98,'AEO 2023 49'!$1:$1,0)),INDEX('AEO 2023 49'!$153:$153,MATCH(About!$B$98,'AEO 2023 49'!$1:$1,0)))*10^6</f>
        <v>0</v>
      </c>
      <c r="J2" s="37"/>
    </row>
    <row r="3" spans="1:10">
      <c r="A3" s="1" t="s">
        <v>5</v>
      </c>
      <c r="B3" s="6">
        <f>INDEX('AEO 2023 49'!$161:$161,MATCH(About!$B$98,'AEO 2023 49'!$1:$1,0))*10^6</f>
        <v>255.00000000000003</v>
      </c>
      <c r="C3" s="6">
        <f>INDEX('AEO 2023 49'!$159:$159,MATCH(About!$B$98,'AEO 2023 49'!$1:$1,0))*10^6</f>
        <v>53506</v>
      </c>
      <c r="D3" s="6">
        <f>SUM(INDEX('AEO 2023 49'!$157:$157,MATCH(About!$B$98,'AEO 2023 49'!$1:$1,0)),INDEX('AEO 2023 49'!$160:$160,MATCH(About!$B$98,'AEO 2023 49'!$1:$1,0)))*10^6</f>
        <v>39244</v>
      </c>
      <c r="E3" s="6">
        <f>INDEX('AEO 2023 49'!$156:$156,MATCH(About!$B$98,'AEO 2023 49'!$1:$1,0))*10^6</f>
        <v>5288878</v>
      </c>
      <c r="F3" s="6">
        <f>SUM(INDEX('AEO 2023 49'!$162:$163,0,MATCH(About!$B$98,'AEO 2023 49'!1:1,0)))*10^6</f>
        <v>0</v>
      </c>
      <c r="G3" s="6">
        <f>INDEX('AEO 2023 49'!$158:$158,MATCH(About!$B$98,'AEO 2023 49'!$1:$1,0))*10^6</f>
        <v>3134</v>
      </c>
      <c r="H3" s="6">
        <f>INDEX('AEO 2023 49'!$164:$164,MATCH(About!$B$98,'AEO 2023 49'!$1:$1,0))*10^6</f>
        <v>0</v>
      </c>
      <c r="J3" s="37"/>
    </row>
    <row r="4" spans="1:10">
      <c r="A4" s="1" t="s">
        <v>6</v>
      </c>
      <c r="B4" s="6">
        <v>0</v>
      </c>
      <c r="C4" s="6">
        <v>0</v>
      </c>
      <c r="D4" s="6">
        <v>0</v>
      </c>
      <c r="E4" s="6">
        <f>INDEX('AEO 2023 48'!$178:$178,MATCH(About!$B$98,'AEO 2023 48'!$1:$1,0))*Misc!A17</f>
        <v>46.014765775534414</v>
      </c>
      <c r="F4" s="6">
        <v>0</v>
      </c>
      <c r="G4" s="6">
        <v>0</v>
      </c>
      <c r="H4" s="6">
        <v>0</v>
      </c>
      <c r="J4" s="37"/>
    </row>
    <row r="5" spans="1:10">
      <c r="A5" s="1" t="s">
        <v>7</v>
      </c>
      <c r="B5" s="6">
        <v>0</v>
      </c>
      <c r="C5" s="6">
        <v>0</v>
      </c>
      <c r="D5" s="6">
        <v>0</v>
      </c>
      <c r="E5" s="6">
        <f>INDEX('NTS 1-11'!$23:$23,MATCH(About!$B$98,'NTS 1-11'!$2:$2,0))*(SUM(FRA!E2:E4)/FRA!E2)</f>
        <v>24526.1775147929</v>
      </c>
      <c r="F5" s="6">
        <v>0</v>
      </c>
      <c r="G5" s="6">
        <v>0</v>
      </c>
      <c r="H5" s="6">
        <v>0</v>
      </c>
      <c r="J5" s="37"/>
    </row>
    <row r="6" spans="1:10">
      <c r="A6" s="1" t="s">
        <v>8</v>
      </c>
      <c r="B6" s="6">
        <v>0</v>
      </c>
      <c r="C6" s="6">
        <v>0</v>
      </c>
      <c r="D6" s="6">
        <v>0</v>
      </c>
      <c r="E6" s="6">
        <f>SUM(INDEX('NTS 1-11'!30:31,0,MATCH(About!$B$98,'NTS 1-11'!2:2,0)))*('AEO 2023 7'!C63/SUM('AEO 2023 7'!C62:C63))</f>
        <v>9678.1610755012989</v>
      </c>
      <c r="F6" s="6">
        <v>0</v>
      </c>
      <c r="G6" s="6">
        <v>0</v>
      </c>
      <c r="H6" s="6">
        <v>0</v>
      </c>
      <c r="J6" s="37"/>
    </row>
    <row r="7" spans="1:10">
      <c r="A7" s="1" t="s">
        <v>9</v>
      </c>
      <c r="B7" s="6">
        <v>0</v>
      </c>
      <c r="C7" s="6">
        <v>0</v>
      </c>
      <c r="D7" s="6">
        <v>0</v>
      </c>
      <c r="E7" s="6">
        <v>0</v>
      </c>
      <c r="F7" s="6">
        <v>0</v>
      </c>
      <c r="G7" s="6">
        <v>0</v>
      </c>
      <c r="H7" s="6">
        <v>0</v>
      </c>
      <c r="J7" s="37"/>
    </row>
    <row r="18" spans="2:8">
      <c r="B18" s="37"/>
      <c r="C18" s="37"/>
      <c r="D18" s="37"/>
      <c r="E18" s="37"/>
      <c r="F18" s="37"/>
      <c r="G18" s="37"/>
      <c r="H18" s="37"/>
    </row>
    <row r="19" spans="2:8">
      <c r="B19" s="37"/>
      <c r="C19" s="37"/>
      <c r="D19" s="37"/>
      <c r="E19" s="37"/>
      <c r="F19" s="37"/>
      <c r="G19" s="37"/>
      <c r="H19" s="37"/>
    </row>
    <row r="20" spans="2:8">
      <c r="B20" s="37"/>
      <c r="C20" s="37"/>
      <c r="D20" s="37"/>
      <c r="E20" s="37"/>
      <c r="F20" s="37"/>
      <c r="G20" s="37"/>
      <c r="H20" s="37"/>
    </row>
    <row r="21" spans="2:8">
      <c r="B21" s="37"/>
      <c r="C21" s="37"/>
      <c r="D21" s="37"/>
      <c r="E21" s="37"/>
      <c r="F21" s="37"/>
      <c r="G21" s="37"/>
      <c r="H21" s="37"/>
    </row>
    <row r="22" spans="2:8">
      <c r="B22" s="37"/>
      <c r="C22" s="37"/>
      <c r="D22" s="37"/>
      <c r="E22" s="37"/>
      <c r="F22" s="37"/>
      <c r="G22" s="37"/>
      <c r="H22" s="37"/>
    </row>
    <row r="23" spans="2:8">
      <c r="B23" s="37"/>
      <c r="C23" s="37"/>
      <c r="D23" s="37"/>
      <c r="E23" s="37"/>
      <c r="F23" s="37"/>
      <c r="G23" s="37"/>
      <c r="H23"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AEO 2023 7</vt:lpstr>
      <vt:lpstr>AEO 2023 36</vt:lpstr>
      <vt:lpstr>AEO 2023 39</vt:lpstr>
      <vt:lpstr>AEO 2023 45</vt:lpstr>
      <vt:lpstr>AEO 2023 48</vt:lpstr>
      <vt:lpstr>AEO 2023 49</vt:lpstr>
      <vt:lpstr>AEO 2023 47</vt:lpstr>
      <vt:lpstr>NTS 1-11</vt:lpstr>
      <vt:lpstr>NRBS 40</vt:lpstr>
      <vt:lpstr>FRA</vt:lpstr>
      <vt:lpstr>Misc</vt:lpstr>
      <vt:lpstr>Annual Service Data_rail only</vt:lpstr>
      <vt:lpstr>Fuel and Energy_rail only</vt:lpstr>
      <vt:lpstr>psgr rail calcs</vt:lpstr>
      <vt:lpstr>SYVbT-passenger</vt:lpstr>
      <vt:lpstr>SYVbT-freight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2025-12-11T00:17:08Z</dcterms:modified>
</cp:coreProperties>
</file>