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CE8FFF32-1722-47C3-BA7D-F3411219F661}" xr6:coauthVersionLast="47" xr6:coauthVersionMax="47" xr10:uidLastSave="{00000000-0000-0000-0000-000000000000}"/>
  <bookViews>
    <workbookView xWindow="-90" yWindow="-90" windowWidth="19380" windowHeight="10260" firstSheet="16" activeTab="18" xr2:uid="{00000000-000D-0000-FFFF-FFFF00000000}"/>
  </bookViews>
  <sheets>
    <sheet name="About" sheetId="1" r:id="rId1"/>
    <sheet name="source data&gt;" sheetId="21" r:id="rId2"/>
    <sheet name="AEO 2023 7" sheetId="10" r:id="rId3"/>
    <sheet name="AEO 2023 36" sheetId="11" r:id="rId4"/>
    <sheet name="AEO 2023 39" sheetId="9" r:id="rId5"/>
    <sheet name="AEO 2023 45" sheetId="14" r:id="rId6"/>
    <sheet name="AEO 2023 48" sheetId="5" r:id="rId7"/>
    <sheet name="AEO 2025 48" sheetId="20" r:id="rId8"/>
    <sheet name="AEO 2023 49" sheetId="6" r:id="rId9"/>
    <sheet name="AEO 2023 47" sheetId="19" r:id="rId10"/>
    <sheet name="NTS 1-11" sheetId="7" r:id="rId11"/>
    <sheet name="NRBS 40" sheetId="15" r:id="rId12"/>
    <sheet name="FRA" sheetId="13" r:id="rId13"/>
    <sheet name="Misc" sheetId="8" r:id="rId14"/>
    <sheet name="Annual Service Data_rail only" sheetId="16" r:id="rId15"/>
    <sheet name="Fuel and Energy_rail only" sheetId="17" r:id="rId16"/>
    <sheet name="calcs&gt;" sheetId="22" r:id="rId17"/>
    <sheet name="psgr rail calcs" sheetId="18" r:id="rId18"/>
    <sheet name="calcs" sheetId="23" r:id="rId19"/>
    <sheet name="SYVbT-passenger" sheetId="2" r:id="rId20"/>
    <sheet name="SYVbT-freight" sheetId="4" r:id="rId21"/>
  </sheets>
  <definedNames>
    <definedName name="_xlnm._FilterDatabase" localSheetId="14" hidden="1">'Annual Service Data_rail only'!$A$1:$AX$1</definedName>
    <definedName name="Eno_TM">#REF!</definedName>
    <definedName name="Eno_Tons">#REF!</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23" l="1"/>
  <c r="E4" i="4" s="1"/>
  <c r="E5" i="23"/>
  <c r="E4" i="2" s="1"/>
  <c r="C2" i="4"/>
  <c r="D2" i="4"/>
  <c r="E2" i="4"/>
  <c r="F2" i="4"/>
  <c r="G2" i="4"/>
  <c r="H2" i="4"/>
  <c r="C3" i="4"/>
  <c r="D3" i="4"/>
  <c r="E3" i="4"/>
  <c r="F3" i="4"/>
  <c r="G3" i="4"/>
  <c r="H3" i="4"/>
  <c r="C4" i="4"/>
  <c r="D4" i="4"/>
  <c r="F4" i="4"/>
  <c r="G4" i="4"/>
  <c r="H4" i="4"/>
  <c r="C5" i="4"/>
  <c r="D5" i="4"/>
  <c r="E5" i="4"/>
  <c r="F5" i="4"/>
  <c r="G5" i="4"/>
  <c r="H5" i="4"/>
  <c r="C6" i="4"/>
  <c r="D6" i="4"/>
  <c r="E6" i="4"/>
  <c r="F6" i="4"/>
  <c r="G6" i="4"/>
  <c r="H6" i="4"/>
  <c r="C7" i="4"/>
  <c r="D7" i="4"/>
  <c r="E7" i="4"/>
  <c r="F7" i="4"/>
  <c r="G7" i="4"/>
  <c r="H7" i="4"/>
  <c r="B3" i="4"/>
  <c r="B4" i="4"/>
  <c r="B5" i="4"/>
  <c r="B6" i="4"/>
  <c r="B7" i="4"/>
  <c r="B2" i="4"/>
  <c r="C2" i="2"/>
  <c r="D2" i="2"/>
  <c r="E2" i="2"/>
  <c r="F2" i="2"/>
  <c r="G2" i="2"/>
  <c r="H2" i="2"/>
  <c r="C3" i="2"/>
  <c r="D3" i="2"/>
  <c r="E3" i="2"/>
  <c r="F3" i="2"/>
  <c r="G3" i="2"/>
  <c r="H3" i="2"/>
  <c r="C4" i="2"/>
  <c r="D4" i="2"/>
  <c r="F4" i="2"/>
  <c r="G4" i="2"/>
  <c r="H4" i="2"/>
  <c r="C5" i="2"/>
  <c r="D5" i="2"/>
  <c r="E5" i="2"/>
  <c r="F5" i="2"/>
  <c r="G5" i="2"/>
  <c r="H5" i="2"/>
  <c r="C6" i="2"/>
  <c r="D6" i="2"/>
  <c r="E6" i="2"/>
  <c r="F6" i="2"/>
  <c r="G6" i="2"/>
  <c r="H6" i="2"/>
  <c r="C7" i="2"/>
  <c r="D7" i="2"/>
  <c r="E7" i="2"/>
  <c r="F7" i="2"/>
  <c r="G7" i="2"/>
  <c r="H7" i="2"/>
  <c r="B3" i="2"/>
  <c r="B4" i="2"/>
  <c r="B5" i="2"/>
  <c r="B6" i="2"/>
  <c r="B7" i="2"/>
  <c r="B2" i="2"/>
  <c r="B12" i="23"/>
  <c r="C12" i="23"/>
  <c r="D12" i="23"/>
  <c r="E12" i="23"/>
  <c r="F12" i="23"/>
  <c r="G12" i="23"/>
  <c r="H12" i="23"/>
  <c r="B13" i="23"/>
  <c r="C13" i="23"/>
  <c r="D13" i="23"/>
  <c r="E13" i="23"/>
  <c r="F13" i="23"/>
  <c r="G13" i="23"/>
  <c r="H13" i="23"/>
  <c r="E15" i="23"/>
  <c r="E16" i="23"/>
  <c r="B3" i="23"/>
  <c r="C3" i="23"/>
  <c r="D3" i="23"/>
  <c r="E3" i="23"/>
  <c r="F3" i="23"/>
  <c r="G3" i="23"/>
  <c r="H3" i="23"/>
  <c r="B4" i="23"/>
  <c r="C4" i="23"/>
  <c r="D4" i="23"/>
  <c r="E4" i="23"/>
  <c r="G4" i="23"/>
  <c r="H4" i="23"/>
  <c r="B6" i="23"/>
  <c r="E6" i="23"/>
  <c r="D7" i="23"/>
  <c r="E7" i="23"/>
  <c r="D8" i="23"/>
  <c r="A5" i="8"/>
  <c r="A17" i="8" l="1"/>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A8" i="8"/>
  <c r="A6" i="8" l="1"/>
  <c r="A9" i="8"/>
</calcChain>
</file>

<file path=xl/sharedStrings.xml><?xml version="1.0" encoding="utf-8"?>
<sst xmlns="http://schemas.openxmlformats.org/spreadsheetml/2006/main" count="5849" uniqueCount="2802">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</sst>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6">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143" applyNumberFormat="1" applyFont="1"/>
    <xf numFmtId="0" fontId="0" fillId="31" borderId="0" xfId="0" applyFill="1"/>
    <xf numFmtId="10" fontId="0" fillId="31" borderId="0" xfId="0" applyNumberFormat="1" applyFill="1"/>
    <xf numFmtId="0" fontId="63" fillId="0" borderId="1" xfId="162" applyFont="1">
      <alignment wrapText="1"/>
    </xf>
    <xf numFmtId="0" fontId="0" fillId="0" borderId="1" xfId="0" applyBorder="1"/>
    <xf numFmtId="0" fontId="3" fillId="0" borderId="0" xfId="0" applyFont="1"/>
    <xf numFmtId="0" fontId="0" fillId="0" borderId="0" xfId="0"/>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35" workbookViewId="0">
      <selection activeCell="B14" sqref="B14"/>
    </sheetView>
  </sheetViews>
  <sheetFormatPr defaultRowHeight="14.75"/>
  <cols>
    <col min="2" max="2" width="73.1328125" customWidth="1"/>
  </cols>
  <sheetData>
    <row r="1" spans="1:2">
      <c r="A1" s="1" t="s">
        <v>0</v>
      </c>
    </row>
    <row r="3" spans="1:2">
      <c r="A3" s="1" t="s">
        <v>1</v>
      </c>
      <c r="B3" s="2" t="s">
        <v>430</v>
      </c>
    </row>
    <row r="4" spans="1:2">
      <c r="B4" t="s">
        <v>26</v>
      </c>
    </row>
    <row r="5" spans="1:2">
      <c r="B5" s="3">
        <v>2023</v>
      </c>
    </row>
    <row r="6" spans="1:2">
      <c r="B6" t="s">
        <v>834</v>
      </c>
    </row>
    <row r="7" spans="1:2">
      <c r="B7" t="s">
        <v>201</v>
      </c>
    </row>
    <row r="8" spans="1:2">
      <c r="B8" t="s">
        <v>433</v>
      </c>
    </row>
    <row r="10" spans="1:2">
      <c r="B10" s="2" t="s">
        <v>431</v>
      </c>
    </row>
    <row r="11" spans="1:2">
      <c r="B11" t="s">
        <v>26</v>
      </c>
    </row>
    <row r="12" spans="1:2">
      <c r="B12" s="3">
        <v>2023</v>
      </c>
    </row>
    <row r="13" spans="1:2">
      <c r="B13" t="s">
        <v>834</v>
      </c>
    </row>
    <row r="14" spans="1:2">
      <c r="B14" t="s">
        <v>201</v>
      </c>
    </row>
    <row r="15" spans="1:2">
      <c r="B15" t="s">
        <v>432</v>
      </c>
    </row>
    <row r="17" spans="2:3">
      <c r="B17" s="2" t="s">
        <v>258</v>
      </c>
      <c r="C17" t="s">
        <v>448</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2023</v>
      </c>
    </row>
    <row r="41" spans="2:2">
      <c r="B41" t="s">
        <v>834</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2023</v>
      </c>
    </row>
    <row r="55" spans="2:2">
      <c r="B55" t="s">
        <v>834</v>
      </c>
    </row>
    <row r="56" spans="2:2">
      <c r="B56" t="s">
        <v>28</v>
      </c>
    </row>
    <row r="57" spans="2:2">
      <c r="B57" t="s">
        <v>429</v>
      </c>
    </row>
    <row r="59" spans="2:2">
      <c r="B59" s="41" t="s">
        <v>449</v>
      </c>
    </row>
    <row r="60" spans="2:2">
      <c r="B60" s="3" t="s">
        <v>450</v>
      </c>
    </row>
    <row r="61" spans="2:2">
      <c r="B61" s="3" t="s">
        <v>451</v>
      </c>
    </row>
    <row r="62" spans="2:2">
      <c r="B62" s="3">
        <v>2020</v>
      </c>
    </row>
    <row r="63" spans="2:2">
      <c r="B63" s="42" t="s">
        <v>452</v>
      </c>
    </row>
    <row r="66" spans="1:1">
      <c r="A66" s="1" t="s">
        <v>2</v>
      </c>
    </row>
    <row r="67" spans="1:1">
      <c r="A67" t="s">
        <v>3</v>
      </c>
    </row>
    <row r="68" spans="1:1">
      <c r="A68" t="s">
        <v>425</v>
      </c>
    </row>
    <row r="69" spans="1:1">
      <c r="A69" t="s">
        <v>426</v>
      </c>
    </row>
    <row r="71" spans="1:1">
      <c r="A71" t="s">
        <v>427</v>
      </c>
    </row>
    <row r="72" spans="1:1">
      <c r="A72" t="s">
        <v>428</v>
      </c>
    </row>
    <row r="74" spans="1:1">
      <c r="A74" t="s">
        <v>197</v>
      </c>
    </row>
    <row r="75" spans="1:1">
      <c r="A75" t="s">
        <v>221</v>
      </c>
    </row>
    <row r="76" spans="1:1">
      <c r="A76" t="s">
        <v>222</v>
      </c>
    </row>
    <row r="77" spans="1:1">
      <c r="A77" t="s">
        <v>223</v>
      </c>
    </row>
    <row r="79" spans="1:1">
      <c r="A79" t="s">
        <v>453</v>
      </c>
    </row>
    <row r="80" spans="1:1">
      <c r="A80" t="s">
        <v>454</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1172</v>
      </c>
    </row>
    <row r="92" spans="1:1">
      <c r="A92" t="s">
        <v>1173</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0625" customWidth="1"/>
    <col min="2" max="2" width="45.7265625" customWidth="1"/>
  </cols>
  <sheetData>
    <row r="1" spans="1:33" ht="15" customHeight="1" thickBot="1">
      <c r="B1" s="130" t="s">
        <v>833</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834</v>
      </c>
      <c r="E3" s="105"/>
      <c r="F3" s="105"/>
      <c r="G3" s="105"/>
    </row>
    <row r="4" spans="1:33" ht="15" customHeight="1">
      <c r="C4" s="132" t="s">
        <v>24</v>
      </c>
      <c r="D4" s="132" t="s">
        <v>835</v>
      </c>
      <c r="E4" s="105"/>
      <c r="F4" s="105"/>
      <c r="G4" s="132" t="s">
        <v>836</v>
      </c>
    </row>
    <row r="5" spans="1:33" ht="15" customHeight="1">
      <c r="C5" s="132" t="s">
        <v>23</v>
      </c>
      <c r="D5" s="132" t="s">
        <v>837</v>
      </c>
      <c r="E5" s="105"/>
      <c r="F5" s="105"/>
      <c r="G5" s="105"/>
    </row>
    <row r="6" spans="1:33" ht="15" customHeight="1">
      <c r="C6" s="132" t="s">
        <v>22</v>
      </c>
      <c r="D6" s="105"/>
      <c r="E6" s="132" t="s">
        <v>838</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1170</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841</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842</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843</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2331</v>
      </c>
      <c r="B69" s="140" t="s">
        <v>2332</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2333</v>
      </c>
      <c r="B86" s="140" t="s">
        <v>2332</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2" t="s">
        <v>2334</v>
      </c>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47"/>
    </row>
    <row r="90" spans="1:34" ht="15" customHeight="1">
      <c r="B90" s="17" t="s">
        <v>434</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435</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2335</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436</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437</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2336</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438</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439</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440</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1168</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2337</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c r="AA112" s="174"/>
      <c r="AB112" s="174"/>
      <c r="AC112" s="174"/>
      <c r="AD112" s="174"/>
      <c r="AE112" s="174"/>
      <c r="AF112" s="174"/>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sheetData>
  <mergeCells count="21">
    <mergeCell ref="B2837:AF2837"/>
    <mergeCell ref="B2153:AF2153"/>
    <mergeCell ref="B2317:AF2317"/>
    <mergeCell ref="B2419:AF2419"/>
    <mergeCell ref="B2509:AF2509"/>
    <mergeCell ref="B2598:AF2598"/>
    <mergeCell ref="B1604:AF1604"/>
    <mergeCell ref="B1699:AF1699"/>
    <mergeCell ref="B1945:AF1945"/>
    <mergeCell ref="B2031:AF2031"/>
    <mergeCell ref="B2719:AF2719"/>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6328125" customWidth="1"/>
    <col min="2" max="2" width="64.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2" spans="1:35"/>
    <row r="3" spans="1:35"/>
    <row r="4" spans="1:35"/>
    <row r="5" spans="1:35"/>
    <row r="6" spans="1:35"/>
    <row r="7" spans="1:35"/>
    <row r="8" spans="1:35"/>
    <row r="9" spans="1:35"/>
    <row r="10" spans="1:35">
      <c r="A10" t="s">
        <v>300</v>
      </c>
    </row>
    <row r="11" spans="1:35">
      <c r="A11" t="s">
        <v>1367</v>
      </c>
    </row>
    <row r="12" spans="1:35">
      <c r="A12" t="s">
        <v>2338</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196</v>
      </c>
      <c r="B15" t="s">
        <v>1365</v>
      </c>
      <c r="C15" t="s">
        <v>1364</v>
      </c>
      <c r="D15" t="s">
        <v>305</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273</v>
      </c>
      <c r="B16" t="s">
        <v>1363</v>
      </c>
      <c r="C16" t="s">
        <v>1362</v>
      </c>
      <c r="D16" t="s">
        <v>305</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274</v>
      </c>
      <c r="B17" t="s">
        <v>1361</v>
      </c>
      <c r="C17" t="s">
        <v>1360</v>
      </c>
      <c r="D17" t="s">
        <v>305</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275</v>
      </c>
      <c r="B18" t="s">
        <v>1359</v>
      </c>
      <c r="C18" t="s">
        <v>1358</v>
      </c>
      <c r="D18" t="s">
        <v>305</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276</v>
      </c>
      <c r="B19" t="s">
        <v>1357</v>
      </c>
      <c r="C19" t="s">
        <v>1356</v>
      </c>
      <c r="D19" t="s">
        <v>305</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277</v>
      </c>
      <c r="B20" t="s">
        <v>1355</v>
      </c>
      <c r="C20" t="s">
        <v>1354</v>
      </c>
      <c r="D20" t="s">
        <v>305</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278</v>
      </c>
      <c r="B21" t="s">
        <v>1353</v>
      </c>
      <c r="C21" t="s">
        <v>1352</v>
      </c>
      <c r="D21" t="s">
        <v>305</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279</v>
      </c>
      <c r="B22" t="s">
        <v>1351</v>
      </c>
      <c r="C22" t="s">
        <v>1350</v>
      </c>
      <c r="D22" t="s">
        <v>305</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280</v>
      </c>
      <c r="B23" t="s">
        <v>1349</v>
      </c>
      <c r="C23" t="s">
        <v>1348</v>
      </c>
      <c r="D23" t="s">
        <v>305</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273</v>
      </c>
      <c r="B24" t="s">
        <v>1347</v>
      </c>
      <c r="C24" t="s">
        <v>1346</v>
      </c>
      <c r="D24" t="s">
        <v>305</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274</v>
      </c>
      <c r="B25" t="s">
        <v>1345</v>
      </c>
      <c r="C25" t="s">
        <v>1344</v>
      </c>
      <c r="D25" t="s">
        <v>305</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275</v>
      </c>
      <c r="B26" t="s">
        <v>1343</v>
      </c>
      <c r="C26" t="s">
        <v>1342</v>
      </c>
      <c r="D26" t="s">
        <v>305</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277</v>
      </c>
      <c r="B27" t="s">
        <v>1341</v>
      </c>
      <c r="C27" t="s">
        <v>1340</v>
      </c>
      <c r="D27" t="s">
        <v>305</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276</v>
      </c>
      <c r="B28" t="s">
        <v>1339</v>
      </c>
      <c r="C28" t="s">
        <v>1338</v>
      </c>
      <c r="D28" t="s">
        <v>305</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278</v>
      </c>
      <c r="B29" t="s">
        <v>1337</v>
      </c>
      <c r="C29" t="s">
        <v>1336</v>
      </c>
      <c r="D29" t="s">
        <v>305</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279</v>
      </c>
      <c r="B30" t="s">
        <v>1335</v>
      </c>
      <c r="C30" t="s">
        <v>1334</v>
      </c>
      <c r="D30" t="s">
        <v>305</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281</v>
      </c>
      <c r="B31" t="s">
        <v>1333</v>
      </c>
      <c r="C31" t="s">
        <v>1332</v>
      </c>
      <c r="D31" t="s">
        <v>305</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282</v>
      </c>
      <c r="B32" t="s">
        <v>1331</v>
      </c>
      <c r="C32" t="s">
        <v>1330</v>
      </c>
      <c r="D32" t="s">
        <v>305</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275</v>
      </c>
      <c r="B33" t="s">
        <v>1329</v>
      </c>
      <c r="C33" t="s">
        <v>1328</v>
      </c>
      <c r="D33" t="s">
        <v>305</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276</v>
      </c>
      <c r="B34" t="s">
        <v>1327</v>
      </c>
      <c r="C34" t="s">
        <v>1326</v>
      </c>
      <c r="D34" t="s">
        <v>305</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277</v>
      </c>
      <c r="B35" t="s">
        <v>1325</v>
      </c>
      <c r="C35" t="s">
        <v>1324</v>
      </c>
      <c r="D35" t="s">
        <v>305</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274</v>
      </c>
      <c r="B36" t="s">
        <v>1323</v>
      </c>
      <c r="C36" t="s">
        <v>1322</v>
      </c>
      <c r="D36" t="s">
        <v>305</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278</v>
      </c>
      <c r="B37" t="s">
        <v>1321</v>
      </c>
      <c r="C37" t="s">
        <v>1320</v>
      </c>
      <c r="D37" t="s">
        <v>305</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279</v>
      </c>
      <c r="B38" t="s">
        <v>1319</v>
      </c>
      <c r="C38" t="s">
        <v>1318</v>
      </c>
      <c r="D38" t="s">
        <v>305</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283</v>
      </c>
      <c r="B39" t="s">
        <v>1317</v>
      </c>
      <c r="C39" t="s">
        <v>1316</v>
      </c>
      <c r="D39" t="s">
        <v>305</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275</v>
      </c>
      <c r="B40" t="s">
        <v>1315</v>
      </c>
      <c r="C40" t="s">
        <v>1314</v>
      </c>
      <c r="D40" t="s">
        <v>305</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284</v>
      </c>
      <c r="B41" t="s">
        <v>1313</v>
      </c>
      <c r="C41" t="s">
        <v>1312</v>
      </c>
      <c r="D41" t="s">
        <v>305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285</v>
      </c>
      <c r="B42" t="s">
        <v>1311</v>
      </c>
      <c r="C42" t="s">
        <v>1310</v>
      </c>
      <c r="D42" t="s">
        <v>305</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286</v>
      </c>
      <c r="B43" t="s">
        <v>1309</v>
      </c>
      <c r="C43" t="s">
        <v>1308</v>
      </c>
      <c r="D43" t="s">
        <v>305</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1307</v>
      </c>
      <c r="C44" t="s">
        <v>1306</v>
      </c>
      <c r="D44" t="s">
        <v>305</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275</v>
      </c>
      <c r="B45" t="s">
        <v>1305</v>
      </c>
      <c r="C45" t="s">
        <v>1304</v>
      </c>
      <c r="D45" t="s">
        <v>305</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287</v>
      </c>
      <c r="B46" t="s">
        <v>1303</v>
      </c>
      <c r="C46" t="s">
        <v>1302</v>
      </c>
      <c r="D46" t="s">
        <v>305</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285</v>
      </c>
      <c r="B47" t="s">
        <v>1301</v>
      </c>
      <c r="C47" t="s">
        <v>1300</v>
      </c>
      <c r="D47" t="s">
        <v>305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286</v>
      </c>
      <c r="B48" t="s">
        <v>1299</v>
      </c>
      <c r="C48" t="s">
        <v>1298</v>
      </c>
      <c r="D48" t="s">
        <v>305</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1297</v>
      </c>
      <c r="C49" t="s">
        <v>1296</v>
      </c>
      <c r="D49" t="s">
        <v>305</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275</v>
      </c>
      <c r="B50" t="s">
        <v>1295</v>
      </c>
      <c r="C50" t="s">
        <v>1294</v>
      </c>
      <c r="D50" t="s">
        <v>305</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287</v>
      </c>
      <c r="B51" t="s">
        <v>1293</v>
      </c>
      <c r="C51" t="s">
        <v>1292</v>
      </c>
      <c r="D51" t="s">
        <v>305</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285</v>
      </c>
      <c r="B52" t="s">
        <v>1291</v>
      </c>
      <c r="C52" t="s">
        <v>1290</v>
      </c>
      <c r="D52" t="s">
        <v>305</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286</v>
      </c>
      <c r="B53" t="s">
        <v>1289</v>
      </c>
      <c r="C53" t="s">
        <v>1288</v>
      </c>
      <c r="D53" t="s">
        <v>305</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1287</v>
      </c>
      <c r="C54" t="s">
        <v>1286</v>
      </c>
      <c r="D54" t="s">
        <v>305</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288</v>
      </c>
      <c r="B55" t="s">
        <v>1285</v>
      </c>
      <c r="C55" t="s">
        <v>1284</v>
      </c>
      <c r="D55" t="s">
        <v>305</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289</v>
      </c>
      <c r="B56" t="s">
        <v>1283</v>
      </c>
      <c r="C56" t="s">
        <v>1282</v>
      </c>
      <c r="D56" t="s">
        <v>305</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1281</v>
      </c>
      <c r="C57" t="s">
        <v>1280</v>
      </c>
      <c r="D57" t="s">
        <v>305</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290</v>
      </c>
      <c r="B58" t="s">
        <v>1279</v>
      </c>
      <c r="C58" t="s">
        <v>1278</v>
      </c>
      <c r="D58" t="s">
        <v>305</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284</v>
      </c>
      <c r="B59" t="s">
        <v>1277</v>
      </c>
      <c r="C59" t="s">
        <v>1276</v>
      </c>
      <c r="D59" t="s">
        <v>305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291</v>
      </c>
      <c r="B60" t="s">
        <v>1275</v>
      </c>
      <c r="C60" t="s">
        <v>1274</v>
      </c>
      <c r="D60" t="s">
        <v>305</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1273</v>
      </c>
      <c r="C61" t="s">
        <v>1272</v>
      </c>
      <c r="D61" t="s">
        <v>305</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292</v>
      </c>
      <c r="B62" t="s">
        <v>1271</v>
      </c>
      <c r="C62" t="s">
        <v>1270</v>
      </c>
      <c r="D62" t="s">
        <v>305</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282</v>
      </c>
      <c r="B63" t="s">
        <v>1269</v>
      </c>
      <c r="C63" t="s">
        <v>1268</v>
      </c>
      <c r="D63" t="s">
        <v>305</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274</v>
      </c>
      <c r="B64" t="s">
        <v>1267</v>
      </c>
      <c r="C64" t="s">
        <v>1266</v>
      </c>
      <c r="D64" t="s">
        <v>305</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275</v>
      </c>
      <c r="B65" t="s">
        <v>1265</v>
      </c>
      <c r="C65" t="s">
        <v>1264</v>
      </c>
      <c r="D65" t="s">
        <v>305</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276</v>
      </c>
      <c r="B66" t="s">
        <v>1263</v>
      </c>
      <c r="C66" t="s">
        <v>1262</v>
      </c>
      <c r="D66" t="s">
        <v>305</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277</v>
      </c>
      <c r="B67" t="s">
        <v>1261</v>
      </c>
      <c r="C67" t="s">
        <v>1260</v>
      </c>
      <c r="D67" t="s">
        <v>305</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278</v>
      </c>
      <c r="B68" t="s">
        <v>1259</v>
      </c>
      <c r="C68" t="s">
        <v>1258</v>
      </c>
      <c r="D68" t="s">
        <v>305</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279</v>
      </c>
      <c r="B69" t="s">
        <v>1257</v>
      </c>
      <c r="C69" t="s">
        <v>1256</v>
      </c>
      <c r="D69" t="s">
        <v>305</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293</v>
      </c>
      <c r="B70" t="s">
        <v>1255</v>
      </c>
      <c r="C70" t="s">
        <v>1254</v>
      </c>
      <c r="D70" t="s">
        <v>305</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282</v>
      </c>
      <c r="B71" t="s">
        <v>1253</v>
      </c>
      <c r="C71" t="s">
        <v>1252</v>
      </c>
      <c r="D71" t="s">
        <v>305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274</v>
      </c>
      <c r="B72" t="s">
        <v>1251</v>
      </c>
      <c r="C72" t="s">
        <v>1250</v>
      </c>
      <c r="D72" t="s">
        <v>305</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275</v>
      </c>
      <c r="B73" t="s">
        <v>1249</v>
      </c>
      <c r="C73" t="s">
        <v>1248</v>
      </c>
      <c r="D73" t="s">
        <v>305</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276</v>
      </c>
      <c r="B74" t="s">
        <v>1247</v>
      </c>
      <c r="C74" t="s">
        <v>1246</v>
      </c>
      <c r="D74" t="s">
        <v>305</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277</v>
      </c>
      <c r="B75" t="s">
        <v>1245</v>
      </c>
      <c r="C75" t="s">
        <v>1244</v>
      </c>
      <c r="D75" t="s">
        <v>305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278</v>
      </c>
      <c r="B76" t="s">
        <v>1243</v>
      </c>
      <c r="C76" t="s">
        <v>1242</v>
      </c>
      <c r="D76" t="s">
        <v>305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279</v>
      </c>
      <c r="B77" t="s">
        <v>1241</v>
      </c>
      <c r="C77" t="s">
        <v>1240</v>
      </c>
      <c r="D77" t="s">
        <v>305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294</v>
      </c>
      <c r="B78" t="s">
        <v>1239</v>
      </c>
      <c r="C78" t="s">
        <v>1238</v>
      </c>
      <c r="D78" t="s">
        <v>305</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282</v>
      </c>
      <c r="B79" t="s">
        <v>1237</v>
      </c>
      <c r="C79" t="s">
        <v>1236</v>
      </c>
      <c r="D79" t="s">
        <v>305</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274</v>
      </c>
      <c r="B80" t="s">
        <v>1235</v>
      </c>
      <c r="C80" t="s">
        <v>1234</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275</v>
      </c>
      <c r="B81" t="s">
        <v>1233</v>
      </c>
      <c r="C81" t="s">
        <v>1232</v>
      </c>
      <c r="D81" t="s">
        <v>305</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276</v>
      </c>
      <c r="B82" t="s">
        <v>1231</v>
      </c>
      <c r="C82" t="s">
        <v>1230</v>
      </c>
      <c r="D82" t="s">
        <v>305</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277</v>
      </c>
      <c r="B83" t="s">
        <v>1229</v>
      </c>
      <c r="C83" t="s">
        <v>1228</v>
      </c>
      <c r="D83" t="s">
        <v>305</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278</v>
      </c>
      <c r="B84" t="s">
        <v>1227</v>
      </c>
      <c r="C84" t="s">
        <v>1226</v>
      </c>
      <c r="D84" t="s">
        <v>305</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279</v>
      </c>
      <c r="B85" t="s">
        <v>1225</v>
      </c>
      <c r="C85" t="s">
        <v>1224</v>
      </c>
      <c r="D85" t="s">
        <v>305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1223</v>
      </c>
      <c r="C86" t="s">
        <v>1222</v>
      </c>
      <c r="D86" t="s">
        <v>305</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295</v>
      </c>
      <c r="B87" t="s">
        <v>1221</v>
      </c>
      <c r="C87" t="s">
        <v>1220</v>
      </c>
      <c r="D87" t="s">
        <v>305</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278</v>
      </c>
      <c r="B88" t="s">
        <v>1219</v>
      </c>
      <c r="C88" t="s">
        <v>1218</v>
      </c>
      <c r="D88" t="s">
        <v>305</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296</v>
      </c>
      <c r="B89" t="s">
        <v>1217</v>
      </c>
      <c r="C89" t="s">
        <v>1216</v>
      </c>
      <c r="D89" t="s">
        <v>305</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285</v>
      </c>
      <c r="B90" t="s">
        <v>1215</v>
      </c>
      <c r="C90" t="s">
        <v>1214</v>
      </c>
      <c r="D90" t="s">
        <v>305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286</v>
      </c>
      <c r="B91" t="s">
        <v>1213</v>
      </c>
      <c r="C91" t="s">
        <v>1212</v>
      </c>
      <c r="D91" t="s">
        <v>305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297</v>
      </c>
      <c r="B92" t="s">
        <v>1211</v>
      </c>
      <c r="C92" t="s">
        <v>1210</v>
      </c>
      <c r="D92" t="s">
        <v>305</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278</v>
      </c>
      <c r="B93" t="s">
        <v>1209</v>
      </c>
      <c r="C93" t="s">
        <v>1208</v>
      </c>
      <c r="D93" t="s">
        <v>305</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298</v>
      </c>
      <c r="B94" t="s">
        <v>1207</v>
      </c>
      <c r="C94" t="s">
        <v>1206</v>
      </c>
      <c r="D94" t="s">
        <v>305</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278</v>
      </c>
      <c r="B95" t="s">
        <v>1205</v>
      </c>
      <c r="C95" t="s">
        <v>1204</v>
      </c>
      <c r="D95" t="s">
        <v>305</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296</v>
      </c>
      <c r="B96" t="s">
        <v>1203</v>
      </c>
      <c r="C96" t="s">
        <v>1202</v>
      </c>
      <c r="D96" t="s">
        <v>305</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285</v>
      </c>
      <c r="B97" t="s">
        <v>1201</v>
      </c>
      <c r="C97" t="s">
        <v>1200</v>
      </c>
      <c r="D97" t="s">
        <v>305</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286</v>
      </c>
      <c r="B98" t="s">
        <v>1199</v>
      </c>
      <c r="C98" t="s">
        <v>1198</v>
      </c>
      <c r="D98" t="s">
        <v>305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1197</v>
      </c>
      <c r="C99" t="s">
        <v>1196</v>
      </c>
      <c r="D99" t="s">
        <v>305</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299</v>
      </c>
      <c r="B100" t="s">
        <v>1195</v>
      </c>
      <c r="C100" t="s">
        <v>1194</v>
      </c>
      <c r="D100" t="s">
        <v>305</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275</v>
      </c>
      <c r="B101" t="s">
        <v>1193</v>
      </c>
      <c r="C101" t="s">
        <v>1192</v>
      </c>
      <c r="D101" t="s">
        <v>305</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1191</v>
      </c>
      <c r="C102" t="s">
        <v>1190</v>
      </c>
      <c r="D102" t="s">
        <v>305</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1189</v>
      </c>
      <c r="C103" t="s">
        <v>1188</v>
      </c>
      <c r="D103" t="s">
        <v>305</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1187</v>
      </c>
      <c r="B104" t="s">
        <v>1186</v>
      </c>
      <c r="C104" t="s">
        <v>1185</v>
      </c>
      <c r="D104" t="s">
        <v>305</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1184</v>
      </c>
      <c r="C105" t="s">
        <v>1183</v>
      </c>
      <c r="D105" t="s">
        <v>305</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306</v>
      </c>
    </row>
    <row r="11" spans="1:35">
      <c r="A11" t="s">
        <v>1562</v>
      </c>
    </row>
    <row r="12" spans="1:35">
      <c r="A12" t="s">
        <v>2339</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1561</v>
      </c>
      <c r="C17" t="s">
        <v>1560</v>
      </c>
      <c r="D17" t="s">
        <v>328</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310</v>
      </c>
      <c r="B18" t="s">
        <v>1559</v>
      </c>
      <c r="C18" t="s">
        <v>1558</v>
      </c>
      <c r="D18" t="s">
        <v>328</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311</v>
      </c>
      <c r="B19" t="s">
        <v>1557</v>
      </c>
      <c r="C19" t="s">
        <v>1556</v>
      </c>
      <c r="D19" t="s">
        <v>328</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312</v>
      </c>
    </row>
    <row r="21" spans="1:35">
      <c r="A21" t="s">
        <v>313</v>
      </c>
      <c r="B21" t="s">
        <v>1555</v>
      </c>
      <c r="C21" t="s">
        <v>1554</v>
      </c>
      <c r="D21" t="s">
        <v>328</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1422</v>
      </c>
      <c r="B22" t="s">
        <v>1553</v>
      </c>
      <c r="C22" t="s">
        <v>1416</v>
      </c>
      <c r="D22" t="s">
        <v>328</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1420</v>
      </c>
      <c r="B23" t="s">
        <v>1552</v>
      </c>
      <c r="C23" t="s">
        <v>1416</v>
      </c>
      <c r="D23" t="s">
        <v>328</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1418</v>
      </c>
      <c r="B24" t="s">
        <v>1551</v>
      </c>
      <c r="C24" t="s">
        <v>1416</v>
      </c>
      <c r="D24" t="s">
        <v>328</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1415</v>
      </c>
      <c r="B25" t="s">
        <v>1550</v>
      </c>
      <c r="C25" t="s">
        <v>1549</v>
      </c>
      <c r="D25" t="s">
        <v>328</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1412</v>
      </c>
      <c r="B26" t="s">
        <v>1548</v>
      </c>
      <c r="C26" t="s">
        <v>1547</v>
      </c>
      <c r="D26" t="s">
        <v>328</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314</v>
      </c>
      <c r="B27" t="s">
        <v>1546</v>
      </c>
      <c r="C27" t="s">
        <v>1545</v>
      </c>
      <c r="D27" t="s">
        <v>328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1544</v>
      </c>
      <c r="C28" t="s">
        <v>1543</v>
      </c>
      <c r="D28" t="s">
        <v>328</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316</v>
      </c>
      <c r="B29" t="s">
        <v>1542</v>
      </c>
      <c r="C29" t="s">
        <v>1541</v>
      </c>
      <c r="D29" t="s">
        <v>328</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317</v>
      </c>
      <c r="B30" t="s">
        <v>1540</v>
      </c>
      <c r="C30" t="s">
        <v>1539</v>
      </c>
      <c r="D30" t="s">
        <v>328</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318</v>
      </c>
      <c r="B31" t="s">
        <v>1538</v>
      </c>
      <c r="C31" t="s">
        <v>1537</v>
      </c>
      <c r="D31" t="s">
        <v>328</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319</v>
      </c>
      <c r="B32" t="s">
        <v>1536</v>
      </c>
      <c r="C32" t="s">
        <v>1535</v>
      </c>
      <c r="D32" t="s">
        <v>328</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320</v>
      </c>
      <c r="B33" t="s">
        <v>1534</v>
      </c>
      <c r="C33" t="s">
        <v>1533</v>
      </c>
      <c r="D33" t="s">
        <v>328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1532</v>
      </c>
      <c r="C34" t="s">
        <v>1531</v>
      </c>
      <c r="D34" t="s">
        <v>328</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322</v>
      </c>
      <c r="B35" t="s">
        <v>1530</v>
      </c>
      <c r="C35" t="s">
        <v>1529</v>
      </c>
      <c r="D35" t="s">
        <v>328</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1528</v>
      </c>
      <c r="C36" t="s">
        <v>1527</v>
      </c>
      <c r="D36" t="s">
        <v>328</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323</v>
      </c>
    </row>
    <row r="38" spans="1:35">
      <c r="A38" t="s">
        <v>324</v>
      </c>
    </row>
    <row r="39" spans="1:35">
      <c r="A39" t="s">
        <v>309</v>
      </c>
      <c r="B39" t="s">
        <v>1526</v>
      </c>
      <c r="C39" t="s">
        <v>1525</v>
      </c>
      <c r="D39" t="s">
        <v>328</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310</v>
      </c>
      <c r="B40" t="s">
        <v>1524</v>
      </c>
      <c r="C40" t="s">
        <v>1523</v>
      </c>
      <c r="D40" t="s">
        <v>328</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325</v>
      </c>
      <c r="B41" t="s">
        <v>1522</v>
      </c>
      <c r="C41" t="s">
        <v>1521</v>
      </c>
      <c r="D41" t="s">
        <v>328</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326</v>
      </c>
    </row>
    <row r="43" spans="1:35">
      <c r="A43" t="s">
        <v>313</v>
      </c>
      <c r="B43" t="s">
        <v>1520</v>
      </c>
      <c r="C43" t="s">
        <v>1519</v>
      </c>
      <c r="D43" t="s">
        <v>328</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1422</v>
      </c>
      <c r="B44" t="s">
        <v>1518</v>
      </c>
      <c r="C44" t="s">
        <v>1416</v>
      </c>
      <c r="D44" t="s">
        <v>328</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1420</v>
      </c>
      <c r="B45" t="s">
        <v>1517</v>
      </c>
      <c r="C45" t="s">
        <v>1416</v>
      </c>
      <c r="D45" t="s">
        <v>328</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1418</v>
      </c>
      <c r="B46" t="s">
        <v>1516</v>
      </c>
      <c r="C46" t="s">
        <v>1416</v>
      </c>
      <c r="D46" t="s">
        <v>328</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1415</v>
      </c>
      <c r="B47" t="s">
        <v>1515</v>
      </c>
      <c r="C47" t="s">
        <v>1514</v>
      </c>
      <c r="D47" t="s">
        <v>328</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1412</v>
      </c>
      <c r="B48" t="s">
        <v>1513</v>
      </c>
      <c r="C48" t="s">
        <v>1512</v>
      </c>
      <c r="D48" t="s">
        <v>328</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314</v>
      </c>
      <c r="B49" t="s">
        <v>1511</v>
      </c>
      <c r="C49" t="s">
        <v>1510</v>
      </c>
      <c r="D49" t="s">
        <v>328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315</v>
      </c>
      <c r="B50" t="s">
        <v>1509</v>
      </c>
      <c r="C50" t="s">
        <v>1508</v>
      </c>
      <c r="D50" t="s">
        <v>328</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316</v>
      </c>
      <c r="B51" t="s">
        <v>1507</v>
      </c>
      <c r="C51" t="s">
        <v>1506</v>
      </c>
      <c r="D51" t="s">
        <v>328</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317</v>
      </c>
      <c r="B52" t="s">
        <v>1505</v>
      </c>
      <c r="C52" t="s">
        <v>1504</v>
      </c>
      <c r="D52" t="s">
        <v>328</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318</v>
      </c>
      <c r="B53" t="s">
        <v>1503</v>
      </c>
      <c r="C53" t="s">
        <v>1502</v>
      </c>
      <c r="D53" t="s">
        <v>328</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319</v>
      </c>
      <c r="B54" t="s">
        <v>1501</v>
      </c>
      <c r="C54" t="s">
        <v>1500</v>
      </c>
      <c r="D54" t="s">
        <v>328</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320</v>
      </c>
      <c r="B55" t="s">
        <v>1499</v>
      </c>
      <c r="C55" t="s">
        <v>1498</v>
      </c>
      <c r="D55" t="s">
        <v>328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321</v>
      </c>
      <c r="B56" t="s">
        <v>1497</v>
      </c>
      <c r="C56" t="s">
        <v>1496</v>
      </c>
      <c r="D56" t="s">
        <v>328</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327</v>
      </c>
      <c r="B57" t="s">
        <v>1495</v>
      </c>
      <c r="C57" t="s">
        <v>1494</v>
      </c>
      <c r="D57" t="s">
        <v>328</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1493</v>
      </c>
      <c r="C58" t="s">
        <v>1492</v>
      </c>
      <c r="D58" t="s">
        <v>328</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1491</v>
      </c>
      <c r="C59" t="s">
        <v>1490</v>
      </c>
      <c r="D59" t="s">
        <v>1489</v>
      </c>
      <c r="E59" t="s">
        <v>328</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1488</v>
      </c>
      <c r="B60" t="s">
        <v>1487</v>
      </c>
      <c r="C60" t="s">
        <v>1486</v>
      </c>
      <c r="D60" t="s">
        <v>328</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1485</v>
      </c>
      <c r="B61" t="s">
        <v>1484</v>
      </c>
      <c r="C61" t="s">
        <v>1483</v>
      </c>
      <c r="D61" t="s">
        <v>328</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1482</v>
      </c>
      <c r="B62" t="s">
        <v>1481</v>
      </c>
      <c r="C62" t="s">
        <v>1480</v>
      </c>
      <c r="D62" t="s">
        <v>328</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333</v>
      </c>
      <c r="B63" t="s">
        <v>1479</v>
      </c>
      <c r="C63" t="s">
        <v>1478</v>
      </c>
      <c r="D63" t="s">
        <v>328</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1477</v>
      </c>
      <c r="B64" t="s">
        <v>1476</v>
      </c>
      <c r="C64" t="s">
        <v>1475</v>
      </c>
      <c r="D64" t="s">
        <v>328</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1474</v>
      </c>
      <c r="B65" t="s">
        <v>1473</v>
      </c>
      <c r="C65" t="s">
        <v>1472</v>
      </c>
      <c r="D65" t="s">
        <v>328</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1471</v>
      </c>
      <c r="B66" t="s">
        <v>1470</v>
      </c>
      <c r="C66" t="s">
        <v>1469</v>
      </c>
      <c r="D66" t="s">
        <v>328</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336</v>
      </c>
      <c r="B67" t="s">
        <v>1468</v>
      </c>
      <c r="C67" t="s">
        <v>1467</v>
      </c>
      <c r="D67" t="s">
        <v>328</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4.75"/>
  <cols>
    <col min="1" max="1" width="29.7265625" customWidth="1"/>
    <col min="3" max="3" width="23.406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329</v>
      </c>
    </row>
    <row r="11" spans="1:35">
      <c r="A11" t="s">
        <v>1466</v>
      </c>
    </row>
    <row r="12" spans="1:35">
      <c r="A12" t="s">
        <v>2340</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307</v>
      </c>
    </row>
    <row r="16" spans="1:35">
      <c r="A16" t="s">
        <v>308</v>
      </c>
    </row>
    <row r="17" spans="1:35">
      <c r="A17" t="s">
        <v>309</v>
      </c>
      <c r="B17" t="s">
        <v>1465</v>
      </c>
      <c r="C17" t="s">
        <v>1464</v>
      </c>
      <c r="D17" t="s">
        <v>330</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310</v>
      </c>
      <c r="B18" t="s">
        <v>1463</v>
      </c>
      <c r="C18" t="s">
        <v>1462</v>
      </c>
      <c r="D18" t="s">
        <v>330</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311</v>
      </c>
      <c r="B19" t="s">
        <v>1461</v>
      </c>
      <c r="C19" t="s">
        <v>1460</v>
      </c>
      <c r="D19" t="s">
        <v>330</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312</v>
      </c>
    </row>
    <row r="21" spans="1:35">
      <c r="A21" t="s">
        <v>313</v>
      </c>
      <c r="B21" t="s">
        <v>1459</v>
      </c>
      <c r="C21" t="s">
        <v>1458</v>
      </c>
      <c r="D21" t="s">
        <v>330</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1422</v>
      </c>
      <c r="B22" t="s">
        <v>1457</v>
      </c>
      <c r="C22" t="s">
        <v>1416</v>
      </c>
      <c r="D22" t="s">
        <v>330</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1420</v>
      </c>
      <c r="B23" t="s">
        <v>1456</v>
      </c>
      <c r="C23" t="s">
        <v>1416</v>
      </c>
      <c r="D23" t="s">
        <v>330</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1418</v>
      </c>
      <c r="B24" t="s">
        <v>1455</v>
      </c>
      <c r="C24" t="s">
        <v>1416</v>
      </c>
      <c r="D24" t="s">
        <v>330</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1415</v>
      </c>
      <c r="B25" t="s">
        <v>1454</v>
      </c>
      <c r="C25" t="s">
        <v>1453</v>
      </c>
      <c r="D25" t="s">
        <v>330</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1412</v>
      </c>
      <c r="B26" t="s">
        <v>1452</v>
      </c>
      <c r="C26" t="s">
        <v>1451</v>
      </c>
      <c r="D26" t="s">
        <v>330</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314</v>
      </c>
      <c r="B27" t="s">
        <v>1450</v>
      </c>
      <c r="C27" t="s">
        <v>1449</v>
      </c>
      <c r="D27" t="s">
        <v>330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315</v>
      </c>
      <c r="B28" t="s">
        <v>1448</v>
      </c>
      <c r="C28" t="s">
        <v>1447</v>
      </c>
      <c r="D28" t="s">
        <v>330</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316</v>
      </c>
      <c r="B29" t="s">
        <v>1446</v>
      </c>
      <c r="C29" t="s">
        <v>1445</v>
      </c>
      <c r="D29" t="s">
        <v>330</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317</v>
      </c>
      <c r="B30" t="s">
        <v>1444</v>
      </c>
      <c r="C30" t="s">
        <v>1443</v>
      </c>
      <c r="D30" t="s">
        <v>330</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318</v>
      </c>
      <c r="B31" t="s">
        <v>1442</v>
      </c>
      <c r="C31" t="s">
        <v>1441</v>
      </c>
      <c r="D31" t="s">
        <v>330</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319</v>
      </c>
      <c r="B32" t="s">
        <v>1440</v>
      </c>
      <c r="C32" t="s">
        <v>1439</v>
      </c>
      <c r="D32" t="s">
        <v>330</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320</v>
      </c>
      <c r="B33" t="s">
        <v>1438</v>
      </c>
      <c r="C33" t="s">
        <v>1437</v>
      </c>
      <c r="D33" t="s">
        <v>330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321</v>
      </c>
      <c r="B34" t="s">
        <v>1436</v>
      </c>
      <c r="C34" t="s">
        <v>1435</v>
      </c>
      <c r="D34" t="s">
        <v>330</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322</v>
      </c>
      <c r="B35" t="s">
        <v>1434</v>
      </c>
      <c r="C35" t="s">
        <v>1433</v>
      </c>
      <c r="D35" t="s">
        <v>330</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1432</v>
      </c>
      <c r="C36" t="s">
        <v>1431</v>
      </c>
      <c r="D36" t="s">
        <v>330</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323</v>
      </c>
    </row>
    <row r="38" spans="1:35">
      <c r="A38" t="s">
        <v>324</v>
      </c>
    </row>
    <row r="39" spans="1:35">
      <c r="A39" t="s">
        <v>309</v>
      </c>
      <c r="B39" t="s">
        <v>1430</v>
      </c>
      <c r="C39" t="s">
        <v>1429</v>
      </c>
      <c r="D39" t="s">
        <v>330</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310</v>
      </c>
      <c r="B40" t="s">
        <v>1428</v>
      </c>
      <c r="C40" t="s">
        <v>1427</v>
      </c>
      <c r="D40" t="s">
        <v>330</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325</v>
      </c>
      <c r="B41" t="s">
        <v>1426</v>
      </c>
      <c r="C41" t="s">
        <v>1425</v>
      </c>
      <c r="D41" t="s">
        <v>330</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326</v>
      </c>
    </row>
    <row r="43" spans="1:35">
      <c r="A43" t="s">
        <v>313</v>
      </c>
      <c r="B43" t="s">
        <v>1424</v>
      </c>
      <c r="C43" t="s">
        <v>1423</v>
      </c>
      <c r="D43" t="s">
        <v>330</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1422</v>
      </c>
      <c r="B44" t="s">
        <v>1421</v>
      </c>
      <c r="C44" t="s">
        <v>1416</v>
      </c>
      <c r="D44" t="s">
        <v>330</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1420</v>
      </c>
      <c r="B45" t="s">
        <v>1419</v>
      </c>
      <c r="C45" t="s">
        <v>1416</v>
      </c>
      <c r="D45" t="s">
        <v>330</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1418</v>
      </c>
      <c r="B46" t="s">
        <v>1417</v>
      </c>
      <c r="C46" t="s">
        <v>1416</v>
      </c>
      <c r="D46" t="s">
        <v>330</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1415</v>
      </c>
      <c r="B47" t="s">
        <v>1414</v>
      </c>
      <c r="C47" t="s">
        <v>1413</v>
      </c>
      <c r="D47" t="s">
        <v>330</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1412</v>
      </c>
      <c r="B48" t="s">
        <v>1411</v>
      </c>
      <c r="C48" t="s">
        <v>1410</v>
      </c>
      <c r="D48" t="s">
        <v>330</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314</v>
      </c>
      <c r="B49" t="s">
        <v>1409</v>
      </c>
      <c r="C49" t="s">
        <v>1408</v>
      </c>
      <c r="D49" t="s">
        <v>330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315</v>
      </c>
      <c r="B50" t="s">
        <v>1407</v>
      </c>
      <c r="C50" t="s">
        <v>1406</v>
      </c>
      <c r="D50" t="s">
        <v>330</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316</v>
      </c>
      <c r="B51" t="s">
        <v>1405</v>
      </c>
      <c r="C51" t="s">
        <v>1404</v>
      </c>
      <c r="D51" t="s">
        <v>330</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317</v>
      </c>
      <c r="B52" t="s">
        <v>1403</v>
      </c>
      <c r="C52" t="s">
        <v>1402</v>
      </c>
      <c r="D52" t="s">
        <v>330</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318</v>
      </c>
      <c r="B53" t="s">
        <v>1401</v>
      </c>
      <c r="C53" t="s">
        <v>1400</v>
      </c>
      <c r="D53" t="s">
        <v>330</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319</v>
      </c>
      <c r="B54" t="s">
        <v>1399</v>
      </c>
      <c r="C54" t="s">
        <v>1398</v>
      </c>
      <c r="D54" t="s">
        <v>330</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320</v>
      </c>
      <c r="B55" t="s">
        <v>1397</v>
      </c>
      <c r="C55" t="s">
        <v>1396</v>
      </c>
      <c r="D55" t="s">
        <v>330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321</v>
      </c>
      <c r="B56" t="s">
        <v>1395</v>
      </c>
      <c r="C56" t="s">
        <v>1394</v>
      </c>
      <c r="D56" t="s">
        <v>330</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327</v>
      </c>
      <c r="B57" t="s">
        <v>1393</v>
      </c>
      <c r="C57" t="s">
        <v>1392</v>
      </c>
      <c r="D57" t="s">
        <v>330</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1391</v>
      </c>
      <c r="C58" t="s">
        <v>1390</v>
      </c>
      <c r="D58" t="s">
        <v>330</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1389</v>
      </c>
      <c r="C59" t="s">
        <v>1388</v>
      </c>
      <c r="D59" t="s">
        <v>330</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331</v>
      </c>
    </row>
    <row r="61" spans="1:35">
      <c r="A61" t="s">
        <v>282</v>
      </c>
      <c r="B61" t="s">
        <v>1387</v>
      </c>
      <c r="C61" t="s">
        <v>1386</v>
      </c>
      <c r="D61" t="s">
        <v>330</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296</v>
      </c>
      <c r="B62" t="s">
        <v>1385</v>
      </c>
      <c r="C62" t="s">
        <v>1384</v>
      </c>
      <c r="D62" t="s">
        <v>330</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277</v>
      </c>
      <c r="B63" t="s">
        <v>1383</v>
      </c>
      <c r="C63" t="s">
        <v>1382</v>
      </c>
      <c r="D63" t="s">
        <v>330</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276</v>
      </c>
      <c r="B64" t="s">
        <v>1381</v>
      </c>
      <c r="C64" t="s">
        <v>1380</v>
      </c>
      <c r="D64" t="s">
        <v>330</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332</v>
      </c>
      <c r="B65" t="s">
        <v>1379</v>
      </c>
      <c r="C65" t="s">
        <v>1378</v>
      </c>
      <c r="D65" t="s">
        <v>330</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333</v>
      </c>
      <c r="B66" t="s">
        <v>1377</v>
      </c>
      <c r="C66" t="s">
        <v>1376</v>
      </c>
      <c r="D66" t="s">
        <v>330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334</v>
      </c>
      <c r="B67" t="s">
        <v>1375</v>
      </c>
      <c r="C67" t="s">
        <v>1374</v>
      </c>
      <c r="D67" t="s">
        <v>330</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335</v>
      </c>
      <c r="B68" t="s">
        <v>1373</v>
      </c>
      <c r="C68" t="s">
        <v>1372</v>
      </c>
      <c r="D68" t="s">
        <v>330</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336</v>
      </c>
      <c r="B69" t="s">
        <v>1371</v>
      </c>
      <c r="C69" t="s">
        <v>1370</v>
      </c>
      <c r="D69" t="s">
        <v>330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337</v>
      </c>
      <c r="B70" t="s">
        <v>1369</v>
      </c>
      <c r="C70" t="s">
        <v>1368</v>
      </c>
      <c r="D70" t="s">
        <v>330</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topLeftCell="A157" workbookViewId="0">
      <selection activeCell="A178" sqref="A178:XFD178"/>
    </sheetView>
  </sheetViews>
  <sheetFormatPr defaultRowHeight="15" customHeight="1"/>
  <cols>
    <col min="1" max="1" width="27.1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0" spans="1:35">
      <c r="A10" t="s">
        <v>338</v>
      </c>
    </row>
    <row r="11" spans="1:35">
      <c r="A11" t="s">
        <v>2330</v>
      </c>
    </row>
    <row r="12" spans="1:35">
      <c r="A12" t="s">
        <v>2341</v>
      </c>
    </row>
    <row r="13" spans="1:35">
      <c r="A13" t="s">
        <v>301</v>
      </c>
    </row>
    <row r="14" spans="1:35">
      <c r="B14" t="s">
        <v>302</v>
      </c>
      <c r="C14" t="s">
        <v>303</v>
      </c>
      <c r="D14" t="s">
        <v>304</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1366</v>
      </c>
    </row>
    <row r="15" spans="1:35">
      <c r="A15" t="s">
        <v>20</v>
      </c>
    </row>
    <row r="16" spans="1:35">
      <c r="A16" t="s">
        <v>339</v>
      </c>
      <c r="B16" t="s">
        <v>2329</v>
      </c>
      <c r="C16" t="s">
        <v>2328</v>
      </c>
      <c r="D16" t="s">
        <v>304</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340</v>
      </c>
      <c r="B17" t="s">
        <v>2327</v>
      </c>
      <c r="C17" t="s">
        <v>2326</v>
      </c>
      <c r="D17" t="s">
        <v>304</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341</v>
      </c>
      <c r="B18" t="s">
        <v>2325</v>
      </c>
      <c r="C18" t="s">
        <v>2324</v>
      </c>
      <c r="D18" t="s">
        <v>304</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342</v>
      </c>
      <c r="B19" t="s">
        <v>2323</v>
      </c>
      <c r="C19" t="s">
        <v>2322</v>
      </c>
      <c r="D19" t="s">
        <v>304</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343</v>
      </c>
      <c r="B20" t="s">
        <v>2321</v>
      </c>
      <c r="C20" t="s">
        <v>2320</v>
      </c>
      <c r="D20" t="s">
        <v>304</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340</v>
      </c>
      <c r="B21" t="s">
        <v>2319</v>
      </c>
      <c r="C21" t="s">
        <v>2318</v>
      </c>
      <c r="D21" t="s">
        <v>304</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341</v>
      </c>
      <c r="B22" t="s">
        <v>2317</v>
      </c>
      <c r="C22" t="s">
        <v>2316</v>
      </c>
      <c r="D22" t="s">
        <v>304</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342</v>
      </c>
      <c r="B23" t="s">
        <v>2315</v>
      </c>
      <c r="C23" t="s">
        <v>2314</v>
      </c>
      <c r="D23" t="s">
        <v>304</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344</v>
      </c>
      <c r="B24" t="s">
        <v>2313</v>
      </c>
      <c r="C24" t="s">
        <v>2312</v>
      </c>
      <c r="D24" t="s">
        <v>304</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340</v>
      </c>
      <c r="B25" t="s">
        <v>2311</v>
      </c>
      <c r="C25" t="s">
        <v>2310</v>
      </c>
      <c r="D25" t="s">
        <v>304</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341</v>
      </c>
      <c r="B26" t="s">
        <v>2309</v>
      </c>
      <c r="C26" t="s">
        <v>2308</v>
      </c>
      <c r="D26" t="s">
        <v>304</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342</v>
      </c>
      <c r="B27" t="s">
        <v>2307</v>
      </c>
      <c r="C27" t="s">
        <v>2306</v>
      </c>
      <c r="D27" t="s">
        <v>304</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345</v>
      </c>
      <c r="B28" t="s">
        <v>2305</v>
      </c>
      <c r="C28" t="s">
        <v>2304</v>
      </c>
      <c r="D28" t="s">
        <v>304</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340</v>
      </c>
      <c r="B29" t="s">
        <v>2303</v>
      </c>
      <c r="C29" t="s">
        <v>2302</v>
      </c>
      <c r="D29" t="s">
        <v>304</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341</v>
      </c>
      <c r="B30" t="s">
        <v>2301</v>
      </c>
      <c r="C30" t="s">
        <v>2300</v>
      </c>
      <c r="D30" t="s">
        <v>304</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342</v>
      </c>
      <c r="B31" t="s">
        <v>2299</v>
      </c>
      <c r="C31" t="s">
        <v>2298</v>
      </c>
      <c r="D31" t="s">
        <v>304</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346</v>
      </c>
      <c r="B32" t="s">
        <v>2297</v>
      </c>
      <c r="C32" t="s">
        <v>2296</v>
      </c>
      <c r="D32" t="s">
        <v>304</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340</v>
      </c>
      <c r="B33" t="s">
        <v>2295</v>
      </c>
      <c r="C33" t="s">
        <v>2294</v>
      </c>
      <c r="D33" t="s">
        <v>304</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341</v>
      </c>
      <c r="B34" t="s">
        <v>2293</v>
      </c>
      <c r="C34" t="s">
        <v>2292</v>
      </c>
      <c r="D34" t="s">
        <v>304</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342</v>
      </c>
      <c r="B35" t="s">
        <v>2291</v>
      </c>
      <c r="C35" t="s">
        <v>2290</v>
      </c>
      <c r="D35" t="s">
        <v>304</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347</v>
      </c>
      <c r="B36" t="s">
        <v>2289</v>
      </c>
      <c r="C36" t="s">
        <v>2288</v>
      </c>
      <c r="D36" t="s">
        <v>304</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340</v>
      </c>
      <c r="B37" t="s">
        <v>2287</v>
      </c>
      <c r="C37" t="s">
        <v>2286</v>
      </c>
      <c r="D37" t="s">
        <v>304</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341</v>
      </c>
      <c r="B38" t="s">
        <v>2285</v>
      </c>
      <c r="C38" t="s">
        <v>2284</v>
      </c>
      <c r="D38" t="s">
        <v>304</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342</v>
      </c>
      <c r="B39" t="s">
        <v>2283</v>
      </c>
      <c r="C39" t="s">
        <v>2282</v>
      </c>
      <c r="D39" t="s">
        <v>304</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348</v>
      </c>
      <c r="B40" t="s">
        <v>2281</v>
      </c>
      <c r="C40" t="s">
        <v>2280</v>
      </c>
      <c r="D40" t="s">
        <v>304</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340</v>
      </c>
      <c r="B41" t="s">
        <v>2279</v>
      </c>
      <c r="C41" t="s">
        <v>2278</v>
      </c>
      <c r="D41" t="s">
        <v>304</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341</v>
      </c>
      <c r="B42" t="s">
        <v>2277</v>
      </c>
      <c r="C42" t="s">
        <v>2276</v>
      </c>
      <c r="D42" t="s">
        <v>304</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342</v>
      </c>
      <c r="B43" t="s">
        <v>2275</v>
      </c>
      <c r="C43" t="s">
        <v>2274</v>
      </c>
      <c r="D43" t="s">
        <v>304</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349</v>
      </c>
      <c r="B44" t="s">
        <v>2273</v>
      </c>
      <c r="C44" t="s">
        <v>2272</v>
      </c>
      <c r="D44" t="s">
        <v>304</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340</v>
      </c>
      <c r="B45" t="s">
        <v>2271</v>
      </c>
      <c r="C45" t="s">
        <v>2270</v>
      </c>
      <c r="D45" t="s">
        <v>304</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341</v>
      </c>
      <c r="B46" t="s">
        <v>2269</v>
      </c>
      <c r="C46" t="s">
        <v>2268</v>
      </c>
      <c r="D46" t="s">
        <v>304</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342</v>
      </c>
      <c r="B47" t="s">
        <v>2267</v>
      </c>
      <c r="C47" t="s">
        <v>2266</v>
      </c>
      <c r="D47" t="s">
        <v>304</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350</v>
      </c>
      <c r="B48" t="s">
        <v>2265</v>
      </c>
      <c r="C48" t="s">
        <v>2264</v>
      </c>
      <c r="D48" t="s">
        <v>304</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340</v>
      </c>
      <c r="B49" t="s">
        <v>2263</v>
      </c>
      <c r="C49" t="s">
        <v>2262</v>
      </c>
      <c r="D49" t="s">
        <v>304</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341</v>
      </c>
      <c r="B50" t="s">
        <v>2261</v>
      </c>
      <c r="C50" t="s">
        <v>2260</v>
      </c>
      <c r="D50" t="s">
        <v>304</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342</v>
      </c>
      <c r="B51" t="s">
        <v>2259</v>
      </c>
      <c r="C51" t="s">
        <v>2258</v>
      </c>
      <c r="D51" t="s">
        <v>304</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351</v>
      </c>
      <c r="B52" t="s">
        <v>2257</v>
      </c>
      <c r="C52" t="s">
        <v>2256</v>
      </c>
      <c r="D52" t="s">
        <v>304</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340</v>
      </c>
      <c r="B53" t="s">
        <v>2255</v>
      </c>
      <c r="C53" t="s">
        <v>2254</v>
      </c>
      <c r="D53" t="s">
        <v>304</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341</v>
      </c>
      <c r="B54" t="s">
        <v>2253</v>
      </c>
      <c r="C54" t="s">
        <v>2252</v>
      </c>
      <c r="D54" t="s">
        <v>304</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342</v>
      </c>
      <c r="B55" t="s">
        <v>2251</v>
      </c>
      <c r="C55" t="s">
        <v>2250</v>
      </c>
      <c r="D55" t="s">
        <v>304</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352</v>
      </c>
      <c r="B56" t="s">
        <v>2249</v>
      </c>
      <c r="C56" t="s">
        <v>2248</v>
      </c>
      <c r="D56" t="s">
        <v>304</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340</v>
      </c>
      <c r="B57" t="s">
        <v>2247</v>
      </c>
      <c r="C57" t="s">
        <v>2246</v>
      </c>
      <c r="D57" t="s">
        <v>304</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341</v>
      </c>
      <c r="B58" t="s">
        <v>2245</v>
      </c>
      <c r="C58" t="s">
        <v>2244</v>
      </c>
      <c r="D58" t="s">
        <v>304</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342</v>
      </c>
      <c r="B59" t="s">
        <v>2243</v>
      </c>
      <c r="C59" t="s">
        <v>2242</v>
      </c>
      <c r="D59" t="s">
        <v>304</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353</v>
      </c>
      <c r="B60" t="s">
        <v>2241</v>
      </c>
      <c r="C60" t="s">
        <v>2240</v>
      </c>
      <c r="D60" t="s">
        <v>304</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340</v>
      </c>
      <c r="B61" t="s">
        <v>2239</v>
      </c>
      <c r="C61" t="s">
        <v>2238</v>
      </c>
      <c r="D61" t="s">
        <v>304</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341</v>
      </c>
      <c r="B62" t="s">
        <v>2237</v>
      </c>
      <c r="C62" t="s">
        <v>2236</v>
      </c>
      <c r="D62" t="s">
        <v>304</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342</v>
      </c>
      <c r="B63" t="s">
        <v>2235</v>
      </c>
      <c r="C63" t="s">
        <v>2234</v>
      </c>
      <c r="D63" t="s">
        <v>304</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354</v>
      </c>
      <c r="B64" t="s">
        <v>2233</v>
      </c>
      <c r="C64" t="s">
        <v>2232</v>
      </c>
      <c r="D64" t="s">
        <v>304</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340</v>
      </c>
      <c r="B65" t="s">
        <v>2231</v>
      </c>
      <c r="C65" t="s">
        <v>2230</v>
      </c>
      <c r="D65" t="s">
        <v>304</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341</v>
      </c>
      <c r="B66" t="s">
        <v>2229</v>
      </c>
      <c r="C66" t="s">
        <v>2228</v>
      </c>
      <c r="D66" t="s">
        <v>304</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342</v>
      </c>
      <c r="B67" t="s">
        <v>2227</v>
      </c>
      <c r="C67" t="s">
        <v>2226</v>
      </c>
      <c r="D67" t="s">
        <v>304</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2225</v>
      </c>
      <c r="C68" t="s">
        <v>2224</v>
      </c>
      <c r="D68" t="s">
        <v>304</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s="170" customFormat="1">
      <c r="A70" s="170" t="s">
        <v>339</v>
      </c>
      <c r="B70" s="170" t="s">
        <v>2223</v>
      </c>
      <c r="C70" s="170" t="s">
        <v>2222</v>
      </c>
      <c r="D70" s="170" t="s">
        <v>304</v>
      </c>
      <c r="F70" s="170">
        <v>554.21826199999998</v>
      </c>
      <c r="G70" s="170">
        <v>558.18225099999995</v>
      </c>
      <c r="H70" s="170">
        <v>616.61242700000003</v>
      </c>
      <c r="I70" s="170">
        <v>642.00720200000001</v>
      </c>
      <c r="J70" s="170">
        <v>677.56213400000001</v>
      </c>
      <c r="K70" s="170">
        <v>703.04217500000004</v>
      </c>
      <c r="L70" s="170">
        <v>726.45831299999998</v>
      </c>
      <c r="M70" s="170">
        <v>751.31414800000005</v>
      </c>
      <c r="N70" s="170">
        <v>777.54492200000004</v>
      </c>
      <c r="O70" s="170">
        <v>805.10766599999999</v>
      </c>
      <c r="P70" s="170">
        <v>833.80895999999996</v>
      </c>
      <c r="Q70" s="170">
        <v>863.57214399999998</v>
      </c>
      <c r="R70" s="170">
        <v>894.38806199999999</v>
      </c>
      <c r="S70" s="170">
        <v>926.25329599999998</v>
      </c>
      <c r="T70" s="170">
        <v>959.52636700000005</v>
      </c>
      <c r="U70" s="170">
        <v>993.94397000000004</v>
      </c>
      <c r="V70" s="170">
        <v>1029.4589840000001</v>
      </c>
      <c r="W70" s="170">
        <v>1066.0639650000001</v>
      </c>
      <c r="X70" s="170">
        <v>1103.774658</v>
      </c>
      <c r="Y70" s="170">
        <v>1142.943237</v>
      </c>
      <c r="Z70" s="170">
        <v>1183.2827150000001</v>
      </c>
      <c r="AA70" s="170">
        <v>1224.766357</v>
      </c>
      <c r="AB70" s="170">
        <v>1267.4079589999999</v>
      </c>
      <c r="AC70" s="170">
        <v>1311.251831</v>
      </c>
      <c r="AD70" s="170">
        <v>1356.5870359999999</v>
      </c>
      <c r="AE70" s="170">
        <v>1403.1583250000001</v>
      </c>
      <c r="AF70" s="170">
        <v>1450.9521480000001</v>
      </c>
      <c r="AG70" s="170">
        <v>1499.9804690000001</v>
      </c>
      <c r="AH70" s="170">
        <v>1550.2852780000001</v>
      </c>
      <c r="AI70" s="171">
        <v>3.6999999999999998E-2</v>
      </c>
    </row>
    <row r="71" spans="1:35">
      <c r="A71" t="s">
        <v>340</v>
      </c>
      <c r="B71" t="s">
        <v>2221</v>
      </c>
      <c r="C71" t="s">
        <v>2220</v>
      </c>
      <c r="D71" t="s">
        <v>304</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341</v>
      </c>
      <c r="B72" t="s">
        <v>2219</v>
      </c>
      <c r="C72" t="s">
        <v>2218</v>
      </c>
      <c r="D72" t="s">
        <v>304</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342</v>
      </c>
      <c r="B73" t="s">
        <v>2217</v>
      </c>
      <c r="C73" t="s">
        <v>2216</v>
      </c>
      <c r="D73" t="s">
        <v>304</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343</v>
      </c>
      <c r="B74" t="s">
        <v>2215</v>
      </c>
      <c r="C74" t="s">
        <v>2214</v>
      </c>
      <c r="D74" t="s">
        <v>304</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340</v>
      </c>
      <c r="B75" t="s">
        <v>2213</v>
      </c>
      <c r="C75" t="s">
        <v>2212</v>
      </c>
      <c r="D75" t="s">
        <v>304</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341</v>
      </c>
      <c r="B76" t="s">
        <v>2211</v>
      </c>
      <c r="C76" t="s">
        <v>2210</v>
      </c>
      <c r="D76" t="s">
        <v>304</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342</v>
      </c>
      <c r="B77" t="s">
        <v>2209</v>
      </c>
      <c r="C77" t="s">
        <v>2208</v>
      </c>
      <c r="D77" t="s">
        <v>304</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344</v>
      </c>
      <c r="B78" t="s">
        <v>2207</v>
      </c>
      <c r="C78" t="s">
        <v>2206</v>
      </c>
      <c r="D78" t="s">
        <v>304</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340</v>
      </c>
      <c r="B79" t="s">
        <v>2205</v>
      </c>
      <c r="C79" t="s">
        <v>2204</v>
      </c>
      <c r="D79" t="s">
        <v>304</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341</v>
      </c>
      <c r="B80" t="s">
        <v>2203</v>
      </c>
      <c r="C80" t="s">
        <v>2202</v>
      </c>
      <c r="D80" t="s">
        <v>304</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342</v>
      </c>
      <c r="B81" t="s">
        <v>2201</v>
      </c>
      <c r="C81" t="s">
        <v>2200</v>
      </c>
      <c r="D81" t="s">
        <v>304</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345</v>
      </c>
      <c r="B82" t="s">
        <v>2199</v>
      </c>
      <c r="C82" t="s">
        <v>2198</v>
      </c>
      <c r="D82" t="s">
        <v>304</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340</v>
      </c>
      <c r="B83" t="s">
        <v>2197</v>
      </c>
      <c r="C83" t="s">
        <v>2196</v>
      </c>
      <c r="D83" t="s">
        <v>304</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341</v>
      </c>
      <c r="B84" t="s">
        <v>2195</v>
      </c>
      <c r="C84" t="s">
        <v>2194</v>
      </c>
      <c r="D84" t="s">
        <v>304</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342</v>
      </c>
      <c r="B85" t="s">
        <v>2193</v>
      </c>
      <c r="C85" t="s">
        <v>2192</v>
      </c>
      <c r="D85" t="s">
        <v>304</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346</v>
      </c>
      <c r="B86" t="s">
        <v>2191</v>
      </c>
      <c r="C86" t="s">
        <v>2190</v>
      </c>
      <c r="D86" t="s">
        <v>304</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340</v>
      </c>
      <c r="B87" t="s">
        <v>2189</v>
      </c>
      <c r="C87" t="s">
        <v>2188</v>
      </c>
      <c r="D87" t="s">
        <v>304</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341</v>
      </c>
      <c r="B88" t="s">
        <v>2187</v>
      </c>
      <c r="C88" t="s">
        <v>2186</v>
      </c>
      <c r="D88" t="s">
        <v>304</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342</v>
      </c>
      <c r="B89" t="s">
        <v>2185</v>
      </c>
      <c r="C89" t="s">
        <v>2184</v>
      </c>
      <c r="D89" t="s">
        <v>304</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347</v>
      </c>
      <c r="B90" t="s">
        <v>2183</v>
      </c>
      <c r="C90" t="s">
        <v>2182</v>
      </c>
      <c r="D90" t="s">
        <v>304</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340</v>
      </c>
      <c r="B91" t="s">
        <v>2181</v>
      </c>
      <c r="C91" t="s">
        <v>2180</v>
      </c>
      <c r="D91" t="s">
        <v>304</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341</v>
      </c>
      <c r="B92" t="s">
        <v>2179</v>
      </c>
      <c r="C92" t="s">
        <v>2178</v>
      </c>
      <c r="D92" t="s">
        <v>304</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342</v>
      </c>
      <c r="B93" t="s">
        <v>2177</v>
      </c>
      <c r="C93" t="s">
        <v>2176</v>
      </c>
      <c r="D93" t="s">
        <v>304</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348</v>
      </c>
      <c r="B94" t="s">
        <v>2175</v>
      </c>
      <c r="C94" t="s">
        <v>2174</v>
      </c>
      <c r="D94" t="s">
        <v>304</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340</v>
      </c>
      <c r="B95" t="s">
        <v>2173</v>
      </c>
      <c r="C95" t="s">
        <v>2172</v>
      </c>
      <c r="D95" t="s">
        <v>304</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341</v>
      </c>
      <c r="B96" t="s">
        <v>2171</v>
      </c>
      <c r="C96" t="s">
        <v>2170</v>
      </c>
      <c r="D96" t="s">
        <v>304</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342</v>
      </c>
      <c r="B97" t="s">
        <v>2169</v>
      </c>
      <c r="C97" t="s">
        <v>2168</v>
      </c>
      <c r="D97" t="s">
        <v>304</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349</v>
      </c>
      <c r="B98" t="s">
        <v>2167</v>
      </c>
      <c r="C98" t="s">
        <v>2166</v>
      </c>
      <c r="D98" t="s">
        <v>304</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340</v>
      </c>
      <c r="B99" t="s">
        <v>2165</v>
      </c>
      <c r="C99" t="s">
        <v>2164</v>
      </c>
      <c r="D99" t="s">
        <v>304</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341</v>
      </c>
      <c r="B100" t="s">
        <v>2163</v>
      </c>
      <c r="C100" t="s">
        <v>2162</v>
      </c>
      <c r="D100" t="s">
        <v>304</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342</v>
      </c>
      <c r="B101" t="s">
        <v>2161</v>
      </c>
      <c r="C101" t="s">
        <v>2160</v>
      </c>
      <c r="D101" t="s">
        <v>304</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350</v>
      </c>
      <c r="B102" t="s">
        <v>2159</v>
      </c>
      <c r="C102" t="s">
        <v>2158</v>
      </c>
      <c r="D102" t="s">
        <v>304</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340</v>
      </c>
      <c r="B103" t="s">
        <v>2157</v>
      </c>
      <c r="C103" t="s">
        <v>2156</v>
      </c>
      <c r="D103" t="s">
        <v>304</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341</v>
      </c>
      <c r="B104" t="s">
        <v>2155</v>
      </c>
      <c r="C104" t="s">
        <v>2154</v>
      </c>
      <c r="D104" t="s">
        <v>304</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342</v>
      </c>
      <c r="B105" t="s">
        <v>2153</v>
      </c>
      <c r="C105" t="s">
        <v>2152</v>
      </c>
      <c r="D105" t="s">
        <v>304</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351</v>
      </c>
      <c r="B106" t="s">
        <v>2151</v>
      </c>
      <c r="C106" t="s">
        <v>2150</v>
      </c>
      <c r="D106" t="s">
        <v>304</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340</v>
      </c>
      <c r="B107" t="s">
        <v>2149</v>
      </c>
      <c r="C107" t="s">
        <v>2148</v>
      </c>
      <c r="D107" t="s">
        <v>304</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341</v>
      </c>
      <c r="B108" t="s">
        <v>2147</v>
      </c>
      <c r="C108" t="s">
        <v>2146</v>
      </c>
      <c r="D108" t="s">
        <v>304</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342</v>
      </c>
      <c r="B109" t="s">
        <v>2145</v>
      </c>
      <c r="C109" t="s">
        <v>2144</v>
      </c>
      <c r="D109" t="s">
        <v>304</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352</v>
      </c>
      <c r="B110" t="s">
        <v>2143</v>
      </c>
      <c r="C110" t="s">
        <v>2142</v>
      </c>
      <c r="D110" t="s">
        <v>304</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340</v>
      </c>
      <c r="B111" t="s">
        <v>2141</v>
      </c>
      <c r="C111" t="s">
        <v>2140</v>
      </c>
      <c r="D111" t="s">
        <v>304</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341</v>
      </c>
      <c r="B112" t="s">
        <v>2139</v>
      </c>
      <c r="C112" t="s">
        <v>2138</v>
      </c>
      <c r="D112" t="s">
        <v>304</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342</v>
      </c>
      <c r="B113" t="s">
        <v>2137</v>
      </c>
      <c r="C113" t="s">
        <v>2136</v>
      </c>
      <c r="D113" t="s">
        <v>304</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353</v>
      </c>
      <c r="B114" t="s">
        <v>2135</v>
      </c>
      <c r="C114" t="s">
        <v>2134</v>
      </c>
      <c r="D114" t="s">
        <v>304</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340</v>
      </c>
      <c r="B115" t="s">
        <v>2133</v>
      </c>
      <c r="C115" t="s">
        <v>2132</v>
      </c>
      <c r="D115" t="s">
        <v>304</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341</v>
      </c>
      <c r="B116" t="s">
        <v>2131</v>
      </c>
      <c r="C116" t="s">
        <v>2130</v>
      </c>
      <c r="D116" t="s">
        <v>304</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342</v>
      </c>
      <c r="B117" t="s">
        <v>2129</v>
      </c>
      <c r="C117" t="s">
        <v>2128</v>
      </c>
      <c r="D117" t="s">
        <v>304</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354</v>
      </c>
      <c r="B118" t="s">
        <v>2127</v>
      </c>
      <c r="C118" t="s">
        <v>2126</v>
      </c>
      <c r="D118" t="s">
        <v>304</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340</v>
      </c>
      <c r="B119" t="s">
        <v>2125</v>
      </c>
      <c r="C119" t="s">
        <v>2124</v>
      </c>
      <c r="D119" t="s">
        <v>304</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341</v>
      </c>
      <c r="B120" t="s">
        <v>2123</v>
      </c>
      <c r="C120" t="s">
        <v>2122</v>
      </c>
      <c r="D120" t="s">
        <v>304</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342</v>
      </c>
      <c r="B121" t="s">
        <v>2121</v>
      </c>
      <c r="C121" t="s">
        <v>2120</v>
      </c>
      <c r="D121" t="s">
        <v>304</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2119</v>
      </c>
      <c r="C122" t="s">
        <v>2118</v>
      </c>
      <c r="D122" t="s">
        <v>304</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339</v>
      </c>
      <c r="B124" t="s">
        <v>2117</v>
      </c>
      <c r="C124" t="s">
        <v>2116</v>
      </c>
      <c r="D124" t="s">
        <v>304</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340</v>
      </c>
      <c r="B125" t="s">
        <v>2115</v>
      </c>
      <c r="C125" t="s">
        <v>2114</v>
      </c>
      <c r="D125" t="s">
        <v>304</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341</v>
      </c>
      <c r="B126" t="s">
        <v>2113</v>
      </c>
      <c r="C126" t="s">
        <v>2112</v>
      </c>
      <c r="D126" t="s">
        <v>304</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342</v>
      </c>
      <c r="B127" t="s">
        <v>2111</v>
      </c>
      <c r="C127" t="s">
        <v>2110</v>
      </c>
      <c r="D127" t="s">
        <v>304</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343</v>
      </c>
      <c r="B128" t="s">
        <v>2109</v>
      </c>
      <c r="C128" t="s">
        <v>2108</v>
      </c>
      <c r="D128" t="s">
        <v>304</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340</v>
      </c>
      <c r="B129" t="s">
        <v>2107</v>
      </c>
      <c r="C129" t="s">
        <v>2106</v>
      </c>
      <c r="D129" t="s">
        <v>304</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341</v>
      </c>
      <c r="B130" t="s">
        <v>2105</v>
      </c>
      <c r="C130" t="s">
        <v>2104</v>
      </c>
      <c r="D130" t="s">
        <v>304</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342</v>
      </c>
      <c r="B131" t="s">
        <v>2103</v>
      </c>
      <c r="C131" t="s">
        <v>2102</v>
      </c>
      <c r="D131" t="s">
        <v>304</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344</v>
      </c>
      <c r="B132" t="s">
        <v>2101</v>
      </c>
      <c r="C132" t="s">
        <v>2100</v>
      </c>
      <c r="D132" t="s">
        <v>304</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340</v>
      </c>
      <c r="B133" t="s">
        <v>2099</v>
      </c>
      <c r="C133" t="s">
        <v>2098</v>
      </c>
      <c r="D133" t="s">
        <v>304</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341</v>
      </c>
      <c r="B134" t="s">
        <v>2097</v>
      </c>
      <c r="C134" t="s">
        <v>2096</v>
      </c>
      <c r="D134" t="s">
        <v>304</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342</v>
      </c>
      <c r="B135" t="s">
        <v>2095</v>
      </c>
      <c r="C135" t="s">
        <v>2094</v>
      </c>
      <c r="D135" t="s">
        <v>304</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345</v>
      </c>
      <c r="B136" t="s">
        <v>2093</v>
      </c>
      <c r="C136" t="s">
        <v>2092</v>
      </c>
      <c r="D136" t="s">
        <v>304</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340</v>
      </c>
      <c r="B137" t="s">
        <v>2091</v>
      </c>
      <c r="C137" t="s">
        <v>2090</v>
      </c>
      <c r="D137" t="s">
        <v>304</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341</v>
      </c>
      <c r="B138" t="s">
        <v>2089</v>
      </c>
      <c r="C138" t="s">
        <v>2088</v>
      </c>
      <c r="D138" t="s">
        <v>304</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342</v>
      </c>
      <c r="B139" t="s">
        <v>2087</v>
      </c>
      <c r="C139" t="s">
        <v>2086</v>
      </c>
      <c r="D139" t="s">
        <v>304</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346</v>
      </c>
      <c r="B140" t="s">
        <v>2085</v>
      </c>
      <c r="C140" t="s">
        <v>2084</v>
      </c>
      <c r="D140" t="s">
        <v>304</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340</v>
      </c>
      <c r="B141" t="s">
        <v>2083</v>
      </c>
      <c r="C141" t="s">
        <v>2082</v>
      </c>
      <c r="D141" t="s">
        <v>304</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341</v>
      </c>
      <c r="B142" t="s">
        <v>2081</v>
      </c>
      <c r="C142" t="s">
        <v>2080</v>
      </c>
      <c r="D142" t="s">
        <v>304</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342</v>
      </c>
      <c r="B143" t="s">
        <v>2079</v>
      </c>
      <c r="C143" t="s">
        <v>2078</v>
      </c>
      <c r="D143" t="s">
        <v>304</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347</v>
      </c>
      <c r="B144" t="s">
        <v>2077</v>
      </c>
      <c r="C144" t="s">
        <v>2076</v>
      </c>
      <c r="D144" t="s">
        <v>304</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340</v>
      </c>
      <c r="B145" t="s">
        <v>2075</v>
      </c>
      <c r="C145" t="s">
        <v>2074</v>
      </c>
      <c r="D145" t="s">
        <v>304</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341</v>
      </c>
      <c r="B146" t="s">
        <v>2073</v>
      </c>
      <c r="C146" t="s">
        <v>2072</v>
      </c>
      <c r="D146" t="s">
        <v>304</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342</v>
      </c>
      <c r="B147" t="s">
        <v>2071</v>
      </c>
      <c r="C147" t="s">
        <v>2070</v>
      </c>
      <c r="D147" t="s">
        <v>304</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348</v>
      </c>
      <c r="B148" t="s">
        <v>2069</v>
      </c>
      <c r="C148" t="s">
        <v>2068</v>
      </c>
      <c r="D148" t="s">
        <v>304</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340</v>
      </c>
      <c r="B149" t="s">
        <v>2067</v>
      </c>
      <c r="C149" t="s">
        <v>2066</v>
      </c>
      <c r="D149" t="s">
        <v>304</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341</v>
      </c>
      <c r="B150" t="s">
        <v>2065</v>
      </c>
      <c r="C150" t="s">
        <v>2064</v>
      </c>
      <c r="D150" t="s">
        <v>304</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342</v>
      </c>
      <c r="B151" t="s">
        <v>2063</v>
      </c>
      <c r="C151" t="s">
        <v>2062</v>
      </c>
      <c r="D151" t="s">
        <v>304</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349</v>
      </c>
      <c r="B152" t="s">
        <v>2061</v>
      </c>
      <c r="C152" t="s">
        <v>2060</v>
      </c>
      <c r="D152" t="s">
        <v>304</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340</v>
      </c>
      <c r="B153" t="s">
        <v>2059</v>
      </c>
      <c r="C153" t="s">
        <v>2058</v>
      </c>
      <c r="D153" t="s">
        <v>304</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341</v>
      </c>
      <c r="B154" t="s">
        <v>2057</v>
      </c>
      <c r="C154" t="s">
        <v>2056</v>
      </c>
      <c r="D154" t="s">
        <v>304</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342</v>
      </c>
      <c r="B155" t="s">
        <v>2055</v>
      </c>
      <c r="C155" t="s">
        <v>2054</v>
      </c>
      <c r="D155" t="s">
        <v>304</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350</v>
      </c>
      <c r="B156" t="s">
        <v>2053</v>
      </c>
      <c r="C156" t="s">
        <v>2052</v>
      </c>
      <c r="D156" t="s">
        <v>304</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340</v>
      </c>
      <c r="B157" t="s">
        <v>2051</v>
      </c>
      <c r="C157" t="s">
        <v>2050</v>
      </c>
      <c r="D157" t="s">
        <v>304</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341</v>
      </c>
      <c r="B158" t="s">
        <v>2049</v>
      </c>
      <c r="C158" t="s">
        <v>2048</v>
      </c>
      <c r="D158" t="s">
        <v>304</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342</v>
      </c>
      <c r="B159" t="s">
        <v>2047</v>
      </c>
      <c r="C159" t="s">
        <v>2046</v>
      </c>
      <c r="D159" t="s">
        <v>304</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351</v>
      </c>
      <c r="B160" t="s">
        <v>2045</v>
      </c>
      <c r="C160" t="s">
        <v>2044</v>
      </c>
      <c r="D160" t="s">
        <v>304</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340</v>
      </c>
      <c r="B161" t="s">
        <v>2043</v>
      </c>
      <c r="C161" t="s">
        <v>2042</v>
      </c>
      <c r="D161" t="s">
        <v>304</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341</v>
      </c>
      <c r="B162" t="s">
        <v>2041</v>
      </c>
      <c r="C162" t="s">
        <v>2040</v>
      </c>
      <c r="D162" t="s">
        <v>304</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342</v>
      </c>
      <c r="B163" t="s">
        <v>2039</v>
      </c>
      <c r="C163" t="s">
        <v>2038</v>
      </c>
      <c r="D163" t="s">
        <v>304</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352</v>
      </c>
      <c r="B164" t="s">
        <v>2037</v>
      </c>
      <c r="C164" t="s">
        <v>2036</v>
      </c>
      <c r="D164" t="s">
        <v>304</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340</v>
      </c>
      <c r="B165" t="s">
        <v>2035</v>
      </c>
      <c r="C165" t="s">
        <v>2034</v>
      </c>
      <c r="D165" t="s">
        <v>304</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341</v>
      </c>
      <c r="B166" t="s">
        <v>2033</v>
      </c>
      <c r="C166" t="s">
        <v>2032</v>
      </c>
      <c r="D166" t="s">
        <v>304</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342</v>
      </c>
      <c r="B167" t="s">
        <v>2031</v>
      </c>
      <c r="C167" t="s">
        <v>2030</v>
      </c>
      <c r="D167" t="s">
        <v>304</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353</v>
      </c>
      <c r="B168" t="s">
        <v>2029</v>
      </c>
      <c r="C168" t="s">
        <v>2028</v>
      </c>
      <c r="D168" t="s">
        <v>304</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340</v>
      </c>
      <c r="B169" t="s">
        <v>2027</v>
      </c>
      <c r="C169" t="s">
        <v>2026</v>
      </c>
      <c r="D169" t="s">
        <v>304</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341</v>
      </c>
      <c r="B170" t="s">
        <v>2025</v>
      </c>
      <c r="C170" t="s">
        <v>2024</v>
      </c>
      <c r="D170" t="s">
        <v>304</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342</v>
      </c>
      <c r="B171" t="s">
        <v>2023</v>
      </c>
      <c r="C171" t="s">
        <v>2022</v>
      </c>
      <c r="D171" t="s">
        <v>304</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354</v>
      </c>
      <c r="B172" t="s">
        <v>2021</v>
      </c>
      <c r="C172" t="s">
        <v>2020</v>
      </c>
      <c r="D172" t="s">
        <v>304</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340</v>
      </c>
      <c r="B173" t="s">
        <v>2019</v>
      </c>
      <c r="C173" t="s">
        <v>2018</v>
      </c>
      <c r="D173" t="s">
        <v>304</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341</v>
      </c>
      <c r="B174" t="s">
        <v>2017</v>
      </c>
      <c r="C174" t="s">
        <v>2016</v>
      </c>
      <c r="D174" t="s">
        <v>304</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342</v>
      </c>
      <c r="B175" t="s">
        <v>2015</v>
      </c>
      <c r="C175" t="s">
        <v>2014</v>
      </c>
      <c r="D175" t="s">
        <v>304</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2013</v>
      </c>
      <c r="C176" t="s">
        <v>2012</v>
      </c>
      <c r="D176" t="s">
        <v>304</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339</v>
      </c>
      <c r="B178" t="s">
        <v>2011</v>
      </c>
      <c r="C178" t="s">
        <v>2010</v>
      </c>
      <c r="D178" t="s">
        <v>304</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343</v>
      </c>
      <c r="B179" t="s">
        <v>2009</v>
      </c>
      <c r="C179" t="s">
        <v>2008</v>
      </c>
      <c r="D179" t="s">
        <v>304</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344</v>
      </c>
      <c r="B180" t="s">
        <v>2007</v>
      </c>
      <c r="C180" t="s">
        <v>2006</v>
      </c>
      <c r="D180" t="s">
        <v>304</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345</v>
      </c>
      <c r="B181" t="s">
        <v>2005</v>
      </c>
      <c r="C181" t="s">
        <v>2004</v>
      </c>
      <c r="D181" t="s">
        <v>304</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346</v>
      </c>
      <c r="B182" t="s">
        <v>2003</v>
      </c>
      <c r="C182" t="s">
        <v>2002</v>
      </c>
      <c r="D182" t="s">
        <v>304</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347</v>
      </c>
      <c r="B183" t="s">
        <v>2001</v>
      </c>
      <c r="C183" t="s">
        <v>2000</v>
      </c>
      <c r="D183" t="s">
        <v>304</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348</v>
      </c>
      <c r="B184" t="s">
        <v>1999</v>
      </c>
      <c r="C184" t="s">
        <v>1998</v>
      </c>
      <c r="D184" t="s">
        <v>304</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349</v>
      </c>
      <c r="B185" t="s">
        <v>1997</v>
      </c>
      <c r="C185" t="s">
        <v>1996</v>
      </c>
      <c r="D185" t="s">
        <v>304</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350</v>
      </c>
      <c r="B186" t="s">
        <v>1995</v>
      </c>
      <c r="C186" t="s">
        <v>1994</v>
      </c>
      <c r="D186" t="s">
        <v>304</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351</v>
      </c>
      <c r="B187" t="s">
        <v>1993</v>
      </c>
      <c r="C187" t="s">
        <v>1992</v>
      </c>
      <c r="D187" t="s">
        <v>304</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352</v>
      </c>
      <c r="B188" t="s">
        <v>1991</v>
      </c>
      <c r="C188" t="s">
        <v>1990</v>
      </c>
      <c r="D188" t="s">
        <v>304</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353</v>
      </c>
      <c r="B189" t="s">
        <v>1989</v>
      </c>
      <c r="C189" t="s">
        <v>1988</v>
      </c>
      <c r="D189" t="s">
        <v>304</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354</v>
      </c>
      <c r="B190" t="s">
        <v>1987</v>
      </c>
      <c r="C190" t="s">
        <v>1986</v>
      </c>
      <c r="D190" t="s">
        <v>304</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1985</v>
      </c>
      <c r="C191" t="s">
        <v>1984</v>
      </c>
      <c r="D191" t="s">
        <v>304</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topLeftCell="A189" workbookViewId="0">
      <selection activeCell="D213" sqref="D213"/>
    </sheetView>
  </sheetViews>
  <sheetFormatPr defaultRowHeight="14.75"/>
  <cols>
    <col min="2" max="2" width="83.54296875" bestFit="1" customWidth="1"/>
  </cols>
  <sheetData>
    <row r="1" spans="1:33">
      <c r="A1" t="s">
        <v>338</v>
      </c>
    </row>
    <row r="2" spans="1:33">
      <c r="A2" t="s">
        <v>2799</v>
      </c>
    </row>
    <row r="3" spans="1:33">
      <c r="A3" t="s">
        <v>2798</v>
      </c>
    </row>
    <row r="4" spans="1:33">
      <c r="A4" t="s">
        <v>301</v>
      </c>
    </row>
    <row r="5" spans="1:33">
      <c r="B5" t="s">
        <v>302</v>
      </c>
      <c r="C5" t="s">
        <v>303</v>
      </c>
      <c r="D5" t="s">
        <v>304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2797</v>
      </c>
    </row>
    <row r="6" spans="1:33">
      <c r="A6" t="s">
        <v>20</v>
      </c>
    </row>
    <row r="7" spans="1:33">
      <c r="A7" t="s">
        <v>339</v>
      </c>
      <c r="B7" t="s">
        <v>2796</v>
      </c>
      <c r="C7" t="s">
        <v>2795</v>
      </c>
      <c r="D7" t="s">
        <v>304</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1">
        <v>1.7000000000000001E-2</v>
      </c>
    </row>
    <row r="8" spans="1:33">
      <c r="A8" t="s">
        <v>340</v>
      </c>
      <c r="B8" t="s">
        <v>2794</v>
      </c>
      <c r="C8" t="s">
        <v>2793</v>
      </c>
      <c r="D8" t="s">
        <v>304</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1">
        <v>1.7000000000000001E-2</v>
      </c>
    </row>
    <row r="9" spans="1:33">
      <c r="A9" t="s">
        <v>341</v>
      </c>
      <c r="B9" t="s">
        <v>2792</v>
      </c>
      <c r="C9" t="s">
        <v>2791</v>
      </c>
      <c r="D9" t="s">
        <v>304</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1">
        <v>1.7000000000000001E-2</v>
      </c>
    </row>
    <row r="10" spans="1:33">
      <c r="A10" t="s">
        <v>342</v>
      </c>
      <c r="B10" t="s">
        <v>2790</v>
      </c>
      <c r="C10" t="s">
        <v>2789</v>
      </c>
      <c r="D10" t="s">
        <v>304</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1">
        <v>1.6E-2</v>
      </c>
    </row>
    <row r="11" spans="1:33">
      <c r="A11" t="s">
        <v>343</v>
      </c>
      <c r="B11" t="s">
        <v>2788</v>
      </c>
      <c r="C11" t="s">
        <v>2787</v>
      </c>
      <c r="D11" t="s">
        <v>304</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1">
        <v>1.7999999999999999E-2</v>
      </c>
    </row>
    <row r="12" spans="1:33">
      <c r="A12" t="s">
        <v>340</v>
      </c>
      <c r="B12" t="s">
        <v>2786</v>
      </c>
      <c r="C12" t="s">
        <v>2785</v>
      </c>
      <c r="D12" t="s">
        <v>304</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1">
        <v>1.7999999999999999E-2</v>
      </c>
    </row>
    <row r="13" spans="1:33">
      <c r="A13" t="s">
        <v>341</v>
      </c>
      <c r="B13" t="s">
        <v>2784</v>
      </c>
      <c r="C13" t="s">
        <v>2783</v>
      </c>
      <c r="D13" t="s">
        <v>304</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1">
        <v>2.1000000000000001E-2</v>
      </c>
    </row>
    <row r="14" spans="1:33">
      <c r="A14" t="s">
        <v>342</v>
      </c>
      <c r="B14" t="s">
        <v>2782</v>
      </c>
      <c r="C14" t="s">
        <v>2781</v>
      </c>
      <c r="D14" t="s">
        <v>304</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1">
        <v>1.7999999999999999E-2</v>
      </c>
    </row>
    <row r="15" spans="1:33">
      <c r="A15" t="s">
        <v>2384</v>
      </c>
      <c r="B15" t="s">
        <v>2780</v>
      </c>
      <c r="C15" t="s">
        <v>2779</v>
      </c>
      <c r="D15" t="s">
        <v>304</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1">
        <v>3.1E-2</v>
      </c>
    </row>
    <row r="16" spans="1:33">
      <c r="A16" t="s">
        <v>340</v>
      </c>
      <c r="B16" t="s">
        <v>2778</v>
      </c>
      <c r="C16" t="s">
        <v>2777</v>
      </c>
      <c r="D16" t="s">
        <v>304</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1">
        <v>3.1E-2</v>
      </c>
    </row>
    <row r="17" spans="1:33">
      <c r="A17" t="s">
        <v>341</v>
      </c>
      <c r="B17" t="s">
        <v>2776</v>
      </c>
      <c r="C17" t="s">
        <v>2775</v>
      </c>
      <c r="D17" t="s">
        <v>304</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1">
        <v>2.9000000000000001E-2</v>
      </c>
    </row>
    <row r="18" spans="1:33">
      <c r="A18" t="s">
        <v>342</v>
      </c>
      <c r="B18" t="s">
        <v>2774</v>
      </c>
      <c r="C18" t="s">
        <v>2773</v>
      </c>
      <c r="D18" t="s">
        <v>304</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1">
        <v>0.03</v>
      </c>
    </row>
    <row r="19" spans="1:33">
      <c r="A19" t="s">
        <v>2381</v>
      </c>
      <c r="B19" t="s">
        <v>2772</v>
      </c>
      <c r="C19" t="s">
        <v>2771</v>
      </c>
      <c r="D19" t="s">
        <v>304</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1">
        <v>1.7999999999999999E-2</v>
      </c>
    </row>
    <row r="20" spans="1:33">
      <c r="A20" t="s">
        <v>340</v>
      </c>
      <c r="B20" t="s">
        <v>2770</v>
      </c>
      <c r="C20" t="s">
        <v>2769</v>
      </c>
      <c r="D20" t="s">
        <v>304</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1">
        <v>1.9E-2</v>
      </c>
    </row>
    <row r="21" spans="1:33">
      <c r="A21" t="s">
        <v>341</v>
      </c>
      <c r="B21" t="s">
        <v>2768</v>
      </c>
      <c r="C21" t="s">
        <v>2767</v>
      </c>
      <c r="D21" t="s">
        <v>304</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1">
        <v>1.7000000000000001E-2</v>
      </c>
    </row>
    <row r="22" spans="1:33">
      <c r="A22" t="s">
        <v>342</v>
      </c>
      <c r="B22" t="s">
        <v>2766</v>
      </c>
      <c r="C22" t="s">
        <v>2765</v>
      </c>
      <c r="D22" t="s">
        <v>304</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1">
        <v>1.9E-2</v>
      </c>
    </row>
    <row r="23" spans="1:33">
      <c r="A23" t="s">
        <v>2378</v>
      </c>
      <c r="B23" t="s">
        <v>2764</v>
      </c>
      <c r="C23" t="s">
        <v>2763</v>
      </c>
      <c r="D23" t="s">
        <v>304</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1">
        <v>2E-3</v>
      </c>
    </row>
    <row r="24" spans="1:33">
      <c r="A24" t="s">
        <v>340</v>
      </c>
      <c r="B24" t="s">
        <v>2762</v>
      </c>
      <c r="C24" t="s">
        <v>2761</v>
      </c>
      <c r="D24" t="s">
        <v>304</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1">
        <v>4.0000000000000001E-3</v>
      </c>
    </row>
    <row r="25" spans="1:33">
      <c r="A25" t="s">
        <v>341</v>
      </c>
      <c r="B25" t="s">
        <v>2760</v>
      </c>
      <c r="C25" t="s">
        <v>2759</v>
      </c>
      <c r="D25" t="s">
        <v>304</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1">
        <v>-1E-3</v>
      </c>
    </row>
    <row r="26" spans="1:33">
      <c r="A26" t="s">
        <v>342</v>
      </c>
      <c r="B26" t="s">
        <v>2758</v>
      </c>
      <c r="C26" t="s">
        <v>2757</v>
      </c>
      <c r="D26" t="s">
        <v>304</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1">
        <v>5.0000000000000001E-3</v>
      </c>
    </row>
    <row r="27" spans="1:33">
      <c r="A27" t="s">
        <v>2375</v>
      </c>
      <c r="B27" t="s">
        <v>2756</v>
      </c>
      <c r="C27" t="s">
        <v>2755</v>
      </c>
      <c r="D27" t="s">
        <v>304</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1">
        <v>2.1999999999999999E-2</v>
      </c>
    </row>
    <row r="28" spans="1:33">
      <c r="A28" t="s">
        <v>340</v>
      </c>
      <c r="B28" t="s">
        <v>2754</v>
      </c>
      <c r="C28" t="s">
        <v>2753</v>
      </c>
      <c r="D28" t="s">
        <v>304</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1">
        <v>2.1000000000000001E-2</v>
      </c>
    </row>
    <row r="29" spans="1:33">
      <c r="A29" t="s">
        <v>341</v>
      </c>
      <c r="B29" t="s">
        <v>2752</v>
      </c>
      <c r="C29" t="s">
        <v>2751</v>
      </c>
      <c r="D29" t="s">
        <v>304</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1">
        <v>2.3E-2</v>
      </c>
    </row>
    <row r="30" spans="1:33">
      <c r="A30" t="s">
        <v>342</v>
      </c>
      <c r="B30" t="s">
        <v>2750</v>
      </c>
      <c r="C30" t="s">
        <v>2749</v>
      </c>
      <c r="D30" t="s">
        <v>304</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1">
        <v>2.1000000000000001E-2</v>
      </c>
    </row>
    <row r="31" spans="1:33">
      <c r="A31" t="s">
        <v>2372</v>
      </c>
      <c r="B31" t="s">
        <v>2748</v>
      </c>
      <c r="C31" t="s">
        <v>2747</v>
      </c>
      <c r="D31" t="s">
        <v>304</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1">
        <v>2.3E-2</v>
      </c>
    </row>
    <row r="32" spans="1:33">
      <c r="A32" t="s">
        <v>340</v>
      </c>
      <c r="B32" t="s">
        <v>2746</v>
      </c>
      <c r="C32" t="s">
        <v>2745</v>
      </c>
      <c r="D32" t="s">
        <v>304</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1">
        <v>2.1000000000000001E-2</v>
      </c>
    </row>
    <row r="33" spans="1:33">
      <c r="A33" t="s">
        <v>341</v>
      </c>
      <c r="B33" t="s">
        <v>2744</v>
      </c>
      <c r="C33" t="s">
        <v>2743</v>
      </c>
      <c r="D33" t="s">
        <v>304</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1">
        <v>2.5000000000000001E-2</v>
      </c>
    </row>
    <row r="34" spans="1:33">
      <c r="A34" t="s">
        <v>342</v>
      </c>
      <c r="B34" t="s">
        <v>2742</v>
      </c>
      <c r="C34" t="s">
        <v>2741</v>
      </c>
      <c r="D34" t="s">
        <v>304</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1">
        <v>1.7999999999999999E-2</v>
      </c>
    </row>
    <row r="35" spans="1:33">
      <c r="A35" t="s">
        <v>2369</v>
      </c>
      <c r="B35" t="s">
        <v>2740</v>
      </c>
      <c r="C35" t="s">
        <v>2739</v>
      </c>
      <c r="D35" t="s">
        <v>304</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1">
        <v>2.3E-2</v>
      </c>
    </row>
    <row r="36" spans="1:33">
      <c r="A36" t="s">
        <v>340</v>
      </c>
      <c r="B36" t="s">
        <v>2738</v>
      </c>
      <c r="C36" t="s">
        <v>2737</v>
      </c>
      <c r="D36" t="s">
        <v>304</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1">
        <v>2.1999999999999999E-2</v>
      </c>
    </row>
    <row r="37" spans="1:33">
      <c r="A37" t="s">
        <v>341</v>
      </c>
      <c r="B37" t="s">
        <v>2736</v>
      </c>
      <c r="C37" t="s">
        <v>2735</v>
      </c>
      <c r="D37" t="s">
        <v>304</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1">
        <v>3.5000000000000003E-2</v>
      </c>
    </row>
    <row r="38" spans="1:33">
      <c r="A38" t="s">
        <v>342</v>
      </c>
      <c r="B38" t="s">
        <v>2734</v>
      </c>
      <c r="C38" t="s">
        <v>2733</v>
      </c>
      <c r="D38" t="s">
        <v>304</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1">
        <v>1.6E-2</v>
      </c>
    </row>
    <row r="39" spans="1:33">
      <c r="A39" t="s">
        <v>2366</v>
      </c>
      <c r="B39" t="s">
        <v>2732</v>
      </c>
      <c r="C39" t="s">
        <v>2731</v>
      </c>
      <c r="D39" t="s">
        <v>304</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1">
        <v>2.5999999999999999E-2</v>
      </c>
    </row>
    <row r="40" spans="1:33">
      <c r="A40" t="s">
        <v>340</v>
      </c>
      <c r="B40" t="s">
        <v>2730</v>
      </c>
      <c r="C40" t="s">
        <v>2729</v>
      </c>
      <c r="D40" t="s">
        <v>304</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1">
        <v>2.9000000000000001E-2</v>
      </c>
    </row>
    <row r="41" spans="1:33">
      <c r="A41" t="s">
        <v>341</v>
      </c>
      <c r="B41" t="s">
        <v>2728</v>
      </c>
      <c r="C41" t="s">
        <v>2727</v>
      </c>
      <c r="D41" t="s">
        <v>304</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1">
        <v>1.9E-2</v>
      </c>
    </row>
    <row r="42" spans="1:33">
      <c r="A42" t="s">
        <v>342</v>
      </c>
      <c r="B42" t="s">
        <v>2726</v>
      </c>
      <c r="C42" t="s">
        <v>2725</v>
      </c>
      <c r="D42" t="s">
        <v>304</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1">
        <v>2.1999999999999999E-2</v>
      </c>
    </row>
    <row r="43" spans="1:33">
      <c r="A43" t="s">
        <v>350</v>
      </c>
      <c r="B43" t="s">
        <v>2724</v>
      </c>
      <c r="C43" t="s">
        <v>2723</v>
      </c>
      <c r="D43" t="s">
        <v>304</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1">
        <v>4.2000000000000003E-2</v>
      </c>
    </row>
    <row r="44" spans="1:33">
      <c r="A44" t="s">
        <v>340</v>
      </c>
      <c r="B44" t="s">
        <v>2722</v>
      </c>
      <c r="C44" t="s">
        <v>2721</v>
      </c>
      <c r="D44" t="s">
        <v>304</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1">
        <v>4.2000000000000003E-2</v>
      </c>
    </row>
    <row r="45" spans="1:33">
      <c r="A45" t="s">
        <v>341</v>
      </c>
      <c r="B45" t="s">
        <v>2720</v>
      </c>
      <c r="C45" t="s">
        <v>2719</v>
      </c>
      <c r="D45" t="s">
        <v>304</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1">
        <v>3.9E-2</v>
      </c>
    </row>
    <row r="46" spans="1:33">
      <c r="A46" t="s">
        <v>342</v>
      </c>
      <c r="B46" t="s">
        <v>2718</v>
      </c>
      <c r="C46" t="s">
        <v>2717</v>
      </c>
      <c r="D46" t="s">
        <v>304</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1">
        <v>0.04</v>
      </c>
    </row>
    <row r="47" spans="1:33">
      <c r="A47" t="s">
        <v>2361</v>
      </c>
      <c r="B47" t="s">
        <v>2716</v>
      </c>
      <c r="C47" t="s">
        <v>2715</v>
      </c>
      <c r="D47" t="s">
        <v>304</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1">
        <v>5.6000000000000001E-2</v>
      </c>
    </row>
    <row r="48" spans="1:33">
      <c r="A48" t="s">
        <v>340</v>
      </c>
      <c r="B48" t="s">
        <v>2714</v>
      </c>
      <c r="C48" t="s">
        <v>2713</v>
      </c>
      <c r="D48" t="s">
        <v>304</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1">
        <v>5.7000000000000002E-2</v>
      </c>
    </row>
    <row r="49" spans="1:33">
      <c r="A49" t="s">
        <v>341</v>
      </c>
      <c r="B49" t="s">
        <v>2712</v>
      </c>
      <c r="C49" t="s">
        <v>2711</v>
      </c>
      <c r="D49" t="s">
        <v>304</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1">
        <v>4.8000000000000001E-2</v>
      </c>
    </row>
    <row r="50" spans="1:33">
      <c r="A50" t="s">
        <v>342</v>
      </c>
      <c r="B50" t="s">
        <v>2710</v>
      </c>
      <c r="C50" t="s">
        <v>2709</v>
      </c>
      <c r="D50" t="s">
        <v>304</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1">
        <v>5.7000000000000002E-2</v>
      </c>
    </row>
    <row r="51" spans="1:33">
      <c r="A51" t="s">
        <v>2358</v>
      </c>
      <c r="B51" t="s">
        <v>2708</v>
      </c>
      <c r="C51" t="s">
        <v>2707</v>
      </c>
      <c r="D51" t="s">
        <v>304</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1">
        <v>3.7999999999999999E-2</v>
      </c>
    </row>
    <row r="52" spans="1:33">
      <c r="A52" t="s">
        <v>340</v>
      </c>
      <c r="B52" t="s">
        <v>2706</v>
      </c>
      <c r="C52" t="s">
        <v>2705</v>
      </c>
      <c r="D52" t="s">
        <v>304</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1">
        <v>3.9E-2</v>
      </c>
    </row>
    <row r="53" spans="1:33">
      <c r="A53" t="s">
        <v>341</v>
      </c>
      <c r="B53" t="s">
        <v>2704</v>
      </c>
      <c r="C53" t="s">
        <v>2703</v>
      </c>
      <c r="D53" t="s">
        <v>304</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1">
        <v>3.5000000000000003E-2</v>
      </c>
    </row>
    <row r="54" spans="1:33">
      <c r="A54" t="s">
        <v>342</v>
      </c>
      <c r="B54" t="s">
        <v>2702</v>
      </c>
      <c r="C54" t="s">
        <v>2701</v>
      </c>
      <c r="D54" t="s">
        <v>304</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1">
        <v>3.7999999999999999E-2</v>
      </c>
    </row>
    <row r="55" spans="1:33">
      <c r="A55" t="s">
        <v>2355</v>
      </c>
      <c r="B55" t="s">
        <v>2700</v>
      </c>
      <c r="C55" t="s">
        <v>2699</v>
      </c>
      <c r="D55" t="s">
        <v>304</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1">
        <v>3.6999999999999998E-2</v>
      </c>
    </row>
    <row r="56" spans="1:33">
      <c r="A56" t="s">
        <v>340</v>
      </c>
      <c r="B56" t="s">
        <v>2698</v>
      </c>
      <c r="C56" t="s">
        <v>2697</v>
      </c>
      <c r="D56" t="s">
        <v>304</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1">
        <v>3.6999999999999998E-2</v>
      </c>
    </row>
    <row r="57" spans="1:33">
      <c r="A57" t="s">
        <v>341</v>
      </c>
      <c r="B57" t="s">
        <v>2696</v>
      </c>
      <c r="C57" t="s">
        <v>2695</v>
      </c>
      <c r="D57" t="s">
        <v>304</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1">
        <v>3.6999999999999998E-2</v>
      </c>
    </row>
    <row r="58" spans="1:33">
      <c r="A58" t="s">
        <v>342</v>
      </c>
      <c r="B58" t="s">
        <v>2694</v>
      </c>
      <c r="C58" t="s">
        <v>2693</v>
      </c>
      <c r="D58" t="s">
        <v>304</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1">
        <v>3.3000000000000002E-2</v>
      </c>
    </row>
    <row r="59" spans="1:33">
      <c r="A59" t="s">
        <v>347</v>
      </c>
      <c r="B59" t="s">
        <v>2692</v>
      </c>
      <c r="C59" t="s">
        <v>2691</v>
      </c>
      <c r="D59" t="s">
        <v>304</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1">
        <v>3.7999999999999999E-2</v>
      </c>
    </row>
    <row r="60" spans="1:33">
      <c r="A60" t="s">
        <v>340</v>
      </c>
      <c r="B60" t="s">
        <v>2690</v>
      </c>
      <c r="C60" t="s">
        <v>2689</v>
      </c>
      <c r="D60" t="s">
        <v>304</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1">
        <v>3.7999999999999999E-2</v>
      </c>
    </row>
    <row r="61" spans="1:33">
      <c r="A61" t="s">
        <v>341</v>
      </c>
      <c r="B61" t="s">
        <v>2688</v>
      </c>
      <c r="C61" t="s">
        <v>2687</v>
      </c>
      <c r="D61" t="s">
        <v>304</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1">
        <v>3.6999999999999998E-2</v>
      </c>
    </row>
    <row r="62" spans="1:33">
      <c r="A62" t="s">
        <v>342</v>
      </c>
      <c r="B62" t="s">
        <v>2686</v>
      </c>
      <c r="C62" t="s">
        <v>2685</v>
      </c>
      <c r="D62" t="s">
        <v>304</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1">
        <v>3.9E-2</v>
      </c>
    </row>
    <row r="63" spans="1:33">
      <c r="A63" t="s">
        <v>2350</v>
      </c>
      <c r="B63" t="s">
        <v>2684</v>
      </c>
      <c r="C63" t="s">
        <v>2683</v>
      </c>
      <c r="D63" t="s">
        <v>304</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1">
        <v>1.4999999999999999E-2</v>
      </c>
    </row>
    <row r="64" spans="1:33">
      <c r="A64" t="s">
        <v>340</v>
      </c>
      <c r="B64" t="s">
        <v>2682</v>
      </c>
      <c r="C64" t="s">
        <v>2681</v>
      </c>
      <c r="D64" t="s">
        <v>304</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1">
        <v>1.4999999999999999E-2</v>
      </c>
    </row>
    <row r="65" spans="1:33">
      <c r="A65" t="s">
        <v>341</v>
      </c>
      <c r="B65" t="s">
        <v>2680</v>
      </c>
      <c r="C65" t="s">
        <v>2679</v>
      </c>
      <c r="D65" t="s">
        <v>304</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1">
        <v>1.6E-2</v>
      </c>
    </row>
    <row r="66" spans="1:33">
      <c r="A66" t="s">
        <v>342</v>
      </c>
      <c r="B66" t="s">
        <v>2678</v>
      </c>
      <c r="C66" t="s">
        <v>2677</v>
      </c>
      <c r="D66" t="s">
        <v>304</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1">
        <v>1.4999999999999999E-2</v>
      </c>
    </row>
    <row r="67" spans="1:33">
      <c r="A67" t="s">
        <v>2347</v>
      </c>
      <c r="B67" t="s">
        <v>2676</v>
      </c>
      <c r="C67" t="s">
        <v>2675</v>
      </c>
      <c r="D67" t="s">
        <v>304</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1">
        <v>2.5000000000000001E-2</v>
      </c>
    </row>
    <row r="68" spans="1:33">
      <c r="A68" t="s">
        <v>340</v>
      </c>
      <c r="B68" t="s">
        <v>2674</v>
      </c>
      <c r="C68" t="s">
        <v>2673</v>
      </c>
      <c r="D68" t="s">
        <v>304</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1">
        <v>2.5999999999999999E-2</v>
      </c>
    </row>
    <row r="69" spans="1:33">
      <c r="A69" t="s">
        <v>341</v>
      </c>
      <c r="B69" t="s">
        <v>2672</v>
      </c>
      <c r="C69" t="s">
        <v>2671</v>
      </c>
      <c r="D69" t="s">
        <v>304</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1">
        <v>2.5999999999999999E-2</v>
      </c>
    </row>
    <row r="70" spans="1:33">
      <c r="A70" t="s">
        <v>342</v>
      </c>
      <c r="B70" t="s">
        <v>2670</v>
      </c>
      <c r="C70" t="s">
        <v>2669</v>
      </c>
      <c r="D70" t="s">
        <v>304</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1">
        <v>2.3E-2</v>
      </c>
    </row>
    <row r="71" spans="1:33">
      <c r="A71" t="s">
        <v>15</v>
      </c>
      <c r="B71" t="s">
        <v>2668</v>
      </c>
      <c r="C71" t="s">
        <v>2667</v>
      </c>
      <c r="D71" t="s">
        <v>304</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1">
        <v>2.8000000000000001E-2</v>
      </c>
    </row>
    <row r="72" spans="1:33">
      <c r="A72" t="s">
        <v>340</v>
      </c>
      <c r="B72" t="s">
        <v>2666</v>
      </c>
      <c r="C72" t="s">
        <v>2665</v>
      </c>
      <c r="D72" t="s">
        <v>304</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1">
        <v>2.9000000000000001E-2</v>
      </c>
    </row>
    <row r="73" spans="1:33">
      <c r="A73" t="s">
        <v>341</v>
      </c>
      <c r="B73" t="s">
        <v>2664</v>
      </c>
      <c r="C73" t="s">
        <v>2663</v>
      </c>
      <c r="D73" t="s">
        <v>304</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1">
        <v>2.7E-2</v>
      </c>
    </row>
    <row r="74" spans="1:33">
      <c r="A74" t="s">
        <v>342</v>
      </c>
      <c r="B74" t="s">
        <v>2662</v>
      </c>
      <c r="C74" t="s">
        <v>2661</v>
      </c>
      <c r="D74" t="s">
        <v>304</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1">
        <v>2.4E-2</v>
      </c>
    </row>
    <row r="75" spans="1:33">
      <c r="A75" t="s">
        <v>19</v>
      </c>
    </row>
    <row r="76" spans="1:33" s="170" customFormat="1">
      <c r="A76" s="170" t="s">
        <v>339</v>
      </c>
      <c r="B76" s="170" t="s">
        <v>2660</v>
      </c>
      <c r="C76" s="170" t="s">
        <v>2659</v>
      </c>
      <c r="D76" s="170" t="s">
        <v>304</v>
      </c>
      <c r="F76" s="170">
        <v>6646.0996089999999</v>
      </c>
      <c r="G76" s="170">
        <v>6787.3227539999998</v>
      </c>
      <c r="H76" s="170">
        <v>6959.5649409999996</v>
      </c>
      <c r="I76" s="170">
        <v>7119.3955079999996</v>
      </c>
      <c r="J76" s="170">
        <v>7251.236328</v>
      </c>
      <c r="K76" s="170">
        <v>7393.5234380000002</v>
      </c>
      <c r="L76" s="170">
        <v>7517.5341799999997</v>
      </c>
      <c r="M76" s="170">
        <v>7618.9179690000001</v>
      </c>
      <c r="N76" s="170">
        <v>7737.2568359999996</v>
      </c>
      <c r="O76" s="170">
        <v>7864.2241210000002</v>
      </c>
      <c r="P76" s="170">
        <v>7986.0410160000001</v>
      </c>
      <c r="Q76" s="170">
        <v>8120.8369140000004</v>
      </c>
      <c r="R76" s="170">
        <v>8258.1699219999991</v>
      </c>
      <c r="S76" s="170">
        <v>8404.5097659999992</v>
      </c>
      <c r="T76" s="170">
        <v>8562.2236329999996</v>
      </c>
      <c r="U76" s="170">
        <v>8720.0830079999996</v>
      </c>
      <c r="V76" s="170">
        <v>8877.8691409999992</v>
      </c>
      <c r="W76" s="170">
        <v>9032.5605469999991</v>
      </c>
      <c r="X76" s="170">
        <v>9200.7851559999999</v>
      </c>
      <c r="Y76" s="170">
        <v>9365.0214840000008</v>
      </c>
      <c r="Z76" s="170">
        <v>9517.4570309999999</v>
      </c>
      <c r="AA76" s="170">
        <v>9666.5917969999991</v>
      </c>
      <c r="AB76" s="170">
        <v>9812.8144530000009</v>
      </c>
      <c r="AC76" s="170">
        <v>9985.6748050000006</v>
      </c>
      <c r="AD76" s="170">
        <v>10170.505859000001</v>
      </c>
      <c r="AE76" s="170">
        <v>10346.943359000001</v>
      </c>
      <c r="AF76" s="170">
        <v>10520.594727</v>
      </c>
      <c r="AG76" s="171">
        <v>1.7999999999999999E-2</v>
      </c>
    </row>
    <row r="77" spans="1:33">
      <c r="A77" t="s">
        <v>340</v>
      </c>
      <c r="B77" t="s">
        <v>2658</v>
      </c>
      <c r="C77" t="s">
        <v>2657</v>
      </c>
      <c r="D77" t="s">
        <v>304</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1">
        <v>1.7999999999999999E-2</v>
      </c>
    </row>
    <row r="78" spans="1:33">
      <c r="A78" t="s">
        <v>341</v>
      </c>
      <c r="B78" t="s">
        <v>2656</v>
      </c>
      <c r="C78" t="s">
        <v>2655</v>
      </c>
      <c r="D78" t="s">
        <v>304</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1">
        <v>0.02</v>
      </c>
    </row>
    <row r="79" spans="1:33">
      <c r="A79" t="s">
        <v>342</v>
      </c>
      <c r="B79" t="s">
        <v>2654</v>
      </c>
      <c r="C79" t="s">
        <v>2653</v>
      </c>
      <c r="D79" t="s">
        <v>304</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1">
        <v>1.7000000000000001E-2</v>
      </c>
    </row>
    <row r="80" spans="1:33">
      <c r="A80" t="s">
        <v>343</v>
      </c>
      <c r="B80" t="s">
        <v>2652</v>
      </c>
      <c r="C80" t="s">
        <v>2651</v>
      </c>
      <c r="D80" t="s">
        <v>304</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1">
        <v>2.1000000000000001E-2</v>
      </c>
    </row>
    <row r="81" spans="1:33">
      <c r="A81" t="s">
        <v>340</v>
      </c>
      <c r="B81" t="s">
        <v>2650</v>
      </c>
      <c r="C81" t="s">
        <v>2649</v>
      </c>
      <c r="D81" t="s">
        <v>304</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1">
        <v>1.9E-2</v>
      </c>
    </row>
    <row r="82" spans="1:33">
      <c r="A82" t="s">
        <v>341</v>
      </c>
      <c r="B82" t="s">
        <v>2648</v>
      </c>
      <c r="C82" t="s">
        <v>2647</v>
      </c>
      <c r="D82" t="s">
        <v>304</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1">
        <v>2.4E-2</v>
      </c>
    </row>
    <row r="83" spans="1:33">
      <c r="A83" t="s">
        <v>342</v>
      </c>
      <c r="B83" t="s">
        <v>2646</v>
      </c>
      <c r="C83" t="s">
        <v>2645</v>
      </c>
      <c r="D83" t="s">
        <v>304</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1">
        <v>0.02</v>
      </c>
    </row>
    <row r="84" spans="1:33">
      <c r="A84" t="s">
        <v>2384</v>
      </c>
      <c r="B84" t="s">
        <v>2644</v>
      </c>
      <c r="C84" t="s">
        <v>2643</v>
      </c>
      <c r="D84" t="s">
        <v>304</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1">
        <v>3.3000000000000002E-2</v>
      </c>
    </row>
    <row r="85" spans="1:33">
      <c r="A85" t="s">
        <v>340</v>
      </c>
      <c r="B85" t="s">
        <v>2642</v>
      </c>
      <c r="C85" t="s">
        <v>2641</v>
      </c>
      <c r="D85" t="s">
        <v>304</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1">
        <v>3.3000000000000002E-2</v>
      </c>
    </row>
    <row r="86" spans="1:33">
      <c r="A86" t="s">
        <v>341</v>
      </c>
      <c r="B86" t="s">
        <v>2640</v>
      </c>
      <c r="C86" t="s">
        <v>2639</v>
      </c>
      <c r="D86" t="s">
        <v>304</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1">
        <v>0.03</v>
      </c>
    </row>
    <row r="87" spans="1:33">
      <c r="A87" t="s">
        <v>342</v>
      </c>
      <c r="B87" t="s">
        <v>2638</v>
      </c>
      <c r="C87" t="s">
        <v>2637</v>
      </c>
      <c r="D87" t="s">
        <v>304</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1">
        <v>3.4000000000000002E-2</v>
      </c>
    </row>
    <row r="88" spans="1:33">
      <c r="A88" t="s">
        <v>2381</v>
      </c>
      <c r="B88" t="s">
        <v>2636</v>
      </c>
      <c r="C88" t="s">
        <v>2635</v>
      </c>
      <c r="D88" t="s">
        <v>304</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1">
        <v>0.02</v>
      </c>
    </row>
    <row r="89" spans="1:33">
      <c r="A89" t="s">
        <v>340</v>
      </c>
      <c r="B89" t="s">
        <v>2634</v>
      </c>
      <c r="C89" t="s">
        <v>2633</v>
      </c>
      <c r="D89" t="s">
        <v>304</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1">
        <v>0.02</v>
      </c>
    </row>
    <row r="90" spans="1:33">
      <c r="A90" t="s">
        <v>341</v>
      </c>
      <c r="B90" t="s">
        <v>2632</v>
      </c>
      <c r="C90" t="s">
        <v>2631</v>
      </c>
      <c r="D90" t="s">
        <v>304</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1">
        <v>1.7999999999999999E-2</v>
      </c>
    </row>
    <row r="91" spans="1:33">
      <c r="A91" t="s">
        <v>342</v>
      </c>
      <c r="B91" t="s">
        <v>2630</v>
      </c>
      <c r="C91" t="s">
        <v>2629</v>
      </c>
      <c r="D91" t="s">
        <v>304</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1">
        <v>0.02</v>
      </c>
    </row>
    <row r="92" spans="1:33">
      <c r="A92" t="s">
        <v>2378</v>
      </c>
      <c r="B92" t="s">
        <v>2628</v>
      </c>
      <c r="C92" t="s">
        <v>2627</v>
      </c>
      <c r="D92" t="s">
        <v>304</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1">
        <v>2E-3</v>
      </c>
    </row>
    <row r="93" spans="1:33">
      <c r="A93" t="s">
        <v>340</v>
      </c>
      <c r="B93" t="s">
        <v>2626</v>
      </c>
      <c r="C93" t="s">
        <v>2625</v>
      </c>
      <c r="D93" t="s">
        <v>304</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1">
        <v>4.0000000000000001E-3</v>
      </c>
    </row>
    <row r="94" spans="1:33">
      <c r="A94" t="s">
        <v>341</v>
      </c>
      <c r="B94" t="s">
        <v>2624</v>
      </c>
      <c r="C94" t="s">
        <v>2623</v>
      </c>
      <c r="D94" t="s">
        <v>304</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1">
        <v>0</v>
      </c>
    </row>
    <row r="95" spans="1:33">
      <c r="A95" t="s">
        <v>342</v>
      </c>
      <c r="B95" t="s">
        <v>2622</v>
      </c>
      <c r="C95" t="s">
        <v>2621</v>
      </c>
      <c r="D95" t="s">
        <v>304</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1">
        <v>5.0000000000000001E-3</v>
      </c>
    </row>
    <row r="96" spans="1:33">
      <c r="A96" t="s">
        <v>2375</v>
      </c>
      <c r="B96" t="s">
        <v>2620</v>
      </c>
      <c r="C96" t="s">
        <v>2619</v>
      </c>
      <c r="D96" t="s">
        <v>304</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1">
        <v>2.3E-2</v>
      </c>
    </row>
    <row r="97" spans="1:33">
      <c r="A97" t="s">
        <v>340</v>
      </c>
      <c r="B97" t="s">
        <v>2618</v>
      </c>
      <c r="C97" t="s">
        <v>2617</v>
      </c>
      <c r="D97" t="s">
        <v>304</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1">
        <v>2.3E-2</v>
      </c>
    </row>
    <row r="98" spans="1:33">
      <c r="A98" t="s">
        <v>341</v>
      </c>
      <c r="B98" t="s">
        <v>2616</v>
      </c>
      <c r="C98" t="s">
        <v>2615</v>
      </c>
      <c r="D98" t="s">
        <v>304</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1">
        <v>2.5999999999999999E-2</v>
      </c>
    </row>
    <row r="99" spans="1:33">
      <c r="A99" t="s">
        <v>342</v>
      </c>
      <c r="B99" t="s">
        <v>2614</v>
      </c>
      <c r="C99" t="s">
        <v>2613</v>
      </c>
      <c r="D99" t="s">
        <v>304</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1">
        <v>2.3E-2</v>
      </c>
    </row>
    <row r="100" spans="1:33">
      <c r="A100" t="s">
        <v>2372</v>
      </c>
      <c r="B100" t="s">
        <v>2612</v>
      </c>
      <c r="C100" t="s">
        <v>2611</v>
      </c>
      <c r="D100" t="s">
        <v>304</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1">
        <v>2.5000000000000001E-2</v>
      </c>
    </row>
    <row r="101" spans="1:33">
      <c r="A101" t="s">
        <v>340</v>
      </c>
      <c r="B101" t="s">
        <v>2610</v>
      </c>
      <c r="C101" t="s">
        <v>2609</v>
      </c>
      <c r="D101" t="s">
        <v>304</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1">
        <v>2.1999999999999999E-2</v>
      </c>
    </row>
    <row r="102" spans="1:33">
      <c r="A102" t="s">
        <v>341</v>
      </c>
      <c r="B102" t="s">
        <v>2608</v>
      </c>
      <c r="C102" t="s">
        <v>2607</v>
      </c>
      <c r="D102" t="s">
        <v>304</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1">
        <v>2.8000000000000001E-2</v>
      </c>
    </row>
    <row r="103" spans="1:33">
      <c r="A103" t="s">
        <v>342</v>
      </c>
      <c r="B103" t="s">
        <v>2606</v>
      </c>
      <c r="C103" t="s">
        <v>2605</v>
      </c>
      <c r="D103" t="s">
        <v>304</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1">
        <v>1.7999999999999999E-2</v>
      </c>
    </row>
    <row r="104" spans="1:33">
      <c r="A104" t="s">
        <v>2369</v>
      </c>
      <c r="B104" t="s">
        <v>2604</v>
      </c>
      <c r="C104" t="s">
        <v>2603</v>
      </c>
      <c r="D104" t="s">
        <v>304</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1">
        <v>2.4E-2</v>
      </c>
    </row>
    <row r="105" spans="1:33">
      <c r="A105" t="s">
        <v>340</v>
      </c>
      <c r="B105" t="s">
        <v>2602</v>
      </c>
      <c r="C105" t="s">
        <v>2601</v>
      </c>
      <c r="D105" t="s">
        <v>304</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1">
        <v>2.3E-2</v>
      </c>
    </row>
    <row r="106" spans="1:33">
      <c r="A106" t="s">
        <v>341</v>
      </c>
      <c r="B106" t="s">
        <v>2600</v>
      </c>
      <c r="C106" t="s">
        <v>2599</v>
      </c>
      <c r="D106" t="s">
        <v>304</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1">
        <v>0.04</v>
      </c>
    </row>
    <row r="107" spans="1:33">
      <c r="A107" t="s">
        <v>342</v>
      </c>
      <c r="B107" t="s">
        <v>2598</v>
      </c>
      <c r="C107" t="s">
        <v>2597</v>
      </c>
      <c r="D107" t="s">
        <v>304</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1">
        <v>1.7000000000000001E-2</v>
      </c>
    </row>
    <row r="108" spans="1:33">
      <c r="A108" t="s">
        <v>2366</v>
      </c>
      <c r="B108" t="s">
        <v>2596</v>
      </c>
      <c r="C108" t="s">
        <v>2595</v>
      </c>
      <c r="D108" t="s">
        <v>304</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1">
        <v>3.3000000000000002E-2</v>
      </c>
    </row>
    <row r="109" spans="1:33">
      <c r="A109" t="s">
        <v>340</v>
      </c>
      <c r="B109" t="s">
        <v>2594</v>
      </c>
      <c r="C109" t="s">
        <v>2593</v>
      </c>
      <c r="D109" t="s">
        <v>304</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1">
        <v>3.3000000000000002E-2</v>
      </c>
    </row>
    <row r="110" spans="1:33">
      <c r="A110" t="s">
        <v>341</v>
      </c>
      <c r="B110" t="s">
        <v>2592</v>
      </c>
      <c r="C110" t="s">
        <v>2591</v>
      </c>
      <c r="D110" t="s">
        <v>304</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1">
        <v>3.3000000000000002E-2</v>
      </c>
    </row>
    <row r="111" spans="1:33">
      <c r="A111" t="s">
        <v>342</v>
      </c>
      <c r="B111" t="s">
        <v>2590</v>
      </c>
      <c r="C111" t="s">
        <v>2589</v>
      </c>
      <c r="D111" t="s">
        <v>304</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1">
        <v>3.2000000000000001E-2</v>
      </c>
    </row>
    <row r="112" spans="1:33">
      <c r="A112" t="s">
        <v>350</v>
      </c>
      <c r="B112" t="s">
        <v>2588</v>
      </c>
      <c r="C112" t="s">
        <v>2587</v>
      </c>
      <c r="D112" t="s">
        <v>304</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1">
        <v>4.2999999999999997E-2</v>
      </c>
    </row>
    <row r="113" spans="1:33">
      <c r="A113" t="s">
        <v>340</v>
      </c>
      <c r="B113" t="s">
        <v>2586</v>
      </c>
      <c r="C113" t="s">
        <v>2585</v>
      </c>
      <c r="D113" t="s">
        <v>304</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1">
        <v>4.2999999999999997E-2</v>
      </c>
    </row>
    <row r="114" spans="1:33">
      <c r="A114" t="s">
        <v>341</v>
      </c>
      <c r="B114" t="s">
        <v>2584</v>
      </c>
      <c r="C114" t="s">
        <v>2583</v>
      </c>
      <c r="D114" t="s">
        <v>304</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1">
        <v>4.1000000000000002E-2</v>
      </c>
    </row>
    <row r="115" spans="1:33">
      <c r="A115" t="s">
        <v>342</v>
      </c>
      <c r="B115" t="s">
        <v>2582</v>
      </c>
      <c r="C115" t="s">
        <v>2581</v>
      </c>
      <c r="D115" t="s">
        <v>304</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1">
        <v>4.2999999999999997E-2</v>
      </c>
    </row>
    <row r="116" spans="1:33">
      <c r="A116" t="s">
        <v>2361</v>
      </c>
      <c r="B116" t="s">
        <v>2580</v>
      </c>
      <c r="C116" t="s">
        <v>2579</v>
      </c>
      <c r="D116" t="s">
        <v>304</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1">
        <v>5.8000000000000003E-2</v>
      </c>
    </row>
    <row r="117" spans="1:33">
      <c r="A117" t="s">
        <v>340</v>
      </c>
      <c r="B117" t="s">
        <v>2578</v>
      </c>
      <c r="C117" t="s">
        <v>2577</v>
      </c>
      <c r="D117" t="s">
        <v>304</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1">
        <v>5.8000000000000003E-2</v>
      </c>
    </row>
    <row r="118" spans="1:33">
      <c r="A118" t="s">
        <v>341</v>
      </c>
      <c r="B118" t="s">
        <v>2576</v>
      </c>
      <c r="C118" t="s">
        <v>2575</v>
      </c>
      <c r="D118" t="s">
        <v>304</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1">
        <v>5.2999999999999999E-2</v>
      </c>
    </row>
    <row r="119" spans="1:33">
      <c r="A119" t="s">
        <v>342</v>
      </c>
      <c r="B119" t="s">
        <v>2574</v>
      </c>
      <c r="C119" t="s">
        <v>2573</v>
      </c>
      <c r="D119" t="s">
        <v>304</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1">
        <v>6.0999999999999999E-2</v>
      </c>
    </row>
    <row r="120" spans="1:33">
      <c r="A120" t="s">
        <v>2358</v>
      </c>
      <c r="B120" t="s">
        <v>2572</v>
      </c>
      <c r="C120" t="s">
        <v>2571</v>
      </c>
      <c r="D120" t="s">
        <v>304</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1">
        <v>0.04</v>
      </c>
    </row>
    <row r="121" spans="1:33">
      <c r="A121" t="s">
        <v>340</v>
      </c>
      <c r="B121" t="s">
        <v>2570</v>
      </c>
      <c r="C121" t="s">
        <v>2569</v>
      </c>
      <c r="D121" t="s">
        <v>304</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1">
        <v>0.04</v>
      </c>
    </row>
    <row r="122" spans="1:33">
      <c r="A122" t="s">
        <v>341</v>
      </c>
      <c r="B122" t="s">
        <v>2568</v>
      </c>
      <c r="C122" t="s">
        <v>2567</v>
      </c>
      <c r="D122" t="s">
        <v>304</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1">
        <v>3.7999999999999999E-2</v>
      </c>
    </row>
    <row r="123" spans="1:33">
      <c r="A123" t="s">
        <v>342</v>
      </c>
      <c r="B123" t="s">
        <v>2566</v>
      </c>
      <c r="C123" t="s">
        <v>2565</v>
      </c>
      <c r="D123" t="s">
        <v>304</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1">
        <v>4.1000000000000002E-2</v>
      </c>
    </row>
    <row r="124" spans="1:33">
      <c r="A124" t="s">
        <v>2355</v>
      </c>
      <c r="B124" t="s">
        <v>2564</v>
      </c>
      <c r="C124" t="s">
        <v>2563</v>
      </c>
      <c r="D124" t="s">
        <v>304</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1">
        <v>3.9E-2</v>
      </c>
    </row>
    <row r="125" spans="1:33">
      <c r="A125" t="s">
        <v>340</v>
      </c>
      <c r="B125" t="s">
        <v>2562</v>
      </c>
      <c r="C125" t="s">
        <v>2561</v>
      </c>
      <c r="D125" t="s">
        <v>304</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1">
        <v>3.7999999999999999E-2</v>
      </c>
    </row>
    <row r="126" spans="1:33">
      <c r="A126" t="s">
        <v>341</v>
      </c>
      <c r="B126" t="s">
        <v>2560</v>
      </c>
      <c r="C126" t="s">
        <v>2559</v>
      </c>
      <c r="D126" t="s">
        <v>304</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1">
        <v>3.9E-2</v>
      </c>
    </row>
    <row r="127" spans="1:33">
      <c r="A127" t="s">
        <v>342</v>
      </c>
      <c r="B127" t="s">
        <v>2558</v>
      </c>
      <c r="C127" t="s">
        <v>2557</v>
      </c>
      <c r="D127" t="s">
        <v>304</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1">
        <v>3.5999999999999997E-2</v>
      </c>
    </row>
    <row r="128" spans="1:33">
      <c r="A128" t="s">
        <v>347</v>
      </c>
      <c r="B128" t="s">
        <v>2556</v>
      </c>
      <c r="C128" t="s">
        <v>2555</v>
      </c>
      <c r="D128" t="s">
        <v>304</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1">
        <v>4.1000000000000002E-2</v>
      </c>
    </row>
    <row r="129" spans="1:33">
      <c r="A129" t="s">
        <v>340</v>
      </c>
      <c r="B129" t="s">
        <v>2554</v>
      </c>
      <c r="C129" t="s">
        <v>2553</v>
      </c>
      <c r="D129" t="s">
        <v>304</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1">
        <v>4.1000000000000002E-2</v>
      </c>
    </row>
    <row r="130" spans="1:33">
      <c r="A130" t="s">
        <v>341</v>
      </c>
      <c r="B130" t="s">
        <v>2552</v>
      </c>
      <c r="C130" t="s">
        <v>2551</v>
      </c>
      <c r="D130" t="s">
        <v>304</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1">
        <v>3.9E-2</v>
      </c>
    </row>
    <row r="131" spans="1:33">
      <c r="A131" t="s">
        <v>342</v>
      </c>
      <c r="B131" t="s">
        <v>2550</v>
      </c>
      <c r="C131" t="s">
        <v>2549</v>
      </c>
      <c r="D131" t="s">
        <v>304</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1">
        <v>4.2000000000000003E-2</v>
      </c>
    </row>
    <row r="132" spans="1:33">
      <c r="A132" t="s">
        <v>2350</v>
      </c>
      <c r="B132" t="s">
        <v>2548</v>
      </c>
      <c r="C132" t="s">
        <v>2547</v>
      </c>
      <c r="D132" t="s">
        <v>304</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1">
        <v>1.6E-2</v>
      </c>
    </row>
    <row r="133" spans="1:33">
      <c r="A133" t="s">
        <v>340</v>
      </c>
      <c r="B133" t="s">
        <v>2546</v>
      </c>
      <c r="C133" t="s">
        <v>2545</v>
      </c>
      <c r="D133" t="s">
        <v>304</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1">
        <v>1.6E-2</v>
      </c>
    </row>
    <row r="134" spans="1:33">
      <c r="A134" t="s">
        <v>341</v>
      </c>
      <c r="B134" t="s">
        <v>2544</v>
      </c>
      <c r="C134" t="s">
        <v>2543</v>
      </c>
      <c r="D134" t="s">
        <v>304</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1">
        <v>1.7999999999999999E-2</v>
      </c>
    </row>
    <row r="135" spans="1:33">
      <c r="A135" t="s">
        <v>342</v>
      </c>
      <c r="B135" t="s">
        <v>2542</v>
      </c>
      <c r="C135" t="s">
        <v>2541</v>
      </c>
      <c r="D135" t="s">
        <v>304</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1">
        <v>1.6E-2</v>
      </c>
    </row>
    <row r="136" spans="1:33">
      <c r="A136" t="s">
        <v>2347</v>
      </c>
      <c r="B136" t="s">
        <v>2540</v>
      </c>
      <c r="C136" t="s">
        <v>2539</v>
      </c>
      <c r="D136" t="s">
        <v>304</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1">
        <v>2.5999999999999999E-2</v>
      </c>
    </row>
    <row r="137" spans="1:33">
      <c r="A137" t="s">
        <v>340</v>
      </c>
      <c r="B137" t="s">
        <v>2538</v>
      </c>
      <c r="C137" t="s">
        <v>2537</v>
      </c>
      <c r="D137" t="s">
        <v>304</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1">
        <v>2.5999999999999999E-2</v>
      </c>
    </row>
    <row r="138" spans="1:33">
      <c r="A138" t="s">
        <v>341</v>
      </c>
      <c r="B138" t="s">
        <v>2536</v>
      </c>
      <c r="C138" t="s">
        <v>2535</v>
      </c>
      <c r="D138" t="s">
        <v>304</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1">
        <v>2.9000000000000001E-2</v>
      </c>
    </row>
    <row r="139" spans="1:33">
      <c r="A139" t="s">
        <v>342</v>
      </c>
      <c r="B139" t="s">
        <v>2534</v>
      </c>
      <c r="C139" t="s">
        <v>2533</v>
      </c>
      <c r="D139" t="s">
        <v>304</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1">
        <v>2.5000000000000001E-2</v>
      </c>
    </row>
    <row r="140" spans="1:33">
      <c r="A140" t="s">
        <v>15</v>
      </c>
      <c r="B140" t="s">
        <v>2532</v>
      </c>
      <c r="C140" t="s">
        <v>2531</v>
      </c>
      <c r="D140" t="s">
        <v>304</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1">
        <v>0.03</v>
      </c>
    </row>
    <row r="141" spans="1:33">
      <c r="A141" t="s">
        <v>340</v>
      </c>
      <c r="B141" t="s">
        <v>2530</v>
      </c>
      <c r="C141" t="s">
        <v>2529</v>
      </c>
      <c r="D141" t="s">
        <v>304</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1">
        <v>0.03</v>
      </c>
    </row>
    <row r="142" spans="1:33">
      <c r="A142" t="s">
        <v>341</v>
      </c>
      <c r="B142" t="s">
        <v>2528</v>
      </c>
      <c r="C142" t="s">
        <v>2527</v>
      </c>
      <c r="D142" t="s">
        <v>304</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1">
        <v>0.03</v>
      </c>
    </row>
    <row r="143" spans="1:33">
      <c r="A143" t="s">
        <v>342</v>
      </c>
      <c r="B143" t="s">
        <v>2526</v>
      </c>
      <c r="C143" t="s">
        <v>2525</v>
      </c>
      <c r="D143" t="s">
        <v>304</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1">
        <v>2.5999999999999999E-2</v>
      </c>
    </row>
    <row r="144" spans="1:33">
      <c r="A144" t="s">
        <v>18</v>
      </c>
    </row>
    <row r="145" spans="1:33">
      <c r="A145" t="s">
        <v>339</v>
      </c>
      <c r="B145" t="s">
        <v>2524</v>
      </c>
      <c r="C145" t="s">
        <v>2523</v>
      </c>
      <c r="D145" t="s">
        <v>304</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1">
        <v>0</v>
      </c>
    </row>
    <row r="146" spans="1:33">
      <c r="A146" t="s">
        <v>340</v>
      </c>
      <c r="B146" t="s">
        <v>2522</v>
      </c>
      <c r="C146" t="s">
        <v>2521</v>
      </c>
      <c r="D146" t="s">
        <v>304</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1">
        <v>0</v>
      </c>
    </row>
    <row r="147" spans="1:33">
      <c r="A147" t="s">
        <v>341</v>
      </c>
      <c r="B147" t="s">
        <v>2520</v>
      </c>
      <c r="C147" t="s">
        <v>2519</v>
      </c>
      <c r="D147" t="s">
        <v>304</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1">
        <v>0</v>
      </c>
    </row>
    <row r="148" spans="1:33">
      <c r="A148" t="s">
        <v>342</v>
      </c>
      <c r="B148" t="s">
        <v>2518</v>
      </c>
      <c r="C148" t="s">
        <v>2517</v>
      </c>
      <c r="D148" t="s">
        <v>304</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1">
        <v>0</v>
      </c>
    </row>
    <row r="149" spans="1:33">
      <c r="A149" t="s">
        <v>343</v>
      </c>
      <c r="B149" t="s">
        <v>2516</v>
      </c>
      <c r="C149" t="s">
        <v>2515</v>
      </c>
      <c r="D149" t="s">
        <v>304</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1">
        <v>-1E-3</v>
      </c>
    </row>
    <row r="150" spans="1:33">
      <c r="A150" t="s">
        <v>340</v>
      </c>
      <c r="B150" t="s">
        <v>2514</v>
      </c>
      <c r="C150" t="s">
        <v>2513</v>
      </c>
      <c r="D150" t="s">
        <v>304</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1">
        <v>-2E-3</v>
      </c>
    </row>
    <row r="151" spans="1:33">
      <c r="A151" t="s">
        <v>341</v>
      </c>
      <c r="B151" t="s">
        <v>2512</v>
      </c>
      <c r="C151" t="s">
        <v>2511</v>
      </c>
      <c r="D151" t="s">
        <v>304</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1">
        <v>-1E-3</v>
      </c>
    </row>
    <row r="152" spans="1:33">
      <c r="A152" t="s">
        <v>342</v>
      </c>
      <c r="B152" t="s">
        <v>2510</v>
      </c>
      <c r="C152" t="s">
        <v>2509</v>
      </c>
      <c r="D152" t="s">
        <v>304</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1">
        <v>0</v>
      </c>
    </row>
    <row r="153" spans="1:33">
      <c r="A153" t="s">
        <v>2384</v>
      </c>
      <c r="B153" t="s">
        <v>2508</v>
      </c>
      <c r="C153" t="s">
        <v>2507</v>
      </c>
      <c r="D153" t="s">
        <v>304</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1">
        <v>0</v>
      </c>
    </row>
    <row r="154" spans="1:33">
      <c r="A154" t="s">
        <v>340</v>
      </c>
      <c r="B154" t="s">
        <v>2506</v>
      </c>
      <c r="C154" t="s">
        <v>2505</v>
      </c>
      <c r="D154" t="s">
        <v>304</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1">
        <v>0</v>
      </c>
    </row>
    <row r="155" spans="1:33">
      <c r="A155" t="s">
        <v>341</v>
      </c>
      <c r="B155" t="s">
        <v>2504</v>
      </c>
      <c r="C155" t="s">
        <v>2503</v>
      </c>
      <c r="D155" t="s">
        <v>304</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342</v>
      </c>
      <c r="B156" t="s">
        <v>2502</v>
      </c>
      <c r="C156" t="s">
        <v>2501</v>
      </c>
      <c r="D156" t="s">
        <v>304</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1">
        <v>0</v>
      </c>
    </row>
    <row r="157" spans="1:33">
      <c r="A157" t="s">
        <v>2381</v>
      </c>
      <c r="B157" t="s">
        <v>2500</v>
      </c>
      <c r="C157" t="s">
        <v>2499</v>
      </c>
      <c r="D157" t="s">
        <v>304</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1">
        <v>0</v>
      </c>
    </row>
    <row r="158" spans="1:33">
      <c r="A158" t="s">
        <v>340</v>
      </c>
      <c r="B158" t="s">
        <v>2498</v>
      </c>
      <c r="C158" t="s">
        <v>2497</v>
      </c>
      <c r="D158" t="s">
        <v>304</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1">
        <v>0</v>
      </c>
    </row>
    <row r="159" spans="1:33">
      <c r="A159" t="s">
        <v>341</v>
      </c>
      <c r="B159" t="s">
        <v>2496</v>
      </c>
      <c r="C159" t="s">
        <v>2495</v>
      </c>
      <c r="D159" t="s">
        <v>304</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1">
        <v>0</v>
      </c>
    </row>
    <row r="160" spans="1:33">
      <c r="A160" t="s">
        <v>342</v>
      </c>
      <c r="B160" t="s">
        <v>2494</v>
      </c>
      <c r="C160" t="s">
        <v>2493</v>
      </c>
      <c r="D160" t="s">
        <v>304</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1">
        <v>0</v>
      </c>
    </row>
    <row r="161" spans="1:33">
      <c r="A161" t="s">
        <v>2378</v>
      </c>
      <c r="B161" t="s">
        <v>2492</v>
      </c>
      <c r="C161" t="s">
        <v>2491</v>
      </c>
      <c r="D161" t="s">
        <v>304</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1">
        <v>0</v>
      </c>
    </row>
    <row r="162" spans="1:33">
      <c r="A162" t="s">
        <v>340</v>
      </c>
      <c r="B162" t="s">
        <v>2490</v>
      </c>
      <c r="C162" t="s">
        <v>2489</v>
      </c>
      <c r="D162" t="s">
        <v>304</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1">
        <v>0</v>
      </c>
    </row>
    <row r="163" spans="1:33">
      <c r="A163" t="s">
        <v>341</v>
      </c>
      <c r="B163" t="s">
        <v>2488</v>
      </c>
      <c r="C163" t="s">
        <v>2487</v>
      </c>
      <c r="D163" t="s">
        <v>304</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1">
        <v>0</v>
      </c>
    </row>
    <row r="164" spans="1:33">
      <c r="A164" t="s">
        <v>342</v>
      </c>
      <c r="B164" t="s">
        <v>2486</v>
      </c>
      <c r="C164" t="s">
        <v>2485</v>
      </c>
      <c r="D164" t="s">
        <v>304</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1">
        <v>0</v>
      </c>
    </row>
    <row r="165" spans="1:33">
      <c r="A165" t="s">
        <v>2375</v>
      </c>
      <c r="B165" t="s">
        <v>2484</v>
      </c>
      <c r="C165" t="s">
        <v>2483</v>
      </c>
      <c r="D165" t="s">
        <v>304</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1">
        <v>0</v>
      </c>
    </row>
    <row r="166" spans="1:33">
      <c r="A166" t="s">
        <v>340</v>
      </c>
      <c r="B166" t="s">
        <v>2482</v>
      </c>
      <c r="C166" t="s">
        <v>2481</v>
      </c>
      <c r="D166" t="s">
        <v>304</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1">
        <v>-1E-3</v>
      </c>
    </row>
    <row r="167" spans="1:33">
      <c r="A167" t="s">
        <v>341</v>
      </c>
      <c r="B167" t="s">
        <v>2480</v>
      </c>
      <c r="C167" t="s">
        <v>2479</v>
      </c>
      <c r="D167" t="s">
        <v>304</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1">
        <v>0</v>
      </c>
    </row>
    <row r="168" spans="1:33">
      <c r="A168" t="s">
        <v>342</v>
      </c>
      <c r="B168" t="s">
        <v>2478</v>
      </c>
      <c r="C168" t="s">
        <v>2477</v>
      </c>
      <c r="D168" t="s">
        <v>304</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1">
        <v>0</v>
      </c>
    </row>
    <row r="169" spans="1:33">
      <c r="A169" t="s">
        <v>2372</v>
      </c>
      <c r="B169" t="s">
        <v>2476</v>
      </c>
      <c r="C169" t="s">
        <v>2475</v>
      </c>
      <c r="D169" t="s">
        <v>304</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1">
        <v>0</v>
      </c>
    </row>
    <row r="170" spans="1:33">
      <c r="A170" t="s">
        <v>340</v>
      </c>
      <c r="B170" t="s">
        <v>2474</v>
      </c>
      <c r="C170" t="s">
        <v>2473</v>
      </c>
      <c r="D170" t="s">
        <v>304</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341</v>
      </c>
      <c r="B171" t="s">
        <v>2472</v>
      </c>
      <c r="C171" t="s">
        <v>2471</v>
      </c>
      <c r="D171" t="s">
        <v>304</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1">
        <v>0</v>
      </c>
    </row>
    <row r="172" spans="1:33">
      <c r="A172" t="s">
        <v>342</v>
      </c>
      <c r="B172" t="s">
        <v>2470</v>
      </c>
      <c r="C172" t="s">
        <v>2469</v>
      </c>
      <c r="D172" t="s">
        <v>304</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2369</v>
      </c>
      <c r="B173" t="s">
        <v>2468</v>
      </c>
      <c r="C173" t="s">
        <v>2467</v>
      </c>
      <c r="D173" t="s">
        <v>304</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1">
        <v>0</v>
      </c>
    </row>
    <row r="174" spans="1:33">
      <c r="A174" t="s">
        <v>340</v>
      </c>
      <c r="B174" t="s">
        <v>2466</v>
      </c>
      <c r="C174" t="s">
        <v>2465</v>
      </c>
      <c r="D174" t="s">
        <v>304</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1">
        <v>0</v>
      </c>
    </row>
    <row r="175" spans="1:33">
      <c r="A175" t="s">
        <v>341</v>
      </c>
      <c r="B175" t="s">
        <v>2464</v>
      </c>
      <c r="C175" t="s">
        <v>2463</v>
      </c>
      <c r="D175" t="s">
        <v>304</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1">
        <v>0</v>
      </c>
    </row>
    <row r="176" spans="1:33">
      <c r="A176" t="s">
        <v>342</v>
      </c>
      <c r="B176" t="s">
        <v>2462</v>
      </c>
      <c r="C176" t="s">
        <v>2461</v>
      </c>
      <c r="D176" t="s">
        <v>304</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1">
        <v>0</v>
      </c>
    </row>
    <row r="177" spans="1:33">
      <c r="A177" t="s">
        <v>2366</v>
      </c>
      <c r="B177" t="s">
        <v>2460</v>
      </c>
      <c r="C177" t="s">
        <v>2459</v>
      </c>
      <c r="D177" t="s">
        <v>304</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1">
        <v>0</v>
      </c>
    </row>
    <row r="178" spans="1:33">
      <c r="A178" t="s">
        <v>340</v>
      </c>
      <c r="B178" t="s">
        <v>2458</v>
      </c>
      <c r="C178" t="s">
        <v>2457</v>
      </c>
      <c r="D178" t="s">
        <v>304</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1">
        <v>0</v>
      </c>
    </row>
    <row r="179" spans="1:33">
      <c r="A179" t="s">
        <v>341</v>
      </c>
      <c r="B179" t="s">
        <v>2456</v>
      </c>
      <c r="C179" t="s">
        <v>2455</v>
      </c>
      <c r="D179" t="s">
        <v>304</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1">
        <v>0</v>
      </c>
    </row>
    <row r="180" spans="1:33">
      <c r="A180" t="s">
        <v>342</v>
      </c>
      <c r="B180" t="s">
        <v>2454</v>
      </c>
      <c r="C180" t="s">
        <v>2453</v>
      </c>
      <c r="D180" t="s">
        <v>304</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1">
        <v>0</v>
      </c>
    </row>
    <row r="181" spans="1:33">
      <c r="A181" t="s">
        <v>350</v>
      </c>
      <c r="B181" t="s">
        <v>2452</v>
      </c>
      <c r="C181" t="s">
        <v>2451</v>
      </c>
      <c r="D181" t="s">
        <v>304</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1">
        <v>-2E-3</v>
      </c>
    </row>
    <row r="182" spans="1:33">
      <c r="A182" t="s">
        <v>340</v>
      </c>
      <c r="B182" t="s">
        <v>2450</v>
      </c>
      <c r="C182" t="s">
        <v>2449</v>
      </c>
      <c r="D182" t="s">
        <v>304</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1">
        <v>-5.0000000000000001E-3</v>
      </c>
    </row>
    <row r="183" spans="1:33">
      <c r="A183" t="s">
        <v>341</v>
      </c>
      <c r="B183" t="s">
        <v>2448</v>
      </c>
      <c r="C183" t="s">
        <v>2447</v>
      </c>
      <c r="D183" t="s">
        <v>304</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1">
        <v>0</v>
      </c>
    </row>
    <row r="184" spans="1:33">
      <c r="A184" t="s">
        <v>342</v>
      </c>
      <c r="B184" t="s">
        <v>2446</v>
      </c>
      <c r="C184" t="s">
        <v>2445</v>
      </c>
      <c r="D184" t="s">
        <v>304</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1">
        <v>0</v>
      </c>
    </row>
    <row r="185" spans="1:33">
      <c r="A185" t="s">
        <v>2361</v>
      </c>
      <c r="B185" t="s">
        <v>2444</v>
      </c>
      <c r="C185" t="s">
        <v>2443</v>
      </c>
      <c r="D185" t="s">
        <v>304</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1">
        <v>0</v>
      </c>
    </row>
    <row r="186" spans="1:33">
      <c r="A186" t="s">
        <v>340</v>
      </c>
      <c r="B186" t="s">
        <v>2442</v>
      </c>
      <c r="C186" t="s">
        <v>2441</v>
      </c>
      <c r="D186" t="s">
        <v>304</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1">
        <v>0</v>
      </c>
    </row>
    <row r="187" spans="1:33">
      <c r="A187" t="s">
        <v>341</v>
      </c>
      <c r="B187" t="s">
        <v>2440</v>
      </c>
      <c r="C187" t="s">
        <v>2439</v>
      </c>
      <c r="D187" t="s">
        <v>304</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1">
        <v>0</v>
      </c>
    </row>
    <row r="188" spans="1:33">
      <c r="A188" t="s">
        <v>342</v>
      </c>
      <c r="B188" t="s">
        <v>2438</v>
      </c>
      <c r="C188" t="s">
        <v>2437</v>
      </c>
      <c r="D188" t="s">
        <v>304</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1">
        <v>0</v>
      </c>
    </row>
    <row r="189" spans="1:33">
      <c r="A189" t="s">
        <v>2358</v>
      </c>
      <c r="B189" t="s">
        <v>2436</v>
      </c>
      <c r="C189" t="s">
        <v>2435</v>
      </c>
      <c r="D189" t="s">
        <v>304</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1">
        <v>0</v>
      </c>
    </row>
    <row r="190" spans="1:33">
      <c r="A190" t="s">
        <v>340</v>
      </c>
      <c r="B190" t="s">
        <v>2434</v>
      </c>
      <c r="C190" t="s">
        <v>2433</v>
      </c>
      <c r="D190" t="s">
        <v>304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1">
        <v>0</v>
      </c>
    </row>
    <row r="191" spans="1:33">
      <c r="A191" t="s">
        <v>341</v>
      </c>
      <c r="B191" t="s">
        <v>2432</v>
      </c>
      <c r="C191" t="s">
        <v>2431</v>
      </c>
      <c r="D191" t="s">
        <v>304</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1">
        <v>0</v>
      </c>
    </row>
    <row r="192" spans="1:33">
      <c r="A192" t="s">
        <v>342</v>
      </c>
      <c r="B192" t="s">
        <v>2430</v>
      </c>
      <c r="C192" t="s">
        <v>2429</v>
      </c>
      <c r="D192" t="s">
        <v>304</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1">
        <v>0</v>
      </c>
    </row>
    <row r="193" spans="1:33">
      <c r="A193" t="s">
        <v>2355</v>
      </c>
      <c r="B193" t="s">
        <v>2428</v>
      </c>
      <c r="C193" t="s">
        <v>2427</v>
      </c>
      <c r="D193" t="s">
        <v>304</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1">
        <v>0</v>
      </c>
    </row>
    <row r="194" spans="1:33">
      <c r="A194" t="s">
        <v>340</v>
      </c>
      <c r="B194" t="s">
        <v>2426</v>
      </c>
      <c r="C194" t="s">
        <v>2425</v>
      </c>
      <c r="D194" t="s">
        <v>304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1">
        <v>0</v>
      </c>
    </row>
    <row r="195" spans="1:33">
      <c r="A195" t="s">
        <v>341</v>
      </c>
      <c r="B195" t="s">
        <v>2424</v>
      </c>
      <c r="C195" t="s">
        <v>2423</v>
      </c>
      <c r="D195" t="s">
        <v>304</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1">
        <v>0</v>
      </c>
    </row>
    <row r="196" spans="1:33">
      <c r="A196" t="s">
        <v>342</v>
      </c>
      <c r="B196" t="s">
        <v>2422</v>
      </c>
      <c r="C196" t="s">
        <v>2421</v>
      </c>
      <c r="D196" t="s">
        <v>304</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1">
        <v>0</v>
      </c>
    </row>
    <row r="197" spans="1:33">
      <c r="A197" t="s">
        <v>347</v>
      </c>
      <c r="B197" t="s">
        <v>2420</v>
      </c>
      <c r="C197" t="s">
        <v>2419</v>
      </c>
      <c r="D197" t="s">
        <v>304</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1">
        <v>0</v>
      </c>
    </row>
    <row r="198" spans="1:33">
      <c r="A198" t="s">
        <v>340</v>
      </c>
      <c r="B198" t="s">
        <v>2418</v>
      </c>
      <c r="C198" t="s">
        <v>2417</v>
      </c>
      <c r="D198" t="s">
        <v>304</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1">
        <v>0</v>
      </c>
    </row>
    <row r="199" spans="1:33">
      <c r="A199" t="s">
        <v>341</v>
      </c>
      <c r="B199" t="s">
        <v>2416</v>
      </c>
      <c r="C199" t="s">
        <v>2415</v>
      </c>
      <c r="D199" t="s">
        <v>304</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1">
        <v>0</v>
      </c>
    </row>
    <row r="200" spans="1:33">
      <c r="A200" t="s">
        <v>342</v>
      </c>
      <c r="B200" t="s">
        <v>2414</v>
      </c>
      <c r="C200" t="s">
        <v>2413</v>
      </c>
      <c r="D200" t="s">
        <v>304</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1">
        <v>0</v>
      </c>
    </row>
    <row r="201" spans="1:33">
      <c r="A201" t="s">
        <v>2350</v>
      </c>
      <c r="B201" t="s">
        <v>2412</v>
      </c>
      <c r="C201" t="s">
        <v>2411</v>
      </c>
      <c r="D201" t="s">
        <v>304</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1">
        <v>0</v>
      </c>
    </row>
    <row r="202" spans="1:33">
      <c r="A202" t="s">
        <v>340</v>
      </c>
      <c r="B202" t="s">
        <v>2410</v>
      </c>
      <c r="C202" t="s">
        <v>2409</v>
      </c>
      <c r="D202" t="s">
        <v>304</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1">
        <v>0</v>
      </c>
    </row>
    <row r="203" spans="1:33">
      <c r="A203" t="s">
        <v>341</v>
      </c>
      <c r="B203" t="s">
        <v>2408</v>
      </c>
      <c r="C203" t="s">
        <v>2407</v>
      </c>
      <c r="D203" t="s">
        <v>304</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1">
        <v>0</v>
      </c>
    </row>
    <row r="204" spans="1:33">
      <c r="A204" t="s">
        <v>342</v>
      </c>
      <c r="B204" t="s">
        <v>2406</v>
      </c>
      <c r="C204" t="s">
        <v>2405</v>
      </c>
      <c r="D204" t="s">
        <v>304</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1">
        <v>0</v>
      </c>
    </row>
    <row r="205" spans="1:33">
      <c r="A205" t="s">
        <v>2347</v>
      </c>
      <c r="B205" t="s">
        <v>2404</v>
      </c>
      <c r="C205" t="s">
        <v>2403</v>
      </c>
      <c r="D205" t="s">
        <v>304</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1">
        <v>0</v>
      </c>
    </row>
    <row r="206" spans="1:33">
      <c r="A206" t="s">
        <v>340</v>
      </c>
      <c r="B206" t="s">
        <v>2402</v>
      </c>
      <c r="C206" t="s">
        <v>2401</v>
      </c>
      <c r="D206" t="s">
        <v>304</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1">
        <v>0</v>
      </c>
    </row>
    <row r="207" spans="1:33">
      <c r="A207" t="s">
        <v>341</v>
      </c>
      <c r="B207" t="s">
        <v>2400</v>
      </c>
      <c r="C207" t="s">
        <v>2399</v>
      </c>
      <c r="D207" t="s">
        <v>304</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1">
        <v>0</v>
      </c>
    </row>
    <row r="208" spans="1:33">
      <c r="A208" t="s">
        <v>342</v>
      </c>
      <c r="B208" t="s">
        <v>2398</v>
      </c>
      <c r="C208" t="s">
        <v>2397</v>
      </c>
      <c r="D208" t="s">
        <v>304</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1">
        <v>0</v>
      </c>
    </row>
    <row r="209" spans="1:33">
      <c r="A209" t="s">
        <v>15</v>
      </c>
      <c r="B209" t="s">
        <v>2396</v>
      </c>
      <c r="C209" t="s">
        <v>2395</v>
      </c>
      <c r="D209" t="s">
        <v>304</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1">
        <v>0</v>
      </c>
    </row>
    <row r="210" spans="1:33">
      <c r="A210" t="s">
        <v>340</v>
      </c>
      <c r="B210" t="s">
        <v>2394</v>
      </c>
      <c r="C210" t="s">
        <v>2393</v>
      </c>
      <c r="D210" t="s">
        <v>304</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1">
        <v>-1E-3</v>
      </c>
    </row>
    <row r="211" spans="1:33">
      <c r="A211" t="s">
        <v>341</v>
      </c>
      <c r="B211" t="s">
        <v>2392</v>
      </c>
      <c r="C211" t="s">
        <v>2391</v>
      </c>
      <c r="D211" t="s">
        <v>304</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1">
        <v>0</v>
      </c>
    </row>
    <row r="212" spans="1:33">
      <c r="A212" t="s">
        <v>342</v>
      </c>
      <c r="B212" t="s">
        <v>2390</v>
      </c>
      <c r="C212" t="s">
        <v>2389</v>
      </c>
      <c r="D212" t="s">
        <v>304</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1">
        <v>0</v>
      </c>
    </row>
    <row r="213" spans="1:33">
      <c r="A213" t="s">
        <v>16</v>
      </c>
    </row>
    <row r="214" spans="1:33" s="170" customFormat="1">
      <c r="A214" s="170" t="s">
        <v>339</v>
      </c>
      <c r="B214" s="170" t="s">
        <v>2388</v>
      </c>
      <c r="C214" s="170" t="s">
        <v>2387</v>
      </c>
      <c r="D214" s="170" t="s">
        <v>304</v>
      </c>
      <c r="F214" s="170">
        <v>1068.7120359999999</v>
      </c>
      <c r="G214" s="170">
        <v>1079.8138429999999</v>
      </c>
      <c r="H214" s="170">
        <v>1093.642456</v>
      </c>
      <c r="I214" s="170">
        <v>1106.2845460000001</v>
      </c>
      <c r="J214" s="170">
        <v>1117.290039</v>
      </c>
      <c r="K214" s="170">
        <v>1129.9379879999999</v>
      </c>
      <c r="L214" s="170">
        <v>1142.154663</v>
      </c>
      <c r="M214" s="170">
        <v>1152.991577</v>
      </c>
      <c r="N214" s="170">
        <v>1165.8289789999999</v>
      </c>
      <c r="O214" s="170">
        <v>1179.8967290000001</v>
      </c>
      <c r="P214" s="170">
        <v>1193.9592290000001</v>
      </c>
      <c r="Q214" s="170">
        <v>1209.5074460000001</v>
      </c>
      <c r="R214" s="170">
        <v>1225.6295170000001</v>
      </c>
      <c r="S214" s="170">
        <v>1242.8675539999999</v>
      </c>
      <c r="T214" s="170">
        <v>1261.404297</v>
      </c>
      <c r="U214" s="170">
        <v>1280.2581789999999</v>
      </c>
      <c r="V214" s="170">
        <v>1299.432251</v>
      </c>
      <c r="W214" s="170">
        <v>1318.6405030000001</v>
      </c>
      <c r="X214" s="170">
        <v>1339.2829589999999</v>
      </c>
      <c r="Y214" s="170">
        <v>1359.8707280000001</v>
      </c>
      <c r="Z214" s="170">
        <v>1379.740967</v>
      </c>
      <c r="AA214" s="170">
        <v>1399.6171879999999</v>
      </c>
      <c r="AB214" s="170">
        <v>1419.5272219999999</v>
      </c>
      <c r="AC214" s="170">
        <v>1441.9884030000001</v>
      </c>
      <c r="AD214" s="170">
        <v>1465.759155</v>
      </c>
      <c r="AE214" s="170">
        <v>1489.1166989999999</v>
      </c>
      <c r="AF214" s="170">
        <v>1512.543823</v>
      </c>
      <c r="AG214" s="171">
        <v>1.2999999999999999E-2</v>
      </c>
    </row>
    <row r="215" spans="1:33">
      <c r="A215" t="s">
        <v>343</v>
      </c>
      <c r="B215" t="s">
        <v>2386</v>
      </c>
      <c r="C215" t="s">
        <v>2385</v>
      </c>
      <c r="D215" t="s">
        <v>304</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1">
        <v>6.0000000000000001E-3</v>
      </c>
    </row>
    <row r="216" spans="1:33">
      <c r="A216" t="s">
        <v>2384</v>
      </c>
      <c r="B216" t="s">
        <v>2383</v>
      </c>
      <c r="C216" t="s">
        <v>2382</v>
      </c>
      <c r="D216" t="s">
        <v>304</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1">
        <v>1.7000000000000001E-2</v>
      </c>
    </row>
    <row r="217" spans="1:33">
      <c r="A217" t="s">
        <v>2381</v>
      </c>
      <c r="B217" t="s">
        <v>2380</v>
      </c>
      <c r="C217" t="s">
        <v>2379</v>
      </c>
      <c r="D217" t="s">
        <v>304</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1">
        <v>4.0000000000000001E-3</v>
      </c>
    </row>
    <row r="218" spans="1:33">
      <c r="A218" t="s">
        <v>2378</v>
      </c>
      <c r="B218" t="s">
        <v>2377</v>
      </c>
      <c r="C218" t="s">
        <v>2376</v>
      </c>
      <c r="D218" t="s">
        <v>304</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1">
        <v>-0.01</v>
      </c>
    </row>
    <row r="219" spans="1:33">
      <c r="A219" t="s">
        <v>2375</v>
      </c>
      <c r="B219" t="s">
        <v>2374</v>
      </c>
      <c r="C219" t="s">
        <v>2373</v>
      </c>
      <c r="D219" t="s">
        <v>304</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1">
        <v>-2.4E-2</v>
      </c>
    </row>
    <row r="220" spans="1:33">
      <c r="A220" t="s">
        <v>2372</v>
      </c>
      <c r="B220" t="s">
        <v>2371</v>
      </c>
      <c r="C220" t="s">
        <v>2370</v>
      </c>
      <c r="D220" t="s">
        <v>304</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1">
        <v>4.0000000000000001E-3</v>
      </c>
    </row>
    <row r="221" spans="1:33">
      <c r="A221" t="s">
        <v>2369</v>
      </c>
      <c r="B221" t="s">
        <v>2368</v>
      </c>
      <c r="C221" t="s">
        <v>2367</v>
      </c>
      <c r="D221" t="s">
        <v>304</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1">
        <v>8.9999999999999993E-3</v>
      </c>
    </row>
    <row r="222" spans="1:33">
      <c r="A222" t="s">
        <v>2366</v>
      </c>
      <c r="B222" t="s">
        <v>2365</v>
      </c>
      <c r="C222" t="s">
        <v>2364</v>
      </c>
      <c r="D222" t="s">
        <v>304</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1">
        <v>-3.0000000000000001E-3</v>
      </c>
    </row>
    <row r="223" spans="1:33">
      <c r="A223" t="s">
        <v>350</v>
      </c>
      <c r="B223" t="s">
        <v>2363</v>
      </c>
      <c r="C223" t="s">
        <v>2362</v>
      </c>
      <c r="D223" t="s">
        <v>304</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1">
        <v>2.1000000000000001E-2</v>
      </c>
    </row>
    <row r="224" spans="1:33">
      <c r="A224" t="s">
        <v>2361</v>
      </c>
      <c r="B224" t="s">
        <v>2360</v>
      </c>
      <c r="C224" t="s">
        <v>2359</v>
      </c>
      <c r="D224" t="s">
        <v>304</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1">
        <v>2.5999999999999999E-2</v>
      </c>
    </row>
    <row r="225" spans="1:33">
      <c r="A225" t="s">
        <v>2358</v>
      </c>
      <c r="B225" t="s">
        <v>2357</v>
      </c>
      <c r="C225" t="s">
        <v>2356</v>
      </c>
      <c r="D225" t="s">
        <v>304</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1">
        <v>-6.0000000000000001E-3</v>
      </c>
    </row>
    <row r="226" spans="1:33">
      <c r="A226" t="s">
        <v>2355</v>
      </c>
      <c r="B226" t="s">
        <v>2354</v>
      </c>
      <c r="C226" t="s">
        <v>2353</v>
      </c>
      <c r="D226" t="s">
        <v>304</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1">
        <v>-3.0000000000000001E-3</v>
      </c>
    </row>
    <row r="227" spans="1:33">
      <c r="A227" t="s">
        <v>347</v>
      </c>
      <c r="B227" t="s">
        <v>2352</v>
      </c>
      <c r="C227" t="s">
        <v>2351</v>
      </c>
      <c r="D227" t="s">
        <v>304</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1">
        <v>1.4E-2</v>
      </c>
    </row>
    <row r="228" spans="1:33">
      <c r="A228" t="s">
        <v>2350</v>
      </c>
      <c r="B228" t="s">
        <v>2349</v>
      </c>
      <c r="C228" t="s">
        <v>2348</v>
      </c>
      <c r="D228" t="s">
        <v>304</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1">
        <v>0</v>
      </c>
    </row>
    <row r="229" spans="1:33">
      <c r="A229" t="s">
        <v>2347</v>
      </c>
      <c r="B229" t="s">
        <v>2346</v>
      </c>
      <c r="C229" t="s">
        <v>2345</v>
      </c>
      <c r="D229" t="s">
        <v>304</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1">
        <v>1.4999999999999999E-2</v>
      </c>
    </row>
    <row r="230" spans="1:33">
      <c r="A230" t="s">
        <v>15</v>
      </c>
      <c r="B230" t="s">
        <v>2344</v>
      </c>
      <c r="C230" t="s">
        <v>2343</v>
      </c>
      <c r="D230" t="s">
        <v>304</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1">
        <v>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0625" customWidth="1"/>
  </cols>
  <sheetData>
    <row r="1" spans="1:35" ht="14.75">
      <c r="B1" t="s">
        <v>302</v>
      </c>
      <c r="C1" t="s">
        <v>303</v>
      </c>
      <c r="D1" t="s">
        <v>304</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1366</v>
      </c>
    </row>
    <row r="11" spans="1:35" ht="15.75" customHeight="1">
      <c r="A11" t="s">
        <v>355</v>
      </c>
    </row>
    <row r="12" spans="1:35" ht="14.75">
      <c r="A12" t="s">
        <v>1983</v>
      </c>
    </row>
    <row r="13" spans="1:35" ht="14.75">
      <c r="A13" t="s">
        <v>2342</v>
      </c>
    </row>
    <row r="14" spans="1:35" ht="14.75">
      <c r="A14" t="s">
        <v>301</v>
      </c>
    </row>
    <row r="15" spans="1:35" ht="14.75">
      <c r="B15" t="s">
        <v>302</v>
      </c>
      <c r="C15" t="s">
        <v>303</v>
      </c>
      <c r="D15" t="s">
        <v>304</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1366</v>
      </c>
    </row>
    <row r="16" spans="1:35" ht="14.75">
      <c r="A16" t="s">
        <v>33</v>
      </c>
    </row>
    <row r="17" spans="1:35" ht="14.75">
      <c r="A17" t="s">
        <v>356</v>
      </c>
    </row>
    <row r="18" spans="1:35" ht="14.75">
      <c r="A18" t="s">
        <v>357</v>
      </c>
    </row>
    <row r="19" spans="1:35" ht="14.75">
      <c r="A19" t="s">
        <v>296</v>
      </c>
      <c r="B19" t="s">
        <v>1982</v>
      </c>
      <c r="C19" t="s">
        <v>1981</v>
      </c>
      <c r="D19" t="s">
        <v>358</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ht="14.75">
      <c r="A20" t="s">
        <v>282</v>
      </c>
      <c r="B20" t="s">
        <v>1980</v>
      </c>
      <c r="C20" t="s">
        <v>1979</v>
      </c>
      <c r="D20" t="s">
        <v>358</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ht="14.75">
      <c r="A21" t="s">
        <v>277</v>
      </c>
      <c r="B21" t="s">
        <v>1978</v>
      </c>
      <c r="C21" t="s">
        <v>1977</v>
      </c>
      <c r="D21" t="s">
        <v>358</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ht="14.75">
      <c r="A22" t="s">
        <v>276</v>
      </c>
      <c r="B22" t="s">
        <v>1976</v>
      </c>
      <c r="C22" t="s">
        <v>1975</v>
      </c>
      <c r="D22" t="s">
        <v>358</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ht="14.75">
      <c r="A23" t="s">
        <v>332</v>
      </c>
      <c r="B23" t="s">
        <v>1974</v>
      </c>
      <c r="C23" t="s">
        <v>1973</v>
      </c>
      <c r="D23" t="s">
        <v>358</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ht="14.75">
      <c r="A24" t="s">
        <v>333</v>
      </c>
      <c r="B24" t="s">
        <v>1972</v>
      </c>
      <c r="C24" t="s">
        <v>1971</v>
      </c>
      <c r="D24" t="s">
        <v>358</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ht="14.75">
      <c r="A25" t="s">
        <v>335</v>
      </c>
      <c r="B25" t="s">
        <v>1970</v>
      </c>
      <c r="C25" t="s">
        <v>1969</v>
      </c>
      <c r="D25" t="s">
        <v>358</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ht="14.75">
      <c r="A26" t="s">
        <v>334</v>
      </c>
      <c r="B26" t="s">
        <v>1968</v>
      </c>
      <c r="C26" t="s">
        <v>1967</v>
      </c>
      <c r="D26" t="s">
        <v>358</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ht="14.75">
      <c r="A27" t="s">
        <v>336</v>
      </c>
      <c r="B27" t="s">
        <v>1966</v>
      </c>
      <c r="C27" t="s">
        <v>1965</v>
      </c>
      <c r="D27" t="s">
        <v>358</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ht="14.75">
      <c r="A28" t="s">
        <v>359</v>
      </c>
      <c r="B28" t="s">
        <v>1964</v>
      </c>
      <c r="C28" t="s">
        <v>1963</v>
      </c>
      <c r="D28" t="s">
        <v>358</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ht="14.75">
      <c r="A29" t="s">
        <v>360</v>
      </c>
    </row>
    <row r="30" spans="1:35" ht="14.75">
      <c r="A30" t="s">
        <v>296</v>
      </c>
      <c r="B30" t="s">
        <v>1962</v>
      </c>
      <c r="C30" t="s">
        <v>1961</v>
      </c>
      <c r="D30" t="s">
        <v>358</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ht="14.75">
      <c r="A31" t="s">
        <v>282</v>
      </c>
      <c r="B31" t="s">
        <v>1960</v>
      </c>
      <c r="C31" t="s">
        <v>1959</v>
      </c>
      <c r="D31" t="s">
        <v>358</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ht="14.75">
      <c r="A32" t="s">
        <v>277</v>
      </c>
      <c r="B32" t="s">
        <v>1958</v>
      </c>
      <c r="C32" t="s">
        <v>1957</v>
      </c>
      <c r="D32" t="s">
        <v>358</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ht="14.75">
      <c r="A33" t="s">
        <v>276</v>
      </c>
      <c r="B33" t="s">
        <v>1956</v>
      </c>
      <c r="C33" t="s">
        <v>1955</v>
      </c>
      <c r="D33" t="s">
        <v>358</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ht="14.75">
      <c r="A34" t="s">
        <v>332</v>
      </c>
      <c r="B34" t="s">
        <v>1954</v>
      </c>
      <c r="C34" t="s">
        <v>1953</v>
      </c>
      <c r="D34" t="s">
        <v>358</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ht="14.75">
      <c r="A35" t="s">
        <v>333</v>
      </c>
      <c r="B35" t="s">
        <v>1952</v>
      </c>
      <c r="C35" t="s">
        <v>1951</v>
      </c>
      <c r="D35" t="s">
        <v>358</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ht="14.75">
      <c r="A36" t="s">
        <v>335</v>
      </c>
      <c r="B36" t="s">
        <v>1950</v>
      </c>
      <c r="C36" t="s">
        <v>1949</v>
      </c>
      <c r="D36" t="s">
        <v>358</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ht="14.75">
      <c r="A37" t="s">
        <v>334</v>
      </c>
      <c r="B37" t="s">
        <v>1948</v>
      </c>
      <c r="C37" t="s">
        <v>1947</v>
      </c>
      <c r="D37" t="s">
        <v>358</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ht="14.75">
      <c r="A38" t="s">
        <v>336</v>
      </c>
      <c r="B38" t="s">
        <v>1946</v>
      </c>
      <c r="C38" t="s">
        <v>1945</v>
      </c>
      <c r="D38" t="s">
        <v>358</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ht="14.75">
      <c r="A39" t="s">
        <v>361</v>
      </c>
      <c r="B39" t="s">
        <v>1944</v>
      </c>
      <c r="C39" t="s">
        <v>1943</v>
      </c>
      <c r="D39" t="s">
        <v>358</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ht="14.75">
      <c r="A40" t="s">
        <v>362</v>
      </c>
    </row>
    <row r="41" spans="1:35" ht="14.75">
      <c r="A41" t="s">
        <v>296</v>
      </c>
      <c r="B41" t="s">
        <v>1942</v>
      </c>
      <c r="C41" t="s">
        <v>1941</v>
      </c>
      <c r="D41" t="s">
        <v>358</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ht="14.75">
      <c r="A42" t="s">
        <v>282</v>
      </c>
      <c r="B42" t="s">
        <v>1940</v>
      </c>
      <c r="C42" t="s">
        <v>1939</v>
      </c>
      <c r="D42" t="s">
        <v>358</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ht="14.75">
      <c r="A43" t="s">
        <v>277</v>
      </c>
      <c r="B43" t="s">
        <v>1938</v>
      </c>
      <c r="C43" t="s">
        <v>1937</v>
      </c>
      <c r="D43" t="s">
        <v>358</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ht="14.75">
      <c r="A44" t="s">
        <v>276</v>
      </c>
      <c r="B44" t="s">
        <v>1936</v>
      </c>
      <c r="C44" t="s">
        <v>1935</v>
      </c>
      <c r="D44" t="s">
        <v>358</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ht="14.75">
      <c r="A45" t="s">
        <v>332</v>
      </c>
      <c r="B45" t="s">
        <v>1934</v>
      </c>
      <c r="C45" t="s">
        <v>1933</v>
      </c>
      <c r="D45" t="s">
        <v>358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ht="14.75">
      <c r="A46" t="s">
        <v>333</v>
      </c>
      <c r="B46" t="s">
        <v>1932</v>
      </c>
      <c r="C46" t="s">
        <v>1931</v>
      </c>
      <c r="D46" t="s">
        <v>358</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ht="14.75">
      <c r="A47" t="s">
        <v>335</v>
      </c>
      <c r="B47" t="s">
        <v>1930</v>
      </c>
      <c r="C47" t="s">
        <v>1929</v>
      </c>
      <c r="D47" t="s">
        <v>358</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ht="14.75">
      <c r="A48" t="s">
        <v>334</v>
      </c>
      <c r="B48" t="s">
        <v>1928</v>
      </c>
      <c r="C48" t="s">
        <v>1927</v>
      </c>
      <c r="D48" t="s">
        <v>358</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ht="14.75">
      <c r="A49" t="s">
        <v>336</v>
      </c>
      <c r="B49" t="s">
        <v>1926</v>
      </c>
      <c r="C49" t="s">
        <v>1925</v>
      </c>
      <c r="D49" t="s">
        <v>358</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ht="14.75">
      <c r="A50" t="s">
        <v>363</v>
      </c>
      <c r="B50" t="s">
        <v>1924</v>
      </c>
      <c r="C50" t="s">
        <v>1923</v>
      </c>
      <c r="D50" t="s">
        <v>358</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ht="14.75">
      <c r="A51" t="s">
        <v>364</v>
      </c>
      <c r="B51" t="s">
        <v>1922</v>
      </c>
      <c r="C51" t="s">
        <v>1921</v>
      </c>
      <c r="D51" t="s">
        <v>358</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ht="14.75">
      <c r="A52" t="s">
        <v>365</v>
      </c>
    </row>
    <row r="53" spans="1:35" ht="14.75">
      <c r="A53" t="s">
        <v>357</v>
      </c>
    </row>
    <row r="54" spans="1:35" ht="14.75">
      <c r="A54" t="s">
        <v>296</v>
      </c>
      <c r="B54" t="s">
        <v>1920</v>
      </c>
      <c r="C54" t="s">
        <v>1919</v>
      </c>
      <c r="D54" t="s">
        <v>305</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ht="14.75">
      <c r="A55" t="s">
        <v>282</v>
      </c>
      <c r="B55" t="s">
        <v>1918</v>
      </c>
      <c r="C55" t="s">
        <v>1917</v>
      </c>
      <c r="D55" t="s">
        <v>305</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ht="14.75">
      <c r="A56" t="s">
        <v>277</v>
      </c>
      <c r="B56" t="s">
        <v>1916</v>
      </c>
      <c r="C56" t="s">
        <v>1915</v>
      </c>
      <c r="D56" t="s">
        <v>305</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ht="14.75">
      <c r="A57" t="s">
        <v>276</v>
      </c>
      <c r="B57" t="s">
        <v>1914</v>
      </c>
      <c r="C57" t="s">
        <v>1913</v>
      </c>
      <c r="D57" t="s">
        <v>305</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ht="14.75">
      <c r="A58" t="s">
        <v>332</v>
      </c>
      <c r="B58" t="s">
        <v>1912</v>
      </c>
      <c r="C58" t="s">
        <v>1911</v>
      </c>
      <c r="D58" t="s">
        <v>305</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ht="14.75">
      <c r="A59" t="s">
        <v>333</v>
      </c>
      <c r="B59" t="s">
        <v>1910</v>
      </c>
      <c r="C59" t="s">
        <v>1909</v>
      </c>
      <c r="D59" t="s">
        <v>305</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ht="14.75">
      <c r="A60" t="s">
        <v>335</v>
      </c>
      <c r="B60" t="s">
        <v>1908</v>
      </c>
      <c r="C60" t="s">
        <v>1907</v>
      </c>
      <c r="D60" t="s">
        <v>305</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ht="14.75">
      <c r="A61" t="s">
        <v>334</v>
      </c>
      <c r="B61" t="s">
        <v>1906</v>
      </c>
      <c r="C61" t="s">
        <v>1905</v>
      </c>
      <c r="D61" t="s">
        <v>305</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ht="14.75">
      <c r="A62" t="s">
        <v>336</v>
      </c>
      <c r="B62" t="s">
        <v>1904</v>
      </c>
      <c r="C62" t="s">
        <v>1903</v>
      </c>
      <c r="D62" t="s">
        <v>305</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ht="14.75">
      <c r="A63" t="s">
        <v>359</v>
      </c>
      <c r="B63" t="s">
        <v>1902</v>
      </c>
      <c r="C63" t="s">
        <v>1901</v>
      </c>
      <c r="D63" t="s">
        <v>305</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ht="14.75">
      <c r="A64" t="s">
        <v>360</v>
      </c>
    </row>
    <row r="65" spans="1:35" ht="14.75">
      <c r="A65" t="s">
        <v>296</v>
      </c>
      <c r="B65" t="s">
        <v>1900</v>
      </c>
      <c r="C65" t="s">
        <v>1899</v>
      </c>
      <c r="D65" t="s">
        <v>305</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ht="14.75">
      <c r="A66" t="s">
        <v>282</v>
      </c>
      <c r="B66" t="s">
        <v>1898</v>
      </c>
      <c r="C66" t="s">
        <v>1897</v>
      </c>
      <c r="D66" t="s">
        <v>305</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ht="14.75">
      <c r="A67" t="s">
        <v>277</v>
      </c>
      <c r="B67" t="s">
        <v>1896</v>
      </c>
      <c r="C67" t="s">
        <v>1895</v>
      </c>
      <c r="D67" t="s">
        <v>305</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ht="14.75">
      <c r="A68" t="s">
        <v>276</v>
      </c>
      <c r="B68" t="s">
        <v>1894</v>
      </c>
      <c r="C68" t="s">
        <v>1893</v>
      </c>
      <c r="D68" t="s">
        <v>305</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ht="14.75">
      <c r="A69" t="s">
        <v>332</v>
      </c>
      <c r="B69" t="s">
        <v>1892</v>
      </c>
      <c r="C69" t="s">
        <v>1891</v>
      </c>
      <c r="D69" t="s">
        <v>305</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ht="14.75">
      <c r="A70" t="s">
        <v>333</v>
      </c>
      <c r="B70" t="s">
        <v>1890</v>
      </c>
      <c r="C70" t="s">
        <v>1889</v>
      </c>
      <c r="D70" t="s">
        <v>305</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ht="14.75">
      <c r="A71" t="s">
        <v>335</v>
      </c>
      <c r="B71" t="s">
        <v>1888</v>
      </c>
      <c r="C71" t="s">
        <v>1887</v>
      </c>
      <c r="D71" t="s">
        <v>305</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ht="14.75">
      <c r="A72" t="s">
        <v>334</v>
      </c>
      <c r="B72" t="s">
        <v>1886</v>
      </c>
      <c r="C72" t="s">
        <v>1885</v>
      </c>
      <c r="D72" t="s">
        <v>305</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ht="14.75">
      <c r="A73" t="s">
        <v>336</v>
      </c>
      <c r="B73" t="s">
        <v>1884</v>
      </c>
      <c r="C73" t="s">
        <v>1883</v>
      </c>
      <c r="D73" t="s">
        <v>305</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ht="14.75">
      <c r="A74" t="s">
        <v>361</v>
      </c>
      <c r="B74" t="s">
        <v>1882</v>
      </c>
      <c r="C74" t="s">
        <v>1881</v>
      </c>
      <c r="D74" t="s">
        <v>305</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ht="14.75">
      <c r="A75" t="s">
        <v>362</v>
      </c>
    </row>
    <row r="76" spans="1:35" ht="14.75">
      <c r="A76" t="s">
        <v>296</v>
      </c>
      <c r="B76" t="s">
        <v>1880</v>
      </c>
      <c r="C76" t="s">
        <v>1879</v>
      </c>
      <c r="D76" t="s">
        <v>305</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ht="14.75">
      <c r="A77" t="s">
        <v>282</v>
      </c>
      <c r="B77" t="s">
        <v>1878</v>
      </c>
      <c r="C77" t="s">
        <v>1877</v>
      </c>
      <c r="D77" t="s">
        <v>305</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ht="14.75">
      <c r="A78" t="s">
        <v>277</v>
      </c>
      <c r="B78" t="s">
        <v>1876</v>
      </c>
      <c r="C78" t="s">
        <v>1875</v>
      </c>
      <c r="D78" t="s">
        <v>305</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ht="14.75">
      <c r="A79" t="s">
        <v>276</v>
      </c>
      <c r="B79" t="s">
        <v>1874</v>
      </c>
      <c r="C79" t="s">
        <v>1873</v>
      </c>
      <c r="D79" t="s">
        <v>305</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ht="14.75">
      <c r="A80" t="s">
        <v>332</v>
      </c>
      <c r="B80" t="s">
        <v>1872</v>
      </c>
      <c r="C80" t="s">
        <v>1871</v>
      </c>
      <c r="D80" t="s">
        <v>305</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ht="14.75">
      <c r="A81" t="s">
        <v>333</v>
      </c>
      <c r="B81" t="s">
        <v>1870</v>
      </c>
      <c r="C81" t="s">
        <v>1869</v>
      </c>
      <c r="D81" t="s">
        <v>305</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ht="14.75">
      <c r="A82" t="s">
        <v>335</v>
      </c>
      <c r="B82" t="s">
        <v>1868</v>
      </c>
      <c r="C82" t="s">
        <v>1867</v>
      </c>
      <c r="D82" t="s">
        <v>305</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ht="14.75">
      <c r="A83" t="s">
        <v>334</v>
      </c>
      <c r="B83" t="s">
        <v>1866</v>
      </c>
      <c r="C83" t="s">
        <v>1865</v>
      </c>
      <c r="D83" t="s">
        <v>305</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ht="14.75">
      <c r="A84" t="s">
        <v>336</v>
      </c>
      <c r="B84" t="s">
        <v>1864</v>
      </c>
      <c r="C84" t="s">
        <v>1863</v>
      </c>
      <c r="D84" t="s">
        <v>305</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ht="14.75">
      <c r="A85" t="s">
        <v>363</v>
      </c>
      <c r="B85" t="s">
        <v>1862</v>
      </c>
      <c r="C85" t="s">
        <v>1861</v>
      </c>
      <c r="D85" t="s">
        <v>305</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ht="14.75">
      <c r="A86" t="s">
        <v>357</v>
      </c>
      <c r="B86" t="s">
        <v>366</v>
      </c>
      <c r="C86" t="s">
        <v>367</v>
      </c>
    </row>
    <row r="87" spans="1:35" ht="14.75">
      <c r="A87" t="s">
        <v>296</v>
      </c>
      <c r="B87" t="s">
        <v>1860</v>
      </c>
      <c r="C87" t="s">
        <v>1859</v>
      </c>
      <c r="D87" t="s">
        <v>305</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ht="14.75">
      <c r="A88" t="s">
        <v>282</v>
      </c>
      <c r="B88" t="s">
        <v>1858</v>
      </c>
      <c r="C88" t="s">
        <v>1857</v>
      </c>
      <c r="D88" t="s">
        <v>305</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ht="14.75">
      <c r="A89" t="s">
        <v>277</v>
      </c>
      <c r="B89" t="s">
        <v>1856</v>
      </c>
      <c r="C89" t="s">
        <v>1855</v>
      </c>
      <c r="D89" t="s">
        <v>305</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ht="14.75">
      <c r="A90" t="s">
        <v>276</v>
      </c>
      <c r="B90" t="s">
        <v>1854</v>
      </c>
      <c r="C90" t="s">
        <v>1853</v>
      </c>
      <c r="D90" t="s">
        <v>305</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ht="14.75">
      <c r="A91" t="s">
        <v>332</v>
      </c>
      <c r="B91" t="s">
        <v>1852</v>
      </c>
      <c r="C91" t="s">
        <v>1851</v>
      </c>
      <c r="D91" t="s">
        <v>305</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ht="14.75">
      <c r="A92" t="s">
        <v>333</v>
      </c>
      <c r="B92" t="s">
        <v>1850</v>
      </c>
      <c r="C92" t="s">
        <v>1849</v>
      </c>
      <c r="D92" t="s">
        <v>305</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ht="14.75">
      <c r="A93" t="s">
        <v>335</v>
      </c>
      <c r="B93" t="s">
        <v>1848</v>
      </c>
      <c r="C93" t="s">
        <v>1847</v>
      </c>
      <c r="D93" t="s">
        <v>305</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ht="14.75">
      <c r="A94" t="s">
        <v>334</v>
      </c>
      <c r="B94" t="s">
        <v>1846</v>
      </c>
      <c r="C94" t="s">
        <v>1845</v>
      </c>
      <c r="D94" t="s">
        <v>305</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ht="14.75">
      <c r="A95" t="s">
        <v>336</v>
      </c>
      <c r="B95" t="s">
        <v>1844</v>
      </c>
      <c r="C95" t="s">
        <v>1843</v>
      </c>
      <c r="D95" t="s">
        <v>305</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ht="14.75">
      <c r="A96" t="s">
        <v>188</v>
      </c>
      <c r="B96" t="s">
        <v>1842</v>
      </c>
      <c r="C96" t="s">
        <v>1841</v>
      </c>
      <c r="D96" t="s">
        <v>305</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ht="14.75">
      <c r="A97" t="s">
        <v>368</v>
      </c>
    </row>
    <row r="98" spans="1:35" ht="14.75">
      <c r="A98" t="s">
        <v>357</v>
      </c>
    </row>
    <row r="99" spans="1:35" ht="14.75">
      <c r="A99" t="s">
        <v>296</v>
      </c>
      <c r="B99" t="s">
        <v>1840</v>
      </c>
      <c r="C99" t="s">
        <v>1839</v>
      </c>
      <c r="D99" t="s">
        <v>369</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ht="14.75">
      <c r="A100" t="s">
        <v>282</v>
      </c>
      <c r="B100" t="s">
        <v>1838</v>
      </c>
      <c r="C100" t="s">
        <v>1837</v>
      </c>
      <c r="D100" t="s">
        <v>370</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ht="14.75">
      <c r="A101" t="s">
        <v>277</v>
      </c>
      <c r="B101" t="s">
        <v>1836</v>
      </c>
      <c r="C101" t="s">
        <v>1835</v>
      </c>
      <c r="D101" t="s">
        <v>370</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ht="14.75">
      <c r="A102" t="s">
        <v>276</v>
      </c>
      <c r="B102" t="s">
        <v>1834</v>
      </c>
      <c r="C102" t="s">
        <v>1833</v>
      </c>
      <c r="D102" t="s">
        <v>370</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ht="14.75">
      <c r="A103" t="s">
        <v>332</v>
      </c>
      <c r="B103" t="s">
        <v>1832</v>
      </c>
      <c r="C103" t="s">
        <v>1831</v>
      </c>
      <c r="D103" t="s">
        <v>370</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ht="14.75">
      <c r="A104" t="s">
        <v>333</v>
      </c>
      <c r="B104" t="s">
        <v>1830</v>
      </c>
      <c r="C104" t="s">
        <v>1829</v>
      </c>
      <c r="D104" t="s">
        <v>369</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ht="14.75">
      <c r="A105" t="s">
        <v>335</v>
      </c>
      <c r="B105" t="s">
        <v>1828</v>
      </c>
      <c r="C105" t="s">
        <v>1827</v>
      </c>
      <c r="D105" t="s">
        <v>369</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ht="14.75">
      <c r="A106" t="s">
        <v>334</v>
      </c>
      <c r="B106" t="s">
        <v>1826</v>
      </c>
      <c r="C106" t="s">
        <v>1825</v>
      </c>
      <c r="D106" t="s">
        <v>370</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ht="14.75">
      <c r="A107" t="s">
        <v>336</v>
      </c>
      <c r="B107" t="s">
        <v>1824</v>
      </c>
      <c r="C107" t="s">
        <v>1823</v>
      </c>
      <c r="D107" t="s">
        <v>369</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ht="14.75">
      <c r="A108" t="s">
        <v>371</v>
      </c>
      <c r="B108" t="s">
        <v>1822</v>
      </c>
      <c r="C108" t="s">
        <v>1821</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ht="14.75">
      <c r="A109" t="s">
        <v>360</v>
      </c>
    </row>
    <row r="110" spans="1:35" ht="14.75">
      <c r="A110" t="s">
        <v>296</v>
      </c>
      <c r="B110" t="s">
        <v>1820</v>
      </c>
      <c r="C110" t="s">
        <v>1819</v>
      </c>
      <c r="D110" t="s">
        <v>369</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ht="14.75">
      <c r="A111" t="s">
        <v>282</v>
      </c>
      <c r="B111" t="s">
        <v>1818</v>
      </c>
      <c r="C111" t="s">
        <v>1817</v>
      </c>
      <c r="D111" t="s">
        <v>370</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ht="14.75">
      <c r="A112" t="s">
        <v>277</v>
      </c>
      <c r="B112" t="s">
        <v>1816</v>
      </c>
      <c r="C112" t="s">
        <v>1815</v>
      </c>
      <c r="D112" t="s">
        <v>370</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ht="14.75">
      <c r="A113" t="s">
        <v>276</v>
      </c>
      <c r="B113" t="s">
        <v>1814</v>
      </c>
      <c r="C113" t="s">
        <v>1813</v>
      </c>
      <c r="D113" t="s">
        <v>370</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ht="14.75">
      <c r="A114" t="s">
        <v>332</v>
      </c>
      <c r="B114" t="s">
        <v>1812</v>
      </c>
      <c r="C114" t="s">
        <v>1811</v>
      </c>
      <c r="D114" t="s">
        <v>372</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ht="14.75">
      <c r="A115" t="s">
        <v>333</v>
      </c>
      <c r="B115" t="s">
        <v>1810</v>
      </c>
      <c r="C115" t="s">
        <v>1809</v>
      </c>
      <c r="D115" t="s">
        <v>370</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ht="14.75">
      <c r="A116" t="s">
        <v>335</v>
      </c>
      <c r="B116" t="s">
        <v>1808</v>
      </c>
      <c r="C116" t="s">
        <v>1807</v>
      </c>
      <c r="D116" t="s">
        <v>370</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ht="14.75">
      <c r="A117" t="s">
        <v>334</v>
      </c>
      <c r="B117" t="s">
        <v>1806</v>
      </c>
      <c r="C117" t="s">
        <v>1805</v>
      </c>
      <c r="D117" t="s">
        <v>370</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ht="14.75">
      <c r="A118" t="s">
        <v>336</v>
      </c>
      <c r="B118" t="s">
        <v>1804</v>
      </c>
      <c r="C118" t="s">
        <v>1803</v>
      </c>
      <c r="D118" t="s">
        <v>370</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ht="14.75">
      <c r="A119" t="s">
        <v>373</v>
      </c>
      <c r="B119" t="s">
        <v>1802</v>
      </c>
      <c r="C119" t="s">
        <v>1801</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ht="14.75">
      <c r="A120" t="s">
        <v>362</v>
      </c>
    </row>
    <row r="121" spans="1:35" ht="14.75">
      <c r="A121" t="s">
        <v>296</v>
      </c>
      <c r="B121" t="s">
        <v>1800</v>
      </c>
      <c r="C121" t="s">
        <v>1799</v>
      </c>
      <c r="D121" t="s">
        <v>369</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ht="14.75">
      <c r="A122" t="s">
        <v>282</v>
      </c>
      <c r="B122" t="s">
        <v>1798</v>
      </c>
      <c r="C122" t="s">
        <v>1797</v>
      </c>
      <c r="D122" t="s">
        <v>370</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ht="14.75">
      <c r="A123" t="s">
        <v>277</v>
      </c>
      <c r="B123" t="s">
        <v>1796</v>
      </c>
      <c r="C123" t="s">
        <v>1795</v>
      </c>
      <c r="D123" t="s">
        <v>370</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ht="14.75">
      <c r="A124" t="s">
        <v>276</v>
      </c>
      <c r="B124" t="s">
        <v>1794</v>
      </c>
      <c r="C124" t="s">
        <v>1793</v>
      </c>
      <c r="D124" t="s">
        <v>369</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ht="14.75">
      <c r="A125" t="s">
        <v>332</v>
      </c>
      <c r="B125" t="s">
        <v>1792</v>
      </c>
      <c r="C125" t="s">
        <v>1791</v>
      </c>
      <c r="D125" t="s">
        <v>370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ht="14.75">
      <c r="A126" t="s">
        <v>333</v>
      </c>
      <c r="B126" t="s">
        <v>1790</v>
      </c>
      <c r="C126" t="s">
        <v>1789</v>
      </c>
      <c r="D126" t="s">
        <v>369</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ht="14.75">
      <c r="A127" t="s">
        <v>335</v>
      </c>
      <c r="B127" t="s">
        <v>1788</v>
      </c>
      <c r="C127" t="s">
        <v>1787</v>
      </c>
      <c r="D127" t="s">
        <v>369</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ht="14.75">
      <c r="A128" t="s">
        <v>334</v>
      </c>
      <c r="B128" t="s">
        <v>1786</v>
      </c>
      <c r="C128" t="s">
        <v>1785</v>
      </c>
      <c r="D128" t="s">
        <v>370</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ht="14.75">
      <c r="A129" t="s">
        <v>336</v>
      </c>
      <c r="B129" t="s">
        <v>1784</v>
      </c>
      <c r="C129" t="s">
        <v>1783</v>
      </c>
      <c r="D129" t="s">
        <v>369</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ht="14.75">
      <c r="A130" t="s">
        <v>374</v>
      </c>
      <c r="B130" t="s">
        <v>1782</v>
      </c>
      <c r="C130" t="s">
        <v>1781</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ht="14.75">
      <c r="A131" t="s">
        <v>375</v>
      </c>
      <c r="B131" t="s">
        <v>1780</v>
      </c>
      <c r="C131" t="s">
        <v>1779</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ht="14.75">
      <c r="A132" t="s">
        <v>376</v>
      </c>
    </row>
    <row r="133" spans="1:35" ht="14.75">
      <c r="A133" t="s">
        <v>357</v>
      </c>
    </row>
    <row r="134" spans="1:35" ht="14.75">
      <c r="A134" t="s">
        <v>296</v>
      </c>
      <c r="B134" t="s">
        <v>1778</v>
      </c>
      <c r="C134" t="s">
        <v>1777</v>
      </c>
      <c r="D134" t="s">
        <v>328</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ht="14.75">
      <c r="A135" t="s">
        <v>282</v>
      </c>
      <c r="B135" t="s">
        <v>1776</v>
      </c>
      <c r="C135" t="s">
        <v>1775</v>
      </c>
      <c r="D135" t="s">
        <v>328</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ht="14.75">
      <c r="A136" t="s">
        <v>277</v>
      </c>
      <c r="B136" t="s">
        <v>1774</v>
      </c>
      <c r="C136" t="s">
        <v>1773</v>
      </c>
      <c r="D136" t="s">
        <v>328</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ht="14.75">
      <c r="A137" t="s">
        <v>276</v>
      </c>
      <c r="B137" t="s">
        <v>1772</v>
      </c>
      <c r="C137" t="s">
        <v>1771</v>
      </c>
      <c r="D137" t="s">
        <v>328</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ht="14.75">
      <c r="A138" t="s">
        <v>332</v>
      </c>
      <c r="B138" t="s">
        <v>1770</v>
      </c>
      <c r="C138" t="s">
        <v>1769</v>
      </c>
      <c r="D138" t="s">
        <v>328</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ht="14.75">
      <c r="A139" t="s">
        <v>333</v>
      </c>
      <c r="B139" t="s">
        <v>1768</v>
      </c>
      <c r="C139" t="s">
        <v>1767</v>
      </c>
      <c r="D139" t="s">
        <v>328</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ht="14.75">
      <c r="A140" t="s">
        <v>335</v>
      </c>
      <c r="B140" t="s">
        <v>1766</v>
      </c>
      <c r="C140" t="s">
        <v>1765</v>
      </c>
      <c r="D140" t="s">
        <v>328</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ht="14.75">
      <c r="A141" t="s">
        <v>334</v>
      </c>
      <c r="B141" t="s">
        <v>1764</v>
      </c>
      <c r="C141" t="s">
        <v>1763</v>
      </c>
      <c r="D141" t="s">
        <v>328</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ht="14.75">
      <c r="A142" t="s">
        <v>336</v>
      </c>
      <c r="B142" t="s">
        <v>1762</v>
      </c>
      <c r="C142" t="s">
        <v>1761</v>
      </c>
      <c r="D142" t="s">
        <v>328</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ht="14.75">
      <c r="A143" t="s">
        <v>359</v>
      </c>
      <c r="B143" t="s">
        <v>1760</v>
      </c>
      <c r="C143" t="s">
        <v>1759</v>
      </c>
      <c r="D143" t="s">
        <v>328</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ht="14.75">
      <c r="A144" t="s">
        <v>360</v>
      </c>
    </row>
    <row r="145" spans="1:35" ht="14.75">
      <c r="A145" t="s">
        <v>296</v>
      </c>
      <c r="B145" t="s">
        <v>1758</v>
      </c>
      <c r="C145" t="s">
        <v>1757</v>
      </c>
      <c r="D145" t="s">
        <v>328</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ht="14.75">
      <c r="A146" t="s">
        <v>282</v>
      </c>
      <c r="B146" t="s">
        <v>1756</v>
      </c>
      <c r="C146" t="s">
        <v>1755</v>
      </c>
      <c r="D146" t="s">
        <v>328</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ht="14.75">
      <c r="A147" t="s">
        <v>277</v>
      </c>
      <c r="B147" t="s">
        <v>1754</v>
      </c>
      <c r="C147" t="s">
        <v>1753</v>
      </c>
      <c r="D147" t="s">
        <v>328</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ht="14.75">
      <c r="A148" t="s">
        <v>276</v>
      </c>
      <c r="B148" t="s">
        <v>1752</v>
      </c>
      <c r="C148" t="s">
        <v>1751</v>
      </c>
      <c r="D148" t="s">
        <v>328</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ht="14.75">
      <c r="A149" t="s">
        <v>332</v>
      </c>
      <c r="B149" t="s">
        <v>1750</v>
      </c>
      <c r="C149" t="s">
        <v>1749</v>
      </c>
      <c r="D149" t="s">
        <v>328</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ht="14.75">
      <c r="A150" t="s">
        <v>333</v>
      </c>
      <c r="B150" t="s">
        <v>1748</v>
      </c>
      <c r="C150" t="s">
        <v>1747</v>
      </c>
      <c r="D150" t="s">
        <v>328</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ht="14.75">
      <c r="A151" t="s">
        <v>335</v>
      </c>
      <c r="B151" t="s">
        <v>1746</v>
      </c>
      <c r="C151" t="s">
        <v>1745</v>
      </c>
      <c r="D151" t="s">
        <v>328</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ht="14.75">
      <c r="A152" t="s">
        <v>334</v>
      </c>
      <c r="B152" t="s">
        <v>1744</v>
      </c>
      <c r="C152" t="s">
        <v>1743</v>
      </c>
      <c r="D152" t="s">
        <v>328</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ht="14.75">
      <c r="A153" t="s">
        <v>336</v>
      </c>
      <c r="B153" t="s">
        <v>1742</v>
      </c>
      <c r="C153" t="s">
        <v>1741</v>
      </c>
      <c r="D153" t="s">
        <v>328</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ht="14.75">
      <c r="A154" t="s">
        <v>361</v>
      </c>
      <c r="B154" t="s">
        <v>1740</v>
      </c>
      <c r="C154" t="s">
        <v>1739</v>
      </c>
      <c r="D154" t="s">
        <v>328</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ht="14.75">
      <c r="A155" t="s">
        <v>362</v>
      </c>
    </row>
    <row r="156" spans="1:35" ht="14.75">
      <c r="A156" t="s">
        <v>296</v>
      </c>
      <c r="B156" t="s">
        <v>1738</v>
      </c>
      <c r="C156" t="s">
        <v>1737</v>
      </c>
      <c r="D156" t="s">
        <v>328</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ht="14.75">
      <c r="A157" t="s">
        <v>282</v>
      </c>
      <c r="B157" t="s">
        <v>1736</v>
      </c>
      <c r="C157" t="s">
        <v>1735</v>
      </c>
      <c r="D157" t="s">
        <v>328</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ht="14.75">
      <c r="A158" t="s">
        <v>277</v>
      </c>
      <c r="B158" t="s">
        <v>1734</v>
      </c>
      <c r="C158" t="s">
        <v>1733</v>
      </c>
      <c r="D158" t="s">
        <v>328</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ht="14.75">
      <c r="A159" t="s">
        <v>276</v>
      </c>
      <c r="B159" t="s">
        <v>1732</v>
      </c>
      <c r="C159" t="s">
        <v>1731</v>
      </c>
      <c r="D159" t="s">
        <v>328</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ht="14.75">
      <c r="A160" t="s">
        <v>332</v>
      </c>
      <c r="B160" t="s">
        <v>1730</v>
      </c>
      <c r="C160" t="s">
        <v>1729</v>
      </c>
      <c r="D160" t="s">
        <v>328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ht="14.75">
      <c r="A161" t="s">
        <v>333</v>
      </c>
      <c r="B161" t="s">
        <v>1728</v>
      </c>
      <c r="C161" t="s">
        <v>1727</v>
      </c>
      <c r="D161" t="s">
        <v>328</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ht="14.75">
      <c r="A162" t="s">
        <v>335</v>
      </c>
      <c r="B162" t="s">
        <v>1726</v>
      </c>
      <c r="C162" t="s">
        <v>1725</v>
      </c>
      <c r="D162" t="s">
        <v>328</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ht="14.75">
      <c r="A163" t="s">
        <v>334</v>
      </c>
      <c r="B163" t="s">
        <v>1724</v>
      </c>
      <c r="C163" t="s">
        <v>1723</v>
      </c>
      <c r="D163" t="s">
        <v>328</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ht="14.75">
      <c r="A164" t="s">
        <v>336</v>
      </c>
      <c r="B164" t="s">
        <v>1722</v>
      </c>
      <c r="C164" t="s">
        <v>1721</v>
      </c>
      <c r="D164" t="s">
        <v>328</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ht="14.75">
      <c r="A165" t="s">
        <v>363</v>
      </c>
      <c r="B165" t="s">
        <v>1720</v>
      </c>
      <c r="C165" t="s">
        <v>1719</v>
      </c>
      <c r="D165" t="s">
        <v>328</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ht="14.75">
      <c r="A166" t="s">
        <v>79</v>
      </c>
      <c r="B166" t="s">
        <v>1718</v>
      </c>
      <c r="C166" t="s">
        <v>1717</v>
      </c>
      <c r="D166" t="s">
        <v>328</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ht="14.75">
      <c r="A167" t="s">
        <v>32</v>
      </c>
    </row>
    <row r="168" spans="1:35" ht="14.75">
      <c r="A168" t="s">
        <v>368</v>
      </c>
    </row>
    <row r="169" spans="1:35" ht="14.75">
      <c r="A169" t="s">
        <v>357</v>
      </c>
    </row>
    <row r="170" spans="1:35" ht="14.75">
      <c r="A170" t="s">
        <v>296</v>
      </c>
      <c r="B170" t="s">
        <v>1716</v>
      </c>
      <c r="C170" t="s">
        <v>1715</v>
      </c>
      <c r="D170" t="s">
        <v>369</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ht="14.75">
      <c r="A171" t="s">
        <v>282</v>
      </c>
      <c r="B171" t="s">
        <v>1714</v>
      </c>
      <c r="C171" t="s">
        <v>1713</v>
      </c>
      <c r="D171" t="s">
        <v>370</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ht="14.75">
      <c r="A172" t="s">
        <v>277</v>
      </c>
      <c r="B172" t="s">
        <v>1712</v>
      </c>
      <c r="C172" t="s">
        <v>1711</v>
      </c>
      <c r="D172" t="s">
        <v>370</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ht="14.75">
      <c r="A173" t="s">
        <v>276</v>
      </c>
      <c r="B173" t="s">
        <v>1710</v>
      </c>
      <c r="C173" t="s">
        <v>1709</v>
      </c>
      <c r="D173" t="s">
        <v>370</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ht="14.75">
      <c r="A174" t="s">
        <v>332</v>
      </c>
      <c r="B174" t="s">
        <v>1708</v>
      </c>
      <c r="C174" t="s">
        <v>1707</v>
      </c>
      <c r="D174" t="s">
        <v>370</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ht="14.75">
      <c r="A175" t="s">
        <v>333</v>
      </c>
      <c r="B175" t="s">
        <v>1706</v>
      </c>
      <c r="C175" t="s">
        <v>1705</v>
      </c>
      <c r="D175" t="s">
        <v>369</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ht="14.75">
      <c r="A176" t="s">
        <v>335</v>
      </c>
      <c r="B176" t="s">
        <v>1704</v>
      </c>
      <c r="C176" t="s">
        <v>1703</v>
      </c>
      <c r="D176" t="s">
        <v>369</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ht="14.75">
      <c r="A177" t="s">
        <v>334</v>
      </c>
      <c r="B177" t="s">
        <v>1702</v>
      </c>
      <c r="C177" t="s">
        <v>1701</v>
      </c>
      <c r="D177" t="s">
        <v>370</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ht="14.75">
      <c r="A178" t="s">
        <v>336</v>
      </c>
      <c r="B178" t="s">
        <v>1700</v>
      </c>
      <c r="C178" t="s">
        <v>1699</v>
      </c>
      <c r="D178" t="s">
        <v>369</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ht="14.75">
      <c r="A179" t="s">
        <v>371</v>
      </c>
      <c r="B179" t="s">
        <v>1698</v>
      </c>
      <c r="C179" t="s">
        <v>1697</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ht="14.75">
      <c r="A180" t="s">
        <v>360</v>
      </c>
    </row>
    <row r="181" spans="1:35" ht="14.75">
      <c r="A181" t="s">
        <v>296</v>
      </c>
      <c r="B181" t="s">
        <v>1696</v>
      </c>
      <c r="C181" t="s">
        <v>1695</v>
      </c>
      <c r="D181" t="s">
        <v>369</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ht="14.75">
      <c r="A182" t="s">
        <v>282</v>
      </c>
      <c r="B182" t="s">
        <v>1694</v>
      </c>
      <c r="C182" t="s">
        <v>1693</v>
      </c>
      <c r="D182" t="s">
        <v>370</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ht="14.75">
      <c r="A183" t="s">
        <v>277</v>
      </c>
      <c r="B183" t="s">
        <v>1692</v>
      </c>
      <c r="C183" t="s">
        <v>1691</v>
      </c>
      <c r="D183" t="s">
        <v>370</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ht="14.75">
      <c r="A184" t="s">
        <v>276</v>
      </c>
      <c r="B184" t="s">
        <v>1690</v>
      </c>
      <c r="C184" t="s">
        <v>1689</v>
      </c>
      <c r="D184" t="s">
        <v>370</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ht="14.75">
      <c r="A185" t="s">
        <v>332</v>
      </c>
      <c r="B185" t="s">
        <v>1688</v>
      </c>
      <c r="C185" t="s">
        <v>1687</v>
      </c>
      <c r="D185" t="s">
        <v>372</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ht="14.75">
      <c r="A186" t="s">
        <v>333</v>
      </c>
      <c r="B186" t="s">
        <v>1686</v>
      </c>
      <c r="C186" t="s">
        <v>1685</v>
      </c>
      <c r="D186" t="s">
        <v>370</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ht="14.75">
      <c r="A187" t="s">
        <v>335</v>
      </c>
      <c r="B187" t="s">
        <v>1684</v>
      </c>
      <c r="C187" t="s">
        <v>1683</v>
      </c>
      <c r="D187" t="s">
        <v>370</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ht="14.75">
      <c r="A188" t="s">
        <v>334</v>
      </c>
      <c r="B188" t="s">
        <v>1682</v>
      </c>
      <c r="C188" t="s">
        <v>1681</v>
      </c>
      <c r="D188" t="s">
        <v>370</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ht="14.75">
      <c r="A189" t="s">
        <v>336</v>
      </c>
      <c r="B189" t="s">
        <v>1680</v>
      </c>
      <c r="C189" t="s">
        <v>1679</v>
      </c>
      <c r="D189" t="s">
        <v>370</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ht="14.75">
      <c r="A190" t="s">
        <v>373</v>
      </c>
      <c r="B190" t="s">
        <v>1678</v>
      </c>
      <c r="C190" t="s">
        <v>1677</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ht="14.75">
      <c r="A191" t="s">
        <v>362</v>
      </c>
    </row>
    <row r="192" spans="1:35" ht="14.75">
      <c r="A192" t="s">
        <v>296</v>
      </c>
      <c r="B192" t="s">
        <v>1676</v>
      </c>
      <c r="C192" t="s">
        <v>1675</v>
      </c>
      <c r="D192" t="s">
        <v>369</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ht="14.75">
      <c r="A193" t="s">
        <v>282</v>
      </c>
      <c r="B193" t="s">
        <v>1674</v>
      </c>
      <c r="C193" t="s">
        <v>1673</v>
      </c>
      <c r="D193" t="s">
        <v>370</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ht="14.75">
      <c r="A194" t="s">
        <v>277</v>
      </c>
      <c r="B194" t="s">
        <v>1672</v>
      </c>
      <c r="C194" t="s">
        <v>1671</v>
      </c>
      <c r="D194" t="s">
        <v>370</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ht="14.75">
      <c r="A195" t="s">
        <v>276</v>
      </c>
      <c r="B195" t="s">
        <v>1670</v>
      </c>
      <c r="C195" t="s">
        <v>1669</v>
      </c>
      <c r="D195" t="s">
        <v>369</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ht="14.75">
      <c r="A196" t="s">
        <v>332</v>
      </c>
      <c r="B196" t="s">
        <v>1668</v>
      </c>
      <c r="C196" t="s">
        <v>1667</v>
      </c>
      <c r="D196" t="s">
        <v>370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ht="14.75">
      <c r="A197" t="s">
        <v>333</v>
      </c>
      <c r="B197" t="s">
        <v>1666</v>
      </c>
      <c r="C197" t="s">
        <v>1665</v>
      </c>
      <c r="D197" t="s">
        <v>369</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ht="14.75">
      <c r="A198" t="s">
        <v>335</v>
      </c>
      <c r="B198" t="s">
        <v>1664</v>
      </c>
      <c r="C198" t="s">
        <v>1663</v>
      </c>
      <c r="D198" t="s">
        <v>369</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ht="14.75">
      <c r="A199" t="s">
        <v>334</v>
      </c>
      <c r="B199" t="s">
        <v>1662</v>
      </c>
      <c r="C199" t="s">
        <v>1661</v>
      </c>
      <c r="D199" t="s">
        <v>370</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ht="14.75">
      <c r="A200" t="s">
        <v>336</v>
      </c>
      <c r="B200" t="s">
        <v>1660</v>
      </c>
      <c r="C200" t="s">
        <v>1659</v>
      </c>
      <c r="D200" t="s">
        <v>369</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ht="14.75">
      <c r="A201" t="s">
        <v>374</v>
      </c>
      <c r="B201" t="s">
        <v>1658</v>
      </c>
      <c r="C201" t="s">
        <v>1657</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ht="14.75">
      <c r="A202" t="s">
        <v>375</v>
      </c>
      <c r="B202" t="s">
        <v>1656</v>
      </c>
      <c r="C202" t="s">
        <v>1655</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ht="14.75">
      <c r="A203" t="s">
        <v>377</v>
      </c>
    </row>
    <row r="204" spans="1:35" ht="14.75">
      <c r="A204" t="s">
        <v>357</v>
      </c>
    </row>
    <row r="205" spans="1:35" ht="14.75">
      <c r="A205" t="s">
        <v>296</v>
      </c>
      <c r="B205" t="s">
        <v>1654</v>
      </c>
      <c r="C205" t="s">
        <v>1653</v>
      </c>
      <c r="D205" t="s">
        <v>330</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ht="14.75">
      <c r="A206" t="s">
        <v>282</v>
      </c>
      <c r="B206" t="s">
        <v>1652</v>
      </c>
      <c r="C206" t="s">
        <v>1651</v>
      </c>
      <c r="D206" t="s">
        <v>330</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ht="14.75">
      <c r="A207" t="s">
        <v>277</v>
      </c>
      <c r="B207" t="s">
        <v>1650</v>
      </c>
      <c r="C207" t="s">
        <v>1649</v>
      </c>
      <c r="D207" t="s">
        <v>330</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ht="14.75">
      <c r="A208" t="s">
        <v>276</v>
      </c>
      <c r="B208" t="s">
        <v>1648</v>
      </c>
      <c r="C208" t="s">
        <v>1647</v>
      </c>
      <c r="D208" t="s">
        <v>330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ht="14.75">
      <c r="A209" t="s">
        <v>332</v>
      </c>
      <c r="B209" t="s">
        <v>1646</v>
      </c>
      <c r="C209" t="s">
        <v>1645</v>
      </c>
      <c r="D209" t="s">
        <v>330</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ht="14.75">
      <c r="A210" t="s">
        <v>333</v>
      </c>
      <c r="B210" t="s">
        <v>1644</v>
      </c>
      <c r="C210" t="s">
        <v>1643</v>
      </c>
      <c r="D210" t="s">
        <v>330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ht="14.75">
      <c r="A211" t="s">
        <v>335</v>
      </c>
      <c r="B211" t="s">
        <v>1642</v>
      </c>
      <c r="C211" t="s">
        <v>1641</v>
      </c>
      <c r="D211" t="s">
        <v>330</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ht="14.75">
      <c r="A212" t="s">
        <v>334</v>
      </c>
      <c r="B212" t="s">
        <v>1640</v>
      </c>
      <c r="C212" t="s">
        <v>1639</v>
      </c>
      <c r="D212" t="s">
        <v>330</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ht="14.75">
      <c r="A213" t="s">
        <v>336</v>
      </c>
      <c r="B213" t="s">
        <v>1638</v>
      </c>
      <c r="C213" t="s">
        <v>1637</v>
      </c>
      <c r="D213" t="s">
        <v>330</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ht="14.75">
      <c r="A214" t="s">
        <v>359</v>
      </c>
      <c r="B214" t="s">
        <v>1636</v>
      </c>
      <c r="C214" t="s">
        <v>1635</v>
      </c>
      <c r="D214" t="s">
        <v>330</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ht="14.75">
      <c r="A215" t="s">
        <v>360</v>
      </c>
    </row>
    <row r="216" spans="1:35" ht="14.75">
      <c r="A216" t="s">
        <v>296</v>
      </c>
      <c r="B216" t="s">
        <v>1634</v>
      </c>
      <c r="C216" t="s">
        <v>1633</v>
      </c>
      <c r="D216" t="s">
        <v>330</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ht="14.75">
      <c r="A217" t="s">
        <v>282</v>
      </c>
      <c r="B217" t="s">
        <v>1632</v>
      </c>
      <c r="C217" t="s">
        <v>1631</v>
      </c>
      <c r="D217" t="s">
        <v>330</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ht="14.75">
      <c r="A218" t="s">
        <v>277</v>
      </c>
      <c r="B218" t="s">
        <v>1630</v>
      </c>
      <c r="C218" t="s">
        <v>1629</v>
      </c>
      <c r="D218" t="s">
        <v>330</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ht="14.75">
      <c r="A219" t="s">
        <v>276</v>
      </c>
      <c r="B219" t="s">
        <v>1628</v>
      </c>
      <c r="C219" t="s">
        <v>1627</v>
      </c>
      <c r="D219" t="s">
        <v>330</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ht="14.75">
      <c r="A220" t="s">
        <v>332</v>
      </c>
      <c r="B220" t="s">
        <v>1626</v>
      </c>
      <c r="C220" t="s">
        <v>1625</v>
      </c>
      <c r="D220" t="s">
        <v>330</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ht="14.75">
      <c r="A221" t="s">
        <v>333</v>
      </c>
      <c r="B221" t="s">
        <v>1624</v>
      </c>
      <c r="C221" t="s">
        <v>1623</v>
      </c>
      <c r="D221" t="s">
        <v>330</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ht="14.75">
      <c r="A222" t="s">
        <v>335</v>
      </c>
      <c r="B222" t="s">
        <v>1622</v>
      </c>
      <c r="C222" t="s">
        <v>1621</v>
      </c>
      <c r="D222" t="s">
        <v>330</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ht="14.75">
      <c r="A223" t="s">
        <v>334</v>
      </c>
      <c r="B223" t="s">
        <v>1620</v>
      </c>
      <c r="C223" t="s">
        <v>1619</v>
      </c>
      <c r="D223" t="s">
        <v>330</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ht="14.75">
      <c r="A224" t="s">
        <v>336</v>
      </c>
      <c r="B224" t="s">
        <v>1618</v>
      </c>
      <c r="C224" t="s">
        <v>1617</v>
      </c>
      <c r="D224" t="s">
        <v>330</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ht="14.75">
      <c r="A225" t="s">
        <v>361</v>
      </c>
      <c r="B225" t="s">
        <v>1616</v>
      </c>
      <c r="C225" t="s">
        <v>1615</v>
      </c>
      <c r="D225" t="s">
        <v>330</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ht="14.75">
      <c r="A226" t="s">
        <v>362</v>
      </c>
    </row>
    <row r="227" spans="1:35" ht="14.75">
      <c r="A227" t="s">
        <v>296</v>
      </c>
      <c r="B227" t="s">
        <v>1614</v>
      </c>
      <c r="C227" t="s">
        <v>1613</v>
      </c>
      <c r="D227" t="s">
        <v>330</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ht="14.75">
      <c r="A228" t="s">
        <v>282</v>
      </c>
      <c r="B228" t="s">
        <v>1612</v>
      </c>
      <c r="C228" t="s">
        <v>1611</v>
      </c>
      <c r="D228" t="s">
        <v>330</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ht="14.75">
      <c r="A229" t="s">
        <v>277</v>
      </c>
      <c r="B229" t="s">
        <v>1610</v>
      </c>
      <c r="C229" t="s">
        <v>1609</v>
      </c>
      <c r="D229" t="s">
        <v>330</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ht="14.75">
      <c r="A230" t="s">
        <v>276</v>
      </c>
      <c r="B230" t="s">
        <v>1608</v>
      </c>
      <c r="C230" t="s">
        <v>1607</v>
      </c>
      <c r="D230" t="s">
        <v>330</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ht="14.75">
      <c r="A231" t="s">
        <v>332</v>
      </c>
      <c r="B231" t="s">
        <v>1606</v>
      </c>
      <c r="C231" t="s">
        <v>1605</v>
      </c>
      <c r="D231" t="s">
        <v>330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ht="14.75">
      <c r="A232" t="s">
        <v>333</v>
      </c>
      <c r="B232" t="s">
        <v>1604</v>
      </c>
      <c r="C232" t="s">
        <v>1603</v>
      </c>
      <c r="D232" t="s">
        <v>330</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ht="14.75">
      <c r="A233" t="s">
        <v>335</v>
      </c>
      <c r="B233" t="s">
        <v>1602</v>
      </c>
      <c r="C233" t="s">
        <v>1601</v>
      </c>
      <c r="D233" t="s">
        <v>330</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ht="14.75">
      <c r="A234" t="s">
        <v>334</v>
      </c>
      <c r="B234" t="s">
        <v>1600</v>
      </c>
      <c r="C234" t="s">
        <v>1599</v>
      </c>
      <c r="D234" t="s">
        <v>330</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ht="14.75">
      <c r="A235" t="s">
        <v>336</v>
      </c>
      <c r="B235" t="s">
        <v>1598</v>
      </c>
      <c r="C235" t="s">
        <v>1597</v>
      </c>
      <c r="D235" t="s">
        <v>330</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ht="14.75">
      <c r="A236" t="s">
        <v>363</v>
      </c>
      <c r="B236" t="s">
        <v>1596</v>
      </c>
      <c r="C236" t="s">
        <v>1595</v>
      </c>
      <c r="D236" t="s">
        <v>330</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ht="14.75">
      <c r="A237" t="s">
        <v>378</v>
      </c>
      <c r="B237" t="s">
        <v>1594</v>
      </c>
      <c r="C237" t="s">
        <v>1593</v>
      </c>
      <c r="D237" t="s">
        <v>330</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ht="14.75">
      <c r="A238" t="s">
        <v>31</v>
      </c>
    </row>
    <row r="239" spans="1:35" ht="14.75">
      <c r="A239" t="s">
        <v>379</v>
      </c>
      <c r="B239" t="s">
        <v>1592</v>
      </c>
      <c r="C239" t="s">
        <v>1591</v>
      </c>
      <c r="D239" t="s">
        <v>380</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ht="14.75">
      <c r="A240" t="s">
        <v>381</v>
      </c>
      <c r="B240" t="s">
        <v>1590</v>
      </c>
      <c r="C240" t="s">
        <v>1589</v>
      </c>
      <c r="D240" t="s">
        <v>382</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ht="14.75">
      <c r="A241" t="s">
        <v>383</v>
      </c>
    </row>
    <row r="242" spans="1:35" ht="14.75">
      <c r="A242" t="s">
        <v>275</v>
      </c>
      <c r="B242" t="s">
        <v>1588</v>
      </c>
      <c r="C242" t="s">
        <v>1587</v>
      </c>
      <c r="D242" t="s">
        <v>305</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ht="14.75">
      <c r="A243" t="s">
        <v>284</v>
      </c>
      <c r="B243" t="s">
        <v>1586</v>
      </c>
      <c r="C243" t="s">
        <v>1585</v>
      </c>
      <c r="D243" t="s">
        <v>305</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ht="14.75">
      <c r="A244" t="s">
        <v>285</v>
      </c>
      <c r="B244" t="s">
        <v>1584</v>
      </c>
      <c r="C244" t="s">
        <v>1583</v>
      </c>
      <c r="D244" t="s">
        <v>305</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ht="14.75">
      <c r="A245" t="s">
        <v>286</v>
      </c>
      <c r="B245" t="s">
        <v>1582</v>
      </c>
      <c r="C245" t="s">
        <v>1581</v>
      </c>
      <c r="D245" t="s">
        <v>305</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ht="14.75">
      <c r="A246" t="s">
        <v>30</v>
      </c>
    </row>
    <row r="247" spans="1:35" ht="14.75">
      <c r="A247" t="s">
        <v>384</v>
      </c>
      <c r="B247" t="s">
        <v>1580</v>
      </c>
      <c r="C247" t="s">
        <v>1579</v>
      </c>
      <c r="D247" t="s">
        <v>380</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ht="14.75">
      <c r="A248" t="s">
        <v>381</v>
      </c>
      <c r="B248" t="s">
        <v>1578</v>
      </c>
      <c r="C248" t="s">
        <v>1577</v>
      </c>
      <c r="D248" t="s">
        <v>382</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ht="14.75">
      <c r="A249" t="s">
        <v>383</v>
      </c>
    </row>
    <row r="250" spans="1:35" ht="14.75">
      <c r="A250" t="s">
        <v>275</v>
      </c>
      <c r="B250" t="s">
        <v>1576</v>
      </c>
      <c r="C250" t="s">
        <v>1304</v>
      </c>
      <c r="D250" t="s">
        <v>305</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ht="14.75">
      <c r="A251" t="s">
        <v>284</v>
      </c>
      <c r="B251" t="s">
        <v>1575</v>
      </c>
      <c r="C251" t="s">
        <v>1302</v>
      </c>
      <c r="D251" t="s">
        <v>305</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ht="14.75">
      <c r="A252" t="s">
        <v>285</v>
      </c>
      <c r="B252" t="s">
        <v>1574</v>
      </c>
      <c r="C252" t="s">
        <v>1300</v>
      </c>
      <c r="D252" t="s">
        <v>305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ht="14.75">
      <c r="A253" t="s">
        <v>286</v>
      </c>
      <c r="B253" t="s">
        <v>1573</v>
      </c>
      <c r="C253" t="s">
        <v>1298</v>
      </c>
      <c r="D253" t="s">
        <v>305</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ht="14.75">
      <c r="A254" t="s">
        <v>29</v>
      </c>
    </row>
    <row r="255" spans="1:35" ht="14.75">
      <c r="A255" t="s">
        <v>385</v>
      </c>
      <c r="B255" t="s">
        <v>1572</v>
      </c>
      <c r="C255" t="s">
        <v>1571</v>
      </c>
      <c r="D255" t="s">
        <v>386</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ht="14.75">
      <c r="A256" t="s">
        <v>387</v>
      </c>
      <c r="B256" t="s">
        <v>1570</v>
      </c>
      <c r="C256" t="s">
        <v>1569</v>
      </c>
      <c r="D256" t="s">
        <v>386</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ht="14.75">
      <c r="A257" t="s">
        <v>388</v>
      </c>
      <c r="B257" t="s">
        <v>1568</v>
      </c>
      <c r="C257" t="s">
        <v>1567</v>
      </c>
      <c r="D257" t="s">
        <v>386</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ht="14.75">
      <c r="A258" t="s">
        <v>383</v>
      </c>
    </row>
    <row r="259" spans="1:35" ht="14.75">
      <c r="A259" t="s">
        <v>275</v>
      </c>
      <c r="B259" t="s">
        <v>1566</v>
      </c>
      <c r="C259" t="s">
        <v>1294</v>
      </c>
      <c r="D259" t="s">
        <v>305</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ht="14.75">
      <c r="A260" t="s">
        <v>284</v>
      </c>
      <c r="B260" t="s">
        <v>1565</v>
      </c>
      <c r="C260" t="s">
        <v>1292</v>
      </c>
      <c r="D260" t="s">
        <v>305</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ht="14.75">
      <c r="A261" t="s">
        <v>285</v>
      </c>
      <c r="B261" t="s">
        <v>1564</v>
      </c>
      <c r="C261" t="s">
        <v>1290</v>
      </c>
      <c r="D261" t="s">
        <v>305</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ht="14.75">
      <c r="A262" t="s">
        <v>286</v>
      </c>
      <c r="B262" t="s">
        <v>1563</v>
      </c>
      <c r="C262" t="s">
        <v>1288</v>
      </c>
      <c r="D262" t="s">
        <v>305</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4.75"/>
  <sheetData>
    <row r="1" spans="1:33" ht="15.5" thickBot="1">
      <c r="A1" s="148"/>
      <c r="B1" s="150" t="s">
        <v>833</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834</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835</v>
      </c>
      <c r="E4" s="105"/>
      <c r="F4" s="105"/>
      <c r="G4" s="152" t="s">
        <v>836</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837</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838</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6">
      <c r="A10" s="153" t="s">
        <v>839</v>
      </c>
      <c r="B10" s="154" t="s">
        <v>840</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841</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842</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843</v>
      </c>
      <c r="AG12" s="155"/>
    </row>
    <row r="13" spans="1:33" ht="15.5" thickBot="1">
      <c r="A13" s="148"/>
      <c r="B13" s="157" t="s">
        <v>844</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845</v>
      </c>
      <c r="B15" s="158" t="s">
        <v>846</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847</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848</v>
      </c>
      <c r="B18" s="161" t="s">
        <v>849</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850</v>
      </c>
      <c r="B19" s="161" t="s">
        <v>851</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852</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853</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854</v>
      </c>
      <c r="B23" s="161" t="s">
        <v>855</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856</v>
      </c>
      <c r="B24" s="161" t="s">
        <v>857</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858</v>
      </c>
      <c r="B25" s="161" t="s">
        <v>859</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860</v>
      </c>
      <c r="B26" s="161" t="s">
        <v>861</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862</v>
      </c>
      <c r="B27" s="161" t="s">
        <v>863</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864</v>
      </c>
      <c r="B28" s="161" t="s">
        <v>865</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866</v>
      </c>
      <c r="B29" s="161" t="s">
        <v>867</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868</v>
      </c>
      <c r="B30" s="161" t="s">
        <v>869</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870</v>
      </c>
      <c r="B31" s="161" t="s">
        <v>871</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872</v>
      </c>
      <c r="B32" s="161" t="s">
        <v>873</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874</v>
      </c>
      <c r="B33" s="161" t="s">
        <v>875</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876</v>
      </c>
      <c r="B34" s="161" t="s">
        <v>877</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878</v>
      </c>
      <c r="B35" s="161" t="s">
        <v>879</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880</v>
      </c>
      <c r="B36" s="161" t="s">
        <v>881</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882</v>
      </c>
      <c r="B37" s="161" t="s">
        <v>883</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884</v>
      </c>
      <c r="B38" s="161" t="s">
        <v>885</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886</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887</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888</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889</v>
      </c>
      <c r="B43" s="161" t="s">
        <v>890</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891</v>
      </c>
      <c r="B44" s="161" t="s">
        <v>892</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893</v>
      </c>
      <c r="B45" s="161" t="s">
        <v>894</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895</v>
      </c>
      <c r="B46" s="161" t="s">
        <v>896</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897</v>
      </c>
      <c r="B47" s="161" t="s">
        <v>898</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899</v>
      </c>
      <c r="B48" s="161" t="s">
        <v>900</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901</v>
      </c>
      <c r="B49" s="161" t="s">
        <v>902</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903</v>
      </c>
      <c r="B50" s="161" t="s">
        <v>904</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905</v>
      </c>
      <c r="B51" s="161" t="s">
        <v>906</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907</v>
      </c>
      <c r="B52" s="161" t="s">
        <v>908</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909</v>
      </c>
      <c r="B53" s="161" t="s">
        <v>910</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911</v>
      </c>
      <c r="B54" s="161" t="s">
        <v>912</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913</v>
      </c>
      <c r="B55" s="161" t="s">
        <v>914</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915</v>
      </c>
      <c r="B56" s="161" t="s">
        <v>916</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917</v>
      </c>
      <c r="B57" s="161" t="s">
        <v>918</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919</v>
      </c>
      <c r="B58" s="161" t="s">
        <v>920</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921</v>
      </c>
      <c r="B59" s="161" t="s">
        <v>922</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923</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924</v>
      </c>
      <c r="B61" s="161" t="s">
        <v>890</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925</v>
      </c>
      <c r="B62" s="161" t="s">
        <v>892</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926</v>
      </c>
      <c r="B63" s="161" t="s">
        <v>894</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927</v>
      </c>
      <c r="B64" s="161" t="s">
        <v>896</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928</v>
      </c>
      <c r="B65" s="161" t="s">
        <v>898</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929</v>
      </c>
      <c r="B66" s="161" t="s">
        <v>900</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930</v>
      </c>
      <c r="B67" s="161" t="s">
        <v>902</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931</v>
      </c>
      <c r="B68" s="161" t="s">
        <v>904</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932</v>
      </c>
      <c r="B69" s="161" t="s">
        <v>906</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933</v>
      </c>
      <c r="B70" s="161" t="s">
        <v>908</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934</v>
      </c>
      <c r="B71" s="161" t="s">
        <v>910</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935</v>
      </c>
      <c r="B72" s="161" t="s">
        <v>912</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936</v>
      </c>
      <c r="B73" s="161" t="s">
        <v>914</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937</v>
      </c>
      <c r="B74" s="161" t="s">
        <v>916</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938</v>
      </c>
      <c r="B75" s="161" t="s">
        <v>918</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939</v>
      </c>
      <c r="B76" s="161" t="s">
        <v>920</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940</v>
      </c>
      <c r="B77" s="161" t="s">
        <v>941</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942</v>
      </c>
      <c r="B78" s="161" t="s">
        <v>943</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944</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945</v>
      </c>
      <c r="B81" s="161" t="s">
        <v>855</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946</v>
      </c>
      <c r="B82" s="161" t="s">
        <v>857</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947</v>
      </c>
      <c r="B83" s="161" t="s">
        <v>859</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948</v>
      </c>
      <c r="B84" s="161" t="s">
        <v>861</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949</v>
      </c>
      <c r="B85" s="161" t="s">
        <v>863</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950</v>
      </c>
      <c r="B86" s="161" t="s">
        <v>865</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951</v>
      </c>
      <c r="B87" s="161" t="s">
        <v>867</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952</v>
      </c>
      <c r="B88" s="161" t="s">
        <v>869</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953</v>
      </c>
      <c r="B89" s="161" t="s">
        <v>871</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954</v>
      </c>
      <c r="B90" s="161" t="s">
        <v>873</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955</v>
      </c>
      <c r="B91" s="161" t="s">
        <v>875</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956</v>
      </c>
      <c r="B92" s="161" t="s">
        <v>877</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957</v>
      </c>
      <c r="B93" s="161" t="s">
        <v>879</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958</v>
      </c>
      <c r="B94" s="161" t="s">
        <v>881</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959</v>
      </c>
      <c r="B95" s="161" t="s">
        <v>883</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960</v>
      </c>
      <c r="B96" s="161" t="s">
        <v>885</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961</v>
      </c>
      <c r="B97" s="161" t="s">
        <v>962</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963</v>
      </c>
      <c r="B98" s="161" t="s">
        <v>964</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965</v>
      </c>
      <c r="B99" s="161" t="s">
        <v>943</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966</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967</v>
      </c>
      <c r="B102" s="161" t="s">
        <v>968</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969</v>
      </c>
      <c r="B103" s="161" t="s">
        <v>970</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971</v>
      </c>
      <c r="B104" s="161" t="s">
        <v>972</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973</v>
      </c>
      <c r="B105" s="161" t="s">
        <v>974</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975</v>
      </c>
      <c r="B106" s="161" t="s">
        <v>976</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977</v>
      </c>
      <c r="B107" s="161" t="s">
        <v>970</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978</v>
      </c>
      <c r="B108" s="161" t="s">
        <v>972</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979</v>
      </c>
      <c r="B109" s="161" t="s">
        <v>974</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980</v>
      </c>
      <c r="B110" s="161" t="s">
        <v>981</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982</v>
      </c>
      <c r="B111" s="161" t="s">
        <v>970</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983</v>
      </c>
      <c r="B112" s="161" t="s">
        <v>972</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984</v>
      </c>
      <c r="B113" s="161" t="s">
        <v>974</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985</v>
      </c>
      <c r="B114" s="161" t="s">
        <v>986</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987</v>
      </c>
      <c r="B115" s="161" t="s">
        <v>970</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988</v>
      </c>
      <c r="B116" s="161" t="s">
        <v>972</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989</v>
      </c>
      <c r="B117" s="161" t="s">
        <v>974</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990</v>
      </c>
      <c r="B118" s="161" t="s">
        <v>991</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992</v>
      </c>
      <c r="B119" s="161" t="s">
        <v>970</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993</v>
      </c>
      <c r="B120" s="161" t="s">
        <v>972</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994</v>
      </c>
      <c r="B121" s="161" t="s">
        <v>974</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995</v>
      </c>
      <c r="B122" s="161" t="s">
        <v>996</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997</v>
      </c>
      <c r="B123" s="161" t="s">
        <v>970</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998</v>
      </c>
      <c r="B124" s="161" t="s">
        <v>972</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999</v>
      </c>
      <c r="B125" s="161" t="s">
        <v>974</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1000</v>
      </c>
      <c r="B126" s="161" t="s">
        <v>1001</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1002</v>
      </c>
      <c r="B127" s="161" t="s">
        <v>970</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1003</v>
      </c>
      <c r="B128" s="161" t="s">
        <v>972</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1004</v>
      </c>
      <c r="B129" s="161" t="s">
        <v>974</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1005</v>
      </c>
      <c r="B130" s="161" t="s">
        <v>1006</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1007</v>
      </c>
      <c r="B131" s="161" t="s">
        <v>970</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1008</v>
      </c>
      <c r="B132" s="161" t="s">
        <v>972</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1009</v>
      </c>
      <c r="B133" s="161" t="s">
        <v>974</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1010</v>
      </c>
      <c r="B134" s="161" t="s">
        <v>1011</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1012</v>
      </c>
      <c r="B135" s="161" t="s">
        <v>970</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1013</v>
      </c>
      <c r="B136" s="161" t="s">
        <v>972</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1014</v>
      </c>
      <c r="B137" s="161" t="s">
        <v>974</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1015</v>
      </c>
      <c r="B138" s="161" t="s">
        <v>1016</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1017</v>
      </c>
      <c r="B139" s="161" t="s">
        <v>970</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1018</v>
      </c>
      <c r="B140" s="161" t="s">
        <v>972</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1019</v>
      </c>
      <c r="B141" s="161" t="s">
        <v>974</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1020</v>
      </c>
      <c r="B142" s="161" t="s">
        <v>1021</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1022</v>
      </c>
      <c r="B143" s="161" t="s">
        <v>970</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1023</v>
      </c>
      <c r="B144" s="161" t="s">
        <v>972</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1024</v>
      </c>
      <c r="B145" s="161" t="s">
        <v>974</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1025</v>
      </c>
      <c r="B146" s="161" t="s">
        <v>1026</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1027</v>
      </c>
      <c r="B147" s="161" t="s">
        <v>970</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1028</v>
      </c>
      <c r="B148" s="161" t="s">
        <v>972</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1029</v>
      </c>
      <c r="B149" s="161" t="s">
        <v>974</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1030</v>
      </c>
      <c r="B150" s="161" t="s">
        <v>1031</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1032</v>
      </c>
      <c r="B151" s="161" t="s">
        <v>970</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1033</v>
      </c>
      <c r="B152" s="161" t="s">
        <v>972</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1034</v>
      </c>
      <c r="B153" s="161" t="s">
        <v>974</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1035</v>
      </c>
      <c r="B154" s="161" t="s">
        <v>1036</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1037</v>
      </c>
      <c r="B155" s="161" t="s">
        <v>970</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1038</v>
      </c>
      <c r="B156" s="161" t="s">
        <v>972</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1039</v>
      </c>
      <c r="B157" s="161" t="s">
        <v>974</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1040</v>
      </c>
      <c r="B158" s="161" t="s">
        <v>1041</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1042</v>
      </c>
      <c r="B159" s="161" t="s">
        <v>970</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1043</v>
      </c>
      <c r="B160" s="161" t="s">
        <v>972</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1044</v>
      </c>
      <c r="B161" s="161" t="s">
        <v>974</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1045</v>
      </c>
      <c r="B162" s="161" t="s">
        <v>1046</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1047</v>
      </c>
      <c r="B163" s="161" t="s">
        <v>970</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1048</v>
      </c>
      <c r="B164" s="161" t="s">
        <v>972</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1049</v>
      </c>
      <c r="B165" s="161" t="s">
        <v>974</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1050</v>
      </c>
      <c r="B166" s="161" t="s">
        <v>1051</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1052</v>
      </c>
      <c r="B167" s="161" t="s">
        <v>1053</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1054</v>
      </c>
      <c r="B168" s="161" t="s">
        <v>1055</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1056</v>
      </c>
      <c r="B169" s="161" t="s">
        <v>1057</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1058</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1059</v>
      </c>
      <c r="B172" s="161" t="s">
        <v>968</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1060</v>
      </c>
      <c r="B173" s="161" t="s">
        <v>970</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1061</v>
      </c>
      <c r="B174" s="161" t="s">
        <v>972</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1062</v>
      </c>
      <c r="AG174" s="155"/>
    </row>
    <row r="175" spans="1:33">
      <c r="A175" s="153" t="s">
        <v>1063</v>
      </c>
      <c r="B175" s="161" t="s">
        <v>974</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1064</v>
      </c>
      <c r="B176" s="161" t="s">
        <v>976</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1062</v>
      </c>
      <c r="AG176" s="155"/>
    </row>
    <row r="177" spans="1:33">
      <c r="A177" s="153" t="s">
        <v>1065</v>
      </c>
      <c r="B177" s="161" t="s">
        <v>970</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1062</v>
      </c>
      <c r="AG177" s="155"/>
    </row>
    <row r="178" spans="1:33">
      <c r="A178" s="153" t="s">
        <v>1066</v>
      </c>
      <c r="B178" s="161" t="s">
        <v>972</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1062</v>
      </c>
      <c r="AG178" s="155"/>
    </row>
    <row r="179" spans="1:33">
      <c r="A179" s="153" t="s">
        <v>1067</v>
      </c>
      <c r="B179" s="161" t="s">
        <v>974</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1062</v>
      </c>
      <c r="AG179" s="155"/>
    </row>
    <row r="180" spans="1:33">
      <c r="A180" s="153" t="s">
        <v>1068</v>
      </c>
      <c r="B180" s="161" t="s">
        <v>981</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1062</v>
      </c>
      <c r="AG180" s="155"/>
    </row>
    <row r="181" spans="1:33">
      <c r="A181" s="153" t="s">
        <v>1069</v>
      </c>
      <c r="B181" s="161" t="s">
        <v>970</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1062</v>
      </c>
      <c r="AG181" s="155"/>
    </row>
    <row r="182" spans="1:33">
      <c r="A182" s="153" t="s">
        <v>1070</v>
      </c>
      <c r="B182" s="161" t="s">
        <v>972</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1062</v>
      </c>
      <c r="AG182" s="155"/>
    </row>
    <row r="183" spans="1:33">
      <c r="A183" s="153" t="s">
        <v>1071</v>
      </c>
      <c r="B183" s="161" t="s">
        <v>974</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1062</v>
      </c>
      <c r="AG183" s="155"/>
    </row>
    <row r="184" spans="1:33">
      <c r="A184" s="153" t="s">
        <v>1072</v>
      </c>
      <c r="B184" s="161" t="s">
        <v>986</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1062</v>
      </c>
      <c r="AG184" s="155"/>
    </row>
    <row r="185" spans="1:33">
      <c r="A185" s="153" t="s">
        <v>1073</v>
      </c>
      <c r="B185" s="161" t="s">
        <v>970</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1062</v>
      </c>
      <c r="AG185" s="155"/>
    </row>
    <row r="186" spans="1:33">
      <c r="A186" s="153" t="s">
        <v>1074</v>
      </c>
      <c r="B186" s="161" t="s">
        <v>972</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1062</v>
      </c>
      <c r="AG186" s="155"/>
    </row>
    <row r="187" spans="1:33">
      <c r="A187" s="153" t="s">
        <v>1075</v>
      </c>
      <c r="B187" s="161" t="s">
        <v>974</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1062</v>
      </c>
      <c r="AG187" s="155"/>
    </row>
    <row r="188" spans="1:33">
      <c r="A188" s="153" t="s">
        <v>1076</v>
      </c>
      <c r="B188" s="161" t="s">
        <v>991</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1077</v>
      </c>
      <c r="B189" s="161" t="s">
        <v>970</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1078</v>
      </c>
      <c r="B190" s="161" t="s">
        <v>972</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1062</v>
      </c>
      <c r="AG190" s="155"/>
    </row>
    <row r="191" spans="1:33">
      <c r="A191" s="153" t="s">
        <v>1079</v>
      </c>
      <c r="B191" s="161" t="s">
        <v>974</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1062</v>
      </c>
      <c r="AG191" s="155"/>
    </row>
    <row r="192" spans="1:33">
      <c r="A192" s="153" t="s">
        <v>1080</v>
      </c>
      <c r="B192" s="161" t="s">
        <v>996</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1062</v>
      </c>
      <c r="AG192" s="155"/>
    </row>
    <row r="193" spans="1:33">
      <c r="A193" s="153" t="s">
        <v>1081</v>
      </c>
      <c r="B193" s="161" t="s">
        <v>970</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1062</v>
      </c>
      <c r="AG193" s="155"/>
    </row>
    <row r="194" spans="1:33">
      <c r="A194" s="153" t="s">
        <v>1082</v>
      </c>
      <c r="B194" s="161" t="s">
        <v>972</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1062</v>
      </c>
      <c r="AG194" s="155"/>
    </row>
    <row r="195" spans="1:33">
      <c r="A195" s="153" t="s">
        <v>1083</v>
      </c>
      <c r="B195" s="161" t="s">
        <v>974</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1062</v>
      </c>
      <c r="AG195" s="155"/>
    </row>
    <row r="196" spans="1:33">
      <c r="A196" s="153" t="s">
        <v>1084</v>
      </c>
      <c r="B196" s="161" t="s">
        <v>1001</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1085</v>
      </c>
      <c r="B197" s="161" t="s">
        <v>970</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1062</v>
      </c>
      <c r="AG197" s="155"/>
    </row>
    <row r="198" spans="1:33">
      <c r="A198" s="153" t="s">
        <v>1086</v>
      </c>
      <c r="B198" s="161" t="s">
        <v>972</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1062</v>
      </c>
      <c r="AG198" s="155"/>
    </row>
    <row r="199" spans="1:33">
      <c r="A199" s="153" t="s">
        <v>1087</v>
      </c>
      <c r="B199" s="161" t="s">
        <v>974</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1088</v>
      </c>
      <c r="B200" s="161" t="s">
        <v>1006</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1089</v>
      </c>
      <c r="B201" s="161" t="s">
        <v>970</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1090</v>
      </c>
      <c r="B202" s="161" t="s">
        <v>972</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1062</v>
      </c>
      <c r="AG202" s="155"/>
    </row>
    <row r="203" spans="1:33">
      <c r="A203" s="153" t="s">
        <v>1091</v>
      </c>
      <c r="B203" s="161" t="s">
        <v>974</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1092</v>
      </c>
      <c r="B204" s="161" t="s">
        <v>1011</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1062</v>
      </c>
      <c r="AG204" s="155"/>
    </row>
    <row r="205" spans="1:33">
      <c r="A205" s="153" t="s">
        <v>1093</v>
      </c>
      <c r="B205" s="161" t="s">
        <v>970</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1062</v>
      </c>
      <c r="AG205" s="155"/>
    </row>
    <row r="206" spans="1:33">
      <c r="A206" s="153" t="s">
        <v>1094</v>
      </c>
      <c r="B206" s="161" t="s">
        <v>972</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1062</v>
      </c>
      <c r="AG206" s="155"/>
    </row>
    <row r="207" spans="1:33">
      <c r="A207" s="153" t="s">
        <v>1095</v>
      </c>
      <c r="B207" s="161" t="s">
        <v>974</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1062</v>
      </c>
      <c r="AG207" s="155"/>
    </row>
    <row r="208" spans="1:33">
      <c r="A208" s="153" t="s">
        <v>1096</v>
      </c>
      <c r="B208" s="161" t="s">
        <v>1016</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1097</v>
      </c>
      <c r="B209" s="161" t="s">
        <v>970</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1098</v>
      </c>
      <c r="B210" s="161" t="s">
        <v>972</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1062</v>
      </c>
      <c r="AG210" s="155"/>
    </row>
    <row r="211" spans="1:33">
      <c r="A211" s="153" t="s">
        <v>1099</v>
      </c>
      <c r="B211" s="161" t="s">
        <v>974</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1100</v>
      </c>
      <c r="B212" s="161" t="s">
        <v>1021</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1062</v>
      </c>
      <c r="AG212" s="155"/>
    </row>
    <row r="213" spans="1:33">
      <c r="A213" s="153" t="s">
        <v>1101</v>
      </c>
      <c r="B213" s="161" t="s">
        <v>970</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1062</v>
      </c>
      <c r="AG213" s="155"/>
    </row>
    <row r="214" spans="1:33">
      <c r="A214" s="153" t="s">
        <v>1102</v>
      </c>
      <c r="B214" s="161" t="s">
        <v>972</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1062</v>
      </c>
      <c r="AG214" s="155"/>
    </row>
    <row r="215" spans="1:33">
      <c r="A215" s="153" t="s">
        <v>1103</v>
      </c>
      <c r="B215" s="161" t="s">
        <v>974</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1062</v>
      </c>
      <c r="AG215" s="155"/>
    </row>
    <row r="216" spans="1:33">
      <c r="A216" s="153" t="s">
        <v>1104</v>
      </c>
      <c r="B216" s="161" t="s">
        <v>1026</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1062</v>
      </c>
      <c r="AG216" s="155"/>
    </row>
    <row r="217" spans="1:33">
      <c r="A217" s="153" t="s">
        <v>1105</v>
      </c>
      <c r="B217" s="161" t="s">
        <v>970</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1062</v>
      </c>
      <c r="AG217" s="155"/>
    </row>
    <row r="218" spans="1:33">
      <c r="A218" s="153" t="s">
        <v>1106</v>
      </c>
      <c r="B218" s="161" t="s">
        <v>972</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1062</v>
      </c>
      <c r="AG218" s="155"/>
    </row>
    <row r="219" spans="1:33">
      <c r="A219" s="153" t="s">
        <v>1107</v>
      </c>
      <c r="B219" s="161" t="s">
        <v>974</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1062</v>
      </c>
      <c r="AG219" s="155"/>
    </row>
    <row r="220" spans="1:33">
      <c r="A220" s="153" t="s">
        <v>1108</v>
      </c>
      <c r="B220" s="161" t="s">
        <v>1031</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1062</v>
      </c>
      <c r="AG220" s="155"/>
    </row>
    <row r="221" spans="1:33">
      <c r="A221" s="153" t="s">
        <v>1109</v>
      </c>
      <c r="B221" s="161" t="s">
        <v>970</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1062</v>
      </c>
      <c r="AG221" s="155"/>
    </row>
    <row r="222" spans="1:33">
      <c r="A222" s="153" t="s">
        <v>1110</v>
      </c>
      <c r="B222" s="161" t="s">
        <v>972</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1062</v>
      </c>
      <c r="AG222" s="155"/>
    </row>
    <row r="223" spans="1:33">
      <c r="A223" s="153" t="s">
        <v>1111</v>
      </c>
      <c r="B223" s="161" t="s">
        <v>974</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1062</v>
      </c>
      <c r="AG223" s="155"/>
    </row>
    <row r="224" spans="1:33">
      <c r="A224" s="153" t="s">
        <v>1112</v>
      </c>
      <c r="B224" s="161" t="s">
        <v>1036</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1062</v>
      </c>
      <c r="AG224" s="155"/>
    </row>
    <row r="225" spans="1:33">
      <c r="A225" s="153" t="s">
        <v>1113</v>
      </c>
      <c r="B225" s="161" t="s">
        <v>970</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1062</v>
      </c>
      <c r="AG225" s="155"/>
    </row>
    <row r="226" spans="1:33">
      <c r="A226" s="153" t="s">
        <v>1114</v>
      </c>
      <c r="B226" s="161" t="s">
        <v>972</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1062</v>
      </c>
      <c r="AG226" s="155"/>
    </row>
    <row r="227" spans="1:33">
      <c r="A227" s="153" t="s">
        <v>1115</v>
      </c>
      <c r="B227" s="161" t="s">
        <v>974</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1062</v>
      </c>
      <c r="AG227" s="155"/>
    </row>
    <row r="228" spans="1:33">
      <c r="A228" s="153" t="s">
        <v>1116</v>
      </c>
      <c r="B228" s="161" t="s">
        <v>1041</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1117</v>
      </c>
      <c r="B229" s="161" t="s">
        <v>970</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1118</v>
      </c>
      <c r="B230" s="161" t="s">
        <v>972</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1062</v>
      </c>
      <c r="AG230" s="155"/>
    </row>
    <row r="231" spans="1:33">
      <c r="A231" s="153" t="s">
        <v>1119</v>
      </c>
      <c r="B231" s="161" t="s">
        <v>974</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1062</v>
      </c>
      <c r="AG231" s="155"/>
    </row>
    <row r="232" spans="1:33">
      <c r="A232" s="153" t="s">
        <v>1120</v>
      </c>
      <c r="B232" s="161" t="s">
        <v>1046</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1062</v>
      </c>
      <c r="AG232" s="155"/>
    </row>
    <row r="233" spans="1:33">
      <c r="A233" s="153" t="s">
        <v>1121</v>
      </c>
      <c r="B233" s="161" t="s">
        <v>970</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1062</v>
      </c>
      <c r="AG233" s="155"/>
    </row>
    <row r="234" spans="1:33">
      <c r="A234" s="153" t="s">
        <v>1122</v>
      </c>
      <c r="B234" s="161" t="s">
        <v>972</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1062</v>
      </c>
      <c r="AG234" s="155"/>
    </row>
    <row r="235" spans="1:33">
      <c r="A235" s="153" t="s">
        <v>1123</v>
      </c>
      <c r="B235" s="161" t="s">
        <v>974</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1062</v>
      </c>
      <c r="AG235" s="155"/>
    </row>
    <row r="236" spans="1:33">
      <c r="A236" s="153" t="s">
        <v>1124</v>
      </c>
      <c r="B236" s="161" t="s">
        <v>1051</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1125</v>
      </c>
      <c r="B237" s="161" t="s">
        <v>1053</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1126</v>
      </c>
      <c r="B238" s="161" t="s">
        <v>1055</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1062</v>
      </c>
      <c r="AG238" s="155"/>
    </row>
    <row r="239" spans="1:33">
      <c r="A239" s="153" t="s">
        <v>1127</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1128</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1129</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1130</v>
      </c>
      <c r="B243" s="161" t="s">
        <v>970</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1131</v>
      </c>
      <c r="B244" s="161" t="s">
        <v>972</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1132</v>
      </c>
      <c r="B245" s="161" t="s">
        <v>974</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1133</v>
      </c>
      <c r="B246" s="161" t="s">
        <v>1134</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1135</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1136</v>
      </c>
      <c r="B248" s="161" t="s">
        <v>970</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1137</v>
      </c>
      <c r="B249" s="161" t="s">
        <v>972</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1138</v>
      </c>
      <c r="B250" s="161" t="s">
        <v>974</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1139</v>
      </c>
      <c r="B251" s="161" t="s">
        <v>1134</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383</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1140</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1141</v>
      </c>
      <c r="B255" s="161" t="s">
        <v>855</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1142</v>
      </c>
      <c r="B256" s="161" t="s">
        <v>857</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1143</v>
      </c>
      <c r="B257" s="161" t="s">
        <v>859</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1144</v>
      </c>
      <c r="B258" s="161" t="s">
        <v>861</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1145</v>
      </c>
      <c r="B259" s="161" t="s">
        <v>863</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1146</v>
      </c>
      <c r="B260" s="161" t="s">
        <v>865</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1147</v>
      </c>
      <c r="B261" s="161" t="s">
        <v>867</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1148</v>
      </c>
      <c r="B262" s="161" t="s">
        <v>869</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1149</v>
      </c>
      <c r="B263" s="161" t="s">
        <v>871</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1150</v>
      </c>
      <c r="B264" s="161" t="s">
        <v>873</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1151</v>
      </c>
      <c r="B265" s="161" t="s">
        <v>875</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1152</v>
      </c>
      <c r="B266" s="161" t="s">
        <v>877</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1153</v>
      </c>
      <c r="B267" s="161" t="s">
        <v>879</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1154</v>
      </c>
      <c r="B268" s="161" t="s">
        <v>881</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1155</v>
      </c>
      <c r="B269" s="161" t="s">
        <v>883</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1156</v>
      </c>
      <c r="B270" s="161" t="s">
        <v>885</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1157</v>
      </c>
      <c r="B271" s="161" t="s">
        <v>1158</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1159</v>
      </c>
      <c r="B272" s="161" t="s">
        <v>1160</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1161</v>
      </c>
      <c r="B273" s="161" t="s">
        <v>1162</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1163</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1164</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1165</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1166</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439</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1167</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440</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1168</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1169</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1170</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265625" defaultRowHeight="13"/>
  <cols>
    <col min="1" max="1" width="34.54296875" style="7" customWidth="1"/>
    <col min="2" max="19" width="10.86328125" style="7" customWidth="1"/>
    <col min="20" max="20" width="10.86328125" style="16" customWidth="1"/>
    <col min="21" max="42" width="10.86328125" style="7" customWidth="1"/>
    <col min="43" max="16384" width="8.726562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389</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390</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441</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391</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392</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393</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394</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442</v>
      </c>
      <c r="C18" s="38" t="s">
        <v>442</v>
      </c>
      <c r="D18" s="38" t="s">
        <v>442</v>
      </c>
      <c r="E18" s="38" t="s">
        <v>442</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442</v>
      </c>
      <c r="C19" s="38" t="s">
        <v>442</v>
      </c>
      <c r="D19" s="38" t="s">
        <v>442</v>
      </c>
      <c r="E19" s="38" t="s">
        <v>442</v>
      </c>
      <c r="F19" s="38" t="s">
        <v>442</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395</v>
      </c>
      <c r="B20" s="38" t="s">
        <v>442</v>
      </c>
      <c r="C20" s="38" t="s">
        <v>442</v>
      </c>
      <c r="D20" s="38" t="s">
        <v>442</v>
      </c>
      <c r="E20" s="38" t="s">
        <v>442</v>
      </c>
      <c r="F20" s="38" t="s">
        <v>442</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442</v>
      </c>
      <c r="AG24" s="27" t="s">
        <v>442</v>
      </c>
      <c r="AH24" s="27" t="s">
        <v>442</v>
      </c>
      <c r="AI24" s="27" t="s">
        <v>442</v>
      </c>
      <c r="AJ24" s="27" t="s">
        <v>442</v>
      </c>
      <c r="AK24" s="27" t="s">
        <v>442</v>
      </c>
      <c r="AL24" s="27" t="s">
        <v>442</v>
      </c>
      <c r="AM24" s="27" t="s">
        <v>442</v>
      </c>
      <c r="AN24" s="27" t="s">
        <v>442</v>
      </c>
      <c r="AO24" s="27" t="s">
        <v>442</v>
      </c>
      <c r="AP24" s="28" t="s">
        <v>442</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442</v>
      </c>
      <c r="AG25" s="27" t="s">
        <v>442</v>
      </c>
      <c r="AH25" s="27" t="s">
        <v>442</v>
      </c>
      <c r="AI25" s="27" t="s">
        <v>442</v>
      </c>
      <c r="AJ25" s="27" t="s">
        <v>442</v>
      </c>
      <c r="AK25" s="27" t="s">
        <v>442</v>
      </c>
      <c r="AL25" s="27" t="s">
        <v>442</v>
      </c>
      <c r="AM25" s="27" t="s">
        <v>442</v>
      </c>
      <c r="AN25" s="27" t="s">
        <v>442</v>
      </c>
      <c r="AO25" s="27" t="s">
        <v>442</v>
      </c>
      <c r="AP25" s="28" t="s">
        <v>442</v>
      </c>
    </row>
    <row r="26" spans="1:42" s="10" customFormat="1" ht="16.5" customHeight="1">
      <c r="A26" s="111" t="s">
        <v>62</v>
      </c>
      <c r="B26" s="38" t="s">
        <v>442</v>
      </c>
      <c r="C26" s="38" t="s">
        <v>442</v>
      </c>
      <c r="D26" s="38" t="s">
        <v>442</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442</v>
      </c>
      <c r="C27" s="38" t="s">
        <v>442</v>
      </c>
      <c r="D27" s="38" t="s">
        <v>442</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396</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397</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398</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399</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1174</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400</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443</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401</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402</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403</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404</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405</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406</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407</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408</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409</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410</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411</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444</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412</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413</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414</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415</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1175</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416</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417</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418</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445</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1176</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419</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1177</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420</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421</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1178</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446</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422</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1179</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423</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1180</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424</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447</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1181</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1182</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242</v>
      </c>
    </row>
    <row r="2" spans="1:7">
      <c r="A2" s="1"/>
    </row>
    <row r="3" spans="1:7" ht="44.2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4.75"/>
  <cols>
    <col min="1" max="1" width="16.86328125" customWidth="1"/>
    <col min="2" max="2" width="24.40625" customWidth="1"/>
    <col min="3" max="5" width="16.8632812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4.75"/>
  <cols>
    <col min="1" max="1" width="14.26953125" customWidth="1"/>
    <col min="2" max="2" width="32.726562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4.75"/>
  <cols>
    <col min="14" max="14" width="9.1328125" style="63"/>
    <col min="15" max="23" width="0" hidden="1" customWidth="1"/>
    <col min="24" max="24" width="11.40625" style="63" customWidth="1"/>
    <col min="25" max="45" width="0" hidden="1" customWidth="1"/>
    <col min="46" max="46" width="13.54296875" style="63" customWidth="1"/>
  </cols>
  <sheetData>
    <row r="1" spans="1:50" ht="64.25">
      <c r="A1" s="43" t="s">
        <v>455</v>
      </c>
      <c r="B1" s="43" t="s">
        <v>456</v>
      </c>
      <c r="C1" s="43" t="s">
        <v>457</v>
      </c>
      <c r="D1" s="43" t="s">
        <v>458</v>
      </c>
      <c r="E1" s="43" t="s">
        <v>459</v>
      </c>
      <c r="F1" s="43" t="s">
        <v>460</v>
      </c>
      <c r="G1" s="43" t="s">
        <v>461</v>
      </c>
      <c r="H1" s="43" t="s">
        <v>462</v>
      </c>
      <c r="I1" s="43" t="s">
        <v>463</v>
      </c>
      <c r="J1" s="43" t="s">
        <v>464</v>
      </c>
      <c r="K1" s="43" t="s">
        <v>465</v>
      </c>
      <c r="L1" s="43" t="s">
        <v>466</v>
      </c>
      <c r="M1" s="43" t="s">
        <v>467</v>
      </c>
      <c r="N1" s="44" t="s">
        <v>468</v>
      </c>
      <c r="O1" s="43" t="s">
        <v>469</v>
      </c>
      <c r="P1" s="43" t="s">
        <v>470</v>
      </c>
      <c r="Q1" s="43" t="s">
        <v>471</v>
      </c>
      <c r="R1" s="43" t="s">
        <v>472</v>
      </c>
      <c r="S1" s="43" t="s">
        <v>473</v>
      </c>
      <c r="T1" s="43" t="s">
        <v>474</v>
      </c>
      <c r="U1" s="43" t="s">
        <v>475</v>
      </c>
      <c r="V1" s="43" t="s">
        <v>476</v>
      </c>
      <c r="W1" s="43" t="s">
        <v>477</v>
      </c>
      <c r="X1" s="45" t="s">
        <v>478</v>
      </c>
      <c r="Y1" s="43" t="s">
        <v>479</v>
      </c>
      <c r="Z1" s="43" t="s">
        <v>480</v>
      </c>
      <c r="AA1" s="43" t="s">
        <v>481</v>
      </c>
      <c r="AB1" s="43" t="s">
        <v>482</v>
      </c>
      <c r="AC1" s="46" t="s">
        <v>483</v>
      </c>
      <c r="AD1" s="47" t="s">
        <v>484</v>
      </c>
      <c r="AE1" s="46" t="s">
        <v>485</v>
      </c>
      <c r="AF1" s="47" t="s">
        <v>486</v>
      </c>
      <c r="AG1" s="46" t="s">
        <v>487</v>
      </c>
      <c r="AH1" s="47" t="s">
        <v>488</v>
      </c>
      <c r="AI1" s="46" t="s">
        <v>489</v>
      </c>
      <c r="AJ1" s="47" t="s">
        <v>490</v>
      </c>
      <c r="AK1" s="46" t="s">
        <v>491</v>
      </c>
      <c r="AL1" s="47" t="s">
        <v>492</v>
      </c>
      <c r="AM1" s="46" t="s">
        <v>493</v>
      </c>
      <c r="AN1" s="47" t="s">
        <v>494</v>
      </c>
      <c r="AO1" s="46" t="s">
        <v>495</v>
      </c>
      <c r="AP1" s="47" t="s">
        <v>496</v>
      </c>
      <c r="AQ1" s="46" t="s">
        <v>497</v>
      </c>
      <c r="AR1" s="47" t="s">
        <v>498</v>
      </c>
      <c r="AS1" s="46" t="s">
        <v>499</v>
      </c>
      <c r="AT1" s="48" t="s">
        <v>500</v>
      </c>
      <c r="AU1" s="49" t="s">
        <v>501</v>
      </c>
      <c r="AV1" s="50" t="s">
        <v>502</v>
      </c>
      <c r="AW1" s="49" t="s">
        <v>503</v>
      </c>
      <c r="AX1" s="43" t="s">
        <v>504</v>
      </c>
    </row>
    <row r="2" spans="1:50">
      <c r="A2" s="51" t="s">
        <v>505</v>
      </c>
      <c r="B2" s="51" t="s">
        <v>506</v>
      </c>
      <c r="C2" s="51" t="s">
        <v>507</v>
      </c>
      <c r="D2" s="52">
        <v>2008</v>
      </c>
      <c r="E2" s="53">
        <v>20008</v>
      </c>
      <c r="F2" s="51" t="s">
        <v>508</v>
      </c>
      <c r="G2" s="51" t="s">
        <v>509</v>
      </c>
      <c r="H2" s="54">
        <v>18351295</v>
      </c>
      <c r="I2" s="55">
        <v>10427</v>
      </c>
      <c r="J2" s="51" t="s">
        <v>510</v>
      </c>
      <c r="K2" s="51" t="s">
        <v>511</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512</v>
      </c>
    </row>
    <row r="3" spans="1:50">
      <c r="A3" s="51" t="s">
        <v>513</v>
      </c>
      <c r="B3" s="51" t="s">
        <v>514</v>
      </c>
      <c r="C3" s="51" t="s">
        <v>515</v>
      </c>
      <c r="D3" s="52">
        <v>2080</v>
      </c>
      <c r="E3" s="53">
        <v>20080</v>
      </c>
      <c r="F3" s="51" t="s">
        <v>516</v>
      </c>
      <c r="G3" s="51" t="s">
        <v>509</v>
      </c>
      <c r="H3" s="54">
        <v>18351295</v>
      </c>
      <c r="I3" s="55">
        <v>3646</v>
      </c>
      <c r="J3" s="51" t="s">
        <v>517</v>
      </c>
      <c r="K3" s="51" t="s">
        <v>518</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512</v>
      </c>
    </row>
    <row r="4" spans="1:50">
      <c r="A4" s="51" t="s">
        <v>513</v>
      </c>
      <c r="B4" s="51" t="s">
        <v>514</v>
      </c>
      <c r="C4" s="51" t="s">
        <v>515</v>
      </c>
      <c r="D4" s="52">
        <v>2080</v>
      </c>
      <c r="E4" s="53">
        <v>20080</v>
      </c>
      <c r="F4" s="51" t="s">
        <v>516</v>
      </c>
      <c r="G4" s="51" t="s">
        <v>509</v>
      </c>
      <c r="H4" s="54">
        <v>18351295</v>
      </c>
      <c r="I4" s="55">
        <v>3646</v>
      </c>
      <c r="J4" s="51" t="s">
        <v>517</v>
      </c>
      <c r="K4" s="51" t="s">
        <v>511</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512</v>
      </c>
    </row>
    <row r="5" spans="1:50">
      <c r="A5" s="51" t="s">
        <v>513</v>
      </c>
      <c r="B5" s="51" t="s">
        <v>514</v>
      </c>
      <c r="C5" s="51" t="s">
        <v>515</v>
      </c>
      <c r="D5" s="52">
        <v>2080</v>
      </c>
      <c r="E5" s="53">
        <v>20080</v>
      </c>
      <c r="F5" s="51" t="s">
        <v>516</v>
      </c>
      <c r="G5" s="51" t="s">
        <v>509</v>
      </c>
      <c r="H5" s="54">
        <v>18351295</v>
      </c>
      <c r="I5" s="55">
        <v>3646</v>
      </c>
      <c r="J5" s="51" t="s">
        <v>519</v>
      </c>
      <c r="K5" s="51" t="s">
        <v>511</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512</v>
      </c>
    </row>
    <row r="6" spans="1:50">
      <c r="A6" s="51" t="s">
        <v>520</v>
      </c>
      <c r="B6" s="51" t="s">
        <v>521</v>
      </c>
      <c r="C6" s="51" t="s">
        <v>522</v>
      </c>
      <c r="D6" s="52">
        <v>9154</v>
      </c>
      <c r="E6" s="53">
        <v>90154</v>
      </c>
      <c r="F6" s="51" t="s">
        <v>523</v>
      </c>
      <c r="G6" s="51" t="s">
        <v>509</v>
      </c>
      <c r="H6" s="54">
        <v>12150996</v>
      </c>
      <c r="I6" s="55">
        <v>3482</v>
      </c>
      <c r="J6" s="51" t="s">
        <v>517</v>
      </c>
      <c r="K6" s="51" t="s">
        <v>511</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512</v>
      </c>
    </row>
    <row r="7" spans="1:50">
      <c r="A7" s="51" t="s">
        <v>520</v>
      </c>
      <c r="B7" s="51" t="s">
        <v>521</v>
      </c>
      <c r="C7" s="51" t="s">
        <v>522</v>
      </c>
      <c r="D7" s="52">
        <v>9154</v>
      </c>
      <c r="E7" s="53">
        <v>90154</v>
      </c>
      <c r="F7" s="51" t="s">
        <v>523</v>
      </c>
      <c r="G7" s="51" t="s">
        <v>509</v>
      </c>
      <c r="H7" s="54">
        <v>12150996</v>
      </c>
      <c r="I7" s="55">
        <v>3482</v>
      </c>
      <c r="J7" s="51" t="s">
        <v>510</v>
      </c>
      <c r="K7" s="51" t="s">
        <v>511</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512</v>
      </c>
    </row>
    <row r="8" spans="1:50">
      <c r="A8" s="51" t="s">
        <v>524</v>
      </c>
      <c r="B8" s="51" t="s">
        <v>525</v>
      </c>
      <c r="C8" s="51" t="s">
        <v>526</v>
      </c>
      <c r="D8" s="52">
        <v>3030</v>
      </c>
      <c r="E8" s="53">
        <v>30030</v>
      </c>
      <c r="F8" s="51" t="s">
        <v>523</v>
      </c>
      <c r="G8" s="51" t="s">
        <v>509</v>
      </c>
      <c r="H8" s="54">
        <v>4586770</v>
      </c>
      <c r="I8" s="55">
        <v>3304</v>
      </c>
      <c r="J8" s="51" t="s">
        <v>510</v>
      </c>
      <c r="K8" s="51" t="s">
        <v>511</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512</v>
      </c>
    </row>
    <row r="9" spans="1:50">
      <c r="A9" s="51" t="s">
        <v>527</v>
      </c>
      <c r="B9" s="51" t="s">
        <v>528</v>
      </c>
      <c r="C9" s="51" t="s">
        <v>529</v>
      </c>
      <c r="D9" s="52">
        <v>5066</v>
      </c>
      <c r="E9" s="53">
        <v>50066</v>
      </c>
      <c r="F9" s="51" t="s">
        <v>523</v>
      </c>
      <c r="G9" s="51" t="s">
        <v>509</v>
      </c>
      <c r="H9" s="54">
        <v>8608208</v>
      </c>
      <c r="I9" s="55">
        <v>2703</v>
      </c>
      <c r="J9" s="51" t="s">
        <v>510</v>
      </c>
      <c r="K9" s="51" t="s">
        <v>511</v>
      </c>
      <c r="L9" s="56">
        <v>1148</v>
      </c>
      <c r="M9" s="51"/>
      <c r="N9" s="57">
        <v>158</v>
      </c>
      <c r="O9" s="55"/>
      <c r="P9" s="58">
        <v>18.0276</v>
      </c>
      <c r="Q9" s="55"/>
      <c r="R9" s="58">
        <v>6.3144</v>
      </c>
      <c r="S9" s="55" t="s">
        <v>530</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530</v>
      </c>
      <c r="AV9" s="61">
        <v>207.84</v>
      </c>
      <c r="AW9" s="51" t="s">
        <v>21</v>
      </c>
      <c r="AX9" s="51" t="s">
        <v>531</v>
      </c>
    </row>
    <row r="10" spans="1:50">
      <c r="A10" s="51" t="s">
        <v>532</v>
      </c>
      <c r="B10" s="51" t="s">
        <v>533</v>
      </c>
      <c r="C10" s="51" t="s">
        <v>534</v>
      </c>
      <c r="D10" s="52">
        <v>1003</v>
      </c>
      <c r="E10" s="53">
        <v>10003</v>
      </c>
      <c r="F10" s="51" t="s">
        <v>523</v>
      </c>
      <c r="G10" s="51" t="s">
        <v>509</v>
      </c>
      <c r="H10" s="54">
        <v>4181019</v>
      </c>
      <c r="I10" s="55">
        <v>2428</v>
      </c>
      <c r="J10" s="51" t="s">
        <v>517</v>
      </c>
      <c r="K10" s="51" t="s">
        <v>511</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535</v>
      </c>
      <c r="AJ10" s="54">
        <v>2876932</v>
      </c>
      <c r="AK10" s="55"/>
      <c r="AL10" s="54">
        <v>2870560</v>
      </c>
      <c r="AM10" s="55"/>
      <c r="AN10" s="54">
        <v>321018</v>
      </c>
      <c r="AO10" s="55"/>
      <c r="AP10" s="60">
        <v>315916</v>
      </c>
      <c r="AQ10" s="55"/>
      <c r="AR10" s="54">
        <v>41465243</v>
      </c>
      <c r="AS10" s="55"/>
      <c r="AT10" s="59">
        <v>97602251</v>
      </c>
      <c r="AU10" s="51"/>
      <c r="AV10" s="61">
        <v>51</v>
      </c>
      <c r="AW10" s="51" t="s">
        <v>21</v>
      </c>
      <c r="AX10" s="51" t="s">
        <v>531</v>
      </c>
    </row>
    <row r="11" spans="1:50">
      <c r="A11" s="51" t="s">
        <v>532</v>
      </c>
      <c r="B11" s="51" t="s">
        <v>533</v>
      </c>
      <c r="C11" s="51" t="s">
        <v>534</v>
      </c>
      <c r="D11" s="52">
        <v>1003</v>
      </c>
      <c r="E11" s="53">
        <v>10003</v>
      </c>
      <c r="F11" s="51" t="s">
        <v>523</v>
      </c>
      <c r="G11" s="51" t="s">
        <v>509</v>
      </c>
      <c r="H11" s="54">
        <v>4181019</v>
      </c>
      <c r="I11" s="55">
        <v>2428</v>
      </c>
      <c r="J11" s="51" t="s">
        <v>510</v>
      </c>
      <c r="K11" s="51" t="s">
        <v>511</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512</v>
      </c>
    </row>
    <row r="12" spans="1:50">
      <c r="A12" s="51" t="s">
        <v>532</v>
      </c>
      <c r="B12" s="51" t="s">
        <v>533</v>
      </c>
      <c r="C12" s="51" t="s">
        <v>534</v>
      </c>
      <c r="D12" s="52">
        <v>1003</v>
      </c>
      <c r="E12" s="53">
        <v>10003</v>
      </c>
      <c r="F12" s="51" t="s">
        <v>523</v>
      </c>
      <c r="G12" s="51" t="s">
        <v>509</v>
      </c>
      <c r="H12" s="54">
        <v>4181019</v>
      </c>
      <c r="I12" s="55">
        <v>2428</v>
      </c>
      <c r="J12" s="51" t="s">
        <v>519</v>
      </c>
      <c r="K12" s="51" t="s">
        <v>518</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512</v>
      </c>
    </row>
    <row r="13" spans="1:50">
      <c r="A13" s="51" t="s">
        <v>536</v>
      </c>
      <c r="B13" s="51" t="s">
        <v>537</v>
      </c>
      <c r="C13" s="51" t="s">
        <v>538</v>
      </c>
      <c r="D13" s="52">
        <v>3019</v>
      </c>
      <c r="E13" s="53">
        <v>30019</v>
      </c>
      <c r="F13" s="51" t="s">
        <v>523</v>
      </c>
      <c r="G13" s="51" t="s">
        <v>509</v>
      </c>
      <c r="H13" s="54">
        <v>5441567</v>
      </c>
      <c r="I13" s="55">
        <v>2406</v>
      </c>
      <c r="J13" s="51" t="s">
        <v>510</v>
      </c>
      <c r="K13" s="51" t="s">
        <v>511</v>
      </c>
      <c r="L13" s="56">
        <v>286</v>
      </c>
      <c r="M13" s="51"/>
      <c r="N13" s="57">
        <v>61</v>
      </c>
      <c r="O13" s="55"/>
      <c r="P13" s="58">
        <v>17.097100000000001</v>
      </c>
      <c r="Q13" s="55"/>
      <c r="R13" s="58">
        <v>4.4253999999999998</v>
      </c>
      <c r="S13" s="55" t="s">
        <v>530</v>
      </c>
      <c r="T13" s="58">
        <v>75.514099999999999</v>
      </c>
      <c r="U13" s="55" t="s">
        <v>530</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530</v>
      </c>
      <c r="AT13" s="59">
        <v>314489396</v>
      </c>
      <c r="AU13" s="51" t="s">
        <v>530</v>
      </c>
      <c r="AV13" s="61">
        <v>74.900000000000006</v>
      </c>
      <c r="AW13" s="51" t="s">
        <v>21</v>
      </c>
      <c r="AX13" s="51" t="s">
        <v>531</v>
      </c>
    </row>
    <row r="14" spans="1:50">
      <c r="A14" s="51" t="s">
        <v>536</v>
      </c>
      <c r="B14" s="51" t="s">
        <v>537</v>
      </c>
      <c r="C14" s="51" t="s">
        <v>538</v>
      </c>
      <c r="D14" s="52">
        <v>3019</v>
      </c>
      <c r="E14" s="53">
        <v>30019</v>
      </c>
      <c r="F14" s="51" t="s">
        <v>523</v>
      </c>
      <c r="G14" s="51" t="s">
        <v>509</v>
      </c>
      <c r="H14" s="54">
        <v>5441567</v>
      </c>
      <c r="I14" s="55">
        <v>2406</v>
      </c>
      <c r="J14" s="51" t="s">
        <v>519</v>
      </c>
      <c r="K14" s="51" t="s">
        <v>511</v>
      </c>
      <c r="L14" s="56">
        <v>357</v>
      </c>
      <c r="M14" s="51"/>
      <c r="N14" s="57">
        <v>84</v>
      </c>
      <c r="O14" s="55"/>
      <c r="P14" s="58">
        <v>19.690899999999999</v>
      </c>
      <c r="Q14" s="55"/>
      <c r="R14" s="58">
        <v>13.449400000000001</v>
      </c>
      <c r="S14" s="55" t="s">
        <v>530</v>
      </c>
      <c r="T14" s="58">
        <v>29.793900000000001</v>
      </c>
      <c r="U14" s="55" t="s">
        <v>530</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530</v>
      </c>
      <c r="AT14" s="59">
        <v>338253606</v>
      </c>
      <c r="AU14" s="51" t="s">
        <v>530</v>
      </c>
      <c r="AV14" s="61">
        <v>446.94</v>
      </c>
      <c r="AW14" s="51" t="s">
        <v>21</v>
      </c>
      <c r="AX14" s="51" t="s">
        <v>531</v>
      </c>
    </row>
    <row r="15" spans="1:50">
      <c r="A15" s="51" t="s">
        <v>539</v>
      </c>
      <c r="B15" s="51" t="s">
        <v>540</v>
      </c>
      <c r="C15" s="51" t="s">
        <v>541</v>
      </c>
      <c r="D15" s="52">
        <v>6008</v>
      </c>
      <c r="E15" s="53">
        <v>60008</v>
      </c>
      <c r="F15" s="51" t="s">
        <v>523</v>
      </c>
      <c r="G15" s="51" t="s">
        <v>509</v>
      </c>
      <c r="H15" s="54">
        <v>4944332</v>
      </c>
      <c r="I15" s="55">
        <v>2157</v>
      </c>
      <c r="J15" s="51" t="s">
        <v>517</v>
      </c>
      <c r="K15" s="51" t="s">
        <v>511</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512</v>
      </c>
    </row>
    <row r="16" spans="1:50">
      <c r="A16" s="51" t="s">
        <v>542</v>
      </c>
      <c r="B16" s="51" t="s">
        <v>543</v>
      </c>
      <c r="C16" s="51" t="s">
        <v>544</v>
      </c>
      <c r="D16" s="52">
        <v>3034</v>
      </c>
      <c r="E16" s="53">
        <v>30034</v>
      </c>
      <c r="F16" s="51" t="s">
        <v>545</v>
      </c>
      <c r="G16" s="51" t="s">
        <v>509</v>
      </c>
      <c r="H16" s="54">
        <v>2203663</v>
      </c>
      <c r="I16" s="55">
        <v>1888</v>
      </c>
      <c r="J16" s="51" t="s">
        <v>517</v>
      </c>
      <c r="K16" s="51" t="s">
        <v>511</v>
      </c>
      <c r="L16" s="56">
        <v>38</v>
      </c>
      <c r="M16" s="51"/>
      <c r="N16" s="57">
        <v>18</v>
      </c>
      <c r="O16" s="55"/>
      <c r="P16" s="58">
        <v>19.6769</v>
      </c>
      <c r="Q16" s="55"/>
      <c r="R16" s="58">
        <v>5.7127999999999997</v>
      </c>
      <c r="S16" s="55" t="s">
        <v>530</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530</v>
      </c>
      <c r="AV16" s="61">
        <v>57.6</v>
      </c>
      <c r="AW16" s="51" t="s">
        <v>21</v>
      </c>
      <c r="AX16" s="51" t="s">
        <v>531</v>
      </c>
    </row>
    <row r="17" spans="1:50">
      <c r="A17" s="51" t="s">
        <v>542</v>
      </c>
      <c r="B17" s="51" t="s">
        <v>543</v>
      </c>
      <c r="C17" s="51" t="s">
        <v>544</v>
      </c>
      <c r="D17" s="52">
        <v>3034</v>
      </c>
      <c r="E17" s="53">
        <v>30034</v>
      </c>
      <c r="F17" s="51" t="s">
        <v>545</v>
      </c>
      <c r="G17" s="51" t="s">
        <v>509</v>
      </c>
      <c r="H17" s="54">
        <v>2203663</v>
      </c>
      <c r="I17" s="55">
        <v>1888</v>
      </c>
      <c r="J17" s="51" t="s">
        <v>510</v>
      </c>
      <c r="K17" s="51" t="s">
        <v>511</v>
      </c>
      <c r="L17" s="56">
        <v>54</v>
      </c>
      <c r="M17" s="51"/>
      <c r="N17" s="57">
        <v>9</v>
      </c>
      <c r="O17" s="55"/>
      <c r="P17" s="58">
        <v>26.092600000000001</v>
      </c>
      <c r="Q17" s="55"/>
      <c r="R17" s="58">
        <v>4.7674000000000003</v>
      </c>
      <c r="S17" s="55" t="s">
        <v>530</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530</v>
      </c>
      <c r="AV17" s="61">
        <v>29.4</v>
      </c>
      <c r="AW17" s="51" t="s">
        <v>21</v>
      </c>
      <c r="AX17" s="51" t="s">
        <v>531</v>
      </c>
    </row>
    <row r="18" spans="1:50">
      <c r="A18" s="51" t="s">
        <v>542</v>
      </c>
      <c r="B18" s="51" t="s">
        <v>543</v>
      </c>
      <c r="C18" s="51" t="s">
        <v>544</v>
      </c>
      <c r="D18" s="52">
        <v>3034</v>
      </c>
      <c r="E18" s="53">
        <v>30034</v>
      </c>
      <c r="F18" s="51" t="s">
        <v>545</v>
      </c>
      <c r="G18" s="51" t="s">
        <v>509</v>
      </c>
      <c r="H18" s="54">
        <v>2203663</v>
      </c>
      <c r="I18" s="55">
        <v>1888</v>
      </c>
      <c r="J18" s="51" t="s">
        <v>519</v>
      </c>
      <c r="K18" s="51" t="s">
        <v>518</v>
      </c>
      <c r="L18" s="56">
        <v>149</v>
      </c>
      <c r="M18" s="51"/>
      <c r="N18" s="57">
        <v>28</v>
      </c>
      <c r="O18" s="55"/>
      <c r="P18" s="58">
        <v>38.328299999999999</v>
      </c>
      <c r="Q18" s="55"/>
      <c r="R18" s="58">
        <v>29.584599999999998</v>
      </c>
      <c r="S18" s="55" t="s">
        <v>530</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530</v>
      </c>
      <c r="AV18" s="61">
        <v>400.4</v>
      </c>
      <c r="AW18" s="51" t="s">
        <v>21</v>
      </c>
      <c r="AX18" s="51" t="s">
        <v>531</v>
      </c>
    </row>
    <row r="19" spans="1:50">
      <c r="A19" s="51" t="s">
        <v>546</v>
      </c>
      <c r="B19" s="51" t="s">
        <v>547</v>
      </c>
      <c r="C19" s="51" t="s">
        <v>548</v>
      </c>
      <c r="D19" s="52">
        <v>4034</v>
      </c>
      <c r="E19" s="53">
        <v>40034</v>
      </c>
      <c r="F19" s="51" t="s">
        <v>549</v>
      </c>
      <c r="G19" s="51" t="s">
        <v>509</v>
      </c>
      <c r="H19" s="54">
        <v>5502379</v>
      </c>
      <c r="I19" s="55">
        <v>1452</v>
      </c>
      <c r="J19" s="51" t="s">
        <v>510</v>
      </c>
      <c r="K19" s="51" t="s">
        <v>511</v>
      </c>
      <c r="L19" s="56">
        <v>76</v>
      </c>
      <c r="M19" s="51"/>
      <c r="N19" s="57">
        <v>18</v>
      </c>
      <c r="O19" s="55"/>
      <c r="P19" s="58">
        <v>21.7622</v>
      </c>
      <c r="Q19" s="55"/>
      <c r="R19" s="58">
        <v>7.3830999999999998</v>
      </c>
      <c r="S19" s="55" t="s">
        <v>530</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530</v>
      </c>
      <c r="AV19" s="61">
        <v>49.84</v>
      </c>
      <c r="AW19" s="51" t="s">
        <v>21</v>
      </c>
      <c r="AX19" s="51" t="s">
        <v>531</v>
      </c>
    </row>
    <row r="20" spans="1:50">
      <c r="A20" s="51" t="s">
        <v>550</v>
      </c>
      <c r="B20" s="51" t="s">
        <v>551</v>
      </c>
      <c r="C20" s="51" t="s">
        <v>552</v>
      </c>
      <c r="D20" s="52">
        <v>8006</v>
      </c>
      <c r="E20" s="53">
        <v>80006</v>
      </c>
      <c r="F20" s="51" t="s">
        <v>523</v>
      </c>
      <c r="G20" s="51" t="s">
        <v>509</v>
      </c>
      <c r="H20" s="54">
        <v>2374203</v>
      </c>
      <c r="I20" s="55">
        <v>1431</v>
      </c>
      <c r="J20" s="51" t="s">
        <v>517</v>
      </c>
      <c r="K20" s="51" t="s">
        <v>511</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512</v>
      </c>
    </row>
    <row r="21" spans="1:50">
      <c r="A21" s="51" t="s">
        <v>550</v>
      </c>
      <c r="B21" s="51" t="s">
        <v>551</v>
      </c>
      <c r="C21" s="51" t="s">
        <v>552</v>
      </c>
      <c r="D21" s="52">
        <v>8006</v>
      </c>
      <c r="E21" s="53">
        <v>80006</v>
      </c>
      <c r="F21" s="51" t="s">
        <v>523</v>
      </c>
      <c r="G21" s="51" t="s">
        <v>509</v>
      </c>
      <c r="H21" s="54">
        <v>2374203</v>
      </c>
      <c r="I21" s="55">
        <v>1431</v>
      </c>
      <c r="J21" s="51" t="s">
        <v>519</v>
      </c>
      <c r="K21" s="51" t="s">
        <v>518</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512</v>
      </c>
    </row>
    <row r="22" spans="1:50">
      <c r="A22" s="51" t="s">
        <v>550</v>
      </c>
      <c r="B22" s="51" t="s">
        <v>551</v>
      </c>
      <c r="C22" s="51" t="s">
        <v>552</v>
      </c>
      <c r="D22" s="52">
        <v>8006</v>
      </c>
      <c r="E22" s="53">
        <v>80006</v>
      </c>
      <c r="F22" s="51" t="s">
        <v>523</v>
      </c>
      <c r="G22" s="51" t="s">
        <v>509</v>
      </c>
      <c r="H22" s="54">
        <v>2374203</v>
      </c>
      <c r="I22" s="55">
        <v>1431</v>
      </c>
      <c r="J22" s="51" t="s">
        <v>519</v>
      </c>
      <c r="K22" s="51" t="s">
        <v>511</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512</v>
      </c>
    </row>
    <row r="23" spans="1:50">
      <c r="A23" s="51" t="s">
        <v>553</v>
      </c>
      <c r="B23" s="51" t="s">
        <v>554</v>
      </c>
      <c r="C23" s="51" t="s">
        <v>507</v>
      </c>
      <c r="D23" s="52">
        <v>2078</v>
      </c>
      <c r="E23" s="53">
        <v>20078</v>
      </c>
      <c r="F23" s="51" t="s">
        <v>508</v>
      </c>
      <c r="G23" s="51" t="s">
        <v>509</v>
      </c>
      <c r="H23" s="54">
        <v>18351295</v>
      </c>
      <c r="I23" s="55">
        <v>1133</v>
      </c>
      <c r="J23" s="51" t="s">
        <v>519</v>
      </c>
      <c r="K23" s="51" t="s">
        <v>511</v>
      </c>
      <c r="L23" s="56">
        <v>1122</v>
      </c>
      <c r="M23" s="51"/>
      <c r="N23" s="57">
        <v>135</v>
      </c>
      <c r="O23" s="55"/>
      <c r="P23" s="58">
        <v>31.299700000000001</v>
      </c>
      <c r="Q23" s="55"/>
      <c r="R23" s="58">
        <v>22.852399999999999</v>
      </c>
      <c r="S23" s="55" t="s">
        <v>530</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530</v>
      </c>
      <c r="AV23" s="61">
        <v>545.74</v>
      </c>
      <c r="AW23" s="51" t="s">
        <v>21</v>
      </c>
      <c r="AX23" s="51" t="s">
        <v>531</v>
      </c>
    </row>
    <row r="24" spans="1:50">
      <c r="A24" s="51" t="s">
        <v>555</v>
      </c>
      <c r="B24" s="51" t="s">
        <v>556</v>
      </c>
      <c r="C24" s="51" t="s">
        <v>541</v>
      </c>
      <c r="D24" s="52">
        <v>6056</v>
      </c>
      <c r="E24" s="53">
        <v>60056</v>
      </c>
      <c r="F24" s="51" t="s">
        <v>523</v>
      </c>
      <c r="G24" s="51" t="s">
        <v>509</v>
      </c>
      <c r="H24" s="54">
        <v>5121892</v>
      </c>
      <c r="I24" s="55">
        <v>1082</v>
      </c>
      <c r="J24" s="51" t="s">
        <v>517</v>
      </c>
      <c r="K24" s="51" t="s">
        <v>511</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512</v>
      </c>
    </row>
    <row r="25" spans="1:50">
      <c r="A25" s="51" t="s">
        <v>555</v>
      </c>
      <c r="B25" s="51" t="s">
        <v>556</v>
      </c>
      <c r="C25" s="51" t="s">
        <v>541</v>
      </c>
      <c r="D25" s="52">
        <v>6056</v>
      </c>
      <c r="E25" s="53">
        <v>60056</v>
      </c>
      <c r="F25" s="51" t="s">
        <v>523</v>
      </c>
      <c r="G25" s="51" t="s">
        <v>509</v>
      </c>
      <c r="H25" s="54">
        <v>5121892</v>
      </c>
      <c r="I25" s="55">
        <v>1082</v>
      </c>
      <c r="J25" s="51" t="s">
        <v>519</v>
      </c>
      <c r="K25" s="51" t="s">
        <v>518</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512</v>
      </c>
    </row>
    <row r="26" spans="1:50">
      <c r="A26" s="51" t="s">
        <v>557</v>
      </c>
      <c r="B26" s="51" t="s">
        <v>558</v>
      </c>
      <c r="C26" s="51" t="s">
        <v>559</v>
      </c>
      <c r="D26" s="52">
        <v>8001</v>
      </c>
      <c r="E26" s="53">
        <v>80001</v>
      </c>
      <c r="F26" s="51" t="s">
        <v>523</v>
      </c>
      <c r="G26" s="51" t="s">
        <v>509</v>
      </c>
      <c r="H26" s="54">
        <v>1021243</v>
      </c>
      <c r="I26" s="55">
        <v>1081</v>
      </c>
      <c r="J26" s="51" t="s">
        <v>517</v>
      </c>
      <c r="K26" s="51" t="s">
        <v>511</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512</v>
      </c>
    </row>
    <row r="27" spans="1:50">
      <c r="A27" s="51" t="s">
        <v>557</v>
      </c>
      <c r="B27" s="51" t="s">
        <v>558</v>
      </c>
      <c r="C27" s="51" t="s">
        <v>559</v>
      </c>
      <c r="D27" s="52">
        <v>8001</v>
      </c>
      <c r="E27" s="53">
        <v>80001</v>
      </c>
      <c r="F27" s="51" t="s">
        <v>523</v>
      </c>
      <c r="G27" s="51" t="s">
        <v>509</v>
      </c>
      <c r="H27" s="54">
        <v>1021243</v>
      </c>
      <c r="I27" s="55">
        <v>1081</v>
      </c>
      <c r="J27" s="51" t="s">
        <v>519</v>
      </c>
      <c r="K27" s="51" t="s">
        <v>511</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512</v>
      </c>
    </row>
    <row r="28" spans="1:50">
      <c r="A28" s="51" t="s">
        <v>560</v>
      </c>
      <c r="B28" s="51" t="s">
        <v>528</v>
      </c>
      <c r="C28" s="51" t="s">
        <v>529</v>
      </c>
      <c r="D28" s="52">
        <v>5118</v>
      </c>
      <c r="E28" s="53">
        <v>50118</v>
      </c>
      <c r="F28" s="51" t="s">
        <v>523</v>
      </c>
      <c r="G28" s="51" t="s">
        <v>509</v>
      </c>
      <c r="H28" s="54">
        <v>8608208</v>
      </c>
      <c r="I28" s="55">
        <v>1066</v>
      </c>
      <c r="J28" s="51" t="s">
        <v>519</v>
      </c>
      <c r="K28" s="51" t="s">
        <v>518</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512</v>
      </c>
    </row>
    <row r="29" spans="1:50">
      <c r="A29" s="51" t="s">
        <v>560</v>
      </c>
      <c r="B29" s="51" t="s">
        <v>528</v>
      </c>
      <c r="C29" s="51" t="s">
        <v>529</v>
      </c>
      <c r="D29" s="52">
        <v>5118</v>
      </c>
      <c r="E29" s="53">
        <v>50118</v>
      </c>
      <c r="F29" s="51" t="s">
        <v>523</v>
      </c>
      <c r="G29" s="51" t="s">
        <v>509</v>
      </c>
      <c r="H29" s="54">
        <v>8608208</v>
      </c>
      <c r="I29" s="55">
        <v>1066</v>
      </c>
      <c r="J29" s="51" t="s">
        <v>519</v>
      </c>
      <c r="K29" s="51" t="s">
        <v>511</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512</v>
      </c>
    </row>
    <row r="30" spans="1:50">
      <c r="A30" s="51" t="s">
        <v>561</v>
      </c>
      <c r="B30" s="51" t="s">
        <v>562</v>
      </c>
      <c r="C30" s="51" t="s">
        <v>507</v>
      </c>
      <c r="D30" s="52">
        <v>2100</v>
      </c>
      <c r="E30" s="53">
        <v>20100</v>
      </c>
      <c r="F30" s="51" t="s">
        <v>508</v>
      </c>
      <c r="G30" s="51" t="s">
        <v>509</v>
      </c>
      <c r="H30" s="54">
        <v>18351295</v>
      </c>
      <c r="I30" s="55">
        <v>1022</v>
      </c>
      <c r="J30" s="51" t="s">
        <v>519</v>
      </c>
      <c r="K30" s="51" t="s">
        <v>511</v>
      </c>
      <c r="L30" s="56">
        <v>1022</v>
      </c>
      <c r="M30" s="51"/>
      <c r="N30" s="57">
        <v>107</v>
      </c>
      <c r="O30" s="55"/>
      <c r="P30" s="58">
        <v>29.212299999999999</v>
      </c>
      <c r="Q30" s="55"/>
      <c r="R30" s="58">
        <v>28.269200000000001</v>
      </c>
      <c r="S30" s="55" t="s">
        <v>530</v>
      </c>
      <c r="T30" s="58">
        <v>20.565999999999999</v>
      </c>
      <c r="U30" s="55" t="s">
        <v>530</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530</v>
      </c>
      <c r="AT30" s="59">
        <v>1229284540</v>
      </c>
      <c r="AU30" s="51" t="s">
        <v>530</v>
      </c>
      <c r="AV30" s="61">
        <v>638.20000000000005</v>
      </c>
      <c r="AW30" s="51" t="s">
        <v>21</v>
      </c>
      <c r="AX30" s="51" t="s">
        <v>531</v>
      </c>
    </row>
    <row r="31" spans="1:50">
      <c r="A31" s="51" t="s">
        <v>563</v>
      </c>
      <c r="B31" s="51" t="s">
        <v>564</v>
      </c>
      <c r="C31" s="51" t="s">
        <v>522</v>
      </c>
      <c r="D31" s="52">
        <v>9015</v>
      </c>
      <c r="E31" s="53">
        <v>90015</v>
      </c>
      <c r="F31" s="51" t="s">
        <v>549</v>
      </c>
      <c r="G31" s="51" t="s">
        <v>509</v>
      </c>
      <c r="H31" s="54">
        <v>3281212</v>
      </c>
      <c r="I31" s="55">
        <v>996</v>
      </c>
      <c r="J31" s="51" t="s">
        <v>517</v>
      </c>
      <c r="K31" s="51" t="s">
        <v>511</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512</v>
      </c>
    </row>
    <row r="32" spans="1:50">
      <c r="A32" s="51" t="s">
        <v>565</v>
      </c>
      <c r="B32" s="51" t="s">
        <v>566</v>
      </c>
      <c r="C32" s="51" t="s">
        <v>567</v>
      </c>
      <c r="D32" s="52">
        <v>8</v>
      </c>
      <c r="E32" s="53">
        <v>8</v>
      </c>
      <c r="F32" s="51" t="s">
        <v>523</v>
      </c>
      <c r="G32" s="51" t="s">
        <v>509</v>
      </c>
      <c r="H32" s="54">
        <v>1849898</v>
      </c>
      <c r="I32" s="55">
        <v>982</v>
      </c>
      <c r="J32" s="51" t="s">
        <v>517</v>
      </c>
      <c r="K32" s="51" t="s">
        <v>511</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512</v>
      </c>
    </row>
    <row r="33" spans="1:50">
      <c r="A33" s="51" t="s">
        <v>568</v>
      </c>
      <c r="B33" s="51" t="s">
        <v>569</v>
      </c>
      <c r="C33" s="51" t="s">
        <v>570</v>
      </c>
      <c r="D33" s="52">
        <v>4022</v>
      </c>
      <c r="E33" s="53">
        <v>40022</v>
      </c>
      <c r="F33" s="51" t="s">
        <v>523</v>
      </c>
      <c r="G33" s="51" t="s">
        <v>509</v>
      </c>
      <c r="H33" s="54">
        <v>4515419</v>
      </c>
      <c r="I33" s="55">
        <v>943</v>
      </c>
      <c r="J33" s="51" t="s">
        <v>510</v>
      </c>
      <c r="K33" s="51" t="s">
        <v>511</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512</v>
      </c>
    </row>
    <row r="34" spans="1:50">
      <c r="A34" s="51" t="s">
        <v>571</v>
      </c>
      <c r="B34" s="51" t="s">
        <v>572</v>
      </c>
      <c r="C34" s="51" t="s">
        <v>538</v>
      </c>
      <c r="D34" s="52">
        <v>3022</v>
      </c>
      <c r="E34" s="53">
        <v>30022</v>
      </c>
      <c r="F34" s="51" t="s">
        <v>523</v>
      </c>
      <c r="G34" s="51" t="s">
        <v>509</v>
      </c>
      <c r="H34" s="54">
        <v>1733853</v>
      </c>
      <c r="I34" s="55">
        <v>930</v>
      </c>
      <c r="J34" s="51" t="s">
        <v>517</v>
      </c>
      <c r="K34" s="51" t="s">
        <v>511</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512</v>
      </c>
    </row>
    <row r="35" spans="1:50">
      <c r="A35" s="51" t="s">
        <v>573</v>
      </c>
      <c r="B35" s="51" t="s">
        <v>574</v>
      </c>
      <c r="C35" s="51" t="s">
        <v>522</v>
      </c>
      <c r="D35" s="52">
        <v>9026</v>
      </c>
      <c r="E35" s="53">
        <v>90026</v>
      </c>
      <c r="F35" s="51" t="s">
        <v>523</v>
      </c>
      <c r="G35" s="51" t="s">
        <v>509</v>
      </c>
      <c r="H35" s="54">
        <v>2956746</v>
      </c>
      <c r="I35" s="55">
        <v>906</v>
      </c>
      <c r="J35" s="51" t="s">
        <v>517</v>
      </c>
      <c r="K35" s="51" t="s">
        <v>511</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512</v>
      </c>
    </row>
    <row r="36" spans="1:50">
      <c r="A36" s="51" t="s">
        <v>575</v>
      </c>
      <c r="B36" s="51" t="s">
        <v>576</v>
      </c>
      <c r="C36" s="51" t="s">
        <v>577</v>
      </c>
      <c r="D36" s="52">
        <v>5027</v>
      </c>
      <c r="E36" s="53">
        <v>50027</v>
      </c>
      <c r="F36" s="51" t="s">
        <v>508</v>
      </c>
      <c r="G36" s="51" t="s">
        <v>509</v>
      </c>
      <c r="H36" s="54">
        <v>2650890</v>
      </c>
      <c r="I36" s="55">
        <v>823</v>
      </c>
      <c r="J36" s="51" t="s">
        <v>517</v>
      </c>
      <c r="K36" s="51" t="s">
        <v>511</v>
      </c>
      <c r="L36" s="56">
        <v>76</v>
      </c>
      <c r="M36" s="51"/>
      <c r="N36" s="57">
        <v>23</v>
      </c>
      <c r="O36" s="55"/>
      <c r="P36" s="58">
        <v>11.985900000000001</v>
      </c>
      <c r="Q36" s="55"/>
      <c r="R36" s="58">
        <v>3.9723999999999999</v>
      </c>
      <c r="S36" s="55" t="s">
        <v>530</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530</v>
      </c>
      <c r="AV36" s="61">
        <v>44.26</v>
      </c>
      <c r="AW36" s="51" t="s">
        <v>21</v>
      </c>
      <c r="AX36" s="51" t="s">
        <v>531</v>
      </c>
    </row>
    <row r="37" spans="1:50">
      <c r="A37" s="51" t="s">
        <v>575</v>
      </c>
      <c r="B37" s="51" t="s">
        <v>576</v>
      </c>
      <c r="C37" s="51" t="s">
        <v>577</v>
      </c>
      <c r="D37" s="52">
        <v>5027</v>
      </c>
      <c r="E37" s="53">
        <v>50027</v>
      </c>
      <c r="F37" s="51" t="s">
        <v>508</v>
      </c>
      <c r="G37" s="51" t="s">
        <v>509</v>
      </c>
      <c r="H37" s="54">
        <v>2650890</v>
      </c>
      <c r="I37" s="55">
        <v>823</v>
      </c>
      <c r="J37" s="51" t="s">
        <v>519</v>
      </c>
      <c r="K37" s="51" t="s">
        <v>518</v>
      </c>
      <c r="L37" s="56">
        <v>20</v>
      </c>
      <c r="M37" s="51"/>
      <c r="N37" s="57">
        <v>4</v>
      </c>
      <c r="O37" s="55"/>
      <c r="P37" s="58">
        <v>43.768999999999998</v>
      </c>
      <c r="Q37" s="55"/>
      <c r="R37" s="58">
        <v>24.702500000000001</v>
      </c>
      <c r="S37" s="55" t="s">
        <v>530</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530</v>
      </c>
      <c r="AV37" s="61">
        <v>77.900000000000006</v>
      </c>
      <c r="AW37" s="51" t="s">
        <v>21</v>
      </c>
      <c r="AX37" s="51" t="s">
        <v>531</v>
      </c>
    </row>
    <row r="38" spans="1:50">
      <c r="A38" s="51" t="s">
        <v>578</v>
      </c>
      <c r="B38" s="51" t="s">
        <v>579</v>
      </c>
      <c r="C38" s="51" t="s">
        <v>522</v>
      </c>
      <c r="D38" s="52">
        <v>9013</v>
      </c>
      <c r="E38" s="53">
        <v>90013</v>
      </c>
      <c r="F38" s="51" t="s">
        <v>523</v>
      </c>
      <c r="G38" s="51" t="s">
        <v>509</v>
      </c>
      <c r="H38" s="54">
        <v>1664496</v>
      </c>
      <c r="I38" s="55">
        <v>635</v>
      </c>
      <c r="J38" s="51" t="s">
        <v>517</v>
      </c>
      <c r="K38" s="51" t="s">
        <v>511</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512</v>
      </c>
    </row>
    <row r="39" spans="1:50">
      <c r="A39" s="51" t="s">
        <v>580</v>
      </c>
      <c r="B39" s="51" t="s">
        <v>581</v>
      </c>
      <c r="C39" s="51" t="s">
        <v>522</v>
      </c>
      <c r="D39" s="52">
        <v>9003</v>
      </c>
      <c r="E39" s="53">
        <v>90003</v>
      </c>
      <c r="F39" s="51" t="s">
        <v>523</v>
      </c>
      <c r="G39" s="51" t="s">
        <v>509</v>
      </c>
      <c r="H39" s="54">
        <v>3281212</v>
      </c>
      <c r="I39" s="55">
        <v>616</v>
      </c>
      <c r="J39" s="51" t="s">
        <v>510</v>
      </c>
      <c r="K39" s="51" t="s">
        <v>511</v>
      </c>
      <c r="L39" s="56">
        <v>599</v>
      </c>
      <c r="M39" s="51"/>
      <c r="N39" s="57">
        <v>56</v>
      </c>
      <c r="O39" s="55"/>
      <c r="P39" s="58">
        <v>34.829900000000002</v>
      </c>
      <c r="Q39" s="55" t="s">
        <v>530</v>
      </c>
      <c r="R39" s="58">
        <v>13.962999999999999</v>
      </c>
      <c r="S39" s="55"/>
      <c r="T39" s="58">
        <v>44.260899999999999</v>
      </c>
      <c r="U39" s="55" t="s">
        <v>530</v>
      </c>
      <c r="V39" s="54">
        <v>69597595</v>
      </c>
      <c r="W39" s="55"/>
      <c r="X39" s="59">
        <v>72050709</v>
      </c>
      <c r="Y39" s="55"/>
      <c r="Z39" s="54">
        <v>69799195</v>
      </c>
      <c r="AA39" s="55"/>
      <c r="AB39" s="54">
        <v>2251514</v>
      </c>
      <c r="AC39" s="55"/>
      <c r="AD39" s="54">
        <v>2377255</v>
      </c>
      <c r="AE39" s="55"/>
      <c r="AF39" s="54">
        <v>2004002</v>
      </c>
      <c r="AG39" s="55" t="s">
        <v>530</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531</v>
      </c>
    </row>
    <row r="40" spans="1:50">
      <c r="A40" s="51" t="s">
        <v>582</v>
      </c>
      <c r="B40" s="51" t="s">
        <v>583</v>
      </c>
      <c r="C40" s="51" t="s">
        <v>584</v>
      </c>
      <c r="D40" s="52">
        <v>7006</v>
      </c>
      <c r="E40" s="53">
        <v>70006</v>
      </c>
      <c r="F40" s="51" t="s">
        <v>523</v>
      </c>
      <c r="G40" s="51" t="s">
        <v>509</v>
      </c>
      <c r="H40" s="54">
        <v>2150706</v>
      </c>
      <c r="I40" s="55">
        <v>493</v>
      </c>
      <c r="J40" s="51" t="s">
        <v>517</v>
      </c>
      <c r="K40" s="51" t="s">
        <v>511</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512</v>
      </c>
    </row>
    <row r="41" spans="1:50">
      <c r="A41" s="51" t="s">
        <v>585</v>
      </c>
      <c r="B41" s="51" t="s">
        <v>586</v>
      </c>
      <c r="C41" s="51" t="s">
        <v>587</v>
      </c>
      <c r="D41" s="52">
        <v>5015</v>
      </c>
      <c r="E41" s="53">
        <v>50015</v>
      </c>
      <c r="F41" s="51" t="s">
        <v>523</v>
      </c>
      <c r="G41" s="51" t="s">
        <v>509</v>
      </c>
      <c r="H41" s="54">
        <v>1780673</v>
      </c>
      <c r="I41" s="55">
        <v>418</v>
      </c>
      <c r="J41" s="51" t="s">
        <v>517</v>
      </c>
      <c r="K41" s="51" t="s">
        <v>511</v>
      </c>
      <c r="L41" s="56">
        <v>6</v>
      </c>
      <c r="M41" s="51"/>
      <c r="N41" s="57">
        <v>6</v>
      </c>
      <c r="O41" s="55"/>
      <c r="P41" s="58">
        <v>14.0802</v>
      </c>
      <c r="Q41" s="55"/>
      <c r="R41" s="58">
        <v>3.5057</v>
      </c>
      <c r="S41" s="55" t="s">
        <v>530</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530</v>
      </c>
      <c r="AV41" s="61">
        <v>30.38</v>
      </c>
      <c r="AW41" s="51" t="s">
        <v>21</v>
      </c>
      <c r="AX41" s="51" t="s">
        <v>531</v>
      </c>
    </row>
    <row r="42" spans="1:50">
      <c r="A42" s="51" t="s">
        <v>585</v>
      </c>
      <c r="B42" s="51" t="s">
        <v>586</v>
      </c>
      <c r="C42" s="51" t="s">
        <v>587</v>
      </c>
      <c r="D42" s="52">
        <v>5015</v>
      </c>
      <c r="E42" s="53">
        <v>50015</v>
      </c>
      <c r="F42" s="51" t="s">
        <v>523</v>
      </c>
      <c r="G42" s="51" t="s">
        <v>509</v>
      </c>
      <c r="H42" s="54">
        <v>1780673</v>
      </c>
      <c r="I42" s="55">
        <v>418</v>
      </c>
      <c r="J42" s="51" t="s">
        <v>510</v>
      </c>
      <c r="K42" s="51" t="s">
        <v>511</v>
      </c>
      <c r="L42" s="56">
        <v>16</v>
      </c>
      <c r="M42" s="51"/>
      <c r="N42" s="57">
        <v>8</v>
      </c>
      <c r="O42" s="55"/>
      <c r="P42" s="58">
        <v>19.014700000000001</v>
      </c>
      <c r="Q42" s="55"/>
      <c r="R42" s="58">
        <v>6.9599000000000002</v>
      </c>
      <c r="S42" s="55" t="s">
        <v>530</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530</v>
      </c>
      <c r="AV42" s="61">
        <v>38.08</v>
      </c>
      <c r="AW42" s="51" t="s">
        <v>21</v>
      </c>
      <c r="AX42" s="51" t="s">
        <v>531</v>
      </c>
    </row>
    <row r="43" spans="1:50">
      <c r="A43" s="51" t="s">
        <v>588</v>
      </c>
      <c r="B43" s="51" t="s">
        <v>589</v>
      </c>
      <c r="C43" s="51" t="s">
        <v>590</v>
      </c>
      <c r="D43" s="52">
        <v>3083</v>
      </c>
      <c r="E43" s="53">
        <v>30083</v>
      </c>
      <c r="F43" s="51" t="s">
        <v>523</v>
      </c>
      <c r="G43" s="51" t="s">
        <v>509</v>
      </c>
      <c r="H43" s="54">
        <v>1439666</v>
      </c>
      <c r="I43" s="55">
        <v>417</v>
      </c>
      <c r="J43" s="51" t="s">
        <v>517</v>
      </c>
      <c r="K43" s="51" t="s">
        <v>511</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512</v>
      </c>
    </row>
    <row r="44" spans="1:50">
      <c r="A44" s="51" t="s">
        <v>591</v>
      </c>
      <c r="B44" s="51" t="s">
        <v>592</v>
      </c>
      <c r="C44" s="51" t="s">
        <v>593</v>
      </c>
      <c r="D44" s="52">
        <v>4008</v>
      </c>
      <c r="E44" s="53">
        <v>40008</v>
      </c>
      <c r="F44" s="51" t="s">
        <v>549</v>
      </c>
      <c r="G44" s="51" t="s">
        <v>509</v>
      </c>
      <c r="H44" s="54">
        <v>1249442</v>
      </c>
      <c r="I44" s="55">
        <v>409</v>
      </c>
      <c r="J44" s="51" t="s">
        <v>517</v>
      </c>
      <c r="K44" s="51" t="s">
        <v>511</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512</v>
      </c>
    </row>
    <row r="45" spans="1:50">
      <c r="A45" s="51" t="s">
        <v>594</v>
      </c>
      <c r="B45" s="51" t="s">
        <v>595</v>
      </c>
      <c r="C45" s="51" t="s">
        <v>596</v>
      </c>
      <c r="D45" s="52">
        <v>40</v>
      </c>
      <c r="E45" s="53">
        <v>40</v>
      </c>
      <c r="F45" s="51" t="s">
        <v>523</v>
      </c>
      <c r="G45" s="51" t="s">
        <v>509</v>
      </c>
      <c r="H45" s="54">
        <v>3059393</v>
      </c>
      <c r="I45" s="55">
        <v>381</v>
      </c>
      <c r="J45" s="51" t="s">
        <v>517</v>
      </c>
      <c r="K45" s="51" t="s">
        <v>511</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512</v>
      </c>
    </row>
    <row r="46" spans="1:50">
      <c r="A46" s="51" t="s">
        <v>594</v>
      </c>
      <c r="B46" s="51" t="s">
        <v>595</v>
      </c>
      <c r="C46" s="51" t="s">
        <v>596</v>
      </c>
      <c r="D46" s="52">
        <v>40</v>
      </c>
      <c r="E46" s="53">
        <v>40</v>
      </c>
      <c r="F46" s="51" t="s">
        <v>523</v>
      </c>
      <c r="G46" s="51" t="s">
        <v>509</v>
      </c>
      <c r="H46" s="54">
        <v>3059393</v>
      </c>
      <c r="I46" s="55">
        <v>381</v>
      </c>
      <c r="J46" s="51" t="s">
        <v>519</v>
      </c>
      <c r="K46" s="51" t="s">
        <v>518</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512</v>
      </c>
    </row>
    <row r="47" spans="1:50">
      <c r="A47" s="51" t="s">
        <v>597</v>
      </c>
      <c r="B47" s="51" t="s">
        <v>598</v>
      </c>
      <c r="C47" s="51" t="s">
        <v>507</v>
      </c>
      <c r="D47" s="52">
        <v>2004</v>
      </c>
      <c r="E47" s="53">
        <v>20004</v>
      </c>
      <c r="F47" s="51" t="s">
        <v>523</v>
      </c>
      <c r="G47" s="51" t="s">
        <v>509</v>
      </c>
      <c r="H47" s="54">
        <v>935906</v>
      </c>
      <c r="I47" s="55">
        <v>359</v>
      </c>
      <c r="J47" s="51" t="s">
        <v>517</v>
      </c>
      <c r="K47" s="51" t="s">
        <v>511</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512</v>
      </c>
    </row>
    <row r="48" spans="1:50">
      <c r="A48" s="51" t="s">
        <v>599</v>
      </c>
      <c r="B48" s="51" t="s">
        <v>600</v>
      </c>
      <c r="C48" s="51" t="s">
        <v>522</v>
      </c>
      <c r="D48" s="52">
        <v>9019</v>
      </c>
      <c r="E48" s="53">
        <v>90019</v>
      </c>
      <c r="F48" s="51" t="s">
        <v>523</v>
      </c>
      <c r="G48" s="51" t="s">
        <v>509</v>
      </c>
      <c r="H48" s="54">
        <v>1723634</v>
      </c>
      <c r="I48" s="55">
        <v>331</v>
      </c>
      <c r="J48" s="51" t="s">
        <v>517</v>
      </c>
      <c r="K48" s="51" t="s">
        <v>511</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512</v>
      </c>
    </row>
    <row r="49" spans="1:50">
      <c r="A49" s="51" t="s">
        <v>601</v>
      </c>
      <c r="B49" s="51" t="s">
        <v>602</v>
      </c>
      <c r="C49" s="51" t="s">
        <v>541</v>
      </c>
      <c r="D49" s="52">
        <v>6007</v>
      </c>
      <c r="E49" s="53">
        <v>60007</v>
      </c>
      <c r="F49" s="51" t="s">
        <v>523</v>
      </c>
      <c r="G49" s="51" t="s">
        <v>509</v>
      </c>
      <c r="H49" s="54">
        <v>5121892</v>
      </c>
      <c r="I49" s="55">
        <v>312</v>
      </c>
      <c r="J49" s="51" t="s">
        <v>519</v>
      </c>
      <c r="K49" s="51" t="s">
        <v>518</v>
      </c>
      <c r="L49" s="56">
        <v>20</v>
      </c>
      <c r="M49" s="51"/>
      <c r="N49" s="57">
        <v>5</v>
      </c>
      <c r="O49" s="55"/>
      <c r="P49" s="58">
        <v>19.5091</v>
      </c>
      <c r="Q49" s="55"/>
      <c r="R49" s="58">
        <v>15.8208</v>
      </c>
      <c r="S49" s="55" t="s">
        <v>535</v>
      </c>
      <c r="T49" s="58">
        <v>2.8578999999999999</v>
      </c>
      <c r="U49" s="55" t="s">
        <v>535</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535</v>
      </c>
      <c r="AN49" s="54">
        <v>30128</v>
      </c>
      <c r="AO49" s="55"/>
      <c r="AP49" s="60">
        <v>29743</v>
      </c>
      <c r="AQ49" s="55" t="s">
        <v>535</v>
      </c>
      <c r="AR49" s="54">
        <v>340008</v>
      </c>
      <c r="AS49" s="55" t="s">
        <v>535</v>
      </c>
      <c r="AT49" s="59">
        <v>5379214</v>
      </c>
      <c r="AU49" s="51" t="s">
        <v>535</v>
      </c>
      <c r="AV49" s="61">
        <v>52.34</v>
      </c>
      <c r="AW49" s="51" t="s">
        <v>21</v>
      </c>
      <c r="AX49" s="51" t="s">
        <v>531</v>
      </c>
    </row>
    <row r="50" spans="1:50">
      <c r="A50" s="51" t="s">
        <v>603</v>
      </c>
      <c r="B50" s="51" t="s">
        <v>554</v>
      </c>
      <c r="C50" s="51" t="s">
        <v>515</v>
      </c>
      <c r="D50" s="52">
        <v>2098</v>
      </c>
      <c r="E50" s="53">
        <v>20098</v>
      </c>
      <c r="F50" s="51" t="s">
        <v>523</v>
      </c>
      <c r="G50" s="51" t="s">
        <v>509</v>
      </c>
      <c r="H50" s="54">
        <v>18351295</v>
      </c>
      <c r="I50" s="55">
        <v>310</v>
      </c>
      <c r="J50" s="51" t="s">
        <v>510</v>
      </c>
      <c r="K50" s="51" t="s">
        <v>511</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512</v>
      </c>
    </row>
    <row r="51" spans="1:50">
      <c r="A51" s="51" t="s">
        <v>604</v>
      </c>
      <c r="B51" s="51" t="s">
        <v>605</v>
      </c>
      <c r="C51" s="51" t="s">
        <v>522</v>
      </c>
      <c r="D51" s="52">
        <v>9030</v>
      </c>
      <c r="E51" s="53">
        <v>90030</v>
      </c>
      <c r="F51" s="51" t="s">
        <v>523</v>
      </c>
      <c r="G51" s="51" t="s">
        <v>509</v>
      </c>
      <c r="H51" s="54">
        <v>2956746</v>
      </c>
      <c r="I51" s="55">
        <v>205</v>
      </c>
      <c r="J51" s="51" t="s">
        <v>519</v>
      </c>
      <c r="K51" s="51" t="s">
        <v>518</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512</v>
      </c>
    </row>
    <row r="52" spans="1:50">
      <c r="A52" s="51" t="s">
        <v>606</v>
      </c>
      <c r="B52" s="51" t="s">
        <v>521</v>
      </c>
      <c r="C52" s="51" t="s">
        <v>522</v>
      </c>
      <c r="D52" s="52">
        <v>9151</v>
      </c>
      <c r="E52" s="53">
        <v>90151</v>
      </c>
      <c r="F52" s="51" t="s">
        <v>523</v>
      </c>
      <c r="G52" s="51" t="s">
        <v>509</v>
      </c>
      <c r="H52" s="54">
        <v>12150996</v>
      </c>
      <c r="I52" s="55">
        <v>195</v>
      </c>
      <c r="J52" s="51" t="s">
        <v>519</v>
      </c>
      <c r="K52" s="51" t="s">
        <v>518</v>
      </c>
      <c r="L52" s="56">
        <v>195</v>
      </c>
      <c r="M52" s="51"/>
      <c r="N52" s="57">
        <v>40</v>
      </c>
      <c r="O52" s="55"/>
      <c r="P52" s="58">
        <v>36.3401</v>
      </c>
      <c r="Q52" s="55"/>
      <c r="R52" s="58">
        <v>34.358199999999997</v>
      </c>
      <c r="S52" s="55" t="s">
        <v>530</v>
      </c>
      <c r="T52" s="58">
        <v>26.057400000000001</v>
      </c>
      <c r="U52" s="55" t="s">
        <v>530</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530</v>
      </c>
      <c r="AT52" s="59">
        <v>321490316</v>
      </c>
      <c r="AU52" s="51" t="s">
        <v>530</v>
      </c>
      <c r="AV52" s="61">
        <v>826.8</v>
      </c>
      <c r="AW52" s="51" t="s">
        <v>21</v>
      </c>
      <c r="AX52" s="51" t="s">
        <v>531</v>
      </c>
    </row>
    <row r="53" spans="1:50">
      <c r="A53" s="51" t="s">
        <v>607</v>
      </c>
      <c r="B53" s="51" t="s">
        <v>608</v>
      </c>
      <c r="C53" s="51" t="s">
        <v>522</v>
      </c>
      <c r="D53" s="52">
        <v>9134</v>
      </c>
      <c r="E53" s="53">
        <v>90134</v>
      </c>
      <c r="F53" s="51" t="s">
        <v>523</v>
      </c>
      <c r="G53" s="51" t="s">
        <v>509</v>
      </c>
      <c r="H53" s="54">
        <v>3281212</v>
      </c>
      <c r="I53" s="55">
        <v>141</v>
      </c>
      <c r="J53" s="51" t="s">
        <v>519</v>
      </c>
      <c r="K53" s="51" t="s">
        <v>518</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512</v>
      </c>
    </row>
    <row r="54" spans="1:50">
      <c r="A54" s="51" t="s">
        <v>609</v>
      </c>
      <c r="B54" s="51" t="s">
        <v>610</v>
      </c>
      <c r="C54" s="51" t="s">
        <v>590</v>
      </c>
      <c r="D54" s="52">
        <v>3073</v>
      </c>
      <c r="E54" s="53">
        <v>30073</v>
      </c>
      <c r="F54" s="51" t="s">
        <v>523</v>
      </c>
      <c r="G54" s="51" t="s">
        <v>509</v>
      </c>
      <c r="H54" s="54">
        <v>4586770</v>
      </c>
      <c r="I54" s="55">
        <v>99</v>
      </c>
      <c r="J54" s="51" t="s">
        <v>519</v>
      </c>
      <c r="K54" s="51" t="s">
        <v>518</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512</v>
      </c>
    </row>
    <row r="55" spans="1:50">
      <c r="A55" s="51" t="s">
        <v>611</v>
      </c>
      <c r="B55" s="51" t="s">
        <v>612</v>
      </c>
      <c r="C55" s="51" t="s">
        <v>515</v>
      </c>
      <c r="D55" s="52">
        <v>2075</v>
      </c>
      <c r="E55" s="53">
        <v>20075</v>
      </c>
      <c r="F55" s="51" t="s">
        <v>523</v>
      </c>
      <c r="G55" s="51" t="s">
        <v>509</v>
      </c>
      <c r="H55" s="54">
        <v>5441567</v>
      </c>
      <c r="I55" s="55">
        <v>78</v>
      </c>
      <c r="J55" s="51" t="s">
        <v>510</v>
      </c>
      <c r="K55" s="51" t="s">
        <v>511</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512</v>
      </c>
    </row>
    <row r="56" spans="1:50">
      <c r="A56" s="51" t="s">
        <v>613</v>
      </c>
      <c r="B56" s="51" t="s">
        <v>614</v>
      </c>
      <c r="C56" s="51" t="s">
        <v>615</v>
      </c>
      <c r="D56" s="52">
        <v>5104</v>
      </c>
      <c r="E56" s="53">
        <v>50104</v>
      </c>
      <c r="F56" s="51" t="s">
        <v>523</v>
      </c>
      <c r="G56" s="51" t="s">
        <v>509</v>
      </c>
      <c r="H56" s="54">
        <v>8608208</v>
      </c>
      <c r="I56" s="55">
        <v>70</v>
      </c>
      <c r="J56" s="51" t="s">
        <v>519</v>
      </c>
      <c r="K56" s="51" t="s">
        <v>511</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512</v>
      </c>
    </row>
    <row r="57" spans="1:50">
      <c r="A57" s="51" t="s">
        <v>616</v>
      </c>
      <c r="B57" s="51" t="s">
        <v>617</v>
      </c>
      <c r="C57" s="51" t="s">
        <v>548</v>
      </c>
      <c r="D57" s="52">
        <v>4077</v>
      </c>
      <c r="E57" s="53">
        <v>40077</v>
      </c>
      <c r="F57" s="51" t="s">
        <v>523</v>
      </c>
      <c r="G57" s="51" t="s">
        <v>509</v>
      </c>
      <c r="H57" s="54">
        <v>5502379</v>
      </c>
      <c r="I57" s="55">
        <v>65</v>
      </c>
      <c r="J57" s="51" t="s">
        <v>519</v>
      </c>
      <c r="K57" s="51" t="s">
        <v>518</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512</v>
      </c>
    </row>
    <row r="58" spans="1:50">
      <c r="A58" s="51" t="s">
        <v>618</v>
      </c>
      <c r="B58" s="51" t="s">
        <v>619</v>
      </c>
      <c r="C58" s="51" t="s">
        <v>620</v>
      </c>
      <c r="D58" s="52">
        <v>6111</v>
      </c>
      <c r="E58" s="53">
        <v>60111</v>
      </c>
      <c r="F58" s="51" t="s">
        <v>523</v>
      </c>
      <c r="G58" s="51" t="s">
        <v>509</v>
      </c>
      <c r="H58" s="54">
        <v>741318</v>
      </c>
      <c r="I58" s="55">
        <v>58</v>
      </c>
      <c r="J58" s="51" t="s">
        <v>519</v>
      </c>
      <c r="K58" s="51" t="s">
        <v>518</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512</v>
      </c>
    </row>
    <row r="59" spans="1:50">
      <c r="A59" s="51" t="s">
        <v>621</v>
      </c>
      <c r="B59" s="51" t="s">
        <v>622</v>
      </c>
      <c r="C59" s="51" t="s">
        <v>623</v>
      </c>
      <c r="D59" s="52">
        <v>4094</v>
      </c>
      <c r="E59" s="53">
        <v>40094</v>
      </c>
      <c r="F59" s="51" t="s">
        <v>545</v>
      </c>
      <c r="G59" s="51" t="s">
        <v>509</v>
      </c>
      <c r="H59" s="54">
        <v>2148346</v>
      </c>
      <c r="I59" s="55">
        <v>54</v>
      </c>
      <c r="J59" s="51" t="s">
        <v>510</v>
      </c>
      <c r="K59" s="51" t="s">
        <v>518</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512</v>
      </c>
    </row>
    <row r="60" spans="1:50">
      <c r="A60" s="51" t="s">
        <v>624</v>
      </c>
      <c r="B60" s="51" t="s">
        <v>625</v>
      </c>
      <c r="C60" s="51" t="s">
        <v>626</v>
      </c>
      <c r="D60" s="52">
        <v>4159</v>
      </c>
      <c r="E60" s="53">
        <v>40159</v>
      </c>
      <c r="F60" s="51" t="s">
        <v>523</v>
      </c>
      <c r="G60" s="51" t="s">
        <v>509</v>
      </c>
      <c r="H60" s="54">
        <v>969587</v>
      </c>
      <c r="I60" s="55">
        <v>46</v>
      </c>
      <c r="J60" s="51" t="s">
        <v>519</v>
      </c>
      <c r="K60" s="51" t="s">
        <v>518</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512</v>
      </c>
    </row>
    <row r="61" spans="1:50">
      <c r="A61" s="51" t="s">
        <v>627</v>
      </c>
      <c r="B61" s="51" t="s">
        <v>628</v>
      </c>
      <c r="C61" s="51" t="s">
        <v>507</v>
      </c>
      <c r="D61" s="52">
        <v>2099</v>
      </c>
      <c r="E61" s="53">
        <v>20099</v>
      </c>
      <c r="F61" s="51" t="s">
        <v>508</v>
      </c>
      <c r="G61" s="51" t="s">
        <v>509</v>
      </c>
      <c r="H61" s="54">
        <v>18351295</v>
      </c>
      <c r="I61" s="55">
        <v>44</v>
      </c>
      <c r="J61" s="51" t="s">
        <v>510</v>
      </c>
      <c r="K61" s="51" t="s">
        <v>511</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512</v>
      </c>
    </row>
    <row r="62" spans="1:50">
      <c r="A62" s="51" t="s">
        <v>629</v>
      </c>
      <c r="B62" s="51" t="s">
        <v>630</v>
      </c>
      <c r="C62" s="51" t="s">
        <v>631</v>
      </c>
      <c r="D62" s="52">
        <v>1102</v>
      </c>
      <c r="E62" s="53">
        <v>10102</v>
      </c>
      <c r="F62" s="51" t="s">
        <v>545</v>
      </c>
      <c r="G62" s="51" t="s">
        <v>509</v>
      </c>
      <c r="H62" s="54">
        <v>924859</v>
      </c>
      <c r="I62" s="55">
        <v>43</v>
      </c>
      <c r="J62" s="51" t="s">
        <v>519</v>
      </c>
      <c r="K62" s="51" t="s">
        <v>518</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512</v>
      </c>
    </row>
    <row r="63" spans="1:50">
      <c r="A63" s="51" t="s">
        <v>632</v>
      </c>
      <c r="B63" s="51" t="s">
        <v>633</v>
      </c>
      <c r="C63" s="51" t="s">
        <v>634</v>
      </c>
      <c r="D63" s="52">
        <v>9209</v>
      </c>
      <c r="E63" s="53">
        <v>90209</v>
      </c>
      <c r="F63" s="51" t="s">
        <v>516</v>
      </c>
      <c r="G63" s="51" t="s">
        <v>509</v>
      </c>
      <c r="H63" s="54">
        <v>3629114</v>
      </c>
      <c r="I63" s="55">
        <v>38</v>
      </c>
      <c r="J63" s="51" t="s">
        <v>517</v>
      </c>
      <c r="K63" s="51" t="s">
        <v>518</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512</v>
      </c>
    </row>
    <row r="64" spans="1:50">
      <c r="A64" s="51" t="s">
        <v>635</v>
      </c>
      <c r="B64" s="51" t="s">
        <v>636</v>
      </c>
      <c r="C64" s="51" t="s">
        <v>522</v>
      </c>
      <c r="D64" s="52">
        <v>9182</v>
      </c>
      <c r="E64" s="53">
        <v>90182</v>
      </c>
      <c r="F64" s="51" t="s">
        <v>523</v>
      </c>
      <c r="G64" s="51" t="s">
        <v>509</v>
      </c>
      <c r="H64" s="54">
        <v>370583</v>
      </c>
      <c r="I64" s="55">
        <v>35</v>
      </c>
      <c r="J64" s="51" t="s">
        <v>519</v>
      </c>
      <c r="K64" s="51" t="s">
        <v>518</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512</v>
      </c>
    </row>
    <row r="65" spans="1:50">
      <c r="A65" s="51" t="s">
        <v>637</v>
      </c>
      <c r="B65" s="51" t="s">
        <v>638</v>
      </c>
      <c r="C65" s="51" t="s">
        <v>548</v>
      </c>
      <c r="D65" s="52">
        <v>4232</v>
      </c>
      <c r="E65" s="53">
        <v>40232</v>
      </c>
      <c r="F65" s="51" t="s">
        <v>545</v>
      </c>
      <c r="G65" s="51" t="s">
        <v>509</v>
      </c>
      <c r="H65" s="54">
        <v>1510516</v>
      </c>
      <c r="I65" s="55">
        <v>25</v>
      </c>
      <c r="J65" s="51" t="s">
        <v>519</v>
      </c>
      <c r="K65" s="51" t="s">
        <v>518</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512</v>
      </c>
    </row>
    <row r="66" spans="1:50">
      <c r="A66" s="51" t="s">
        <v>639</v>
      </c>
      <c r="B66" s="51" t="s">
        <v>566</v>
      </c>
      <c r="C66" s="51" t="s">
        <v>640</v>
      </c>
      <c r="D66" s="52">
        <v>1115</v>
      </c>
      <c r="E66" s="53">
        <v>10115</v>
      </c>
      <c r="F66" s="51" t="s">
        <v>523</v>
      </c>
      <c r="G66" s="51" t="s">
        <v>509</v>
      </c>
      <c r="H66" s="54">
        <v>203914</v>
      </c>
      <c r="I66" s="55">
        <v>21</v>
      </c>
      <c r="J66" s="51" t="s">
        <v>519</v>
      </c>
      <c r="K66" s="51" t="s">
        <v>518</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512</v>
      </c>
    </row>
    <row r="67" spans="1:50">
      <c r="A67" s="51" t="s">
        <v>641</v>
      </c>
      <c r="B67" s="51" t="s">
        <v>642</v>
      </c>
      <c r="C67" s="51" t="s">
        <v>538</v>
      </c>
      <c r="D67" s="52">
        <v>3057</v>
      </c>
      <c r="E67" s="53">
        <v>30057</v>
      </c>
      <c r="F67" s="51" t="s">
        <v>545</v>
      </c>
      <c r="G67" s="51" t="s">
        <v>509</v>
      </c>
      <c r="H67" s="54">
        <v>5441567</v>
      </c>
      <c r="I67" s="55">
        <v>20</v>
      </c>
      <c r="J67" s="51" t="s">
        <v>519</v>
      </c>
      <c r="K67" s="51" t="s">
        <v>518</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512</v>
      </c>
    </row>
    <row r="68" spans="1:50">
      <c r="A68" s="51" t="s">
        <v>643</v>
      </c>
      <c r="B68" s="51" t="s">
        <v>644</v>
      </c>
      <c r="C68" s="51" t="s">
        <v>522</v>
      </c>
      <c r="D68" s="52"/>
      <c r="E68" s="53">
        <v>90299</v>
      </c>
      <c r="F68" s="51" t="s">
        <v>523</v>
      </c>
      <c r="G68" s="51" t="s">
        <v>509</v>
      </c>
      <c r="H68" s="54">
        <v>308231</v>
      </c>
      <c r="I68" s="55">
        <v>12</v>
      </c>
      <c r="J68" s="51" t="s">
        <v>519</v>
      </c>
      <c r="K68" s="51" t="s">
        <v>511</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512</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64" t="s">
        <v>455</v>
      </c>
      <c r="B1" s="64" t="s">
        <v>456</v>
      </c>
      <c r="C1" s="65" t="s">
        <v>457</v>
      </c>
      <c r="D1" s="66" t="s">
        <v>458</v>
      </c>
      <c r="E1" s="67" t="s">
        <v>459</v>
      </c>
      <c r="F1" s="68" t="s">
        <v>460</v>
      </c>
      <c r="G1" s="69" t="s">
        <v>462</v>
      </c>
      <c r="H1" s="69" t="s">
        <v>463</v>
      </c>
      <c r="I1" s="68" t="s">
        <v>464</v>
      </c>
      <c r="J1" s="68" t="s">
        <v>645</v>
      </c>
      <c r="K1" s="68" t="s">
        <v>466</v>
      </c>
      <c r="L1" s="68" t="s">
        <v>646</v>
      </c>
      <c r="M1" s="69" t="s">
        <v>647</v>
      </c>
      <c r="N1" s="69" t="s">
        <v>648</v>
      </c>
      <c r="O1" s="69" t="s">
        <v>649</v>
      </c>
      <c r="P1" s="69" t="s">
        <v>650</v>
      </c>
      <c r="Q1" s="69" t="s">
        <v>651</v>
      </c>
      <c r="R1" s="69" t="s">
        <v>652</v>
      </c>
      <c r="S1" s="69" t="s">
        <v>653</v>
      </c>
      <c r="T1" s="69" t="s">
        <v>654</v>
      </c>
      <c r="U1" s="69" t="s">
        <v>655</v>
      </c>
      <c r="V1" s="69" t="s">
        <v>656</v>
      </c>
      <c r="W1" s="69" t="s">
        <v>657</v>
      </c>
      <c r="X1" s="69" t="s">
        <v>658</v>
      </c>
      <c r="Y1" s="69" t="s">
        <v>659</v>
      </c>
      <c r="Z1" s="69" t="s">
        <v>660</v>
      </c>
      <c r="AA1" s="69" t="s">
        <v>661</v>
      </c>
      <c r="AB1" s="69" t="s">
        <v>662</v>
      </c>
      <c r="AC1" s="70" t="s">
        <v>663</v>
      </c>
      <c r="AD1" s="71" t="s">
        <v>296</v>
      </c>
      <c r="AE1" s="71" t="s">
        <v>664</v>
      </c>
      <c r="AF1" s="71" t="s">
        <v>299</v>
      </c>
      <c r="AG1" s="71" t="s">
        <v>665</v>
      </c>
      <c r="AH1" s="71" t="s">
        <v>666</v>
      </c>
      <c r="AI1" s="71" t="s">
        <v>667</v>
      </c>
      <c r="AJ1" s="71" t="s">
        <v>285</v>
      </c>
      <c r="AK1" s="71" t="s">
        <v>668</v>
      </c>
      <c r="AL1" s="71" t="s">
        <v>669</v>
      </c>
      <c r="AM1" s="71" t="s">
        <v>670</v>
      </c>
      <c r="AN1" s="71" t="s">
        <v>671</v>
      </c>
      <c r="AO1" s="71" t="s">
        <v>672</v>
      </c>
      <c r="AP1" s="71" t="s">
        <v>673</v>
      </c>
      <c r="AQ1" s="71" t="s">
        <v>674</v>
      </c>
      <c r="AR1" s="72" t="s">
        <v>675</v>
      </c>
      <c r="AS1" s="73" t="s">
        <v>676</v>
      </c>
      <c r="AT1" s="73" t="s">
        <v>677</v>
      </c>
      <c r="AU1" s="73" t="s">
        <v>678</v>
      </c>
      <c r="AV1" s="73" t="s">
        <v>679</v>
      </c>
      <c r="AW1" s="73" t="s">
        <v>680</v>
      </c>
      <c r="AX1" s="73" t="s">
        <v>681</v>
      </c>
      <c r="AY1" s="73" t="s">
        <v>682</v>
      </c>
      <c r="AZ1" s="73" t="s">
        <v>683</v>
      </c>
      <c r="BA1" s="73" t="s">
        <v>684</v>
      </c>
      <c r="BB1" s="73" t="s">
        <v>685</v>
      </c>
      <c r="BC1" s="73" t="s">
        <v>686</v>
      </c>
      <c r="BD1" s="73" t="s">
        <v>687</v>
      </c>
      <c r="BE1" s="73" t="s">
        <v>688</v>
      </c>
      <c r="BF1" s="73" t="s">
        <v>689</v>
      </c>
      <c r="BG1" s="68" t="s">
        <v>690</v>
      </c>
    </row>
    <row r="2" spans="1:59">
      <c r="A2" s="74" t="s">
        <v>505</v>
      </c>
      <c r="B2" s="74" t="s">
        <v>506</v>
      </c>
      <c r="C2" s="75" t="s">
        <v>507</v>
      </c>
      <c r="D2" s="76">
        <v>2008</v>
      </c>
      <c r="E2" s="77">
        <v>20008</v>
      </c>
      <c r="F2" s="75" t="s">
        <v>508</v>
      </c>
      <c r="G2" s="78">
        <v>18351295</v>
      </c>
      <c r="H2" s="79">
        <v>10427</v>
      </c>
      <c r="I2" s="75" t="s">
        <v>510</v>
      </c>
      <c r="J2" s="80" t="s">
        <v>511</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512</v>
      </c>
    </row>
    <row r="3" spans="1:59">
      <c r="A3" s="74" t="s">
        <v>513</v>
      </c>
      <c r="B3" s="74" t="s">
        <v>514</v>
      </c>
      <c r="C3" s="75" t="s">
        <v>515</v>
      </c>
      <c r="D3" s="76">
        <v>2080</v>
      </c>
      <c r="E3" s="77">
        <v>20080</v>
      </c>
      <c r="F3" s="75" t="s">
        <v>516</v>
      </c>
      <c r="G3" s="78">
        <v>18351295</v>
      </c>
      <c r="H3" s="79">
        <v>3646</v>
      </c>
      <c r="I3" s="75" t="s">
        <v>519</v>
      </c>
      <c r="J3" s="80" t="s">
        <v>511</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512</v>
      </c>
    </row>
    <row r="4" spans="1:59">
      <c r="A4" s="74" t="s">
        <v>513</v>
      </c>
      <c r="B4" s="74" t="s">
        <v>514</v>
      </c>
      <c r="C4" s="75" t="s">
        <v>515</v>
      </c>
      <c r="D4" s="76">
        <v>2080</v>
      </c>
      <c r="E4" s="77">
        <v>20080</v>
      </c>
      <c r="F4" s="75" t="s">
        <v>516</v>
      </c>
      <c r="G4" s="78">
        <v>18351295</v>
      </c>
      <c r="H4" s="79">
        <v>3646</v>
      </c>
      <c r="I4" s="75" t="s">
        <v>517</v>
      </c>
      <c r="J4" s="80" t="s">
        <v>518</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512</v>
      </c>
    </row>
    <row r="5" spans="1:59">
      <c r="A5" s="74" t="s">
        <v>513</v>
      </c>
      <c r="B5" s="74" t="s">
        <v>514</v>
      </c>
      <c r="C5" s="75" t="s">
        <v>515</v>
      </c>
      <c r="D5" s="76">
        <v>2080</v>
      </c>
      <c r="E5" s="77">
        <v>20080</v>
      </c>
      <c r="F5" s="75" t="s">
        <v>516</v>
      </c>
      <c r="G5" s="78">
        <v>18351295</v>
      </c>
      <c r="H5" s="79">
        <v>3646</v>
      </c>
      <c r="I5" s="75" t="s">
        <v>517</v>
      </c>
      <c r="J5" s="80" t="s">
        <v>511</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512</v>
      </c>
    </row>
    <row r="6" spans="1:59">
      <c r="A6" s="74" t="s">
        <v>520</v>
      </c>
      <c r="B6" s="74" t="s">
        <v>521</v>
      </c>
      <c r="C6" s="75" t="s">
        <v>522</v>
      </c>
      <c r="D6" s="76">
        <v>9154</v>
      </c>
      <c r="E6" s="77">
        <v>90154</v>
      </c>
      <c r="F6" s="75" t="s">
        <v>523</v>
      </c>
      <c r="G6" s="78">
        <v>12150996</v>
      </c>
      <c r="H6" s="79">
        <v>3482</v>
      </c>
      <c r="I6" s="75" t="s">
        <v>510</v>
      </c>
      <c r="J6" s="80" t="s">
        <v>511</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512</v>
      </c>
    </row>
    <row r="7" spans="1:59">
      <c r="A7" s="74" t="s">
        <v>520</v>
      </c>
      <c r="B7" s="74" t="s">
        <v>521</v>
      </c>
      <c r="C7" s="75" t="s">
        <v>522</v>
      </c>
      <c r="D7" s="76">
        <v>9154</v>
      </c>
      <c r="E7" s="77">
        <v>90154</v>
      </c>
      <c r="F7" s="75" t="s">
        <v>523</v>
      </c>
      <c r="G7" s="78">
        <v>12150996</v>
      </c>
      <c r="H7" s="79">
        <v>3482</v>
      </c>
      <c r="I7" s="75" t="s">
        <v>517</v>
      </c>
      <c r="J7" s="80" t="s">
        <v>511</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512</v>
      </c>
    </row>
    <row r="8" spans="1:59">
      <c r="A8" s="74" t="s">
        <v>524</v>
      </c>
      <c r="B8" s="74" t="s">
        <v>525</v>
      </c>
      <c r="C8" s="75" t="s">
        <v>526</v>
      </c>
      <c r="D8" s="76">
        <v>3030</v>
      </c>
      <c r="E8" s="77">
        <v>30030</v>
      </c>
      <c r="F8" s="75" t="s">
        <v>523</v>
      </c>
      <c r="G8" s="78">
        <v>4586770</v>
      </c>
      <c r="H8" s="79">
        <v>3304</v>
      </c>
      <c r="I8" s="75" t="s">
        <v>510</v>
      </c>
      <c r="J8" s="80" t="s">
        <v>511</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512</v>
      </c>
    </row>
    <row r="9" spans="1:59">
      <c r="A9" s="74" t="s">
        <v>527</v>
      </c>
      <c r="B9" s="74" t="s">
        <v>528</v>
      </c>
      <c r="C9" s="75" t="s">
        <v>529</v>
      </c>
      <c r="D9" s="76">
        <v>5066</v>
      </c>
      <c r="E9" s="77">
        <v>50066</v>
      </c>
      <c r="F9" s="75" t="s">
        <v>523</v>
      </c>
      <c r="G9" s="78">
        <v>8608208</v>
      </c>
      <c r="H9" s="79">
        <v>2703</v>
      </c>
      <c r="I9" s="75" t="s">
        <v>510</v>
      </c>
      <c r="J9" s="80" t="s">
        <v>511</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512</v>
      </c>
    </row>
    <row r="10" spans="1:59">
      <c r="A10" s="74" t="s">
        <v>532</v>
      </c>
      <c r="B10" s="74" t="s">
        <v>533</v>
      </c>
      <c r="C10" s="75" t="s">
        <v>534</v>
      </c>
      <c r="D10" s="76">
        <v>1003</v>
      </c>
      <c r="E10" s="77">
        <v>10003</v>
      </c>
      <c r="F10" s="75" t="s">
        <v>523</v>
      </c>
      <c r="G10" s="78">
        <v>4181019</v>
      </c>
      <c r="H10" s="79">
        <v>2428</v>
      </c>
      <c r="I10" s="75" t="s">
        <v>519</v>
      </c>
      <c r="J10" s="80" t="s">
        <v>518</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512</v>
      </c>
    </row>
    <row r="11" spans="1:59">
      <c r="A11" s="74" t="s">
        <v>532</v>
      </c>
      <c r="B11" s="74" t="s">
        <v>533</v>
      </c>
      <c r="C11" s="75" t="s">
        <v>534</v>
      </c>
      <c r="D11" s="76">
        <v>1003</v>
      </c>
      <c r="E11" s="77">
        <v>10003</v>
      </c>
      <c r="F11" s="75" t="s">
        <v>523</v>
      </c>
      <c r="G11" s="78">
        <v>4181019</v>
      </c>
      <c r="H11" s="79">
        <v>2428</v>
      </c>
      <c r="I11" s="75" t="s">
        <v>510</v>
      </c>
      <c r="J11" s="80" t="s">
        <v>511</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512</v>
      </c>
    </row>
    <row r="12" spans="1:59">
      <c r="A12" s="74" t="s">
        <v>532</v>
      </c>
      <c r="B12" s="74" t="s">
        <v>533</v>
      </c>
      <c r="C12" s="75" t="s">
        <v>534</v>
      </c>
      <c r="D12" s="76">
        <v>1003</v>
      </c>
      <c r="E12" s="77">
        <v>10003</v>
      </c>
      <c r="F12" s="75" t="s">
        <v>523</v>
      </c>
      <c r="G12" s="78">
        <v>4181019</v>
      </c>
      <c r="H12" s="79">
        <v>2428</v>
      </c>
      <c r="I12" s="75" t="s">
        <v>517</v>
      </c>
      <c r="J12" s="80" t="s">
        <v>511</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512</v>
      </c>
    </row>
    <row r="13" spans="1:59">
      <c r="A13" s="74" t="s">
        <v>536</v>
      </c>
      <c r="B13" s="74" t="s">
        <v>537</v>
      </c>
      <c r="C13" s="75" t="s">
        <v>538</v>
      </c>
      <c r="D13" s="76">
        <v>3019</v>
      </c>
      <c r="E13" s="77">
        <v>30019</v>
      </c>
      <c r="F13" s="75" t="s">
        <v>523</v>
      </c>
      <c r="G13" s="78">
        <v>5441567</v>
      </c>
      <c r="H13" s="79">
        <v>2406</v>
      </c>
      <c r="I13" s="75" t="s">
        <v>519</v>
      </c>
      <c r="J13" s="80" t="s">
        <v>511</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512</v>
      </c>
    </row>
    <row r="14" spans="1:59">
      <c r="A14" s="74" t="s">
        <v>536</v>
      </c>
      <c r="B14" s="74" t="s">
        <v>537</v>
      </c>
      <c r="C14" s="75" t="s">
        <v>538</v>
      </c>
      <c r="D14" s="76">
        <v>3019</v>
      </c>
      <c r="E14" s="77">
        <v>30019</v>
      </c>
      <c r="F14" s="75" t="s">
        <v>523</v>
      </c>
      <c r="G14" s="78">
        <v>5441567</v>
      </c>
      <c r="H14" s="79">
        <v>2406</v>
      </c>
      <c r="I14" s="75" t="s">
        <v>510</v>
      </c>
      <c r="J14" s="80" t="s">
        <v>511</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512</v>
      </c>
    </row>
    <row r="15" spans="1:59">
      <c r="A15" s="74" t="s">
        <v>539</v>
      </c>
      <c r="B15" s="74" t="s">
        <v>540</v>
      </c>
      <c r="C15" s="75" t="s">
        <v>541</v>
      </c>
      <c r="D15" s="76">
        <v>6008</v>
      </c>
      <c r="E15" s="77">
        <v>60008</v>
      </c>
      <c r="F15" s="75" t="s">
        <v>523</v>
      </c>
      <c r="G15" s="78">
        <v>4944332</v>
      </c>
      <c r="H15" s="79">
        <v>2157</v>
      </c>
      <c r="I15" s="75" t="s">
        <v>517</v>
      </c>
      <c r="J15" s="80" t="s">
        <v>511</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512</v>
      </c>
    </row>
    <row r="16" spans="1:59">
      <c r="A16" s="74" t="s">
        <v>542</v>
      </c>
      <c r="B16" s="74" t="s">
        <v>543</v>
      </c>
      <c r="C16" s="75" t="s">
        <v>544</v>
      </c>
      <c r="D16" s="76">
        <v>3034</v>
      </c>
      <c r="E16" s="77">
        <v>30034</v>
      </c>
      <c r="F16" s="75" t="s">
        <v>545</v>
      </c>
      <c r="G16" s="78">
        <v>2203663</v>
      </c>
      <c r="H16" s="79">
        <v>1888</v>
      </c>
      <c r="I16" s="75" t="s">
        <v>510</v>
      </c>
      <c r="J16" s="80" t="s">
        <v>511</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512</v>
      </c>
    </row>
    <row r="17" spans="1:59">
      <c r="A17" s="74" t="s">
        <v>542</v>
      </c>
      <c r="B17" s="74" t="s">
        <v>543</v>
      </c>
      <c r="C17" s="75" t="s">
        <v>544</v>
      </c>
      <c r="D17" s="76">
        <v>3034</v>
      </c>
      <c r="E17" s="77">
        <v>30034</v>
      </c>
      <c r="F17" s="75" t="s">
        <v>545</v>
      </c>
      <c r="G17" s="78">
        <v>2203663</v>
      </c>
      <c r="H17" s="79">
        <v>1888</v>
      </c>
      <c r="I17" s="75" t="s">
        <v>517</v>
      </c>
      <c r="J17" s="80" t="s">
        <v>511</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512</v>
      </c>
    </row>
    <row r="18" spans="1:59">
      <c r="A18" s="74" t="s">
        <v>542</v>
      </c>
      <c r="B18" s="74" t="s">
        <v>543</v>
      </c>
      <c r="C18" s="75" t="s">
        <v>544</v>
      </c>
      <c r="D18" s="76">
        <v>3034</v>
      </c>
      <c r="E18" s="77">
        <v>30034</v>
      </c>
      <c r="F18" s="75" t="s">
        <v>545</v>
      </c>
      <c r="G18" s="78">
        <v>2203663</v>
      </c>
      <c r="H18" s="79">
        <v>1888</v>
      </c>
      <c r="I18" s="75" t="s">
        <v>519</v>
      </c>
      <c r="J18" s="80" t="s">
        <v>518</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512</v>
      </c>
    </row>
    <row r="19" spans="1:59">
      <c r="A19" s="74" t="s">
        <v>546</v>
      </c>
      <c r="B19" s="74" t="s">
        <v>547</v>
      </c>
      <c r="C19" s="75" t="s">
        <v>548</v>
      </c>
      <c r="D19" s="76">
        <v>4034</v>
      </c>
      <c r="E19" s="77">
        <v>40034</v>
      </c>
      <c r="F19" s="75" t="s">
        <v>549</v>
      </c>
      <c r="G19" s="78">
        <v>5502379</v>
      </c>
      <c r="H19" s="79">
        <v>1452</v>
      </c>
      <c r="I19" s="75" t="s">
        <v>510</v>
      </c>
      <c r="J19" s="80" t="s">
        <v>511</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512</v>
      </c>
    </row>
    <row r="20" spans="1:59">
      <c r="A20" s="74" t="s">
        <v>550</v>
      </c>
      <c r="B20" s="74" t="s">
        <v>551</v>
      </c>
      <c r="C20" s="75" t="s">
        <v>552</v>
      </c>
      <c r="D20" s="76">
        <v>8006</v>
      </c>
      <c r="E20" s="77">
        <v>80006</v>
      </c>
      <c r="F20" s="75" t="s">
        <v>523</v>
      </c>
      <c r="G20" s="78">
        <v>2374203</v>
      </c>
      <c r="H20" s="79">
        <v>1431</v>
      </c>
      <c r="I20" s="75" t="s">
        <v>519</v>
      </c>
      <c r="J20" s="80" t="s">
        <v>511</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512</v>
      </c>
    </row>
    <row r="21" spans="1:59">
      <c r="A21" s="74" t="s">
        <v>550</v>
      </c>
      <c r="B21" s="74" t="s">
        <v>551</v>
      </c>
      <c r="C21" s="75" t="s">
        <v>552</v>
      </c>
      <c r="D21" s="76">
        <v>8006</v>
      </c>
      <c r="E21" s="77">
        <v>80006</v>
      </c>
      <c r="F21" s="75" t="s">
        <v>523</v>
      </c>
      <c r="G21" s="78">
        <v>2374203</v>
      </c>
      <c r="H21" s="79">
        <v>1431</v>
      </c>
      <c r="I21" s="75" t="s">
        <v>519</v>
      </c>
      <c r="J21" s="80" t="s">
        <v>518</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512</v>
      </c>
    </row>
    <row r="22" spans="1:59">
      <c r="A22" s="74" t="s">
        <v>550</v>
      </c>
      <c r="B22" s="74" t="s">
        <v>551</v>
      </c>
      <c r="C22" s="75" t="s">
        <v>552</v>
      </c>
      <c r="D22" s="76">
        <v>8006</v>
      </c>
      <c r="E22" s="77">
        <v>80006</v>
      </c>
      <c r="F22" s="75" t="s">
        <v>523</v>
      </c>
      <c r="G22" s="78">
        <v>2374203</v>
      </c>
      <c r="H22" s="79">
        <v>1431</v>
      </c>
      <c r="I22" s="75" t="s">
        <v>517</v>
      </c>
      <c r="J22" s="80" t="s">
        <v>511</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512</v>
      </c>
    </row>
    <row r="23" spans="1:59">
      <c r="A23" s="74" t="s">
        <v>553</v>
      </c>
      <c r="B23" s="74" t="s">
        <v>554</v>
      </c>
      <c r="C23" s="75" t="s">
        <v>507</v>
      </c>
      <c r="D23" s="76">
        <v>2078</v>
      </c>
      <c r="E23" s="77">
        <v>20078</v>
      </c>
      <c r="F23" s="75" t="s">
        <v>508</v>
      </c>
      <c r="G23" s="78">
        <v>18351295</v>
      </c>
      <c r="H23" s="79">
        <v>1133</v>
      </c>
      <c r="I23" s="75" t="s">
        <v>519</v>
      </c>
      <c r="J23" s="80" t="s">
        <v>511</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512</v>
      </c>
    </row>
    <row r="24" spans="1:59">
      <c r="A24" s="74" t="s">
        <v>555</v>
      </c>
      <c r="B24" s="74" t="s">
        <v>556</v>
      </c>
      <c r="C24" s="75" t="s">
        <v>541</v>
      </c>
      <c r="D24" s="76">
        <v>6056</v>
      </c>
      <c r="E24" s="77">
        <v>60056</v>
      </c>
      <c r="F24" s="75" t="s">
        <v>523</v>
      </c>
      <c r="G24" s="78">
        <v>5121892</v>
      </c>
      <c r="H24" s="79">
        <v>1082</v>
      </c>
      <c r="I24" s="75" t="s">
        <v>519</v>
      </c>
      <c r="J24" s="80" t="s">
        <v>518</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512</v>
      </c>
    </row>
    <row r="25" spans="1:59">
      <c r="A25" s="74" t="s">
        <v>555</v>
      </c>
      <c r="B25" s="74" t="s">
        <v>556</v>
      </c>
      <c r="C25" s="75" t="s">
        <v>541</v>
      </c>
      <c r="D25" s="76">
        <v>6056</v>
      </c>
      <c r="E25" s="77">
        <v>60056</v>
      </c>
      <c r="F25" s="75" t="s">
        <v>523</v>
      </c>
      <c r="G25" s="78">
        <v>5121892</v>
      </c>
      <c r="H25" s="79">
        <v>1082</v>
      </c>
      <c r="I25" s="75" t="s">
        <v>517</v>
      </c>
      <c r="J25" s="80" t="s">
        <v>511</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512</v>
      </c>
    </row>
    <row r="26" spans="1:59">
      <c r="A26" s="74" t="s">
        <v>557</v>
      </c>
      <c r="B26" s="74" t="s">
        <v>558</v>
      </c>
      <c r="C26" s="75" t="s">
        <v>559</v>
      </c>
      <c r="D26" s="76">
        <v>8001</v>
      </c>
      <c r="E26" s="77">
        <v>80001</v>
      </c>
      <c r="F26" s="75" t="s">
        <v>523</v>
      </c>
      <c r="G26" s="78">
        <v>1021243</v>
      </c>
      <c r="H26" s="79">
        <v>1081</v>
      </c>
      <c r="I26" s="75" t="s">
        <v>517</v>
      </c>
      <c r="J26" s="80" t="s">
        <v>511</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512</v>
      </c>
    </row>
    <row r="27" spans="1:59">
      <c r="A27" s="74" t="s">
        <v>557</v>
      </c>
      <c r="B27" s="74" t="s">
        <v>558</v>
      </c>
      <c r="C27" s="75" t="s">
        <v>559</v>
      </c>
      <c r="D27" s="76">
        <v>8001</v>
      </c>
      <c r="E27" s="77">
        <v>80001</v>
      </c>
      <c r="F27" s="75" t="s">
        <v>523</v>
      </c>
      <c r="G27" s="78">
        <v>1021243</v>
      </c>
      <c r="H27" s="79">
        <v>1081</v>
      </c>
      <c r="I27" s="75" t="s">
        <v>519</v>
      </c>
      <c r="J27" s="80" t="s">
        <v>511</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512</v>
      </c>
    </row>
    <row r="28" spans="1:59">
      <c r="A28" s="74" t="s">
        <v>560</v>
      </c>
      <c r="B28" s="74" t="s">
        <v>528</v>
      </c>
      <c r="C28" s="75" t="s">
        <v>529</v>
      </c>
      <c r="D28" s="76">
        <v>5118</v>
      </c>
      <c r="E28" s="77">
        <v>50118</v>
      </c>
      <c r="F28" s="75" t="s">
        <v>523</v>
      </c>
      <c r="G28" s="78">
        <v>8608208</v>
      </c>
      <c r="H28" s="79">
        <v>1066</v>
      </c>
      <c r="I28" s="75" t="s">
        <v>519</v>
      </c>
      <c r="J28" s="80" t="s">
        <v>511</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512</v>
      </c>
    </row>
    <row r="29" spans="1:59">
      <c r="A29" s="74" t="s">
        <v>560</v>
      </c>
      <c r="B29" s="74" t="s">
        <v>528</v>
      </c>
      <c r="C29" s="75" t="s">
        <v>529</v>
      </c>
      <c r="D29" s="76">
        <v>5118</v>
      </c>
      <c r="E29" s="77">
        <v>50118</v>
      </c>
      <c r="F29" s="75" t="s">
        <v>523</v>
      </c>
      <c r="G29" s="78">
        <v>8608208</v>
      </c>
      <c r="H29" s="79">
        <v>1066</v>
      </c>
      <c r="I29" s="75" t="s">
        <v>519</v>
      </c>
      <c r="J29" s="80" t="s">
        <v>518</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512</v>
      </c>
    </row>
    <row r="30" spans="1:59">
      <c r="A30" s="74" t="s">
        <v>561</v>
      </c>
      <c r="B30" s="74" t="s">
        <v>562</v>
      </c>
      <c r="C30" s="75" t="s">
        <v>507</v>
      </c>
      <c r="D30" s="76">
        <v>2100</v>
      </c>
      <c r="E30" s="77">
        <v>20100</v>
      </c>
      <c r="F30" s="75" t="s">
        <v>508</v>
      </c>
      <c r="G30" s="78">
        <v>18351295</v>
      </c>
      <c r="H30" s="79">
        <v>1022</v>
      </c>
      <c r="I30" s="75" t="s">
        <v>519</v>
      </c>
      <c r="J30" s="80" t="s">
        <v>511</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512</v>
      </c>
    </row>
    <row r="31" spans="1:59">
      <c r="A31" s="74" t="s">
        <v>563</v>
      </c>
      <c r="B31" s="74" t="s">
        <v>564</v>
      </c>
      <c r="C31" s="75" t="s">
        <v>522</v>
      </c>
      <c r="D31" s="76">
        <v>9015</v>
      </c>
      <c r="E31" s="77">
        <v>90015</v>
      </c>
      <c r="F31" s="75" t="s">
        <v>549</v>
      </c>
      <c r="G31" s="78">
        <v>3281212</v>
      </c>
      <c r="H31" s="79">
        <v>996</v>
      </c>
      <c r="I31" s="75" t="s">
        <v>517</v>
      </c>
      <c r="J31" s="80" t="s">
        <v>511</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512</v>
      </c>
    </row>
    <row r="32" spans="1:59">
      <c r="A32" s="74" t="s">
        <v>565</v>
      </c>
      <c r="B32" s="74" t="s">
        <v>566</v>
      </c>
      <c r="C32" s="75" t="s">
        <v>567</v>
      </c>
      <c r="D32" s="76">
        <v>8</v>
      </c>
      <c r="E32" s="77">
        <v>8</v>
      </c>
      <c r="F32" s="75" t="s">
        <v>523</v>
      </c>
      <c r="G32" s="78">
        <v>1849898</v>
      </c>
      <c r="H32" s="79">
        <v>982</v>
      </c>
      <c r="I32" s="75" t="s">
        <v>517</v>
      </c>
      <c r="J32" s="80" t="s">
        <v>511</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512</v>
      </c>
    </row>
    <row r="33" spans="1:59">
      <c r="A33" s="74" t="s">
        <v>568</v>
      </c>
      <c r="B33" s="74" t="s">
        <v>569</v>
      </c>
      <c r="C33" s="75" t="s">
        <v>570</v>
      </c>
      <c r="D33" s="76">
        <v>4022</v>
      </c>
      <c r="E33" s="77">
        <v>40022</v>
      </c>
      <c r="F33" s="75" t="s">
        <v>523</v>
      </c>
      <c r="G33" s="78">
        <v>4515419</v>
      </c>
      <c r="H33" s="79">
        <v>943</v>
      </c>
      <c r="I33" s="75" t="s">
        <v>510</v>
      </c>
      <c r="J33" s="80" t="s">
        <v>511</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512</v>
      </c>
    </row>
    <row r="34" spans="1:59">
      <c r="A34" s="74" t="s">
        <v>571</v>
      </c>
      <c r="B34" s="74" t="s">
        <v>572</v>
      </c>
      <c r="C34" s="75" t="s">
        <v>538</v>
      </c>
      <c r="D34" s="76">
        <v>3022</v>
      </c>
      <c r="E34" s="77">
        <v>30022</v>
      </c>
      <c r="F34" s="75" t="s">
        <v>523</v>
      </c>
      <c r="G34" s="78">
        <v>1733853</v>
      </c>
      <c r="H34" s="79">
        <v>930</v>
      </c>
      <c r="I34" s="75" t="s">
        <v>517</v>
      </c>
      <c r="J34" s="80" t="s">
        <v>511</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512</v>
      </c>
    </row>
    <row r="35" spans="1:59">
      <c r="A35" s="74" t="s">
        <v>573</v>
      </c>
      <c r="B35" s="74" t="s">
        <v>574</v>
      </c>
      <c r="C35" s="75" t="s">
        <v>522</v>
      </c>
      <c r="D35" s="76">
        <v>9026</v>
      </c>
      <c r="E35" s="77">
        <v>90026</v>
      </c>
      <c r="F35" s="75" t="s">
        <v>523</v>
      </c>
      <c r="G35" s="78">
        <v>2956746</v>
      </c>
      <c r="H35" s="79">
        <v>906</v>
      </c>
      <c r="I35" s="75" t="s">
        <v>517</v>
      </c>
      <c r="J35" s="80" t="s">
        <v>511</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512</v>
      </c>
    </row>
    <row r="36" spans="1:59">
      <c r="A36" s="74" t="s">
        <v>575</v>
      </c>
      <c r="B36" s="74" t="s">
        <v>576</v>
      </c>
      <c r="C36" s="75" t="s">
        <v>577</v>
      </c>
      <c r="D36" s="76">
        <v>5027</v>
      </c>
      <c r="E36" s="77">
        <v>50027</v>
      </c>
      <c r="F36" s="75" t="s">
        <v>508</v>
      </c>
      <c r="G36" s="78">
        <v>2650890</v>
      </c>
      <c r="H36" s="79">
        <v>823</v>
      </c>
      <c r="I36" s="75" t="s">
        <v>517</v>
      </c>
      <c r="J36" s="80" t="s">
        <v>511</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512</v>
      </c>
    </row>
    <row r="37" spans="1:59">
      <c r="A37" s="74" t="s">
        <v>575</v>
      </c>
      <c r="B37" s="74" t="s">
        <v>576</v>
      </c>
      <c r="C37" s="75" t="s">
        <v>577</v>
      </c>
      <c r="D37" s="76">
        <v>5027</v>
      </c>
      <c r="E37" s="77">
        <v>50027</v>
      </c>
      <c r="F37" s="75" t="s">
        <v>508</v>
      </c>
      <c r="G37" s="78">
        <v>2650890</v>
      </c>
      <c r="H37" s="79">
        <v>823</v>
      </c>
      <c r="I37" s="75" t="s">
        <v>519</v>
      </c>
      <c r="J37" s="80" t="s">
        <v>518</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512</v>
      </c>
    </row>
    <row r="38" spans="1:59">
      <c r="A38" s="74" t="s">
        <v>578</v>
      </c>
      <c r="B38" s="74" t="s">
        <v>579</v>
      </c>
      <c r="C38" s="75" t="s">
        <v>522</v>
      </c>
      <c r="D38" s="76">
        <v>9013</v>
      </c>
      <c r="E38" s="77">
        <v>90013</v>
      </c>
      <c r="F38" s="75" t="s">
        <v>523</v>
      </c>
      <c r="G38" s="78">
        <v>1664496</v>
      </c>
      <c r="H38" s="79">
        <v>635</v>
      </c>
      <c r="I38" s="75" t="s">
        <v>517</v>
      </c>
      <c r="J38" s="80" t="s">
        <v>511</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512</v>
      </c>
    </row>
    <row r="39" spans="1:59">
      <c r="A39" s="74" t="s">
        <v>580</v>
      </c>
      <c r="B39" s="74" t="s">
        <v>581</v>
      </c>
      <c r="C39" s="75" t="s">
        <v>522</v>
      </c>
      <c r="D39" s="76">
        <v>9003</v>
      </c>
      <c r="E39" s="77">
        <v>90003</v>
      </c>
      <c r="F39" s="75" t="s">
        <v>523</v>
      </c>
      <c r="G39" s="78">
        <v>3281212</v>
      </c>
      <c r="H39" s="79">
        <v>616</v>
      </c>
      <c r="I39" s="75" t="s">
        <v>510</v>
      </c>
      <c r="J39" s="80" t="s">
        <v>511</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512</v>
      </c>
    </row>
    <row r="40" spans="1:59">
      <c r="A40" s="74" t="s">
        <v>582</v>
      </c>
      <c r="B40" s="74" t="s">
        <v>583</v>
      </c>
      <c r="C40" s="75" t="s">
        <v>584</v>
      </c>
      <c r="D40" s="76">
        <v>7006</v>
      </c>
      <c r="E40" s="77">
        <v>70006</v>
      </c>
      <c r="F40" s="75" t="s">
        <v>523</v>
      </c>
      <c r="G40" s="78">
        <v>2150706</v>
      </c>
      <c r="H40" s="79">
        <v>493</v>
      </c>
      <c r="I40" s="75" t="s">
        <v>517</v>
      </c>
      <c r="J40" s="80" t="s">
        <v>511</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512</v>
      </c>
    </row>
    <row r="41" spans="1:59">
      <c r="A41" s="74" t="s">
        <v>585</v>
      </c>
      <c r="B41" s="74" t="s">
        <v>586</v>
      </c>
      <c r="C41" s="75" t="s">
        <v>587</v>
      </c>
      <c r="D41" s="76">
        <v>5015</v>
      </c>
      <c r="E41" s="77">
        <v>50015</v>
      </c>
      <c r="F41" s="75" t="s">
        <v>523</v>
      </c>
      <c r="G41" s="78">
        <v>1780673</v>
      </c>
      <c r="H41" s="79">
        <v>418</v>
      </c>
      <c r="I41" s="75" t="s">
        <v>517</v>
      </c>
      <c r="J41" s="80" t="s">
        <v>511</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512</v>
      </c>
    </row>
    <row r="42" spans="1:59">
      <c r="A42" s="74" t="s">
        <v>585</v>
      </c>
      <c r="B42" s="74" t="s">
        <v>586</v>
      </c>
      <c r="C42" s="75" t="s">
        <v>587</v>
      </c>
      <c r="D42" s="76">
        <v>5015</v>
      </c>
      <c r="E42" s="77">
        <v>50015</v>
      </c>
      <c r="F42" s="75" t="s">
        <v>523</v>
      </c>
      <c r="G42" s="78">
        <v>1780673</v>
      </c>
      <c r="H42" s="79">
        <v>418</v>
      </c>
      <c r="I42" s="75" t="s">
        <v>510</v>
      </c>
      <c r="J42" s="80" t="s">
        <v>511</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512</v>
      </c>
    </row>
    <row r="43" spans="1:59">
      <c r="A43" s="74" t="s">
        <v>588</v>
      </c>
      <c r="B43" s="74" t="s">
        <v>589</v>
      </c>
      <c r="C43" s="75" t="s">
        <v>590</v>
      </c>
      <c r="D43" s="76">
        <v>3083</v>
      </c>
      <c r="E43" s="77">
        <v>30083</v>
      </c>
      <c r="F43" s="75" t="s">
        <v>523</v>
      </c>
      <c r="G43" s="78">
        <v>1439666</v>
      </c>
      <c r="H43" s="79">
        <v>417</v>
      </c>
      <c r="I43" s="75" t="s">
        <v>517</v>
      </c>
      <c r="J43" s="80" t="s">
        <v>511</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512</v>
      </c>
    </row>
    <row r="44" spans="1:59">
      <c r="A44" s="74" t="s">
        <v>591</v>
      </c>
      <c r="B44" s="74" t="s">
        <v>592</v>
      </c>
      <c r="C44" s="75" t="s">
        <v>593</v>
      </c>
      <c r="D44" s="76">
        <v>4008</v>
      </c>
      <c r="E44" s="77">
        <v>40008</v>
      </c>
      <c r="F44" s="75" t="s">
        <v>549</v>
      </c>
      <c r="G44" s="78">
        <v>1249442</v>
      </c>
      <c r="H44" s="79">
        <v>409</v>
      </c>
      <c r="I44" s="75" t="s">
        <v>517</v>
      </c>
      <c r="J44" s="80" t="s">
        <v>511</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512</v>
      </c>
    </row>
    <row r="45" spans="1:59">
      <c r="A45" s="74" t="s">
        <v>594</v>
      </c>
      <c r="B45" s="74" t="s">
        <v>595</v>
      </c>
      <c r="C45" s="75" t="s">
        <v>596</v>
      </c>
      <c r="D45" s="76">
        <v>40</v>
      </c>
      <c r="E45" s="77">
        <v>40</v>
      </c>
      <c r="F45" s="75" t="s">
        <v>523</v>
      </c>
      <c r="G45" s="78">
        <v>3059393</v>
      </c>
      <c r="H45" s="79">
        <v>381</v>
      </c>
      <c r="I45" s="75" t="s">
        <v>519</v>
      </c>
      <c r="J45" s="80" t="s">
        <v>518</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512</v>
      </c>
    </row>
    <row r="46" spans="1:59">
      <c r="A46" s="74" t="s">
        <v>594</v>
      </c>
      <c r="B46" s="74" t="s">
        <v>595</v>
      </c>
      <c r="C46" s="75" t="s">
        <v>596</v>
      </c>
      <c r="D46" s="76">
        <v>40</v>
      </c>
      <c r="E46" s="77">
        <v>40</v>
      </c>
      <c r="F46" s="75" t="s">
        <v>523</v>
      </c>
      <c r="G46" s="78">
        <v>3059393</v>
      </c>
      <c r="H46" s="79">
        <v>381</v>
      </c>
      <c r="I46" s="75" t="s">
        <v>517</v>
      </c>
      <c r="J46" s="80" t="s">
        <v>511</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512</v>
      </c>
    </row>
    <row r="47" spans="1:59">
      <c r="A47" s="74" t="s">
        <v>597</v>
      </c>
      <c r="B47" s="74" t="s">
        <v>598</v>
      </c>
      <c r="C47" s="75" t="s">
        <v>507</v>
      </c>
      <c r="D47" s="76">
        <v>2004</v>
      </c>
      <c r="E47" s="77">
        <v>20004</v>
      </c>
      <c r="F47" s="75" t="s">
        <v>523</v>
      </c>
      <c r="G47" s="78">
        <v>935906</v>
      </c>
      <c r="H47" s="79">
        <v>359</v>
      </c>
      <c r="I47" s="75" t="s">
        <v>517</v>
      </c>
      <c r="J47" s="80" t="s">
        <v>511</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512</v>
      </c>
    </row>
    <row r="48" spans="1:59">
      <c r="A48" s="74" t="s">
        <v>599</v>
      </c>
      <c r="B48" s="74" t="s">
        <v>600</v>
      </c>
      <c r="C48" s="75" t="s">
        <v>522</v>
      </c>
      <c r="D48" s="76">
        <v>9019</v>
      </c>
      <c r="E48" s="77">
        <v>90019</v>
      </c>
      <c r="F48" s="75" t="s">
        <v>523</v>
      </c>
      <c r="G48" s="78">
        <v>1723634</v>
      </c>
      <c r="H48" s="79">
        <v>331</v>
      </c>
      <c r="I48" s="75" t="s">
        <v>517</v>
      </c>
      <c r="J48" s="80" t="s">
        <v>511</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512</v>
      </c>
    </row>
    <row r="49" spans="1:59">
      <c r="A49" s="74" t="s">
        <v>601</v>
      </c>
      <c r="B49" s="74" t="s">
        <v>602</v>
      </c>
      <c r="C49" s="75" t="s">
        <v>541</v>
      </c>
      <c r="D49" s="76">
        <v>6007</v>
      </c>
      <c r="E49" s="77">
        <v>60007</v>
      </c>
      <c r="F49" s="75" t="s">
        <v>523</v>
      </c>
      <c r="G49" s="78">
        <v>5121892</v>
      </c>
      <c r="H49" s="79">
        <v>312</v>
      </c>
      <c r="I49" s="75" t="s">
        <v>519</v>
      </c>
      <c r="J49" s="80" t="s">
        <v>518</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512</v>
      </c>
    </row>
    <row r="50" spans="1:59">
      <c r="A50" s="74" t="s">
        <v>603</v>
      </c>
      <c r="B50" s="74" t="s">
        <v>554</v>
      </c>
      <c r="C50" s="75" t="s">
        <v>515</v>
      </c>
      <c r="D50" s="76">
        <v>2098</v>
      </c>
      <c r="E50" s="77">
        <v>20098</v>
      </c>
      <c r="F50" s="75" t="s">
        <v>523</v>
      </c>
      <c r="G50" s="78">
        <v>18351295</v>
      </c>
      <c r="H50" s="79">
        <v>310</v>
      </c>
      <c r="I50" s="75" t="s">
        <v>510</v>
      </c>
      <c r="J50" s="80" t="s">
        <v>511</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512</v>
      </c>
    </row>
    <row r="51" spans="1:59">
      <c r="A51" s="74" t="s">
        <v>604</v>
      </c>
      <c r="B51" s="74" t="s">
        <v>605</v>
      </c>
      <c r="C51" s="75" t="s">
        <v>522</v>
      </c>
      <c r="D51" s="76">
        <v>9030</v>
      </c>
      <c r="E51" s="77">
        <v>90030</v>
      </c>
      <c r="F51" s="75" t="s">
        <v>523</v>
      </c>
      <c r="G51" s="78">
        <v>2956746</v>
      </c>
      <c r="H51" s="79">
        <v>205</v>
      </c>
      <c r="I51" s="75" t="s">
        <v>519</v>
      </c>
      <c r="J51" s="80" t="s">
        <v>518</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512</v>
      </c>
    </row>
    <row r="52" spans="1:59">
      <c r="A52" s="74" t="s">
        <v>606</v>
      </c>
      <c r="B52" s="74" t="s">
        <v>521</v>
      </c>
      <c r="C52" s="75" t="s">
        <v>522</v>
      </c>
      <c r="D52" s="76">
        <v>9151</v>
      </c>
      <c r="E52" s="77">
        <v>90151</v>
      </c>
      <c r="F52" s="75" t="s">
        <v>523</v>
      </c>
      <c r="G52" s="78">
        <v>12150996</v>
      </c>
      <c r="H52" s="79">
        <v>195</v>
      </c>
      <c r="I52" s="75" t="s">
        <v>519</v>
      </c>
      <c r="J52" s="80" t="s">
        <v>518</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512</v>
      </c>
    </row>
    <row r="53" spans="1:59">
      <c r="A53" s="74" t="s">
        <v>607</v>
      </c>
      <c r="B53" s="74" t="s">
        <v>608</v>
      </c>
      <c r="C53" s="75" t="s">
        <v>522</v>
      </c>
      <c r="D53" s="76">
        <v>9134</v>
      </c>
      <c r="E53" s="77">
        <v>90134</v>
      </c>
      <c r="F53" s="75" t="s">
        <v>523</v>
      </c>
      <c r="G53" s="78">
        <v>3281212</v>
      </c>
      <c r="H53" s="79">
        <v>141</v>
      </c>
      <c r="I53" s="75" t="s">
        <v>519</v>
      </c>
      <c r="J53" s="80" t="s">
        <v>518</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512</v>
      </c>
    </row>
    <row r="54" spans="1:59">
      <c r="A54" s="74" t="s">
        <v>609</v>
      </c>
      <c r="B54" s="74" t="s">
        <v>610</v>
      </c>
      <c r="C54" s="75" t="s">
        <v>590</v>
      </c>
      <c r="D54" s="76">
        <v>3073</v>
      </c>
      <c r="E54" s="77">
        <v>30073</v>
      </c>
      <c r="F54" s="75" t="s">
        <v>523</v>
      </c>
      <c r="G54" s="78">
        <v>4586770</v>
      </c>
      <c r="H54" s="79">
        <v>99</v>
      </c>
      <c r="I54" s="75" t="s">
        <v>519</v>
      </c>
      <c r="J54" s="80" t="s">
        <v>518</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512</v>
      </c>
    </row>
    <row r="55" spans="1:59">
      <c r="A55" s="74" t="s">
        <v>611</v>
      </c>
      <c r="B55" s="74" t="s">
        <v>612</v>
      </c>
      <c r="C55" s="75" t="s">
        <v>515</v>
      </c>
      <c r="D55" s="76">
        <v>2075</v>
      </c>
      <c r="E55" s="77">
        <v>20075</v>
      </c>
      <c r="F55" s="75" t="s">
        <v>523</v>
      </c>
      <c r="G55" s="78">
        <v>5441567</v>
      </c>
      <c r="H55" s="79">
        <v>78</v>
      </c>
      <c r="I55" s="75" t="s">
        <v>510</v>
      </c>
      <c r="J55" s="80" t="s">
        <v>511</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512</v>
      </c>
    </row>
    <row r="56" spans="1:59">
      <c r="A56" s="74" t="s">
        <v>613</v>
      </c>
      <c r="B56" s="74" t="s">
        <v>614</v>
      </c>
      <c r="C56" s="75" t="s">
        <v>615</v>
      </c>
      <c r="D56" s="76">
        <v>5104</v>
      </c>
      <c r="E56" s="77">
        <v>50104</v>
      </c>
      <c r="F56" s="75" t="s">
        <v>523</v>
      </c>
      <c r="G56" s="78">
        <v>8608208</v>
      </c>
      <c r="H56" s="79">
        <v>70</v>
      </c>
      <c r="I56" s="75" t="s">
        <v>519</v>
      </c>
      <c r="J56" s="80" t="s">
        <v>511</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512</v>
      </c>
    </row>
    <row r="57" spans="1:59">
      <c r="A57" s="74" t="s">
        <v>616</v>
      </c>
      <c r="B57" s="74" t="s">
        <v>617</v>
      </c>
      <c r="C57" s="75" t="s">
        <v>548</v>
      </c>
      <c r="D57" s="76">
        <v>4077</v>
      </c>
      <c r="E57" s="77">
        <v>40077</v>
      </c>
      <c r="F57" s="75" t="s">
        <v>523</v>
      </c>
      <c r="G57" s="78">
        <v>5502379</v>
      </c>
      <c r="H57" s="79">
        <v>65</v>
      </c>
      <c r="I57" s="75" t="s">
        <v>519</v>
      </c>
      <c r="J57" s="80" t="s">
        <v>518</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512</v>
      </c>
    </row>
    <row r="58" spans="1:59">
      <c r="A58" s="74" t="s">
        <v>618</v>
      </c>
      <c r="B58" s="74" t="s">
        <v>619</v>
      </c>
      <c r="C58" s="75" t="s">
        <v>620</v>
      </c>
      <c r="D58" s="76">
        <v>6111</v>
      </c>
      <c r="E58" s="77">
        <v>60111</v>
      </c>
      <c r="F58" s="75" t="s">
        <v>523</v>
      </c>
      <c r="G58" s="78">
        <v>741318</v>
      </c>
      <c r="H58" s="79">
        <v>58</v>
      </c>
      <c r="I58" s="75" t="s">
        <v>519</v>
      </c>
      <c r="J58" s="80" t="s">
        <v>518</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512</v>
      </c>
    </row>
    <row r="59" spans="1:59">
      <c r="A59" s="74" t="s">
        <v>621</v>
      </c>
      <c r="B59" s="74" t="s">
        <v>622</v>
      </c>
      <c r="C59" s="75" t="s">
        <v>623</v>
      </c>
      <c r="D59" s="76">
        <v>4094</v>
      </c>
      <c r="E59" s="77">
        <v>40094</v>
      </c>
      <c r="F59" s="75" t="s">
        <v>545</v>
      </c>
      <c r="G59" s="78">
        <v>2148346</v>
      </c>
      <c r="H59" s="79">
        <v>54</v>
      </c>
      <c r="I59" s="75" t="s">
        <v>510</v>
      </c>
      <c r="J59" s="80" t="s">
        <v>518</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512</v>
      </c>
    </row>
    <row r="60" spans="1:59">
      <c r="A60" s="74" t="s">
        <v>624</v>
      </c>
      <c r="B60" s="74" t="s">
        <v>625</v>
      </c>
      <c r="C60" s="75" t="s">
        <v>626</v>
      </c>
      <c r="D60" s="76">
        <v>4159</v>
      </c>
      <c r="E60" s="77">
        <v>40159</v>
      </c>
      <c r="F60" s="75" t="s">
        <v>523</v>
      </c>
      <c r="G60" s="78">
        <v>969587</v>
      </c>
      <c r="H60" s="79">
        <v>46</v>
      </c>
      <c r="I60" s="75" t="s">
        <v>519</v>
      </c>
      <c r="J60" s="80" t="s">
        <v>518</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512</v>
      </c>
    </row>
    <row r="61" spans="1:59">
      <c r="A61" s="74" t="s">
        <v>627</v>
      </c>
      <c r="B61" s="74" t="s">
        <v>628</v>
      </c>
      <c r="C61" s="75" t="s">
        <v>507</v>
      </c>
      <c r="D61" s="76">
        <v>2099</v>
      </c>
      <c r="E61" s="77">
        <v>20099</v>
      </c>
      <c r="F61" s="75" t="s">
        <v>508</v>
      </c>
      <c r="G61" s="78">
        <v>18351295</v>
      </c>
      <c r="H61" s="79">
        <v>44</v>
      </c>
      <c r="I61" s="75" t="s">
        <v>510</v>
      </c>
      <c r="J61" s="80" t="s">
        <v>511</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512</v>
      </c>
    </row>
    <row r="62" spans="1:59">
      <c r="A62" s="74" t="s">
        <v>629</v>
      </c>
      <c r="B62" s="74" t="s">
        <v>630</v>
      </c>
      <c r="C62" s="75" t="s">
        <v>631</v>
      </c>
      <c r="D62" s="76">
        <v>1102</v>
      </c>
      <c r="E62" s="77">
        <v>10102</v>
      </c>
      <c r="F62" s="75" t="s">
        <v>545</v>
      </c>
      <c r="G62" s="78">
        <v>924859</v>
      </c>
      <c r="H62" s="79">
        <v>43</v>
      </c>
      <c r="I62" s="75" t="s">
        <v>519</v>
      </c>
      <c r="J62" s="80" t="s">
        <v>518</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512</v>
      </c>
    </row>
    <row r="63" spans="1:59">
      <c r="A63" s="74" t="s">
        <v>632</v>
      </c>
      <c r="B63" s="74" t="s">
        <v>633</v>
      </c>
      <c r="C63" s="75" t="s">
        <v>634</v>
      </c>
      <c r="D63" s="76">
        <v>9209</v>
      </c>
      <c r="E63" s="77">
        <v>90209</v>
      </c>
      <c r="F63" s="75" t="s">
        <v>516</v>
      </c>
      <c r="G63" s="78">
        <v>3629114</v>
      </c>
      <c r="H63" s="79">
        <v>38</v>
      </c>
      <c r="I63" s="75" t="s">
        <v>517</v>
      </c>
      <c r="J63" s="80" t="s">
        <v>518</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512</v>
      </c>
    </row>
    <row r="64" spans="1:59">
      <c r="A64" s="74" t="s">
        <v>635</v>
      </c>
      <c r="B64" s="74" t="s">
        <v>636</v>
      </c>
      <c r="C64" s="75" t="s">
        <v>522</v>
      </c>
      <c r="D64" s="76">
        <v>9182</v>
      </c>
      <c r="E64" s="77">
        <v>90182</v>
      </c>
      <c r="F64" s="75" t="s">
        <v>523</v>
      </c>
      <c r="G64" s="78">
        <v>370583</v>
      </c>
      <c r="H64" s="79">
        <v>35</v>
      </c>
      <c r="I64" s="75" t="s">
        <v>519</v>
      </c>
      <c r="J64" s="80" t="s">
        <v>518</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512</v>
      </c>
    </row>
    <row r="65" spans="1:59">
      <c r="A65" s="74" t="s">
        <v>637</v>
      </c>
      <c r="B65" s="74" t="s">
        <v>638</v>
      </c>
      <c r="C65" s="75" t="s">
        <v>548</v>
      </c>
      <c r="D65" s="76">
        <v>4232</v>
      </c>
      <c r="E65" s="77">
        <v>40232</v>
      </c>
      <c r="F65" s="75" t="s">
        <v>545</v>
      </c>
      <c r="G65" s="78">
        <v>1510516</v>
      </c>
      <c r="H65" s="79">
        <v>25</v>
      </c>
      <c r="I65" s="75" t="s">
        <v>519</v>
      </c>
      <c r="J65" s="80" t="s">
        <v>518</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512</v>
      </c>
    </row>
    <row r="66" spans="1:59">
      <c r="A66" s="74" t="s">
        <v>639</v>
      </c>
      <c r="B66" s="74" t="s">
        <v>566</v>
      </c>
      <c r="C66" s="75" t="s">
        <v>640</v>
      </c>
      <c r="D66" s="76">
        <v>1115</v>
      </c>
      <c r="E66" s="77">
        <v>10115</v>
      </c>
      <c r="F66" s="75" t="s">
        <v>523</v>
      </c>
      <c r="G66" s="78">
        <v>203914</v>
      </c>
      <c r="H66" s="79">
        <v>21</v>
      </c>
      <c r="I66" s="75" t="s">
        <v>519</v>
      </c>
      <c r="J66" s="80" t="s">
        <v>518</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512</v>
      </c>
    </row>
    <row r="67" spans="1:59">
      <c r="A67" s="74" t="s">
        <v>641</v>
      </c>
      <c r="B67" s="74" t="s">
        <v>642</v>
      </c>
      <c r="C67" s="75" t="s">
        <v>538</v>
      </c>
      <c r="D67" s="76">
        <v>3057</v>
      </c>
      <c r="E67" s="77">
        <v>30057</v>
      </c>
      <c r="F67" s="75" t="s">
        <v>545</v>
      </c>
      <c r="G67" s="78">
        <v>5441567</v>
      </c>
      <c r="H67" s="79">
        <v>20</v>
      </c>
      <c r="I67" s="75" t="s">
        <v>519</v>
      </c>
      <c r="J67" s="80" t="s">
        <v>518</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512</v>
      </c>
    </row>
    <row r="68" spans="1:59">
      <c r="A68" s="74" t="s">
        <v>643</v>
      </c>
      <c r="B68" s="74" t="s">
        <v>644</v>
      </c>
      <c r="C68" s="75" t="s">
        <v>522</v>
      </c>
      <c r="D68" s="76"/>
      <c r="E68" s="77">
        <v>90299</v>
      </c>
      <c r="F68" s="75" t="s">
        <v>523</v>
      </c>
      <c r="G68" s="78">
        <v>308231</v>
      </c>
      <c r="H68" s="79">
        <v>12</v>
      </c>
      <c r="I68" s="75" t="s">
        <v>519</v>
      </c>
      <c r="J68" s="80" t="s">
        <v>511</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4.7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691</v>
      </c>
      <c r="C2" s="4">
        <v>138700</v>
      </c>
    </row>
    <row r="3" spans="2:22">
      <c r="B3" s="1" t="s">
        <v>692</v>
      </c>
      <c r="C3">
        <v>3412.14</v>
      </c>
      <c r="H3" s="37"/>
    </row>
    <row r="4" spans="2:22">
      <c r="B4" s="1" t="s">
        <v>464</v>
      </c>
      <c r="C4" s="87" t="s">
        <v>693</v>
      </c>
      <c r="D4" s="87" t="s">
        <v>510</v>
      </c>
      <c r="E4" s="87" t="s">
        <v>519</v>
      </c>
      <c r="F4" s="87" t="s">
        <v>517</v>
      </c>
    </row>
    <row r="5" spans="2:22">
      <c r="B5" s="1"/>
      <c r="C5" s="1"/>
      <c r="D5" s="1"/>
      <c r="E5" s="1"/>
      <c r="F5" s="1"/>
    </row>
    <row r="6" spans="2:22">
      <c r="B6" s="1"/>
      <c r="C6" s="1"/>
      <c r="D6" s="1"/>
      <c r="E6" s="88" t="s">
        <v>694</v>
      </c>
      <c r="F6" s="88"/>
      <c r="G6" s="89"/>
      <c r="H6" s="89"/>
      <c r="I6" s="89"/>
      <c r="J6" s="89"/>
      <c r="K6" s="89"/>
      <c r="L6" s="89"/>
      <c r="M6" s="89"/>
      <c r="N6" s="89"/>
      <c r="O6" s="89"/>
      <c r="P6" s="90" t="s">
        <v>695</v>
      </c>
      <c r="Q6" s="91"/>
      <c r="R6" s="91"/>
      <c r="S6" s="91"/>
      <c r="T6" s="91"/>
      <c r="U6" s="91"/>
      <c r="V6" s="91"/>
    </row>
    <row r="7" spans="2:22">
      <c r="G7" s="92"/>
      <c r="H7" s="1" t="s">
        <v>663</v>
      </c>
      <c r="I7" s="1"/>
      <c r="J7" s="1"/>
      <c r="K7" s="1"/>
      <c r="N7" s="1"/>
      <c r="O7" s="1"/>
    </row>
    <row r="8" spans="2:22">
      <c r="B8" s="93" t="s">
        <v>457</v>
      </c>
      <c r="C8" s="93" t="s">
        <v>457</v>
      </c>
      <c r="D8" s="1" t="s">
        <v>696</v>
      </c>
      <c r="E8" s="1" t="s">
        <v>468</v>
      </c>
      <c r="F8" s="1" t="s">
        <v>478</v>
      </c>
      <c r="G8" s="1" t="s">
        <v>500</v>
      </c>
      <c r="H8" s="1" t="s">
        <v>296</v>
      </c>
      <c r="I8" s="1" t="s">
        <v>671</v>
      </c>
      <c r="J8" s="1" t="s">
        <v>697</v>
      </c>
      <c r="K8" s="1" t="s">
        <v>698</v>
      </c>
      <c r="L8" s="94" t="s">
        <v>699</v>
      </c>
      <c r="M8" s="94" t="s">
        <v>700</v>
      </c>
      <c r="N8" s="94" t="s">
        <v>701</v>
      </c>
      <c r="O8" s="94" t="s">
        <v>702</v>
      </c>
      <c r="P8" s="1" t="s">
        <v>647</v>
      </c>
      <c r="Q8" s="1" t="s">
        <v>655</v>
      </c>
      <c r="R8" s="1" t="s">
        <v>659</v>
      </c>
      <c r="S8" s="1" t="s">
        <v>703</v>
      </c>
      <c r="T8" s="1" t="s">
        <v>704</v>
      </c>
      <c r="U8" s="94" t="s">
        <v>705</v>
      </c>
      <c r="V8" s="94" t="s">
        <v>706</v>
      </c>
    </row>
    <row r="9" spans="2:22">
      <c r="B9" s="95" t="s">
        <v>707</v>
      </c>
      <c r="C9" s="95" t="s">
        <v>708</v>
      </c>
      <c r="D9" t="s">
        <v>709</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710</v>
      </c>
      <c r="C10" s="95" t="s">
        <v>711</v>
      </c>
      <c r="D10" t="s">
        <v>712</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713</v>
      </c>
      <c r="C11" s="95" t="s">
        <v>634</v>
      </c>
      <c r="D11" t="s">
        <v>714</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715</v>
      </c>
      <c r="C12" s="95" t="s">
        <v>716</v>
      </c>
      <c r="D12" t="s">
        <v>717</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718</v>
      </c>
      <c r="C13" s="95" t="s">
        <v>522</v>
      </c>
      <c r="D13" t="s">
        <v>719</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720</v>
      </c>
      <c r="C14" s="95" t="s">
        <v>552</v>
      </c>
      <c r="D14" t="s">
        <v>721</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722</v>
      </c>
      <c r="C15" s="95" t="s">
        <v>631</v>
      </c>
      <c r="D15" t="s">
        <v>723</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724</v>
      </c>
      <c r="C16" s="95" t="s">
        <v>725</v>
      </c>
      <c r="D16" t="s">
        <v>726</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526</v>
      </c>
      <c r="C17" s="95" t="s">
        <v>526</v>
      </c>
      <c r="D17" t="s">
        <v>727</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728</v>
      </c>
      <c r="C18" s="95" t="s">
        <v>548</v>
      </c>
      <c r="D18" t="s">
        <v>729</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730</v>
      </c>
      <c r="C19" s="95" t="s">
        <v>570</v>
      </c>
      <c r="D19" t="s">
        <v>731</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732</v>
      </c>
      <c r="C20" s="95" t="s">
        <v>733</v>
      </c>
      <c r="D20" t="s">
        <v>734</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735</v>
      </c>
      <c r="C21" s="95" t="s">
        <v>736</v>
      </c>
      <c r="D21" t="s">
        <v>737</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738</v>
      </c>
      <c r="C22" s="95" t="s">
        <v>529</v>
      </c>
      <c r="D22" t="s">
        <v>739</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740</v>
      </c>
      <c r="C23" s="95" t="s">
        <v>615</v>
      </c>
      <c r="D23" t="s">
        <v>741</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742</v>
      </c>
      <c r="C24" s="95" t="s">
        <v>743</v>
      </c>
      <c r="D24" t="s">
        <v>744</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745</v>
      </c>
      <c r="C25" s="95" t="s">
        <v>746</v>
      </c>
      <c r="D25" t="s">
        <v>747</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748</v>
      </c>
      <c r="C26" s="95" t="s">
        <v>749</v>
      </c>
      <c r="D26" t="s">
        <v>750</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751</v>
      </c>
      <c r="C27" s="95" t="s">
        <v>752</v>
      </c>
      <c r="D27" t="s">
        <v>753</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754</v>
      </c>
      <c r="C28" s="95" t="s">
        <v>640</v>
      </c>
      <c r="D28" t="s">
        <v>755</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756</v>
      </c>
      <c r="C29" s="95" t="s">
        <v>544</v>
      </c>
      <c r="D29" t="s">
        <v>757</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758</v>
      </c>
      <c r="C30" s="95" t="s">
        <v>534</v>
      </c>
      <c r="D30" t="s">
        <v>759</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760</v>
      </c>
      <c r="C31" s="95" t="s">
        <v>761</v>
      </c>
      <c r="D31" t="s">
        <v>762</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763</v>
      </c>
      <c r="C32" s="95" t="s">
        <v>577</v>
      </c>
      <c r="D32" t="s">
        <v>764</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765</v>
      </c>
      <c r="C33" s="95" t="s">
        <v>766</v>
      </c>
      <c r="D33" t="s">
        <v>767</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768</v>
      </c>
      <c r="C34" s="95" t="s">
        <v>584</v>
      </c>
      <c r="D34" t="s">
        <v>769</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770</v>
      </c>
      <c r="C35" s="95" t="s">
        <v>771</v>
      </c>
      <c r="D35" t="s">
        <v>772</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773</v>
      </c>
      <c r="C36" s="95" t="s">
        <v>774</v>
      </c>
      <c r="D36" t="s">
        <v>775</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776</v>
      </c>
      <c r="C37" s="95" t="s">
        <v>777</v>
      </c>
      <c r="D37" t="s">
        <v>778</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779</v>
      </c>
      <c r="C38" s="95" t="s">
        <v>780</v>
      </c>
      <c r="D38" t="s">
        <v>781</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782</v>
      </c>
      <c r="C39" s="95" t="s">
        <v>515</v>
      </c>
      <c r="D39" t="s">
        <v>783</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784</v>
      </c>
      <c r="C40" s="95" t="s">
        <v>620</v>
      </c>
      <c r="D40" t="s">
        <v>785</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554</v>
      </c>
      <c r="C41" s="95" t="s">
        <v>507</v>
      </c>
      <c r="D41" t="s">
        <v>786</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787</v>
      </c>
      <c r="C42" s="95" t="s">
        <v>593</v>
      </c>
      <c r="D42" t="s">
        <v>788</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789</v>
      </c>
      <c r="C43" s="95" t="s">
        <v>790</v>
      </c>
      <c r="D43" t="s">
        <v>791</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792</v>
      </c>
      <c r="C44" s="95" t="s">
        <v>587</v>
      </c>
      <c r="D44" t="s">
        <v>793</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794</v>
      </c>
      <c r="C45" s="95" t="s">
        <v>795</v>
      </c>
      <c r="D45" t="s">
        <v>796</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797</v>
      </c>
      <c r="C46" s="95" t="s">
        <v>567</v>
      </c>
      <c r="D46" t="s">
        <v>798</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799</v>
      </c>
      <c r="C47" s="95" t="s">
        <v>538</v>
      </c>
      <c r="D47" t="s">
        <v>800</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801</v>
      </c>
      <c r="C48" s="95" t="s">
        <v>802</v>
      </c>
      <c r="D48" t="s">
        <v>803</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804</v>
      </c>
      <c r="C49" s="95" t="s">
        <v>805</v>
      </c>
      <c r="D49" t="s">
        <v>806</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807</v>
      </c>
      <c r="C50" s="95" t="s">
        <v>808</v>
      </c>
      <c r="D50" t="s">
        <v>809</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810</v>
      </c>
      <c r="C51" s="95" t="s">
        <v>626</v>
      </c>
      <c r="D51" t="s">
        <v>811</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812</v>
      </c>
      <c r="C52" s="95" t="s">
        <v>541</v>
      </c>
      <c r="D52" t="s">
        <v>813</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814</v>
      </c>
      <c r="C53" s="95" t="s">
        <v>559</v>
      </c>
      <c r="D53" t="s">
        <v>815</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816</v>
      </c>
      <c r="C54" s="95" t="s">
        <v>817</v>
      </c>
      <c r="D54" t="s">
        <v>818</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819</v>
      </c>
      <c r="C55" s="95" t="s">
        <v>590</v>
      </c>
      <c r="D55" t="s">
        <v>820</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525</v>
      </c>
      <c r="C56" s="95" t="s">
        <v>596</v>
      </c>
      <c r="D56" t="s">
        <v>821</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822</v>
      </c>
      <c r="C57" s="95" t="s">
        <v>823</v>
      </c>
      <c r="D57" t="s">
        <v>824</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825</v>
      </c>
      <c r="C58" s="95" t="s">
        <v>826</v>
      </c>
      <c r="D58" t="s">
        <v>827</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828</v>
      </c>
      <c r="C59" s="95" t="s">
        <v>829</v>
      </c>
      <c r="D59" t="s">
        <v>830</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831</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832</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H17"/>
  <sheetViews>
    <sheetView tabSelected="1" workbookViewId="0">
      <selection activeCell="E14" sqref="E14"/>
    </sheetView>
  </sheetViews>
  <sheetFormatPr defaultRowHeight="14.75"/>
  <cols>
    <col min="1" max="1" width="33.54296875" customWidth="1"/>
  </cols>
  <sheetData>
    <row r="1" spans="1:8">
      <c r="A1" s="1" t="s">
        <v>2801</v>
      </c>
    </row>
    <row r="2" spans="1:8">
      <c r="A2" s="18" t="s">
        <v>264</v>
      </c>
      <c r="B2" s="5" t="s">
        <v>10</v>
      </c>
      <c r="C2" s="5" t="s">
        <v>11</v>
      </c>
      <c r="D2" s="5" t="s">
        <v>12</v>
      </c>
      <c r="E2" s="5" t="s">
        <v>13</v>
      </c>
      <c r="F2" s="5" t="s">
        <v>14</v>
      </c>
      <c r="G2" s="5" t="s">
        <v>240</v>
      </c>
      <c r="H2" s="5" t="s">
        <v>241</v>
      </c>
    </row>
    <row r="3" spans="1:8">
      <c r="A3" s="1" t="s">
        <v>4</v>
      </c>
      <c r="B3" s="20">
        <f>(SUM(INDEX('AEO 2023 39'!$22:$24,0,MATCH(About!$B$98,'AEO 2023 39'!$1:$1,0)))+SUM(INDEX('AEO 2023 39'!$44:$46,0,MATCH(About!$B$98,'AEO 2023 39'!$1:$1,0))))*1000000</f>
        <v>2799214</v>
      </c>
      <c r="C3" s="20">
        <f>(SUM(INDEX('AEO 2023 39'!$29:$30,0,MATCH(About!$B$98,'AEO 2023 39'!$1:$1,0)))+SUM(INDEX('AEO 2023 39'!$51:$52,0,MATCH(About!$B$98,'AEO 2023 39'!$1:$1,0))))*1000000</f>
        <v>16648</v>
      </c>
      <c r="D3"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3" s="20">
        <f>(INDEX('AEO 2023 39'!$18:$18,MATCH(About!$B$98,'AEO 2023 39'!$1:$1,0))+INDEX('AEO 2023 39'!$40:$40,MATCH(About!$B$98,'AEO 2023 39'!$1:$1,0)))*1000000</f>
        <v>1348635</v>
      </c>
      <c r="F3" s="20">
        <f>(SUM(INDEX('AEO 2023 39'!$25:$26,0,MATCH(About!$B$98,'AEO 2023 39'!$1:$1,0)))+SUM(INDEX('AEO 2023 39'!$47:$48,0,MATCH(About!$B$98,'AEO 2023 39'!$1:$1,0))))*1000000</f>
        <v>1130472.0000000002</v>
      </c>
      <c r="G3" s="20">
        <f>(SUM(INDEX('AEO 2023 39'!$31:$32,0,MATCH(About!$B$98,'AEO 2023 39'!$1:$1,0)))+SUM(INDEX('AEO 2023 39'!$53:$54,0,MATCH(About!$B$98,'AEO 2023 39'!$1:$1,0))))*1000000</f>
        <v>16384</v>
      </c>
      <c r="H3" s="20">
        <f>(SUM(INDEX('AEO 2023 39'!$34:$34,0,MATCH(About!$B$98,'AEO 2023 39'!$1:$1,0)))+SUM(INDEX('AEO 2023 39'!$56:$56,0,MATCH(About!$B$98,'AEO 2023 39'!$1:$1,0))))*1000000</f>
        <v>15809</v>
      </c>
    </row>
    <row r="4" spans="1:8">
      <c r="A4" s="1" t="s">
        <v>5</v>
      </c>
      <c r="B4" s="20">
        <f>Misc!A3</f>
        <v>300</v>
      </c>
      <c r="C4" s="20">
        <f>SUM(INDEX('AEO 2023 36'!$66:$66,MATCH(About!$B$98,'AEO 2023 36'!$1:$1,0)),INDEX('AEO 2023 36'!$74:$74,MATCH(About!$B$98,'AEO 2023 36'!$1:$1,0)),INDEX('AEO 2023 36'!$82:$82,MATCH(About!$B$98,'AEO 2023 36'!$1:$1,0)))/INDEX('AEO 2023 36'!$61:$61,MATCH(About!$B$98,'AEO 2023 36'!$1:$1,0))*INDEX('NTS 1-11'!$12:$12,MATCH(About!$B$98,'NTS 1-11'!$2:$2,0))</f>
        <v>123405.86316307285</v>
      </c>
      <c r="D4" s="20">
        <f>SUM(INDEX('AEO 2023 36'!$63:$63,MATCH(About!$B$98,'AEO 2023 36'!$1:$1,0)),INDEX('AEO 2023 36'!$71:$71,MATCH(About!$B$98,'AEO 2023 36'!$1:$1,0)),INDEX('AEO 2023 36'!$79:$79,MATCH(About!$B$98,'AEO 2023 36'!$1:$1,0)))/INDEX('AEO 2023 36'!$61:$61,MATCH(About!$B$98,'AEO 2023 36'!$1:$1,0))*INDEX('NTS 1-11'!$12:$12,MATCH(About!$B$98,'NTS 1-11'!$2:$2,0))</f>
        <v>98369.804893824577</v>
      </c>
      <c r="E4" s="20">
        <f>SUM(INDEX('AEO 2023 36'!$65:$65,MATCH(About!$B$98,'AEO 2023 36'!$1:$1,0)),INDEX('AEO 2023 36'!$73:$73,MATCH(About!$B$98,'AEO 2023 36'!$1:$1,0)),INDEX('AEO 2023 36'!$81:$81,MATCH(About!$B$98,'AEO 2023 36'!$1:$1,0)))/INDEX('AEO 2023 36'!$61:$61,MATCH(About!$B$98,'AEO 2023 36'!$1:$1,0))*INDEX('NTS 1-11'!$12:$12,MATCH(About!$B$98,'NTS 1-11'!$2:$2,0))</f>
        <v>703911.92875736777</v>
      </c>
      <c r="F4" s="20">
        <v>0</v>
      </c>
      <c r="G4" s="20">
        <f>SUM(INDEX('AEO 2023 36'!$67:$67,MATCH(About!$B$98,'AEO 2023 36'!$1:$1,0)),INDEX('AEO 2023 36'!$75:$75,MATCH(About!$B$98,'AEO 2023 36'!$1:$1,0)),INDEX('AEO 2023 36'!$83:$83,MATCH(About!$B$98,'AEO 2023 36'!$1:$1,0)))/INDEX('AEO 2023 36'!$61:$61,MATCH(About!$B$98,'AEO 2023 36'!$1:$1,0))*INDEX('NTS 1-11'!$12:$12,MATCH(About!$B$98,'NTS 1-11'!$2:$2,0))</f>
        <v>41837.429476286045</v>
      </c>
      <c r="H4" s="20">
        <f>SUM(INDEX('AEO 2023 36'!$69:$69,MATCH(About!$B$98,'AEO 2023 36'!$1:$1,0)),INDEX('AEO 2023 36'!$77:$77,MATCH(About!$B$98,'AEO 2023 36'!$1:$1,0)),INDEX('AEO 2023 36'!$85:$85,MATCH(About!$B$98,'AEO 2023 36'!$1:$1,0)))/INDEX('AEO 2023 36'!$61:$61,MATCH(About!$B$98,'AEO 2023 36'!$1:$1,0))*INDEX('NTS 1-11'!$12:$12,MATCH(About!$B$98,'NTS 1-11'!$2:$2,0))</f>
        <v>105.31556700313551</v>
      </c>
    </row>
    <row r="5" spans="1:8">
      <c r="A5" s="1" t="s">
        <v>6</v>
      </c>
      <c r="B5" s="20">
        <v>0</v>
      </c>
      <c r="C5" s="20">
        <v>0</v>
      </c>
      <c r="D5" s="20">
        <v>0</v>
      </c>
      <c r="E5" s="20">
        <f>'AEO 2025 48'!F76</f>
        <v>6646.0996089999999</v>
      </c>
      <c r="F5" s="20">
        <v>0</v>
      </c>
      <c r="G5" s="20">
        <v>0</v>
      </c>
      <c r="H5" s="20">
        <v>0</v>
      </c>
    </row>
    <row r="6" spans="1:8">
      <c r="A6" s="1" t="s">
        <v>7</v>
      </c>
      <c r="B6" s="20">
        <f>'psgr rail calcs'!O62</f>
        <v>2563.6060360683009</v>
      </c>
      <c r="C6" s="20">
        <v>0</v>
      </c>
      <c r="D6" s="20">
        <v>0</v>
      </c>
      <c r="E6" s="20">
        <f>'psgr rail calcs'!N62</f>
        <v>173.39396393169866</v>
      </c>
      <c r="F6" s="20">
        <v>0</v>
      </c>
      <c r="G6" s="20">
        <v>0</v>
      </c>
      <c r="H6" s="20">
        <v>0</v>
      </c>
    </row>
    <row r="7" spans="1:8">
      <c r="A7" s="1" t="s">
        <v>8</v>
      </c>
      <c r="B7" s="20">
        <v>0</v>
      </c>
      <c r="C7" s="20">
        <v>0</v>
      </c>
      <c r="D7" s="20">
        <f>SUM('NRBS 40'!B5,'NRBS 40'!B7,'NRBS 40'!B8)*1000*Misc!A8</f>
        <v>10231405.018379824</v>
      </c>
      <c r="E7" s="20">
        <f>SUM('NRBS 40'!B5,'NRBS 40'!B7,'NRBS 40'!B8)*1000*Misc!A9</f>
        <v>2473594.5350763109</v>
      </c>
      <c r="F7" s="20">
        <v>0</v>
      </c>
      <c r="G7" s="20">
        <v>0</v>
      </c>
      <c r="H7" s="20">
        <v>0</v>
      </c>
    </row>
    <row r="8" spans="1:8">
      <c r="A8" s="1" t="s">
        <v>9</v>
      </c>
      <c r="B8" s="20">
        <v>0</v>
      </c>
      <c r="C8" s="20">
        <v>0</v>
      </c>
      <c r="D8" s="20">
        <f>'NTS 1-11'!AO8</f>
        <v>9516910</v>
      </c>
      <c r="E8" s="20">
        <v>0</v>
      </c>
      <c r="F8" s="20">
        <v>0</v>
      </c>
      <c r="G8" s="20">
        <v>0</v>
      </c>
      <c r="H8" s="20">
        <v>0</v>
      </c>
    </row>
    <row r="10" spans="1:8">
      <c r="A10" s="1" t="s">
        <v>2800</v>
      </c>
    </row>
    <row r="11" spans="1:8">
      <c r="A11" s="18" t="s">
        <v>264</v>
      </c>
      <c r="B11" s="5" t="s">
        <v>10</v>
      </c>
      <c r="C11" s="5" t="s">
        <v>11</v>
      </c>
      <c r="D11" s="5" t="s">
        <v>12</v>
      </c>
      <c r="E11" s="5" t="s">
        <v>13</v>
      </c>
      <c r="F11" s="5" t="s">
        <v>14</v>
      </c>
      <c r="G11" s="5" t="s">
        <v>240</v>
      </c>
      <c r="H11" s="5" t="s">
        <v>241</v>
      </c>
    </row>
    <row r="12" spans="1:8">
      <c r="A12" s="1" t="s">
        <v>4</v>
      </c>
      <c r="B12" s="6">
        <f>SUM(INDEX('AEO 2023 45'!66:66,0,MATCH(About!$B$98,'AEO 2023 45'!1:1,0)))*1000+SUM(INDEX('AEO 2023 49'!$139:$139,MATCH(About!$B$98,'AEO 2023 49'!$1:$1,0)),INDEX('AEO 2023 49'!$150:$150,MATCH(About!$B$98,'AEO 2023 49'!$1:$1,0)))*10^6</f>
        <v>368.00000000000006</v>
      </c>
      <c r="C12" s="6">
        <f>SUM(INDEX('AEO 2023 45'!64:64,0,MATCH(About!$B$98,'AEO 2023 45'!1:1,0)))*1000+SUM(INDEX('AEO 2023 49'!$137:$137,MATCH(About!$B$98,'AEO 2023 49'!$1:$1,0)),INDEX('AEO 2023 49'!$148:$148,MATCH(About!$B$98,'AEO 2023 49'!$1:$1,0)))*10^6</f>
        <v>15528.946</v>
      </c>
      <c r="D1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12" s="6">
        <f>INDEX('AEO 2023 45'!62:62,MATCH(About!$B$98,'AEO 2023 45'!$1:$1,0))*1000+SUM(INDEX('AEO 2023 49'!$134:$134,MATCH(About!$B$98,'AEO 2023 49'!$1:$1,0)),INDEX('AEO 2023 49'!$145:$145,MATCH(About!$B$98,'AEO 2023 49'!$1:$1,0)))*10^6</f>
        <v>10634736.973000001</v>
      </c>
      <c r="F12" s="6">
        <f>INDEX('AEO 2023 45'!67:67,MATCH(About!$B$98,'AEO 2023 45'!$1:$1,0))*1000+INDEX('AEO 2023 45'!68:68,MATCH(About!$B$98,'AEO 2023 45'!$1:$1,0))*1000+SUM(SUM(INDEX('AEO 2023 49'!$140:$141,0,MATCH(About!$B$98,'AEO 2023 49'!1:1,0))),SUM(INDEX('AEO 2023 49'!$151:$152,0,MATCH(About!$B$98,'AEO 2023 49'!1:1,0))))*10^6</f>
        <v>2288.1999999999998</v>
      </c>
      <c r="G12" s="6">
        <f>SUM(INDEX('AEO 2023 45'!63:63,0,MATCH(About!$B$98,'AEO 2023 45'!1:1,0)))*1000+SUM(INDEX('AEO 2023 49'!$136:$136,MATCH(About!$B$98,'AEO 2023 49'!$1:$1,0)),INDEX('AEO 2023 49'!$147:$147,MATCH(About!$B$98,'AEO 2023 49'!$1:$1,0)))*10^6</f>
        <v>3349.4049999999997</v>
      </c>
      <c r="H12" s="6">
        <f>SUM(INDEX('AEO 2023 45'!69:69,0,MATCH(About!$B$98,'AEO 2023 45'!1:1,0)))*1000+SUM(INDEX('AEO 2023 49'!$142:$142,MATCH(About!$B$98,'AEO 2023 49'!$1:$1,0)),INDEX('AEO 2023 49'!$153:$153,MATCH(About!$B$98,'AEO 2023 49'!$1:$1,0)))*10^6</f>
        <v>0</v>
      </c>
    </row>
    <row r="13" spans="1:8">
      <c r="A13" s="1" t="s">
        <v>5</v>
      </c>
      <c r="B13" s="6">
        <f>INDEX('AEO 2023 49'!$161:$161,MATCH(About!$B$98,'AEO 2023 49'!$1:$1,0))*10^6</f>
        <v>255.00000000000003</v>
      </c>
      <c r="C13" s="6">
        <f>INDEX('AEO 2023 49'!$159:$159,MATCH(About!$B$98,'AEO 2023 49'!$1:$1,0))*10^6</f>
        <v>53506</v>
      </c>
      <c r="D13" s="6">
        <f>SUM(INDEX('AEO 2023 49'!$157:$157,MATCH(About!$B$98,'AEO 2023 49'!$1:$1,0)),INDEX('AEO 2023 49'!$160:$160,MATCH(About!$B$98,'AEO 2023 49'!$1:$1,0)))*10^6</f>
        <v>39244</v>
      </c>
      <c r="E13" s="6">
        <f>INDEX('AEO 2023 49'!$156:$156,MATCH(About!$B$98,'AEO 2023 49'!$1:$1,0))*10^6</f>
        <v>5288878</v>
      </c>
      <c r="F13" s="6">
        <f>SUM(INDEX('AEO 2023 49'!$162:$163,0,MATCH(About!$B$98,'AEO 2023 49'!1:1,0)))*10^6</f>
        <v>0</v>
      </c>
      <c r="G13" s="6">
        <f>INDEX('AEO 2023 49'!$158:$158,MATCH(About!$B$98,'AEO 2023 49'!$1:$1,0))*10^6</f>
        <v>3134</v>
      </c>
      <c r="H13" s="6">
        <f>INDEX('AEO 2023 49'!$164:$164,MATCH(About!$B$98,'AEO 2023 49'!$1:$1,0))*10^6</f>
        <v>0</v>
      </c>
    </row>
    <row r="14" spans="1:8">
      <c r="A14" s="1" t="s">
        <v>6</v>
      </c>
      <c r="B14" s="6">
        <v>0</v>
      </c>
      <c r="C14" s="6">
        <v>0</v>
      </c>
      <c r="D14" s="6">
        <v>0</v>
      </c>
      <c r="E14" s="6">
        <f>'AEO 2025 48'!F214</f>
        <v>1068.7120359999999</v>
      </c>
      <c r="F14" s="6">
        <v>0</v>
      </c>
      <c r="G14" s="6">
        <v>0</v>
      </c>
      <c r="H14" s="6">
        <v>0</v>
      </c>
    </row>
    <row r="15" spans="1:8">
      <c r="A15" s="1" t="s">
        <v>7</v>
      </c>
      <c r="B15" s="6">
        <v>0</v>
      </c>
      <c r="C15" s="6">
        <v>0</v>
      </c>
      <c r="D15" s="6">
        <v>0</v>
      </c>
      <c r="E15" s="6">
        <f>INDEX('NTS 1-11'!$23:$23,MATCH(About!$B$98,'NTS 1-11'!$2:$2,0))*(SUM(FRA!E2:E4)/FRA!E2)</f>
        <v>24526.1775147929</v>
      </c>
      <c r="F15" s="6">
        <v>0</v>
      </c>
      <c r="G15" s="6">
        <v>0</v>
      </c>
      <c r="H15" s="6">
        <v>0</v>
      </c>
    </row>
    <row r="16" spans="1:8">
      <c r="A16" s="1" t="s">
        <v>8</v>
      </c>
      <c r="B16" s="6">
        <v>0</v>
      </c>
      <c r="C16" s="6">
        <v>0</v>
      </c>
      <c r="D16" s="6">
        <v>0</v>
      </c>
      <c r="E16" s="6">
        <f>SUM(INDEX('NTS 1-11'!30:31,0,MATCH(About!$B$98,'NTS 1-11'!2:2,0)))*('AEO 2023 7'!C63/SUM('AEO 2023 7'!C62:C63))</f>
        <v>9678.1610755012989</v>
      </c>
      <c r="F16" s="6">
        <v>0</v>
      </c>
      <c r="G16" s="6">
        <v>0</v>
      </c>
      <c r="H16" s="6">
        <v>0</v>
      </c>
    </row>
    <row r="17" spans="1:8">
      <c r="A17" s="1" t="s">
        <v>9</v>
      </c>
      <c r="B17" s="6">
        <v>0</v>
      </c>
      <c r="C17" s="6">
        <v>0</v>
      </c>
      <c r="D17" s="6">
        <v>0</v>
      </c>
      <c r="E17" s="6">
        <v>0</v>
      </c>
      <c r="F17" s="6">
        <v>0</v>
      </c>
      <c r="G17" s="6">
        <v>0</v>
      </c>
      <c r="H17" s="6">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election activeCell="A2" sqref="A2"/>
    </sheetView>
  </sheetViews>
  <sheetFormatPr defaultRowHeight="14.75"/>
  <cols>
    <col min="1" max="1" width="16.86328125" customWidth="1"/>
    <col min="2" max="8" width="13.54296875" customWidth="1"/>
    <col min="9" max="9" width="10" bestFit="1" customWidth="1"/>
    <col min="10" max="10" width="14.40625" bestFit="1" customWidth="1"/>
  </cols>
  <sheetData>
    <row r="1" spans="1:10" ht="29.5">
      <c r="A1" s="18" t="s">
        <v>264</v>
      </c>
      <c r="B1" s="5" t="s">
        <v>10</v>
      </c>
      <c r="C1" s="5" t="s">
        <v>11</v>
      </c>
      <c r="D1" s="5" t="s">
        <v>12</v>
      </c>
      <c r="E1" s="5" t="s">
        <v>13</v>
      </c>
      <c r="F1" s="5" t="s">
        <v>14</v>
      </c>
      <c r="G1" s="5" t="s">
        <v>240</v>
      </c>
      <c r="H1" s="5" t="s">
        <v>241</v>
      </c>
    </row>
    <row r="2" spans="1:10">
      <c r="A2" s="1" t="s">
        <v>4</v>
      </c>
      <c r="B2" s="20">
        <f>ROUND(calcs!B3,0)</f>
        <v>2799214</v>
      </c>
      <c r="C2" s="20">
        <f>ROUND(calcs!C3,0)</f>
        <v>16648</v>
      </c>
      <c r="D2" s="20">
        <f>ROUND(calcs!D3,0)</f>
        <v>256819978</v>
      </c>
      <c r="E2" s="20">
        <f>ROUND(calcs!E3,0)</f>
        <v>1348635</v>
      </c>
      <c r="F2" s="20">
        <f>ROUND(calcs!F3,0)</f>
        <v>1130472</v>
      </c>
      <c r="G2" s="20">
        <f>ROUND(calcs!G3,0)</f>
        <v>16384</v>
      </c>
      <c r="H2" s="20">
        <f>ROUND(calcs!H3,0)</f>
        <v>15809</v>
      </c>
      <c r="J2" s="169"/>
    </row>
    <row r="3" spans="1:10">
      <c r="A3" s="1" t="s">
        <v>5</v>
      </c>
      <c r="B3" s="20">
        <f>ROUND(calcs!B4,0)</f>
        <v>300</v>
      </c>
      <c r="C3" s="20">
        <f>ROUND(calcs!C4,0)</f>
        <v>123406</v>
      </c>
      <c r="D3" s="20">
        <f>ROUND(calcs!D4,0)</f>
        <v>98370</v>
      </c>
      <c r="E3" s="20">
        <f>ROUND(calcs!E4,0)</f>
        <v>703912</v>
      </c>
      <c r="F3" s="20">
        <f>ROUND(calcs!F4,0)</f>
        <v>0</v>
      </c>
      <c r="G3" s="20">
        <f>ROUND(calcs!G4,0)</f>
        <v>41837</v>
      </c>
      <c r="H3" s="20">
        <f>ROUND(calcs!H4,0)</f>
        <v>105</v>
      </c>
      <c r="J3" s="169"/>
    </row>
    <row r="4" spans="1:10">
      <c r="A4" s="1" t="s">
        <v>6</v>
      </c>
      <c r="B4" s="20">
        <f>ROUND(calcs!B5,0)</f>
        <v>0</v>
      </c>
      <c r="C4" s="20">
        <f>ROUND(calcs!C5,0)</f>
        <v>0</v>
      </c>
      <c r="D4" s="20">
        <f>ROUND(calcs!D5,0)</f>
        <v>0</v>
      </c>
      <c r="E4" s="20">
        <f>ROUND(calcs!E5,0)</f>
        <v>6646</v>
      </c>
      <c r="F4" s="20">
        <f>ROUND(calcs!F5,0)</f>
        <v>0</v>
      </c>
      <c r="G4" s="20">
        <f>ROUND(calcs!G5,0)</f>
        <v>0</v>
      </c>
      <c r="H4" s="20">
        <f>ROUND(calcs!H5,0)</f>
        <v>0</v>
      </c>
      <c r="J4" s="169"/>
    </row>
    <row r="5" spans="1:10">
      <c r="A5" s="1" t="s">
        <v>7</v>
      </c>
      <c r="B5" s="20">
        <f>ROUND(calcs!B6,0)</f>
        <v>2564</v>
      </c>
      <c r="C5" s="20">
        <f>ROUND(calcs!C6,0)</f>
        <v>0</v>
      </c>
      <c r="D5" s="20">
        <f>ROUND(calcs!D6,0)</f>
        <v>0</v>
      </c>
      <c r="E5" s="20">
        <f>ROUND(calcs!E6,0)</f>
        <v>173</v>
      </c>
      <c r="F5" s="20">
        <f>ROUND(calcs!F6,0)</f>
        <v>0</v>
      </c>
      <c r="G5" s="20">
        <f>ROUND(calcs!G6,0)</f>
        <v>0</v>
      </c>
      <c r="H5" s="20">
        <f>ROUND(calcs!H6,0)</f>
        <v>0</v>
      </c>
      <c r="J5" s="169"/>
    </row>
    <row r="6" spans="1:10">
      <c r="A6" s="1" t="s">
        <v>8</v>
      </c>
      <c r="B6" s="20">
        <f>ROUND(calcs!B7,0)</f>
        <v>0</v>
      </c>
      <c r="C6" s="20">
        <f>ROUND(calcs!C7,0)</f>
        <v>0</v>
      </c>
      <c r="D6" s="20">
        <f>ROUND(calcs!D7,0)</f>
        <v>10231405</v>
      </c>
      <c r="E6" s="20">
        <f>ROUND(calcs!E7,0)</f>
        <v>2473595</v>
      </c>
      <c r="F6" s="20">
        <f>ROUND(calcs!F7,0)</f>
        <v>0</v>
      </c>
      <c r="G6" s="20">
        <f>ROUND(calcs!G7,0)</f>
        <v>0</v>
      </c>
      <c r="H6" s="20">
        <f>ROUND(calcs!H7,0)</f>
        <v>0</v>
      </c>
      <c r="J6" s="169"/>
    </row>
    <row r="7" spans="1:10">
      <c r="A7" s="1" t="s">
        <v>9</v>
      </c>
      <c r="B7" s="20">
        <f>ROUND(calcs!B8,0)</f>
        <v>0</v>
      </c>
      <c r="C7" s="20">
        <f>ROUND(calcs!C8,0)</f>
        <v>0</v>
      </c>
      <c r="D7" s="20">
        <f>ROUND(calcs!D8,0)</f>
        <v>9516910</v>
      </c>
      <c r="E7" s="20">
        <f>ROUND(calcs!E8,0)</f>
        <v>0</v>
      </c>
      <c r="F7" s="20">
        <f>ROUND(calcs!F8,0)</f>
        <v>0</v>
      </c>
      <c r="G7" s="20">
        <f>ROUND(calcs!G8,0)</f>
        <v>0</v>
      </c>
      <c r="H7" s="20">
        <f>ROUND(calcs!H8,0)</f>
        <v>0</v>
      </c>
      <c r="J7" s="169"/>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69"/>
      <c r="C18" s="169"/>
      <c r="D18" s="169"/>
      <c r="E18" s="169"/>
      <c r="F18" s="169"/>
      <c r="G18" s="169"/>
      <c r="H18" s="169"/>
    </row>
    <row r="19" spans="1:8">
      <c r="A19" s="20"/>
      <c r="B19" s="169"/>
      <c r="C19" s="169"/>
      <c r="D19" s="169"/>
      <c r="E19" s="169"/>
      <c r="F19" s="169"/>
      <c r="G19" s="169"/>
      <c r="H19" s="169"/>
    </row>
    <row r="20" spans="1:8">
      <c r="A20" s="20"/>
      <c r="B20" s="169"/>
      <c r="C20" s="169"/>
      <c r="D20" s="169"/>
      <c r="E20" s="169"/>
      <c r="F20" s="169"/>
      <c r="G20" s="169"/>
      <c r="H20" s="169"/>
    </row>
    <row r="21" spans="1:8">
      <c r="A21" s="20"/>
      <c r="B21" s="169"/>
      <c r="C21" s="169"/>
      <c r="D21" s="169"/>
      <c r="E21" s="169"/>
      <c r="F21" s="169"/>
      <c r="G21" s="169"/>
      <c r="H21" s="169"/>
    </row>
    <row r="22" spans="1:8">
      <c r="A22" s="20"/>
      <c r="B22" s="169"/>
      <c r="C22" s="169"/>
      <c r="D22" s="169"/>
      <c r="E22" s="169"/>
      <c r="F22" s="169"/>
      <c r="G22" s="169"/>
      <c r="H22" s="169"/>
    </row>
    <row r="23" spans="1:8">
      <c r="A23" s="20"/>
      <c r="B23" s="169"/>
      <c r="C23" s="169"/>
      <c r="D23" s="169"/>
      <c r="E23" s="169"/>
      <c r="F23" s="169"/>
      <c r="G23" s="169"/>
      <c r="H23" s="1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E4" sqref="E4"/>
    </sheetView>
  </sheetViews>
  <sheetFormatPr defaultRowHeight="14.75"/>
  <cols>
    <col min="1" max="1" width="16.86328125" customWidth="1"/>
    <col min="2" max="8" width="15.1328125" customWidth="1"/>
    <col min="9" max="9" width="10" bestFit="1" customWidth="1"/>
    <col min="10" max="10" width="14.40625" bestFit="1" customWidth="1"/>
  </cols>
  <sheetData>
    <row r="1" spans="1:10" ht="29.5">
      <c r="A1" s="18" t="s">
        <v>264</v>
      </c>
      <c r="B1" s="5" t="s">
        <v>10</v>
      </c>
      <c r="C1" s="5" t="s">
        <v>11</v>
      </c>
      <c r="D1" s="5" t="s">
        <v>12</v>
      </c>
      <c r="E1" s="5" t="s">
        <v>13</v>
      </c>
      <c r="F1" s="5" t="s">
        <v>14</v>
      </c>
      <c r="G1" s="5" t="s">
        <v>240</v>
      </c>
      <c r="H1" s="5" t="s">
        <v>241</v>
      </c>
    </row>
    <row r="2" spans="1:10">
      <c r="A2" s="1" t="s">
        <v>4</v>
      </c>
      <c r="B2" s="6">
        <f>ROUND(calcs!B12,0)</f>
        <v>368</v>
      </c>
      <c r="C2" s="6">
        <f>ROUND(calcs!C12,0)</f>
        <v>15529</v>
      </c>
      <c r="D2" s="6">
        <f>ROUND(calcs!D12,0)</f>
        <v>12709652</v>
      </c>
      <c r="E2" s="6">
        <f>ROUND(calcs!E12,0)</f>
        <v>10634737</v>
      </c>
      <c r="F2" s="6">
        <f>ROUND(calcs!F12,0)</f>
        <v>2288</v>
      </c>
      <c r="G2" s="6">
        <f>ROUND(calcs!G12,0)</f>
        <v>3349</v>
      </c>
      <c r="H2" s="6">
        <f>ROUND(calcs!H12,0)</f>
        <v>0</v>
      </c>
      <c r="J2" s="37"/>
    </row>
    <row r="3" spans="1:10">
      <c r="A3" s="1" t="s">
        <v>5</v>
      </c>
      <c r="B3" s="6">
        <f>ROUND(calcs!B13,0)</f>
        <v>255</v>
      </c>
      <c r="C3" s="6">
        <f>ROUND(calcs!C13,0)</f>
        <v>53506</v>
      </c>
      <c r="D3" s="6">
        <f>ROUND(calcs!D13,0)</f>
        <v>39244</v>
      </c>
      <c r="E3" s="6">
        <f>ROUND(calcs!E13,0)</f>
        <v>5288878</v>
      </c>
      <c r="F3" s="6">
        <f>ROUND(calcs!F13,0)</f>
        <v>0</v>
      </c>
      <c r="G3" s="6">
        <f>ROUND(calcs!G13,0)</f>
        <v>3134</v>
      </c>
      <c r="H3" s="6">
        <f>ROUND(calcs!H13,0)</f>
        <v>0</v>
      </c>
      <c r="J3" s="37"/>
    </row>
    <row r="4" spans="1:10">
      <c r="A4" s="1" t="s">
        <v>6</v>
      </c>
      <c r="B4" s="6">
        <f>ROUND(calcs!B14,0)</f>
        <v>0</v>
      </c>
      <c r="C4" s="6">
        <f>ROUND(calcs!C14,0)</f>
        <v>0</v>
      </c>
      <c r="D4" s="6">
        <f>ROUND(calcs!D14,0)</f>
        <v>0</v>
      </c>
      <c r="E4" s="6">
        <f>ROUND(calcs!E14,0)</f>
        <v>1069</v>
      </c>
      <c r="F4" s="6">
        <f>ROUND(calcs!F14,0)</f>
        <v>0</v>
      </c>
      <c r="G4" s="6">
        <f>ROUND(calcs!G14,0)</f>
        <v>0</v>
      </c>
      <c r="H4" s="6">
        <f>ROUND(calcs!H14,0)</f>
        <v>0</v>
      </c>
      <c r="J4" s="37"/>
    </row>
    <row r="5" spans="1:10">
      <c r="A5" s="1" t="s">
        <v>7</v>
      </c>
      <c r="B5" s="6">
        <f>ROUND(calcs!B15,0)</f>
        <v>0</v>
      </c>
      <c r="C5" s="6">
        <f>ROUND(calcs!C15,0)</f>
        <v>0</v>
      </c>
      <c r="D5" s="6">
        <f>ROUND(calcs!D15,0)</f>
        <v>0</v>
      </c>
      <c r="E5" s="6">
        <f>ROUND(calcs!E15,0)</f>
        <v>24526</v>
      </c>
      <c r="F5" s="6">
        <f>ROUND(calcs!F15,0)</f>
        <v>0</v>
      </c>
      <c r="G5" s="6">
        <f>ROUND(calcs!G15,0)</f>
        <v>0</v>
      </c>
      <c r="H5" s="6">
        <f>ROUND(calcs!H15,0)</f>
        <v>0</v>
      </c>
      <c r="J5" s="37"/>
    </row>
    <row r="6" spans="1:10">
      <c r="A6" s="1" t="s">
        <v>8</v>
      </c>
      <c r="B6" s="6">
        <f>ROUND(calcs!B16,0)</f>
        <v>0</v>
      </c>
      <c r="C6" s="6">
        <f>ROUND(calcs!C16,0)</f>
        <v>0</v>
      </c>
      <c r="D6" s="6">
        <f>ROUND(calcs!D16,0)</f>
        <v>0</v>
      </c>
      <c r="E6" s="6">
        <f>ROUND(calcs!E16,0)</f>
        <v>9678</v>
      </c>
      <c r="F6" s="6">
        <f>ROUND(calcs!F16,0)</f>
        <v>0</v>
      </c>
      <c r="G6" s="6">
        <f>ROUND(calcs!G16,0)</f>
        <v>0</v>
      </c>
      <c r="H6" s="6">
        <f>ROUND(calcs!H16,0)</f>
        <v>0</v>
      </c>
      <c r="J6" s="37"/>
    </row>
    <row r="7" spans="1:10">
      <c r="A7" s="1" t="s">
        <v>9</v>
      </c>
      <c r="B7" s="6">
        <f>ROUND(calcs!B17,0)</f>
        <v>0</v>
      </c>
      <c r="C7" s="6">
        <f>ROUND(calcs!C17,0)</f>
        <v>0</v>
      </c>
      <c r="D7" s="6">
        <f>ROUND(calcs!D17,0)</f>
        <v>0</v>
      </c>
      <c r="E7" s="6">
        <f>ROUND(calcs!E17,0)</f>
        <v>0</v>
      </c>
      <c r="F7" s="6">
        <f>ROUND(calcs!F17,0)</f>
        <v>0</v>
      </c>
      <c r="G7" s="6">
        <f>ROUND(calcs!G17,0)</f>
        <v>0</v>
      </c>
      <c r="H7" s="6">
        <f>ROUND(calcs!H17,0)</f>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source data&gt;</vt:lpstr>
      <vt:lpstr>AEO 2023 7</vt:lpstr>
      <vt:lpstr>AEO 2023 36</vt:lpstr>
      <vt:lpstr>AEO 2023 39</vt:lpstr>
      <vt:lpstr>AEO 2023 45</vt:lpstr>
      <vt:lpstr>AEO 2023 48</vt:lpstr>
      <vt:lpstr>AEO 2025 48</vt:lpstr>
      <vt:lpstr>AEO 2023 49</vt:lpstr>
      <vt:lpstr>AEO 2023 47</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2026-01-08T23:26:04Z</dcterms:modified>
</cp:coreProperties>
</file>