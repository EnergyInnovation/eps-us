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RobbieOrvis\Models\EPS Structure Research\eps-us-develop\InputData\trans\SYVbT\"/>
    </mc:Choice>
  </mc:AlternateContent>
  <xr:revisionPtr revIDLastSave="0" documentId="13_ncr:1_{F0A0487A-23BF-4A82-81A8-BE01057CBE0F}" xr6:coauthVersionLast="47" xr6:coauthVersionMax="47" xr10:uidLastSave="{00000000-0000-0000-0000-000000000000}"/>
  <bookViews>
    <workbookView xWindow="-120" yWindow="-120" windowWidth="57840" windowHeight="23520" firstSheet="13" activeTab="13" xr2:uid="{5D8F99CA-D0D6-4C3B-9505-61D16AC14A89}"/>
  </bookViews>
  <sheets>
    <sheet name="About" sheetId="1" r:id="rId1"/>
    <sheet name="source data&gt;" sheetId="21" r:id="rId2"/>
    <sheet name="AEO 2025 48" sheetId="20" r:id="rId3"/>
    <sheet name="AEO 2025 47" sheetId="24" r:id="rId4"/>
    <sheet name="AEO 2025 39" sheetId="26" r:id="rId5"/>
    <sheet name="AEO 2025 36" sheetId="27" r:id="rId6"/>
    <sheet name="AEO 2025 45" sheetId="25" r:id="rId7"/>
    <sheet name="AEO 2025 49" sheetId="29" r:id="rId8"/>
    <sheet name="AEO 2025 7" sheetId="28" r:id="rId9"/>
    <sheet name="AEO 2026 Table 48" sheetId="30" r:id="rId10"/>
    <sheet name="AEO 2026 Table 49" sheetId="32" r:id="rId11"/>
    <sheet name="AEO 2026 Table 45" sheetId="31" r:id="rId12"/>
    <sheet name="NTS 1-11" sheetId="7" r:id="rId13"/>
    <sheet name="NTS 1-32" sheetId="33" r:id="rId14"/>
    <sheet name="NRBS 40" sheetId="15" r:id="rId15"/>
    <sheet name="FRA" sheetId="13" r:id="rId16"/>
    <sheet name="Misc" sheetId="8" r:id="rId17"/>
    <sheet name="Annual Service Data_rail only" sheetId="16" r:id="rId18"/>
    <sheet name="Fuel and Energy_rail only" sheetId="17" r:id="rId19"/>
    <sheet name="calcs&gt;" sheetId="22" r:id="rId20"/>
    <sheet name="psgr rail calcs" sheetId="18" r:id="rId21"/>
    <sheet name="calcs" sheetId="23" r:id="rId22"/>
    <sheet name="SYVbT-passenger" sheetId="2" r:id="rId23"/>
    <sheet name="SYVbT-freight" sheetId="4" r:id="rId24"/>
  </sheets>
  <definedNames>
    <definedName name="_xlnm._FilterDatabase" localSheetId="17" hidden="1">'Annual Service Data_rail only'!$A$1:$AX$1</definedName>
    <definedName name="Eno_TM">#REF!</definedName>
    <definedName name="Eno_Tons">#REF!</definedName>
    <definedName name="LOCAL_MYSQL_DATE_FORMAT"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um_T2">#REF!</definedName>
    <definedName name="Sum_TTM">#REF!</definedName>
    <definedName name="ti_tbl_50">#REF!</definedName>
    <definedName name="ti_tbl_69">#REF!</definedName>
    <definedName name="TitleRegion1.f2.y3.5">#REF!</definedName>
    <definedName name="TitleRegion1.f3.n4.5">#REF!</definedName>
    <definedName name="TitleRegion2.e6.y15.5">#REF!</definedName>
    <definedName name="TitleRegion2.e8.n17.5">#REF!</definedName>
    <definedName name="TitleRegion3.c19.y51.5">#REF!</definedName>
    <definedName name="TitleRegion3.c24.n53.5">#REF!</definedName>
    <definedName name="TitleRegion4.e54.y63.5">#REF!</definedName>
    <definedName name="TitleRegion4.e57.n66.5">#REF!</definedName>
    <definedName name="TitleRegion5.d68.y124.5">#REF!</definedName>
    <definedName name="TitleRegion5.d73.n129.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2" i="18" l="1"/>
  <c r="Y61" i="18"/>
  <c r="AP23" i="7"/>
  <c r="C36" i="23"/>
  <c r="C35" i="23"/>
  <c r="E16" i="23" s="1"/>
  <c r="H5" i="23"/>
  <c r="H10" i="23" s="1"/>
  <c r="H24" i="23" s="1"/>
  <c r="G5" i="23" a="1"/>
  <c r="G10" i="23" s="1"/>
  <c r="G24" i="23" s="1"/>
  <c r="E5" i="23"/>
  <c r="E10" i="23" s="1"/>
  <c r="E24" i="23" s="1"/>
  <c r="F5" i="23"/>
  <c r="F10" i="23" s="1"/>
  <c r="F24" i="23" s="1"/>
  <c r="D5" i="23"/>
  <c r="D10" i="23" s="1"/>
  <c r="D24" i="23" s="1"/>
  <c r="C5" i="23"/>
  <c r="C10" i="23" s="1"/>
  <c r="C24" i="23" s="1"/>
  <c r="I10" i="23"/>
  <c r="I24" i="23" s="1"/>
  <c r="F26" i="23"/>
  <c r="F17" i="23"/>
  <c r="E20" i="23"/>
  <c r="H25" i="23"/>
  <c r="F25" i="23"/>
  <c r="E25" i="23"/>
  <c r="D25" i="23"/>
  <c r="C25" i="23"/>
  <c r="C16" i="23" l="1"/>
  <c r="I16" i="23"/>
  <c r="H16" i="23"/>
  <c r="F16" i="23"/>
  <c r="D16" i="23"/>
  <c r="A17" i="8"/>
  <c r="A8" i="8"/>
  <c r="A9" i="8" l="1"/>
  <c r="F19" i="23" s="1"/>
  <c r="E19" i="23"/>
  <c r="F28" i="23"/>
  <c r="AP22" i="7" l="1"/>
  <c r="F27" i="23"/>
  <c r="I15" i="23" l="1"/>
  <c r="H15" i="23"/>
  <c r="G15" i="23"/>
  <c r="F15" i="23"/>
  <c r="E15" i="23"/>
  <c r="D15" i="23"/>
  <c r="C15" i="23"/>
  <c r="B2" i="2" l="1"/>
  <c r="E4" i="4"/>
  <c r="E4" i="2"/>
  <c r="G2" i="4"/>
  <c r="E3" i="4"/>
  <c r="F3" i="4"/>
  <c r="G3" i="4"/>
  <c r="H3" i="4"/>
  <c r="C4" i="4"/>
  <c r="D4" i="4"/>
  <c r="F4" i="4"/>
  <c r="G4" i="4"/>
  <c r="H4" i="4"/>
  <c r="C5" i="4"/>
  <c r="D5" i="4"/>
  <c r="F5" i="4"/>
  <c r="G5" i="4"/>
  <c r="H5" i="4"/>
  <c r="C6" i="4"/>
  <c r="D6" i="4"/>
  <c r="F6" i="4"/>
  <c r="G6" i="4"/>
  <c r="H6" i="4"/>
  <c r="C7" i="4"/>
  <c r="D7" i="4"/>
  <c r="E7" i="4"/>
  <c r="F7" i="4"/>
  <c r="G7" i="4"/>
  <c r="H7" i="4"/>
  <c r="B4" i="4"/>
  <c r="B5" i="4"/>
  <c r="B6" i="4"/>
  <c r="B7" i="4"/>
  <c r="B2" i="4"/>
  <c r="G2" i="2"/>
  <c r="H2" i="2"/>
  <c r="F3" i="2"/>
  <c r="H3" i="2"/>
  <c r="C4" i="2"/>
  <c r="D4" i="2"/>
  <c r="F4" i="2"/>
  <c r="G4" i="2"/>
  <c r="H4" i="2"/>
  <c r="C5" i="2"/>
  <c r="D5" i="2"/>
  <c r="F5" i="2"/>
  <c r="G5" i="2"/>
  <c r="H5" i="2"/>
  <c r="C6" i="2"/>
  <c r="F6" i="2"/>
  <c r="G6" i="2"/>
  <c r="H6" i="2"/>
  <c r="C7" i="2"/>
  <c r="E7" i="2"/>
  <c r="F7" i="2"/>
  <c r="G7" i="2"/>
  <c r="H7" i="2"/>
  <c r="B4" i="2"/>
  <c r="B6" i="2"/>
  <c r="B7" i="2"/>
  <c r="C2" i="4"/>
  <c r="D2" i="4"/>
  <c r="E2" i="4"/>
  <c r="F2" i="4"/>
  <c r="H2" i="4"/>
  <c r="B3" i="4"/>
  <c r="C3" i="4"/>
  <c r="D3" i="4"/>
  <c r="E5" i="4"/>
  <c r="E6" i="4"/>
  <c r="C2" i="2"/>
  <c r="D2" i="2"/>
  <c r="E2" i="2"/>
  <c r="F2" i="2"/>
  <c r="B3" i="2"/>
  <c r="C3" i="2"/>
  <c r="D3" i="2"/>
  <c r="E3" i="2"/>
  <c r="G3" i="2"/>
  <c r="D7" i="2"/>
  <c r="A5" i="8"/>
  <c r="R59" i="18" l="1"/>
  <c r="T59" i="18" s="1"/>
  <c r="Q59" i="18"/>
  <c r="P59" i="18"/>
  <c r="I59" i="18"/>
  <c r="H59" i="18"/>
  <c r="J59" i="18" s="1"/>
  <c r="G59" i="18"/>
  <c r="F59" i="18"/>
  <c r="M59" i="18" s="1"/>
  <c r="E59" i="18"/>
  <c r="R58" i="18"/>
  <c r="T58" i="18" s="1"/>
  <c r="Q58" i="18"/>
  <c r="P58" i="18"/>
  <c r="I58" i="18"/>
  <c r="H58" i="18"/>
  <c r="J58" i="18" s="1"/>
  <c r="G58" i="18"/>
  <c r="F58" i="18"/>
  <c r="M58" i="18" s="1"/>
  <c r="E58" i="18"/>
  <c r="R57" i="18"/>
  <c r="T57" i="18" s="1"/>
  <c r="Q57" i="18"/>
  <c r="P57" i="18"/>
  <c r="I57" i="18"/>
  <c r="H57" i="18"/>
  <c r="G57" i="18"/>
  <c r="F57" i="18"/>
  <c r="M57" i="18" s="1"/>
  <c r="E57" i="18"/>
  <c r="R56" i="18"/>
  <c r="T56" i="18" s="1"/>
  <c r="Q56" i="18"/>
  <c r="P56" i="18"/>
  <c r="S56" i="18" s="1"/>
  <c r="I56" i="18"/>
  <c r="H56" i="18"/>
  <c r="J56" i="18" s="1"/>
  <c r="G56" i="18"/>
  <c r="F56" i="18"/>
  <c r="M56" i="18" s="1"/>
  <c r="E56" i="18"/>
  <c r="R55" i="18"/>
  <c r="T55" i="18" s="1"/>
  <c r="Q55" i="18"/>
  <c r="P55" i="18"/>
  <c r="S55" i="18" s="1"/>
  <c r="I55" i="18"/>
  <c r="H55" i="18"/>
  <c r="J55" i="18" s="1"/>
  <c r="G55" i="18"/>
  <c r="F55" i="18"/>
  <c r="M55" i="18" s="1"/>
  <c r="E55" i="18"/>
  <c r="R54" i="18"/>
  <c r="T54" i="18" s="1"/>
  <c r="Q54" i="18"/>
  <c r="P54" i="18"/>
  <c r="S54" i="18" s="1"/>
  <c r="I54" i="18"/>
  <c r="H54" i="18"/>
  <c r="G54" i="18"/>
  <c r="F54" i="18"/>
  <c r="M54" i="18" s="1"/>
  <c r="E54" i="18"/>
  <c r="R53" i="18"/>
  <c r="T53" i="18" s="1"/>
  <c r="Q53" i="18"/>
  <c r="P53" i="18"/>
  <c r="I53" i="18"/>
  <c r="H53" i="18"/>
  <c r="G53" i="18"/>
  <c r="F53" i="18"/>
  <c r="M53" i="18" s="1"/>
  <c r="E53" i="18"/>
  <c r="R52" i="18"/>
  <c r="T52" i="18" s="1"/>
  <c r="Q52" i="18"/>
  <c r="P52" i="18"/>
  <c r="I52" i="18"/>
  <c r="H52" i="18"/>
  <c r="G52" i="18"/>
  <c r="F52" i="18"/>
  <c r="M52" i="18" s="1"/>
  <c r="E52" i="18"/>
  <c r="R51" i="18"/>
  <c r="T51" i="18" s="1"/>
  <c r="Q51" i="18"/>
  <c r="P51" i="18"/>
  <c r="I51" i="18"/>
  <c r="H51" i="18"/>
  <c r="J51" i="18" s="1"/>
  <c r="G51" i="18"/>
  <c r="F51" i="18"/>
  <c r="M51" i="18" s="1"/>
  <c r="E51" i="18"/>
  <c r="R50" i="18"/>
  <c r="T50" i="18" s="1"/>
  <c r="Q50" i="18"/>
  <c r="P50" i="18"/>
  <c r="S50" i="18" s="1"/>
  <c r="I50" i="18"/>
  <c r="H50" i="18"/>
  <c r="J50" i="18" s="1"/>
  <c r="G50" i="18"/>
  <c r="F50" i="18"/>
  <c r="M50" i="18" s="1"/>
  <c r="E50" i="18"/>
  <c r="R49" i="18"/>
  <c r="T49" i="18" s="1"/>
  <c r="Q49" i="18"/>
  <c r="P49" i="18"/>
  <c r="I49" i="18"/>
  <c r="H49" i="18"/>
  <c r="G49" i="18"/>
  <c r="F49" i="18"/>
  <c r="M49" i="18" s="1"/>
  <c r="E49" i="18"/>
  <c r="R48" i="18"/>
  <c r="T48" i="18" s="1"/>
  <c r="Q48" i="18"/>
  <c r="P48" i="18"/>
  <c r="I48" i="18"/>
  <c r="H48" i="18"/>
  <c r="J48" i="18" s="1"/>
  <c r="G48" i="18"/>
  <c r="F48" i="18"/>
  <c r="M48" i="18" s="1"/>
  <c r="E48" i="18"/>
  <c r="R47" i="18"/>
  <c r="T47" i="18" s="1"/>
  <c r="Q47" i="18"/>
  <c r="P47" i="18"/>
  <c r="I47" i="18"/>
  <c r="H47" i="18"/>
  <c r="G47" i="18"/>
  <c r="F47" i="18"/>
  <c r="M47" i="18" s="1"/>
  <c r="E47" i="18"/>
  <c r="R46" i="18"/>
  <c r="T46" i="18" s="1"/>
  <c r="Q46" i="18"/>
  <c r="P46" i="18"/>
  <c r="S46" i="18" s="1"/>
  <c r="I46" i="18"/>
  <c r="H46" i="18"/>
  <c r="J46" i="18" s="1"/>
  <c r="G46" i="18"/>
  <c r="F46" i="18"/>
  <c r="M46" i="18" s="1"/>
  <c r="E46" i="18"/>
  <c r="R45" i="18"/>
  <c r="T45" i="18" s="1"/>
  <c r="Q45" i="18"/>
  <c r="P45" i="18"/>
  <c r="I45" i="18"/>
  <c r="H45" i="18"/>
  <c r="G45" i="18"/>
  <c r="F45" i="18"/>
  <c r="M45" i="18" s="1"/>
  <c r="E45" i="18"/>
  <c r="R44" i="18"/>
  <c r="T44" i="18" s="1"/>
  <c r="Q44" i="18"/>
  <c r="P44" i="18"/>
  <c r="S44" i="18" s="1"/>
  <c r="I44" i="18"/>
  <c r="H44" i="18"/>
  <c r="J44" i="18" s="1"/>
  <c r="G44" i="18"/>
  <c r="F44" i="18"/>
  <c r="M44" i="18" s="1"/>
  <c r="E44" i="18"/>
  <c r="R43" i="18"/>
  <c r="T43" i="18" s="1"/>
  <c r="Q43" i="18"/>
  <c r="P43" i="18"/>
  <c r="I43" i="18"/>
  <c r="H43" i="18"/>
  <c r="G43" i="18"/>
  <c r="F43" i="18"/>
  <c r="M43" i="18" s="1"/>
  <c r="E43" i="18"/>
  <c r="R42" i="18"/>
  <c r="T42" i="18" s="1"/>
  <c r="Q42" i="18"/>
  <c r="P42" i="18"/>
  <c r="S42" i="18" s="1"/>
  <c r="I42" i="18"/>
  <c r="H42" i="18"/>
  <c r="J42" i="18" s="1"/>
  <c r="G42" i="18"/>
  <c r="F42" i="18"/>
  <c r="M42" i="18" s="1"/>
  <c r="E42" i="18"/>
  <c r="R41" i="18"/>
  <c r="T41" i="18" s="1"/>
  <c r="Q41" i="18"/>
  <c r="P41" i="18"/>
  <c r="S41" i="18" s="1"/>
  <c r="I41" i="18"/>
  <c r="H41" i="18"/>
  <c r="G41" i="18"/>
  <c r="F41" i="18"/>
  <c r="M41" i="18" s="1"/>
  <c r="E41" i="18"/>
  <c r="R40" i="18"/>
  <c r="T40" i="18" s="1"/>
  <c r="Q40" i="18"/>
  <c r="P40" i="18"/>
  <c r="I40" i="18"/>
  <c r="H40" i="18"/>
  <c r="J40" i="18" s="1"/>
  <c r="G40" i="18"/>
  <c r="F40" i="18"/>
  <c r="M40" i="18" s="1"/>
  <c r="E40" i="18"/>
  <c r="R39" i="18"/>
  <c r="T39" i="18" s="1"/>
  <c r="Q39" i="18"/>
  <c r="P39" i="18"/>
  <c r="S39" i="18" s="1"/>
  <c r="I39" i="18"/>
  <c r="H39" i="18"/>
  <c r="J39" i="18" s="1"/>
  <c r="G39" i="18"/>
  <c r="F39" i="18"/>
  <c r="M39" i="18" s="1"/>
  <c r="E39" i="18"/>
  <c r="R38" i="18"/>
  <c r="T38" i="18" s="1"/>
  <c r="Q38" i="18"/>
  <c r="P38" i="18"/>
  <c r="I38" i="18"/>
  <c r="H38" i="18"/>
  <c r="G38" i="18"/>
  <c r="F38" i="18"/>
  <c r="M38" i="18" s="1"/>
  <c r="E38" i="18"/>
  <c r="R37" i="18"/>
  <c r="T37" i="18" s="1"/>
  <c r="Q37" i="18"/>
  <c r="P37" i="18"/>
  <c r="I37" i="18"/>
  <c r="H37" i="18"/>
  <c r="G37" i="18"/>
  <c r="F37" i="18"/>
  <c r="M37" i="18" s="1"/>
  <c r="E37" i="18"/>
  <c r="R36" i="18"/>
  <c r="T36" i="18" s="1"/>
  <c r="Q36" i="18"/>
  <c r="P36" i="18"/>
  <c r="S36" i="18" s="1"/>
  <c r="I36" i="18"/>
  <c r="H36" i="18"/>
  <c r="G36" i="18"/>
  <c r="F36" i="18"/>
  <c r="M36" i="18" s="1"/>
  <c r="E36" i="18"/>
  <c r="R35" i="18"/>
  <c r="T35" i="18" s="1"/>
  <c r="Q35" i="18"/>
  <c r="P35" i="18"/>
  <c r="S35" i="18" s="1"/>
  <c r="I35" i="18"/>
  <c r="H35" i="18"/>
  <c r="J35" i="18" s="1"/>
  <c r="G35" i="18"/>
  <c r="F35" i="18"/>
  <c r="M35" i="18" s="1"/>
  <c r="E35" i="18"/>
  <c r="R34" i="18"/>
  <c r="T34" i="18" s="1"/>
  <c r="Q34" i="18"/>
  <c r="P34" i="18"/>
  <c r="S34" i="18" s="1"/>
  <c r="I34" i="18"/>
  <c r="H34" i="18"/>
  <c r="G34" i="18"/>
  <c r="F34" i="18"/>
  <c r="M34" i="18" s="1"/>
  <c r="E34" i="18"/>
  <c r="R33" i="18"/>
  <c r="T33" i="18" s="1"/>
  <c r="Q33" i="18"/>
  <c r="P33" i="18"/>
  <c r="I33" i="18"/>
  <c r="H33" i="18"/>
  <c r="G33" i="18"/>
  <c r="F33" i="18"/>
  <c r="M33" i="18" s="1"/>
  <c r="E33" i="18"/>
  <c r="R32" i="18"/>
  <c r="T32" i="18" s="1"/>
  <c r="Q32" i="18"/>
  <c r="P32" i="18"/>
  <c r="S32" i="18" s="1"/>
  <c r="I32" i="18"/>
  <c r="H32" i="18"/>
  <c r="G32" i="18"/>
  <c r="F32" i="18"/>
  <c r="M32" i="18" s="1"/>
  <c r="E32" i="18"/>
  <c r="R31" i="18"/>
  <c r="T31" i="18" s="1"/>
  <c r="Q31" i="18"/>
  <c r="P31" i="18"/>
  <c r="I31" i="18"/>
  <c r="H31" i="18"/>
  <c r="G31" i="18"/>
  <c r="F31" i="18"/>
  <c r="M31" i="18" s="1"/>
  <c r="E31" i="18"/>
  <c r="R30" i="18"/>
  <c r="T30" i="18" s="1"/>
  <c r="Q30" i="18"/>
  <c r="P30" i="18"/>
  <c r="I30" i="18"/>
  <c r="H30" i="18"/>
  <c r="J30" i="18" s="1"/>
  <c r="G30" i="18"/>
  <c r="F30" i="18"/>
  <c r="M30" i="18" s="1"/>
  <c r="E30" i="18"/>
  <c r="R29" i="18"/>
  <c r="T29" i="18" s="1"/>
  <c r="Q29" i="18"/>
  <c r="P29" i="18"/>
  <c r="S29" i="18" s="1"/>
  <c r="I29" i="18"/>
  <c r="H29" i="18"/>
  <c r="G29" i="18"/>
  <c r="F29" i="18"/>
  <c r="M29" i="18" s="1"/>
  <c r="E29" i="18"/>
  <c r="R28" i="18"/>
  <c r="T28" i="18" s="1"/>
  <c r="Q28" i="18"/>
  <c r="P28" i="18"/>
  <c r="I28" i="18"/>
  <c r="H28" i="18"/>
  <c r="G28" i="18"/>
  <c r="F28" i="18"/>
  <c r="M28" i="18" s="1"/>
  <c r="E28" i="18"/>
  <c r="R27" i="18"/>
  <c r="T27" i="18" s="1"/>
  <c r="Q27" i="18"/>
  <c r="P27" i="18"/>
  <c r="S27" i="18" s="1"/>
  <c r="I27" i="18"/>
  <c r="H27" i="18"/>
  <c r="G27" i="18"/>
  <c r="F27" i="18"/>
  <c r="M27" i="18" s="1"/>
  <c r="E27" i="18"/>
  <c r="R26" i="18"/>
  <c r="T26" i="18" s="1"/>
  <c r="Q26" i="18"/>
  <c r="P26" i="18"/>
  <c r="S26" i="18" s="1"/>
  <c r="I26" i="18"/>
  <c r="H26" i="18"/>
  <c r="G26" i="18"/>
  <c r="F26" i="18"/>
  <c r="M26" i="18" s="1"/>
  <c r="E26" i="18"/>
  <c r="R25" i="18"/>
  <c r="T25" i="18" s="1"/>
  <c r="Q25" i="18"/>
  <c r="P25" i="18"/>
  <c r="I25" i="18"/>
  <c r="H25" i="18"/>
  <c r="G25" i="18"/>
  <c r="F25" i="18"/>
  <c r="M25" i="18" s="1"/>
  <c r="E25" i="18"/>
  <c r="R24" i="18"/>
  <c r="T24" i="18" s="1"/>
  <c r="Q24" i="18"/>
  <c r="P24" i="18"/>
  <c r="S24" i="18" s="1"/>
  <c r="I24" i="18"/>
  <c r="H24" i="18"/>
  <c r="G24" i="18"/>
  <c r="F24" i="18"/>
  <c r="M24" i="18" s="1"/>
  <c r="E24" i="18"/>
  <c r="R23" i="18"/>
  <c r="T23" i="18" s="1"/>
  <c r="Q23" i="18"/>
  <c r="P23" i="18"/>
  <c r="I23" i="18"/>
  <c r="H23" i="18"/>
  <c r="G23" i="18"/>
  <c r="F23" i="18"/>
  <c r="M23" i="18" s="1"/>
  <c r="E23" i="18"/>
  <c r="R22" i="18"/>
  <c r="T22" i="18" s="1"/>
  <c r="Q22" i="18"/>
  <c r="P22" i="18"/>
  <c r="I22" i="18"/>
  <c r="H22" i="18"/>
  <c r="G22" i="18"/>
  <c r="F22" i="18"/>
  <c r="M22" i="18" s="1"/>
  <c r="E22" i="18"/>
  <c r="R21" i="18"/>
  <c r="T21" i="18" s="1"/>
  <c r="Q21" i="18"/>
  <c r="P21" i="18"/>
  <c r="I21" i="18"/>
  <c r="H21" i="18"/>
  <c r="G21" i="18"/>
  <c r="F21" i="18"/>
  <c r="M21" i="18" s="1"/>
  <c r="E21" i="18"/>
  <c r="R20" i="18"/>
  <c r="T20" i="18" s="1"/>
  <c r="Q20" i="18"/>
  <c r="P20" i="18"/>
  <c r="I20" i="18"/>
  <c r="H20" i="18"/>
  <c r="G20" i="18"/>
  <c r="F20" i="18"/>
  <c r="M20" i="18" s="1"/>
  <c r="E20" i="18"/>
  <c r="R19" i="18"/>
  <c r="T19" i="18" s="1"/>
  <c r="Q19" i="18"/>
  <c r="P19" i="18"/>
  <c r="S19" i="18" s="1"/>
  <c r="I19" i="18"/>
  <c r="H19" i="18"/>
  <c r="J19" i="18" s="1"/>
  <c r="G19" i="18"/>
  <c r="F19" i="18"/>
  <c r="M19" i="18" s="1"/>
  <c r="E19" i="18"/>
  <c r="R18" i="18"/>
  <c r="T18" i="18" s="1"/>
  <c r="Q18" i="18"/>
  <c r="P18" i="18"/>
  <c r="I18" i="18"/>
  <c r="H18" i="18"/>
  <c r="J18" i="18" s="1"/>
  <c r="G18" i="18"/>
  <c r="F18" i="18"/>
  <c r="M18" i="18" s="1"/>
  <c r="E18" i="18"/>
  <c r="R17" i="18"/>
  <c r="T17" i="18" s="1"/>
  <c r="Q17" i="18"/>
  <c r="P17" i="18"/>
  <c r="I17" i="18"/>
  <c r="H17" i="18"/>
  <c r="G17" i="18"/>
  <c r="F17" i="18"/>
  <c r="M17" i="18" s="1"/>
  <c r="E17" i="18"/>
  <c r="R16" i="18"/>
  <c r="T16" i="18" s="1"/>
  <c r="Q16" i="18"/>
  <c r="P16" i="18"/>
  <c r="I16" i="18"/>
  <c r="H16" i="18"/>
  <c r="J16" i="18" s="1"/>
  <c r="G16" i="18"/>
  <c r="F16" i="18"/>
  <c r="M16" i="18" s="1"/>
  <c r="E16" i="18"/>
  <c r="R15" i="18"/>
  <c r="T15" i="18" s="1"/>
  <c r="Q15" i="18"/>
  <c r="P15" i="18"/>
  <c r="I15" i="18"/>
  <c r="H15" i="18"/>
  <c r="J15" i="18" s="1"/>
  <c r="G15" i="18"/>
  <c r="F15" i="18"/>
  <c r="M15" i="18" s="1"/>
  <c r="E15" i="18"/>
  <c r="R14" i="18"/>
  <c r="T14" i="18" s="1"/>
  <c r="Q14" i="18"/>
  <c r="P14" i="18"/>
  <c r="S14" i="18" s="1"/>
  <c r="I14" i="18"/>
  <c r="H14" i="18"/>
  <c r="J14" i="18" s="1"/>
  <c r="G14" i="18"/>
  <c r="F14" i="18"/>
  <c r="M14" i="18" s="1"/>
  <c r="E14" i="18"/>
  <c r="R13" i="18"/>
  <c r="T13" i="18" s="1"/>
  <c r="Q13" i="18"/>
  <c r="P13" i="18"/>
  <c r="I13" i="18"/>
  <c r="H13" i="18"/>
  <c r="J13" i="18" s="1"/>
  <c r="G13" i="18"/>
  <c r="F13" i="18"/>
  <c r="M13" i="18" s="1"/>
  <c r="E13" i="18"/>
  <c r="R12" i="18"/>
  <c r="T12" i="18" s="1"/>
  <c r="Q12" i="18"/>
  <c r="P12" i="18"/>
  <c r="S12" i="18" s="1"/>
  <c r="I12" i="18"/>
  <c r="H12" i="18"/>
  <c r="J12" i="18" s="1"/>
  <c r="G12" i="18"/>
  <c r="F12" i="18"/>
  <c r="M12" i="18" s="1"/>
  <c r="E12" i="18"/>
  <c r="R11" i="18"/>
  <c r="T11" i="18" s="1"/>
  <c r="Q11" i="18"/>
  <c r="P11" i="18"/>
  <c r="I11" i="18"/>
  <c r="H11" i="18"/>
  <c r="G11" i="18"/>
  <c r="F11" i="18"/>
  <c r="M11" i="18" s="1"/>
  <c r="E11" i="18"/>
  <c r="R10" i="18"/>
  <c r="T10" i="18" s="1"/>
  <c r="Q10" i="18"/>
  <c r="P10" i="18"/>
  <c r="I10" i="18"/>
  <c r="H10" i="18"/>
  <c r="J10" i="18" s="1"/>
  <c r="G10" i="18"/>
  <c r="F10" i="18"/>
  <c r="M10" i="18" s="1"/>
  <c r="E10" i="18"/>
  <c r="R9" i="18"/>
  <c r="T9" i="18" s="1"/>
  <c r="Q9" i="18"/>
  <c r="P9" i="18"/>
  <c r="S9" i="18" s="1"/>
  <c r="I9" i="18"/>
  <c r="H9" i="18"/>
  <c r="G9" i="18"/>
  <c r="F9" i="18"/>
  <c r="M9" i="18" s="1"/>
  <c r="E9" i="18"/>
  <c r="V61" i="18"/>
  <c r="U61" i="18"/>
  <c r="T61" i="18"/>
  <c r="S61" i="18"/>
  <c r="O61" i="18"/>
  <c r="N61" i="18"/>
  <c r="M61" i="18"/>
  <c r="L61" i="18"/>
  <c r="G61" i="18"/>
  <c r="F61" i="18"/>
  <c r="E61" i="18"/>
  <c r="AB70" i="17"/>
  <c r="AA70" i="17"/>
  <c r="Z70" i="17"/>
  <c r="Y70" i="17"/>
  <c r="X70" i="17"/>
  <c r="W70" i="17"/>
  <c r="V70" i="17"/>
  <c r="U70" i="17"/>
  <c r="T70" i="17"/>
  <c r="S70" i="17"/>
  <c r="R70" i="17"/>
  <c r="Q70" i="17"/>
  <c r="P70" i="17"/>
  <c r="O70" i="17"/>
  <c r="N70" i="17"/>
  <c r="M70" i="17"/>
  <c r="N71" i="16"/>
  <c r="S49" i="18" l="1"/>
  <c r="S48" i="18"/>
  <c r="S52" i="18"/>
  <c r="S43" i="18"/>
  <c r="J43" i="18"/>
  <c r="J38" i="18"/>
  <c r="J31" i="18"/>
  <c r="J28" i="18"/>
  <c r="S22" i="18"/>
  <c r="S21" i="18"/>
  <c r="S18" i="18"/>
  <c r="S17" i="18"/>
  <c r="S16" i="18"/>
  <c r="S13" i="18"/>
  <c r="S53" i="18"/>
  <c r="S47" i="18"/>
  <c r="L47" i="18"/>
  <c r="L32" i="18"/>
  <c r="S30" i="18"/>
  <c r="S15" i="18"/>
  <c r="S11" i="18"/>
  <c r="J9" i="18"/>
  <c r="L23" i="18"/>
  <c r="S58" i="18"/>
  <c r="S20" i="18"/>
  <c r="L42" i="18"/>
  <c r="S40" i="18"/>
  <c r="K40" i="18"/>
  <c r="L40" i="18"/>
  <c r="L39" i="18"/>
  <c r="J26" i="18"/>
  <c r="L38" i="18"/>
  <c r="K36" i="18"/>
  <c r="S33" i="18"/>
  <c r="K27" i="18"/>
  <c r="K34" i="18"/>
  <c r="L33" i="18"/>
  <c r="K32" i="18"/>
  <c r="J23" i="18"/>
  <c r="K59" i="18"/>
  <c r="L59" i="18"/>
  <c r="K58" i="18"/>
  <c r="L58" i="18"/>
  <c r="S57" i="18"/>
  <c r="K54" i="18"/>
  <c r="L50" i="18"/>
  <c r="K47" i="18"/>
  <c r="S45" i="18"/>
  <c r="J24" i="18"/>
  <c r="J22" i="18"/>
  <c r="L13" i="18"/>
  <c r="J11" i="18"/>
  <c r="K52" i="18"/>
  <c r="L48" i="18"/>
  <c r="J20" i="18"/>
  <c r="K56" i="18"/>
  <c r="L56" i="18"/>
  <c r="K55" i="18"/>
  <c r="L55" i="18"/>
  <c r="J52" i="18"/>
  <c r="L52" i="18"/>
  <c r="S51" i="18"/>
  <c r="K51" i="18"/>
  <c r="L51" i="18"/>
  <c r="K50" i="18"/>
  <c r="K49" i="18"/>
  <c r="L49" i="18"/>
  <c r="K48" i="18"/>
  <c r="J47" i="18"/>
  <c r="K39" i="18"/>
  <c r="K38" i="18"/>
  <c r="K37" i="18"/>
  <c r="J36" i="18"/>
  <c r="L34" i="18"/>
  <c r="K31" i="18"/>
  <c r="L31" i="18"/>
  <c r="K30" i="18"/>
  <c r="L30" i="18"/>
  <c r="L29" i="18"/>
  <c r="S28" i="18"/>
  <c r="L28" i="18"/>
  <c r="J27" i="18"/>
  <c r="K26" i="18"/>
  <c r="K25" i="18"/>
  <c r="K24" i="18"/>
  <c r="K23" i="18"/>
  <c r="J54" i="18"/>
  <c r="L54" i="18"/>
  <c r="K53" i="18"/>
  <c r="L53" i="18"/>
  <c r="K46" i="18"/>
  <c r="L46" i="18"/>
  <c r="K45" i="18"/>
  <c r="L45" i="18"/>
  <c r="K44" i="18"/>
  <c r="L44" i="18"/>
  <c r="K43" i="18"/>
  <c r="L43" i="18"/>
  <c r="K42" i="18"/>
  <c r="K41" i="18"/>
  <c r="L41" i="18"/>
  <c r="S38" i="18"/>
  <c r="S37" i="18"/>
  <c r="L37" i="18"/>
  <c r="L36" i="18"/>
  <c r="K35" i="18"/>
  <c r="L35" i="18"/>
  <c r="J34" i="18"/>
  <c r="K33" i="18"/>
  <c r="J32" i="18"/>
  <c r="S31" i="18"/>
  <c r="K29" i="18"/>
  <c r="K28" i="18"/>
  <c r="L27" i="18"/>
  <c r="L26" i="18"/>
  <c r="S25" i="18"/>
  <c r="L25" i="18"/>
  <c r="K22" i="18"/>
  <c r="L22" i="18"/>
  <c r="K21" i="18"/>
  <c r="L21" i="18"/>
  <c r="K20" i="18"/>
  <c r="L20" i="18"/>
  <c r="K19" i="18"/>
  <c r="L19" i="18"/>
  <c r="K18" i="18"/>
  <c r="L18" i="18"/>
  <c r="K17" i="18"/>
  <c r="L17" i="18"/>
  <c r="K16" i="18"/>
  <c r="L16" i="18"/>
  <c r="K15" i="18"/>
  <c r="L15" i="18"/>
  <c r="K14" i="18"/>
  <c r="L14" i="18"/>
  <c r="K13" i="18"/>
  <c r="K57" i="18"/>
  <c r="L57" i="18"/>
  <c r="L24" i="18"/>
  <c r="S23" i="18"/>
  <c r="K12" i="18"/>
  <c r="L12" i="18"/>
  <c r="K11" i="18"/>
  <c r="L11" i="18"/>
  <c r="S10" i="18"/>
  <c r="K10" i="18"/>
  <c r="L10" i="18"/>
  <c r="K9" i="18"/>
  <c r="F62" i="18"/>
  <c r="M62" i="18" s="1"/>
  <c r="S59" i="18"/>
  <c r="E62" i="18"/>
  <c r="L9" i="18"/>
  <c r="G62" i="18"/>
  <c r="T62" i="18"/>
  <c r="J17" i="18"/>
  <c r="J21" i="18"/>
  <c r="J25" i="18"/>
  <c r="J29" i="18"/>
  <c r="J33" i="18"/>
  <c r="J37" i="18"/>
  <c r="J41" i="18"/>
  <c r="J45" i="18"/>
  <c r="J49" i="18"/>
  <c r="J53" i="18"/>
  <c r="J57" i="18"/>
  <c r="Y64" i="18" l="1"/>
  <c r="Y65" i="18" s="1"/>
  <c r="N9" i="18" s="1"/>
  <c r="S62" i="18"/>
  <c r="L62" i="18"/>
  <c r="N36" i="18" l="1"/>
  <c r="N19" i="18"/>
  <c r="N26" i="18"/>
  <c r="N54" i="18"/>
  <c r="N27" i="18"/>
  <c r="N47" i="18"/>
  <c r="N52" i="18"/>
  <c r="N20" i="18"/>
  <c r="N11" i="18"/>
  <c r="N22" i="18"/>
  <c r="N24" i="18"/>
  <c r="N23" i="18"/>
  <c r="N57" i="18"/>
  <c r="N53" i="18"/>
  <c r="N49" i="18"/>
  <c r="N45" i="18"/>
  <c r="N41" i="18"/>
  <c r="N37" i="18"/>
  <c r="N33" i="18"/>
  <c r="N29" i="18"/>
  <c r="N25" i="18"/>
  <c r="N21" i="18"/>
  <c r="N17" i="18"/>
  <c r="N32" i="18"/>
  <c r="N34" i="18"/>
  <c r="N38" i="18"/>
  <c r="N28" i="18"/>
  <c r="N43" i="18"/>
  <c r="N31" i="18"/>
  <c r="N10" i="18"/>
  <c r="N12" i="18"/>
  <c r="N13" i="18"/>
  <c r="N14" i="18"/>
  <c r="N15" i="18"/>
  <c r="N16" i="18"/>
  <c r="N18" i="18"/>
  <c r="N56" i="18"/>
  <c r="N58" i="18"/>
  <c r="N59" i="18"/>
  <c r="N30" i="18"/>
  <c r="N35" i="18"/>
  <c r="N39" i="18"/>
  <c r="N40" i="18"/>
  <c r="N42" i="18"/>
  <c r="N44" i="18"/>
  <c r="N46" i="18"/>
  <c r="N48" i="18"/>
  <c r="N50" i="18"/>
  <c r="N51" i="18"/>
  <c r="N55" i="18"/>
  <c r="U9" i="18"/>
  <c r="O9" i="18"/>
  <c r="D6" i="2"/>
  <c r="N62" i="18" l="1"/>
  <c r="U36" i="18"/>
  <c r="O36" i="18"/>
  <c r="V36" i="18" s="1"/>
  <c r="U19" i="18"/>
  <c r="O19" i="18"/>
  <c r="V19" i="18" s="1"/>
  <c r="U26" i="18"/>
  <c r="O26" i="18"/>
  <c r="V26" i="18" s="1"/>
  <c r="U54" i="18"/>
  <c r="O54" i="18"/>
  <c r="V54" i="18" s="1"/>
  <c r="U27" i="18"/>
  <c r="O27" i="18"/>
  <c r="V27" i="18" s="1"/>
  <c r="U47" i="18"/>
  <c r="O47" i="18"/>
  <c r="V47" i="18" s="1"/>
  <c r="U52" i="18"/>
  <c r="O52" i="18"/>
  <c r="V52" i="18" s="1"/>
  <c r="U20" i="18"/>
  <c r="O20" i="18"/>
  <c r="V20" i="18" s="1"/>
  <c r="U11" i="18"/>
  <c r="O11" i="18"/>
  <c r="V11" i="18" s="1"/>
  <c r="U22" i="18"/>
  <c r="O22" i="18"/>
  <c r="V22" i="18" s="1"/>
  <c r="U24" i="18"/>
  <c r="O24" i="18"/>
  <c r="V24" i="18" s="1"/>
  <c r="U23" i="18"/>
  <c r="O23" i="18"/>
  <c r="V23" i="18" s="1"/>
  <c r="U57" i="18"/>
  <c r="O57" i="18"/>
  <c r="V57" i="18" s="1"/>
  <c r="U53" i="18"/>
  <c r="O53" i="18"/>
  <c r="V53" i="18" s="1"/>
  <c r="U49" i="18"/>
  <c r="O49" i="18"/>
  <c r="V49" i="18" s="1"/>
  <c r="U45" i="18"/>
  <c r="O45" i="18"/>
  <c r="V45" i="18" s="1"/>
  <c r="U41" i="18"/>
  <c r="O41" i="18"/>
  <c r="V41" i="18" s="1"/>
  <c r="U37" i="18"/>
  <c r="O37" i="18"/>
  <c r="V37" i="18" s="1"/>
  <c r="U33" i="18"/>
  <c r="O33" i="18"/>
  <c r="V33" i="18" s="1"/>
  <c r="U29" i="18"/>
  <c r="O29" i="18"/>
  <c r="V29" i="18" s="1"/>
  <c r="U25" i="18"/>
  <c r="O25" i="18"/>
  <c r="V25" i="18" s="1"/>
  <c r="U21" i="18"/>
  <c r="O21" i="18"/>
  <c r="V21" i="18" s="1"/>
  <c r="U17" i="18"/>
  <c r="O17" i="18"/>
  <c r="V17" i="18" s="1"/>
  <c r="U32" i="18"/>
  <c r="O32" i="18"/>
  <c r="V32" i="18" s="1"/>
  <c r="U34" i="18"/>
  <c r="O34" i="18"/>
  <c r="V34" i="18" s="1"/>
  <c r="U38" i="18"/>
  <c r="O38" i="18"/>
  <c r="V38" i="18" s="1"/>
  <c r="U28" i="18"/>
  <c r="O28" i="18"/>
  <c r="V28" i="18" s="1"/>
  <c r="U43" i="18"/>
  <c r="O43" i="18"/>
  <c r="V43" i="18" s="1"/>
  <c r="U31" i="18"/>
  <c r="O31" i="18"/>
  <c r="V31" i="18" s="1"/>
  <c r="U10" i="18"/>
  <c r="O10" i="18"/>
  <c r="U12" i="18"/>
  <c r="O12" i="18"/>
  <c r="V12" i="18" s="1"/>
  <c r="U13" i="18"/>
  <c r="O13" i="18"/>
  <c r="V13" i="18" s="1"/>
  <c r="U14" i="18"/>
  <c r="O14" i="18"/>
  <c r="V14" i="18" s="1"/>
  <c r="U15" i="18"/>
  <c r="O15" i="18"/>
  <c r="V15" i="18" s="1"/>
  <c r="U16" i="18"/>
  <c r="O16" i="18"/>
  <c r="V16" i="18" s="1"/>
  <c r="U18" i="18"/>
  <c r="O18" i="18"/>
  <c r="V18" i="18" s="1"/>
  <c r="U56" i="18"/>
  <c r="O56" i="18"/>
  <c r="V56" i="18" s="1"/>
  <c r="U58" i="18"/>
  <c r="O58" i="18"/>
  <c r="V58" i="18" s="1"/>
  <c r="U59" i="18"/>
  <c r="O59" i="18"/>
  <c r="V59" i="18" s="1"/>
  <c r="U30" i="18"/>
  <c r="O30" i="18"/>
  <c r="V30" i="18" s="1"/>
  <c r="U35" i="18"/>
  <c r="O35" i="18"/>
  <c r="V35" i="18" s="1"/>
  <c r="U39" i="18"/>
  <c r="O39" i="18"/>
  <c r="V39" i="18" s="1"/>
  <c r="U40" i="18"/>
  <c r="O40" i="18"/>
  <c r="V40" i="18" s="1"/>
  <c r="U42" i="18"/>
  <c r="O42" i="18"/>
  <c r="V42" i="18" s="1"/>
  <c r="U44" i="18"/>
  <c r="O44" i="18"/>
  <c r="V44" i="18" s="1"/>
  <c r="U46" i="18"/>
  <c r="O46" i="18"/>
  <c r="V46" i="18" s="1"/>
  <c r="U48" i="18"/>
  <c r="O48" i="18"/>
  <c r="V48" i="18" s="1"/>
  <c r="U50" i="18"/>
  <c r="O50" i="18"/>
  <c r="V50" i="18" s="1"/>
  <c r="U51" i="18"/>
  <c r="O51" i="18"/>
  <c r="V51" i="18" s="1"/>
  <c r="U55" i="18"/>
  <c r="O55" i="18"/>
  <c r="V55" i="18" s="1"/>
  <c r="V9" i="18"/>
  <c r="A6" i="8"/>
  <c r="E6" i="2"/>
  <c r="F18" i="23" l="1"/>
  <c r="E5" i="2" s="1"/>
  <c r="U62" i="18"/>
  <c r="S64" i="18" s="1"/>
  <c r="V10" i="18"/>
  <c r="O62" i="18"/>
  <c r="C18" i="23" l="1"/>
  <c r="B5" i="2" s="1"/>
  <c r="V62" i="18"/>
  <c r="T64" i="18" s="1"/>
  <c r="G64" i="18"/>
  <c r="E64" i="1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<sst xmlns="http://schemas.openxmlformats.org/spreadsheetml/2006/main" count="8472" uniqueCount="3957">
  <si>
    <t>SYVbT Start Year Vehicles by Technology</t>
  </si>
  <si>
    <t>Sources:</t>
  </si>
  <si>
    <t>LDVs</t>
  </si>
  <si>
    <t>HDVs</t>
  </si>
  <si>
    <t>aircraft</t>
  </si>
  <si>
    <t>rail</t>
  </si>
  <si>
    <t>ships</t>
  </si>
  <si>
    <t>motorbikes</t>
  </si>
  <si>
    <t>battery electric vehicle</t>
  </si>
  <si>
    <t>natural gas vehicle</t>
  </si>
  <si>
    <t>gasoline vehicle</t>
  </si>
  <si>
    <t>diesel vehicle</t>
  </si>
  <si>
    <t>plugin hybrid vehicle</t>
  </si>
  <si>
    <t>Total World</t>
  </si>
  <si>
    <t>Aircraft Cargo Stock</t>
  </si>
  <si>
    <t>- -</t>
  </si>
  <si>
    <t>Aircraft Parked Stock</t>
  </si>
  <si>
    <t>Aircraft Active Stock</t>
  </si>
  <si>
    <t>Aircraft Stock</t>
  </si>
  <si>
    <t/>
  </si>
  <si>
    <t>EIA</t>
  </si>
  <si>
    <t>Table 49</t>
  </si>
  <si>
    <t>International Shipping</t>
  </si>
  <si>
    <t>Domestic Shipping</t>
  </si>
  <si>
    <t>Railroads</t>
  </si>
  <si>
    <t>New Trucks by Size Class</t>
  </si>
  <si>
    <t>Freight Truck Stock by Size Class</t>
  </si>
  <si>
    <t>freight HDVs</t>
  </si>
  <si>
    <t>Recreational boats:</t>
  </si>
  <si>
    <t>Oceangoing self-propelled vessels:</t>
  </si>
  <si>
    <t>Nonself-propelled vessels and self-propelled vessels:</t>
  </si>
  <si>
    <t>Water transportation:</t>
  </si>
  <si>
    <t>1975-80: Amtrak, State and Local Affairs Department, personal communication.</t>
  </si>
  <si>
    <t>Amtrak:</t>
  </si>
  <si>
    <t>Class I, locomotive</t>
  </si>
  <si>
    <t>Rail (all categories, except Amtrak):</t>
  </si>
  <si>
    <t>Transit:</t>
  </si>
  <si>
    <t>Highway:</t>
  </si>
  <si>
    <r>
      <t xml:space="preserve">1960-65: U.S. Department of Transportation, Federal Aviation Administration, </t>
    </r>
    <r>
      <rPr>
        <i/>
        <sz val="9"/>
        <rFont val="Arial"/>
        <family val="2"/>
      </rPr>
      <t>FAA Statistical Handbook of Aviation, 1969</t>
    </r>
    <r>
      <rPr>
        <sz val="9"/>
        <rFont val="Arial"/>
        <family val="2"/>
      </rPr>
      <t xml:space="preserve"> (Washington, DC: 1969), table 9.10.</t>
    </r>
  </si>
  <si>
    <t>General aviation:</t>
  </si>
  <si>
    <t>Air carrier:</t>
  </si>
  <si>
    <t>Air:</t>
  </si>
  <si>
    <t>SOURCES</t>
  </si>
  <si>
    <r>
      <t xml:space="preserve">Association of American Railroad changed the equipment reporting style from Railroad Facts 2015 edition, </t>
    </r>
    <r>
      <rPr>
        <i/>
        <sz val="9"/>
        <rFont val="Arial"/>
        <family val="2"/>
      </rPr>
      <t>Nonclass I freight cars</t>
    </r>
    <r>
      <rPr>
        <sz val="9"/>
        <rFont val="Arial"/>
        <family val="2"/>
      </rPr>
      <t xml:space="preserve"> and </t>
    </r>
    <r>
      <rPr>
        <i/>
        <sz val="9"/>
        <rFont val="Arial"/>
        <family val="2"/>
      </rPr>
      <t xml:space="preserve">Car companies and shippers freight cars </t>
    </r>
    <r>
      <rPr>
        <sz val="9"/>
        <rFont val="Arial"/>
        <family val="2"/>
      </rPr>
      <t>data will no longer be provided by AAR.</t>
    </r>
  </si>
  <si>
    <r>
      <rPr>
        <i/>
        <sz val="9"/>
        <rFont val="Arial"/>
        <family val="2"/>
      </rPr>
      <t xml:space="preserve">Transit </t>
    </r>
    <r>
      <rPr>
        <sz val="9"/>
        <rFont val="Arial"/>
        <family val="2"/>
      </rPr>
      <t>data for 1996 and later years are obtained from the National Transit Database and cannot be compared with data for earlier years.</t>
    </r>
  </si>
  <si>
    <t xml:space="preserve">For more detail on oceangoing vessels, see table 1-23. </t>
  </si>
  <si>
    <r>
      <rPr>
        <i/>
        <sz val="9"/>
        <rFont val="Arial"/>
        <family val="2"/>
      </rPr>
      <t xml:space="preserve">Bus </t>
    </r>
    <r>
      <rPr>
        <sz val="9"/>
        <rFont val="Arial"/>
        <family val="2"/>
      </rPr>
      <t xml:space="preserve">and </t>
    </r>
    <r>
      <rPr>
        <i/>
        <sz val="9"/>
        <rFont val="Arial"/>
        <family val="2"/>
      </rPr>
      <t xml:space="preserve">Demand response/Paratransit </t>
    </r>
    <r>
      <rPr>
        <sz val="9"/>
        <rFont val="Arial"/>
        <family val="2"/>
      </rPr>
      <t xml:space="preserve">in these tables refer to a mode of service, not to a specific vehicle type. </t>
    </r>
    <r>
      <rPr>
        <i/>
        <sz val="9"/>
        <rFont val="Arial"/>
        <family val="2"/>
      </rPr>
      <t>Demand responsive</t>
    </r>
    <r>
      <rPr>
        <sz val="9"/>
        <rFont val="Arial"/>
        <family val="2"/>
      </rPr>
      <t xml:space="preserve"> service, defined as roadway service directly from an origin to a destination determined by the rider and not following a fixed-route, is usually provided by vans, small buses and in a limited number of cases by large buses. </t>
    </r>
    <r>
      <rPr>
        <i/>
        <sz val="9"/>
        <rFont val="Arial"/>
        <family val="2"/>
      </rPr>
      <t>Bus</t>
    </r>
    <r>
      <rPr>
        <sz val="9"/>
        <rFont val="Arial"/>
        <family val="2"/>
      </rPr>
      <t xml:space="preserve"> service is a variety of roadway services that share the characteristic of being entirely or partially fixed routes. </t>
    </r>
    <r>
      <rPr>
        <i/>
        <sz val="9"/>
        <rFont val="Arial"/>
        <family val="2"/>
      </rPr>
      <t>Bus</t>
    </r>
    <r>
      <rPr>
        <sz val="9"/>
        <rFont val="Arial"/>
        <family val="2"/>
      </rPr>
      <t xml:space="preserve"> service includes local service, express service, subscription service, diversionary route service, loop service, and other types. Although </t>
    </r>
    <r>
      <rPr>
        <i/>
        <sz val="9"/>
        <rFont val="Arial"/>
        <family val="2"/>
      </rPr>
      <t xml:space="preserve">Bus </t>
    </r>
    <r>
      <rPr>
        <sz val="9"/>
        <rFont val="Arial"/>
        <family val="2"/>
      </rPr>
      <t>service is normally provided by buses, it can be provided by smaller vehicles that may be considered large vans.</t>
    </r>
  </si>
  <si>
    <r>
      <t xml:space="preserve">Transit </t>
    </r>
    <r>
      <rPr>
        <i/>
        <sz val="9"/>
        <rFont val="Arial"/>
        <family val="2"/>
      </rPr>
      <t>Motor bus</t>
    </r>
    <r>
      <rPr>
        <sz val="9"/>
        <rFont val="Arial"/>
        <family val="2"/>
      </rPr>
      <t xml:space="preserve"> figure is also included as part of bus in the </t>
    </r>
    <r>
      <rPr>
        <i/>
        <sz val="9"/>
        <rFont val="Arial"/>
        <family val="2"/>
      </rPr>
      <t xml:space="preserve">Highway </t>
    </r>
    <r>
      <rPr>
        <sz val="9"/>
        <rFont val="Arial"/>
        <family val="2"/>
      </rPr>
      <t>category.</t>
    </r>
  </si>
  <si>
    <r>
      <t xml:space="preserve">NOTES </t>
    </r>
    <r>
      <rPr>
        <sz val="9"/>
        <rFont val="Arial"/>
        <family val="2"/>
      </rPr>
      <t xml:space="preserve"> </t>
    </r>
  </si>
  <si>
    <r>
      <t>b</t>
    </r>
    <r>
      <rPr>
        <sz val="9"/>
        <rFont val="Arial"/>
        <family val="2"/>
      </rPr>
      <t xml:space="preserve"> 1991-94 data revised to reflect changes in adjustment for nonresponse bias with 1996 telephone survey factors; 1995-97 data may not be comparable to 1994 and earlier years due to changes in methodology. Includes air taxi aircraft. Beginning in 2004, commuter activity is excluded from all estimates. Commuter activity was included in the air taxi use category in 2003 and prior.</t>
    </r>
  </si>
  <si>
    <r>
      <t>a</t>
    </r>
    <r>
      <rPr>
        <sz val="9"/>
        <rFont val="Arial"/>
        <family val="2"/>
      </rPr>
      <t xml:space="preserve"> </t>
    </r>
    <r>
      <rPr>
        <i/>
        <sz val="9"/>
        <rFont val="Arial"/>
        <family val="2"/>
      </rPr>
      <t xml:space="preserve">Air carrier </t>
    </r>
    <r>
      <rPr>
        <sz val="9"/>
        <rFont val="Arial"/>
        <family val="2"/>
      </rPr>
      <t>aircraft are those carrying passengers or cargo for hire under 14 CFR 121 and 14 CFR 135. Beginning in 1990, the number of aircraft is the monthly average of the number of aircraft reported in use for the last three months of the year. Prior to 1990, it was the number of aircraft reported in use during December of a given year.</t>
    </r>
  </si>
  <si>
    <t>U</t>
  </si>
  <si>
    <t xml:space="preserve">Water </t>
  </si>
  <si>
    <t>Amtrak, locomotive</t>
  </si>
  <si>
    <t>Amtrak, passenger train car</t>
  </si>
  <si>
    <t>Car companies and shippers freight cars</t>
  </si>
  <si>
    <t>Nonclass I freight cars</t>
  </si>
  <si>
    <t>Class I, freight cars</t>
  </si>
  <si>
    <t>Rail</t>
  </si>
  <si>
    <t>Demand responsive</t>
  </si>
  <si>
    <t>Commuter rail cars and locomotives</t>
  </si>
  <si>
    <t>Trolley bus</t>
  </si>
  <si>
    <t>Heavy rail cars</t>
  </si>
  <si>
    <t>Bus</t>
  </si>
  <si>
    <r>
      <t>Light duty vehicle, long wheel base</t>
    </r>
    <r>
      <rPr>
        <vertAlign val="superscript"/>
        <sz val="11"/>
        <rFont val="Arial Narrow"/>
        <family val="2"/>
      </rPr>
      <t>c</t>
    </r>
  </si>
  <si>
    <t>Highway, total (registered vehicles)</t>
  </si>
  <si>
    <r>
      <t>General aviation</t>
    </r>
    <r>
      <rPr>
        <vertAlign val="superscript"/>
        <sz val="11"/>
        <rFont val="Arial Narrow"/>
        <family val="2"/>
      </rPr>
      <t xml:space="preserve">b </t>
    </r>
    <r>
      <rPr>
        <sz val="11"/>
        <rFont val="Arial Narrow"/>
        <family val="2"/>
      </rPr>
      <t>(active fleet)</t>
    </r>
  </si>
  <si>
    <r>
      <t>Air carrier</t>
    </r>
    <r>
      <rPr>
        <vertAlign val="superscript"/>
        <sz val="11"/>
        <rFont val="Arial Narrow"/>
        <family val="2"/>
      </rPr>
      <t>a</t>
    </r>
  </si>
  <si>
    <t>Air</t>
  </si>
  <si>
    <r>
      <t>Table 1-11:</t>
    </r>
    <r>
      <rPr>
        <b/>
        <sz val="14"/>
        <rFont val="Arial"/>
        <family val="2"/>
      </rPr>
      <t xml:space="preserve"> </t>
    </r>
    <r>
      <rPr>
        <b/>
        <sz val="12"/>
        <rFont val="Arial"/>
        <family val="2"/>
      </rPr>
      <t>Number of U.S. Aircraft, Vehicles, Vessels, and Other Conveyances</t>
    </r>
  </si>
  <si>
    <t>cars per commuter rail train</t>
  </si>
  <si>
    <t>Total Stock</t>
  </si>
  <si>
    <t>Total Light Truck Stock</t>
  </si>
  <si>
    <t>Total Car Stock</t>
  </si>
  <si>
    <t>Energy Use by Mode</t>
  </si>
  <si>
    <t>Energy Efficiency Indicators</t>
  </si>
  <si>
    <t>Travel Indicators</t>
  </si>
  <si>
    <t>Key Indicators</t>
  </si>
  <si>
    <t>DoT</t>
  </si>
  <si>
    <t>Table 1-11</t>
  </si>
  <si>
    <t>Total Consumption</t>
  </si>
  <si>
    <t>Pipeline Fuel Natural Gas</t>
  </si>
  <si>
    <t>Lubricants</t>
  </si>
  <si>
    <t>Recreational Boats</t>
  </si>
  <si>
    <t>Rail Transportation</t>
  </si>
  <si>
    <t>Bus Transportation</t>
  </si>
  <si>
    <t>Military Use</t>
  </si>
  <si>
    <t>Air Transportation</t>
  </si>
  <si>
    <t>Light-Duty Vehicle</t>
  </si>
  <si>
    <t>https://www.eia.gov/outlooks/aeo/supplement/excel/suptab_40.xlsx</t>
  </si>
  <si>
    <t>Railroad Type</t>
  </si>
  <si>
    <t>Number of Companies</t>
  </si>
  <si>
    <t>Miles of Track</t>
  </si>
  <si>
    <t>Employees</t>
  </si>
  <si>
    <t>Revenues (bil)</t>
  </si>
  <si>
    <t>Class I</t>
  </si>
  <si>
    <t>Class II (Regional)</t>
  </si>
  <si>
    <t>Class III (Local)</t>
  </si>
  <si>
    <t>Class II and Class III (Small) Railroad Statistics</t>
  </si>
  <si>
    <t>Page 4</t>
  </si>
  <si>
    <t>Federal Railroad Administration</t>
  </si>
  <si>
    <t>Summary of Class II and Class III Railroad Capital Needs and Funding Sources</t>
  </si>
  <si>
    <t>electric buses (passenger HDVs)</t>
  </si>
  <si>
    <t>Zero Emissions Bus Operators</t>
  </si>
  <si>
    <t>https://www.transportation.gov/r2ze/fleets-zero-emission-buses-us-and-china</t>
  </si>
  <si>
    <t>First paragraph</t>
  </si>
  <si>
    <t>electric buses in the U.S.</t>
  </si>
  <si>
    <t>http://www.infrastructurereportcard.org/wp-content/uploads/2018/05/C1-140212-001_D1-FRA-Report-on-RRs-Report-9-30.pdf</t>
  </si>
  <si>
    <t>https://www.bts.gov/content/number-us-aircraft-vehicles-vessels-and-other-conveyances</t>
  </si>
  <si>
    <t>National Transportation Statistics 2018 Q4</t>
  </si>
  <si>
    <t>Start Year</t>
  </si>
  <si>
    <t>Total Fleet Vehicles</t>
  </si>
  <si>
    <t>LPG vehicle</t>
  </si>
  <si>
    <t>hydrogen vehicle</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</si>
  <si>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</si>
  <si>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</si>
  <si>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</si>
  <si>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</si>
  <si>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</si>
  <si>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</si>
  <si>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</si>
  <si>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</si>
  <si>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</si>
  <si>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</si>
  <si>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</si>
  <si>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</si>
  <si>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</si>
  <si>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</si>
  <si>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</si>
  <si>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</si>
  <si>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passenger HDVs, rail, motorbikes</t>
  </si>
  <si>
    <t>U.S. Coast Guard</t>
  </si>
  <si>
    <t>National Recreational Boating Survey 2012</t>
  </si>
  <si>
    <t>http://www.uscgboating.org/library/recreational-boating-servey/2012survey%20report.pdf</t>
  </si>
  <si>
    <t>Page 63, Table 40</t>
  </si>
  <si>
    <t>passenger ships</t>
  </si>
  <si>
    <t>Number of Vehicles</t>
  </si>
  <si>
    <t>share of passenger rail that is electric</t>
  </si>
  <si>
    <t>share of passenger rail that is diesel</t>
  </si>
  <si>
    <t>share of passenger ships that is diesel</t>
  </si>
  <si>
    <t>share of passenger ships that is gasoline</t>
  </si>
  <si>
    <t>Efficiency electric</t>
  </si>
  <si>
    <t>Efficiency diesel</t>
  </si>
  <si>
    <t>Electric BTUs * efficiency</t>
  </si>
  <si>
    <t>Diesel BTUs * efficiency</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</si>
  <si>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</si>
  <si>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</si>
  <si>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</si>
  <si>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</si>
  <si>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</si>
  <si>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</si>
  <si>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</si>
  <si>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</si>
  <si>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</si>
  <si>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</si>
  <si>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</si>
  <si>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</si>
  <si>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</si>
  <si>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</si>
  <si>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</si>
  <si>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</si>
  <si>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</si>
  <si>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</si>
  <si>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</si>
  <si>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</si>
  <si>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</si>
  <si>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</si>
  <si>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</si>
  <si>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</si>
  <si>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</si>
  <si>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</si>
  <si>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</si>
  <si>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Table 36.  Transportation Sector Energy Use by Fuel Type Within a Mode</t>
  </si>
  <si>
    <t>Source: U.S. Energy Information Administration</t>
  </si>
  <si>
    <t>full name</t>
  </si>
  <si>
    <t>api key</t>
  </si>
  <si>
    <t>units</t>
  </si>
  <si>
    <t>trillion Btu</t>
  </si>
  <si>
    <t>Table 39.  Light-Duty Vehicle Stock by Technology Type</t>
  </si>
  <si>
    <t>Car Stock</t>
  </si>
  <si>
    <t>Conventional Cars</t>
  </si>
  <si>
    <t>Gasoline ICE Vehicles</t>
  </si>
  <si>
    <t>TDI Diesel ICE</t>
  </si>
  <si>
    <t>Total Conventional Cars</t>
  </si>
  <si>
    <t>Alternative-Fuel Cars</t>
  </si>
  <si>
    <t>Ethanol-Flex Fuel ICE</t>
  </si>
  <si>
    <t>Electric-Diesel Hybrid</t>
  </si>
  <si>
    <t>Electric-Gasoline Hybrid</t>
  </si>
  <si>
    <t>Natural Gas ICE</t>
  </si>
  <si>
    <t>Natural Gas Bi-fuel</t>
  </si>
  <si>
    <t>Propane ICE</t>
  </si>
  <si>
    <t>Propane Bi-fuel</t>
  </si>
  <si>
    <t>Fuel Cell Methanol</t>
  </si>
  <si>
    <t>Fuel Cell Hydrogen</t>
  </si>
  <si>
    <t>Total Alternative Cars</t>
  </si>
  <si>
    <t>Light Truck Stock</t>
  </si>
  <si>
    <t>Conventional Light Trucks</t>
  </si>
  <si>
    <t>Total Conventional Light Trucks</t>
  </si>
  <si>
    <t>Alternative-Fuel Light Trucks</t>
  </si>
  <si>
    <t>Total Alternative Light Trucks</t>
  </si>
  <si>
    <t>millions</t>
  </si>
  <si>
    <t>Table 45.  Transportation Fleet Car and Truck Stock by Type and Technology</t>
  </si>
  <si>
    <t>thousands</t>
  </si>
  <si>
    <t>Ethanol-Flex Fuel</t>
  </si>
  <si>
    <t>Electric</t>
  </si>
  <si>
    <t>Plug-in Gasoline Hybrid</t>
  </si>
  <si>
    <t>Plug-in Diesel Hybrid</t>
  </si>
  <si>
    <t>Fuel Cell</t>
  </si>
  <si>
    <t>Total Commercial Light Truck Stock</t>
  </si>
  <si>
    <t>Table 48.  Aircraft Stock</t>
  </si>
  <si>
    <t>United States</t>
  </si>
  <si>
    <t>Narrow Body Aircraft</t>
  </si>
  <si>
    <t>Wide Body Aircraft</t>
  </si>
  <si>
    <t>Regional Jets</t>
  </si>
  <si>
    <t>Canada</t>
  </si>
  <si>
    <t>Africa</t>
  </si>
  <si>
    <t>China</t>
  </si>
  <si>
    <t>Table 49.  Freight Transportation Energy Use</t>
  </si>
  <si>
    <t>Vehicle Miles Traveled (billion miles)</t>
  </si>
  <si>
    <t>Light Medium</t>
  </si>
  <si>
    <t>billion miles</t>
  </si>
  <si>
    <t>Light Medium Subtotal</t>
  </si>
  <si>
    <t>Medium</t>
  </si>
  <si>
    <t>Medium Subtotal</t>
  </si>
  <si>
    <t>Heavy</t>
  </si>
  <si>
    <t>Heavy Subtotal</t>
  </si>
  <si>
    <t>Total Vehicle Miles Traveled</t>
  </si>
  <si>
    <t>Consumption (trillion Btu)</t>
  </si>
  <si>
    <t xml:space="preserve"> Medium</t>
  </si>
  <si>
    <t xml:space="preserve"> and Heavy Total</t>
  </si>
  <si>
    <t>Fuel Efficiency (miles per gallon)</t>
  </si>
  <si>
    <t>mpg diesel equiv</t>
  </si>
  <si>
    <t>mpg gas equiv</t>
  </si>
  <si>
    <t>Light Medium Average</t>
  </si>
  <si>
    <t>mpg</t>
  </si>
  <si>
    <t>Medium Average</t>
  </si>
  <si>
    <t>Heavy Average</t>
  </si>
  <si>
    <t>Average Fuel Efficiency</t>
  </si>
  <si>
    <t>Stock (millions)</t>
  </si>
  <si>
    <t>Sales (thousands)</t>
  </si>
  <si>
    <t>Total Sales</t>
  </si>
  <si>
    <t>Ton Miles by Rail (billion)</t>
  </si>
  <si>
    <t>billions</t>
  </si>
  <si>
    <t>Fuel Efficiency (ton miles per thousand Btu)</t>
  </si>
  <si>
    <t>Fuel Consumption (trillion Btu)</t>
  </si>
  <si>
    <t>Ton Miles Shipping (billion)</t>
  </si>
  <si>
    <t>Gross Trade (billion 2012 dollars)</t>
  </si>
  <si>
    <t>billion 2012 $</t>
  </si>
  <si>
    <t>Exports (billion 2012 dollars)</t>
  </si>
  <si>
    <t>Imports (billion 2012 dollars)</t>
  </si>
  <si>
    <r>
      <t>Light duty vehicle, short wheel base</t>
    </r>
    <r>
      <rPr>
        <vertAlign val="superscript"/>
        <sz val="11"/>
        <rFont val="Arial Narrow"/>
        <family val="2"/>
      </rPr>
      <t>c,d</t>
    </r>
  </si>
  <si>
    <r>
      <t>Motorcycle</t>
    </r>
    <r>
      <rPr>
        <vertAlign val="superscript"/>
        <sz val="11"/>
        <rFont val="Arial Narrow"/>
        <family val="2"/>
      </rPr>
      <t>d</t>
    </r>
  </si>
  <si>
    <r>
      <t>Truck, combination</t>
    </r>
    <r>
      <rPr>
        <vertAlign val="superscript"/>
        <sz val="11"/>
        <rFont val="Arial Narrow"/>
        <family val="2"/>
      </rPr>
      <t>e,f</t>
    </r>
  </si>
  <si>
    <r>
      <t>Transit</t>
    </r>
    <r>
      <rPr>
        <b/>
        <vertAlign val="superscript"/>
        <sz val="11"/>
        <rFont val="Arial Narrow"/>
        <family val="2"/>
      </rPr>
      <t>g</t>
    </r>
  </si>
  <si>
    <r>
      <t>Motor bus</t>
    </r>
    <r>
      <rPr>
        <vertAlign val="superscript"/>
        <sz val="11"/>
        <rFont val="Arial Narrow"/>
        <family val="2"/>
      </rPr>
      <t>h</t>
    </r>
  </si>
  <si>
    <r>
      <t>Light rail cars</t>
    </r>
    <r>
      <rPr>
        <vertAlign val="superscript"/>
        <sz val="11"/>
        <rFont val="Arial Narrow"/>
        <family val="2"/>
      </rPr>
      <t>i</t>
    </r>
  </si>
  <si>
    <r>
      <t>Other</t>
    </r>
    <r>
      <rPr>
        <vertAlign val="superscript"/>
        <sz val="11"/>
        <rFont val="Arial Narrow"/>
        <family val="2"/>
      </rPr>
      <t>j</t>
    </r>
  </si>
  <si>
    <r>
      <t>Nonself-propelled vessels</t>
    </r>
    <r>
      <rPr>
        <vertAlign val="superscript"/>
        <sz val="11"/>
        <rFont val="Arial Narrow"/>
        <family val="2"/>
      </rPr>
      <t>k,l</t>
    </r>
  </si>
  <si>
    <r>
      <t>Self-propelled vessels</t>
    </r>
    <r>
      <rPr>
        <vertAlign val="superscript"/>
        <sz val="11"/>
        <rFont val="Arial Narrow"/>
        <family val="2"/>
      </rPr>
      <t>m,o</t>
    </r>
  </si>
  <si>
    <r>
      <t>Oceangoing self-propelled vessels (1,000 gross tons and over)</t>
    </r>
    <r>
      <rPr>
        <vertAlign val="superscript"/>
        <sz val="11"/>
        <rFont val="Arial Narrow"/>
        <family val="2"/>
      </rPr>
      <t>n,p</t>
    </r>
  </si>
  <si>
    <r>
      <t>Recreational boats</t>
    </r>
    <r>
      <rPr>
        <vertAlign val="superscript"/>
        <sz val="11"/>
        <rFont val="Arial Narrow"/>
        <family val="2"/>
      </rPr>
      <t>o</t>
    </r>
  </si>
  <si>
    <r>
      <rPr>
        <vertAlign val="superscript"/>
        <sz val="9"/>
        <rFont val="Arial"/>
        <family val="2"/>
      </rPr>
      <t xml:space="preserve">c </t>
    </r>
    <r>
      <rPr>
        <sz val="9"/>
        <rFont val="Arial"/>
        <family val="2"/>
      </rPr>
      <t>Data from 2007 were calculated using a new methodology developed by FHWA. Data for these years are based on new categories and are not comparable to previous years. The new category</t>
    </r>
    <r>
      <rPr>
        <i/>
        <sz val="9"/>
        <rFont val="Arial"/>
        <family val="2"/>
      </rPr>
      <t xml:space="preserve"> Light duty vehicle, short wheel base</t>
    </r>
    <r>
      <rPr>
        <sz val="9"/>
        <rFont val="Arial"/>
        <family val="2"/>
      </rPr>
      <t xml:space="preserve"> replaces the old category </t>
    </r>
    <r>
      <rPr>
        <i/>
        <sz val="9"/>
        <rFont val="Arial"/>
        <family val="2"/>
      </rPr>
      <t>Passenger car</t>
    </r>
    <r>
      <rPr>
        <sz val="9"/>
        <rFont val="Arial"/>
        <family val="2"/>
      </rPr>
      <t xml:space="preserve"> and includes passenger cars, light trucks, vans and sport utility vehicles with a wheelbase (WB) equal to or less than 121 inches. The new category </t>
    </r>
    <r>
      <rPr>
        <i/>
        <sz val="9"/>
        <rFont val="Arial"/>
        <family val="2"/>
      </rPr>
      <t>Light duty vehicle, long wheel base</t>
    </r>
    <r>
      <rPr>
        <sz val="9"/>
        <rFont val="Arial"/>
        <family val="2"/>
      </rPr>
      <t xml:space="preserve"> replaces </t>
    </r>
    <r>
      <rPr>
        <i/>
        <sz val="9"/>
        <rFont val="Arial"/>
        <family val="2"/>
      </rPr>
      <t>Other 2-axle, 4-tire vehicle</t>
    </r>
    <r>
      <rPr>
        <sz val="9"/>
        <rFont val="Arial"/>
        <family val="2"/>
      </rPr>
      <t xml:space="preserve"> and includes large passenger cars, vans, pickup trucks, and sport/utility vehicles with wheelbases (WB) larger than 121 inches. Data for 1960-2006 are not comparable to data for 2007 and later. This edition of table 1-11 is not comparable to those before the 2019 edition.</t>
    </r>
  </si>
  <si>
    <r>
      <t xml:space="preserve">e </t>
    </r>
    <r>
      <rPr>
        <sz val="9"/>
        <rFont val="Arial"/>
        <family val="2"/>
      </rPr>
      <t xml:space="preserve">In 1960, this category includes all </t>
    </r>
    <r>
      <rPr>
        <i/>
        <sz val="9"/>
        <rFont val="Arial"/>
        <family val="2"/>
      </rPr>
      <t>Trucks</t>
    </r>
    <r>
      <rPr>
        <sz val="9"/>
        <rFont val="Arial"/>
        <family val="2"/>
      </rPr>
      <t xml:space="preserve"> and </t>
    </r>
    <r>
      <rPr>
        <i/>
        <sz val="9"/>
        <rFont val="Arial"/>
        <family val="2"/>
      </rPr>
      <t>Light duty vehicle, long wheel base</t>
    </r>
    <r>
      <rPr>
        <sz val="9"/>
        <rFont val="Arial"/>
        <family val="2"/>
      </rPr>
      <t>.</t>
    </r>
  </si>
  <si>
    <r>
      <t>f</t>
    </r>
    <r>
      <rPr>
        <sz val="9"/>
        <rFont val="Arial"/>
        <family val="2"/>
      </rPr>
      <t xml:space="preserve"> 1965: Light duty vehicle, long wheel base data included in all</t>
    </r>
    <r>
      <rPr>
        <i/>
        <sz val="9"/>
        <rFont val="Arial"/>
        <family val="2"/>
      </rPr>
      <t xml:space="preserve"> Trucks</t>
    </r>
    <r>
      <rPr>
        <sz val="9"/>
        <rFont val="Arial"/>
        <family val="2"/>
      </rPr>
      <t>.</t>
    </r>
  </si>
  <si>
    <r>
      <t xml:space="preserve">g </t>
    </r>
    <r>
      <rPr>
        <sz val="9"/>
        <rFont val="Arial"/>
        <family val="2"/>
      </rPr>
      <t>Prior to 1984, excludes most rural and smaller systems funded via Sections 18 and 16(b)(2), Urban Mass Transportation Act of 1964, as amended. Also prior to 1984, includes total vehicles owned and leased. Incudes vehicles available at maximum service.</t>
    </r>
  </si>
  <si>
    <r>
      <t xml:space="preserve">h </t>
    </r>
    <r>
      <rPr>
        <sz val="9"/>
        <rFont val="Arial"/>
        <family val="2"/>
      </rPr>
      <t xml:space="preserve">Beginning in 2011, </t>
    </r>
    <r>
      <rPr>
        <i/>
        <sz val="9"/>
        <rFont val="Arial"/>
        <family val="2"/>
      </rPr>
      <t>Motor bus</t>
    </r>
    <r>
      <rPr>
        <sz val="9"/>
        <rFont val="Arial"/>
        <family val="2"/>
      </rPr>
      <t xml:space="preserve"> includes Bus, Bus Rapid Transit, and Commuter Bus</t>
    </r>
    <r>
      <rPr>
        <i/>
        <sz val="9"/>
        <rFont val="Arial"/>
        <family val="2"/>
      </rPr>
      <t>.</t>
    </r>
  </si>
  <si>
    <r>
      <t xml:space="preserve">i </t>
    </r>
    <r>
      <rPr>
        <sz val="9"/>
        <rFont val="Arial"/>
        <family val="2"/>
      </rPr>
      <t xml:space="preserve">Beginning in 2011, </t>
    </r>
    <r>
      <rPr>
        <i/>
        <sz val="9"/>
        <rFont val="Arial"/>
        <family val="2"/>
      </rPr>
      <t>Light rail cars</t>
    </r>
    <r>
      <rPr>
        <sz val="9"/>
        <rFont val="Arial"/>
        <family val="2"/>
      </rPr>
      <t xml:space="preserve"> includes Light Rail, Street Car Rail, and Hybrid Rail.</t>
    </r>
  </si>
  <si>
    <r>
      <rPr>
        <vertAlign val="superscript"/>
        <sz val="9"/>
        <rFont val="Arial"/>
        <family val="2"/>
      </rPr>
      <t>j</t>
    </r>
    <r>
      <rPr>
        <sz val="9"/>
        <rFont val="Arial"/>
        <family val="2"/>
      </rPr>
      <t xml:space="preserve"> </t>
    </r>
    <r>
      <rPr>
        <i/>
        <sz val="9"/>
        <rFont val="Arial"/>
        <family val="2"/>
      </rPr>
      <t>Other</t>
    </r>
    <r>
      <rPr>
        <sz val="9"/>
        <rFont val="Arial"/>
        <family val="2"/>
      </rPr>
      <t xml:space="preserve"> includes Alaska railroad, automated guideway transit, cable car, ferry boat, inclined plane, monorail, publico, and vanpool.</t>
    </r>
  </si>
  <si>
    <r>
      <t>k</t>
    </r>
    <r>
      <rPr>
        <i/>
        <vertAlign val="superscript"/>
        <sz val="9"/>
        <rFont val="Arial"/>
        <family val="2"/>
      </rPr>
      <t xml:space="preserve"> </t>
    </r>
    <r>
      <rPr>
        <i/>
        <sz val="9"/>
        <rFont val="Arial"/>
        <family val="2"/>
      </rPr>
      <t>Nonself-propelled vessels</t>
    </r>
    <r>
      <rPr>
        <sz val="9"/>
        <rFont val="Arial"/>
        <family val="2"/>
      </rPr>
      <t xml:space="preserve"> include dry-cargo barges, tank barges, and railroad-car floats.</t>
    </r>
  </si>
  <si>
    <r>
      <t xml:space="preserve">l </t>
    </r>
    <r>
      <rPr>
        <sz val="9"/>
        <rFont val="Arial"/>
        <family val="2"/>
      </rPr>
      <t>Data for Jan. 1, 1991-June 30, 1991 included in 1990 figure.</t>
    </r>
  </si>
  <si>
    <r>
      <t xml:space="preserve">m </t>
    </r>
    <r>
      <rPr>
        <i/>
        <sz val="9"/>
        <rFont val="Arial"/>
        <family val="2"/>
      </rPr>
      <t>Self-propelled vessels</t>
    </r>
    <r>
      <rPr>
        <sz val="9"/>
        <rFont val="Arial"/>
        <family val="2"/>
      </rPr>
      <t xml:space="preserve"> include dry-cargo and/or passenger, offshore supply vessels, railroad-car ferries, tankers, and towboats.</t>
    </r>
  </si>
  <si>
    <r>
      <t xml:space="preserve">n </t>
    </r>
    <r>
      <rPr>
        <sz val="9"/>
        <rFont val="Arial"/>
        <family val="2"/>
      </rPr>
      <t xml:space="preserve">1960-2006 data includes private and government owned vessels of 1,000 gross tons and over. Beginning in 2007, data are reported only for privately-owned vessels of 1,000 gross tons and over. Calendar Year 2009 includes privately owned vessels of 10,000 deadweight tons and above not including the Great Lakes vessels. All the data are year-end data.
</t>
    </r>
  </si>
  <si>
    <r>
      <t xml:space="preserve">o </t>
    </r>
    <r>
      <rPr>
        <i/>
        <sz val="9"/>
        <rFont val="Arial"/>
        <family val="2"/>
      </rPr>
      <t>Recreational vessels</t>
    </r>
    <r>
      <rPr>
        <sz val="9"/>
        <rFont val="Arial"/>
        <family val="2"/>
      </rPr>
      <t xml:space="preserve"> that are required to be numbered in accordance with Chapter 123 of Title 46 U.S.C.</t>
    </r>
  </si>
  <si>
    <r>
      <t>1960-65: U.S. Department of Transportation, Federal Aviation Administration,</t>
    </r>
    <r>
      <rPr>
        <i/>
        <sz val="9"/>
        <rFont val="Arial"/>
        <family val="2"/>
      </rPr>
      <t xml:space="preserve"> FAA Statistical Handbook of Aviation, </t>
    </r>
    <r>
      <rPr>
        <sz val="9"/>
        <rFont val="Arial"/>
        <family val="2"/>
      </rPr>
      <t>(Washington, DC: 1970), table 5.3.</t>
    </r>
  </si>
  <si>
    <r>
      <t xml:space="preserve">1970-75: U.S. Department of Transportation, Federal Aviation Administration, </t>
    </r>
    <r>
      <rPr>
        <i/>
        <sz val="9"/>
        <rFont val="Arial"/>
        <family val="2"/>
      </rPr>
      <t xml:space="preserve">FAA Statistical Handbook of Aviation, 1979 edition </t>
    </r>
    <r>
      <rPr>
        <sz val="9"/>
        <rFont val="Arial"/>
        <family val="2"/>
      </rPr>
      <t>(Washington, DC: 1979), table 5.1.</t>
    </r>
  </si>
  <si>
    <r>
      <t xml:space="preserve">1980-85: U.S. Department of Transportation, Federal Aviation Administration, </t>
    </r>
    <r>
      <rPr>
        <i/>
        <sz val="9"/>
        <rFont val="Arial"/>
        <family val="2"/>
      </rPr>
      <t xml:space="preserve">FAA Statistical Handbook of Aviation, Calendar Year 1986 </t>
    </r>
    <r>
      <rPr>
        <sz val="9"/>
        <rFont val="Arial"/>
        <family val="2"/>
      </rPr>
      <t>(Washington, DC: 1986), table 5.1.</t>
    </r>
  </si>
  <si>
    <r>
      <t xml:space="preserve">1990-94: U.S. Department of Transportation, Federal Aviation Administration, </t>
    </r>
    <r>
      <rPr>
        <i/>
        <sz val="9"/>
        <rFont val="Arial"/>
        <family val="2"/>
      </rPr>
      <t>FAA Statistical Handbook of Aviation, Calendar Year 1997</t>
    </r>
    <r>
      <rPr>
        <sz val="9"/>
        <rFont val="Arial"/>
        <family val="2"/>
      </rPr>
      <t xml:space="preserve"> (Washington, DC: unpublished), table 5.1, personal communication, Mar. 19, 1999.</t>
    </r>
  </si>
  <si>
    <r>
      <t>1970-75: U.S. Department of Transportation, Federal Aviation Administration,</t>
    </r>
    <r>
      <rPr>
        <i/>
        <sz val="9"/>
        <rFont val="Arial"/>
        <family val="2"/>
      </rPr>
      <t xml:space="preserve"> FAA Statistical Handbook of Aviation, Calendar Year 1976</t>
    </r>
    <r>
      <rPr>
        <sz val="9"/>
        <rFont val="Arial"/>
        <family val="2"/>
      </rPr>
      <t xml:space="preserve"> (Washington, DC: 1976), table 8-6.</t>
    </r>
  </si>
  <si>
    <r>
      <t xml:space="preserve">1980: U.S. Department of Transportation, Federal Aviation Administration, </t>
    </r>
    <r>
      <rPr>
        <i/>
        <sz val="9"/>
        <rFont val="Arial"/>
        <family val="2"/>
      </rPr>
      <t>General Aviation Activity Survey, Calendar Year 1980</t>
    </r>
    <r>
      <rPr>
        <sz val="9"/>
        <rFont val="Arial"/>
        <family val="2"/>
      </rPr>
      <t xml:space="preserve"> (Washington, DC: 1981), table 1-3.</t>
    </r>
  </si>
  <si>
    <r>
      <t xml:space="preserve">1985: U.S. Department of Transportation, Federal Aviation Administration, </t>
    </r>
    <r>
      <rPr>
        <i/>
        <sz val="9"/>
        <rFont val="Arial"/>
        <family val="2"/>
      </rPr>
      <t xml:space="preserve">General Aviation Activity Survey, Calendar Year 1985 </t>
    </r>
    <r>
      <rPr>
        <sz val="9"/>
        <rFont val="Arial"/>
        <family val="2"/>
      </rPr>
      <t>(Washington, DC: 1987), table 2-9.</t>
    </r>
  </si>
  <si>
    <r>
      <t xml:space="preserve">1960-93: U.S. Department of Transportation, Federal Highway Administration, </t>
    </r>
    <r>
      <rPr>
        <i/>
        <sz val="9"/>
        <rFont val="Arial"/>
        <family val="2"/>
      </rPr>
      <t>Highway Statistics Summary to 1995,</t>
    </r>
    <r>
      <rPr>
        <sz val="9"/>
        <rFont val="Arial"/>
        <family val="2"/>
      </rPr>
      <t xml:space="preserve"> FHWA-PL-97-009 (Washington, DC: July 1997), table VM-201A, available at http://www.fhwa.dot.gov/policyinformation/statistics.cfm as of Mar. 18, 2020.</t>
    </r>
  </si>
  <si>
    <r>
      <t>1960-1995: American Public Transit Association,</t>
    </r>
    <r>
      <rPr>
        <i/>
        <sz val="9"/>
        <rFont val="Arial"/>
        <family val="2"/>
      </rPr>
      <t xml:space="preserve"> Public Transportation Fact Book, Appendix A: Historical Tables </t>
    </r>
    <r>
      <rPr>
        <sz val="9"/>
        <rFont val="Arial"/>
        <family val="2"/>
      </rPr>
      <t>(Washington, DC), table 17.</t>
    </r>
  </si>
  <si>
    <r>
      <t xml:space="preserve">1996-2001: U.S. Department of Transportation, Federal Transit Administration, </t>
    </r>
    <r>
      <rPr>
        <i/>
        <sz val="9"/>
        <rFont val="Arial"/>
        <family val="2"/>
      </rPr>
      <t xml:space="preserve">National Transit Database, </t>
    </r>
    <r>
      <rPr>
        <sz val="9"/>
        <rFont val="Arial"/>
        <family val="2"/>
      </rPr>
      <t>table 19 (Washington, DC: Annual Issues).</t>
    </r>
  </si>
  <si>
    <r>
      <t xml:space="preserve">1985-2000: Amtrak, </t>
    </r>
    <r>
      <rPr>
        <i/>
        <sz val="9"/>
        <rFont val="Arial"/>
        <family val="2"/>
      </rPr>
      <t xml:space="preserve">Amtrak Annual Report, </t>
    </r>
    <r>
      <rPr>
        <sz val="9"/>
        <rFont val="Arial"/>
        <family val="2"/>
      </rPr>
      <t>Statistical Appendix (Washington, DC: Annual Issues),</t>
    </r>
    <r>
      <rPr>
        <b/>
        <sz val="9"/>
        <rFont val="Arial"/>
        <family val="2"/>
      </rPr>
      <t xml:space="preserve"> </t>
    </r>
    <r>
      <rPr>
        <sz val="9"/>
        <rFont val="Arial"/>
        <family val="2"/>
      </rPr>
      <t>p. 47.</t>
    </r>
  </si>
  <si>
    <r>
      <t>1960-96: U.S. Army, Corps of Engineers,</t>
    </r>
    <r>
      <rPr>
        <i/>
        <sz val="9"/>
        <rFont val="Arial"/>
        <family val="2"/>
      </rPr>
      <t xml:space="preserve"> Waterborne Transportation Lines of The United States, Volume 1, National Summaries</t>
    </r>
    <r>
      <rPr>
        <sz val="9"/>
        <rFont val="Arial"/>
        <family val="2"/>
      </rPr>
      <t xml:space="preserve"> (New Orleans, LA : Annual Issues), table 1, available at https://www.iwr.usace.army.mil/about/technical-centers/wcsc-waterborne-commerce-statistics-center/ as of Nov. 14, 2016.</t>
    </r>
  </si>
  <si>
    <r>
      <t xml:space="preserve">1960-99: U.S. Department of Transportation, Maritime Administration, </t>
    </r>
    <r>
      <rPr>
        <i/>
        <sz val="9"/>
        <rFont val="Arial"/>
        <family val="2"/>
      </rPr>
      <t xml:space="preserve">Merchant Fleets of the World </t>
    </r>
    <r>
      <rPr>
        <sz val="9"/>
        <rFont val="Arial"/>
        <family val="2"/>
      </rPr>
      <t>(Washington, DC: Annual issues), and unpublished revisions.</t>
    </r>
  </si>
  <si>
    <t>Table 48</t>
  </si>
  <si>
    <t>passenger LDVs</t>
  </si>
  <si>
    <t>freight LDVs</t>
  </si>
  <si>
    <t>Tables 45, 49</t>
  </si>
  <si>
    <t>Table 39</t>
  </si>
  <si>
    <r>
      <t>Truck, single-unit 2-axle 6-tire or more</t>
    </r>
    <r>
      <rPr>
        <vertAlign val="superscript"/>
        <sz val="11"/>
        <rFont val="Arial Narrow"/>
        <family val="2"/>
      </rPr>
      <t>f</t>
    </r>
  </si>
  <si>
    <t>N</t>
  </si>
  <si>
    <r>
      <t xml:space="preserve">d </t>
    </r>
    <r>
      <rPr>
        <sz val="9"/>
        <rFont val="Arial"/>
        <family val="2"/>
      </rPr>
      <t>1960-1993 Motorcycle data is included in Light duty vehicle, short wheel base.</t>
    </r>
  </si>
  <si>
    <r>
      <t xml:space="preserve">p </t>
    </r>
    <r>
      <rPr>
        <i/>
        <sz val="9"/>
        <rFont val="Arial"/>
        <family val="2"/>
      </rPr>
      <t xml:space="preserve">Fleet </t>
    </r>
    <r>
      <rPr>
        <sz val="9"/>
        <rFont val="Arial"/>
        <family val="2"/>
      </rPr>
      <t>is as of January of each year except for 2020, the data is as of December 2019.</t>
    </r>
  </si>
  <si>
    <r>
      <t xml:space="preserve">1990-2009: U.S. Department of Transportation, Federal Aviation Administration, </t>
    </r>
    <r>
      <rPr>
        <i/>
        <sz val="9"/>
        <rFont val="Arial"/>
        <family val="2"/>
      </rPr>
      <t xml:space="preserve">General Aviation and Air Taxi Activity Survey </t>
    </r>
    <r>
      <rPr>
        <sz val="9"/>
        <rFont val="Arial"/>
        <family val="2"/>
      </rPr>
      <t>(Annual Issues), table 1.1, available at http://www.faa.gov/data_research/aviation_data_statistics/general_aviation/ as of Jan. 6, 2021.</t>
    </r>
  </si>
  <si>
    <r>
      <t xml:space="preserve">Association of American Railroads, </t>
    </r>
    <r>
      <rPr>
        <i/>
        <sz val="9"/>
        <rFont val="Arial"/>
        <family val="2"/>
      </rPr>
      <t xml:space="preserve">Railroad Facts </t>
    </r>
    <r>
      <rPr>
        <sz val="9"/>
        <rFont val="Arial"/>
        <family val="2"/>
      </rPr>
      <t>(Washington, DC: Annual Issues), p. 65, and similar pages in earlier editions.</t>
    </r>
  </si>
  <si>
    <r>
      <t xml:space="preserve">2017-19: U.S. Department of Transportation, Maritime Administration, Vessel Fleet lists, </t>
    </r>
    <r>
      <rPr>
        <i/>
        <sz val="9"/>
        <rFont val="Arial"/>
        <family val="2"/>
      </rPr>
      <t>2000-2019 U.S.-Flag Privately-Owned Fleet Summary</t>
    </r>
    <r>
      <rPr>
        <sz val="9"/>
        <rFont val="Arial"/>
        <family val="2"/>
      </rPr>
      <t>, available at https://www.maritime.dot.gov/data-reports/data-statistics/data-statistics as of Jan. 6, 2021.</t>
    </r>
  </si>
  <si>
    <t>Rail-passenger data</t>
  </si>
  <si>
    <t>National Transit Database Tables</t>
  </si>
  <si>
    <t>American Public Transportation Association</t>
  </si>
  <si>
    <t>https://www.apta.com/research-technical-resources/transit-statistics/ntd-data-tables/</t>
  </si>
  <si>
    <t>Agency</t>
  </si>
  <si>
    <t>City</t>
  </si>
  <si>
    <t>State</t>
  </si>
  <si>
    <t>Legacy NTD ID</t>
  </si>
  <si>
    <t>NTD ID</t>
  </si>
  <si>
    <t>Organization Type</t>
  </si>
  <si>
    <t>NTD Reporter Type</t>
  </si>
  <si>
    <t>Primary UZA Population</t>
  </si>
  <si>
    <t>Agency VOMS</t>
  </si>
  <si>
    <t>Mode</t>
  </si>
  <si>
    <t>Type of Service</t>
  </si>
  <si>
    <t>Mode VOMS</t>
  </si>
  <si>
    <t>Mode VOMS Questionable</t>
  </si>
  <si>
    <t>Max Trains in Operation</t>
  </si>
  <si>
    <t>Max Trains in Operation Questionable</t>
  </si>
  <si>
    <t>Average Speed (mi/hr)</t>
  </si>
  <si>
    <t>Average Speed (mi/hr) Questionable</t>
  </si>
  <si>
    <t>Average Passenger Trip Length (mi)</t>
  </si>
  <si>
    <t>Average Passenger Trip Length (mi) Questionable</t>
  </si>
  <si>
    <t>Passengers per Hour</t>
  </si>
  <si>
    <t>Passengers per Hour Questionable</t>
  </si>
  <si>
    <t>Scheduled Vehicle Revenue Miles</t>
  </si>
  <si>
    <t>Scheduled Vehicle Revenue Miles Questionable</t>
  </si>
  <si>
    <t>Vehicle Miles</t>
  </si>
  <si>
    <t>Vehicle Miles Questionable</t>
  </si>
  <si>
    <t>Vehicle Revenue Miles</t>
  </si>
  <si>
    <t>Vehicle Revenue Miles Questionable</t>
  </si>
  <si>
    <t>Deadhead Miles</t>
  </si>
  <si>
    <t>Deadhead Miles Questionable</t>
  </si>
  <si>
    <t>Vehicle Hours</t>
  </si>
  <si>
    <t>Vehicle Hours Questionable</t>
  </si>
  <si>
    <t>Vehicle 
Revenue 
Hours</t>
  </si>
  <si>
    <t>Vehicle Revenue Hours Questionable</t>
  </si>
  <si>
    <t>Deadhead Hours</t>
  </si>
  <si>
    <t>Deadhead Hours Questionable</t>
  </si>
  <si>
    <t>Train Miles</t>
  </si>
  <si>
    <t>Train Miles Questionable</t>
  </si>
  <si>
    <t>Train 
Revenue
Miles</t>
  </si>
  <si>
    <t>Train Revenue Miles Questionable</t>
  </si>
  <si>
    <t>Train Hours</t>
  </si>
  <si>
    <t>Train Hours Questionable</t>
  </si>
  <si>
    <t>Train 
Revenue 
Hours</t>
  </si>
  <si>
    <t>Train Revenue Hours Questionable</t>
  </si>
  <si>
    <t>Unlinked Passenger Trips</t>
  </si>
  <si>
    <t>Unlinked Passenger Trips Questionable</t>
  </si>
  <si>
    <t>Passenger Miles</t>
  </si>
  <si>
    <t>Passenger Miles Questionable</t>
  </si>
  <si>
    <t>Directional Route Miles</t>
  </si>
  <si>
    <t>Directional Route Miles Questionable</t>
  </si>
  <si>
    <t>Any data questionable</t>
  </si>
  <si>
    <t>MTA New York City Transit</t>
  </si>
  <si>
    <t>Brooklyn</t>
  </si>
  <si>
    <t>NY</t>
  </si>
  <si>
    <t>Subsidiary Unit of a Transit Agency, Reporting Separately</t>
  </si>
  <si>
    <t>Full Reporter</t>
  </si>
  <si>
    <t>HR</t>
  </si>
  <si>
    <t>DO</t>
  </si>
  <si>
    <t>No</t>
  </si>
  <si>
    <t>New Jersey Transit Corporation</t>
  </si>
  <si>
    <t>Newark</t>
  </si>
  <si>
    <t>NJ</t>
  </si>
  <si>
    <t>Other Publicly-Owned or Privately Chartered Corporation</t>
  </si>
  <si>
    <t>LR</t>
  </si>
  <si>
    <t>PT</t>
  </si>
  <si>
    <t>CR</t>
  </si>
  <si>
    <t>Los Angeles County Metropolitan Transportation Authority, dba: Metro</t>
  </si>
  <si>
    <t>Los Angeles</t>
  </si>
  <si>
    <t>CA</t>
  </si>
  <si>
    <t>Independent Public Agency or Authority of Transit Service</t>
  </si>
  <si>
    <t>Washington Metropolitan Area Transit Authority</t>
  </si>
  <si>
    <t>Washington</t>
  </si>
  <si>
    <t>DC</t>
  </si>
  <si>
    <t>Chicago Transit Authority</t>
  </si>
  <si>
    <t>Chicago</t>
  </si>
  <si>
    <t>IL</t>
  </si>
  <si>
    <t>W</t>
  </si>
  <si>
    <t>Yes</t>
  </si>
  <si>
    <t>Massachusetts Bay Transportation Authority</t>
  </si>
  <si>
    <t>Boston</t>
  </si>
  <si>
    <t>MA</t>
  </si>
  <si>
    <t>Q</t>
  </si>
  <si>
    <t>Southeastern Pennsylvania Transportation Authority</t>
  </si>
  <si>
    <t>Philadelphia</t>
  </si>
  <si>
    <t>PA</t>
  </si>
  <si>
    <t>Metropolitan Transit Authority of Harris County, Texas, dba: Metro</t>
  </si>
  <si>
    <t>Houston</t>
  </si>
  <si>
    <t>TX</t>
  </si>
  <si>
    <t>Maryland Transit Administration</t>
  </si>
  <si>
    <t>Baltimore</t>
  </si>
  <si>
    <t>MD</t>
  </si>
  <si>
    <t>State Government Unit or Department of Transportation</t>
  </si>
  <si>
    <t>County of Miami-Dade, dba: Transportation &amp; Public Work</t>
  </si>
  <si>
    <t>Miami</t>
  </si>
  <si>
    <t>FL</t>
  </si>
  <si>
    <t>City, County or Local Government Unit or Department of Transportation</t>
  </si>
  <si>
    <t>Denver Regional Transportation District</t>
  </si>
  <si>
    <t>Denver</t>
  </si>
  <si>
    <t>CO</t>
  </si>
  <si>
    <t>Metro-North Commuter Railroad Company, dba: MTA Metro-North Railroad</t>
  </si>
  <si>
    <t>New York</t>
  </si>
  <si>
    <t>Dallas Area Rapid Transit</t>
  </si>
  <si>
    <t>Dallas</t>
  </si>
  <si>
    <t>Utah Transit Authority</t>
  </si>
  <si>
    <t>Salt Lake City</t>
  </si>
  <si>
    <t>UT</t>
  </si>
  <si>
    <t>Northeast Illinois Regional Commuter Railroad Corporation, dba: Metra</t>
  </si>
  <si>
    <t>MTA Long Island Rail Road</t>
  </si>
  <si>
    <t>Jamaica</t>
  </si>
  <si>
    <t>City and County of San Francisco, dba: San Francisco Municipal Transportation Agency (MUNI)</t>
  </si>
  <si>
    <t>San Francisco</t>
  </si>
  <si>
    <t>Tri-County Metropolitan Transportation District of Oregon, dba: TriMet</t>
  </si>
  <si>
    <t>Portland</t>
  </si>
  <si>
    <t>OR</t>
  </si>
  <si>
    <t>Metropolitan Atlanta Rapid Transit Authority</t>
  </si>
  <si>
    <t>Atlanta</t>
  </si>
  <si>
    <t>GA</t>
  </si>
  <si>
    <t>Port Authority of Allegheny County</t>
  </si>
  <si>
    <t>Pittsburgh</t>
  </si>
  <si>
    <t>San Diego Metropolitan Transit System</t>
  </si>
  <si>
    <t>San Diego</t>
  </si>
  <si>
    <t>Metro Transit, dba: Metro Transit</t>
  </si>
  <si>
    <t>Minneapolis</t>
  </si>
  <si>
    <t>MN</t>
  </si>
  <si>
    <t>Santa Clara Valley Transportation Authority</t>
  </si>
  <si>
    <t>San Jose</t>
  </si>
  <si>
    <t>San Francisco Bay Area Rapid Transit District</t>
  </si>
  <si>
    <t>Oakland</t>
  </si>
  <si>
    <t>Bi-State Development Agency of the Missouri-Illinois Metropolitan District, dba: St. Louis Metro</t>
  </si>
  <si>
    <t>Saint Louis</t>
  </si>
  <si>
    <t>MO</t>
  </si>
  <si>
    <t>The Greater Cleveland Regional Transit Authority</t>
  </si>
  <si>
    <t>Cleveland</t>
  </si>
  <si>
    <t>OH</t>
  </si>
  <si>
    <t>Transportation District Commission of Hampton Roads, dba: Hampton Roads Transit</t>
  </si>
  <si>
    <t>Hampton</t>
  </si>
  <si>
    <t>VA</t>
  </si>
  <si>
    <t>City of Charlotte North Carolina, dba: Charlotte Area Transit System</t>
  </si>
  <si>
    <t>Charlotte</t>
  </si>
  <si>
    <t>NC</t>
  </si>
  <si>
    <t>Central Puget Sound Regional Transit Authority, dba: Sound Transit</t>
  </si>
  <si>
    <t>Seattle</t>
  </si>
  <si>
    <t>WA</t>
  </si>
  <si>
    <t>Niagara Frontier Transportation Authority</t>
  </si>
  <si>
    <t>Buffalo</t>
  </si>
  <si>
    <t>Sacramento Regional Transit District, dba: Sacramento RT</t>
  </si>
  <si>
    <t>Sacramento</t>
  </si>
  <si>
    <t>Fort Worth Transportation Authority, dba: Trinity Metro</t>
  </si>
  <si>
    <t>Fort Worth</t>
  </si>
  <si>
    <t>Port Authority Trans-Hudson Corporation</t>
  </si>
  <si>
    <t>North County Transit District</t>
  </si>
  <si>
    <t>Oceanside</t>
  </si>
  <si>
    <t>Southern California Regional Rail Authority, dba: Metrolink</t>
  </si>
  <si>
    <t>Peninsula Corridor Joint Powers Board, dba: Caltrain</t>
  </si>
  <si>
    <t>San Carlos</t>
  </si>
  <si>
    <t>Virginia Railway Express</t>
  </si>
  <si>
    <t>Alexandria</t>
  </si>
  <si>
    <t>Port Authority Transit Corporation</t>
  </si>
  <si>
    <t>Lindenwold</t>
  </si>
  <si>
    <t>Northern Indiana Commuter Transportation District</t>
  </si>
  <si>
    <t>Chesterton</t>
  </si>
  <si>
    <t>IN</t>
  </si>
  <si>
    <t>South Florida Regional Transportation Authority, dba: TRI-Rail</t>
  </si>
  <si>
    <t>Pompano Beach</t>
  </si>
  <si>
    <t>Rio Metro Regional Transit District</t>
  </si>
  <si>
    <t>Albuquerque</t>
  </si>
  <si>
    <t>NM</t>
  </si>
  <si>
    <t>Alternativa de Transporte Integrado -ATI</t>
  </si>
  <si>
    <t>San Juan</t>
  </si>
  <si>
    <t>PR</t>
  </si>
  <si>
    <t>Regional Transportation Authority</t>
  </si>
  <si>
    <t>Madison</t>
  </si>
  <si>
    <t>TN</t>
  </si>
  <si>
    <t>Staten Island Rapid Transit Operating Authority, dba: MTA Staten Island Railway</t>
  </si>
  <si>
    <t>Staten Island</t>
  </si>
  <si>
    <t>Connecticut Department of Transportation</t>
  </si>
  <si>
    <t>Newington</t>
  </si>
  <si>
    <t>CT</t>
  </si>
  <si>
    <t>Valley Metro Rail, Inc.</t>
  </si>
  <si>
    <t>Phoenix</t>
  </si>
  <si>
    <t>AZ</t>
  </si>
  <si>
    <t>Altamont Corridor Express</t>
  </si>
  <si>
    <t>Stockton</t>
  </si>
  <si>
    <t>Central Florida Commuter Rail, dba: SunRail</t>
  </si>
  <si>
    <t>Tallahassee</t>
  </si>
  <si>
    <t>Northern New England Passenger Rail Authority</t>
  </si>
  <si>
    <t>ME</t>
  </si>
  <si>
    <t>Pennsylvania Department of Transportation</t>
  </si>
  <si>
    <t>Harrisburg</t>
  </si>
  <si>
    <t>Sonoma-Marin Area Rail Transit District</t>
  </si>
  <si>
    <t>Petaluma</t>
  </si>
  <si>
    <t>TOS</t>
  </si>
  <si>
    <t>Fuel/Energy Used:</t>
  </si>
  <si>
    <t>Diesel (gal)</t>
  </si>
  <si>
    <t>Diesel (gal) Questionable</t>
  </si>
  <si>
    <t>Gasoline (gal)</t>
  </si>
  <si>
    <t>Gasoline (gal) Questionable</t>
  </si>
  <si>
    <t>Liquefied Petroleum Gas (gal equivalent)</t>
  </si>
  <si>
    <t>Liquefied Petroleum Gas (gal equivalent) Questionable</t>
  </si>
  <si>
    <t>Compressed Natural Gas (gal equivalent)</t>
  </si>
  <si>
    <t>Compressed Natural Gas (gal equivalent) Questionable</t>
  </si>
  <si>
    <t>Bio-Diesel (gal)</t>
  </si>
  <si>
    <t>Bio-Diesel (gal) Questionable</t>
  </si>
  <si>
    <t>Other Fuel (gal/gal equivalent)</t>
  </si>
  <si>
    <t>Other Fuel (gal/gal equivalent) Questionable</t>
  </si>
  <si>
    <t>Electric Propulsion (kwh)</t>
  </si>
  <si>
    <t>Electric Propulsion (kwh) Questionable</t>
  </si>
  <si>
    <t>Electric Battery (kwh)</t>
  </si>
  <si>
    <t>Electric Battery (kwh) Questionable</t>
  </si>
  <si>
    <t>Miles Traveled by Vehicles Fueled by:</t>
  </si>
  <si>
    <t>Diesel Questionable</t>
  </si>
  <si>
    <t>Gasoline Questionable</t>
  </si>
  <si>
    <t>Liquefied Petroleum Gas</t>
  </si>
  <si>
    <t>Liquefied Petroleum Gas Questionable</t>
  </si>
  <si>
    <t>Compressed Natural Gas Questionable</t>
  </si>
  <si>
    <t>Other Fuel</t>
  </si>
  <si>
    <t>Other Fuel Questionable</t>
  </si>
  <si>
    <t>Electric Propulsion</t>
  </si>
  <si>
    <t>Electric Propulsion Questionable</t>
  </si>
  <si>
    <t>Electric Battery</t>
  </si>
  <si>
    <t>Electric Battery Questionable</t>
  </si>
  <si>
    <t>Miles per Gallon/KwH:</t>
  </si>
  <si>
    <t>Diesel (mpg)</t>
  </si>
  <si>
    <t>Diesel (mpg) Questionable</t>
  </si>
  <si>
    <t>Gasoline (mpg)</t>
  </si>
  <si>
    <t>Gasoline (mpg) Questionable</t>
  </si>
  <si>
    <t>Liquefied Petroleum Gas (mpg)</t>
  </si>
  <si>
    <t>Liquefied Petroleum Gas (mpg) Questionable</t>
  </si>
  <si>
    <t>Compressed Natural Gas (mpg)</t>
  </si>
  <si>
    <t>Compressed Natural Gas (mpg) Questionable</t>
  </si>
  <si>
    <t>Other Fuel (mpg)</t>
  </si>
  <si>
    <t>Other Fuel (mpg) Questionable</t>
  </si>
  <si>
    <t>Electric Propulsion (mi/kwh)</t>
  </si>
  <si>
    <t>Electric Propulsion (mi/kwh) Questionable</t>
  </si>
  <si>
    <t>Electric Battery (mi/kwh)</t>
  </si>
  <si>
    <t>Electric Battery (mi/kwh) Questionable</t>
  </si>
  <si>
    <t>Any data questionable?</t>
  </si>
  <si>
    <t>btu/gallon diesel</t>
  </si>
  <si>
    <t>btu/kwh</t>
  </si>
  <si>
    <t>Rail types</t>
  </si>
  <si>
    <t>Number of Vehicles and Miles</t>
  </si>
  <si>
    <t>Vehicle Fuel Use</t>
  </si>
  <si>
    <t>subregion</t>
  </si>
  <si>
    <t>% of miles diesel</t>
  </si>
  <si>
    <t>% of miles electric</t>
  </si>
  <si>
    <t>calc AVLO</t>
  </si>
  <si>
    <t>diesel (btus)</t>
  </si>
  <si>
    <t>electric (btu)</t>
  </si>
  <si>
    <t>calc SYFAFE-diesel</t>
  </si>
  <si>
    <t>calc SYFAFE-electric</t>
  </si>
  <si>
    <t>Alabama</t>
  </si>
  <si>
    <t>AL</t>
  </si>
  <si>
    <t>subregion1</t>
  </si>
  <si>
    <t>Alaska</t>
  </si>
  <si>
    <t>AK</t>
  </si>
  <si>
    <t>subregion2</t>
  </si>
  <si>
    <t>Arizona</t>
  </si>
  <si>
    <t>subregion3</t>
  </si>
  <si>
    <t>Arkansas</t>
  </si>
  <si>
    <t>AR</t>
  </si>
  <si>
    <t>subregion4</t>
  </si>
  <si>
    <t>California</t>
  </si>
  <si>
    <t>subregion5</t>
  </si>
  <si>
    <t>Colorado</t>
  </si>
  <si>
    <t>subregion6</t>
  </si>
  <si>
    <t>Connecticut</t>
  </si>
  <si>
    <t>subregion7</t>
  </si>
  <si>
    <t>Delaware</t>
  </si>
  <si>
    <t>DE</t>
  </si>
  <si>
    <t>subregion8</t>
  </si>
  <si>
    <t>NA</t>
  </si>
  <si>
    <t>Florida</t>
  </si>
  <si>
    <t>subregion9</t>
  </si>
  <si>
    <t>Georgia</t>
  </si>
  <si>
    <t>subregion10</t>
  </si>
  <si>
    <t>Hawaii</t>
  </si>
  <si>
    <t>HI</t>
  </si>
  <si>
    <t>subregion11</t>
  </si>
  <si>
    <t>Idaho</t>
  </si>
  <si>
    <t>ID</t>
  </si>
  <si>
    <t>subregion12</t>
  </si>
  <si>
    <t>Illinois</t>
  </si>
  <si>
    <t>subregion13</t>
  </si>
  <si>
    <t>Indiana</t>
  </si>
  <si>
    <t>subregion14</t>
  </si>
  <si>
    <t>Iowa</t>
  </si>
  <si>
    <t>IA</t>
  </si>
  <si>
    <t>subregion15</t>
  </si>
  <si>
    <t>Kansas</t>
  </si>
  <si>
    <t>KS</t>
  </si>
  <si>
    <t>subregion16</t>
  </si>
  <si>
    <t>Kentucky</t>
  </si>
  <si>
    <t>KY</t>
  </si>
  <si>
    <t>subregion17</t>
  </si>
  <si>
    <t>Louisiana</t>
  </si>
  <si>
    <t>LA</t>
  </si>
  <si>
    <t>subregion18</t>
  </si>
  <si>
    <t>Maine</t>
  </si>
  <si>
    <t>subregion19</t>
  </si>
  <si>
    <t>Maryland</t>
  </si>
  <si>
    <t>subregion20</t>
  </si>
  <si>
    <t>Massachusetts</t>
  </si>
  <si>
    <t>subregion21</t>
  </si>
  <si>
    <t>Michigan</t>
  </si>
  <si>
    <t>MI</t>
  </si>
  <si>
    <t>subregion22</t>
  </si>
  <si>
    <t>Minnesota</t>
  </si>
  <si>
    <t>subregion23</t>
  </si>
  <si>
    <t>Mississippi</t>
  </si>
  <si>
    <t>MS</t>
  </si>
  <si>
    <t>subregion24</t>
  </si>
  <si>
    <t>Missouri</t>
  </si>
  <si>
    <t>subregion25</t>
  </si>
  <si>
    <t>Montana</t>
  </si>
  <si>
    <t>MT</t>
  </si>
  <si>
    <t>subregion26</t>
  </si>
  <si>
    <t>Nebraska</t>
  </si>
  <si>
    <t>NE</t>
  </si>
  <si>
    <t>subregion27</t>
  </si>
  <si>
    <t>Nevada</t>
  </si>
  <si>
    <t>NV</t>
  </si>
  <si>
    <t>subregion28</t>
  </si>
  <si>
    <t>New Hampshire</t>
  </si>
  <si>
    <t>NH</t>
  </si>
  <si>
    <t>subregion29</t>
  </si>
  <si>
    <t>New Jersey</t>
  </si>
  <si>
    <t>subregion30</t>
  </si>
  <si>
    <t>New Mexico</t>
  </si>
  <si>
    <t>subregion31</t>
  </si>
  <si>
    <t>subregion32</t>
  </si>
  <si>
    <t>North Carolina</t>
  </si>
  <si>
    <t>subregion33</t>
  </si>
  <si>
    <t>North Dakota</t>
  </si>
  <si>
    <t>ND</t>
  </si>
  <si>
    <t>subregion34</t>
  </si>
  <si>
    <t>Ohio</t>
  </si>
  <si>
    <t>subregion35</t>
  </si>
  <si>
    <t>Oklahoma</t>
  </si>
  <si>
    <t>OK</t>
  </si>
  <si>
    <t>subregion36</t>
  </si>
  <si>
    <t>Oregon</t>
  </si>
  <si>
    <t>subregion37</t>
  </si>
  <si>
    <t>Pennsylvania</t>
  </si>
  <si>
    <t>subregion38</t>
  </si>
  <si>
    <t>Rhode Island</t>
  </si>
  <si>
    <t>RI</t>
  </si>
  <si>
    <t>subregion39</t>
  </si>
  <si>
    <t>South Carolina</t>
  </si>
  <si>
    <t>SC</t>
  </si>
  <si>
    <t>subregion40</t>
  </si>
  <si>
    <t>South Dakota</t>
  </si>
  <si>
    <t>SD</t>
  </si>
  <si>
    <t>subregion41</t>
  </si>
  <si>
    <t>Tennessee</t>
  </si>
  <si>
    <t>subregion42</t>
  </si>
  <si>
    <t>Texas</t>
  </si>
  <si>
    <t>subregion43</t>
  </si>
  <si>
    <t>Utah</t>
  </si>
  <si>
    <t>subregion44</t>
  </si>
  <si>
    <t>Vermont</t>
  </si>
  <si>
    <t>VT</t>
  </si>
  <si>
    <t>subregion45</t>
  </si>
  <si>
    <t>Virginia</t>
  </si>
  <si>
    <t>subregion46</t>
  </si>
  <si>
    <t>subregion47</t>
  </si>
  <si>
    <t>West Virginia</t>
  </si>
  <si>
    <t>WV</t>
  </si>
  <si>
    <t>subregion48</t>
  </si>
  <si>
    <t>Wisconsin</t>
  </si>
  <si>
    <t>WI</t>
  </si>
  <si>
    <t>subregion49</t>
  </si>
  <si>
    <t>Wyoming</t>
  </si>
  <si>
    <t>WY</t>
  </si>
  <si>
    <t>subregion50</t>
  </si>
  <si>
    <t>totals</t>
  </si>
  <si>
    <t>CHECK</t>
  </si>
  <si>
    <t>Load Factor (fraction of seats filled)</t>
  </si>
  <si>
    <t>Driver Variables</t>
  </si>
  <si>
    <t>Travel Demand</t>
  </si>
  <si>
    <t>Seat Miles Demanded (billion miles)</t>
  </si>
  <si>
    <t>Aircraft Deliveries</t>
  </si>
  <si>
    <t>share of air travel demand that is domestic</t>
  </si>
  <si>
    <r>
      <t>KEY:</t>
    </r>
    <r>
      <rPr>
        <sz val="9"/>
        <rFont val="Arial"/>
        <family val="2"/>
      </rPr>
      <t xml:space="preserve"> N = data do not exist; U = data are not available. </t>
    </r>
  </si>
  <si>
    <r>
      <t xml:space="preserve">1995-2024: U.S. Department of Transportation, Federal Aviation Administration, </t>
    </r>
    <r>
      <rPr>
        <i/>
        <sz val="9"/>
        <rFont val="Arial"/>
        <family val="2"/>
      </rPr>
      <t>FAA Aerospace Forecasts</t>
    </r>
    <r>
      <rPr>
        <sz val="9"/>
        <rFont val="Arial"/>
        <family val="2"/>
      </rPr>
      <t>, tables  21, 22, and 27, available at https://www.faa.gov/data_research/aviation/aerospace_forecasts/ as of Aug. 12, 2025.</t>
    </r>
  </si>
  <si>
    <r>
      <t xml:space="preserve">2010-24: U.S. Department of Transportation, Federal Aviation Administration, </t>
    </r>
    <r>
      <rPr>
        <i/>
        <sz val="9"/>
        <rFont val="Arial"/>
        <family val="2"/>
      </rPr>
      <t>FAA Aerospace Forecasts</t>
    </r>
    <r>
      <rPr>
        <sz val="9"/>
        <rFont val="Arial"/>
        <family val="2"/>
      </rPr>
      <t>, table 28, available at https://www.faa.gov/data_research/aviation/aerospace_forecasts/ as of Aug. 12, 2025.</t>
    </r>
  </si>
  <si>
    <r>
      <t xml:space="preserve">2002-24: U.S. Department of Transportation, Federal Transit Administration, </t>
    </r>
    <r>
      <rPr>
        <i/>
        <sz val="9"/>
        <rFont val="Arial"/>
        <family val="2"/>
      </rPr>
      <t xml:space="preserve">National Transit Database, </t>
    </r>
    <r>
      <rPr>
        <sz val="9"/>
        <rFont val="Arial"/>
        <family val="2"/>
      </rPr>
      <t>Annual Database Agency Mode Service (Washington, DC: Annual Issues), available at https://www.transit.dot.gov/ntd/ntd-data as of Oct. 22, 2025.</t>
    </r>
  </si>
  <si>
    <r>
      <t xml:space="preserve">2001-23: Association of American Railroads, </t>
    </r>
    <r>
      <rPr>
        <i/>
        <sz val="9"/>
        <rFont val="Arial"/>
        <family val="2"/>
      </rPr>
      <t xml:space="preserve">Railroad Facts </t>
    </r>
    <r>
      <rPr>
        <sz val="9"/>
        <rFont val="Arial"/>
        <family val="2"/>
      </rPr>
      <t>(Washington, DC: Annual Issues), p. 73 and similar pages in earlier editions.</t>
    </r>
  </si>
  <si>
    <r>
      <t xml:space="preserve">1995-2023: U.S. Army, Corps of Engineers, </t>
    </r>
    <r>
      <rPr>
        <i/>
        <sz val="9"/>
        <rFont val="Arial"/>
        <family val="2"/>
      </rPr>
      <t>Waterborne Transportation Lines of The United States, Volume 1, National Summaries</t>
    </r>
    <r>
      <rPr>
        <sz val="9"/>
        <rFont val="Arial"/>
        <family val="2"/>
      </rPr>
      <t xml:space="preserve"> (New Orleans, LA : Annual Issues), table 2, available at https://www.iwr.usace.army.mil/about/technical-centers/wcsc-waterborne-commerce-statistics-center/ as of Aug. 12, 2025.</t>
    </r>
  </si>
  <si>
    <r>
      <t xml:space="preserve">2020-24: U.S. Department of Transportation, Maritime Administration, Data &amp; Reports, </t>
    </r>
    <r>
      <rPr>
        <i/>
        <sz val="9"/>
        <rFont val="Arial"/>
        <family val="2"/>
      </rPr>
      <t>Vessel Inventory Reports since July 1990</t>
    </r>
    <r>
      <rPr>
        <sz val="9"/>
        <rFont val="Arial"/>
        <family val="2"/>
      </rPr>
      <t>, available at https://www.maritime.dot.gov/data-reports as of Aug. 12, 2025.</t>
    </r>
  </si>
  <si>
    <r>
      <t xml:space="preserve">U.S. Department of Transportation, U.S. Coast Guard, </t>
    </r>
    <r>
      <rPr>
        <i/>
        <sz val="9"/>
        <rFont val="Arial"/>
        <family val="2"/>
      </rPr>
      <t xml:space="preserve">Boating Statistics </t>
    </r>
    <r>
      <rPr>
        <sz val="9"/>
        <rFont val="Arial"/>
        <family val="2"/>
      </rPr>
      <t>(Washington, DC: Annual Issues), table 36 and table 35 in earlier editions, available at http://uscgboating.org/statistics/accident_statistics.php as of Aug. 12, 2025.</t>
    </r>
  </si>
  <si>
    <t>Natural Gas Liquefaction for Export</t>
  </si>
  <si>
    <t>Plug-in 50 Gasoline Hybrid</t>
  </si>
  <si>
    <t>Plug-in 20 Gasoline Hybrid</t>
  </si>
  <si>
    <t>300-Mile Electric Vehicle</t>
  </si>
  <si>
    <t>200-Mile Electric Vehicle</t>
  </si>
  <si>
    <t>100-Mile Electric Vehicle</t>
  </si>
  <si>
    <t>Gaseous (Propane and Natural Gas)</t>
  </si>
  <si>
    <t>Electric Hybrid</t>
  </si>
  <si>
    <t>Plug-in Electric Hybrid</t>
  </si>
  <si>
    <t>Flex-Fuel</t>
  </si>
  <si>
    <t>TDI Diesel</t>
  </si>
  <si>
    <t>Conventional Gasoline</t>
  </si>
  <si>
    <t xml:space="preserve"> Cars and Light Trucks</t>
  </si>
  <si>
    <t>AEO.2025.ALTTRNP.STK_AIRC_CARG_NA_NA_NA_WRLD_UNIT.A</t>
  </si>
  <si>
    <t>Aircraft Stock: Cargo: World: Alternative Transportation</t>
  </si>
  <si>
    <t>AEO.2025.ALTTRNP.STK_AIRC_CARG_NA_NA_NA_NA_UNIT.A</t>
  </si>
  <si>
    <t>Aircraft Stock: Cargo: Other Americas: Alternative Transportation</t>
  </si>
  <si>
    <t>Other Americas</t>
  </si>
  <si>
    <t>AEO.2025.ALTTRNP.STK_AIRC_CARG_NA_NA_NA_BRZ_UNIT.A</t>
  </si>
  <si>
    <t>Aircraft Stock: Cargo: Brazil: Alternative Transportation</t>
  </si>
  <si>
    <t>Brazil</t>
  </si>
  <si>
    <t>AEO.2025.ALTTRNP.STK_AIRC_CARG_NA_NA_NA_AFR_UNIT.A</t>
  </si>
  <si>
    <t>Aircraft Stock: Cargo: Africa: Alternative Transportation</t>
  </si>
  <si>
    <t>AEO.2025.ALTTRNP.STK_AIRC_CARG_NA_NA_NA_MID_UNIT.A</t>
  </si>
  <si>
    <t>Aircraft Stock: Cargo: Middle East: Alternative Transportation</t>
  </si>
  <si>
    <t>Middle East</t>
  </si>
  <si>
    <t>AEO.2025.ALTTRNP.STK_AIRC_CARG_NA_NA_NA_OAS_UNIT.A</t>
  </si>
  <si>
    <t>Aircraft Stock: Cargo: Other Asia Pacific: Alternative Transportation</t>
  </si>
  <si>
    <t>Other Asia Pacific</t>
  </si>
  <si>
    <t>AEO.2025.ALTTRNP.STK_AIRC_CARG_NA_NA_NA_IND_UNIT.A</t>
  </si>
  <si>
    <t>Aircraft Stock: Cargo: India: Alternative Transportation</t>
  </si>
  <si>
    <t>India</t>
  </si>
  <si>
    <t>AEO.2025.ALTTRNP.STK_AIRC_CARG_NA_NA_NA_CHI_UNIT.A</t>
  </si>
  <si>
    <t>Aircraft Stock: Cargo: China: Alternative Transportation</t>
  </si>
  <si>
    <t>AEO.2025.ALTTRNP.STK_AIRC_CARG_NA_NA_NA_URA_UNIT.A</t>
  </si>
  <si>
    <t>Aircraft Stock: Cargo: Eastern Europe and Eurasia: Alternative Transportation</t>
  </si>
  <si>
    <t>Eastern Europe and Eurasia</t>
  </si>
  <si>
    <t>AEO.2025.ALTTRNP.STK_AIRC_CARG_NA_NA_NA_RUS_UNIT.A</t>
  </si>
  <si>
    <t>Aircraft Stock: Cargo: Russia: Alternative Transportation</t>
  </si>
  <si>
    <t>Russia</t>
  </si>
  <si>
    <t>AEO.2025.ALTTRNP.STK_AIRC_CARG_NA_NA_NA_SKO_UNIT.A</t>
  </si>
  <si>
    <t>Aircraft Stock: Cargo: South Korea: Alternative Transportation</t>
  </si>
  <si>
    <t>South Korea</t>
  </si>
  <si>
    <t>AEO.2025.ALTTRNP.STK_AIRC_CARG_NA_NA_NA_ANZ_UNIT.A</t>
  </si>
  <si>
    <t>Aircraft Stock: Cargo: Australia and New Zealand: Alternative Transportation</t>
  </si>
  <si>
    <t>Australia and New Zealand</t>
  </si>
  <si>
    <t>AEO.2025.ALTTRNP.STK_AIRC_CARG_NA_NA_NA_JPN_UNIT.A</t>
  </si>
  <si>
    <t>Aircraft Stock: Cargo: Japan: Alternative Transportation</t>
  </si>
  <si>
    <t>Japan</t>
  </si>
  <si>
    <t>AEO.2025.ALTTRNP.STK_AIRC_CARG_NA_NA_NA_EUR_UNIT.A</t>
  </si>
  <si>
    <t>Aircraft Stock: Cargo: Western Europe: Alternative Transportation</t>
  </si>
  <si>
    <t>Western Europe</t>
  </si>
  <si>
    <t>AEO.2025.ALTTRNP.STK_AIRC_CARG_NA_NA_NA_MXC_UNIT.A</t>
  </si>
  <si>
    <t>Aircraft Stock: Cargo: Mexico: Alternative Transportation</t>
  </si>
  <si>
    <t>Mexico</t>
  </si>
  <si>
    <t>AEO.2025.ALTTRNP.STK_AIRC_CARG_NA_NA_NA_CAN_UNIT.A</t>
  </si>
  <si>
    <t>Aircraft Stock: Cargo: Canada: Alternative Transportation</t>
  </si>
  <si>
    <t>AEO.2025.ALTTRNP.STK_AIRC_CARG_NA_NA_NA_USA_UNIT.A</t>
  </si>
  <si>
    <t>Aircraft Stock: Cargo: United States: Alternative Transportation</t>
  </si>
  <si>
    <t>AEO.2025.ALTTRNP.STK_AIRC_ACTV_REGJ_PRKD_NA_WRLD_UNIT.A</t>
  </si>
  <si>
    <t>Aircraft Stock: Parked: World: Regional: Alternative Transportation</t>
  </si>
  <si>
    <t>AEO.2025.ALTTRNP.STK_AIRC_ACTV_WBE_PRKD_NA_WRLD_UNIT.A</t>
  </si>
  <si>
    <t>Aircraft Stock: Parked: World: Wide Body: Alternative Transportation</t>
  </si>
  <si>
    <t>AEO.2025.ALTTRNP.STK_AIRC_ACTV_NBTR_PRKD_NA_WRLD_UNIT.A</t>
  </si>
  <si>
    <t>Aircraft Stock: Parked: World: Narrow Body: Alternative Transportation</t>
  </si>
  <si>
    <t>AEO.2025.ALTTRNP.STK_AIRC_ACTV_NA_PRKD_NA_WRLD_UNIT.A</t>
  </si>
  <si>
    <t>Aircraft Stock: Parked: World: Alternative Transportation</t>
  </si>
  <si>
    <t>AEO.2025.ALTTRNP.STK_AIRC_ACTV_REGJ_PRKD_NA_NA_UNIT.A</t>
  </si>
  <si>
    <t>Aircraft Stock: Parked: Other Americas: Regional: Alternative Transportation</t>
  </si>
  <si>
    <t>AEO.2025.ALTTRNP.STK_AIRC_ACTV_WBE_PRKD_NA_NA_UNIT.A</t>
  </si>
  <si>
    <t>Aircraft Stock: Parked: Other Americas: Wide Body: Alternative Transportation</t>
  </si>
  <si>
    <t>AEO.2025.ALTTRNP.STK_AIRC_ACTV_NBTR_PRKD_NA_NA_UNIT.A</t>
  </si>
  <si>
    <t>Aircraft Stock: Parked: Other Americas: Narrow Body: Alternative Transportation</t>
  </si>
  <si>
    <t>AEO.2025.ALTTRNP.STK_AIRC_ACTV_NA_PRKD_NA_NA_UNIT.A</t>
  </si>
  <si>
    <t>Aircraft Stock: Parked: Other Americas: Alternative Transportation</t>
  </si>
  <si>
    <t>AEO.2025.ALTTRNP.STK_AIRC_ACTV_REGJ_PRKD_NA_BRZ_UNIT.A</t>
  </si>
  <si>
    <t>Aircraft Stock: Parked: Brazil: Regional: Alternative Transportation</t>
  </si>
  <si>
    <t>AEO.2025.ALTTRNP.STK_AIRC_ACTV_WBE_PRKD_NA_BRZ_UNIT.A</t>
  </si>
  <si>
    <t>Aircraft Stock: Parked: Brazil: Wide Body: Alternative Transportation</t>
  </si>
  <si>
    <t>AEO.2025.ALTTRNP.STK_AIRC_ACTV_NBTR_PRKD_NA_BRZ_UNIT.A</t>
  </si>
  <si>
    <t>Aircraft Stock: Parked: Brazil: Narrow Body: Alternative Transportation</t>
  </si>
  <si>
    <t>AEO.2025.ALTTRNP.STK_AIRC_ACTV_NA_PRKD_NA_BRZ_UNIT.A</t>
  </si>
  <si>
    <t>Aircraft Stock: Parked: Brazil: Alternative Transportation</t>
  </si>
  <si>
    <t>AEO.2025.ALTTRNP.STK_AIRC_ACTV_REGJ_PRKD_NA_AFR_UNIT.A</t>
  </si>
  <si>
    <t>Aircraft Stock: Parked: Africa: Regional: Alternative Transportation</t>
  </si>
  <si>
    <t>AEO.2025.ALTTRNP.STK_AIRC_ACTV_WBE_PRKD_NA_AFR_UNIT.A</t>
  </si>
  <si>
    <t>Aircraft Stock: Parked: Africa: Wide Body: Alternative Transportation</t>
  </si>
  <si>
    <t>AEO.2025.ALTTRNP.STK_AIRC_ACTV_NBTR_PRKD_NA_AFR_UNIT.A</t>
  </si>
  <si>
    <t>Aircraft Stock: Parked: Africa: Narrow Body: Alternative Transportation</t>
  </si>
  <si>
    <t>AEO.2025.ALTTRNP.STK_AIRC_ACTV_NA_PRKD_NA_AFR_UNIT.A</t>
  </si>
  <si>
    <t>Aircraft Stock: Parked: Africa: Alternative Transportation</t>
  </si>
  <si>
    <t>AEO.2025.ALTTRNP.STK_AIRC_ACTV_REGJ_PRKD_NA_MID_UNIT.A</t>
  </si>
  <si>
    <t>Aircraft Stock: Parked: Middle East: Regional: Alternative Transportation</t>
  </si>
  <si>
    <t>AEO.2025.ALTTRNP.STK_AIRC_ACTV_WBE_PRKD_NA_MID_UNIT.A</t>
  </si>
  <si>
    <t>Aircraft Stock: Parked: Middle East: Wide Body: Alternative Transportation</t>
  </si>
  <si>
    <t>AEO.2025.ALTTRNP.STK_AIRC_ACTV_NBTR_PRKD_NA_MID_UNIT.A</t>
  </si>
  <si>
    <t>Aircraft Stock: Parked: Middle East: Narrow Body: Alternative Transportation</t>
  </si>
  <si>
    <t>AEO.2025.ALTTRNP.STK_AIRC_ACTV_NA_PRKD_NA_MID_UNIT.A</t>
  </si>
  <si>
    <t>Aircraft Stock: Parked: Middle East: Alternative Transportation</t>
  </si>
  <si>
    <t>AEO.2025.ALTTRNP.STK_AIRC_ACTV_REGJ_PRKD_NA_OAS_UNIT.A</t>
  </si>
  <si>
    <t>Aircraft Stock: Parked: Other Asia Pacific: Regional: Alternative Transportation</t>
  </si>
  <si>
    <t>AEO.2025.ALTTRNP.STK_AIRC_ACTV_WBE_PRKD_NA_OAS_UNIT.A</t>
  </si>
  <si>
    <t>Aircraft Stock: Parked: Other Asia Pacific: Wide Body: Alternative Transportation</t>
  </si>
  <si>
    <t>AEO.2025.ALTTRNP.STK_AIRC_ACTV_NBTR_PRKD_NA_OAS_UNIT.A</t>
  </si>
  <si>
    <t>Aircraft Stock: Parked: Other Asia Pacific: Narrow Body: Alternative Transportation</t>
  </si>
  <si>
    <t>AEO.2025.ALTTRNP.STK_AIRC_ACTV_NA_PRKD_NA_OAS_UNIT.A</t>
  </si>
  <si>
    <t>Aircraft Stock: Parked: Other Asia Pacific: Alternative Transportation</t>
  </si>
  <si>
    <t>AEO.2025.ALTTRNP.STK_AIRC_ACTV_REGJ_PRKD_NA_IND_UNIT.A</t>
  </si>
  <si>
    <t>Aircraft Stock: Parked: India: Regional: Alternative Transportation</t>
  </si>
  <si>
    <t>AEO.2025.ALTTRNP.STK_AIRC_ACTV_WBE_PRKD_NA_IND_UNIT.A</t>
  </si>
  <si>
    <t>Aircraft Stock: Parked: India: Wide Body: Alternative Transportation</t>
  </si>
  <si>
    <t>AEO.2025.ALTTRNP.STK_AIRC_ACTV_NBTR_PRKD_NA_IND_UNIT.A</t>
  </si>
  <si>
    <t>Aircraft Stock: Parked: India: Narrow Body: Alternative Transportation</t>
  </si>
  <si>
    <t>AEO.2025.ALTTRNP.STK_AIRC_ACTV_NA_PRKD_NA_IND_UNIT.A</t>
  </si>
  <si>
    <t>Aircraft Stock: Parked: India: Alternative Transportation</t>
  </si>
  <si>
    <t>AEO.2025.ALTTRNP.STK_AIRC_ACTV_REGJ_PRKD_NA_CHI_UNIT.A</t>
  </si>
  <si>
    <t>Aircraft Stock: Parked: China: Regional: Alternative Transportation</t>
  </si>
  <si>
    <t>AEO.2025.ALTTRNP.STK_AIRC_ACTV_WBE_PRKD_NA_CHI_UNIT.A</t>
  </si>
  <si>
    <t>Aircraft Stock: Parked: China: Wide Body: Alternative Transportation</t>
  </si>
  <si>
    <t>AEO.2025.ALTTRNP.STK_AIRC_ACTV_NBTR_PRKD_NA_CHI_UNIT.A</t>
  </si>
  <si>
    <t>Aircraft Stock: Parked: China: Narrow Body: Alternative Transportation</t>
  </si>
  <si>
    <t>AEO.2025.ALTTRNP.STK_AIRC_ACTV_NA_PRKD_NA_CHI_UNIT.A</t>
  </si>
  <si>
    <t>Aircraft Stock: Parked: China: Alternative Transportation</t>
  </si>
  <si>
    <t>AEO.2025.ALTTRNP.STK_AIRC_ACTV_REGJ_PRKD_NA_URA_UNIT.A</t>
  </si>
  <si>
    <t>Aircraft Stock: Parked: Eastern Europe and Eurasia: Regional: Alternative Transportation</t>
  </si>
  <si>
    <t>AEO.2025.ALTTRNP.STK_AIRC_ACTV_WBE_PRKD_NA_URA_UNIT.A</t>
  </si>
  <si>
    <t>Aircraft Stock: Parked: Eastern Europe and Eurasia: Wide Body: Alternative Transportation</t>
  </si>
  <si>
    <t>AEO.2025.ALTTRNP.STK_AIRC_ACTV_NBTR_PRKD_NA_URA_UNIT.A</t>
  </si>
  <si>
    <t>Aircraft Stock: Parked: Eastern Europe and Eurasia: Narrow Body: Alternative Transportation</t>
  </si>
  <si>
    <t>AEO.2025.ALTTRNP.STK_AIRC_ACTV_NA_PRKD_NA_URA_UNIT.A</t>
  </si>
  <si>
    <t>Aircraft Stock: Parked: Eastern Europe and Eurasia: Alternative Transportation</t>
  </si>
  <si>
    <t>AEO.2025.ALTTRNP.STK_AIRC_ACTV_REGJ_PRKD_NA_RUS_UNIT.A</t>
  </si>
  <si>
    <t>Aircraft Stock: Parked: Russia: Regional: Alternative Transportation</t>
  </si>
  <si>
    <t>AEO.2025.ALTTRNP.STK_AIRC_ACTV_WBE_PRKD_NA_RUS_UNIT.A</t>
  </si>
  <si>
    <t>Aircraft Stock: Parked: Russia: Wide Body: Alternative Transportation</t>
  </si>
  <si>
    <t>AEO.2025.ALTTRNP.STK_AIRC_ACTV_NBTR_PRKD_NA_RUS_UNIT.A</t>
  </si>
  <si>
    <t>Aircraft Stock: Parked: Russia: Narrow Body: Alternative Transportation</t>
  </si>
  <si>
    <t>AEO.2025.ALTTRNP.STK_AIRC_ACTV_NA_PRKD_NA_RUS_UNIT.A</t>
  </si>
  <si>
    <t>Aircraft Stock: Parked: Russia: Alternative Transportation</t>
  </si>
  <si>
    <t>AEO.2025.ALTTRNP.STK_AIRC_ACTV_REGJ_PRKD_NA_SKO_UNIT.A</t>
  </si>
  <si>
    <t>Aircraft Stock: Parked: South Korea: Regional: Alternative Transportation</t>
  </si>
  <si>
    <t>AEO.2025.ALTTRNP.STK_AIRC_ACTV_WBE_PRKD_NA_SKO_UNIT.A</t>
  </si>
  <si>
    <t>Aircraft Stock: Parked: South Korea: Wide Body: Alternative Transportation</t>
  </si>
  <si>
    <t>AEO.2025.ALTTRNP.STK_AIRC_ACTV_NBTR_PRKD_NA_SKO_UNIT.A</t>
  </si>
  <si>
    <t>Aircraft Stock: Parked: South Korea: Narrow Body: Alternative Transportation</t>
  </si>
  <si>
    <t>AEO.2025.ALTTRNP.STK_AIRC_ACTV_NA_PRKD_NA_SKO_UNIT.A</t>
  </si>
  <si>
    <t>Aircraft Stock: Parked: South Korea: Alternative Transportation</t>
  </si>
  <si>
    <t>AEO.2025.ALTTRNP.STK_AIRC_ACTV_REGJ_PRKD_NA_ANZ_UNIT.A</t>
  </si>
  <si>
    <t>Aircraft Stock: Parked: Australia and New Zealand: Regional: Alternative Transportation</t>
  </si>
  <si>
    <t>AEO.2025.ALTTRNP.STK_AIRC_ACTV_WBE_PRKD_NA_ANZ_UNIT.A</t>
  </si>
  <si>
    <t>Aircraft Stock: Parked: Australia and New Zealand: Wide Body: Alternative Transportation</t>
  </si>
  <si>
    <t>AEO.2025.ALTTRNP.STK_AIRC_ACTV_NBTR_PRKD_NA_ANZ_UNIT.A</t>
  </si>
  <si>
    <t>Aircraft Stock: Parked: Australia and New Zealand: Narrow Body: Alternative Transportation</t>
  </si>
  <si>
    <t>AEO.2025.ALTTRNP.STK_AIRC_ACTV_NA_PRKD_NA_ANZ_UNIT.A</t>
  </si>
  <si>
    <t>Aircraft Stock: Parked: Australia and New Zealand: Alternative Transportation</t>
  </si>
  <si>
    <t>AEO.2025.ALTTRNP.STK_AIRC_ACTV_REGJ_PRKD_NA_JPN_UNIT.A</t>
  </si>
  <si>
    <t>Aircraft Stock: Parked: Japan: Regional: Alternative Transportation</t>
  </si>
  <si>
    <t>AEO.2025.ALTTRNP.STK_AIRC_ACTV_WBE_PRKD_NA_JPN_UNIT.A</t>
  </si>
  <si>
    <t>Aircraft Stock: Parked: Japan: Wide Body: Alternative Transportation</t>
  </si>
  <si>
    <t>AEO.2025.ALTTRNP.STK_AIRC_ACTV_NBTR_PRKD_NA_JPN_UNIT.A</t>
  </si>
  <si>
    <t>Aircraft Stock: Parked: Japan: Narrow Body: Alternative Transportation</t>
  </si>
  <si>
    <t>AEO.2025.ALTTRNP.STK_AIRC_ACTV_NA_PRKD_NA_JPN_UNIT.A</t>
  </si>
  <si>
    <t>Aircraft Stock: Parked: Japan: Alternative Transportation</t>
  </si>
  <si>
    <t>AEO.2025.ALTTRNP.STK_AIRC_ACTV_REGJ_PRKD_NA_EUR_UNIT.A</t>
  </si>
  <si>
    <t>Aircraft Stock: Parked: Western Europe: Regional: Alternative Transportation</t>
  </si>
  <si>
    <t>AEO.2025.ALTTRNP.STK_AIRC_ACTV_WBE_PRKD_NA_EUR_UNIT.A</t>
  </si>
  <si>
    <t>Aircraft Stock: Parked: Western Europe: Wide Body: Alternative Transportation</t>
  </si>
  <si>
    <t>AEO.2025.ALTTRNP.STK_AIRC_ACTV_NBTR_PRKD_NA_EUR_UNIT.A</t>
  </si>
  <si>
    <t>Aircraft Stock: Parked: Western Europe: Narrow Body: Alternative Transportation</t>
  </si>
  <si>
    <t>AEO.2025.ALTTRNP.STK_AIRC_ACTV_NA_PRKD_NA_EUR_UNIT.A</t>
  </si>
  <si>
    <t>Aircraft Stock: Parked: Western Europe: Alternative Transportation</t>
  </si>
  <si>
    <t>AEO.2025.ALTTRNP.STK_AIRC_ACTV_REGJ_PRKD_NA_MXC_UNIT.A</t>
  </si>
  <si>
    <t>Aircraft Stock: Parked: Mexico: Regional: Alternative Transportation</t>
  </si>
  <si>
    <t>AEO.2025.ALTTRNP.STK_AIRC_ACTV_WBE_PRKD_NA_MXC_UNIT.A</t>
  </si>
  <si>
    <t>Aircraft Stock: Parked: Mexico: Wide Body: Alternative Transportation</t>
  </si>
  <si>
    <t>AEO.2025.ALTTRNP.STK_AIRC_ACTV_NBTR_PRKD_NA_MXC_UNIT.A</t>
  </si>
  <si>
    <t>Aircraft Stock: Parked: Mexico: Narrow Body: Alternative Transportation</t>
  </si>
  <si>
    <t>AEO.2025.ALTTRNP.STK_AIRC_ACTV_NA_PRKD_NA_MXC_UNIT.A</t>
  </si>
  <si>
    <t>Aircraft Stock: Parked: Mexico: Alternative Transportation</t>
  </si>
  <si>
    <t>AEO.2025.ALTTRNP.STK_AIRC_ACTV_REGJ_PRKD_NA_CAN_UNIT.A</t>
  </si>
  <si>
    <t>Aircraft Stock: Parked: Canada: Regional: Alternative Transportation</t>
  </si>
  <si>
    <t>AEO.2025.ALTTRNP.STK_AIRC_ACTV_WBE_PRKD_NA_CAN_UNIT.A</t>
  </si>
  <si>
    <t>Aircraft Stock: Parked: Canada: Wide Body: Alternative Transportation</t>
  </si>
  <si>
    <t>AEO.2025.ALTTRNP.STK_AIRC_ACTV_NBTR_PRKD_NA_CAN_UNIT.A</t>
  </si>
  <si>
    <t>Aircraft Stock: Parked: Canada: Narrow Body: Alternative Transportation</t>
  </si>
  <si>
    <t>AEO.2025.ALTTRNP.STK_AIRC_ACTV_NA_PRKD_NA_CAN_UNIT.A</t>
  </si>
  <si>
    <t>Aircraft Stock: Parked: Canada: Alternative Transportation</t>
  </si>
  <si>
    <t>AEO.2025.ALTTRNP.STK_AIRC_ACTV_REGJ_PRKD_NA_USA_UNIT.A</t>
  </si>
  <si>
    <t>Aircraft Stock: Parked: U.S.: Regional: Alternative Transportation</t>
  </si>
  <si>
    <t>AEO.2025.ALTTRNP.STK_AIRC_ACTV_WBE_PRKD_NA_USA_UNIT.A</t>
  </si>
  <si>
    <t>Aircraft Stock: Parked: U.S.: Wide Body: Alternative Transportation</t>
  </si>
  <si>
    <t>AEO.2025.ALTTRNP.STK_AIRC_ACTV_NBTR_PRKD_NA_USA_UNIT.A</t>
  </si>
  <si>
    <t>Aircraft Stock: Parked: U.S.: Narrow Body: Alternative Transportation</t>
  </si>
  <si>
    <t>AEO.2025.ALTTRNP.STK_AIRC_ACTV_NA_PRKD_NA_USA_UNIT.A</t>
  </si>
  <si>
    <t>Aircraft Stock: Parked: United States: Alternative Transportation</t>
  </si>
  <si>
    <t>AEO.2025.ALTTRNP.STK_AIRC_ACTV_REGJ_NA_NA_WRLD_UNIT.A</t>
  </si>
  <si>
    <t>Aircraft Stock: Active: World: Regional: Alternative Transportation</t>
  </si>
  <si>
    <t>AEO.2025.ALTTRNP.STK_AIRC_ACTV_WBE_NA_NA_WRLD_UNIT.A</t>
  </si>
  <si>
    <t>Aircraft Stock: Active: World: Wide Body: Alternative Transportation</t>
  </si>
  <si>
    <t>AEO.2025.ALTTRNP.STK_AIRC_ACTV_NBTR_NA_NA_WRLD_UNIT.A</t>
  </si>
  <si>
    <t>Aircraft Stock: Active: World: Narrow Body: Alternative Transportation</t>
  </si>
  <si>
    <t>AEO.2025.ALTTRNP.STK_AIRC_ACTV_NA_NA_NA_WRLD_UNIT.A</t>
  </si>
  <si>
    <t>Aircraft Stock: Active: World: Alternative Transportation</t>
  </si>
  <si>
    <t>AEO.2025.ALTTRNP.STK_AIRC_ACTV_REGJ_NA_NA_NA_UNIT.A</t>
  </si>
  <si>
    <t>Aircraft Stock: Active: Other Americas: Regional: Alternative Transportation</t>
  </si>
  <si>
    <t>AEO.2025.ALTTRNP.STK_AIRC_ACTV_WBE_NA_NA_NA_UNIT.A</t>
  </si>
  <si>
    <t>Aircraft Stock: Active: Other Americas: Wide Body: Alternative Transportation</t>
  </si>
  <si>
    <t>AEO.2025.ALTTRNP.STK_AIRC_ACTV_NBTR_NA_NA_NA_UNIT.A</t>
  </si>
  <si>
    <t>Aircraft Stock: Active: Other Americas: Narrow Body: Alternative Transportation</t>
  </si>
  <si>
    <t>AEO.2025.ALTTRNP.STK_AIRC_ACTV_NA_NA_NA_NA_UNIT.A</t>
  </si>
  <si>
    <t>Aircraft Stock: Active: Other Americas: Alternative Transportation</t>
  </si>
  <si>
    <t>AEO.2025.ALTTRNP.STK_AIRC_ACTV_REGJ_NA_NA_BRZ_UNIT.A</t>
  </si>
  <si>
    <t>Aircraft Stock: Active: Brazil: Regional: Alternative Transportation</t>
  </si>
  <si>
    <t>AEO.2025.ALTTRNP.STK_AIRC_ACTV_WBE_NA_NA_BRZ_UNIT.A</t>
  </si>
  <si>
    <t>Aircraft Stock: Active: Brazil: Wide Body: Alternative Transportation</t>
  </si>
  <si>
    <t>AEO.2025.ALTTRNP.STK_AIRC_ACTV_NBTR_NA_NA_BRZ_UNIT.A</t>
  </si>
  <si>
    <t>Aircraft Stock: Active: Brazil: Narrow Body: Alternative Transportation</t>
  </si>
  <si>
    <t>AEO.2025.ALTTRNP.STK_AIRC_ACTV_NA_NA_NA_BRZ_UNIT.A</t>
  </si>
  <si>
    <t>Aircraft Stock: Active: Brazil: Alternative Transportation</t>
  </si>
  <si>
    <t>AEO.2025.ALTTRNP.STK_AIRC_ACTV_REGJ_NA_NA_AFR_UNIT.A</t>
  </si>
  <si>
    <t>Aircraft Stock: Active: Africa: Regional: Alternative Transportation</t>
  </si>
  <si>
    <t>AEO.2025.ALTTRNP.STK_AIRC_ACTV_WBE_NA_NA_AFR_UNIT.A</t>
  </si>
  <si>
    <t>Aircraft Stock: Active: Africa: Wide Body: Alternative Transportation</t>
  </si>
  <si>
    <t>AEO.2025.ALTTRNP.STK_AIRC_ACTV_NBTR_NA_NA_AFR_UNIT.A</t>
  </si>
  <si>
    <t>Aircraft Stock: Active: Africa: Narrow Body: Alternative Transportation</t>
  </si>
  <si>
    <t>AEO.2025.ALTTRNP.STK_AIRC_ACTV_NA_NA_NA_AFR_UNIT.A</t>
  </si>
  <si>
    <t>Aircraft Stock: Active: Africa: Alternative Transportation</t>
  </si>
  <si>
    <t>AEO.2025.ALTTRNP.STK_AIRC_ACTV_REGJ_NA_NA_MID_UNIT.A</t>
  </si>
  <si>
    <t>Aircraft Stock: Active: Middle East: Regional: Alternative Transportation</t>
  </si>
  <si>
    <t>AEO.2025.ALTTRNP.STK_AIRC_ACTV_WBE_NA_NA_MID_UNIT.A</t>
  </si>
  <si>
    <t>Aircraft Stock: Active: Middle East: Wide Body: Alternative Transportation</t>
  </si>
  <si>
    <t>AEO.2025.ALTTRNP.STK_AIRC_ACTV_NBTR_NA_NA_MID_UNIT.A</t>
  </si>
  <si>
    <t>Aircraft Stock: Active: Middle East: Narrow Body: Alternative Transportation</t>
  </si>
  <si>
    <t>AEO.2025.ALTTRNP.STK_AIRC_ACTV_NA_NA_NA_MID_UNIT.A</t>
  </si>
  <si>
    <t>Aircraft Stock: Active: Middle East: Alternative Transportation</t>
  </si>
  <si>
    <t>AEO.2025.ALTTRNP.STK_AIRC_ACTV_REGJ_NA_NA_OAS_UNIT.A</t>
  </si>
  <si>
    <t>Aircraft Stock: Active: Other Asia Pacific: Regional: Alternative Transportation</t>
  </si>
  <si>
    <t>AEO.2025.ALTTRNP.STK_AIRC_ACTV_WBE_NA_NA_OAS_UNIT.A</t>
  </si>
  <si>
    <t>Aircraft Stock: Active: Other Asia Pacific: Wide Body: Alternative Transportation</t>
  </si>
  <si>
    <t>AEO.2025.ALTTRNP.STK_AIRC_ACTV_NBTR_NA_NA_OAS_UNIT.A</t>
  </si>
  <si>
    <t>Aircraft Stock: Active: Other Asia Pacific: Narrow Body: Alternative Transportation</t>
  </si>
  <si>
    <t>AEO.2025.ALTTRNP.STK_AIRC_ACTV_NA_NA_NA_OAS_UNIT.A</t>
  </si>
  <si>
    <t>Aircraft Stock: Active: Other Asia Pacific: Alternative Transportation</t>
  </si>
  <si>
    <t>AEO.2025.ALTTRNP.STK_AIRC_ACTV_REGJ_NA_NA_IND_UNIT.A</t>
  </si>
  <si>
    <t>Aircraft Stock: Active: India: Regional: Alternative Transportation</t>
  </si>
  <si>
    <t>AEO.2025.ALTTRNP.STK_AIRC_ACTV_WBE_NA_NA_IND_UNIT.A</t>
  </si>
  <si>
    <t>Aircraft Stock: Active: India: Wide Body: Alternative Transportation</t>
  </si>
  <si>
    <t>AEO.2025.ALTTRNP.STK_AIRC_ACTV_NBTR_NA_NA_IND_UNIT.A</t>
  </si>
  <si>
    <t>Aircraft Stock: Active: India: Narrow Body: Alternative Transportation</t>
  </si>
  <si>
    <t>AEO.2025.ALTTRNP.STK_AIRC_ACTV_NA_NA_NA_IND_UNIT.A</t>
  </si>
  <si>
    <t>Aircraft Stock: Active: India: Alternative Transportation</t>
  </si>
  <si>
    <t>AEO.2025.ALTTRNP.STK_AIRC_ACTV_REGJ_NA_NA_CHI_UNIT.A</t>
  </si>
  <si>
    <t>Aircraft Stock: Active: China: Regional: Alternative Transportation</t>
  </si>
  <si>
    <t>AEO.2025.ALTTRNP.STK_AIRC_ACTV_WBE_NA_NA_CHI_UNIT.A</t>
  </si>
  <si>
    <t>Aircraft Stock: Active: China: Wide Body: Alternative Transportation</t>
  </si>
  <si>
    <t>AEO.2025.ALTTRNP.STK_AIRC_ACTV_NBTR_NA_NA_CHI_UNIT.A</t>
  </si>
  <si>
    <t>Aircraft Stock: Active: China: Narrow Body: Alternative Transportation</t>
  </si>
  <si>
    <t>AEO.2025.ALTTRNP.STK_AIRC_ACTV_NA_NA_NA_CHI_UNIT.A</t>
  </si>
  <si>
    <t>Aircraft Stock: Active: China: Alternative Transportation</t>
  </si>
  <si>
    <t>AEO.2025.ALTTRNP.STK_AIRC_ACTV_REGJ_NA_NA_URA_UNIT.A</t>
  </si>
  <si>
    <t>Aircraft Stock: Active: Eastern Europe and Eurasia: Regional: Alternative Transportation</t>
  </si>
  <si>
    <t>AEO.2025.ALTTRNP.STK_AIRC_ACTV_WBE_NA_NA_URA_UNIT.A</t>
  </si>
  <si>
    <t>Aircraft Stock: Active: Eastern Europe and Eurasia: Wide Body: Alternative Transportation</t>
  </si>
  <si>
    <t>AEO.2025.ALTTRNP.STK_AIRC_ACTV_NBTR_NA_NA_URA_UNIT.A</t>
  </si>
  <si>
    <t>Aircraft Stock: Active: Eastern Europe and Eurasia: Narrow Body: Alternative Transportation</t>
  </si>
  <si>
    <t>AEO.2025.ALTTRNP.STK_AIRC_ACTV_NA_NA_NA_URA_UNIT.A</t>
  </si>
  <si>
    <t>Aircraft Stock: Active: Eastern Europe and Eurasia: Alternative Transportation</t>
  </si>
  <si>
    <t>AEO.2025.ALTTRNP.STK_AIRC_ACTV_REGJ_NA_NA_RUS_UNIT.A</t>
  </si>
  <si>
    <t>Aircraft Stock: Active: Russia: Regional: Alternative Transportation</t>
  </si>
  <si>
    <t>AEO.2025.ALTTRNP.STK_AIRC_ACTV_WBE_NA_NA_RUS_UNIT.A</t>
  </si>
  <si>
    <t>Aircraft Stock: Active: Russia: Wide Body: Alternative Transportation</t>
  </si>
  <si>
    <t>AEO.2025.ALTTRNP.STK_AIRC_ACTV_NBTR_NA_NA_RUS_UNIT.A</t>
  </si>
  <si>
    <t>Aircraft Stock: Active: Russia: Narrow Body: Alternative Transportation</t>
  </si>
  <si>
    <t>AEO.2025.ALTTRNP.STK_AIRC_ACTV_NA_NA_NA_RUS_UNIT.A</t>
  </si>
  <si>
    <t>Aircraft Stock: Active: Russia: Alternative Transportation</t>
  </si>
  <si>
    <t>AEO.2025.ALTTRNP.STK_AIRC_ACTV_REGJ_NA_NA_SKO_UNIT.A</t>
  </si>
  <si>
    <t>Aircraft Stock: Active: South Korea: Regional: Alternative Transportation</t>
  </si>
  <si>
    <t>AEO.2025.ALTTRNP.STK_AIRC_ACTV_WBE_NA_NA_SKO_UNIT.A</t>
  </si>
  <si>
    <t>Aircraft Stock: Active: South Korea: Wide Body: Alternative Transportation</t>
  </si>
  <si>
    <t>AEO.2025.ALTTRNP.STK_AIRC_ACTV_NBTR_NA_NA_SKO_UNIT.A</t>
  </si>
  <si>
    <t>Aircraft Stock: Active: South Korea: Narrow Body: Alternative Transportation</t>
  </si>
  <si>
    <t>AEO.2025.ALTTRNP.STK_AIRC_ACTV_NA_NA_NA_SKO_UNIT.A</t>
  </si>
  <si>
    <t>Aircraft Stock: Active: South Korea: Alternative Transportation</t>
  </si>
  <si>
    <t>AEO.2025.ALTTRNP.STK_AIRC_ACTV_REGJ_NA_NA_ANZ_UNIT.A</t>
  </si>
  <si>
    <t>Aircraft Stock: Active: Australia and New Zealand: Regional: Alternative Transportation</t>
  </si>
  <si>
    <t>AEO.2025.ALTTRNP.STK_AIRC_ACTV_WBE_NA_NA_ANZ_UNIT.A</t>
  </si>
  <si>
    <t>Aircraft Stock: Active: Australia and New Zealand: Wide Body: Alternative Transportation</t>
  </si>
  <si>
    <t>AEO.2025.ALTTRNP.STK_AIRC_ACTV_NBTR_NA_NA_ANZ_UNIT.A</t>
  </si>
  <si>
    <t>Aircraft Stock: Active: Australia and New Zealand: Narrow Body: Alternative Transportation</t>
  </si>
  <si>
    <t>AEO.2025.ALTTRNP.STK_AIRC_ACTV_NA_NA_NA_ANZ_UNIT.A</t>
  </si>
  <si>
    <t>Aircraft Stock: Active: Australia and New Zealand: Alternative Transportation</t>
  </si>
  <si>
    <t>AEO.2025.ALTTRNP.STK_AIRC_ACTV_REGJ_NA_NA_JPN_UNIT.A</t>
  </si>
  <si>
    <t>Aircraft Stock: Active: Japan: Regional: Alternative Transportation</t>
  </si>
  <si>
    <t>AEO.2025.ALTTRNP.STK_AIRC_ACTV_WBE_NA_NA_JPN_UNIT.A</t>
  </si>
  <si>
    <t>Aircraft Stock: Active: Japan: Wide Body: Alternative Transportation</t>
  </si>
  <si>
    <t>AEO.2025.ALTTRNP.STK_AIRC_ACTV_NBTR_NA_NA_JPN_UNIT.A</t>
  </si>
  <si>
    <t>Aircraft Stock: Active: Japan: Narrow Body: Alternative Transportation</t>
  </si>
  <si>
    <t>AEO.2025.ALTTRNP.STK_AIRC_ACTV_NA_NA_NA_JPN_UNIT.A</t>
  </si>
  <si>
    <t>Aircraft Stock: Active: Japan: Alternative Transportation</t>
  </si>
  <si>
    <t>AEO.2025.ALTTRNP.STK_AIRC_ACTV_REGJ_NA_NA_EUR_UNIT.A</t>
  </si>
  <si>
    <t>Aircraft Stock: Active: Western Europe: Regional: Alternative Transportation</t>
  </si>
  <si>
    <t>AEO.2025.ALTTRNP.STK_AIRC_ACTV_WBE_NA_NA_EUR_UNIT.A</t>
  </si>
  <si>
    <t>Aircraft Stock: Active: Western Europe: Wide Body: Alternative Transportation</t>
  </si>
  <si>
    <t>AEO.2025.ALTTRNP.STK_AIRC_ACTV_NBTR_NA_NA_EUR_UNIT.A</t>
  </si>
  <si>
    <t>Aircraft Stock: Active: Western Europe: Narrow Body: Alternative Transportation</t>
  </si>
  <si>
    <t>AEO.2025.ALTTRNP.STK_AIRC_ACTV_NA_NA_NA_EUR_UNIT.A</t>
  </si>
  <si>
    <t>Aircraft Stock: Active: Western Europe: Alternative Transportation</t>
  </si>
  <si>
    <t>AEO.2025.ALTTRNP.STK_AIRC_ACTV_REGJ_NA_NA_MXC_UNIT.A</t>
  </si>
  <si>
    <t>Aircraft Stock: Active: Mexico: Regional: Alternative Transportation</t>
  </si>
  <si>
    <t>AEO.2025.ALTTRNP.STK_AIRC_ACTV_WBE_NA_NA_MXC_UNIT.A</t>
  </si>
  <si>
    <t>Aircraft Stock: Active: Mexico: Wide Body: Alternative Transportation</t>
  </si>
  <si>
    <t>AEO.2025.ALTTRNP.STK_AIRC_ACTV_NBTR_NA_NA_MXC_UNIT.A</t>
  </si>
  <si>
    <t>Aircraft Stock: Active: Mexico: Narrow Body: Alternative Transportation</t>
  </si>
  <si>
    <t>AEO.2025.ALTTRNP.STK_AIRC_ACTV_NA_NA_NA_MXC_UNIT.A</t>
  </si>
  <si>
    <t>Aircraft Stock: Active: Mexico: Alternative Transportation</t>
  </si>
  <si>
    <t>AEO.2025.ALTTRNP.STK_AIRC_ACTV_REGJ_NA_NA_CAN_UNIT.A</t>
  </si>
  <si>
    <t>Aircraft Stock: Active: Canada: Regional: Alternative Transportation</t>
  </si>
  <si>
    <t>AEO.2025.ALTTRNP.STK_AIRC_ACTV_WBE_NA_NA_CAN_UNIT.A</t>
  </si>
  <si>
    <t>Aircraft Stock: Active: Canada: Wide Body: Alternative Transportation</t>
  </si>
  <si>
    <t>AEO.2025.ALTTRNP.STK_AIRC_ACTV_NBTR_NA_NA_CAN_UNIT.A</t>
  </si>
  <si>
    <t>Aircraft Stock: Active: Canada: Narrow Body: Alternative Transportation</t>
  </si>
  <si>
    <t>AEO.2025.ALTTRNP.STK_AIRC_ACTV_NA_NA_NA_CAN_UNIT.A</t>
  </si>
  <si>
    <t>Aircraft Stock: Active: Canada: Alternative Transportation</t>
  </si>
  <si>
    <t>AEO.2025.ALTTRNP.STK_AIRC_ACTV_REGJ_NA_NA_USA_UNIT.A</t>
  </si>
  <si>
    <t>Aircraft Stock: Active: U.S.: Regional: Alternative Transportation</t>
  </si>
  <si>
    <t>AEO.2025.ALTTRNP.STK_AIRC_ACTV_WBE_NA_NA_USA_UNIT.A</t>
  </si>
  <si>
    <t>Aircraft Stock: Active: U.S.: Wide Body: Alternative Transportation</t>
  </si>
  <si>
    <t>AEO.2025.ALTTRNP.STK_AIRC_ACTV_NBTR_NA_NA_USA_UNIT.A</t>
  </si>
  <si>
    <t>Aircraft Stock: Active: U.S.: Narrow Body: Alternative Transportation</t>
  </si>
  <si>
    <t>AEO.2025.ALTTRNP.STK_AIRC_ACTV_NA_NA_NA_USA_UNIT.A</t>
  </si>
  <si>
    <t>Aircraft Stock: Active: United States: Alternative Transportation</t>
  </si>
  <si>
    <t>AEO.2025.ALTTRNP.STK_AIRC_NA_REGJ_NA_NA_WRLD_UNIT.A</t>
  </si>
  <si>
    <t>Aircraft Stock: Total: World: Regional: Alternative Transportation</t>
  </si>
  <si>
    <t>AEO.2025.ALTTRNP.STK_AIRC_NA_WBE_NA_NA_WRLD_UNIT.A</t>
  </si>
  <si>
    <t>Aircraft Stock: Total: World: Wide Body: Alternative Transportation</t>
  </si>
  <si>
    <t>AEO.2025.ALTTRNP.STK_AIRC_NA_NBTR_NA_NA_WRLD_UNIT.A</t>
  </si>
  <si>
    <t>Aircraft Stock: Total: World: Narrow Body: Alternative Transportation</t>
  </si>
  <si>
    <t>AEO.2025.ALTTRNP.STK_AIRC_NA_NA_NA_NA_WRLD_UNIT.A</t>
  </si>
  <si>
    <t>Aircraft Stock: Total: World: Alternative Transportation</t>
  </si>
  <si>
    <t>AEO.2025.ALTTRNP.STK_AIRC_NA_REGJ_NA_NA_NA_UNIT.A</t>
  </si>
  <si>
    <t>Aircraft Stock: Total: Other Americas: Regional: Alternative Transportation</t>
  </si>
  <si>
    <t>AEO.2025.ALTTRNP.STK_AIRC_NA_WBE_NA_NA_NA_UNIT.A</t>
  </si>
  <si>
    <t>Aircraft Stock: Total: Other Americas: Wide Body: Alternative Transportation</t>
  </si>
  <si>
    <t>AEO.2025.ALTTRNP.STK_AIRC_NA_NBTR_NA_NA_NA_UNIT.A</t>
  </si>
  <si>
    <t>Aircraft Stock: Total: Other Americas: Narrow Body: Alternative Transportation</t>
  </si>
  <si>
    <t>AEO.2025.ALTTRNP.STK_AIRC_NA_NA_NA_NA_NA_UNIT.A</t>
  </si>
  <si>
    <t>Aircraft Stock: Total: Other Americas: Alternative Transportation</t>
  </si>
  <si>
    <t>AEO.2025.ALTTRNP.STK_AIRC_NA_REGJ_NA_NA_BRZ_UNIT.A</t>
  </si>
  <si>
    <t>Aircraft Stock: Total: Brazil: Regional: Alternative Transportation</t>
  </si>
  <si>
    <t>AEO.2025.ALTTRNP.STK_AIRC_NA_WBE_NA_NA_BRZ_UNIT.A</t>
  </si>
  <si>
    <t>Aircraft Stock: Total: Brazil: Wide Body: Alternative Transportation</t>
  </si>
  <si>
    <t>AEO.2025.ALTTRNP.STK_AIRC_NA_NBTR_NA_NA_BRZ_UNIT.A</t>
  </si>
  <si>
    <t>Aircraft Stock: Total: Brazil: Narrow Body: Alternative Transportation</t>
  </si>
  <si>
    <t>AEO.2025.ALTTRNP.STK_AIRC_NA_NA_NA_NA_BRZ_UNIT.A</t>
  </si>
  <si>
    <t>Aircraft Stock: Total: Brazil: Alternative Transportation</t>
  </si>
  <si>
    <t>AEO.2025.ALTTRNP.STK_AIRC_NA_REGJ_NA_NA_AFR_UNIT.A</t>
  </si>
  <si>
    <t>Aircraft Stock: Total: Africa: Regional: Alternative Transportation</t>
  </si>
  <si>
    <t>AEO.2025.ALTTRNP.STK_AIRC_NA_WBE_NA_NA_AFR_UNIT.A</t>
  </si>
  <si>
    <t>Aircraft Stock: Total: Africa: Wide Body: Alternative Transportation</t>
  </si>
  <si>
    <t>AEO.2025.ALTTRNP.STK_AIRC_NA_NBTR_NA_NA_AFR_UNIT.A</t>
  </si>
  <si>
    <t>Aircraft Stock: Total: Africa: Narrow Body: Alternative Transportation</t>
  </si>
  <si>
    <t>AEO.2025.ALTTRNP.STK_AIRC_NA_NA_NA_NA_AFR_UNIT.A</t>
  </si>
  <si>
    <t>Aircraft Stock: Total: Africa: Alternative Transportation</t>
  </si>
  <si>
    <t>AEO.2025.ALTTRNP.STK_AIRC_NA_REGJ_NA_NA_MID_UNIT.A</t>
  </si>
  <si>
    <t>Aircraft Stock: Total: Middle East: Regional: Alternative Transportation</t>
  </si>
  <si>
    <t>AEO.2025.ALTTRNP.STK_AIRC_NA_WBE_NA_NA_MID_UNIT.A</t>
  </si>
  <si>
    <t>Aircraft Stock: Total: Middle East: Wide Body: Alternative Transportation</t>
  </si>
  <si>
    <t>AEO.2025.ALTTRNP.STK_AIRC_NA_NBTR_NA_NA_MID_UNIT.A</t>
  </si>
  <si>
    <t>Aircraft Stock: Total: Middle East: Narrow Body: Alternative Transportation</t>
  </si>
  <si>
    <t>AEO.2025.ALTTRNP.STK_AIRC_NA_NA_NA_NA_MID_UNIT.A</t>
  </si>
  <si>
    <t>Aircraft Stock: Total: Middle East: Alternative Transportation</t>
  </si>
  <si>
    <t>AEO.2025.ALTTRNP.STK_AIRC_NA_REGJ_NA_NA_OAS_UNIT.A</t>
  </si>
  <si>
    <t>Aircraft Stock: Total: Other Asia Pacific: Regional: Alternative Transportation</t>
  </si>
  <si>
    <t>AEO.2025.ALTTRNP.STK_AIRC_NA_WBE_NA_NA_OAS_UNIT.A</t>
  </si>
  <si>
    <t>Aircraft Stock: Total: Other Asia Pacific: Wide Body: Alternative Transportation</t>
  </si>
  <si>
    <t>AEO.2025.ALTTRNP.STK_AIRC_NA_NBTR_NA_NA_OAS_UNIT.A</t>
  </si>
  <si>
    <t>Aircraft Stock: Total: Other Asia Pacific: Narrow Body: Alternative Transportation</t>
  </si>
  <si>
    <t>AEO.2025.ALTTRNP.STK_AIRC_NA_NA_NA_NA_OAS_UNIT.A</t>
  </si>
  <si>
    <t>Aircraft Stock: Total: Other Asia Pacific: Alternative Transportation</t>
  </si>
  <si>
    <t>AEO.2025.ALTTRNP.STK_AIRC_NA_REGJ_NA_NA_IND_UNIT.A</t>
  </si>
  <si>
    <t>Aircraft Stock: Total: India: Regional: Alternative Transportation</t>
  </si>
  <si>
    <t>AEO.2025.ALTTRNP.STK_AIRC_NA_WBE_NA_NA_IND_UNIT.A</t>
  </si>
  <si>
    <t>Aircraft Stock: Total: India: Wide Body: Alternative Transportation</t>
  </si>
  <si>
    <t>AEO.2025.ALTTRNP.STK_AIRC_NA_NBTR_NA_NA_IND_UNIT.A</t>
  </si>
  <si>
    <t>Aircraft Stock: Total: India: Narrow Body: Alternative Transportation</t>
  </si>
  <si>
    <t>AEO.2025.ALTTRNP.STK_AIRC_NA_NA_NA_NA_IND_UNIT.A</t>
  </si>
  <si>
    <t>Aircraft Stock: Total: India: Alternative Transportation</t>
  </si>
  <si>
    <t>AEO.2025.ALTTRNP.STK_AIRC_NA_REGJ_NA_NA_CHI_UNIT.A</t>
  </si>
  <si>
    <t>Aircraft Stock: Total: China: Regional: Alternative Transportation</t>
  </si>
  <si>
    <t>AEO.2025.ALTTRNP.STK_AIRC_NA_WBE_NA_NA_CHI_UNIT.A</t>
  </si>
  <si>
    <t>Aircraft Stock: Total: China: Wide Body: Alternative Transportation</t>
  </si>
  <si>
    <t>AEO.2025.ALTTRNP.STK_AIRC_NA_NBTR_NA_NA_CHI_UNIT.A</t>
  </si>
  <si>
    <t>Aircraft Stock: Total: China: Narrow Body: Alternative Transportation</t>
  </si>
  <si>
    <t>AEO.2025.ALTTRNP.STK_AIRC_NA_NA_NA_NA_CHI_UNIT.A</t>
  </si>
  <si>
    <t>Aircraft Stock: Total: China: Alternative Transportation</t>
  </si>
  <si>
    <t>AEO.2025.ALTTRNP.STK_AIRC_NA_REGJ_NA_NA_URA_UNIT.A</t>
  </si>
  <si>
    <t>Aircraft Stock: Total: Eastern Europe and Eurasia: Regional: Alternative Transportation</t>
  </si>
  <si>
    <t>AEO.2025.ALTTRNP.STK_AIRC_NA_WBE_NA_NA_URA_UNIT.A</t>
  </si>
  <si>
    <t>Aircraft Stock: Total: Eastern Europe and Eurasia: Wide Body: Alternative Transportation</t>
  </si>
  <si>
    <t>AEO.2025.ALTTRNP.STK_AIRC_NA_NBTR_NA_NA_URA_UNIT.A</t>
  </si>
  <si>
    <t>Aircraft Stock: Total: Eastern Europe and Eurasia: Narrow Body: Alternative Transportation</t>
  </si>
  <si>
    <t>AEO.2025.ALTTRNP.STK_AIRC_NA_NA_NA_NA_URA_UNIT.A</t>
  </si>
  <si>
    <t>Aircraft Stock: Total: Eastern Europe and Eurasia: Alternative Transportation</t>
  </si>
  <si>
    <t>AEO.2025.ALTTRNP.STK_AIRC_NA_REGJ_NA_NA_RUS_UNIT.A</t>
  </si>
  <si>
    <t>Aircraft Stock: Total: Russia: Regional: Alternative Transportation</t>
  </si>
  <si>
    <t>AEO.2025.ALTTRNP.STK_AIRC_NA_WBE_NA_NA_RUS_UNIT.A</t>
  </si>
  <si>
    <t>Aircraft Stock: Total: Russia: Wide Body: Alternative Transportation</t>
  </si>
  <si>
    <t>AEO.2025.ALTTRNP.STK_AIRC_NA_NBTR_NA_NA_RUS_UNIT.A</t>
  </si>
  <si>
    <t>Aircraft Stock: Total: Russia: Narrow Body: Alternative Transportation</t>
  </si>
  <si>
    <t>AEO.2025.ALTTRNP.STK_AIRC_NA_NA_NA_NA_RUS_UNIT.A</t>
  </si>
  <si>
    <t>Aircraft Stock: Total: Russia: Alternative Transportation</t>
  </si>
  <si>
    <t>AEO.2025.ALTTRNP.STK_AIRC_NA_REGJ_NA_NA_SKO_UNIT.A</t>
  </si>
  <si>
    <t>Aircraft Stock: Total: South Korea: Regional: Alternative Transportation</t>
  </si>
  <si>
    <t>AEO.2025.ALTTRNP.STK_AIRC_NA_WBE_NA_NA_SKO_UNIT.A</t>
  </si>
  <si>
    <t>Aircraft Stock: Total: South Korea: Wide Body: Alternative Transportation</t>
  </si>
  <si>
    <t>AEO.2025.ALTTRNP.STK_AIRC_NA_NBTR_NA_NA_SKO_UNIT.A</t>
  </si>
  <si>
    <t>Aircraft Stock: Total: South Korea: Narrow Body: Alternative Transportation</t>
  </si>
  <si>
    <t>AEO.2025.ALTTRNP.STK_AIRC_NA_NA_NA_NA_SKO_UNIT.A</t>
  </si>
  <si>
    <t>Aircraft Stock: Total: South Korea: Alternative Transportation</t>
  </si>
  <si>
    <t>AEO.2025.ALTTRNP.STK_AIRC_NA_REGJ_NA_NA_ANZ_UNIT.A</t>
  </si>
  <si>
    <t>Aircraft Stock: Total: Australia and New Zealand: Regional: Alternative Transportation</t>
  </si>
  <si>
    <t>AEO.2025.ALTTRNP.STK_AIRC_NA_WBE_NA_NA_ANZ_UNIT.A</t>
  </si>
  <si>
    <t>Aircraft Stock: Total: Australia and New Zealand: Wide Body: Alternative Transportation</t>
  </si>
  <si>
    <t>AEO.2025.ALTTRNP.STK_AIRC_NA_NBTR_NA_NA_ANZ_UNIT.A</t>
  </si>
  <si>
    <t>Aircraft Stock: Total: Australia and New Zealand: Narrow Body: Alternative Transportation</t>
  </si>
  <si>
    <t>AEO.2025.ALTTRNP.STK_AIRC_NA_NA_NA_NA_ANZ_UNIT.A</t>
  </si>
  <si>
    <t>Aircraft Stock: Total: Australia and New Zealand: Alternative Transportation</t>
  </si>
  <si>
    <t>AEO.2025.ALTTRNP.STK_AIRC_NA_REGJ_NA_NA_JPN_UNIT.A</t>
  </si>
  <si>
    <t>Aircraft Stock: Total: Japan: Regional: Alternative Transportation</t>
  </si>
  <si>
    <t>AEO.2025.ALTTRNP.STK_AIRC_NA_WBE_NA_NA_JPN_UNIT.A</t>
  </si>
  <si>
    <t>Aircraft Stock: Total: Japan: Wide Body: Alternative Transportation</t>
  </si>
  <si>
    <t>AEO.2025.ALTTRNP.STK_AIRC_NA_NBTR_NA_NA_JPN_UNIT.A</t>
  </si>
  <si>
    <t>Aircraft Stock: Total: Japan: Narrow Body: Alternative Transportation</t>
  </si>
  <si>
    <t>AEO.2025.ALTTRNP.STK_AIRC_NA_NA_NA_NA_JPN_UNIT.A</t>
  </si>
  <si>
    <t>Aircraft Stock: Total: Japan: Alternative Transportation</t>
  </si>
  <si>
    <t>AEO.2025.ALTTRNP.STK_AIRC_NA_REGJ_NA_NA_EUR_UNIT.A</t>
  </si>
  <si>
    <t>Aircraft Stock: Total: Western Europe: Regional: Alternative Transportation</t>
  </si>
  <si>
    <t>AEO.2025.ALTTRNP.STK_AIRC_NA_WBE_NA_NA_EUR_UNIT.A</t>
  </si>
  <si>
    <t>Aircraft Stock: Total: Western Europe: Wide Body: Alternative Transportation</t>
  </si>
  <si>
    <t>AEO.2025.ALTTRNP.STK_AIRC_NA_NBTR_NA_NA_EUR_UNIT.A</t>
  </si>
  <si>
    <t>Aircraft Stock: Total: Western Europe: Narrow Body: Alternative Transportation</t>
  </si>
  <si>
    <t>AEO.2025.ALTTRNP.STK_AIRC_NA_NA_NA_NA_EUR_UNIT.A</t>
  </si>
  <si>
    <t>Aircraft Stock: Total: Western Europe: Alternative Transportation</t>
  </si>
  <si>
    <t>AEO.2025.ALTTRNP.STK_AIRC_NA_REGJ_NA_NA_MXC_UNIT.A</t>
  </si>
  <si>
    <t>Aircraft Stock: Total: Mexico: Regional: Alternative Transportation</t>
  </si>
  <si>
    <t>AEO.2025.ALTTRNP.STK_AIRC_NA_WBE_NA_NA_MXC_UNIT.A</t>
  </si>
  <si>
    <t>Aircraft Stock: Total: Mexico: Wide Body: Alternative Transportation</t>
  </si>
  <si>
    <t>AEO.2025.ALTTRNP.STK_AIRC_NA_NBTR_NA_NA_MXC_UNIT.A</t>
  </si>
  <si>
    <t>Aircraft Stock: Total: Mexico: Narrow Body: Alternative Transportation</t>
  </si>
  <si>
    <t>AEO.2025.ALTTRNP.STK_AIRC_NA_NA_NA_NA_MXC_UNIT.A</t>
  </si>
  <si>
    <t>Aircraft Stock: Total: Mexico: Alternative Transportation</t>
  </si>
  <si>
    <t>AEO.2025.ALTTRNP.STK_AIRC_NA_REGJ_NA_NA_CAN_UNIT.A</t>
  </si>
  <si>
    <t>Aircraft Stock: Total: Canada: Regional: Alternative Transportation</t>
  </si>
  <si>
    <t>AEO.2025.ALTTRNP.STK_AIRC_NA_WBE_NA_NA_CAN_UNIT.A</t>
  </si>
  <si>
    <t>Aircraft Stock: Total: Canada: Wide Body: Alternative Transportation</t>
  </si>
  <si>
    <t>AEO.2025.ALTTRNP.STK_AIRC_NA_NBTR_NA_NA_CAN_UNIT.A</t>
  </si>
  <si>
    <t>Aircraft Stock: Total: Canada: Narrow Body: Alternative Transportation</t>
  </si>
  <si>
    <t>AEO.2025.ALTTRNP.STK_AIRC_NA_NA_NA_NA_CAN_UNIT.A</t>
  </si>
  <si>
    <t>Aircraft Stock: Total: Canada: Alternative Transportation</t>
  </si>
  <si>
    <t>AEO.2025.ALTTRNP.STK_AIRC_NA_REGJ_NA_NA_USA_UNIT.A</t>
  </si>
  <si>
    <t>Aircraft Stock: Total: U.S.: Regional: Alternative Transportation</t>
  </si>
  <si>
    <t>AEO.2025.ALTTRNP.STK_AIRC_NA_WBE_NA_NA_USA_UNIT.A</t>
  </si>
  <si>
    <t>Aircraft Stock: Total: U.S.: Wide Body: Alternative Transportation</t>
  </si>
  <si>
    <t>AEO.2025.ALTTRNP.STK_AIRC_NA_NBTR_NA_NA_USA_UNIT.A</t>
  </si>
  <si>
    <t>Aircraft Stock: Total: U.S.: Narrow Body: Alternative Transportation</t>
  </si>
  <si>
    <t>AEO.2025.ALTTRNP.STK_AIRC_NA_NA_NA_NA_USA_UNIT.A</t>
  </si>
  <si>
    <t>Aircraft Stock: Total: United States: Alternative Transportation</t>
  </si>
  <si>
    <t>Growth (2024-2050)</t>
  </si>
  <si>
    <t>Fri Dec 05 2025 14:51:35 GMT-0800 (Pacific Standard Time)</t>
  </si>
  <si>
    <t>https://www.eia.gov/outlooks/aeo/data/browser/#/?id=148-AEO2025&amp;cases=alttrnp&amp;sourcekey=0</t>
  </si>
  <si>
    <t>FREIGHT</t>
  </si>
  <si>
    <t>PASSENGER</t>
  </si>
  <si>
    <t>AEO.2025.ALTTRNP.CNSM_NA_AIRT_MILT_JFL_NA_USA_TRLBTU.A</t>
  </si>
  <si>
    <t>Air Travel: Fuel Use: Military: Jet Fuel: U.S.: Alternative Transportation</t>
  </si>
  <si>
    <t xml:space="preserve"> United States</t>
  </si>
  <si>
    <t>Military Jet Fuel</t>
  </si>
  <si>
    <t>AEO.2025.ALTTRNP.CNSM_NA_AIRT_COMM_AVGA_NA_USA_TRLBTU.A</t>
  </si>
  <si>
    <t>Air Travel: Fuel Use: Commercial: Aviation Gasoline: U.S.: Alternative Transportation</t>
  </si>
  <si>
    <t>Commercial Aviation Gasoline</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</si>
  <si>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</si>
  <si>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</si>
  <si>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</si>
  <si>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</si>
  <si>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</si>
  <si>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</si>
  <si>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</si>
  <si>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</si>
  <si>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</si>
  <si>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</si>
  <si>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</si>
  <si>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</si>
  <si>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</si>
  <si>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</si>
  <si>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</si>
  <si>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</si>
  <si>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</si>
  <si>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</si>
  <si>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</si>
  <si>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</si>
  <si>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</si>
  <si>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</si>
  <si>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</si>
  <si>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</si>
  <si>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</si>
  <si>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</si>
  <si>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</si>
  <si>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</si>
  <si>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AEO.2025.ALTTRNP.CNSM_NA_AIRT_COMM_JFL_NA_MAOOAS_TRLBTU.A</t>
  </si>
  <si>
    <t>Air Travel: Fuel Use: Commercial: Jet Fuel: Mexico: Alternative Transportation</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</si>
  <si>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</si>
  <si>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</si>
  <si>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</si>
  <si>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</si>
  <si>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Commercial Jet Fuel</t>
  </si>
  <si>
    <t>seat mpg</t>
  </si>
  <si>
    <t>AEO.2025.ALTTRNP.EFI_STK_AIRT_NA_NA_NA_USA_SEATMPG.A</t>
  </si>
  <si>
    <t>Air Travel: Aircraft Stock Efficiency: Average Aircraft: Alternative Transportation</t>
  </si>
  <si>
    <t>Average Aircraft</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</si>
  <si>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</si>
  <si>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</si>
  <si>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</si>
  <si>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</si>
  <si>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</si>
  <si>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</si>
  <si>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</si>
  <si>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</si>
  <si>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</si>
  <si>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</si>
  <si>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</si>
  <si>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</si>
  <si>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</si>
  <si>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</si>
  <si>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New Aircraft</t>
  </si>
  <si>
    <t>Aircraft Efficiency (seat miles per gallon)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</si>
  <si>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</si>
  <si>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</si>
  <si>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</si>
  <si>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</si>
  <si>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Total Regional Jet</t>
  </si>
  <si>
    <t>AEO.2025.ALTTRNP.ECI_ACFTDELIV_AIRT_WBE_NA_NA_WRLD_UNIT.A</t>
  </si>
  <si>
    <t>Air Travel: Aircraft Deliveries: World: Wide Body Aircraft: Alternative Transportation</t>
  </si>
  <si>
    <t>Total Wide Body</t>
  </si>
  <si>
    <t>AEO.2025.ALTTRNP.ECI_ACFTDELIV_AIRT_NBTR_NA_NA_WRLD_UNIT.A</t>
  </si>
  <si>
    <t>Air Travel: Aircraft Deliveries: World: Narrow Body Aircraft: Alternative Transportation</t>
  </si>
  <si>
    <t>Total Narrow Body</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</si>
  <si>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</si>
  <si>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</si>
  <si>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</si>
  <si>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</si>
  <si>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</si>
  <si>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</si>
  <si>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</si>
  <si>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</si>
  <si>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</si>
  <si>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</si>
  <si>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</si>
  <si>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</si>
  <si>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</si>
  <si>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</si>
  <si>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</si>
  <si>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</si>
  <si>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</si>
  <si>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</si>
  <si>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</si>
  <si>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</si>
  <si>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</si>
  <si>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</si>
  <si>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</si>
  <si>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</si>
  <si>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</si>
  <si>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</si>
  <si>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</si>
  <si>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</si>
  <si>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</si>
  <si>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</si>
  <si>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</si>
  <si>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</si>
  <si>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</si>
  <si>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</si>
  <si>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</si>
  <si>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</si>
  <si>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</si>
  <si>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</si>
  <si>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</si>
  <si>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</si>
  <si>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</si>
  <si>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</si>
  <si>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</si>
  <si>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</si>
  <si>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</si>
  <si>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</si>
  <si>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</si>
  <si>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</si>
  <si>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</si>
  <si>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</si>
  <si>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</si>
  <si>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</si>
  <si>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</si>
  <si>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</si>
  <si>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</si>
  <si>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</si>
  <si>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</si>
  <si>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</si>
  <si>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</si>
  <si>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</si>
  <si>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</si>
  <si>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</si>
  <si>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</si>
  <si>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</si>
  <si>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</si>
  <si>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</si>
  <si>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</si>
  <si>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</si>
  <si>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</si>
  <si>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</si>
  <si>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</si>
  <si>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</si>
  <si>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</si>
  <si>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</si>
  <si>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</si>
  <si>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</si>
  <si>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</si>
  <si>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</si>
  <si>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</si>
  <si>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</si>
  <si>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</si>
  <si>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</si>
  <si>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</si>
  <si>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</si>
  <si>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</si>
  <si>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</si>
  <si>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</si>
  <si>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</si>
  <si>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</si>
  <si>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</si>
  <si>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</si>
  <si>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</si>
  <si>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</si>
  <si>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</si>
  <si>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</si>
  <si>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</si>
  <si>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</si>
  <si>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</si>
  <si>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</si>
  <si>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</si>
  <si>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</si>
  <si>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</si>
  <si>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</si>
  <si>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</si>
  <si>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</si>
  <si>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</si>
  <si>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</si>
  <si>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</si>
  <si>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</si>
  <si>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</si>
  <si>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</si>
  <si>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</si>
  <si>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</si>
  <si>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</si>
  <si>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</si>
  <si>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</si>
  <si>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</si>
  <si>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</si>
  <si>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</si>
  <si>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</si>
  <si>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</si>
  <si>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</si>
  <si>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</si>
  <si>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</si>
  <si>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</si>
  <si>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</si>
  <si>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</si>
  <si>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</si>
  <si>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</si>
  <si>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</si>
  <si>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</si>
  <si>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</si>
  <si>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</si>
  <si>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</si>
  <si>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</si>
  <si>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</si>
  <si>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</si>
  <si>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</si>
  <si>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</si>
  <si>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</si>
  <si>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</si>
  <si>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</si>
  <si>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</si>
  <si>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</si>
  <si>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</si>
  <si>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</si>
  <si>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</si>
  <si>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</si>
  <si>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</si>
  <si>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</si>
  <si>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</si>
  <si>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</si>
  <si>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</si>
  <si>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</si>
  <si>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</si>
  <si>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</si>
  <si>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</si>
  <si>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</si>
  <si>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</si>
  <si>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</si>
  <si>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</si>
  <si>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</si>
  <si>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</si>
  <si>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</si>
  <si>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</si>
  <si>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</si>
  <si>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</si>
  <si>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</si>
  <si>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</si>
  <si>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</si>
  <si>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</si>
  <si>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</si>
  <si>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</si>
  <si>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</si>
  <si>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</si>
  <si>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</si>
  <si>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</si>
  <si>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</si>
  <si>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</si>
  <si>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</si>
  <si>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</si>
  <si>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</si>
  <si>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</si>
  <si>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</si>
  <si>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</si>
  <si>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</si>
  <si>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</si>
  <si>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</si>
  <si>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</si>
  <si>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</si>
  <si>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</si>
  <si>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</si>
  <si>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</si>
  <si>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</si>
  <si>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</si>
  <si>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</si>
  <si>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</si>
  <si>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</si>
  <si>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</si>
  <si>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</si>
  <si>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</si>
  <si>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</si>
  <si>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</si>
  <si>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</si>
  <si>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</si>
  <si>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</si>
  <si>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</si>
  <si>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</si>
  <si>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</si>
  <si>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</si>
  <si>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</si>
  <si>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</si>
  <si>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</si>
  <si>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</si>
  <si>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</si>
  <si>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</si>
  <si>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</si>
  <si>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</si>
  <si>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</si>
  <si>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</si>
  <si>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</si>
  <si>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</si>
  <si>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</si>
  <si>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</si>
  <si>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</si>
  <si>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</si>
  <si>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</si>
  <si>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</si>
  <si>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</si>
  <si>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</si>
  <si>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</si>
  <si>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</si>
  <si>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</si>
  <si>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</si>
  <si>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</si>
  <si>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</si>
  <si>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</si>
  <si>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</si>
  <si>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</si>
  <si>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</si>
  <si>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</si>
  <si>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</si>
  <si>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</si>
  <si>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</si>
  <si>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</si>
  <si>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</si>
  <si>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</si>
  <si>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</si>
  <si>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</si>
  <si>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</si>
  <si>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</si>
  <si>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</si>
  <si>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</si>
  <si>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</si>
  <si>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</si>
  <si>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</si>
  <si>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</si>
  <si>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</si>
  <si>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</si>
  <si>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</si>
  <si>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</si>
  <si>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</si>
  <si>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</si>
  <si>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</si>
  <si>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</si>
  <si>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</si>
  <si>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</si>
  <si>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Total World International</t>
  </si>
  <si>
    <t>Air Travel: Travel Demand: Revenue Ton Miles: Freight: Domestic World: Alternative Transportation</t>
  </si>
  <si>
    <t>Total World Domestic</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</si>
  <si>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</si>
  <si>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</si>
  <si>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</si>
  <si>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</si>
  <si>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</si>
  <si>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</si>
  <si>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</si>
  <si>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</si>
  <si>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</si>
  <si>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</si>
  <si>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</si>
  <si>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</si>
  <si>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</si>
  <si>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</si>
  <si>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</si>
  <si>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</si>
  <si>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</si>
  <si>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</si>
  <si>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</si>
  <si>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</si>
  <si>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</si>
  <si>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</si>
  <si>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</si>
  <si>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</si>
  <si>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</si>
  <si>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</si>
  <si>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</si>
  <si>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</si>
  <si>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</si>
  <si>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</si>
  <si>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</si>
  <si>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</si>
  <si>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Freight Revenue Ton Miles (billion miles)</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</si>
  <si>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</si>
  <si>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</si>
  <si>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</si>
  <si>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</si>
  <si>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</si>
  <si>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</si>
  <si>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</si>
  <si>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</si>
  <si>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</si>
  <si>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</si>
  <si>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</si>
  <si>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</si>
  <si>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</si>
  <si>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</si>
  <si>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</si>
  <si>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</si>
  <si>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</si>
  <si>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</si>
  <si>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</si>
  <si>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</si>
  <si>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</si>
  <si>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</si>
  <si>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</si>
  <si>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</si>
  <si>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</si>
  <si>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</si>
  <si>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</si>
  <si>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</si>
  <si>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</si>
  <si>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</si>
  <si>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</si>
  <si>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</si>
  <si>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</si>
  <si>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</si>
  <si>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</si>
  <si>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International</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</si>
  <si>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</si>
  <si>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</si>
  <si>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</si>
  <si>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</si>
  <si>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</si>
  <si>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</si>
  <si>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</si>
  <si>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</si>
  <si>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</si>
  <si>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</si>
  <si>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</si>
  <si>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</si>
  <si>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</si>
  <si>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</si>
  <si>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</si>
  <si>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</si>
  <si>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</si>
  <si>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</si>
  <si>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</si>
  <si>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</si>
  <si>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</si>
  <si>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</si>
  <si>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</si>
  <si>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</si>
  <si>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</si>
  <si>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</si>
  <si>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</si>
  <si>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</si>
  <si>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</si>
  <si>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</si>
  <si>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</si>
  <si>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</si>
  <si>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</si>
  <si>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</si>
  <si>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Domestic</t>
  </si>
  <si>
    <t>Revenue Passenger Miles (billion miles)</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</si>
  <si>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</si>
  <si>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</si>
  <si>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</si>
  <si>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</si>
  <si>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</si>
  <si>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</si>
  <si>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</si>
  <si>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</si>
  <si>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</si>
  <si>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</si>
  <si>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</si>
  <si>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</si>
  <si>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</si>
  <si>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</si>
  <si>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</si>
  <si>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</si>
  <si>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</si>
  <si>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</si>
  <si>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</si>
  <si>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</si>
  <si>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</si>
  <si>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</si>
  <si>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</si>
  <si>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</si>
  <si>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</si>
  <si>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</si>
  <si>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</si>
  <si>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</si>
  <si>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</si>
  <si>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</si>
  <si>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</si>
  <si>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</si>
  <si>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Population (millions)</t>
  </si>
  <si>
    <t>fraction</t>
  </si>
  <si>
    <t>AEO.2025.ALTTRNP.CAP_LDFAC_AIRT_INTA_NA_NA_NA_FRAC.A</t>
  </si>
  <si>
    <t>Air Travel: Load Factor: U.S. International: Alternative Transportation</t>
  </si>
  <si>
    <t>U.S. International</t>
  </si>
  <si>
    <t>AEO.2025.ALTTRNP.CAP_LDFAC_AIRT_DMS_NA_NA_NA_FRAC.A</t>
  </si>
  <si>
    <t>Air Travel: Load Factor: U.S. Domestic: Alternative Transportation</t>
  </si>
  <si>
    <t>U.S. Domestic</t>
  </si>
  <si>
    <t>1987 $/MMBtu</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</si>
  <si>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</si>
  <si>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</si>
  <si>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</si>
  <si>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</si>
  <si>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</si>
  <si>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Table 47.  Air Travel Energy Use</t>
  </si>
  <si>
    <t>AEO.2025.ALTTRNP.ECI_STK_NA_CLTR_NA_NA_NA_TH.A</t>
  </si>
  <si>
    <t>Fleet Stock: Commercial Light Trucks: Total: Alternative Transportation</t>
  </si>
  <si>
    <t>AEO.2025.ALTTRNP.ECI_STK_NA_CLTR_HYDICE_NA_NA_TH.A</t>
  </si>
  <si>
    <t>Fleet Stock: Commercial Light Trucks: Hydrogen ICE: Alternative Transportation</t>
  </si>
  <si>
    <t>Hydrogen ICE</t>
  </si>
  <si>
    <t>AEO.2025.ALTTRNP.ECI_STK_NA_CLTR_GASHEV_NA_NA_TH.A</t>
  </si>
  <si>
    <t>Fleet Stock: Commercial Light Trucks: Gasoline Hybrid: Alternative Transportation</t>
  </si>
  <si>
    <t>Gasoline Hybrid</t>
  </si>
  <si>
    <t>AEO.2025.ALTTRNP.ECI_STK_NA_CLTR_FEUCELBATDOM_NA_NA_TH.A</t>
  </si>
  <si>
    <t>Fleet Stock: Commercial Light Trucks: Fuel Cell Battery Dominant: Alternative Transportation</t>
  </si>
  <si>
    <t>Fuel Cell Battery Dominant</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</si>
  <si>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</si>
  <si>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</si>
  <si>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</si>
  <si>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</si>
  <si>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</si>
  <si>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</si>
  <si>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</si>
  <si>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</si>
  <si>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</si>
  <si>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</si>
  <si>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</si>
  <si>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</si>
  <si>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</si>
  <si>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</si>
  <si>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</si>
  <si>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</si>
  <si>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</si>
  <si>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</si>
  <si>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</si>
  <si>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</si>
  <si>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</si>
  <si>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</si>
  <si>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</si>
  <si>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</si>
  <si>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</si>
  <si>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</si>
  <si>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</si>
  <si>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</si>
  <si>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</si>
  <si>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</si>
  <si>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</si>
  <si>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</si>
  <si>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</si>
  <si>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</si>
  <si>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</si>
  <si>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</si>
  <si>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</si>
  <si>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</si>
  <si>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</si>
  <si>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</si>
  <si>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</si>
  <si>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</si>
  <si>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</si>
  <si>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</si>
  <si>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</si>
  <si>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</si>
  <si>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</si>
  <si>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</si>
  <si>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</si>
  <si>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</si>
  <si>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</si>
  <si>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</si>
  <si>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</si>
  <si>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</si>
  <si>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</si>
  <si>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</si>
  <si>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</si>
  <si>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</si>
  <si>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</si>
  <si>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</si>
  <si>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</si>
  <si>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</si>
  <si>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</si>
  <si>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</si>
  <si>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</si>
  <si>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</si>
  <si>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</si>
  <si>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</si>
  <si>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</si>
  <si>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</si>
  <si>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</si>
  <si>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</si>
  <si>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</si>
  <si>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</si>
  <si>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</si>
  <si>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</si>
  <si>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</si>
  <si>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</si>
  <si>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</si>
  <si>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</si>
  <si>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</si>
  <si>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</si>
  <si>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</si>
  <si>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</si>
  <si>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</si>
  <si>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</si>
  <si>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</si>
  <si>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</si>
  <si>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</si>
  <si>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</si>
  <si>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</si>
  <si>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</si>
  <si>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</si>
  <si>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</si>
  <si>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</si>
  <si>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</si>
  <si>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</si>
  <si>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</si>
  <si>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AEO.2025.ALTTRNP.ECI_STK_TRN_LDV_FUC_NA_NA_MILL.A</t>
  </si>
  <si>
    <t>Light-Duty Vehicle Sales: Total Vehicle Stock: Fuel Cell: Alternative Transportation</t>
  </si>
  <si>
    <t>AEO.2025.ALTTRNP.ECI_STK_TRN_LDV_GSU_NA_NA_MILL.A</t>
  </si>
  <si>
    <t>Light-Duty Vehicle Sales: Total Vehicle Stock: Gaseous: Alternative Transportation</t>
  </si>
  <si>
    <t>AEO.2025.ALTTRNP.ECI_STK_TRN_LDV_EHY_NA_NA_MILL.A</t>
  </si>
  <si>
    <t>Light-Duty Vehicle Sales: Total Vehicle Stock: Electric Hybrid: Alternative Transportation</t>
  </si>
  <si>
    <t>AEO.2025.ALTTRNP.ECI_STK_TRN_LDV_PIE_NA_NA_MILL.A</t>
  </si>
  <si>
    <t>Light-Duty Vehicle Sales: Total Vehicle Stock: Plug-in Electric Hybrid: Alternative Transportation</t>
  </si>
  <si>
    <t>AEO.2025.ALTTRNP.ECI_STK_TRN_LDV_ELE_NA_NA_MILL.A</t>
  </si>
  <si>
    <t>Light-Duty Vehicle Sales: Total Vehicle Stock: Electric: Alternative Transportation</t>
  </si>
  <si>
    <t>AEO.2025.ALTTRNP.ECI_STK_TRN_LDV_FXF_NA_NA_MILL.A</t>
  </si>
  <si>
    <t>Light-Duty Vehicle Sales: Total Vehicle Stock: Flex-Fuel: Alternative Transportation</t>
  </si>
  <si>
    <t>AEO.2025.ALTTRNP.ECI_STK_TRN_LDV_TDS_NA_NA_MILL.A</t>
  </si>
  <si>
    <t>Light-Duty Vehicle Sales: Total Vehicle Stock: TDI Diesel: Alternative Transportation</t>
  </si>
  <si>
    <t>AEO.2025.ALTTRNP.ECI_STK_TRN_LDV_CVG_NA_NA_MILL.A</t>
  </si>
  <si>
    <t>Light-Duty Vehicle Sales: Total Vehicle Stock: Conventional Gasoline: Alternative Transportation</t>
  </si>
  <si>
    <t>AEO.2025.ALTTRNP.ECI_STK_TRN_LDV_NA_NA_NA_MILL.A</t>
  </si>
  <si>
    <t>Light-Duty Vehicle Stock: Total Vehicle Stock: Alternative Transportation</t>
  </si>
  <si>
    <t>AEO.2025.ALTTRNP.ECI_STK_TRN_LTK_NA_NA_NA_MILL.A</t>
  </si>
  <si>
    <t>Light-Duty Vehicle Stock: Light Truck Stock: Total: Alternative Transportation</t>
  </si>
  <si>
    <t>AEO.2025.ALTTRNP.ECI_STK_TRN_LTK_ALT_NA_NA_MILL.A</t>
  </si>
  <si>
    <t>Light-Duty Vehicle Stock: Alternative-Fuel Light Trucks: Total: Alternative Transportation</t>
  </si>
  <si>
    <t>AEO.2025.ALTTRNP.ECI_STK_TRN_LTK_FCH_NA_NA_MILL.A</t>
  </si>
  <si>
    <t>Light-Duty Vehicle Stock: Alternative-Fuel Light Trucks: Fuel Cell Hydrogen: Alternative Transportation</t>
  </si>
  <si>
    <t>AEO.2025.ALTTRNP.ECI_STK_TRN_LTK_FCLMTH_NA_NA_MILL.A</t>
  </si>
  <si>
    <t>Light-Duty Vehicle Stock: Alternative-Fuel Light Trucks: Fuel Cell Methanol: Alternative Transportation</t>
  </si>
  <si>
    <t>AEO.2025.ALTTRNP.ECI_STK_TRN_LTK_PBF_NA_NA_MILL.A</t>
  </si>
  <si>
    <t>Light-Duty Vehicle Stock: Alternative-Fuel Light Trucks: Propane Bi-fuel: Alternative Transportation</t>
  </si>
  <si>
    <t>AEO.2025.ALTTRNP.ECI_STK_TRN_LTK_PROP_NA_NA_MILL.A</t>
  </si>
  <si>
    <t>Light-Duty Vehicle Stock: Alternative-Fuel Light Trucks: Propane ICE: Alternative Transportation</t>
  </si>
  <si>
    <t>AEO.2025.ALTTRNP.ECI_STK_TRN_LTK_NBF_NA_NA_MILL.A</t>
  </si>
  <si>
    <t>Light-Duty Vehicle Stock: Alternative-Fuel Light Trucks: Natural Gas Bi-fuel: Alternative Transportation</t>
  </si>
  <si>
    <t>AEO.2025.ALTTRNP.ECI_STK_TRN_LTK_NGI_NA_NA_MILL.A</t>
  </si>
  <si>
    <t>Light-Duty Vehicle Stock: Alternative-Fuel Light Trucks: Natural Gas ICE: Alternative Transportation</t>
  </si>
  <si>
    <t>AEO.2025.ALTTRNP.ECI_STK_TRN_LTK_EGH_NA_NA_MILL.A</t>
  </si>
  <si>
    <t>Light-Duty Vehicle Stock: Alternative-Fuel Light Trucks: Electric-Gasoline Hybrid: Alternative Transportation</t>
  </si>
  <si>
    <t>AEO.2025.ALTTRNP.ECI_STK_TRN_LTK_EDH_NA_NA_MILL.A</t>
  </si>
  <si>
    <t>Light-Duty Vehicle Stock: Alternative-Fuel Light Trucks: Electric-Diesel Hybrid: Alternative Transportation</t>
  </si>
  <si>
    <t>AEO.2025.ALTTRNP.ECI_STK_TRN_LTK_PI50GH_NA_NA_MILL.A</t>
  </si>
  <si>
    <t>Light-Duty Vehicle Stock: Alternative-Fuel Light Trucks: Plug-in 50 Gasoline Hybrid: Alternative Transportation</t>
  </si>
  <si>
    <t>AEO.2025.ALTTRNP.ECI_STK_TRN_LTK_PI20GH_NA_NA_MILL.A</t>
  </si>
  <si>
    <t>Light-Duty Vehicle Stock: Alternative-Fuel Light Trucks: Plug-in 20 Gasoline Hybrid: Alternative Transportation</t>
  </si>
  <si>
    <t>AEO.2025.ALTTRNP.ECI_STK_TRN_LTK_300MIEV_NA_NA_MILL.A</t>
  </si>
  <si>
    <t>Light-Duty Vehicle Stock: Alternative-Fuel Light Trucks: 300-Mile Electric Vehicle: Alternative Transportation</t>
  </si>
  <si>
    <t>AEO.2025.ALTTRNP.ECI_STK_TRN_LTK_200MIEV_NA_NA_MILL.A</t>
  </si>
  <si>
    <t>Light-Duty Vehicle Stock: Alternative-Fuel Light Trucks: 200-Mile Electric Vehicle: Alternative Transportation</t>
  </si>
  <si>
    <t>AEO.2025.ALTTRNP.ECI_STK_TRN_LTK_100MIEV_NA_NA_MILL.A</t>
  </si>
  <si>
    <t>Light-Duty Vehicle Stock: Alternative-Fuel Light Trucks: 100-Mile Electric Vehicle: Alternative Transportation</t>
  </si>
  <si>
    <t>AEO.2025.ALTTRNP.ECI_STK_TRN_LTK_EFFI_NA_NA_MILL.A</t>
  </si>
  <si>
    <t>Light-Duty Vehicle Stock: Alternative-Fuel Light Trucks: Ethanol-Flex Fuel ICE: Alternative Transportation</t>
  </si>
  <si>
    <t>AEO.2025.ALTTRNP.ECI_STK_TRN_LTK_CNV_NA_NA_MILL.A</t>
  </si>
  <si>
    <t>Light-Duty Vehicle Stock: Conventional Light Trucks: Total: Alternative Transportation</t>
  </si>
  <si>
    <t>AEO.2025.ALTTRNP.ECI_STK_TRN_LTK_TDS_NA_NA_MILL.A</t>
  </si>
  <si>
    <t>Light-Duty Vehicle Stock: Conventional Light Trucks: TDI Diesel: Alternative Transportation</t>
  </si>
  <si>
    <t>AEO.2025.ALTTRNP.ECI_STK_TRN_LTK_GSL_NA_NA_MILL.A</t>
  </si>
  <si>
    <t>Light-Duty Vehicle Stock: Conventional Light Trucks: Gasoline: Alternative Transportation</t>
  </si>
  <si>
    <t>AEO.2025.ALTTRNP.ECI_STK_TRN_CAR_NA_NA_NA_MILL.A</t>
  </si>
  <si>
    <t>Light-Duty Vehicle Stock: Car Stock: Total: Alternative Transportation</t>
  </si>
  <si>
    <t>AEO.2025.ALTTRNP.ECI_STK_TRN_CAR_ALT_NA_NA_MILL.A</t>
  </si>
  <si>
    <t>Light-Duty Vehicle Stock: Alternative-Fuel Cars: Total: Alternative Transportation</t>
  </si>
  <si>
    <t>AEO.2025.ALTTRNP.ECI_STK_TRN_CAR_FCH_NA_NA_MILL.A</t>
  </si>
  <si>
    <t>Light-Duty Vehicle Stock: Alternative-Fuel Cars: Fuel Cell Hydrogen: Alternative Transportation</t>
  </si>
  <si>
    <t>AEO.2025.ALTTRNP.ECI_STK_TRN_CAR_FCLMTH_NA_NA_MILL.A</t>
  </si>
  <si>
    <t>Light-Duty Vehicle Stock: Alternative-Fuel Cars: Fuel Cell Methanol: Alternative Transportation</t>
  </si>
  <si>
    <t>AEO.2025.ALTTRNP.ECI_STK_TRN_CAR_PBF_NA_NA_MILL.A</t>
  </si>
  <si>
    <t>Light-Duty Vehicle Stock: Alternative-Fuel Cars: Propane Bi-fuel: Alternative Transportation</t>
  </si>
  <si>
    <t>AEO.2025.ALTTRNP.ECI_STK_TRN_CAR_PROP_NA_NA_MILL.A</t>
  </si>
  <si>
    <t>Light-Duty Vehicle Stock: Alternative-Fuel Cars: Propane ICE: Alternative Transportation</t>
  </si>
  <si>
    <t>AEO.2025.ALTTRNP.ECI_STK_TRN_CAR_NBF_NA_NA_MILL.A</t>
  </si>
  <si>
    <t>Light-Duty Vehicle Stock: Alternative-Fuel Cars: Natural Gas Bi-fuel: Alternative Transportation</t>
  </si>
  <si>
    <t>AEO.2025.ALTTRNP.ECI_STK_TRN_CAR_NGI_NA_NA_MILL.A</t>
  </si>
  <si>
    <t>Light-Duty Vehicle Stock: Alternative-Fuel Cars: Natural Gas ICE: Alternative Transportation</t>
  </si>
  <si>
    <t>AEO.2025.ALTTRNP.ECI_STK_TRN_CAR_EGH_NA_NA_MILL.A</t>
  </si>
  <si>
    <t>Light-Duty Vehicle Stock: Alternative-Fuel Cars: Electric-Gasoline Hybrid: Alternative Transportation</t>
  </si>
  <si>
    <t>AEO.2025.ALTTRNP.ECI_STK_TRN_CAR_EDH_NA_NA_MILL.A</t>
  </si>
  <si>
    <t>Light-Duty Vehicle Stock: Alternative-Fuel Cars: Electric-Diesel Hybrid: Alternative Transportation</t>
  </si>
  <si>
    <t>AEO.2025.ALTTRNP.ECI_STK_TRN_CAR_PI50GH_NA_NA_MILL.A</t>
  </si>
  <si>
    <t>Light-Duty Vehicle Stock: Alternative-Fuel Cars: Plug-in 50 Gasoline Hybrid: Alternative Transportation</t>
  </si>
  <si>
    <t>AEO.2025.ALTTRNP.ECI_STK_TRN_CAR_PI20GH_NA_NA_MILL.A</t>
  </si>
  <si>
    <t>Light-Duty Vehicle Stock: Alternative-Fuel Cars: Plug-in 20 Gasoline Hybrid: Alternative Transportation</t>
  </si>
  <si>
    <t>AEO.2025.ALTTRNP.ECI_STK_TRN_CAR_300MIEV_NA_NA_MILL.A</t>
  </si>
  <si>
    <t>Light-Duty Vehicle Stock: Alternative-Fuel Cars: 300-Mile Electric Vehicle: Alternative Transportation</t>
  </si>
  <si>
    <t>AEO.2025.ALTTRNP.ECI_STK_TRN_CAR_200MIEV_NA_NA_MILL.A</t>
  </si>
  <si>
    <t>Light-Duty Vehicle Stock: Alternative-Fuel Cars: 200-Mile Electric Vehicle: Alternative Transportation</t>
  </si>
  <si>
    <t>AEO.2025.ALTTRNP.ECI_STK_TRN_CAR_100MIEV_NA_NA_MILL.A</t>
  </si>
  <si>
    <t>Light-Duty Vehicle Stock: Alternative-Fuel Cars: 100-Mile Electric Vehicle: Alternative Transportation</t>
  </si>
  <si>
    <t>AEO.2025.ALTTRNP.ECI_STK_TRN_CAR_EFFI_NA_NA_MILL.A</t>
  </si>
  <si>
    <t>Light-Duty Vehicle Stock: Alternative-Fuel Cars: Ethanol-Flex Fuel ICE: Alternative Transportation</t>
  </si>
  <si>
    <t>AEO.2025.ALTTRNP.ECI_STK_TRN_CAR_CNV_NA_NA_MILL.A</t>
  </si>
  <si>
    <t>Light-Duty Vehicle Stock: Conventional Cars: Total: Alternative Transportation</t>
  </si>
  <si>
    <t>AEO.2025.ALTTRNP.ECI_STK_TRN_CAR_TDS_NA_NA_MILL.A</t>
  </si>
  <si>
    <t>Light-Duty Vehicle Stock: Conventional Cars: TDI Diesel: Alternative Transportation</t>
  </si>
  <si>
    <t>AEO.2025.ALTTRNP.ECI_STK_TRN_CAR_GSL_NA_NA_MILL.A</t>
  </si>
  <si>
    <t>Light-Duty Vehicle Stock: Conventional Cars: Gasoline: Alternative Transportation</t>
  </si>
  <si>
    <t>Fri Dec 05 2025 14:49:43 GMT-0800 (Pacific Standard Time)</t>
  </si>
  <si>
    <t>https://www.eia.gov/outlooks/aeo/data/browser/#/?id=49-AEO2025&amp;cases=alttrnp&amp;sourcekey=0</t>
  </si>
  <si>
    <t>AEO.2025.ALTTRNP.CNSM_NA_TRN_NA_NA_NA_NA_TRLBTU.A</t>
  </si>
  <si>
    <t>Transportation Energy Use: Total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</si>
  <si>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</si>
  <si>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</si>
  <si>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</si>
  <si>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</si>
  <si>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AEO.2025.ALTTRNP.CNSM_NA_TRN_NA_LBC_NA_NA_TRLBTU.A</t>
  </si>
  <si>
    <t>Transportation Energy Use: Lubricants: Alternative Transportation</t>
  </si>
  <si>
    <t>AEO.2025.ALTTRNP.CNSM_NA_TRN_RCB_DFO_NA_NA_TRLBTU.A</t>
  </si>
  <si>
    <t>Transportation Energy Use: Recreation Boats: Distillate Fuel Oil: Alternative Transportation</t>
  </si>
  <si>
    <t>AEO.2025.ALTTRNP.CNSM_NA_TRN_RCB_GSL_NA_NA_TRLBTU.A</t>
  </si>
  <si>
    <t>Transportation Energy Use: Recreation Boats: Motor Gasoline: Alternative Transportation</t>
  </si>
  <si>
    <t>AEO.2025.ALTTRNP.CNSM_NA_TRN_RCB_NA_NA_NA_TRLBTU.A</t>
  </si>
  <si>
    <t>Transportation Energy Use: Recreation Boats: Alternative Transportation</t>
  </si>
  <si>
    <t>AEO.2025.ALTTRNP.CNSM_NA_TRN_CRAIL_LNG_NA_NA_TRLBTU.A</t>
  </si>
  <si>
    <t>Transportation Energy Use: Rail: Commuter Rail: LNG: Alternative Transportation</t>
  </si>
  <si>
    <t>AEO.2025.ALTTRNP.CNSM_NA_TRN_CRAIL_CNG_NA_NA_TRLBTU.A</t>
  </si>
  <si>
    <t>Transportation Energy Use: Rail: Commuter Rail: CNG: Alternative Transportation</t>
  </si>
  <si>
    <t>AEO.2025.ALTTRNP.CNSM_NA_TRN_CRAIL_DSL_NA_NA_TRLBTU.A</t>
  </si>
  <si>
    <t>Transportation Energy Use: Rail: Commuter Rail: Diesel: Alternative Transportation</t>
  </si>
  <si>
    <t>AEO.2025.ALTTRNP.CNSM_NA_TRN_CRAIL_ELC_NA_NA_TRLBTU.A</t>
  </si>
  <si>
    <t>Transportation Energy Use: Rail: Commuter Rail: Electricity: Alternative Transportation</t>
  </si>
  <si>
    <t>AEO.2025.ALTTRNP.CNSM_NA_TRN_CRAIL_NA_NA_NA_TRLBTU.A</t>
  </si>
  <si>
    <t>Transportation Energy Use: Rail: Commuter Rail: Alternative Transportation</t>
  </si>
  <si>
    <t>AEO.2025.ALTTRNP.CNSM_NA_TRN_TRAIL_ELC_NA_NA_TRLBTU.A</t>
  </si>
  <si>
    <t>Transportation Energy Use: Rail: Transit Rail: Electricity: Alternative Transportation</t>
  </si>
  <si>
    <t>AEO.2025.ALTTRNP.CNSM_NA_TRN_TRAIL_NA_NA_NA_TRLBTU.A</t>
  </si>
  <si>
    <t>Transportation Energy Use: Rail: Transit Rail: Alternative Transportation</t>
  </si>
  <si>
    <t>AEO.2025.ALTTRNP.CNSM_NA_TRN_IRAIL_LNG_NA_NA_TRLBTU.A</t>
  </si>
  <si>
    <t>Transportation Energy Use: Rail: Intercity Rail: LNG: Alternative Transportation</t>
  </si>
  <si>
    <t>AEO.2025.ALTTRNP.CNSM_NA_TRN_IRAIL_CNG_NA_NA_TRLBTU.A</t>
  </si>
  <si>
    <t>Transportation Energy Use: Rail: Intercity Rail: CNG: Alternative Transportation</t>
  </si>
  <si>
    <t>AEO.2025.ALTTRNP.CNSM_NA_TRN_IRAIL_DSL_NA_NA_TRLBTU.A</t>
  </si>
  <si>
    <t>Transportation Energy Use: Rail: Intercity Rail: Diesel: Alternative Transportation</t>
  </si>
  <si>
    <t>AEO.2025.ALTTRNP.CNSM_NA_TRN_IRAIL_ELC_NA_NA_TRLBTU.A</t>
  </si>
  <si>
    <t>Transportation Energy Use: Rail: Intercity Rail: Electricity: Alternative Transportation</t>
  </si>
  <si>
    <t>AEO.2025.ALTTRNP.CNSM_NA_TRN_IRAIL_NA_NA_NA_TRLBTU.A</t>
  </si>
  <si>
    <t>Transportation Energy Use: Rail: Intercity Rail: Alternative Transportation</t>
  </si>
  <si>
    <t>AEO.2025.ALTTRNP.CNSM_NA_TRN_RAIL_NA_NA_NA_TRLBTU.A</t>
  </si>
  <si>
    <t>Transportation Energy Use: Rail: Alternative Transportation</t>
  </si>
  <si>
    <t>AEO.2025.ALTTRNP.CNSM_NA_TRN_LSRC_HDG_NA_NA_TRLBTU.A</t>
  </si>
  <si>
    <t>Transportation Energy Use: Bus: School Bus: Hydrogen: Alternative Transportation</t>
  </si>
  <si>
    <t>AEO.2025.ALTTRNP.CNSM_NA_TRN_LSRC_ELC_NA_NA_TRLBTU.A</t>
  </si>
  <si>
    <t>Transportation Energy Use: Bus: School Bus: Electricity: Alternative Transportation</t>
  </si>
  <si>
    <t>AEO.2025.ALTTRNP.CNSM_NA_TRN_LSRC_LPG_NA_NA_TRLBTU.A</t>
  </si>
  <si>
    <t>Transportation Energy Use: Bus: School Bus: Propane: Alternative Transportation</t>
  </si>
  <si>
    <t>AEO.2025.ALTTRNP.CNSM_NA_TRN_LSRC_NG_NA_NA_TRLBTU.A</t>
  </si>
  <si>
    <t>Transportation Energy Use: Bus: School Bus: Natural Gas: Alternative Transportation</t>
  </si>
  <si>
    <t>AEO.2025.ALTTRNP.CNSM_NA_TRN_LSRC_DFO_NA_NA_TRLBTU.A</t>
  </si>
  <si>
    <t>Transportation Energy Use: Bus: School Bus: Distillate Fuel Oil: Alternative Transportation</t>
  </si>
  <si>
    <t>AEO.2025.ALTTRNP.CNSM_NA_TRN_LSRC_E85_NA_NA_TRLBTU.A</t>
  </si>
  <si>
    <t>Transportation Energy Use: Bus: School Bus: E85: Alternative Transportation</t>
  </si>
  <si>
    <t>AEO.2025.ALTTRNP.CNSM_NA_TRN_LSRC_MGS_NA_NA_TRLBTU.A</t>
  </si>
  <si>
    <t>Transportation Energy Use: Bus: School Bus: Motor Gasoline: Alternative Transportation</t>
  </si>
  <si>
    <t>AEO.2025.ALTTRNP.CNSM_NA_TRN_LSRC_NA_NA_NA_TRLBTU.A</t>
  </si>
  <si>
    <t>Transportation Energy Use: Bus: School Bus: Alternative Transportation</t>
  </si>
  <si>
    <t>AEO.2025.ALTTRNP.CNSM_NA_TRN_IBUS_HDG_NA_NA_TRLBTU.A</t>
  </si>
  <si>
    <t>Transportation Energy Use: Bus: Intercity Bus: Hydrogen: Alternative Transportation</t>
  </si>
  <si>
    <t>AEO.2025.ALTTRNP.CNSM_NA_TRN_IBUS_ELC_NA_NA_TRLBTU.A</t>
  </si>
  <si>
    <t>Transportation Energy Use: Bus: Intercity Bus: Electricity: Alternative Transportation</t>
  </si>
  <si>
    <t>AEO.2025.ALTTRNP.CNSM_NA_TRN_IBUS_LPG_NA_NA_TRLBTU.A</t>
  </si>
  <si>
    <t>Transportation Energy Use: Bus: Intercity Bus: Propane: Alternative Transportation</t>
  </si>
  <si>
    <t>AEO.2025.ALTTRNP.CNSM_NA_TRN_IBUS_NG_NA_NA_TRLBTU.A</t>
  </si>
  <si>
    <t>Transportation Energy Use: Bus: Intercity Bus: Natural Gas: Alternative Transportation</t>
  </si>
  <si>
    <t>AEO.2025.ALTTRNP.CNSM_NA_TRN_IBUS_DFO_NA_NA_TRLBTU.A</t>
  </si>
  <si>
    <t>Transportation Energy Use: Bus: Intercity Bus: Distillate Fuel Oil: Alternative Transportation</t>
  </si>
  <si>
    <t>AEO.2025.ALTTRNP.CNSM_NA_TRN_IBUS_E85_NA_NA_TRLBTU.A</t>
  </si>
  <si>
    <t>Transportation Energy Use: Bus: Intercity Bus: E85: Alternative Transportation</t>
  </si>
  <si>
    <t>AEO.2025.ALTTRNP.CNSM_NA_TRN_IBUS_MGS_NA_NA_TRLBTU.A</t>
  </si>
  <si>
    <t>Transportation Energy Use: Bus: Intercity Bus: Motor Gasoline: Alternative Transportation</t>
  </si>
  <si>
    <t>AEO.2025.ALTTRNP.CNSM_NA_TRN_IBUS_NA_NA_NA_TRLBTU.A</t>
  </si>
  <si>
    <t>Transportation Energy Use: Bus: Intercity Bus: Alternative Transportation</t>
  </si>
  <si>
    <t>AEO.2025.ALTTRNP.CNSM_NA_TRN_TBUS_HDG_NA_NA_TRLBTU.A</t>
  </si>
  <si>
    <t>Transportation Energy Use: Bus: Transit Bus: Hydrogen: Alternative Transportation</t>
  </si>
  <si>
    <t>AEO.2025.ALTTRNP.CNSM_NA_TRN_TBUS_ELC_NA_NA_TRLBTU.A</t>
  </si>
  <si>
    <t>Transportation Energy Use: Bus: Transit Bus: Electricity: Alternative Transportation</t>
  </si>
  <si>
    <t>AEO.2025.ALTTRNP.CNSM_NA_TRN_TBUS_LPG_NA_NA_TRLBTU.A</t>
  </si>
  <si>
    <t>Transportation Energy Use: Bus: Transit Bus: Propane: Alternative Transportation</t>
  </si>
  <si>
    <t>AEO.2025.ALTTRNP.CNSM_NA_TRN_TBUS_NG_NA_NA_TRLBTU.A</t>
  </si>
  <si>
    <t>Transportation Energy Use: Bus: Transit Bus: Natural Gas: Alternative Transportation</t>
  </si>
  <si>
    <t>AEO.2025.ALTTRNP.CNSM_NA_TRN_TBUS_DFO_NA_NA_TRLBTU.A</t>
  </si>
  <si>
    <t>Transportation Energy Use: Bus: Transit Bus: Distillate Fuel Oil: Alternative Transportation</t>
  </si>
  <si>
    <t>AEO.2025.ALTTRNP.CNSM_NA_TRN_TBUS_E85_NA_NA_TRLBTU.A</t>
  </si>
  <si>
    <t>Transportation Energy Use: Bus: Transit Bus: E85: Alternative Transportation</t>
  </si>
  <si>
    <t>AEO.2025.ALTTRNP.CNSM_NA_TRN_TBUS_MGS_NA_NA_TRLBTU.A</t>
  </si>
  <si>
    <t>Transportation Energy Use: Bus: Transit Bus: Motor Gasoline: Alternative Transportation</t>
  </si>
  <si>
    <t>AEO.2025.ALTTRNP.CNSM_NA_TRN_TBUS_NA_NA_NA_TRLBTU.A</t>
  </si>
  <si>
    <t>Transportation Energy Use: Bus: Transit Bus: Alternative Transportation</t>
  </si>
  <si>
    <t>AEO.2025.ALTTRNP.CNSM_NA_TRN_BUS_NA_NA_NA_TRLBTU.A</t>
  </si>
  <si>
    <t>Transportation Energy Use: Bus: Alternative Transportation</t>
  </si>
  <si>
    <t>AEO.2025.ALTTRNP.CNSM_NA_TRN_MILT_DFO_NA_NA_TRLBTU.A</t>
  </si>
  <si>
    <t>Transportation Energy Use: Military: Distillate Fuel Oil: Alternative Transportation</t>
  </si>
  <si>
    <t>AEO.2025.ALTTRNP.CNSM_NA_TRN_MILT_RFO_NA_NA_TRLBTU.A</t>
  </si>
  <si>
    <t>Transportation Energy Use: Military: Residual Fuel Oil: Alternative Transportation</t>
  </si>
  <si>
    <t>AEO.2025.ALTTRNP.CNSM_NA_TRN_MILT_JFL_NA_NA_TRLBTU.A</t>
  </si>
  <si>
    <t>Transportation Energy Use: Military: Jet Fuel: Alternative Transportation</t>
  </si>
  <si>
    <t>AEO.2025.ALTTRNP.CNSM_NA_TRN_MILT_NA_NA_NA_TRLBTU.A</t>
  </si>
  <si>
    <t>Transportation Energy Use: Military: Total: Alternative Transportation</t>
  </si>
  <si>
    <t>AEO.2025.ALTTRNP.CNSM_NA_TRN_AIR_AVGA_NA_NA_TRLBTU.A</t>
  </si>
  <si>
    <t>Transportation Energy Use: Air: Aviation Gasoline: Alternative Transportation</t>
  </si>
  <si>
    <t>AEO.2025.ALTTRNP.CNSM_NA_TRN_AIR_JFL_NA_NA_TRLBTU.A</t>
  </si>
  <si>
    <t>Transportation Energy Use: Air: Jet Fuel: Alternative Transportation</t>
  </si>
  <si>
    <t>AEO.2025.ALTTRNP.CNSM_NA_TRN_AIR_NA_NA_NA_TRLBTU.A</t>
  </si>
  <si>
    <t>Transportation Energy Use: Air: Total: Alternative Transportation</t>
  </si>
  <si>
    <t>AEO.2025.ALTTRNP.CNSM_NA_TRN_INTS_LNG_NA_NA_TRLBTU.A</t>
  </si>
  <si>
    <t>Transportation Energy Use: International Shipping: LNG: Alternative Transportation</t>
  </si>
  <si>
    <t>AEO.2025.ALTTRNP.CNSM_NA_TRN_INTS_CNG_NA_NA_TRLBTU.A</t>
  </si>
  <si>
    <t>Transportation Energy Use: International Shipping: CNG: Alternative Transportation</t>
  </si>
  <si>
    <t>AEO.2025.ALTTRNP.CNSM_NA_TRN_INTS_RFO_NA_NA_TRLBTU.A</t>
  </si>
  <si>
    <t>Transportation Energy Use: International Shipping: Residual Oil: Alternative Transportation</t>
  </si>
  <si>
    <t>AEO.2025.ALTTRNP.CNSM_NA_TRN_INTS_DFO_NA_NA_TRLBTU.A</t>
  </si>
  <si>
    <t>Transportation Energy Use: International Shipping: Distillate Fuel Oil: Alternative Transportation</t>
  </si>
  <si>
    <t>AEO.2025.ALTTRNP.CNSM_NA_TRN_INTS_NA_NA_NA_TRLBTU.A</t>
  </si>
  <si>
    <t>Transportation Energy Use: International Shipping: Total: Alternative Transportation</t>
  </si>
  <si>
    <t>AEO.2025.ALTTRNP.CNSM_NA_TRN_DMT_LNG_NA_NA_TRLBTU.A</t>
  </si>
  <si>
    <t>Transportation Energy Use: Domestic Shipping: LNG: Alternative Transportation</t>
  </si>
  <si>
    <t>AEO.2025.ALTTRNP.CNSM_NA_TRN_DMT_CNG_NA_NA_TRLBTU.A</t>
  </si>
  <si>
    <t>Transportation Energy Use: Domestic Shipping: CNG: Alternative Transportation</t>
  </si>
  <si>
    <t>AEO.2025.ALTTRNP.CNSM_NA_TRN_DMT_RFO_NA_NA_TRLBTU.A</t>
  </si>
  <si>
    <t>Transportation Energy Use: Domestic Shipping: Residual Oil: Alternative Transportation</t>
  </si>
  <si>
    <t>AEO.2025.ALTTRNP.CNSM_NA_TRN_DMT_DFO_NA_NA_TRLBTU.A</t>
  </si>
  <si>
    <t>Transportation Energy Use: Domestic Shipping: Distillate Fuel Oil: Alternative Transportation</t>
  </si>
  <si>
    <t>AEO.2025.ALTTRNP.CNSM_NA_TRN_DMT_NA_NA_NA_TRLBTU.A</t>
  </si>
  <si>
    <t>Transportation Energy Use: Domestic Shipping: Total: Alternative Transportation</t>
  </si>
  <si>
    <t>AEO.2025.ALTTRNP.CNSM_NA_TRN_FRAIL_LNG_NA_NA_TRLBTU.A</t>
  </si>
  <si>
    <t>Transportation Energy Use: Freight Rail: LNG: Alternative Transportation</t>
  </si>
  <si>
    <t>AEO.2025.ALTTRNP.CNSM_NA_TRN_FRAIL_CNG_NA_NA_TRLBTU.A</t>
  </si>
  <si>
    <t>Transportation Energy Use: Freight Rail: CNG: Alternative Transportation</t>
  </si>
  <si>
    <t>AEO.2025.ALTTRNP.CNSM_NA_TRN_FRAIL_RFO_NA_NA_TRLBTU.A</t>
  </si>
  <si>
    <t>Transportation Energy Use: Freight Rail: Residual Fuel Oil: Alternative Transportation</t>
  </si>
  <si>
    <t>AEO.2025.ALTTRNP.CNSM_NA_TRN_FRAIL_DFO_NA_NA_TRLBTU.A</t>
  </si>
  <si>
    <t>Transportation Energy Use: Freight Rail: Distillate Fuel Oil: Alternative Transportation</t>
  </si>
  <si>
    <t>AEO.2025.ALTTRNP.CNSM_NA_TRN_FRAIL_NA_NA_NA_TRLBTU.A</t>
  </si>
  <si>
    <t>Transportation Energy Use: Freight Rail: Total: Alternative Transportation</t>
  </si>
  <si>
    <t>AEO.2025.ALTTRNP.CNSM_NA_TRN_FRTT_HDG_NA_NA_TRLBTU.A</t>
  </si>
  <si>
    <t>Transportation Energy Use: Freight Trucks: Hydrogen: Alternative Transportation</t>
  </si>
  <si>
    <t>AEO.2025.ALTTRNP.CNSM_NA_TRN_FRTT_ELC_NA_NA_TRLBTU.A</t>
  </si>
  <si>
    <t>Transportation Energy Use: Freight Trucks: Electricity: Alternative Transportation</t>
  </si>
  <si>
    <t>AEO.2025.ALTTRNP.CNSM_NA_TRN_FRTT_E85_NA_NA_TRLBTU.A</t>
  </si>
  <si>
    <t>Transportation Energy Use: Freight Trucks: E85: Alternative Transportation</t>
  </si>
  <si>
    <t>AEO.2025.ALTTRNP.CNSM_NA_TRN_FRTT_LPG_NA_NA_TRLBTU.A</t>
  </si>
  <si>
    <t>Transportation Energy Use: Freight Trucks: Propane: Alternative Transportation</t>
  </si>
  <si>
    <t>AEO.2025.ALTTRNP.CNSM_NA_TRN_FRTT_NG_NA_NA_TRLBTU.A</t>
  </si>
  <si>
    <t>Transportation Energy Use: Freight Trucks: Natural Gas: Alternative Transportation</t>
  </si>
  <si>
    <t>AEO.2025.ALTTRNP.CNSM_NA_TRN_FRTT_DFO_NA_NA_TRLBTU.A</t>
  </si>
  <si>
    <t>Transportation Energy Use: Freight Trucks: Distillate Fuel Oil: Alternative Transportation</t>
  </si>
  <si>
    <t>AEO.2025.ALTTRNP.CNSM_NA_TRN_FRTT_MGS_NA_NA_TRLBTU.A</t>
  </si>
  <si>
    <t>Transportation Energy Use: Freight Trucks: Motor Gasoline: Alternative Transportation</t>
  </si>
  <si>
    <t>AEO.2025.ALTTRNP.CNSM_NA_TRN_FRTT_NA_NA_NA_TRLBTU.A</t>
  </si>
  <si>
    <t>Transportation Energy Use: Freight Trucks: Total: Alternative Transportation</t>
  </si>
  <si>
    <t>AEO.2025.ALTTRNP.CNSM_NA_TRN_CLTR_HDG_NA_NA_TRLBTU.A</t>
  </si>
  <si>
    <t>Transportation Energy Use: Commercial Light Trucks: Hydrogen: Alternative Transportation</t>
  </si>
  <si>
    <t>AEO.2025.ALTTRNP.CNSM_NA_TRN_CLTR_ELC_NA_NA_TRLBTU.A</t>
  </si>
  <si>
    <t>Transportation Energy Use: Commercial Light Trucks: Electricity: Alternative Transportation</t>
  </si>
  <si>
    <t>AEO.2025.ALTTRNP.CNSM_NA_TRN_CLTR_NG_NA_NA_TRLBTU.A</t>
  </si>
  <si>
    <t>Transportation Energy Use: Commercial Light Trucks: Natural Gas: Alternative Transportation</t>
  </si>
  <si>
    <t>AEO.2025.ALTTRNP.CNSM_NA_TRN_CLTR_PROP_NA_NA_TRLBTU.A</t>
  </si>
  <si>
    <t>Transportation Energy Use: Commercial Light Trucks: Propane: Alternative Transportation</t>
  </si>
  <si>
    <t>AEO.2025.ALTTRNP.CNSM_NA_TRN_CLTR_DFO_NA_NA_TRLBTU.A</t>
  </si>
  <si>
    <t>Transportation Energy Use: Commercial Light Trucks: Distillate Fuel Oil: Alternative Transportation</t>
  </si>
  <si>
    <t>AEO.2025.ALTTRNP.CNSM_NA_TRN_CLTR_E85_NA_NA_TRLBTU.A</t>
  </si>
  <si>
    <t>Transportation Energy Use: Commercial Light Trucks: E85: Alternative Transportation</t>
  </si>
  <si>
    <t>AEO.2025.ALTTRNP.CNSM_NA_TRN_CLTR_MGS_NA_NA_TRLBTU.A</t>
  </si>
  <si>
    <t>Transportation Energy Use: Commercial Light Trucks: Motor Gasoline: Alternative Transportation</t>
  </si>
  <si>
    <t>AEO.2025.ALTTRNP.CNSM_NA_TRN_CLTR_NA_NA_NA_TRLBTU.A</t>
  </si>
  <si>
    <t>Transportation Energy Use: Commercial Light Trucks: Total: Alternative Transportation</t>
  </si>
  <si>
    <t>AEO.2025.ALTTRNP.CNSM_NA_TRN_LDTY_HDG_NA_NA_TRLBTU.A</t>
  </si>
  <si>
    <t>Transportation Energy Use: Light-Duty Vehicle: Hydrogen: Alternative Transportation</t>
  </si>
  <si>
    <t>AEO.2025.ALTTRNP.CNSM_NA_TRN_LDTY_ELC_NA_NA_TRLBTU.A</t>
  </si>
  <si>
    <t>Transportation Energy Use: Light-Duty Vehicle: Electricity: Alternative Transportation</t>
  </si>
  <si>
    <t>AEO.2025.ALTTRNP.CNSM_NA_TRN_LDTY_PROP_NA_NA_TRLBTU.A</t>
  </si>
  <si>
    <t>Transportation Energy Use: Light-Duty Vehicle: Propane: Alternative Transportation</t>
  </si>
  <si>
    <t>AEO.2025.ALTTRNP.CNSM_NA_TRN_LDTY_NG_NA_NA_TRLBTU.A</t>
  </si>
  <si>
    <t>Transportation Energy Use: Light-Duty Vehicle: Natural Gas: Alternative Transportation</t>
  </si>
  <si>
    <t>AEO.2025.ALTTRNP.CNSM_NA_TRN_LDTY_DFO_NA_NA_TRLBTU.A</t>
  </si>
  <si>
    <t>Transportation Energy Use: Light-Duty Vehicle: Distillate Fuel Oil: Alternative Transportation</t>
  </si>
  <si>
    <t>AEO.2025.ALTTRNP.CNSM_NA_TRN_LDTY_ETH_NA_NA_TRLBTU.A</t>
  </si>
  <si>
    <t>Transportation Energy Use: Light-Duty Vehicle: Ethanol: Alternative Transportation</t>
  </si>
  <si>
    <t>AEO.2025.ALTTRNP.CNSM_NA_TRN_LDTY_MGS_NA_NA_TRLBTU.A</t>
  </si>
  <si>
    <t>Transportation Energy Use: Light-Duty Vehicle: Motor Gasoline: Alternative Transportation</t>
  </si>
  <si>
    <t>AEO.2025.ALTTRNP.CNSM_NA_TRN_LDTY_NA_NA_NA_TRLBTU.A</t>
  </si>
  <si>
    <t>Transportation Energy Use: Light-Duty Vehicle: Total: Alternative Transportation</t>
  </si>
  <si>
    <t>Fri Dec 05 2025 14:49:10 GMT-0800 (Pacific Standard Time)</t>
  </si>
  <si>
    <t>https://www.eia.gov/outlooks/aeo/data/browser/#/?id=46-AEO2025&amp;cases=alttrnp&amp;sourcekey=0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</si>
  <si>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</si>
  <si>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</si>
  <si>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</si>
  <si>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</si>
  <si>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</si>
  <si>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</si>
  <si>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</si>
  <si>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</si>
  <si>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</si>
  <si>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</si>
  <si>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</si>
  <si>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</si>
  <si>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</si>
  <si>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</si>
  <si>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</si>
  <si>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</si>
  <si>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</si>
  <si>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</si>
  <si>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</si>
  <si>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</si>
  <si>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</si>
  <si>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</si>
  <si>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</si>
  <si>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</si>
  <si>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</si>
  <si>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</si>
  <si>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</si>
  <si>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</si>
  <si>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</si>
  <si>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</si>
  <si>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</si>
  <si>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</si>
  <si>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</si>
  <si>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</si>
  <si>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</si>
  <si>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</si>
  <si>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</si>
  <si>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</si>
  <si>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</si>
  <si>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</si>
  <si>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</si>
  <si>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</si>
  <si>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</si>
  <si>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</si>
  <si>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</si>
  <si>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</si>
  <si>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</si>
  <si>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Intercity</t>
  </si>
  <si>
    <t>Transportation: Electricity Prices: Transit Bus: Alternative Transportation</t>
  </si>
  <si>
    <t>Transit</t>
  </si>
  <si>
    <t>Transportation: Electricity Prices: School Bus: Alternative Transportation</t>
  </si>
  <si>
    <t>School</t>
  </si>
  <si>
    <t>Transportation: Electricity Prices: Bus: Alternative Transportation</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</si>
  <si>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</si>
  <si>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</si>
  <si>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</si>
  <si>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</si>
  <si>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</si>
  <si>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</si>
  <si>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</si>
  <si>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</si>
  <si>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Light-Duty Vehicles</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</si>
  <si>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</si>
  <si>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</si>
  <si>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</si>
  <si>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</si>
  <si>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</si>
  <si>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</si>
  <si>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</si>
  <si>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</si>
  <si>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</si>
  <si>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</si>
  <si>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</si>
  <si>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</si>
  <si>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</si>
  <si>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</si>
  <si>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</si>
  <si>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</si>
  <si>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</si>
  <si>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</si>
  <si>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</si>
  <si>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</si>
  <si>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</si>
  <si>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</si>
  <si>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</si>
  <si>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</si>
  <si>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</si>
  <si>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</si>
  <si>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</si>
  <si>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Total</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</si>
  <si>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</si>
  <si>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</si>
  <si>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</si>
  <si>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</si>
  <si>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</si>
  <si>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</si>
  <si>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</si>
  <si>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</si>
  <si>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</si>
  <si>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</si>
  <si>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</si>
  <si>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</si>
  <si>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</si>
  <si>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</si>
  <si>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</si>
  <si>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Shipping</t>
  </si>
  <si>
    <t>AEO.2025.ALTTRNP.CNSM_NA_TRN_SHDT_USE_NA_NA_MILLBPDYOEQ.A</t>
  </si>
  <si>
    <t>Transportation: Energy Use by Mode: Shipping, Domestic: Alternative Transportation</t>
  </si>
  <si>
    <t>AEO.2025.ALTTRNP.CNSM_NA_TRN_RLF_USE_NA_NA_MILLBPDYOEQ.A</t>
  </si>
  <si>
    <t>Transportation: Energy Use by Mode: Rail, Freight: Alternative Transportation</t>
  </si>
  <si>
    <t>AEO.2025.ALTTRNP.CNSM_NA_TRN_RLP_USE_NA_NA_MILLBPDYOEQ.A</t>
  </si>
  <si>
    <t>Transportation: Energy Use by Mode: Rail, Passenger: Alternative Transportation</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</si>
  <si>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</si>
  <si>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</si>
  <si>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</si>
  <si>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</si>
  <si>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</si>
  <si>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</si>
  <si>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</si>
  <si>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</si>
  <si>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</si>
  <si>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</si>
  <si>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</si>
  <si>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</si>
  <si>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</si>
  <si>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</si>
  <si>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</si>
  <si>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</si>
  <si>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</si>
  <si>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</si>
  <si>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</si>
  <si>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</si>
  <si>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</si>
  <si>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</si>
  <si>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</si>
  <si>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</si>
  <si>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</si>
  <si>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</si>
  <si>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ton miles/thousand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</si>
  <si>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</si>
  <si>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</si>
  <si>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</si>
  <si>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</si>
  <si>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</si>
  <si>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</si>
  <si>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</si>
  <si>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</si>
  <si>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</si>
  <si>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</si>
  <si>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</si>
  <si>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</si>
  <si>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</si>
  <si>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</si>
  <si>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</si>
  <si>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</si>
  <si>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</si>
  <si>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</si>
  <si>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</si>
  <si>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</si>
  <si>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</si>
  <si>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</si>
  <si>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</si>
  <si>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</si>
  <si>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</si>
  <si>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</si>
  <si>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</si>
  <si>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</si>
  <si>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</si>
  <si>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</si>
  <si>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</si>
  <si>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</si>
  <si>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</si>
  <si>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</si>
  <si>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</si>
  <si>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</si>
  <si>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</si>
  <si>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</si>
  <si>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</si>
  <si>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</si>
  <si>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</si>
  <si>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</si>
  <si>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</si>
  <si>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</si>
  <si>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</si>
  <si>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</si>
  <si>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</si>
  <si>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</si>
  <si>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</si>
  <si>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</si>
  <si>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</si>
  <si>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</si>
  <si>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</si>
  <si>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</si>
  <si>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</si>
  <si>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</si>
  <si>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</si>
  <si>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</si>
  <si>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</si>
  <si>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</si>
  <si>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</si>
  <si>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</si>
  <si>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</si>
  <si>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</si>
  <si>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</si>
  <si>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</si>
  <si>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</si>
  <si>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</si>
  <si>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</si>
  <si>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</si>
  <si>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</si>
  <si>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</si>
  <si>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</si>
  <si>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</si>
  <si>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</si>
  <si>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</si>
  <si>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</si>
  <si>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</si>
  <si>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</si>
  <si>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</si>
  <si>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</si>
  <si>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</si>
  <si>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Freight: International Shipping: Fuel Use: LNG: Alternative Transportation</t>
  </si>
  <si>
    <t>Freight: International Shipping: Fuel Use: CNG: Alternative Transportation</t>
  </si>
  <si>
    <t>Freight: International Shipping: Fuel Use: Residual Fuel Oil: Alternative Transportation</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</si>
  <si>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</si>
  <si>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</si>
  <si>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</si>
  <si>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</si>
  <si>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</si>
  <si>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</si>
  <si>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</si>
  <si>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Freight: Domestic Shipping: Fuel Use: LNG: Alternative Transportation</t>
  </si>
  <si>
    <t>Freight: Domestic Shipping: Fuel Use: CNG: Alternative Transportation</t>
  </si>
  <si>
    <t>Freight: Domestic Shipping: Fuel Use: Residual Fuel Oil: Alternative Transportation</t>
  </si>
  <si>
    <t>Freight: Domestic Shipping: Fuel Use: Distillate Fuel Oil: Alternative Transportation</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</si>
  <si>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</si>
  <si>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</si>
  <si>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</si>
  <si>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</si>
  <si>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</si>
  <si>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</si>
  <si>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</si>
  <si>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</si>
  <si>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</si>
  <si>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</si>
  <si>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</si>
  <si>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</si>
  <si>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</si>
  <si>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</si>
  <si>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</si>
  <si>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</si>
  <si>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</si>
  <si>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</si>
  <si>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</si>
  <si>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</si>
  <si>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</si>
  <si>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</si>
  <si>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</si>
  <si>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</si>
  <si>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</si>
  <si>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</si>
  <si>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</si>
  <si>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</si>
  <si>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</si>
  <si>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</si>
  <si>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</si>
  <si>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</si>
  <si>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</si>
  <si>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</si>
  <si>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</si>
  <si>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</si>
  <si>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</si>
  <si>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</si>
  <si>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</si>
  <si>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</si>
  <si>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</si>
  <si>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</si>
  <si>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</si>
  <si>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</si>
  <si>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</si>
  <si>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</si>
  <si>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</si>
  <si>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</si>
  <si>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</si>
  <si>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</si>
  <si>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</si>
  <si>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</si>
  <si>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</si>
  <si>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</si>
  <si>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</si>
  <si>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</si>
  <si>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</si>
  <si>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</si>
  <si>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</si>
  <si>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</si>
  <si>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</si>
  <si>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</si>
  <si>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</si>
  <si>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</si>
  <si>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</si>
  <si>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</si>
  <si>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</si>
  <si>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</si>
  <si>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</si>
  <si>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</si>
  <si>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</si>
  <si>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</si>
  <si>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</si>
  <si>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</si>
  <si>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</si>
  <si>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</si>
  <si>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</si>
  <si>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</si>
  <si>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</si>
  <si>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</si>
  <si>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</si>
  <si>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</si>
  <si>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</si>
  <si>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</si>
  <si>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</si>
  <si>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</si>
  <si>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</si>
  <si>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</si>
  <si>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</si>
  <si>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</si>
  <si>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</si>
  <si>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</si>
  <si>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</si>
  <si>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</si>
  <si>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</si>
  <si>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</si>
  <si>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</si>
  <si>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</si>
  <si>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</si>
  <si>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</si>
  <si>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</si>
  <si>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</si>
  <si>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</si>
  <si>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</si>
  <si>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</si>
  <si>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</si>
  <si>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</si>
  <si>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</si>
  <si>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</si>
  <si>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</si>
  <si>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</si>
  <si>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</si>
  <si>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</si>
  <si>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</si>
  <si>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</si>
  <si>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</si>
  <si>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</si>
  <si>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</si>
  <si>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</si>
  <si>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</si>
  <si>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</si>
  <si>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</si>
  <si>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</si>
  <si>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</si>
  <si>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</si>
  <si>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</si>
  <si>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</si>
  <si>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</si>
  <si>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</si>
  <si>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</si>
  <si>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</si>
  <si>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</si>
  <si>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</si>
  <si>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</si>
  <si>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</si>
  <si>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</si>
  <si>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</si>
  <si>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</si>
  <si>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</si>
  <si>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</si>
  <si>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</si>
  <si>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</si>
  <si>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</si>
  <si>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</si>
  <si>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</si>
  <si>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</si>
  <si>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</si>
  <si>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</si>
  <si>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</si>
  <si>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</si>
  <si>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</si>
  <si>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</si>
  <si>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</si>
  <si>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</si>
  <si>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</si>
  <si>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</si>
  <si>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</si>
  <si>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</si>
  <si>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</si>
  <si>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</si>
  <si>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</si>
  <si>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</si>
  <si>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</si>
  <si>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</si>
  <si>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</si>
  <si>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</si>
  <si>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</si>
  <si>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</si>
  <si>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</si>
  <si>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</si>
  <si>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</si>
  <si>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</si>
  <si>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</si>
  <si>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</si>
  <si>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</si>
  <si>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</si>
  <si>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</si>
  <si>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</si>
  <si>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</si>
  <si>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</si>
  <si>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</si>
  <si>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</si>
  <si>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</si>
  <si>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</si>
  <si>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</si>
  <si>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</si>
  <si>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</si>
  <si>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</si>
  <si>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</si>
  <si>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</si>
  <si>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</si>
  <si>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</si>
  <si>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</si>
  <si>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</si>
  <si>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</si>
  <si>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</si>
  <si>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</si>
  <si>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</si>
  <si>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</si>
  <si>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</si>
  <si>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</si>
  <si>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</si>
  <si>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</si>
  <si>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</si>
  <si>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</si>
  <si>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</si>
  <si>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</si>
  <si>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</si>
  <si>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</si>
  <si>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</si>
  <si>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</si>
  <si>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</si>
  <si>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</si>
  <si>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</si>
  <si>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</si>
  <si>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</si>
  <si>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</si>
  <si>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</si>
  <si>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</si>
  <si>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</si>
  <si>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</si>
  <si>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</si>
  <si>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</si>
  <si>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</si>
  <si>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</si>
  <si>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</si>
  <si>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</si>
  <si>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</si>
  <si>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</si>
  <si>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</si>
  <si>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</si>
  <si>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</si>
  <si>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</si>
  <si>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</si>
  <si>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</si>
  <si>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</si>
  <si>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</si>
  <si>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</si>
  <si>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</si>
  <si>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</si>
  <si>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</si>
  <si>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</si>
  <si>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</si>
  <si>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</si>
  <si>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</si>
  <si>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</si>
  <si>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</si>
  <si>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</si>
  <si>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</si>
  <si>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</si>
  <si>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</si>
  <si>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</si>
  <si>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</si>
  <si>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</si>
  <si>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</si>
  <si>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</si>
  <si>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</si>
  <si>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</si>
  <si>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</si>
  <si>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</si>
  <si>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</si>
  <si>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</si>
  <si>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</si>
  <si>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</si>
  <si>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</si>
  <si>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</si>
  <si>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</si>
  <si>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</si>
  <si>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</si>
  <si>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</si>
  <si>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</si>
  <si>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</si>
  <si>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</si>
  <si>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</si>
  <si>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</si>
  <si>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</si>
  <si>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</si>
  <si>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</si>
  <si>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</si>
  <si>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</si>
  <si>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</si>
  <si>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</si>
  <si>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</si>
  <si>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</si>
  <si>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</si>
  <si>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</si>
  <si>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</si>
  <si>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</si>
  <si>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</si>
  <si>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</si>
  <si>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</si>
  <si>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</si>
  <si>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</si>
  <si>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</si>
  <si>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</si>
  <si>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</si>
  <si>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</si>
  <si>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</si>
  <si>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</si>
  <si>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</si>
  <si>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</si>
  <si>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</si>
  <si>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</si>
  <si>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</si>
  <si>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</si>
  <si>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</si>
  <si>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</si>
  <si>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</si>
  <si>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</si>
  <si>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</si>
  <si>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</si>
  <si>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</si>
  <si>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</si>
  <si>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</si>
  <si>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</si>
  <si>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</si>
  <si>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</si>
  <si>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</si>
  <si>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</si>
  <si>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</si>
  <si>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</si>
  <si>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</si>
  <si>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</si>
  <si>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</si>
  <si>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</si>
  <si>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</si>
  <si>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</si>
  <si>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</si>
  <si>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</si>
  <si>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</si>
  <si>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</si>
  <si>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</si>
  <si>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</si>
  <si>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</si>
  <si>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</si>
  <si>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</si>
  <si>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</si>
  <si>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</si>
  <si>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</si>
  <si>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</si>
  <si>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</si>
  <si>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</si>
  <si>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</si>
  <si>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</si>
  <si>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</si>
  <si>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</si>
  <si>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</si>
  <si>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</si>
  <si>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</si>
  <si>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</si>
  <si>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</si>
  <si>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</si>
  <si>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</si>
  <si>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</si>
  <si>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</si>
  <si>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</si>
  <si>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</si>
  <si>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</si>
  <si>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</si>
  <si>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</si>
  <si>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</si>
  <si>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</si>
  <si>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</si>
  <si>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</si>
  <si>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</si>
  <si>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</si>
  <si>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</si>
  <si>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</si>
  <si>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</si>
  <si>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</si>
  <si>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</si>
  <si>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</si>
  <si>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</si>
  <si>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</si>
  <si>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</si>
  <si>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</si>
  <si>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</si>
  <si>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</si>
  <si>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</si>
  <si>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</si>
  <si>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</si>
  <si>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</si>
  <si>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</si>
  <si>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</si>
  <si>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</si>
  <si>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</si>
  <si>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</si>
  <si>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</si>
  <si>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</si>
  <si>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</si>
  <si>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</si>
  <si>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</si>
  <si>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</si>
  <si>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</si>
  <si>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</si>
  <si>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</si>
  <si>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</si>
  <si>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</si>
  <si>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</si>
  <si>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</si>
  <si>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</si>
  <si>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</si>
  <si>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</si>
  <si>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</si>
  <si>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</si>
  <si>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</si>
  <si>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</si>
  <si>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</si>
  <si>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</si>
  <si>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</si>
  <si>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</si>
  <si>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</si>
  <si>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</si>
  <si>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</si>
  <si>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</si>
  <si>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</si>
  <si>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</si>
  <si>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</si>
  <si>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</si>
  <si>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</si>
  <si>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</si>
  <si>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</si>
  <si>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</si>
  <si>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</si>
  <si>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</si>
  <si>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</si>
  <si>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</si>
  <si>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</si>
  <si>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</si>
  <si>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</si>
  <si>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</si>
  <si>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</si>
  <si>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</si>
  <si>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</si>
  <si>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</si>
  <si>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</si>
  <si>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</si>
  <si>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</si>
  <si>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</si>
  <si>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</si>
  <si>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</si>
  <si>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</si>
  <si>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</si>
  <si>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</si>
  <si>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</si>
  <si>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</si>
  <si>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</si>
  <si>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</si>
  <si>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</si>
  <si>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</si>
  <si>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</si>
  <si>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</si>
  <si>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</si>
  <si>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</si>
  <si>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</si>
  <si>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</si>
  <si>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</si>
  <si>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</si>
  <si>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</si>
  <si>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</si>
  <si>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</si>
  <si>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</si>
  <si>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</si>
  <si>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</si>
  <si>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</si>
  <si>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</si>
  <si>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</si>
  <si>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</si>
  <si>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</si>
  <si>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</si>
  <si>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</si>
  <si>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</si>
  <si>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</si>
  <si>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</si>
  <si>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</si>
  <si>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</si>
  <si>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</si>
  <si>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</si>
  <si>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</si>
  <si>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</si>
  <si>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</si>
  <si>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</si>
  <si>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</si>
  <si>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</si>
  <si>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</si>
  <si>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</si>
  <si>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</si>
  <si>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</si>
  <si>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</si>
  <si>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</si>
  <si>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</si>
  <si>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</si>
  <si>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</si>
  <si>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</si>
  <si>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</si>
  <si>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</si>
  <si>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</si>
  <si>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</si>
  <si>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</si>
  <si>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</si>
  <si>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</si>
  <si>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</si>
  <si>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</si>
  <si>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</si>
  <si>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</si>
  <si>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</si>
  <si>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</si>
  <si>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</si>
  <si>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</si>
  <si>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</si>
  <si>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</si>
  <si>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</si>
  <si>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</si>
  <si>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</si>
  <si>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</si>
  <si>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</si>
  <si>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</si>
  <si>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</si>
  <si>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</si>
  <si>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</si>
  <si>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</si>
  <si>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</si>
  <si>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r>
      <t xml:space="preserve">1994-2024: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Feb. 19, 2026.</t>
    </r>
  </si>
  <si>
    <t>Annual Energy Outlook 2025</t>
  </si>
  <si>
    <t>AEO.2026.ELECTRNP.STK_AIRC_CARG_NA_NA_NA_WRLD_UNIT.A</t>
  </si>
  <si>
    <t>Aircraft Stock: Cargo: World: Alternative Electricity and Transportation</t>
  </si>
  <si>
    <t>AEO.2026.ELECTRNP.STK_AIRC_CARG_NA_NA_NA_NA_UNIT.A</t>
  </si>
  <si>
    <t>Aircraft Stock: Cargo: Other Americas: Alternative Electricity and Transportation</t>
  </si>
  <si>
    <t>AEO.2026.ELECTRNP.STK_AIRC_CARG_NA_NA_NA_BRZ_UNIT.A</t>
  </si>
  <si>
    <t>Aircraft Stock: Cargo: Brazil: Alternative Electricity and Transportation</t>
  </si>
  <si>
    <t>AEO.2026.ELECTRNP.STK_AIRC_CARG_NA_NA_NA_AFR_UNIT.A</t>
  </si>
  <si>
    <t>Aircraft Stock: Cargo: Africa: Alternative Electricity and Transportation</t>
  </si>
  <si>
    <t>AEO.2026.ELECTRNP.STK_AIRC_CARG_NA_NA_NA_MID_UNIT.A</t>
  </si>
  <si>
    <t>Aircraft Stock: Cargo: Middle East: Alternative Electricity and Transportation</t>
  </si>
  <si>
    <t>AEO.2026.ELECTRNP.STK_AIRC_CARG_NA_NA_NA_OAS_UNIT.A</t>
  </si>
  <si>
    <t>Aircraft Stock: Cargo: Other Asia Pacific: Alternative Electricity and Transportation</t>
  </si>
  <si>
    <t>AEO.2026.ELECTRNP.STK_AIRC_CARG_NA_NA_NA_IND_UNIT.A</t>
  </si>
  <si>
    <t>Aircraft Stock: Cargo: India: Alternative Electricity and Transportation</t>
  </si>
  <si>
    <t>AEO.2026.ELECTRNP.STK_AIRC_CARG_NA_NA_NA_CHI_UNIT.A</t>
  </si>
  <si>
    <t>Aircraft Stock: Cargo: China: Alternative Electricity and Transportation</t>
  </si>
  <si>
    <t>AEO.2026.ELECTRNP.STK_AIRC_CARG_NA_NA_NA_URA_UNIT.A</t>
  </si>
  <si>
    <t>Aircraft Stock: Cargo: Eastern Europe and Eurasia: Alternative Electricity and Transportation</t>
  </si>
  <si>
    <t>AEO.2026.ELECTRNP.STK_AIRC_CARG_NA_NA_NA_RUS_UNIT.A</t>
  </si>
  <si>
    <t>Aircraft Stock: Cargo: Russia: Alternative Electricity and Transportation</t>
  </si>
  <si>
    <t>AEO.2026.ELECTRNP.STK_AIRC_CARG_NA_NA_NA_SKO_UNIT.A</t>
  </si>
  <si>
    <t>Aircraft Stock: Cargo: South Korea: Alternative Electricity and Transportation</t>
  </si>
  <si>
    <t>AEO.2026.ELECTRNP.STK_AIRC_CARG_NA_NA_NA_ANZ_UNIT.A</t>
  </si>
  <si>
    <t>Aircraft Stock: Cargo: Australia and New Zealand: Alternative Electricity and Transportation</t>
  </si>
  <si>
    <t>AEO.2026.ELECTRNP.STK_AIRC_CARG_NA_NA_NA_JPN_UNIT.A</t>
  </si>
  <si>
    <t>Aircraft Stock: Cargo: Japan: Alternative Electricity and Transportation</t>
  </si>
  <si>
    <t>AEO.2026.ELECTRNP.STK_AIRC_CARG_NA_NA_NA_EUR_UNIT.A</t>
  </si>
  <si>
    <t>Aircraft Stock: Cargo: Western Europe: Alternative Electricity and Transportation</t>
  </si>
  <si>
    <t>AEO.2026.ELECTRNP.STK_AIRC_CARG_NA_NA_NA_MXC_UNIT.A</t>
  </si>
  <si>
    <t>Aircraft Stock: Cargo: Mexico: Alternative Electricity and Transportation</t>
  </si>
  <si>
    <t>AEO.2026.ELECTRNP.STK_AIRC_CARG_NA_NA_NA_CAN_UNIT.A</t>
  </si>
  <si>
    <t>Aircraft Stock: Cargo: Canada: Alternative Electricity and Transportation</t>
  </si>
  <si>
    <t>AEO.2026.ELECTRNP.STK_AIRC_CARG_NA_NA_NA_USA_UNIT.A</t>
  </si>
  <si>
    <t>Aircraft Stock: Cargo: United States: Alternative Electricity and Transportation</t>
  </si>
  <si>
    <t>AEO.2026.ELECTRNP.STK_AIRC_ACTV_REGJ_PRKD_NA_WRLD_UNIT.A</t>
  </si>
  <si>
    <t>Aircraft Stock: Parked: World: Regional: Alternative Electricity and Transportation</t>
  </si>
  <si>
    <t>AEO.2026.ELECTRNP.STK_AIRC_ACTV_WBE_PRKD_NA_WRLD_UNIT.A</t>
  </si>
  <si>
    <t>Aircraft Stock: Parked: World: Wide Body: Alternative Electricity and Transportation</t>
  </si>
  <si>
    <t>AEO.2026.ELECTRNP.STK_AIRC_ACTV_NBTR_PRKD_NA_WRLD_UNIT.A</t>
  </si>
  <si>
    <t>Aircraft Stock: Parked: World: Narrow Body: Alternative Electricity and Transportation</t>
  </si>
  <si>
    <t>AEO.2026.ELECTRNP.STK_AIRC_ACTV_NA_PRKD_NA_WRLD_UNIT.A</t>
  </si>
  <si>
    <t>Aircraft Stock: Parked: World: Alternative Electricity and Transportation</t>
  </si>
  <si>
    <t>AEO.2026.ELECTRNP.STK_AIRC_ACTV_REGJ_PRKD_NA_NA_UNIT.A</t>
  </si>
  <si>
    <t>Aircraft Stock: Parked: Other Americas: Regional: Alternative Electricity and Transportation</t>
  </si>
  <si>
    <t>AEO.2026.ELECTRNP.STK_AIRC_ACTV_WBE_PRKD_NA_NA_UNIT.A</t>
  </si>
  <si>
    <t>Aircraft Stock: Parked: Other Americas: Wide Body: Alternative Electricity and Transportation</t>
  </si>
  <si>
    <t>AEO.2026.ELECTRNP.STK_AIRC_ACTV_NBTR_PRKD_NA_NA_UNIT.A</t>
  </si>
  <si>
    <t>Aircraft Stock: Parked: Other Americas: Narrow Body: Alternative Electricity and Transportation</t>
  </si>
  <si>
    <t>AEO.2026.ELECTRNP.STK_AIRC_ACTV_NA_PRKD_NA_NA_UNIT.A</t>
  </si>
  <si>
    <t>Aircraft Stock: Parked: Other Americas: Alternative Electricity and Transportation</t>
  </si>
  <si>
    <t>AEO.2026.ELECTRNP.STK_AIRC_ACTV_REGJ_PRKD_NA_BRZ_UNIT.A</t>
  </si>
  <si>
    <t>Aircraft Stock: Parked: Brazil: Regional: Alternative Electricity and Transportation</t>
  </si>
  <si>
    <t>AEO.2026.ELECTRNP.STK_AIRC_ACTV_WBE_PRKD_NA_BRZ_UNIT.A</t>
  </si>
  <si>
    <t>Aircraft Stock: Parked: Brazil: Wide Body: Alternative Electricity and Transportation</t>
  </si>
  <si>
    <t>AEO.2026.ELECTRNP.STK_AIRC_ACTV_NBTR_PRKD_NA_BRZ_UNIT.A</t>
  </si>
  <si>
    <t>Aircraft Stock: Parked: Brazil: Narrow Body: Alternative Electricity and Transportation</t>
  </si>
  <si>
    <t>AEO.2026.ELECTRNP.STK_AIRC_ACTV_NA_PRKD_NA_BRZ_UNIT.A</t>
  </si>
  <si>
    <t>Aircraft Stock: Parked: Brazil: Alternative Electricity and Transportation</t>
  </si>
  <si>
    <t>AEO.2026.ELECTRNP.STK_AIRC_ACTV_REGJ_PRKD_NA_AFR_UNIT.A</t>
  </si>
  <si>
    <t>Aircraft Stock: Parked: Africa: Regional: Alternative Electricity and Transportation</t>
  </si>
  <si>
    <t>AEO.2026.ELECTRNP.STK_AIRC_ACTV_WBE_PRKD_NA_AFR_UNIT.A</t>
  </si>
  <si>
    <t>Aircraft Stock: Parked: Africa: Wide Body: Alternative Electricity and Transportation</t>
  </si>
  <si>
    <t>AEO.2026.ELECTRNP.STK_AIRC_ACTV_NBTR_PRKD_NA_AFR_UNIT.A</t>
  </si>
  <si>
    <t>Aircraft Stock: Parked: Africa: Narrow Body: Alternative Electricity and Transportation</t>
  </si>
  <si>
    <t>AEO.2026.ELECTRNP.STK_AIRC_ACTV_NA_PRKD_NA_AFR_UNIT.A</t>
  </si>
  <si>
    <t>Aircraft Stock: Parked: Africa: Alternative Electricity and Transportation</t>
  </si>
  <si>
    <t>AEO.2026.ELECTRNP.STK_AIRC_ACTV_REGJ_PRKD_NA_MID_UNIT.A</t>
  </si>
  <si>
    <t>Aircraft Stock: Parked: Middle East: Regional: Alternative Electricity and Transportation</t>
  </si>
  <si>
    <t>AEO.2026.ELECTRNP.STK_AIRC_ACTV_WBE_PRKD_NA_MID_UNIT.A</t>
  </si>
  <si>
    <t>Aircraft Stock: Parked: Middle East: Wide Body: Alternative Electricity and Transportation</t>
  </si>
  <si>
    <t>AEO.2026.ELECTRNP.STK_AIRC_ACTV_NBTR_PRKD_NA_MID_UNIT.A</t>
  </si>
  <si>
    <t>Aircraft Stock: Parked: Middle East: Narrow Body: Alternative Electricity and Transportation</t>
  </si>
  <si>
    <t>AEO.2026.ELECTRNP.STK_AIRC_ACTV_NA_PRKD_NA_MID_UNIT.A</t>
  </si>
  <si>
    <t>Aircraft Stock: Parked: Middle East: Alternative Electricity and Transportation</t>
  </si>
  <si>
    <t>AEO.2026.ELECTRNP.STK_AIRC_ACTV_REGJ_PRKD_NA_OAS_UNIT.A</t>
  </si>
  <si>
    <t>Aircraft Stock: Parked: Other Asia Pacific: Regional: Alternative Electricity and Transportation</t>
  </si>
  <si>
    <t>AEO.2026.ELECTRNP.STK_AIRC_ACTV_WBE_PRKD_NA_OAS_UNIT.A</t>
  </si>
  <si>
    <t>Aircraft Stock: Parked: Other Asia Pacific: Wide Body: Alternative Electricity and Transportation</t>
  </si>
  <si>
    <t>AEO.2026.ELECTRNP.STK_AIRC_ACTV_NBTR_PRKD_NA_OAS_UNIT.A</t>
  </si>
  <si>
    <t>Aircraft Stock: Parked: Other Asia Pacific: Narrow Body: Alternative Electricity and Transportation</t>
  </si>
  <si>
    <t>AEO.2026.ELECTRNP.STK_AIRC_ACTV_NA_PRKD_NA_OAS_UNIT.A</t>
  </si>
  <si>
    <t>Aircraft Stock: Parked: Other Asia Pacific: Alternative Electricity and Transportation</t>
  </si>
  <si>
    <t>AEO.2026.ELECTRNP.STK_AIRC_ACTV_REGJ_PRKD_NA_IND_UNIT.A</t>
  </si>
  <si>
    <t>Aircraft Stock: Parked: India: Regional: Alternative Electricity and Transportation</t>
  </si>
  <si>
    <t>AEO.2026.ELECTRNP.STK_AIRC_ACTV_WBE_PRKD_NA_IND_UNIT.A</t>
  </si>
  <si>
    <t>Aircraft Stock: Parked: India: Wide Body: Alternative Electricity and Transportation</t>
  </si>
  <si>
    <t>AEO.2026.ELECTRNP.STK_AIRC_ACTV_NBTR_PRKD_NA_IND_UNIT.A</t>
  </si>
  <si>
    <t>Aircraft Stock: Parked: India: Narrow Body: Alternative Electricity and Transportation</t>
  </si>
  <si>
    <t>AEO.2026.ELECTRNP.STK_AIRC_ACTV_NA_PRKD_NA_IND_UNIT.A</t>
  </si>
  <si>
    <t>Aircraft Stock: Parked: India: Alternative Electricity and Transportation</t>
  </si>
  <si>
    <t>AEO.2026.ELECTRNP.STK_AIRC_ACTV_REGJ_PRKD_NA_CHI_UNIT.A</t>
  </si>
  <si>
    <t>Aircraft Stock: Parked: China: Regional: Alternative Electricity and Transportation</t>
  </si>
  <si>
    <t>AEO.2026.ELECTRNP.STK_AIRC_ACTV_WBE_PRKD_NA_CHI_UNIT.A</t>
  </si>
  <si>
    <t>Aircraft Stock: Parked: China: Wide Body: Alternative Electricity and Transportation</t>
  </si>
  <si>
    <t>AEO.2026.ELECTRNP.STK_AIRC_ACTV_NBTR_PRKD_NA_CHI_UNIT.A</t>
  </si>
  <si>
    <t>Aircraft Stock: Parked: China: Narrow Body: Alternative Electricity and Transportation</t>
  </si>
  <si>
    <t>AEO.2026.ELECTRNP.STK_AIRC_ACTV_NA_PRKD_NA_CHI_UNIT.A</t>
  </si>
  <si>
    <t>Aircraft Stock: Parked: China: Alternative Electricity and Transportation</t>
  </si>
  <si>
    <t>AEO.2026.ELECTRNP.STK_AIRC_ACTV_REGJ_PRKD_NA_URA_UNIT.A</t>
  </si>
  <si>
    <t>Aircraft Stock: Parked: Eastern Europe and Eurasia: Regional: Alternative Electricity and Transportation</t>
  </si>
  <si>
    <t>AEO.2026.ELECTRNP.STK_AIRC_ACTV_WBE_PRKD_NA_URA_UNIT.A</t>
  </si>
  <si>
    <t>Aircraft Stock: Parked: Eastern Europe and Eurasia: Wide Body: Alternative Electricity and Transportation</t>
  </si>
  <si>
    <t>AEO.2026.ELECTRNP.STK_AIRC_ACTV_NBTR_PRKD_NA_URA_UNIT.A</t>
  </si>
  <si>
    <t>Aircraft Stock: Parked: Eastern Europe and Eurasia: Narrow Body: Alternative Electricity and Transportation</t>
  </si>
  <si>
    <t>AEO.2026.ELECTRNP.STK_AIRC_ACTV_NA_PRKD_NA_URA_UNIT.A</t>
  </si>
  <si>
    <t>Aircraft Stock: Parked: Eastern Europe and Eurasia: Alternative Electricity and Transportation</t>
  </si>
  <si>
    <t>AEO.2026.ELECTRNP.STK_AIRC_ACTV_REGJ_PRKD_NA_RUS_UNIT.A</t>
  </si>
  <si>
    <t>Aircraft Stock: Parked: Russia: Regional: Alternative Electricity and Transportation</t>
  </si>
  <si>
    <t>AEO.2026.ELECTRNP.STK_AIRC_ACTV_WBE_PRKD_NA_RUS_UNIT.A</t>
  </si>
  <si>
    <t>Aircraft Stock: Parked: Russia: Wide Body: Alternative Electricity and Transportation</t>
  </si>
  <si>
    <t>AEO.2026.ELECTRNP.STK_AIRC_ACTV_NBTR_PRKD_NA_RUS_UNIT.A</t>
  </si>
  <si>
    <t>Aircraft Stock: Parked: Russia: Narrow Body: Alternative Electricity and Transportation</t>
  </si>
  <si>
    <t>AEO.2026.ELECTRNP.STK_AIRC_ACTV_NA_PRKD_NA_RUS_UNIT.A</t>
  </si>
  <si>
    <t>Aircraft Stock: Parked: Russia: Alternative Electricity and Transportation</t>
  </si>
  <si>
    <t>AEO.2026.ELECTRNP.STK_AIRC_ACTV_REGJ_PRKD_NA_SKO_UNIT.A</t>
  </si>
  <si>
    <t>Aircraft Stock: Parked: South Korea: Regional: Alternative Electricity and Transportation</t>
  </si>
  <si>
    <t>AEO.2026.ELECTRNP.STK_AIRC_ACTV_WBE_PRKD_NA_SKO_UNIT.A</t>
  </si>
  <si>
    <t>Aircraft Stock: Parked: South Korea: Wide Body: Alternative Electricity and Transportation</t>
  </si>
  <si>
    <t>AEO.2026.ELECTRNP.STK_AIRC_ACTV_NBTR_PRKD_NA_SKO_UNIT.A</t>
  </si>
  <si>
    <t>Aircraft Stock: Parked: South Korea: Narrow Body: Alternative Electricity and Transportation</t>
  </si>
  <si>
    <t>AEO.2026.ELECTRNP.STK_AIRC_ACTV_NA_PRKD_NA_SKO_UNIT.A</t>
  </si>
  <si>
    <t>Aircraft Stock: Parked: South Korea: Alternative Electricity and Transportation</t>
  </si>
  <si>
    <t>AEO.2026.ELECTRNP.STK_AIRC_ACTV_REGJ_PRKD_NA_ANZ_UNIT.A</t>
  </si>
  <si>
    <t>Aircraft Stock: Parked: Australia and New Zealand: Regional: Alternative Electricity and Transportation</t>
  </si>
  <si>
    <t>AEO.2026.ELECTRNP.STK_AIRC_ACTV_WBE_PRKD_NA_ANZ_UNIT.A</t>
  </si>
  <si>
    <t>Aircraft Stock: Parked: Australia and New Zealand: Wide Body: Alternative Electricity and Transportation</t>
  </si>
  <si>
    <t>AEO.2026.ELECTRNP.STK_AIRC_ACTV_NBTR_PRKD_NA_ANZ_UNIT.A</t>
  </si>
  <si>
    <t>Aircraft Stock: Parked: Australia and New Zealand: Narrow Body: Alternative Electricity and Transportation</t>
  </si>
  <si>
    <t>AEO.2026.ELECTRNP.STK_AIRC_ACTV_NA_PRKD_NA_ANZ_UNIT.A</t>
  </si>
  <si>
    <t>Aircraft Stock: Parked: Australia and New Zealand: Alternative Electricity and Transportation</t>
  </si>
  <si>
    <t>AEO.2026.ELECTRNP.STK_AIRC_ACTV_REGJ_PRKD_NA_JPN_UNIT.A</t>
  </si>
  <si>
    <t>Aircraft Stock: Parked: Japan: Regional: Alternative Electricity and Transportation</t>
  </si>
  <si>
    <t>AEO.2026.ELECTRNP.STK_AIRC_ACTV_WBE_PRKD_NA_JPN_UNIT.A</t>
  </si>
  <si>
    <t>Aircraft Stock: Parked: Japan: Wide Body: Alternative Electricity and Transportation</t>
  </si>
  <si>
    <t>AEO.2026.ELECTRNP.STK_AIRC_ACTV_NBTR_PRKD_NA_JPN_UNIT.A</t>
  </si>
  <si>
    <t>Aircraft Stock: Parked: Japan: Narrow Body: Alternative Electricity and Transportation</t>
  </si>
  <si>
    <t>AEO.2026.ELECTRNP.STK_AIRC_ACTV_NA_PRKD_NA_JPN_UNIT.A</t>
  </si>
  <si>
    <t>Aircraft Stock: Parked: Japan: Alternative Electricity and Transportation</t>
  </si>
  <si>
    <t>AEO.2026.ELECTRNP.STK_AIRC_ACTV_REGJ_PRKD_NA_EUR_UNIT.A</t>
  </si>
  <si>
    <t>Aircraft Stock: Parked: Western Europe: Regional: Alternative Electricity and Transportation</t>
  </si>
  <si>
    <t>AEO.2026.ELECTRNP.STK_AIRC_ACTV_WBE_PRKD_NA_EUR_UNIT.A</t>
  </si>
  <si>
    <t>Aircraft Stock: Parked: Western Europe: Wide Body: Alternative Electricity and Transportation</t>
  </si>
  <si>
    <t>AEO.2026.ELECTRNP.STK_AIRC_ACTV_NBTR_PRKD_NA_EUR_UNIT.A</t>
  </si>
  <si>
    <t>Aircraft Stock: Parked: Western Europe: Narrow Body: Alternative Electricity and Transportation</t>
  </si>
  <si>
    <t>AEO.2026.ELECTRNP.STK_AIRC_ACTV_NA_PRKD_NA_EUR_UNIT.A</t>
  </si>
  <si>
    <t>Aircraft Stock: Parked: Western Europe: Alternative Electricity and Transportation</t>
  </si>
  <si>
    <t>AEO.2026.ELECTRNP.STK_AIRC_ACTV_REGJ_PRKD_NA_MXC_UNIT.A</t>
  </si>
  <si>
    <t>Aircraft Stock: Parked: Mexico: Regional: Alternative Electricity and Transportation</t>
  </si>
  <si>
    <t>AEO.2026.ELECTRNP.STK_AIRC_ACTV_WBE_PRKD_NA_MXC_UNIT.A</t>
  </si>
  <si>
    <t>Aircraft Stock: Parked: Mexico: Wide Body: Alternative Electricity and Transportation</t>
  </si>
  <si>
    <t>AEO.2026.ELECTRNP.STK_AIRC_ACTV_NBTR_PRKD_NA_MXC_UNIT.A</t>
  </si>
  <si>
    <t>Aircraft Stock: Parked: Mexico: Narrow Body: Alternative Electricity and Transportation</t>
  </si>
  <si>
    <t>AEO.2026.ELECTRNP.STK_AIRC_ACTV_NA_PRKD_NA_MXC_UNIT.A</t>
  </si>
  <si>
    <t>Aircraft Stock: Parked: Mexico: Alternative Electricity and Transportation</t>
  </si>
  <si>
    <t>AEO.2026.ELECTRNP.STK_AIRC_ACTV_REGJ_PRKD_NA_CAN_UNIT.A</t>
  </si>
  <si>
    <t>Aircraft Stock: Parked: Canada: Regional: Alternative Electricity and Transportation</t>
  </si>
  <si>
    <t>AEO.2026.ELECTRNP.STK_AIRC_ACTV_WBE_PRKD_NA_CAN_UNIT.A</t>
  </si>
  <si>
    <t>Aircraft Stock: Parked: Canada: Wide Body: Alternative Electricity and Transportation</t>
  </si>
  <si>
    <t>AEO.2026.ELECTRNP.STK_AIRC_ACTV_NBTR_PRKD_NA_CAN_UNIT.A</t>
  </si>
  <si>
    <t>Aircraft Stock: Parked: Canada: Narrow Body: Alternative Electricity and Transportation</t>
  </si>
  <si>
    <t>AEO.2026.ELECTRNP.STK_AIRC_ACTV_NA_PRKD_NA_CAN_UNIT.A</t>
  </si>
  <si>
    <t>Aircraft Stock: Parked: Canada: Alternative Electricity and Transportation</t>
  </si>
  <si>
    <t>AEO.2026.ELECTRNP.STK_AIRC_ACTV_REGJ_PRKD_NA_USA_UNIT.A</t>
  </si>
  <si>
    <t>Aircraft Stock: Parked: U.S.: Regional: Alternative Electricity and Transportation</t>
  </si>
  <si>
    <t>AEO.2026.ELECTRNP.STK_AIRC_ACTV_WBE_PRKD_NA_USA_UNIT.A</t>
  </si>
  <si>
    <t>Aircraft Stock: Parked: U.S.: Wide Body: Alternative Electricity and Transportation</t>
  </si>
  <si>
    <t>AEO.2026.ELECTRNP.STK_AIRC_ACTV_NBTR_PRKD_NA_USA_UNIT.A</t>
  </si>
  <si>
    <t>Aircraft Stock: Parked: U.S.: Narrow Body: Alternative Electricity and Transportation</t>
  </si>
  <si>
    <t>AEO.2026.ELECTRNP.STK_AIRC_ACTV_NA_PRKD_NA_USA_UNIT.A</t>
  </si>
  <si>
    <t>Aircraft Stock: Parked: United States: Alternative Electricity and Transportation</t>
  </si>
  <si>
    <t>AEO.2026.ELECTRNP.STK_AIRC_ACTV_REGJ_NA_NA_WRLD_UNIT.A</t>
  </si>
  <si>
    <t>Aircraft Stock: Active: World: Regional: Alternative Electricity and Transportation</t>
  </si>
  <si>
    <t>AEO.2026.ELECTRNP.STK_AIRC_ACTV_WBE_NA_NA_WRLD_UNIT.A</t>
  </si>
  <si>
    <t>Aircraft Stock: Active: World: Wide Body: Alternative Electricity and Transportation</t>
  </si>
  <si>
    <t>AEO.2026.ELECTRNP.STK_AIRC_ACTV_NBTR_NA_NA_WRLD_UNIT.A</t>
  </si>
  <si>
    <t>Aircraft Stock: Active: World: Narrow Body: Alternative Electricity and Transportation</t>
  </si>
  <si>
    <t>AEO.2026.ELECTRNP.STK_AIRC_ACTV_NA_NA_NA_WRLD_UNIT.A</t>
  </si>
  <si>
    <t>Aircraft Stock: Active: World: Alternative Electricity and Transportation</t>
  </si>
  <si>
    <t>AEO.2026.ELECTRNP.STK_AIRC_ACTV_REGJ_NA_NA_NA_UNIT.A</t>
  </si>
  <si>
    <t>Aircraft Stock: Active: Other Americas: Regional: Alternative Electricity and Transportation</t>
  </si>
  <si>
    <t>AEO.2026.ELECTRNP.STK_AIRC_ACTV_WBE_NA_NA_NA_UNIT.A</t>
  </si>
  <si>
    <t>Aircraft Stock: Active: Other Americas: Wide Body: Alternative Electricity and Transportation</t>
  </si>
  <si>
    <t>AEO.2026.ELECTRNP.STK_AIRC_ACTV_NBTR_NA_NA_NA_UNIT.A</t>
  </si>
  <si>
    <t>Aircraft Stock: Active: Other Americas: Narrow Body: Alternative Electricity and Transportation</t>
  </si>
  <si>
    <t>AEO.2026.ELECTRNP.STK_AIRC_ACTV_NA_NA_NA_NA_UNIT.A</t>
  </si>
  <si>
    <t>Aircraft Stock: Active: Other Americas: Alternative Electricity and Transportation</t>
  </si>
  <si>
    <t>AEO.2026.ELECTRNP.STK_AIRC_ACTV_REGJ_NA_NA_BRZ_UNIT.A</t>
  </si>
  <si>
    <t>Aircraft Stock: Active: Brazil: Regional: Alternative Electricity and Transportation</t>
  </si>
  <si>
    <t>AEO.2026.ELECTRNP.STK_AIRC_ACTV_WBE_NA_NA_BRZ_UNIT.A</t>
  </si>
  <si>
    <t>Aircraft Stock: Active: Brazil: Wide Body: Alternative Electricity and Transportation</t>
  </si>
  <si>
    <t>AEO.2026.ELECTRNP.STK_AIRC_ACTV_NBTR_NA_NA_BRZ_UNIT.A</t>
  </si>
  <si>
    <t>Aircraft Stock: Active: Brazil: Narrow Body: Alternative Electricity and Transportation</t>
  </si>
  <si>
    <t>AEO.2026.ELECTRNP.STK_AIRC_ACTV_NA_NA_NA_BRZ_UNIT.A</t>
  </si>
  <si>
    <t>Aircraft Stock: Active: Brazil: Alternative Electricity and Transportation</t>
  </si>
  <si>
    <t>AEO.2026.ELECTRNP.STK_AIRC_ACTV_REGJ_NA_NA_AFR_UNIT.A</t>
  </si>
  <si>
    <t>Aircraft Stock: Active: Africa: Regional: Alternative Electricity and Transportation</t>
  </si>
  <si>
    <t>AEO.2026.ELECTRNP.STK_AIRC_ACTV_WBE_NA_NA_AFR_UNIT.A</t>
  </si>
  <si>
    <t>Aircraft Stock: Active: Africa: Wide Body: Alternative Electricity and Transportation</t>
  </si>
  <si>
    <t>AEO.2026.ELECTRNP.STK_AIRC_ACTV_NBTR_NA_NA_AFR_UNIT.A</t>
  </si>
  <si>
    <t>Aircraft Stock: Active: Africa: Narrow Body: Alternative Electricity and Transportation</t>
  </si>
  <si>
    <t>AEO.2026.ELECTRNP.STK_AIRC_ACTV_NA_NA_NA_AFR_UNIT.A</t>
  </si>
  <si>
    <t>Aircraft Stock: Active: Africa: Alternative Electricity and Transportation</t>
  </si>
  <si>
    <t>AEO.2026.ELECTRNP.STK_AIRC_ACTV_REGJ_NA_NA_MID_UNIT.A</t>
  </si>
  <si>
    <t>Aircraft Stock: Active: Middle East: Regional: Alternative Electricity and Transportation</t>
  </si>
  <si>
    <t>AEO.2026.ELECTRNP.STK_AIRC_ACTV_WBE_NA_NA_MID_UNIT.A</t>
  </si>
  <si>
    <t>Aircraft Stock: Active: Middle East: Wide Body: Alternative Electricity and Transportation</t>
  </si>
  <si>
    <t>AEO.2026.ELECTRNP.STK_AIRC_ACTV_NBTR_NA_NA_MID_UNIT.A</t>
  </si>
  <si>
    <t>Aircraft Stock: Active: Middle East: Narrow Body: Alternative Electricity and Transportation</t>
  </si>
  <si>
    <t>AEO.2026.ELECTRNP.STK_AIRC_ACTV_NA_NA_NA_MID_UNIT.A</t>
  </si>
  <si>
    <t>Aircraft Stock: Active: Middle East: Alternative Electricity and Transportation</t>
  </si>
  <si>
    <t>AEO.2026.ELECTRNP.STK_AIRC_ACTV_REGJ_NA_NA_OAS_UNIT.A</t>
  </si>
  <si>
    <t>Aircraft Stock: Active: Other Asia Pacific: Regional: Alternative Electricity and Transportation</t>
  </si>
  <si>
    <t>AEO.2026.ELECTRNP.STK_AIRC_ACTV_WBE_NA_NA_OAS_UNIT.A</t>
  </si>
  <si>
    <t>Aircraft Stock: Active: Other Asia Pacific: Wide Body: Alternative Electricity and Transportation</t>
  </si>
  <si>
    <t>AEO.2026.ELECTRNP.STK_AIRC_ACTV_NBTR_NA_NA_OAS_UNIT.A</t>
  </si>
  <si>
    <t>Aircraft Stock: Active: Other Asia Pacific: Narrow Body: Alternative Electricity and Transportation</t>
  </si>
  <si>
    <t>AEO.2026.ELECTRNP.STK_AIRC_ACTV_NA_NA_NA_OAS_UNIT.A</t>
  </si>
  <si>
    <t>Aircraft Stock: Active: Other Asia Pacific: Alternative Electricity and Transportation</t>
  </si>
  <si>
    <t>AEO.2026.ELECTRNP.STK_AIRC_ACTV_REGJ_NA_NA_IND_UNIT.A</t>
  </si>
  <si>
    <t>Aircraft Stock: Active: India: Regional: Alternative Electricity and Transportation</t>
  </si>
  <si>
    <t>AEO.2026.ELECTRNP.STK_AIRC_ACTV_WBE_NA_NA_IND_UNIT.A</t>
  </si>
  <si>
    <t>Aircraft Stock: Active: India: Wide Body: Alternative Electricity and Transportation</t>
  </si>
  <si>
    <t>AEO.2026.ELECTRNP.STK_AIRC_ACTV_NBTR_NA_NA_IND_UNIT.A</t>
  </si>
  <si>
    <t>Aircraft Stock: Active: India: Narrow Body: Alternative Electricity and Transportation</t>
  </si>
  <si>
    <t>AEO.2026.ELECTRNP.STK_AIRC_ACTV_NA_NA_NA_IND_UNIT.A</t>
  </si>
  <si>
    <t>Aircraft Stock: Active: India: Alternative Electricity and Transportation</t>
  </si>
  <si>
    <t>AEO.2026.ELECTRNP.STK_AIRC_ACTV_REGJ_NA_NA_CHI_UNIT.A</t>
  </si>
  <si>
    <t>Aircraft Stock: Active: China: Regional: Alternative Electricity and Transportation</t>
  </si>
  <si>
    <t>AEO.2026.ELECTRNP.STK_AIRC_ACTV_WBE_NA_NA_CHI_UNIT.A</t>
  </si>
  <si>
    <t>Aircraft Stock: Active: China: Wide Body: Alternative Electricity and Transportation</t>
  </si>
  <si>
    <t>AEO.2026.ELECTRNP.STK_AIRC_ACTV_NBTR_NA_NA_CHI_UNIT.A</t>
  </si>
  <si>
    <t>Aircraft Stock: Active: China: Narrow Body: Alternative Electricity and Transportation</t>
  </si>
  <si>
    <t>AEO.2026.ELECTRNP.STK_AIRC_ACTV_NA_NA_NA_CHI_UNIT.A</t>
  </si>
  <si>
    <t>Aircraft Stock: Active: China: Alternative Electricity and Transportation</t>
  </si>
  <si>
    <t>AEO.2026.ELECTRNP.STK_AIRC_ACTV_REGJ_NA_NA_URA_UNIT.A</t>
  </si>
  <si>
    <t>Aircraft Stock: Active: Eastern Europe and Eurasia: Regional: Alternative Electricity and Transportation</t>
  </si>
  <si>
    <t>AEO.2026.ELECTRNP.STK_AIRC_ACTV_WBE_NA_NA_URA_UNIT.A</t>
  </si>
  <si>
    <t>Aircraft Stock: Active: Eastern Europe and Eurasia: Wide Body: Alternative Electricity and Transportation</t>
  </si>
  <si>
    <t>AEO.2026.ELECTRNP.STK_AIRC_ACTV_NBTR_NA_NA_URA_UNIT.A</t>
  </si>
  <si>
    <t>Aircraft Stock: Active: Eastern Europe and Eurasia: Narrow Body: Alternative Electricity and Transportation</t>
  </si>
  <si>
    <t>AEO.2026.ELECTRNP.STK_AIRC_ACTV_NA_NA_NA_URA_UNIT.A</t>
  </si>
  <si>
    <t>Aircraft Stock: Active: Eastern Europe and Eurasia: Alternative Electricity and Transportation</t>
  </si>
  <si>
    <t>AEO.2026.ELECTRNP.STK_AIRC_ACTV_REGJ_NA_NA_RUS_UNIT.A</t>
  </si>
  <si>
    <t>Aircraft Stock: Active: Russia: Regional: Alternative Electricity and Transportation</t>
  </si>
  <si>
    <t>AEO.2026.ELECTRNP.STK_AIRC_ACTV_WBE_NA_NA_RUS_UNIT.A</t>
  </si>
  <si>
    <t>Aircraft Stock: Active: Russia: Wide Body: Alternative Electricity and Transportation</t>
  </si>
  <si>
    <t>AEO.2026.ELECTRNP.STK_AIRC_ACTV_NBTR_NA_NA_RUS_UNIT.A</t>
  </si>
  <si>
    <t>Aircraft Stock: Active: Russia: Narrow Body: Alternative Electricity and Transportation</t>
  </si>
  <si>
    <t>AEO.2026.ELECTRNP.STK_AIRC_ACTV_NA_NA_NA_RUS_UNIT.A</t>
  </si>
  <si>
    <t>Aircraft Stock: Active: Russia: Alternative Electricity and Transportation</t>
  </si>
  <si>
    <t>AEO.2026.ELECTRNP.STK_AIRC_ACTV_REGJ_NA_NA_SKO_UNIT.A</t>
  </si>
  <si>
    <t>Aircraft Stock: Active: South Korea: Regional: Alternative Electricity and Transportation</t>
  </si>
  <si>
    <t>AEO.2026.ELECTRNP.STK_AIRC_ACTV_WBE_NA_NA_SKO_UNIT.A</t>
  </si>
  <si>
    <t>Aircraft Stock: Active: South Korea: Wide Body: Alternative Electricity and Transportation</t>
  </si>
  <si>
    <t>AEO.2026.ELECTRNP.STK_AIRC_ACTV_NBTR_NA_NA_SKO_UNIT.A</t>
  </si>
  <si>
    <t>Aircraft Stock: Active: South Korea: Narrow Body: Alternative Electricity and Transportation</t>
  </si>
  <si>
    <t>AEO.2026.ELECTRNP.STK_AIRC_ACTV_NA_NA_NA_SKO_UNIT.A</t>
  </si>
  <si>
    <t>Aircraft Stock: Active: South Korea: Alternative Electricity and Transportation</t>
  </si>
  <si>
    <t>AEO.2026.ELECTRNP.STK_AIRC_ACTV_REGJ_NA_NA_ANZ_UNIT.A</t>
  </si>
  <si>
    <t>Aircraft Stock: Active: Australia and New Zealand: Regional: Alternative Electricity and Transportation</t>
  </si>
  <si>
    <t>AEO.2026.ELECTRNP.STK_AIRC_ACTV_WBE_NA_NA_ANZ_UNIT.A</t>
  </si>
  <si>
    <t>Aircraft Stock: Active: Australia and New Zealand: Wide Body: Alternative Electricity and Transportation</t>
  </si>
  <si>
    <t>AEO.2026.ELECTRNP.STK_AIRC_ACTV_NBTR_NA_NA_ANZ_UNIT.A</t>
  </si>
  <si>
    <t>Aircraft Stock: Active: Australia and New Zealand: Narrow Body: Alternative Electricity and Transportation</t>
  </si>
  <si>
    <t>AEO.2026.ELECTRNP.STK_AIRC_ACTV_NA_NA_NA_ANZ_UNIT.A</t>
  </si>
  <si>
    <t>Aircraft Stock: Active: Australia and New Zealand: Alternative Electricity and Transportation</t>
  </si>
  <si>
    <t>AEO.2026.ELECTRNP.STK_AIRC_ACTV_REGJ_NA_NA_JPN_UNIT.A</t>
  </si>
  <si>
    <t>Aircraft Stock: Active: Japan: Regional: Alternative Electricity and Transportation</t>
  </si>
  <si>
    <t>AEO.2026.ELECTRNP.STK_AIRC_ACTV_WBE_NA_NA_JPN_UNIT.A</t>
  </si>
  <si>
    <t>Aircraft Stock: Active: Japan: Wide Body: Alternative Electricity and Transportation</t>
  </si>
  <si>
    <t>AEO.2026.ELECTRNP.STK_AIRC_ACTV_NBTR_NA_NA_JPN_UNIT.A</t>
  </si>
  <si>
    <t>Aircraft Stock: Active: Japan: Narrow Body: Alternative Electricity and Transportation</t>
  </si>
  <si>
    <t>AEO.2026.ELECTRNP.STK_AIRC_ACTV_NA_NA_NA_JPN_UNIT.A</t>
  </si>
  <si>
    <t>Aircraft Stock: Active: Japan: Alternative Electricity and Transportation</t>
  </si>
  <si>
    <t>AEO.2026.ELECTRNP.STK_AIRC_ACTV_REGJ_NA_NA_EUR_UNIT.A</t>
  </si>
  <si>
    <t>Aircraft Stock: Active: Western Europe: Regional: Alternative Electricity and Transportation</t>
  </si>
  <si>
    <t>AEO.2026.ELECTRNP.STK_AIRC_ACTV_WBE_NA_NA_EUR_UNIT.A</t>
  </si>
  <si>
    <t>Aircraft Stock: Active: Western Europe: Wide Body: Alternative Electricity and Transportation</t>
  </si>
  <si>
    <t>AEO.2026.ELECTRNP.STK_AIRC_ACTV_NBTR_NA_NA_EUR_UNIT.A</t>
  </si>
  <si>
    <t>Aircraft Stock: Active: Western Europe: Narrow Body: Alternative Electricity and Transportation</t>
  </si>
  <si>
    <t>AEO.2026.ELECTRNP.STK_AIRC_ACTV_NA_NA_NA_EUR_UNIT.A</t>
  </si>
  <si>
    <t>Aircraft Stock: Active: Western Europe: Alternative Electricity and Transportation</t>
  </si>
  <si>
    <t>AEO.2026.ELECTRNP.STK_AIRC_ACTV_REGJ_NA_NA_MXC_UNIT.A</t>
  </si>
  <si>
    <t>Aircraft Stock: Active: Mexico: Regional: Alternative Electricity and Transportation</t>
  </si>
  <si>
    <t>AEO.2026.ELECTRNP.STK_AIRC_ACTV_WBE_NA_NA_MXC_UNIT.A</t>
  </si>
  <si>
    <t>Aircraft Stock: Active: Mexico: Wide Body: Alternative Electricity and Transportation</t>
  </si>
  <si>
    <t>AEO.2026.ELECTRNP.STK_AIRC_ACTV_NBTR_NA_NA_MXC_UNIT.A</t>
  </si>
  <si>
    <t>Aircraft Stock: Active: Mexico: Narrow Body: Alternative Electricity and Transportation</t>
  </si>
  <si>
    <t>AEO.2026.ELECTRNP.STK_AIRC_ACTV_NA_NA_NA_MXC_UNIT.A</t>
  </si>
  <si>
    <t>Aircraft Stock: Active: Mexico: Alternative Electricity and Transportation</t>
  </si>
  <si>
    <t>AEO.2026.ELECTRNP.STK_AIRC_ACTV_REGJ_NA_NA_CAN_UNIT.A</t>
  </si>
  <si>
    <t>Aircraft Stock: Active: Canada: Regional: Alternative Electricity and Transportation</t>
  </si>
  <si>
    <t>AEO.2026.ELECTRNP.STK_AIRC_ACTV_WBE_NA_NA_CAN_UNIT.A</t>
  </si>
  <si>
    <t>Aircraft Stock: Active: Canada: Wide Body: Alternative Electricity and Transportation</t>
  </si>
  <si>
    <t>AEO.2026.ELECTRNP.STK_AIRC_ACTV_NBTR_NA_NA_CAN_UNIT.A</t>
  </si>
  <si>
    <t>Aircraft Stock: Active: Canada: Narrow Body: Alternative Electricity and Transportation</t>
  </si>
  <si>
    <t>AEO.2026.ELECTRNP.STK_AIRC_ACTV_NA_NA_NA_CAN_UNIT.A</t>
  </si>
  <si>
    <t>Aircraft Stock: Active: Canada: Alternative Electricity and Transportation</t>
  </si>
  <si>
    <t>AEO.2026.ELECTRNP.STK_AIRC_ACTV_REGJ_NA_NA_USA_UNIT.A</t>
  </si>
  <si>
    <t>Aircraft Stock: Active: U.S.: Regional: Alternative Electricity and Transportation</t>
  </si>
  <si>
    <t>AEO.2026.ELECTRNP.STK_AIRC_ACTV_WBE_NA_NA_USA_UNIT.A</t>
  </si>
  <si>
    <t>Aircraft Stock: Active: U.S.: Wide Body: Alternative Electricity and Transportation</t>
  </si>
  <si>
    <t>AEO.2026.ELECTRNP.STK_AIRC_ACTV_NBTR_NA_NA_USA_UNIT.A</t>
  </si>
  <si>
    <t>Aircraft Stock: Active: U.S.: Narrow Body: Alternative Electricity and Transportation</t>
  </si>
  <si>
    <t>AEO.2026.ELECTRNP.STK_AIRC_ACTV_NA_NA_NA_USA_UNIT.A</t>
  </si>
  <si>
    <t>Aircraft Stock: Active: United States: Alternative Electricity and Transportation</t>
  </si>
  <si>
    <t>AEO.2026.ELECTRNP.STK_AIRC_NA_REGJ_NA_NA_WRLD_UNIT.A</t>
  </si>
  <si>
    <t>Aircraft Stock: Total: World: Regional: Alternative Electricity and Transportation</t>
  </si>
  <si>
    <t>AEO.2026.ELECTRNP.STK_AIRC_NA_WBE_NA_NA_WRLD_UNIT.A</t>
  </si>
  <si>
    <t>Aircraft Stock: Total: World: Wide Body: Alternative Electricity and Transportation</t>
  </si>
  <si>
    <t>AEO.2026.ELECTRNP.STK_AIRC_NA_NBTR_NA_NA_WRLD_UNIT.A</t>
  </si>
  <si>
    <t>Aircraft Stock: Total: World: Narrow Body: Alternative Electricity and Transportation</t>
  </si>
  <si>
    <t>AEO.2026.ELECTRNP.STK_AIRC_NA_NA_NA_NA_WRLD_UNIT.A</t>
  </si>
  <si>
    <t>Aircraft Stock: Total: World: Alternative Electricity and Transportation</t>
  </si>
  <si>
    <t>AEO.2026.ELECTRNP.STK_AIRC_NA_REGJ_NA_NA_NA_UNIT.A</t>
  </si>
  <si>
    <t>Aircraft Stock: Total: Other Americas: Regional: Alternative Electricity and Transportation</t>
  </si>
  <si>
    <t>AEO.2026.ELECTRNP.STK_AIRC_NA_WBE_NA_NA_NA_UNIT.A</t>
  </si>
  <si>
    <t>Aircraft Stock: Total: Other Americas: Wide Body: Alternative Electricity and Transportation</t>
  </si>
  <si>
    <t>AEO.2026.ELECTRNP.STK_AIRC_NA_NBTR_NA_NA_NA_UNIT.A</t>
  </si>
  <si>
    <t>Aircraft Stock: Total: Other Americas: Narrow Body: Alternative Electricity and Transportation</t>
  </si>
  <si>
    <t>AEO.2026.ELECTRNP.STK_AIRC_NA_NA_NA_NA_NA_UNIT.A</t>
  </si>
  <si>
    <t>Aircraft Stock: Total: Other Americas: Alternative Electricity and Transportation</t>
  </si>
  <si>
    <t>AEO.2026.ELECTRNP.STK_AIRC_NA_REGJ_NA_NA_BRZ_UNIT.A</t>
  </si>
  <si>
    <t>Aircraft Stock: Total: Brazil: Regional: Alternative Electricity and Transportation</t>
  </si>
  <si>
    <t>AEO.2026.ELECTRNP.STK_AIRC_NA_WBE_NA_NA_BRZ_UNIT.A</t>
  </si>
  <si>
    <t>Aircraft Stock: Total: Brazil: Wide Body: Alternative Electricity and Transportation</t>
  </si>
  <si>
    <t>AEO.2026.ELECTRNP.STK_AIRC_NA_NBTR_NA_NA_BRZ_UNIT.A</t>
  </si>
  <si>
    <t>Aircraft Stock: Total: Brazil: Narrow Body: Alternative Electricity and Transportation</t>
  </si>
  <si>
    <t>AEO.2026.ELECTRNP.STK_AIRC_NA_NA_NA_NA_BRZ_UNIT.A</t>
  </si>
  <si>
    <t>Aircraft Stock: Total: Brazil: Alternative Electricity and Transportation</t>
  </si>
  <si>
    <t>AEO.2026.ELECTRNP.STK_AIRC_NA_REGJ_NA_NA_AFR_UNIT.A</t>
  </si>
  <si>
    <t>Aircraft Stock: Total: Africa: Regional: Alternative Electricity and Transportation</t>
  </si>
  <si>
    <t>AEO.2026.ELECTRNP.STK_AIRC_NA_WBE_NA_NA_AFR_UNIT.A</t>
  </si>
  <si>
    <t>Aircraft Stock: Total: Africa: Wide Body: Alternative Electricity and Transportation</t>
  </si>
  <si>
    <t>AEO.2026.ELECTRNP.STK_AIRC_NA_NBTR_NA_NA_AFR_UNIT.A</t>
  </si>
  <si>
    <t>Aircraft Stock: Total: Africa: Narrow Body: Alternative Electricity and Transportation</t>
  </si>
  <si>
    <t>AEO.2026.ELECTRNP.STK_AIRC_NA_NA_NA_NA_AFR_UNIT.A</t>
  </si>
  <si>
    <t>Aircraft Stock: Total: Africa: Alternative Electricity and Transportation</t>
  </si>
  <si>
    <t>AEO.2026.ELECTRNP.STK_AIRC_NA_REGJ_NA_NA_MID_UNIT.A</t>
  </si>
  <si>
    <t>Aircraft Stock: Total: Middle East: Regional: Alternative Electricity and Transportation</t>
  </si>
  <si>
    <t>AEO.2026.ELECTRNP.STK_AIRC_NA_WBE_NA_NA_MID_UNIT.A</t>
  </si>
  <si>
    <t>Aircraft Stock: Total: Middle East: Wide Body: Alternative Electricity and Transportation</t>
  </si>
  <si>
    <t>AEO.2026.ELECTRNP.STK_AIRC_NA_NBTR_NA_NA_MID_UNIT.A</t>
  </si>
  <si>
    <t>Aircraft Stock: Total: Middle East: Narrow Body: Alternative Electricity and Transportation</t>
  </si>
  <si>
    <t>AEO.2026.ELECTRNP.STK_AIRC_NA_NA_NA_NA_MID_UNIT.A</t>
  </si>
  <si>
    <t>Aircraft Stock: Total: Middle East: Alternative Electricity and Transportation</t>
  </si>
  <si>
    <t>AEO.2026.ELECTRNP.STK_AIRC_NA_REGJ_NA_NA_OAS_UNIT.A</t>
  </si>
  <si>
    <t>Aircraft Stock: Total: Other Asia Pacific: Regional: Alternative Electricity and Transportation</t>
  </si>
  <si>
    <t>AEO.2026.ELECTRNP.STK_AIRC_NA_WBE_NA_NA_OAS_UNIT.A</t>
  </si>
  <si>
    <t>Aircraft Stock: Total: Other Asia Pacific: Wide Body: Alternative Electricity and Transportation</t>
  </si>
  <si>
    <t>AEO.2026.ELECTRNP.STK_AIRC_NA_NBTR_NA_NA_OAS_UNIT.A</t>
  </si>
  <si>
    <t>Aircraft Stock: Total: Other Asia Pacific: Narrow Body: Alternative Electricity and Transportation</t>
  </si>
  <si>
    <t>AEO.2026.ELECTRNP.STK_AIRC_NA_NA_NA_NA_OAS_UNIT.A</t>
  </si>
  <si>
    <t>Aircraft Stock: Total: Other Asia Pacific: Alternative Electricity and Transportation</t>
  </si>
  <si>
    <t>AEO.2026.ELECTRNP.STK_AIRC_NA_REGJ_NA_NA_IND_UNIT.A</t>
  </si>
  <si>
    <t>Aircraft Stock: Total: India: Regional: Alternative Electricity and Transportation</t>
  </si>
  <si>
    <t>AEO.2026.ELECTRNP.STK_AIRC_NA_WBE_NA_NA_IND_UNIT.A</t>
  </si>
  <si>
    <t>Aircraft Stock: Total: India: Wide Body: Alternative Electricity and Transportation</t>
  </si>
  <si>
    <t>AEO.2026.ELECTRNP.STK_AIRC_NA_NBTR_NA_NA_IND_UNIT.A</t>
  </si>
  <si>
    <t>Aircraft Stock: Total: India: Narrow Body: Alternative Electricity and Transportation</t>
  </si>
  <si>
    <t>AEO.2026.ELECTRNP.STK_AIRC_NA_NA_NA_NA_IND_UNIT.A</t>
  </si>
  <si>
    <t>Aircraft Stock: Total: India: Alternative Electricity and Transportation</t>
  </si>
  <si>
    <t>AEO.2026.ELECTRNP.STK_AIRC_NA_REGJ_NA_NA_CHI_UNIT.A</t>
  </si>
  <si>
    <t>Aircraft Stock: Total: China: Regional: Alternative Electricity and Transportation</t>
  </si>
  <si>
    <t>AEO.2026.ELECTRNP.STK_AIRC_NA_WBE_NA_NA_CHI_UNIT.A</t>
  </si>
  <si>
    <t>Aircraft Stock: Total: China: Wide Body: Alternative Electricity and Transportation</t>
  </si>
  <si>
    <t>AEO.2026.ELECTRNP.STK_AIRC_NA_NBTR_NA_NA_CHI_UNIT.A</t>
  </si>
  <si>
    <t>Aircraft Stock: Total: China: Narrow Body: Alternative Electricity and Transportation</t>
  </si>
  <si>
    <t>AEO.2026.ELECTRNP.STK_AIRC_NA_NA_NA_NA_CHI_UNIT.A</t>
  </si>
  <si>
    <t>Aircraft Stock: Total: China: Alternative Electricity and Transportation</t>
  </si>
  <si>
    <t>AEO.2026.ELECTRNP.STK_AIRC_NA_REGJ_NA_NA_URA_UNIT.A</t>
  </si>
  <si>
    <t>Aircraft Stock: Total: Eastern Europe and Eurasia: Regional: Alternative Electricity and Transportation</t>
  </si>
  <si>
    <t>AEO.2026.ELECTRNP.STK_AIRC_NA_WBE_NA_NA_URA_UNIT.A</t>
  </si>
  <si>
    <t>Aircraft Stock: Total: Eastern Europe and Eurasia: Wide Body: Alternative Electricity and Transportation</t>
  </si>
  <si>
    <t>AEO.2026.ELECTRNP.STK_AIRC_NA_NBTR_NA_NA_URA_UNIT.A</t>
  </si>
  <si>
    <t>Aircraft Stock: Total: Eastern Europe and Eurasia: Narrow Body: Alternative Electricity and Transportation</t>
  </si>
  <si>
    <t>AEO.2026.ELECTRNP.STK_AIRC_NA_NA_NA_NA_URA_UNIT.A</t>
  </si>
  <si>
    <t>Aircraft Stock: Total: Eastern Europe and Eurasia: Alternative Electricity and Transportation</t>
  </si>
  <si>
    <t>AEO.2026.ELECTRNP.STK_AIRC_NA_REGJ_NA_NA_RUS_UNIT.A</t>
  </si>
  <si>
    <t>Aircraft Stock: Total: Russia: Regional: Alternative Electricity and Transportation</t>
  </si>
  <si>
    <t>AEO.2026.ELECTRNP.STK_AIRC_NA_WBE_NA_NA_RUS_UNIT.A</t>
  </si>
  <si>
    <t>Aircraft Stock: Total: Russia: Wide Body: Alternative Electricity and Transportation</t>
  </si>
  <si>
    <t>AEO.2026.ELECTRNP.STK_AIRC_NA_NBTR_NA_NA_RUS_UNIT.A</t>
  </si>
  <si>
    <t>Aircraft Stock: Total: Russia: Narrow Body: Alternative Electricity and Transportation</t>
  </si>
  <si>
    <t>AEO.2026.ELECTRNP.STK_AIRC_NA_NA_NA_NA_RUS_UNIT.A</t>
  </si>
  <si>
    <t>Aircraft Stock: Total: Russia: Alternative Electricity and Transportation</t>
  </si>
  <si>
    <t>AEO.2026.ELECTRNP.STK_AIRC_NA_REGJ_NA_NA_SKO_UNIT.A</t>
  </si>
  <si>
    <t>Aircraft Stock: Total: South Korea: Regional: Alternative Electricity and Transportation</t>
  </si>
  <si>
    <t>AEO.2026.ELECTRNP.STK_AIRC_NA_WBE_NA_NA_SKO_UNIT.A</t>
  </si>
  <si>
    <t>Aircraft Stock: Total: South Korea: Wide Body: Alternative Electricity and Transportation</t>
  </si>
  <si>
    <t>AEO.2026.ELECTRNP.STK_AIRC_NA_NBTR_NA_NA_SKO_UNIT.A</t>
  </si>
  <si>
    <t>Aircraft Stock: Total: South Korea: Narrow Body: Alternative Electricity and Transportation</t>
  </si>
  <si>
    <t>AEO.2026.ELECTRNP.STK_AIRC_NA_NA_NA_NA_SKO_UNIT.A</t>
  </si>
  <si>
    <t>Aircraft Stock: Total: South Korea: Alternative Electricity and Transportation</t>
  </si>
  <si>
    <t>AEO.2026.ELECTRNP.STK_AIRC_NA_REGJ_NA_NA_ANZ_UNIT.A</t>
  </si>
  <si>
    <t>Aircraft Stock: Total: Australia and New Zealand: Regional: Alternative Electricity and Transportation</t>
  </si>
  <si>
    <t>AEO.2026.ELECTRNP.STK_AIRC_NA_WBE_NA_NA_ANZ_UNIT.A</t>
  </si>
  <si>
    <t>Aircraft Stock: Total: Australia and New Zealand: Wide Body: Alternative Electricity and Transportation</t>
  </si>
  <si>
    <t>AEO.2026.ELECTRNP.STK_AIRC_NA_NBTR_NA_NA_ANZ_UNIT.A</t>
  </si>
  <si>
    <t>Aircraft Stock: Total: Australia and New Zealand: Narrow Body: Alternative Electricity and Transportation</t>
  </si>
  <si>
    <t>AEO.2026.ELECTRNP.STK_AIRC_NA_NA_NA_NA_ANZ_UNIT.A</t>
  </si>
  <si>
    <t>Aircraft Stock: Total: Australia and New Zealand: Alternative Electricity and Transportation</t>
  </si>
  <si>
    <t>AEO.2026.ELECTRNP.STK_AIRC_NA_REGJ_NA_NA_JPN_UNIT.A</t>
  </si>
  <si>
    <t>Aircraft Stock: Total: Japan: Regional: Alternative Electricity and Transportation</t>
  </si>
  <si>
    <t>AEO.2026.ELECTRNP.STK_AIRC_NA_WBE_NA_NA_JPN_UNIT.A</t>
  </si>
  <si>
    <t>Aircraft Stock: Total: Japan: Wide Body: Alternative Electricity and Transportation</t>
  </si>
  <si>
    <t>AEO.2026.ELECTRNP.STK_AIRC_NA_NBTR_NA_NA_JPN_UNIT.A</t>
  </si>
  <si>
    <t>Aircraft Stock: Total: Japan: Narrow Body: Alternative Electricity and Transportation</t>
  </si>
  <si>
    <t>AEO.2026.ELECTRNP.STK_AIRC_NA_NA_NA_NA_JPN_UNIT.A</t>
  </si>
  <si>
    <t>Aircraft Stock: Total: Japan: Alternative Electricity and Transportation</t>
  </si>
  <si>
    <t>AEO.2026.ELECTRNP.STK_AIRC_NA_REGJ_NA_NA_EUR_UNIT.A</t>
  </si>
  <si>
    <t>Aircraft Stock: Total: Western Europe: Regional: Alternative Electricity and Transportation</t>
  </si>
  <si>
    <t>AEO.2026.ELECTRNP.STK_AIRC_NA_WBE_NA_NA_EUR_UNIT.A</t>
  </si>
  <si>
    <t>Aircraft Stock: Total: Western Europe: Wide Body: Alternative Electricity and Transportation</t>
  </si>
  <si>
    <t>AEO.2026.ELECTRNP.STK_AIRC_NA_NBTR_NA_NA_EUR_UNIT.A</t>
  </si>
  <si>
    <t>Aircraft Stock: Total: Western Europe: Narrow Body: Alternative Electricity and Transportation</t>
  </si>
  <si>
    <t>AEO.2026.ELECTRNP.STK_AIRC_NA_NA_NA_NA_EUR_UNIT.A</t>
  </si>
  <si>
    <t>Aircraft Stock: Total: Western Europe: Alternative Electricity and Transportation</t>
  </si>
  <si>
    <t>AEO.2026.ELECTRNP.STK_AIRC_NA_REGJ_NA_NA_MXC_UNIT.A</t>
  </si>
  <si>
    <t>Aircraft Stock: Total: Mexico: Regional: Alternative Electricity and Transportation</t>
  </si>
  <si>
    <t>AEO.2026.ELECTRNP.STK_AIRC_NA_WBE_NA_NA_MXC_UNIT.A</t>
  </si>
  <si>
    <t>Aircraft Stock: Total: Mexico: Wide Body: Alternative Electricity and Transportation</t>
  </si>
  <si>
    <t>AEO.2026.ELECTRNP.STK_AIRC_NA_NBTR_NA_NA_MXC_UNIT.A</t>
  </si>
  <si>
    <t>Aircraft Stock: Total: Mexico: Narrow Body: Alternative Electricity and Transportation</t>
  </si>
  <si>
    <t>AEO.2026.ELECTRNP.STK_AIRC_NA_NA_NA_NA_MXC_UNIT.A</t>
  </si>
  <si>
    <t>Aircraft Stock: Total: Mexico: Alternative Electricity and Transportation</t>
  </si>
  <si>
    <t>AEO.2026.ELECTRNP.STK_AIRC_NA_REGJ_NA_NA_CAN_UNIT.A</t>
  </si>
  <si>
    <t>Aircraft Stock: Total: Canada: Regional: Alternative Electricity and Transportation</t>
  </si>
  <si>
    <t>AEO.2026.ELECTRNP.STK_AIRC_NA_WBE_NA_NA_CAN_UNIT.A</t>
  </si>
  <si>
    <t>Aircraft Stock: Total: Canada: Wide Body: Alternative Electricity and Transportation</t>
  </si>
  <si>
    <t>AEO.2026.ELECTRNP.STK_AIRC_NA_NBTR_NA_NA_CAN_UNIT.A</t>
  </si>
  <si>
    <t>Aircraft Stock: Total: Canada: Narrow Body: Alternative Electricity and Transportation</t>
  </si>
  <si>
    <t>AEO.2026.ELECTRNP.STK_AIRC_NA_NA_NA_NA_CAN_UNIT.A</t>
  </si>
  <si>
    <t>Aircraft Stock: Total: Canada: Alternative Electricity and Transportation</t>
  </si>
  <si>
    <t>AEO.2026.ELECTRNP.STK_AIRC_NA_REGJ_NA_NA_USA_UNIT.A</t>
  </si>
  <si>
    <t>Aircraft Stock: Total: U.S.: Regional: Alternative Electricity and Transportation</t>
  </si>
  <si>
    <t>AEO.2026.ELECTRNP.STK_AIRC_NA_WBE_NA_NA_USA_UNIT.A</t>
  </si>
  <si>
    <t>Aircraft Stock: Total: U.S.: Wide Body: Alternative Electricity and Transportation</t>
  </si>
  <si>
    <t>AEO.2026.ELECTRNP.STK_AIRC_NA_NBTR_NA_NA_USA_UNIT.A</t>
  </si>
  <si>
    <t>Aircraft Stock: Total: U.S.: Narrow Body: Alternative Electricity and Transportation</t>
  </si>
  <si>
    <t>AEO.2026.ELECTRNP.STK_AIRC_NA_NA_NA_NA_USA_UNIT.A</t>
  </si>
  <si>
    <t>Aircraft Stock: Total: United States: Alternative Electricity and Transportation</t>
  </si>
  <si>
    <t>Growth (2025-2050)</t>
  </si>
  <si>
    <t>Thu Apr 23 2026 15:05:32 GMT-0700 (Pacific Daylight Time)</t>
  </si>
  <si>
    <t>https://www.eia.gov/outlooks/aeo/data/browser/#/?id=148-AEO2026&amp;cases=electrnp&amp;sourcekey=0</t>
  </si>
  <si>
    <t>AEO.2026.ELECTRNP.ECI_STK_NA_CLTR_NA_NA_NA_TH.A</t>
  </si>
  <si>
    <t>Fleet Stock: Commercial Light Trucks: Total: Alternative Electricity and Transportation</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</si>
  <si>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</si>
  <si>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</si>
  <si>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</si>
  <si>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</si>
  <si>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</si>
  <si>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</si>
  <si>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</si>
  <si>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</si>
  <si>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</si>
  <si>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</si>
  <si>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</si>
  <si>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</si>
  <si>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</si>
  <si>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</si>
  <si>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</si>
  <si>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</si>
  <si>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</si>
  <si>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</si>
  <si>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</si>
  <si>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</si>
  <si>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</si>
  <si>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</si>
  <si>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</si>
  <si>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</si>
  <si>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</si>
  <si>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</si>
  <si>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</si>
  <si>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</si>
  <si>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</si>
  <si>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</si>
  <si>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</si>
  <si>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</si>
  <si>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</si>
  <si>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</si>
  <si>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</si>
  <si>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</si>
  <si>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</si>
  <si>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</si>
  <si>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</si>
  <si>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</si>
  <si>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</si>
  <si>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</si>
  <si>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</si>
  <si>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</si>
  <si>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</si>
  <si>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</si>
  <si>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</si>
  <si>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</si>
  <si>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</si>
  <si>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</si>
  <si>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</si>
  <si>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</si>
  <si>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AEO.2026.ELECTRNP.ECI_STK_NA_FLC_NA_NA_NA_TH.A</t>
  </si>
  <si>
    <t>Fleet Vehicle Stock: Cars: Total: Alternative Electricity and Transportation</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</si>
  <si>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</si>
  <si>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</si>
  <si>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</si>
  <si>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</si>
  <si>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</si>
  <si>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</si>
  <si>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</si>
  <si>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</si>
  <si>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</si>
  <si>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</si>
  <si>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</si>
  <si>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</si>
  <si>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</si>
  <si>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</si>
  <si>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</si>
  <si>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</si>
  <si>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</si>
  <si>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</si>
  <si>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</si>
  <si>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</si>
  <si>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</si>
  <si>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</si>
  <si>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</si>
  <si>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</si>
  <si>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Thu Apr 23 2026 15:04:58 GMT-0700 (Pacific Daylight Time)</t>
  </si>
  <si>
    <t>https://www.eia.gov/outlooks/aeo/data/browser/#/?id=55-AEO2026&amp;cases=electrnp&amp;sourcekey=0</t>
  </si>
  <si>
    <t>AEO.2026.ELECTRNP.CNSM_NA_TRN_INTS_LNG_NA_NA_TRLBTU.A</t>
  </si>
  <si>
    <t>Freight: International Shipping: Fuel Use: LNG: Alternative Electricity and Transportation</t>
  </si>
  <si>
    <t>AEO.2026.ELECTRNP.CNSM_NA_TRN_INTS_CNG_NA_NA_TRLBTU.A</t>
  </si>
  <si>
    <t>Freight: International Shipping: Fuel Use: CNG: Alternative Electricity and Transportation</t>
  </si>
  <si>
    <t>AEO.2026.ELECTRNP.CNSM_NA_TRN_INTS_RFO_NA_NA_TRLBTU.A</t>
  </si>
  <si>
    <t>Freight: International Shipping: Fuel Use: Residual Fuel Oil: Alternative Electricity and Transportation</t>
  </si>
  <si>
    <t>AEO.2026.ELECTRNP.CNSM_NA_TRN_INTS_DFO_NA_NA_TRLBTU.A</t>
  </si>
  <si>
    <t>Freight: International Shipping: Fuel Use: Distillate Fuel Oil: Alternative Electricity and Transportation</t>
  </si>
  <si>
    <t>AEO.2026.ELECTRNP.ECI_IMP_TRN_INTS_NA_NA_NA_BLNY09DLR.A</t>
  </si>
  <si>
    <t>Freight: International Shipping: Imports: Alternative Electricity and Transportation</t>
  </si>
  <si>
    <t>AEO.2026.ELECTRNP.ECI_EXPT_TRN_INTS_NA_NA_NA_BLNY09DLR.A</t>
  </si>
  <si>
    <t>Freight: International Shipping: Exports: Alternative Electricity and Transportation</t>
  </si>
  <si>
    <t>AEO.2026.ELECTRNP.ECI_UGHT_TRN_INTS_NA_NA_NA_BLNY09DLR.A</t>
  </si>
  <si>
    <t>Freight: International Shipping: Gross Trade: Alternative Electricity and Transportation</t>
  </si>
  <si>
    <t>AEO.2026.ELECTRNP.CNSM_NA_TRN_DMT_LNG_NA_NA_TRLBTU.A</t>
  </si>
  <si>
    <t>Freight: Domestic Shipping: Fuel Use: LNG: Alternative Electricity and Transportation</t>
  </si>
  <si>
    <t>AEO.2026.ELECTRNP.CNSM_NA_TRN_DMT_CNG_NA_NA_TRLBTU.A</t>
  </si>
  <si>
    <t>Freight: Domestic Shipping: Fuel Use: CNG: Alternative Electricity and Transportation</t>
  </si>
  <si>
    <t>AEO.2026.ELECTRNP.CNSM_NA_TRN_DMT_RFO_NA_NA_TRLBTU.A</t>
  </si>
  <si>
    <t>Freight: Domestic Shipping: Fuel Use: Residual Fuel Oil: Alternative Electricity and Transportation</t>
  </si>
  <si>
    <t>AEO.2026.ELECTRNP.CNSM_NA_TRN_DMT_DFO_NA_NA_TRLBTU.A</t>
  </si>
  <si>
    <t>Freight: Domestic Shipping: Fuel Use: Distillate Fuel Oil: Alternative Electricity and Transportation</t>
  </si>
  <si>
    <t>AEO.2026.ELECTRNP.EFI_NA_TRN_DMT_NA_NA_NA_TONMLPTHBTU.A</t>
  </si>
  <si>
    <t>Freight: Domestic Shipping: Fuel Efficiency: Alternative Electricity and Transportation</t>
  </si>
  <si>
    <t>AEO.2026.ELECTRNP.ECI_FTM_TRN_DMT_NA_NA_NA_BLN.A</t>
  </si>
  <si>
    <t>Freight: Domestic Shipping: Ton Miles Shipping: Alternative Electricity and Transportation</t>
  </si>
  <si>
    <t>AEO.2026.ELECTRNP.CNSM_NA_TRN_RAIL_LNG_NA_NA_TRLBTU.A</t>
  </si>
  <si>
    <t>Freight: Railroads: Fuel Use: LNG: Alternative Electricity and Transportation</t>
  </si>
  <si>
    <t>AEO.2026.ELECTRNP.CNSM_NA_TRN_RAIL_CNG_NA_NA_TRLBTU.A</t>
  </si>
  <si>
    <t>Freight: Railroads: Fuel Use: CNG: Alternative Electricity and Transportation</t>
  </si>
  <si>
    <t>AEO.2026.ELECTRNP.CNSM_NA_TRN_RAIL_RFO_NA_NA_TRLBTU.A</t>
  </si>
  <si>
    <t>Freight: Railroads: Fuel Use: Residual Fuel Oil: Alternative Electricity and Transportation</t>
  </si>
  <si>
    <t>AEO.2026.ELECTRNP.CNSM_NA_TRN_RAIL_DFO_NA_NA_TRLBTU.A</t>
  </si>
  <si>
    <t>Freight: Railroads: Fuel Use: Distillate Fuel Oil: Alternative Electricity and Transportation</t>
  </si>
  <si>
    <t>AEO.2026.ELECTRNP.EFI_NA_TRN_RAIL_NA_NA_NA_TONMLPTHBTU.A</t>
  </si>
  <si>
    <t>Freight: Railroads: Fuel Efficiency: Alternative Electricity and Transportation</t>
  </si>
  <si>
    <t>AEO.2026.ELECTRNP.ECI_FTM_TRN_RAIL_NA_NA_NA_BLN.A</t>
  </si>
  <si>
    <t>Freight: Railroads: Ton Miles by Rail: Alternative Electricity and Transportation</t>
  </si>
  <si>
    <t>AEO.2026.ELECTRNP.ECI_SAL_FGHT_NA_NA_NA_NA_TH.A</t>
  </si>
  <si>
    <t>Freight: New Trucks: Sales: Alternative Electricity and Transportation</t>
  </si>
  <si>
    <t>AEO.2026.ELECTRNP.ECI_SAL_FGHT_RAD_NA_NA_NA_TH.A</t>
  </si>
  <si>
    <t>Freight: New Trucks: Sales: Heavy: Alternative Electricity and Transportation</t>
  </si>
  <si>
    <t>AEO.2026.ELECTRNP.ECI_SAL_FGHT_RAD_HYDICE_NA_NA_MPGDSEQ.A</t>
  </si>
  <si>
    <t>Freight: New Trucks: Sales: Heavy: Hydrogen ICE: Alternative Electricity and Transportation</t>
  </si>
  <si>
    <t>AEO.2026.ELECTRNP.ECI_SAL_FGHT_RAD_GASHEV_NA_NA_MPGGASEQ.A</t>
  </si>
  <si>
    <t>Freight: New Trucks: Sales: Heavy: Gasoline Hybrid: Alternative Electricity and Transportation</t>
  </si>
  <si>
    <t>AEO.2026.ELECTRNP.ECI_SAL_FGHT_RAD_FEUCELBATDOM_NA_NA_MPGDSEQ.A</t>
  </si>
  <si>
    <t>Freight: New Trucks: Sales: Heavy: Fuel Cell Battery Dominant: Alternative Electricity and Transportation</t>
  </si>
  <si>
    <t>AEO.2026.ELECTRNP.ECI_SAL_FGHT_RAD_FUC_NA_NA_TH.A</t>
  </si>
  <si>
    <t>Freight: New Trucks: Sales: Heavy: Fuel Cell: Alternative Electricity and Transportation</t>
  </si>
  <si>
    <t>AEO.2026.ELECTRNP.ECI_SAL_FGHT_RAD_EGH_NA_NA_TH.A</t>
  </si>
  <si>
    <t>Freight: New Trucks: Sales: Heavy: Plug-in Gasoline Hybrid: Alternative Electricity and Transportation</t>
  </si>
  <si>
    <t>AEO.2026.ELECTRNP.ECI_SAL_FGHT_RAD_EDH_NA_NA_TH.A</t>
  </si>
  <si>
    <t>Freight: New Trucks: Sales: Heavy: Plug-in Diesel Hybrid: Alternative Electricity and Transportation</t>
  </si>
  <si>
    <t>AEO.2026.ELECTRNP.ECI_SAL_FGHT_RAD_ELE_NA_NA_TH.A</t>
  </si>
  <si>
    <t>Freight: New Trucks: Sales: Heavy: Electric: Alternative Electricity and Transportation</t>
  </si>
  <si>
    <t>AEO.2026.ELECTRNP.ECI_SAL_FGHT_RAD_EFFI_NA_NA_TH.A</t>
  </si>
  <si>
    <t>Freight: New Trucks: Sales: Heavy: Ethanol-Flex Fuel: Alternative Electricity and Transportation</t>
  </si>
  <si>
    <t>AEO.2026.ELECTRNP.ECI_SAL_FGHT_RAD_NG_NA_NA_TH.A</t>
  </si>
  <si>
    <t>Freight: New Trucks: Sales: Heavy: Natural Gas: Alternative Electricity and Transportation</t>
  </si>
  <si>
    <t>AEO.2026.ELECTRNP.ECI_SAL_FGHT_RAD_PROP_NA_NA_TH.A</t>
  </si>
  <si>
    <t>Freight: New Trucks: Sales: Heavy: Propane: Alternative Electricity and Transportation</t>
  </si>
  <si>
    <t>AEO.2026.ELECTRNP.ECI_SAL_FGHT_RAD_MGS_NA_NA_TH.A</t>
  </si>
  <si>
    <t>Freight: New Trucks: Sales: Heavy: Motor Gasoline: Alternative Electricity and Transportation</t>
  </si>
  <si>
    <t>AEO.2026.ELECTRNP.ECI_SAL_FGHT_RAD_DSL_NA_NA_TH.A</t>
  </si>
  <si>
    <t>Freight: New Trucks: Sales: Heavy: Diesel: Alternative Electricity and Transportation</t>
  </si>
  <si>
    <t>AEO.2026.ELECTRNP.ECI_SAL_FGHT_SOSO_NA_NA_NA_TH.A</t>
  </si>
  <si>
    <t>Freight: New Trucks: Sales: Medium: Alternative Electricity and Transportation</t>
  </si>
  <si>
    <t>AEO.2026.ELECTRNP.ECI_SAL_FGHT_SOSO_HYDICE_NA_NA_MPGDSEQ.A</t>
  </si>
  <si>
    <t>Freight: New Trucks: Sales: Medium: Hydrogen ICE: Alternative Electricity and Transportation</t>
  </si>
  <si>
    <t>AEO.2026.ELECTRNP.ECI_SAL_FGHT_SOSO_GASHEV_NA_NA_MPGGASEQ.A</t>
  </si>
  <si>
    <t>Freight: New Trucks: Sales: Medium: Gasoline Hybrid: Alternative Electricity and Transportation</t>
  </si>
  <si>
    <t>AEO.2026.ELECTRNP.ECI_SAL_FGHT_SOSO_FEUCELBATDOM_NA_NA_MPGDSEQ.A</t>
  </si>
  <si>
    <t>Freight: New Trucks: Sales: Medium: Fuel Cell Battery Dominant: Alternative Electricity and Transportation</t>
  </si>
  <si>
    <t>AEO.2026.ELECTRNP.ECI_SAL_FGHT_SOSO_FUC_NA_NA_TH.A</t>
  </si>
  <si>
    <t>Freight: New Trucks: Sales: Medium: Fuel Cell: Alternative Electricity and Transportation</t>
  </si>
  <si>
    <t>AEO.2026.ELECTRNP.ECI_SAL_FGHT_SOSO_EGH_NA_NA_TH.A</t>
  </si>
  <si>
    <t>Freight: New Trucks: Sales: Medium: Plug-in Gasoline Hybrid: Alternative Electricity and Transportation</t>
  </si>
  <si>
    <t>AEO.2026.ELECTRNP.ECI_SAL_FGHT_SOSO_EDH_NA_NA_TH.A</t>
  </si>
  <si>
    <t>Freight: New Trucks: Sales: Medium: Plug-in Diesel Hybrid: Alternative Electricity and Transportation</t>
  </si>
  <si>
    <t>AEO.2026.ELECTRNP.ECI_SAL_FGHT_SOSO_ELE_NA_NA_TH.A</t>
  </si>
  <si>
    <t>Freight: New Trucks: Sales: Medium: Electric: Alternative Electricity and Transportation</t>
  </si>
  <si>
    <t>AEO.2026.ELECTRNP.ECI_SAL_FGHT_SOSO_EFFI_NA_NA_TH.A</t>
  </si>
  <si>
    <t>Freight: New Trucks: Sales: Medium: Ethanol-Flex Fuel: Alternative Electricity and Transportation</t>
  </si>
  <si>
    <t>AEO.2026.ELECTRNP.ECI_SAL_FGHT_SOSO_NG_NA_NA_TH.A</t>
  </si>
  <si>
    <t>Freight: New Trucks: Sales: Medium: Natural Gas: Alternative Electricity and Transportation</t>
  </si>
  <si>
    <t>AEO.2026.ELECTRNP.ECI_SAL_FGHT_SOSO_PROP_NA_NA_TH.A</t>
  </si>
  <si>
    <t>Freight: New Trucks: Sales: Medium: Propane: Alternative Electricity and Transportation</t>
  </si>
  <si>
    <t>AEO.2026.ELECTRNP.ECI_SAL_FGHT_SOSO_MGS_NA_NA_TH.A</t>
  </si>
  <si>
    <t>Freight: New Trucks: Sales: Medium: Motor Gasoline: Alternative Electricity and Transportation</t>
  </si>
  <si>
    <t>AEO.2026.ELECTRNP.ECI_SAL_FGHT_SOSO_DSL_NA_NA_TH.A</t>
  </si>
  <si>
    <t>Freight: New Trucks: Sales: Medium: Diesel: Alternative Electricity and Transportation</t>
  </si>
  <si>
    <t>AEO.2026.ELECTRNP.ECI_SAL_FGHT_LITEMED_NA_NA_NA_TH.A</t>
  </si>
  <si>
    <t>Freight: New Trucks: Sales: Light Medium: Alternative Electricity and Transportation</t>
  </si>
  <si>
    <t>AEO.2026.ELECTRNP.ECI_SAL_FGHT_LITEMED_HYDICE_NA_NA_MPGDSEQ.A</t>
  </si>
  <si>
    <t>Freight: New Trucks: Sales: Light Medium: Hydrogen ICE: Alternative Electricity and Transportation</t>
  </si>
  <si>
    <t>AEO.2026.ELECTRNP.ECI_SAL_FGHT_LITEMED_GASHEV_NA_NA_MPGGASEQ.A</t>
  </si>
  <si>
    <t>Freight: New Trucks: Sales: Light Medium: Gasoline Hybrid: Alternative Electricity and Transportation</t>
  </si>
  <si>
    <t>AEO.2026.ELECTRNP.ECI_SAL_FGHT_LITEMED_FEUCELBATDOM_NA_NA_MPGDSEQ.A</t>
  </si>
  <si>
    <t>Freight: New Trucks: Sales: Light Medium: Fuel Cell Battery Dominant: Alternative Electricity and Transportation</t>
  </si>
  <si>
    <t>AEO.2026.ELECTRNP.ECI_SAL_FGHT_LITEMED_FUC_NA_NA_TH.A</t>
  </si>
  <si>
    <t>Freight: New Trucks: Sales: Light Medium: Fuel Cell: Alternative Electricity and Transportation</t>
  </si>
  <si>
    <t>AEO.2026.ELECTRNP.ECI_SAL_FGHT_LITEMED_EGH_NA_NA_TH.A</t>
  </si>
  <si>
    <t>Freight: New Trucks: Sales: Light Medium: Plug-in Gasoline Hybrid: Alternative Electricity and Transportation</t>
  </si>
  <si>
    <t>AEO.2026.ELECTRNP.ECI_SAL_FGHT_LITEMED_EDH_NA_NA_TH.A</t>
  </si>
  <si>
    <t>Freight: New Trucks: Sales: Light Medium: Plug-in Diesel Hybrid: Alternative Electricity and Transportation</t>
  </si>
  <si>
    <t>AEO.2026.ELECTRNP.ECI_SAL_FGHT_LITEMED_ELE_NA_NA_TH.A</t>
  </si>
  <si>
    <t>Freight: New Trucks: Sales: Light Medium: Electric: Alternative Electricity and Transportation</t>
  </si>
  <si>
    <t>AEO.2026.ELECTRNP.ECI_SAL_FGHT_LITEMED_EFFI_NA_NA_TH.A</t>
  </si>
  <si>
    <t>Freight: New Trucks: Sales: Light Medium: Ethanol-Flex Fuel: Alternative Electricity and Transportation</t>
  </si>
  <si>
    <t>AEO.2026.ELECTRNP.ECI_SAL_FGHT_LITEMED_NG_NA_NA_TH.A</t>
  </si>
  <si>
    <t>Freight: New Trucks: Sales: Light Medium: Natural Gas: Alternative Electricity and Transportation</t>
  </si>
  <si>
    <t>AEO.2026.ELECTRNP.ECI_SAL_FGHT_LITEMED_PROP_NA_NA_TH.A</t>
  </si>
  <si>
    <t>Freight: New Trucks: Sales: Light Medium: Propane: Alternative Electricity and Transportation</t>
  </si>
  <si>
    <t>AEO.2026.ELECTRNP.ECI_SAL_FGHT_LITEMED_MGS_NA_NA_TH.A</t>
  </si>
  <si>
    <t>Freight: New Trucks: Sales: Light Medium: Motor Gasoline: Alternative Electricity and Transportation</t>
  </si>
  <si>
    <t>AEO.2026.ELECTRNP.ECI_SAL_FGHT_LITEMED_DSL_NA_NA_TH.A</t>
  </si>
  <si>
    <t>Freight: New Trucks: Sales: Light Medium: Diesel: Alternative Electricity and Transportation</t>
  </si>
  <si>
    <t>AEO.2026.ELECTRNP.EFI_NA_FGHT_NEW_NA_NA_NA_NA.A</t>
  </si>
  <si>
    <t>Freight: New Trucks: Fuel Efficiency: Alternative Electricity and Transportation</t>
  </si>
  <si>
    <t>AEO.2026.ELECTRNP.EFI_NA_FGHT_RADN_NA_NA_NA_NA.A</t>
  </si>
  <si>
    <t>Freight: New Trucks: Fuel Efficiency: Heavy: Average: Alternative Electricity and Transportation</t>
  </si>
  <si>
    <t>AEO.2026.ELECTRNP.EFI_NA_FGHT_RADN_HYDICE_NA_NA_MPGDSEQ.A</t>
  </si>
  <si>
    <t>Freight: New Trucks: Fuel Efficiency: Heavy: Hydrogen ICE: Alternative Electricity and Transportation</t>
  </si>
  <si>
    <t>AEO.2026.ELECTRNP.EFI_NA_FGHT_RADN_GASHEV_NA_NA_MPGGASEQ.A</t>
  </si>
  <si>
    <t>Freight: New Trucks: Fuel Efficiency: Heavy: Gasoline Hybrid: Alternative Electricity and Transportation</t>
  </si>
  <si>
    <t>AEO.2026.ELECTRNP.EFI_NA_FGHT_RADN_FEUCELBATDOM_NA_NA_MPGDSEQ.A</t>
  </si>
  <si>
    <t>Freight: New Trucks: Fuel Efficiency: Heavy: Fuel Cell Battery Dominant: Alternative Electricity and Transportation</t>
  </si>
  <si>
    <t>AEO.2026.ELECTRNP.EFI_NA_FGHT_RADN_FUC_NA_NA_MPGDSEQ.A</t>
  </si>
  <si>
    <t>Freight: New Trucks: Fuel Efficiency: Heavy: Fuel Cell: Alternative Electricity and Transportation</t>
  </si>
  <si>
    <t>AEO.2026.ELECTRNP.EFI_NA_FGHT_RADN_EGH_NA_NA_MPGGASEQ.A</t>
  </si>
  <si>
    <t>Freight: New Trucks: Fuel Efficiency: Heavy: Plug-in Gasoline Hybrid: Alternative Electricity and Transportation</t>
  </si>
  <si>
    <t>AEO.2026.ELECTRNP.EFI_NA_FGHT_RADN_EDH_NA_NA_MPGDSEQ.A</t>
  </si>
  <si>
    <t>Freight: New Trucks: Fuel Efficiency: Heavy: Plug-in Diesel Hybrid: Alternative Electricity and Transportation</t>
  </si>
  <si>
    <t>AEO.2026.ELECTRNP.EFI_NA_FGHT_RADN_ELE_NA_NA_MPGDSEQ.A</t>
  </si>
  <si>
    <t>Freight: New Trucks: Fuel Efficiency: Heavy: Electric: Alternative Electricity and Transportation</t>
  </si>
  <si>
    <t>AEO.2026.ELECTRNP.EFI_NA_FGHT_RADN_EFFI_NA_NA_MPGGASEQ.A</t>
  </si>
  <si>
    <t>Freight: New Trucks: Fuel Efficiency: Heavy: Ethanol-Flex Fuel: Alternative Electricity and Transportation</t>
  </si>
  <si>
    <t>AEO.2026.ELECTRNP.EFI_NA_FGHT_RADN_NG_NA_NA_MPGDSEQ.A</t>
  </si>
  <si>
    <t>Freight: New Trucks: Fuel Efficiency: Heavy: Natural Gas: Alternative Electricity and Transportation</t>
  </si>
  <si>
    <t>AEO.2026.ELECTRNP.EFI_NA_FGHT_RADN_PROP_NA_NA_MPGGASEQ.A</t>
  </si>
  <si>
    <t>Freight: New Trucks: Fuel Efficiency: Heavy: Propane: Alternative Electricity and Transportation</t>
  </si>
  <si>
    <t>AEO.2026.ELECTRNP.EFI_NA_FGHT_RADN_MGS_NA_NA_MPGGASEQ.A</t>
  </si>
  <si>
    <t>Freight: New Trucks: Fuel Efficiency: Heavy: Motor Gasoline: Alternative Electricity and Transportation</t>
  </si>
  <si>
    <t>AEO.2026.ELECTRNP.EFI_NA_FGHT_RADN_DSL_NA_NA_MPGDSEQ.A</t>
  </si>
  <si>
    <t>Freight: New Trucks: Fuel Efficiency: Heavy: Diesel: Alternative Electricity and Transportation</t>
  </si>
  <si>
    <t>AEO.2026.ELECTRNP.EFI_NA_FGHT_SOSON_NA_NA_NA_NA.A</t>
  </si>
  <si>
    <t>Freight: New Trucks: Fuel Efficiency: Medium: Average: Alternative Electricity and Transportation</t>
  </si>
  <si>
    <t>AEO.2026.ELECTRNP.EFI_NA_FGHT_SOSON_HYDICE_NA_NA_MPGDSEQ.A</t>
  </si>
  <si>
    <t>Freight: New Trucks: Fuel Efficiency: Medium: Hydrogen ICE: Alternative Electricity and Transportation</t>
  </si>
  <si>
    <t>AEO.2026.ELECTRNP.EFI_NA_FGHT_SOSON_GASHEV_NA_NA_MPGGASEQ.A</t>
  </si>
  <si>
    <t>Freight: New Trucks: Fuel Efficiency: Medium: Gasoline Hybrid: Alternative Electricity and Transportation</t>
  </si>
  <si>
    <t>AEO.2026.ELECTRNP.EFI_NA_FGHT_SOSON_FEUCELBATDOM_NA_NA_MPGDSEQ.A</t>
  </si>
  <si>
    <t>Freight: New Trucks: Fuel Efficiency: Medium: Fuel Cell Battery Dominant: Alternative Electricity and Transportation</t>
  </si>
  <si>
    <t>AEO.2026.ELECTRNP.EFI_NA_FGHT_SOSON_FUC_NA_NA_MPGGASEQ.A</t>
  </si>
  <si>
    <t>Freight: New Trucks: Fuel Efficiency: Medium: Fuel Cell: Alternative Electricity and Transportation</t>
  </si>
  <si>
    <t>AEO.2026.ELECTRNP.EFI_NA_FGHT_SOSON_EGH_NA_NA_MPGGASEQ.A</t>
  </si>
  <si>
    <t>Freight: New Trucks: Fuel Efficiency: Medium: Plug-in Gasoline Hybrid: Alternative Electricity and Transportation</t>
  </si>
  <si>
    <t>AEO.2026.ELECTRNP.EFI_NA_FGHT_SOSON_EDH_NA_NA_MPGGASEQ.A</t>
  </si>
  <si>
    <t>Freight: New Trucks: Fuel Efficiency: Medium: Plug-in Diesel Hybrid: Alternative Electricity and Transportation</t>
  </si>
  <si>
    <t>AEO.2026.ELECTRNP.EFI_NA_FGHT_SOSON_ELE_NA_NA_MPGGASEQ.A</t>
  </si>
  <si>
    <t>Freight: New Trucks: Fuel Efficiency: Medium: Electric: Alternative Electricity and Transportation</t>
  </si>
  <si>
    <t>AEO.2026.ELECTRNP.EFI_NA_FGHT_SOSON_EFFI_NA_NA_MPG.A</t>
  </si>
  <si>
    <t>Freight: New Trucks: Fuel Efficiency: Medium: Ethanol-Flex Fuel: Alternative Electricity and Transportation</t>
  </si>
  <si>
    <t>AEO.2026.ELECTRNP.EFI_NA_FGHT_SOSON_NG_NA_NA_MPGGASEQ.A</t>
  </si>
  <si>
    <t>Freight: New Trucks: Fuel Efficiency: Medium: Natural Gas: Alternative Electricity and Transportation</t>
  </si>
  <si>
    <t>AEO.2026.ELECTRNP.EFI_NA_FGHT_SOSON_PROP_NA_NA_MPGGASEQ.A</t>
  </si>
  <si>
    <t>Freight: New Trucks: Fuel Efficiency: Medium: Propane: Alternative Electricity and Transportation</t>
  </si>
  <si>
    <t>AEO.2026.ELECTRNP.EFI_NA_FGHT_SOSON_MGS_NA_NA_MPGGASEQ.A</t>
  </si>
  <si>
    <t>Freight: New Trucks: Fuel Efficiency: Medium: Motor Gasoline: Alternative Electricity and Transportation</t>
  </si>
  <si>
    <t>AEO.2026.ELECTRNP.EFI_NA_FGHT_SOSON_DSL_NA_NA_MPGDSEQ.A</t>
  </si>
  <si>
    <t>Freight: New Trucks: Fuel Efficiency: Medium: Diesel: Alternative Electricity and Transportation</t>
  </si>
  <si>
    <t>AEO.2026.ELECTRNP.EFI_NA_FGHT_LITEMEDN_NA_NA_NA_NA.A</t>
  </si>
  <si>
    <t>Freight: New Trucks: Fuel Efficiency: Light Medium: Average: Alternative Electricity and Transportation</t>
  </si>
  <si>
    <t>AEO.2026.ELECTRNP.EFI_NA_FGHT_LITEMEDN_HYDICE_NA_NA_MPGDSEQ.A</t>
  </si>
  <si>
    <t>Freight: New Trucks: Fuel Efficiency: Light Medium: Hydrogen ICE: Alternative Electricity and Transportation</t>
  </si>
  <si>
    <t>AEO.2026.ELECTRNP.EFI_NA_FGHT_LITEMEDN_GASHEV_NA_NA_MPGGASEQ.A</t>
  </si>
  <si>
    <t>Freight: New Trucks: Fuel Efficiency: Light Medium: Gasoline Hybrid: Alternative Electricity and Transportation</t>
  </si>
  <si>
    <t>AEO.2026.ELECTRNP.EFI_NA_FGHT_LITEMEDN_FEUCELBATDOM_NA_NA_MPGDSEQ.A</t>
  </si>
  <si>
    <t>Freight: New Trucks: Fuel Efficiency: Light Medium: Fuel Cell Battery Dominant: Alternative Electricity and Transportation</t>
  </si>
  <si>
    <t>AEO.2026.ELECTRNP.EFI_NA_FGHT_LITEMEDN_FUC_NA_NA_MPGDSEQ.A</t>
  </si>
  <si>
    <t>Freight: New Trucks: Fuel Efficiency: Light Medium: Fuel Cell: Alternative Electricity and Transportation</t>
  </si>
  <si>
    <t>AEO.2026.ELECTRNP.EFI_NA_FGHT_LITEMEDN_EGH_NA_NA_MPGGASEQ.A</t>
  </si>
  <si>
    <t>Freight: New Trucks: Fuel Efficiency: Light Medium: Plug-in Gasoline Hybrid: Alternative Electricity and Transportation</t>
  </si>
  <si>
    <t>AEO.2026.ELECTRNP.EFI_NA_FGHT_LITEMEDN_EDH_NA_NA_MPGDSEQ.A</t>
  </si>
  <si>
    <t>Freight: New Trucks: Fuel Efficiency: Light Medium: Plug-in Diesel Hybrid: Alternative Electricity and Transportation</t>
  </si>
  <si>
    <t>AEO.2026.ELECTRNP.EFI_NA_FGHT_LITEMEDN_ELE_NA_NA_MPGDSEQ.A</t>
  </si>
  <si>
    <t>Freight: New Trucks: Fuel Efficiency: Light Medium: Electric: Alternative Electricity and Transportation</t>
  </si>
  <si>
    <t>AEO.2026.ELECTRNP.EFI_NA_FGHT_LITEMEDN_EFFI_NA_NA_MPGGASEQ.A</t>
  </si>
  <si>
    <t>Freight: New Trucks: Fuel Efficiency: Light Medium: Ethanol-Flex Fuel: Alternative Electricity and Transportation</t>
  </si>
  <si>
    <t>AEO.2026.ELECTRNP.EFI_NA_FGHT_LITEMEDN_NG_NA_NA_MPGGASEQ.A</t>
  </si>
  <si>
    <t>Freight: New Trucks: Fuel Efficiency: Light Medium: Natural Gas: Alternative Electricity and Transportation</t>
  </si>
  <si>
    <t>AEO.2026.ELECTRNP.EFI_NA_FGHT_LITEMEDN_PROP_NA_NA_MPGGASEQ.A</t>
  </si>
  <si>
    <t>Freight: New Trucks: Fuel Efficiency: Light Medium: Propane: Alternative Electricity and Transportation</t>
  </si>
  <si>
    <t>AEO.2026.ELECTRNP.EFI_NA_FGHT_LITEMEDN_MGS_NA_NA_MPGGASEQ.A</t>
  </si>
  <si>
    <t>Freight: New Trucks: Fuel Efficiency: Light Medium: Motor Gasoline: Alternative Electricity and Transportation</t>
  </si>
  <si>
    <t>AEO.2026.ELECTRNP.EFI_NA_FGHT_LITEMEDN_DSL_NA_NA_MPGDSEQ.A</t>
  </si>
  <si>
    <t>Freight: New Trucks: Fuel Efficiency: Light Medium: Diesel: Alternative Electricity and Transportation</t>
  </si>
  <si>
    <t>AEO.2026.ELECTRNP.ECI_STK_FGHT_STK_NA_NA_NA_MILL.A</t>
  </si>
  <si>
    <t>Freight: Truck Stock: Alternative Electricity and Transportation</t>
  </si>
  <si>
    <t>AEO.2026.ELECTRNP.ECI_STK_FGHT_RADS_NA_NA_NA_MILL.A</t>
  </si>
  <si>
    <t>Freight: Truck Stock: Heavy: Alternative Electricity and Transportation</t>
  </si>
  <si>
    <t>AEO.2026.ELECTRNP.ECI_STK_FGHT_RADS_HYDICE_NA_NA_MILL.A</t>
  </si>
  <si>
    <t>Freight: Truck Stock: Heavy: Hydrogen ICE: Alternative Electricity and Transportation</t>
  </si>
  <si>
    <t>AEO.2026.ELECTRNP.ECI_STK_FGHT_RADS_GASHEV_NA_NA_MILL.A</t>
  </si>
  <si>
    <t>Freight: Truck Stock: Heavy: Gasoline Hybrid: Alternative Electricity and Transportation</t>
  </si>
  <si>
    <t>AEO.2026.ELECTRNP.ECI_STK_FGHT_RADS_FEUCELBATDOM_NA_NA_MILL.A</t>
  </si>
  <si>
    <t>Freight: Truck Stock: Heavy: Fuel Cell Battery Dominant: Alternative Electricity and Transportation</t>
  </si>
  <si>
    <t>AEO.2026.ELECTRNP.ECI_STK_FGHT_RADS_FUC_NA_NA_MILL.A</t>
  </si>
  <si>
    <t>Freight: Truck Stock: Heavy: Fuel Cell: Alternative Electricity and Transportation</t>
  </si>
  <si>
    <t>AEO.2026.ELECTRNP.ECI_STK_FGHT_RADS_EGH_NA_NA_MILL.A</t>
  </si>
  <si>
    <t>Freight: Truck Stock: Heavy: Plug-in Gasoline Hybrid: Alternative Electricity and Transportation</t>
  </si>
  <si>
    <t>AEO.2026.ELECTRNP.ECI_STK_FGHT_RADS_EDH_NA_NA_MILL.A</t>
  </si>
  <si>
    <t>Freight: Truck Stock: Heavy: Plug-in Diesel Hybrid: Alternative Electricity and Transportation</t>
  </si>
  <si>
    <t>AEO.2026.ELECTRNP.ECI_STK_FGHT_RADS_ELE_NA_NA_MILL.A</t>
  </si>
  <si>
    <t>Freight: Truck Stock: Heavy: Electric: Alternative Electricity and Transportation</t>
  </si>
  <si>
    <t>AEO.2026.ELECTRNP.ECI_STK_FGHT_RADS_EFFI_NA_NA_MILL.A</t>
  </si>
  <si>
    <t>Freight: Truck Stock: Heavy: Ethanol-Flex Fuel: Alternative Electricity and Transportation</t>
  </si>
  <si>
    <t>AEO.2026.ELECTRNP.ECI_STK_FGHT_RADS_NG_NA_NA_MILL.A</t>
  </si>
  <si>
    <t>Freight: Truck Stock: Heavy: Natural Gas: Alternative Electricity and Transportation</t>
  </si>
  <si>
    <t>AEO.2026.ELECTRNP.ECI_STK_FGHT_RADS_PROP_NA_NA_MILL.A</t>
  </si>
  <si>
    <t>Freight: Truck Stock: Heavy: Propane: Alternative Electricity and Transportation</t>
  </si>
  <si>
    <t>AEO.2026.ELECTRNP.ECI_STK_FGHT_RADS_MGS_NA_NA_MILL.A</t>
  </si>
  <si>
    <t>Freight: Truck Stock: Heavy: Motor Gasoline: Alternative Electricity and Transportation</t>
  </si>
  <si>
    <t>AEO.2026.ELECTRNP.ECI_STK_FGHT_RADS_DSL_NA_NA_MILL.A</t>
  </si>
  <si>
    <t>Freight: Truck Stock: Heavy: Diesel: Alternative Electricity and Transportation</t>
  </si>
  <si>
    <t>AEO.2026.ELECTRNP.ECI_STK_FGHT_SOSOS_NA_NA_NA_MILL.A</t>
  </si>
  <si>
    <t>Freight: Truck Stock: Medium: Alternative Electricity and Transportation</t>
  </si>
  <si>
    <t>AEO.2026.ELECTRNP.ECI_STK_FGHT_SOSOS_HYDICE_NA_NA_MILL.A</t>
  </si>
  <si>
    <t>Freight: Truck Stock: Medium: Hydrogen ICE: Alternative Electricity and Transportation</t>
  </si>
  <si>
    <t>AEO.2026.ELECTRNP.ECI_STK_FGHT_SOSOS_GASHEV_NA_NA_MILL.A</t>
  </si>
  <si>
    <t>Freight: Truck Stock: Medium: Gasoline Hybrid: Alternative Electricity and Transportation</t>
  </si>
  <si>
    <t>AEO.2026.ELECTRNP.ECI_STK_FGHT_SOSOS_FEUCELBATDOM_NA_NA_MILL.A</t>
  </si>
  <si>
    <t>Freight: Truck Stock: Medium: Fuel Cell Battery Dominant: Alternative Electricity and Transportation</t>
  </si>
  <si>
    <t>AEO.2026.ELECTRNP.ECI_STK_FGHT_SOSOS_FUC_NA_NA_MILL.A</t>
  </si>
  <si>
    <t>Freight: Truck Stock: Medium: Fuel Cell: Alternative Electricity and Transportation</t>
  </si>
  <si>
    <t>AEO.2026.ELECTRNP.ECI_STK_FGHT_SOSOS_EGH_NA_NA_MILL.A</t>
  </si>
  <si>
    <t>Freight: Truck Stock: Medium: Plug-in Gasoline Hybrid: Alternative Electricity and Transportation</t>
  </si>
  <si>
    <t>AEO.2026.ELECTRNP.ECI_STK_FGHT_SOSOS_EDH_NA_NA_MILL.A</t>
  </si>
  <si>
    <t>Freight: Truck Stock: Medium: Plug-in Diesel Hybrid: Alternative Electricity and Transportation</t>
  </si>
  <si>
    <t>AEO.2026.ELECTRNP.ECI_STK_FGHT_SOSOS_ELE_NA_NA_MILL.A</t>
  </si>
  <si>
    <t>Freight: Truck Stock: Medium: Electric: Alternative Electricity and Transportation</t>
  </si>
  <si>
    <t>AEO.2026.ELECTRNP.ECI_STK_FGHT_SOSOS_EFFI_NA_NA_MILL.A</t>
  </si>
  <si>
    <t>Freight: Truck Stock: Medium: Ethanol-Flex Fuel: Alternative Electricity and Transportation</t>
  </si>
  <si>
    <t>AEO.2026.ELECTRNP.ECI_STK_FGHT_SOSOS_NG_NA_NA_MILL.A</t>
  </si>
  <si>
    <t>Freight: Truck Stock: Medium: Natural Gas: Alternative Electricity and Transportation</t>
  </si>
  <si>
    <t>AEO.2026.ELECTRNP.ECI_STK_FGHT_SOSOS_PROP_NA_NA_MILL.A</t>
  </si>
  <si>
    <t>Freight: Truck Stock: Medium: Propane: Alternative Electricity and Transportation</t>
  </si>
  <si>
    <t>AEO.2026.ELECTRNP.ECI_STK_FGHT_SOSOS_MGS_NA_NA_MILL.A</t>
  </si>
  <si>
    <t>Freight: Truck Stock: Medium: Motor Gasoline: Alternative Electricity and Transportation</t>
  </si>
  <si>
    <t>AEO.2026.ELECTRNP.ECI_STK_FGHT_SOSOS_DSL_NA_NA_MILL.A</t>
  </si>
  <si>
    <t>Freight: Truck Stock: Medium: Diesel: Alternative Electricity and Transportation</t>
  </si>
  <si>
    <t>AEO.2026.ELECTRNP.ECI_STK_FGHT_LITEMEDS_NA_NA_NA_MILL.A</t>
  </si>
  <si>
    <t>Freight: Truck Stock: Light Medium: Alternative Electricity and Transportation</t>
  </si>
  <si>
    <t>AEO.2026.ELECTRNP.ECI_STK_FGHT_LITEMEDS_HYDICE_NA_NA_MILL.A</t>
  </si>
  <si>
    <t>Freight: Truck Stock: Light Medium: Hydrogen ICE: Alternative Electricity and Transportation</t>
  </si>
  <si>
    <t>AEO.2026.ELECTRNP.ECI_STK_FGHT_LITEMEDS_GASHEV_NA_NA_MILL.A</t>
  </si>
  <si>
    <t>Freight: Truck Stock: Light Medium: Gasoline Hybrid: Alternative Electricity and Transportation</t>
  </si>
  <si>
    <t>AEO.2026.ELECTRNP.ECI_STK_FGHT_LITEMEDS_FEUCELBATDOM_NA_NA_MILL.A</t>
  </si>
  <si>
    <t>Freight: Truck Stock: Light Medium: Fuel Cell Battery Dominant: Alternative Electricity and Transportation</t>
  </si>
  <si>
    <t>AEO.2026.ELECTRNP.ECI_STK_FGHT_LITEMEDS_FUC_NA_NA_MILL.A</t>
  </si>
  <si>
    <t>Freight: Truck Stock: Light Medium: Fuel Cell: Alternative Electricity and Transportation</t>
  </si>
  <si>
    <t>AEO.2026.ELECTRNP.ECI_STK_FGHT_LITEMEDS_EGH_NA_NA_MILL.A</t>
  </si>
  <si>
    <t>Freight: Truck Stock: Light Medium: Plug-in Gasoline Hybrid: Alternative Electricity and Transportation</t>
  </si>
  <si>
    <t>AEO.2026.ELECTRNP.ECI_STK_FGHT_LITEMEDS_EDH_NA_NA_MILL.A</t>
  </si>
  <si>
    <t>Freight: Truck Stock: Light Medium: Plug-in Diesel Hybrid: Alternative Electricity and Transportation</t>
  </si>
  <si>
    <t>AEO.2026.ELECTRNP.ECI_STK_FGHT_LITEMEDS_ELE_NA_NA_MILL.A</t>
  </si>
  <si>
    <t>Freight: Truck Stock: Light Medium: Electric: Alternative Electricity and Transportation</t>
  </si>
  <si>
    <t>AEO.2026.ELECTRNP.ECI_STK_FGHT_LITEMEDS_EFFI_NA_NA_MILL.A</t>
  </si>
  <si>
    <t>Freight: Truck Stock: Light Medium: Ethanol-Flex Fuel: Alternative Electricity and Transportation</t>
  </si>
  <si>
    <t>AEO.2026.ELECTRNP.ECI_STK_FGHT_LITEMEDS_NG_NA_NA_MILL.A</t>
  </si>
  <si>
    <t>Freight: Truck Stock: Light Medium: Natural Gas: Alternative Electricity and Transportation</t>
  </si>
  <si>
    <t>AEO.2026.ELECTRNP.ECI_STK_FGHT_LITEMEDS_PROP_NA_NA_MILL.A</t>
  </si>
  <si>
    <t>Freight: Truck Stock: Light Medium: Propane: Alternative Electricity and Transportation</t>
  </si>
  <si>
    <t>AEO.2026.ELECTRNP.ECI_STK_FGHT_LITEMEDS_MGS_NA_NA_MILL.A</t>
  </si>
  <si>
    <t>Freight: Truck Stock: Light Medium: Motor Gasoline: Alternative Electricity and Transportation</t>
  </si>
  <si>
    <t>AEO.2026.ELECTRNP.ECI_STK_FGHT_LITEMEDS_DSL_NA_NA_MILL.A</t>
  </si>
  <si>
    <t>Freight: Truck Stock: Light Medium: Diesel: Alternative Electricity and Transportation</t>
  </si>
  <si>
    <t>AEO.2026.ELECTRNP.EFI_NA_FGHT_STK_NA_NA_NA_NA.A</t>
  </si>
  <si>
    <t>Freight: Truck Stock: Fuel Efficiency: Alternative Electricity and Transportation</t>
  </si>
  <si>
    <t>AEO.2026.ELECTRNP.EFI_NA_FGHT_RADS_NA_NA_NA_NA.A</t>
  </si>
  <si>
    <t>Freight: Truck Stock: Fuel Efficiency: Heavy: Average: Alternative Electricity and Transportation</t>
  </si>
  <si>
    <t>AEO.2026.ELECTRNP.EFI_NA_FGHT_RADS_HYDICE_NA_NA_MPGDSEQ.A</t>
  </si>
  <si>
    <t>Freight: Truck Stock: Fuel Efficiency: Heavy: Hydrogen ICE: Alternative Electricity and Transportation</t>
  </si>
  <si>
    <t>AEO.2026.ELECTRNP.EFI_NA_FGHT_RADS_GASHEV_NA_NA_MPGGASEQ.A</t>
  </si>
  <si>
    <t>Freight: Truck Stock: Fuel Efficiency: Heavy: Gasoline Hybrid: Alternative Electricity and Transportation</t>
  </si>
  <si>
    <t>AEO.2026.ELECTRNP.EFI_NA_FGHT_RADS_FEUCELBATDOM_NA_NA_MPGDSEQ.A</t>
  </si>
  <si>
    <t>Freight: Truck Stock: Fuel Efficiency: Heavy: Fuel Cell Battery Dominant: Alternative Electricity and Transportation</t>
  </si>
  <si>
    <t>AEO.2026.ELECTRNP.EFI_NA_FGHT_RADS_FUC_NA_NA_MPGDSEQ.A</t>
  </si>
  <si>
    <t>Freight: Truck Stock: Fuel Efficiency: Heavy: Fuel Cell: Alternative Electricity and Transportation</t>
  </si>
  <si>
    <t>AEO.2026.ELECTRNP.EFI_NA_FGHT_RADS_EGH_NA_NA_MPGGASEQ.A</t>
  </si>
  <si>
    <t>Freight: Truck Stock: Fuel Efficiency: Heavy: Plug-in Gasoline Hybrid: Alternative Electricity and Transportation</t>
  </si>
  <si>
    <t>AEO.2026.ELECTRNP.EFI_NA_FGHT_RADS_EDH_NA_NA_MPGDSEQ.A</t>
  </si>
  <si>
    <t>Freight: Truck Stock: Fuel Efficiency: Heavy: Plug-in Diesel Hybrid: Alternative Electricity and Transportation</t>
  </si>
  <si>
    <t>AEO.2026.ELECTRNP.EFI_NA_FGHT_RADS_ELE_NA_NA_MPGDSEQ.A</t>
  </si>
  <si>
    <t>Freight: Truck Stock: Fuel Efficiency: Heavy: Electric: Alternative Electricity and Transportation</t>
  </si>
  <si>
    <t>AEO.2026.ELECTRNP.EFI_NA_FGHT_RADS_EFFI_NA_NA_MPGGASEQ.A</t>
  </si>
  <si>
    <t>Freight: Truck Stock: Fuel Efficiency: Heavy: Ethanol-Flex Fuel: Alternative Electricity and Transportation</t>
  </si>
  <si>
    <t>AEO.2026.ELECTRNP.EFI_NA_FGHT_RADS_NG_NA_NA_MPGDSEQ.A</t>
  </si>
  <si>
    <t>Freight: Truck Stock: Fuel Efficiency: Heavy: Natural Gas: Alternative Electricity and Transportation</t>
  </si>
  <si>
    <t>AEO.2026.ELECTRNP.EFI_NA_FGHT_RADS_PROP_NA_NA_MPGGASEQ.A</t>
  </si>
  <si>
    <t>Freight: Truck Stock: Fuel Efficiency: Heavy: Propane: Alternative Electricity and Transportation</t>
  </si>
  <si>
    <t>AEO.2026.ELECTRNP.EFI_NA_FGHT_RADS_MGS_NA_NA_MPGGASEQ.A</t>
  </si>
  <si>
    <t>Freight: Truck Stock: Fuel Efficiency: Heavy: Motor Gasoline: Alternative Electricity and Transportation</t>
  </si>
  <si>
    <t>AEO.2026.ELECTRNP.EFI_NA_FGHT_RADS_DSL_NA_NA_MPGDSEQ.A</t>
  </si>
  <si>
    <t>Freight: Truck Stock: Fuel Efficiency: Heavy: Diesel: Alternative Electricity and Transportation</t>
  </si>
  <si>
    <t>AEO.2026.ELECTRNP.EFI_NA_FGHT_SOSOS_NA_NA_NA_NA.A</t>
  </si>
  <si>
    <t>Freight: Truck Stock: Fuel Efficiency: Medium: Average: Alternative Electricity and Transportation</t>
  </si>
  <si>
    <t>AEO.2026.ELECTRNP.EFI_NA_FGHT_SOSOS_HYDICE_NA_NA_MPGDSEQ.A</t>
  </si>
  <si>
    <t>Freight: Truck Stock: Fuel Efficiency: Medium: Hydrogen ICE: Alternative Electricity and Transportation</t>
  </si>
  <si>
    <t>AEO.2026.ELECTRNP.EFI_NA_FGHT_SOSOS_GASHEV_NA_NA_MPGGASEQ.A</t>
  </si>
  <si>
    <t>Freight: Truck Stock: Fuel Efficiency: Medium: Gasoline Hybrid: Alternative Electricity and Transportation</t>
  </si>
  <si>
    <t>AEO.2026.ELECTRNP.EFI_NA_FGHT_SOSOS_FEUCELBATDOM_NA_NA_MPGDSEQ.A</t>
  </si>
  <si>
    <t>Freight: Truck Stock: Fuel Efficiency: Medium: Fuel Cell Battery Dominant: Alternative Electricity and Transportation</t>
  </si>
  <si>
    <t>AEO.2026.ELECTRNP.EFI_NA_FGHT_SOSOS_FUC_NA_NA_MPGGASEQ.A</t>
  </si>
  <si>
    <t>Freight: Truck Stock: Fuel Efficiency: Medium: Fuel Cell: Alternative Electricity and Transportation</t>
  </si>
  <si>
    <t>AEO.2026.ELECTRNP.EFI_NA_FGHT_SOSOS_EGH_NA_NA_MPGGASEQ.A</t>
  </si>
  <si>
    <t>Freight: Truck Stock: Fuel Efficiency: Medium: Plug-in Gasoline Hybrid: Alternative Electricity and Transportation</t>
  </si>
  <si>
    <t>AEO.2026.ELECTRNP.EFI_NA_FGHT_SOSOS_EDH_NA_NA_MPGGASEQ.A</t>
  </si>
  <si>
    <t>Freight: Truck Stock: Fuel Efficiency: Medium: Plug-in Diesel Hybrid: Alternative Electricity and Transportation</t>
  </si>
  <si>
    <t>AEO.2026.ELECTRNP.EFI_NA_FGHT_SOSOS_ELE_NA_NA_MPGGASEQ.A</t>
  </si>
  <si>
    <t>Freight: Truck Stock: Fuel Efficiency: Medium: Electric: Alternative Electricity and Transportation</t>
  </si>
  <si>
    <t>AEO.2026.ELECTRNP.EFI_NA_FGHT_SOSOS_EFFI_NA_NA_MPG.A</t>
  </si>
  <si>
    <t>Freight: Truck Stock: Fuel Efficiency: Medium: Ethanol-Flex Fuel: Alternative Electricity and Transportation</t>
  </si>
  <si>
    <t>AEO.2026.ELECTRNP.EFI_NA_FGHT_SOSOS_NG_NA_NA_MPGGASEQ.A</t>
  </si>
  <si>
    <t>Freight: Truck Stock: Fuel Efficiency: Medium: Natural Gas: Alternative Electricity and Transportation</t>
  </si>
  <si>
    <t>AEO.2026.ELECTRNP.EFI_NA_FGHT_SOSOS_PROP_NA_NA_MPGGASEQ.A</t>
  </si>
  <si>
    <t>Freight: Truck Stock: Fuel Efficiency: Medium: Propane: Alternative Electricity and Transportation</t>
  </si>
  <si>
    <t>AEO.2026.ELECTRNP.EFI_NA_FGHT_SOSOS_MGS_NA_NA_MPGGASEQ.A</t>
  </si>
  <si>
    <t>Freight: Truck Stock: Fuel Efficiency: Medium: Motor Gasoline: Alternative Electricity and Transportation</t>
  </si>
  <si>
    <t>AEO.2026.ELECTRNP.EFI_NA_FGHT_SOSOS_DSL_NA_NA_MPGDSEQ.A</t>
  </si>
  <si>
    <t>Freight: Truck Stock: Fuel Efficiency: Medium: Diesel: Alternative Electricity and Transportation</t>
  </si>
  <si>
    <t>AEO.2026.ELECTRNP.EFI_NA_FGHT_LITEMEDS_NA_NA_NA_NA.A</t>
  </si>
  <si>
    <t>Freight: Truck Stock: Fuel Efficiency: Light Medium: Average: Alternative Electricity and Transportation</t>
  </si>
  <si>
    <t>AEO.2026.ELECTRNP.EFI_NA_FGHT_LITEMEDS_HYDICE_NA_NA_MPGDSEQ.A</t>
  </si>
  <si>
    <t>Freight: Truck Stock: Fuel Efficiency: Light Medium: Hydrogen ICE: Alternative Electricity and Transportation</t>
  </si>
  <si>
    <t>AEO.2026.ELECTRNP.EFI_NA_FGHT_LITEMEDS_GASHEV_NA_NA_MPGGASEQ.A</t>
  </si>
  <si>
    <t>Freight: Truck Stock: Fuel Efficiency: Light Medium: Gasoline Hybrid: Alternative Electricity and Transportation</t>
  </si>
  <si>
    <t>AEO.2026.ELECTRNP.EFI_NA_FGHT_LITEMEDS_FEUCELBATDOM_NA_NA_MPGDSEQ.A</t>
  </si>
  <si>
    <t>Freight: Truck Stock: Fuel Efficiency: Light Medium: Fuel Cell Battery Dominant: Alternative Electricity and Transportation</t>
  </si>
  <si>
    <t>AEO.2026.ELECTRNP.EFI_NA_FGHT_LITEMEDS_FUC_NA_NA_MPGDSEQ.A</t>
  </si>
  <si>
    <t>Freight: Truck Stock: Fuel Efficiency: Light Medium: Fuel Cell: Alternative Electricity and Transportation</t>
  </si>
  <si>
    <t>AEO.2026.ELECTRNP.EFI_NA_FGHT_LITEMEDS_EGH_NA_NA_MPGGASEQ.A</t>
  </si>
  <si>
    <t>Freight: Truck Stock: Fuel Efficiency: Light Medium: Plug-in Gasoline Hybrid: Alternative Electricity and Transportation</t>
  </si>
  <si>
    <t>AEO.2026.ELECTRNP.EFI_NA_FGHT_LITEMEDS_EDH_NA_NA_MPGDSEQ.A</t>
  </si>
  <si>
    <t>Freight: Truck Stock: Fuel Efficiency: Light Medium: Plug-in Diesel Hybrid: Alternative Electricity and Transportation</t>
  </si>
  <si>
    <t>AEO.2026.ELECTRNP.EFI_NA_FGHT_LITEMEDS_ELE_NA_NA_MPGDSEQ.A</t>
  </si>
  <si>
    <t>Freight: Truck Stock: Fuel Efficiency: Light Medium: Electric: Alternative Electricity and Transportation</t>
  </si>
  <si>
    <t>AEO.2026.ELECTRNP.EFI_NA_FGHT_LITEMEDS_EFFI_NA_NA_MPGGASEQ.A</t>
  </si>
  <si>
    <t>Freight: Truck Stock: Fuel Efficiency: Light Medium: Ethanol-Flex Fuel: Alternative Electricity and Transportation</t>
  </si>
  <si>
    <t>AEO.2026.ELECTRNP.EFI_NA_FGHT_LITEMEDS_NG_NA_NA_MPGGASEQ.A</t>
  </si>
  <si>
    <t>Freight: Truck Stock: Fuel Efficiency: Light Medium: Natural Gas: Alternative Electricity and Transportation</t>
  </si>
  <si>
    <t>AEO.2026.ELECTRNP.EFI_NA_FGHT_LITEMEDS_PROP_NA_NA_MPGGASEQ.A</t>
  </si>
  <si>
    <t>Freight: Truck Stock: Fuel Efficiency: Light Medium: Propane: Alternative Electricity and Transportation</t>
  </si>
  <si>
    <t>AEO.2026.ELECTRNP.EFI_NA_FGHT_LITEMEDS_MGS_NA_NA_MPGGASEQ.A</t>
  </si>
  <si>
    <t>Freight: Truck Stock: Fuel Efficiency: Light Medium: Motor Gasoline: Alternative Electricity and Transportation</t>
  </si>
  <si>
    <t>AEO.2026.ELECTRNP.EFI_NA_FGHT_LITEMEDS_DSL_NA_NA_MPGDSEQ.A</t>
  </si>
  <si>
    <t>Freight: Truck Stock: Fuel Efficiency: Light Medium: Diesel: Alternative Electricity and Transportation</t>
  </si>
  <si>
    <t>AEO.2026.ELECTRNP.CNSM_NA_FGHT_STK_NA_NA_NA_TRLBTU.A</t>
  </si>
  <si>
    <t>Freight: Truck Stock: Use: Light Medium, Medium, and Heavy: Alternative Electricity and Transportation</t>
  </si>
  <si>
    <t>AEO.2026.ELECTRNP.CNSM_NA_FGHT_STK_HYDICE_NA_NA_TRLBTU.A</t>
  </si>
  <si>
    <t>Freight: Truck Stock: Use: Light Medium, Medium, and Heavy: Hydrogen ICE: Alternative Electricity and Transportation</t>
  </si>
  <si>
    <t>AEO.2026.ELECTRNP.CNSM_NA_FGHT_STK_GASHEV_NA_NA_TRLBTU.A</t>
  </si>
  <si>
    <t>Freight: Truck Stock: Use: Light Medium, Medium, and Heavy: Gasoline Hybrid: Alternative Electricity and Transportation</t>
  </si>
  <si>
    <t>AEO.2026.ELECTRNP.CNSM_NA_FGHT_STK_FEUCELBATDOM_NA_NA_TRLBTU.A</t>
  </si>
  <si>
    <t>Freight: Truck Stock: Use: Light Medium, Medium, and Heavy: Fuel Cell Battery Dominant: Alternative Electricity and Transportation</t>
  </si>
  <si>
    <t>AEO.2026.ELECTRNP.CNSM_NA_FGHT_STK_FUC_NA_NA_TRLBTU.A</t>
  </si>
  <si>
    <t>Freight: Truck Stock: Use: Light Medium, Medium, and Heavy: Fuel Cell: Alternative Electricity and Transportation</t>
  </si>
  <si>
    <t>AEO.2026.ELECTRNP.CNSM_NA_FGHT_STK_EGH_NA_NA_TRLBTU.A</t>
  </si>
  <si>
    <t>Freight: Truck Stock: Use: Light Medium, Medium, and Heavy: Plug-in Gasoline Hybrid: Alternative Electricity and Transportation</t>
  </si>
  <si>
    <t>AEO.2026.ELECTRNP.CNSM_NA_FGHT_STK_EDH_NA_NA_TRLBTU.A</t>
  </si>
  <si>
    <t>Freight: Truck Stock: Use: Light Medium, Medium, and Heavy: Plug-in Diesel Hybrid: Alternative Electricity and Transportation</t>
  </si>
  <si>
    <t>AEO.2026.ELECTRNP.CNSM_NA_FGHT_STK_ELE_NA_NA_TRLBTU.A</t>
  </si>
  <si>
    <t>Freight: Truck Stock: Use: Light Medium, Medium, and Heavy: Electric: Alternative Electricity and Transportation</t>
  </si>
  <si>
    <t>AEO.2026.ELECTRNP.CNSM_NA_FGHT_STK_EFFI_NA_NA_TRLBTU.A</t>
  </si>
  <si>
    <t>Freight: Truck Stock: Use: Light Medium, Medium, and Heavy: Ethanol-Flex Fuel: Alternative Electricity and Transportation</t>
  </si>
  <si>
    <t>AEO.2026.ELECTRNP.CNSM_NA_FGHT_STK_NG_NA_NA_TRLBTU.A</t>
  </si>
  <si>
    <t>Freight: Truck Stock: Use: Light Medium, Medium, and Heavy: Natural Gas: Alternative Electricity and Transportation</t>
  </si>
  <si>
    <t>AEO.2026.ELECTRNP.CNSM_NA_FGHT_STK_PROP_NA_NA_TRLBTU.A</t>
  </si>
  <si>
    <t>Freight: Truck Stock: Use: Light Medium, Medium, and Heavy: Propane: Alternative Electricity and Transportation</t>
  </si>
  <si>
    <t>AEO.2026.ELECTRNP.CNSM_NA_FGHT_STK_MGS_NA_NA_TRLBTU.A</t>
  </si>
  <si>
    <t>Freight: Truck Stock: Use: Light Medium, Medium, and Heavy: Motor Gasoline: Alternative Electricity and Transportation</t>
  </si>
  <si>
    <t>AEO.2026.ELECTRNP.CNSM_NA_FGHT_STK_DSL_NA_NA_TRLBTU.A</t>
  </si>
  <si>
    <t>Freight: Truck Stock: Use: Light Medium, Medium, and Heavy: Diesel: Alternative Electricity and Transportation</t>
  </si>
  <si>
    <t>AEO.2026.ELECTRNP.CNSM_NA_FGHT_RADS_NA_NA_NA_TRLBTU.A</t>
  </si>
  <si>
    <t>Freight: Truck Stock: Use: Heavy: Alternative Electricity and Transportation</t>
  </si>
  <si>
    <t>AEO.2026.ELECTRNP.CNSM_NA_FGHT_RADS_HYDICE_NA_NA_TRLBTU.A</t>
  </si>
  <si>
    <t>Freight: Truck Stock: Use: Heavy: Hydrogen ICE: Alternative Electricity and Transportation</t>
  </si>
  <si>
    <t>AEO.2026.ELECTRNP.CNSM_NA_FGHT_RADS_GASHEV_NA_NA_TRLBTU.A</t>
  </si>
  <si>
    <t>Freight: Truck Stock: Use: Heavy: Gasoline Hybrid: Alternative Electricity and Transportation</t>
  </si>
  <si>
    <t>AEO.2026.ELECTRNP.CNSM_NA_FGHT_RADS_FEUCELBATDOM_NA_NA_TRLBTU.A</t>
  </si>
  <si>
    <t>Freight: Truck Stock: Use: Heavy: Fuel Cell Battery Dominant: Alternative Electricity and Transportation</t>
  </si>
  <si>
    <t>AEO.2026.ELECTRNP.CNSM_NA_FGHT_RADS_FUC_NA_NA_TRLBTU.A</t>
  </si>
  <si>
    <t>Freight: Truck Stock: Use: Heavy: Fuel Cell: Alternative Electricity and Transportation</t>
  </si>
  <si>
    <t>AEO.2026.ELECTRNP.CNSM_NA_FGHT_RADS_EGH_NA_NA_TRLBTU.A</t>
  </si>
  <si>
    <t>Freight: Truck Stock: Use: Heavy: Plug-in Gasoline Hybrid: Alternative Electricity and Transportation</t>
  </si>
  <si>
    <t>AEO.2026.ELECTRNP.CNSM_NA_FGHT_RADS_EDH_NA_NA_TRLBTU.A</t>
  </si>
  <si>
    <t>Freight: Truck Stock: Use: Heavy: Plug-in Diesel Hybrid: Alternative Electricity and Transportation</t>
  </si>
  <si>
    <t>AEO.2026.ELECTRNP.CNSM_NA_FGHT_RADS_ELE_NA_NA_TRLBTU.A</t>
  </si>
  <si>
    <t>Freight: Truck Stock: Use: Heavy: Electric: Alternative Electricity and Transportation</t>
  </si>
  <si>
    <t>AEO.2026.ELECTRNP.CNSM_NA_FGHT_RADS_EFFI_NA_NA_TRLBTU.A</t>
  </si>
  <si>
    <t>Freight: Truck Stock: Use: Heavy: Ethanol-Flex Fuel: Alternative Electricity and Transportation</t>
  </si>
  <si>
    <t>AEO.2026.ELECTRNP.CNSM_NA_FGHT_RADS_NG_NA_NA_TRLBTU.A</t>
  </si>
  <si>
    <t>Freight: Truck Stock: Use: Heavy: Natural Gas: Alternative Electricity and Transportation</t>
  </si>
  <si>
    <t>AEO.2026.ELECTRNP.CNSM_NA_FGHT_RADS_PROP_NA_NA_TRLBTU.A</t>
  </si>
  <si>
    <t>Freight: Truck Stock: Use: Heavy: Propane: Alternative Electricity and Transportation</t>
  </si>
  <si>
    <t>AEO.2026.ELECTRNP.CNSM_NA_FGHT_RADS_MGS_NA_NA_TRLBTU.A</t>
  </si>
  <si>
    <t>Freight: Truck Stock: Use: Heavy: Motor Gasoline: Alternative Electricity and Transportation</t>
  </si>
  <si>
    <t>AEO.2026.ELECTRNP.CNSM_NA_FGHT_RADS_DSL_NA_NA_TRLBTU.A</t>
  </si>
  <si>
    <t>Freight: Truck Stock: Use: Heavy: Diesel: Alternative Electricity and Transportation</t>
  </si>
  <si>
    <t>AEO.2026.ELECTRNP.CNSM_NA_FGHT_SOSOS_NA_NA_NA_TRLBTU.A</t>
  </si>
  <si>
    <t>Freight: Truck Stock: Use: Medium: Alternative Electricity and Transportation</t>
  </si>
  <si>
    <t>AEO.2026.ELECTRNP.CNSM_NA_FGHT_SOSOS_HYDICE_NA_NA_TRLBTU.A</t>
  </si>
  <si>
    <t>Freight: Truck Stock: Use: Medium: Hydrogen ICE: Alternative Electricity and Transportation</t>
  </si>
  <si>
    <t>AEO.2026.ELECTRNP.CNSM_NA_FGHT_SOSOS_GASHEV_NA_NA_TRLBTU.A</t>
  </si>
  <si>
    <t>Freight: Truck Stock: Use: Medium: Gasoline Hybrid: Alternative Electricity and Transportation</t>
  </si>
  <si>
    <t>AEO.2026.ELECTRNP.CNSM_NA_FGHT_SOSOS_FEUCELBATDOM_NA_NA_TRLBTU.A</t>
  </si>
  <si>
    <t>Freight: Truck Stock: Use: Medium: Fuel Cell Battery Dominant: Alternative Electricity and Transportation</t>
  </si>
  <si>
    <t>AEO.2026.ELECTRNP.CNSM_NA_FGHT_SOSOS_FUC_NA_NA_TRLBTU.A</t>
  </si>
  <si>
    <t>Freight: Truck Stock: Use: Medium: Fuel Cell: Alternative Electricity and Transportation</t>
  </si>
  <si>
    <t>AEO.2026.ELECTRNP.CNSM_NA_FGHT_SOSOS_EGH_NA_NA_TRLBTU.A</t>
  </si>
  <si>
    <t>Freight: Truck Stock: Use: Medium: Plug-in Gasoline Hybrid: Alternative Electricity and Transportation</t>
  </si>
  <si>
    <t>AEO.2026.ELECTRNP.CNSM_NA_FGHT_SOSOS_EDH_NA_NA_TRLBTU.A</t>
  </si>
  <si>
    <t>Freight: Truck Stock: Use: Medium: Plug-in Diesel Hybrid: Alternative Electricity and Transportation</t>
  </si>
  <si>
    <t>AEO.2026.ELECTRNP.CNSM_NA_FGHT_SOSOS_ELE_NA_NA_TRLBTU.A</t>
  </si>
  <si>
    <t>Freight: Truck Stock: Use: Medium: Electric: Alternative Electricity and Transportation</t>
  </si>
  <si>
    <t>AEO.2026.ELECTRNP.CNSM_NA_FGHT_SOSOS_EFFI_NA_NA_TRLBTU.A</t>
  </si>
  <si>
    <t>Freight: Truck Stock: Use: Medium: Ethanol-Flex Fuel: Alternative Electricity and Transportation</t>
  </si>
  <si>
    <t>AEO.2026.ELECTRNP.CNSM_NA_FGHT_SOSOS_NG_NA_NA_TRLBTU.A</t>
  </si>
  <si>
    <t>Freight: Truck Stock: Use: Medium: Natural Gas: Alternative Electricity and Transportation</t>
  </si>
  <si>
    <t>AEO.2026.ELECTRNP.CNSM_NA_FGHT_SOSOS_PROP_NA_NA_TRLBTU.A</t>
  </si>
  <si>
    <t>Freight: Truck Stock: Use: Medium: Propane: Alternative Electricity and Transportation</t>
  </si>
  <si>
    <t>AEO.2026.ELECTRNP.CNSM_NA_FGHT_SOSOS_MGS_NA_NA_TRLBTU.A</t>
  </si>
  <si>
    <t>Freight: Truck Stock: Use: Medium: Motor Gasoline: Alternative Electricity and Transportation</t>
  </si>
  <si>
    <t>AEO.2026.ELECTRNP.CNSM_NA_FGHT_SOSOS_DSL_NA_NA_TRLBTU.A</t>
  </si>
  <si>
    <t>Freight: Truck Stock: Use: Medium: Diesel: Alternative Electricity and Transportation</t>
  </si>
  <si>
    <t>AEO.2026.ELECTRNP.CNSM_NA_FGHT_LITEMEDS_NA_NA_NA_TRLBTU.A</t>
  </si>
  <si>
    <t>Freight: Truck Stock: Use: Light Medium: Alternative Electricity and Transportation</t>
  </si>
  <si>
    <t>AEO.2026.ELECTRNP.CNSM_NA_FGHT_LITEMEDS_HYDICE_NA_NA_TRLBTU.A</t>
  </si>
  <si>
    <t>Freight: Truck Stock: Use: Light Medium: Hydrogen ICE: Alternative Electricity and Transportation</t>
  </si>
  <si>
    <t>AEO.2026.ELECTRNP.CNSM_NA_FGHT_LITEMEDS_GASHEV_NA_NA_TRLBTU.A</t>
  </si>
  <si>
    <t>Freight: Truck Stock: Use: Light Medium: Gasoline Hybrid: Alternative Electricity and Transportation</t>
  </si>
  <si>
    <t>AEO.2026.ELECTRNP.CNSM_NA_FGHT_LITEMEDS_FEUCELBATDOM_NA_NA_TRLBTU.A</t>
  </si>
  <si>
    <t>Freight: Truck Stock: Use: Light Medium: Fuel Cell Battery Dominant: Alternative Electricity and Transportation</t>
  </si>
  <si>
    <t>AEO.2026.ELECTRNP.CNSM_NA_FGHT_LITEMEDS_FUC_NA_NA_TRLBTU.A</t>
  </si>
  <si>
    <t>Freight: Truck Stock: Use: Light Medium: Fuel Cell: Alternative Electricity and Transportation</t>
  </si>
  <si>
    <t>AEO.2026.ELECTRNP.CNSM_NA_FGHT_LITEMEDS_EGH_NA_NA_TRLBTU.A</t>
  </si>
  <si>
    <t>Freight: Truck Stock: Use: Light Medium: Plug-in Gasoline Hybrid: Alternative Electricity and Transportation</t>
  </si>
  <si>
    <t>AEO.2026.ELECTRNP.CNSM_NA_FGHT_LITEMEDS_EDH_NA_NA_TRLBTU.A</t>
  </si>
  <si>
    <t>Freight: Truck Stock: Use: Light Medium: Plug-in Diesel Hybrid: Alternative Electricity and Transportation</t>
  </si>
  <si>
    <t>AEO.2026.ELECTRNP.CNSM_NA_FGHT_LITEMEDS_ELE_NA_NA_TRLBTU.A</t>
  </si>
  <si>
    <t>Freight: Truck Stock: Use: Light Medium: Electric: Alternative Electricity and Transportation</t>
  </si>
  <si>
    <t>AEO.2026.ELECTRNP.CNSM_NA_FGHT_LITEMEDS_EFFI_NA_NA_TRLBTU.A</t>
  </si>
  <si>
    <t>Freight: Truck Stock: Use: Light Medium: Ethanol-Flex Fuel: Alternative Electricity and Transportation</t>
  </si>
  <si>
    <t>AEO.2026.ELECTRNP.CNSM_NA_FGHT_LITEMEDS_NG_NA_NA_TRLBTU.A</t>
  </si>
  <si>
    <t>Freight: Truck Stock: Use: Light Medium: Natural Gas: Alternative Electricity and Transportation</t>
  </si>
  <si>
    <t>AEO.2026.ELECTRNP.CNSM_NA_FGHT_LITEMEDS_PROP_NA_NA_TRLBTU.A</t>
  </si>
  <si>
    <t>Freight: Truck Stock: Use: Light Medium: Propane: Alternative Electricity and Transportation</t>
  </si>
  <si>
    <t>AEO.2026.ELECTRNP.CNSM_NA_FGHT_LITEMEDS_MGS_NA_NA_TRLBTU.A</t>
  </si>
  <si>
    <t>Freight: Truck Stock: Use: Light Medium: Motor Gasoline: Alternative Electricity and Transportation</t>
  </si>
  <si>
    <t>AEO.2026.ELECTRNP.CNSM_NA_FGHT_LITEMEDS_DSL_NA_NA_TRLBTU.A</t>
  </si>
  <si>
    <t>Freight: Truck Stock: Use: Light Medium: Diesel: Alternative Electricity and Transportation</t>
  </si>
  <si>
    <t>AEO.2026.ELECTRNP.ECI_VMT_FGHT_STK_NA_NA_NA_BLNMLS.A</t>
  </si>
  <si>
    <t>Freight: Truck Stock: Vehicle Miles Traveled: Alternative Electricity and Transportation</t>
  </si>
  <si>
    <t>AEO.2026.ELECTRNP.ECI_VMT_FGHT_RADS_NA_NA_NA_BLNMLS.A</t>
  </si>
  <si>
    <t>Freight: Truck Stock: Vehicle Miles Traveled: Heavy: Alternative Electricity and Transportation</t>
  </si>
  <si>
    <t>AEO.2026.ELECTRNP.ECI_VMT_FGHT_RADS_HYDICE_NA_NA_BLNMLS.A</t>
  </si>
  <si>
    <t>Freight: Truck Stock: Vehicle Miles Traveled: Heavy: Hydrogen ICE: Alternative Electricity and Transportation</t>
  </si>
  <si>
    <t>AEO.2026.ELECTRNP.ECI_VMT_FGHT_RADS_GASHEV_NA_NA_BLNMLS.A</t>
  </si>
  <si>
    <t>Freight: Truck Stock: Vehicle Miles Traveled: Heavy: Gasoline Hybrid: Alternative Electricity and Transportation</t>
  </si>
  <si>
    <t>AEO.2026.ELECTRNP.ECI_VMT_FGHT_RADS_FEUCELBATDOM_NA_NA_BLNMLS.A</t>
  </si>
  <si>
    <t>Freight: Truck Stock: Vehicle Miles Traveled: Heavy: Fuel Cell Battery Dominant: Alternative Electricity and Transportation</t>
  </si>
  <si>
    <t>AEO.2026.ELECTRNP.ECI_VMT_FGHT_RADS_FUC_NA_NA_BLNMLS.A</t>
  </si>
  <si>
    <t>Freight: Truck Stock: Vehicle Miles Traveled: Heavy: Fuel Cell: Alternative Electricity and Transportation</t>
  </si>
  <si>
    <t>AEO.2026.ELECTRNP.ECI_VMT_FGHT_RADS_EGH_NA_NA_BLNMLS.A</t>
  </si>
  <si>
    <t>Freight: Truck Stock: Vehicle Miles Traveled: Heavy: Plug-in Gasoline Hybrid: Alternative Electricity and Transportation</t>
  </si>
  <si>
    <t>AEO.2026.ELECTRNP.ECI_VMT_FGHT_RADS_EDH_NA_NA_BLNMLS.A</t>
  </si>
  <si>
    <t>Freight: Truck Stock: Vehicle Miles Traveled: Heavy: Plug-in Diesel Hybrid: Alternative Electricity and Transportation</t>
  </si>
  <si>
    <t>AEO.2026.ELECTRNP.ECI_VMT_FGHT_RADS_ELE_NA_NA_BLNMLS.A</t>
  </si>
  <si>
    <t>Freight: Truck Stock: Vehicle Miles Traveled: Heavy: Electric: Alternative Electricity and Transportation</t>
  </si>
  <si>
    <t>AEO.2026.ELECTRNP.ECI_VMT_FGHT_RADS_EFFI_NA_NA_BLNMLS.A</t>
  </si>
  <si>
    <t>Freight: Truck Stock: Vehicle Miles Traveled: Heavy: Ethanol-Flex Fuel: Alternative Electricity and Transportation</t>
  </si>
  <si>
    <t>AEO.2026.ELECTRNP.ECI_VMT_FGHT_RADS_NG_NA_NA_BLNMLS.A</t>
  </si>
  <si>
    <t>Freight: Truck Stock: Vehicle Miles Traveled: Heavy: Natural Gas: Alternative Electricity and Transportation</t>
  </si>
  <si>
    <t>AEO.2026.ELECTRNP.ECI_VMT_FGHT_RADS_PROP_NA_NA_BLNMLS.A</t>
  </si>
  <si>
    <t>Freight: Truck Stock: Vehicle Miles Traveled: Heavy: Propane: Alternative Electricity and Transportation</t>
  </si>
  <si>
    <t>AEO.2026.ELECTRNP.ECI_VMT_FGHT_RADS_MGS_NA_NA_BLNMLS.A</t>
  </si>
  <si>
    <t>Freight: Truck Stock: Vehicle Miles Traveled: Heavy: Motor Gasoline: Alternative Electricity and Transportation</t>
  </si>
  <si>
    <t>AEO.2026.ELECTRNP.ECI_VMT_FGHT_RADS_DSL_NA_NA_BLNMLS.A</t>
  </si>
  <si>
    <t>Freight: Truck Stock: Vehicle Miles Traveled: Heavy: Diesel: Alternative Electricity and Transportation</t>
  </si>
  <si>
    <t>AEO.2026.ELECTRNP.ECI_VMT_FGHT_SOSOS_NA_NA_NA_BLNMLS.A</t>
  </si>
  <si>
    <t>Freight: Truck Stock: Vehicle Miles Traveled: Medium: Alternative Electricity and Transportation</t>
  </si>
  <si>
    <t>AEO.2026.ELECTRNP.ECI_VMT_FGHT_SOSOS_HYDICE_NA_NA_BLNMLS.A</t>
  </si>
  <si>
    <t>Freight: Truck Stock: Vehicle Miles Traveled: Medium: Hydrogen ICE: Alternative Electricity and Transportation</t>
  </si>
  <si>
    <t>AEO.2026.ELECTRNP.ECI_VMT_FGHT_SOSOS_GASHEV_NA_NA_BLNMLS.A</t>
  </si>
  <si>
    <t>Freight: Truck Stock: Vehicle Miles Traveled: Medium: Gasoline Hybrid: Alternative Electricity and Transportation</t>
  </si>
  <si>
    <t>AEO.2026.ELECTRNP.ECI_VMT_FGHT_SOSOS_FEUCELBATDOM_NA_NA_BLNMLS.A</t>
  </si>
  <si>
    <t>Freight: Truck Stock: Vehicle Miles Traveled: Medium: Fuel Cell Battery Dominant: Alternative Electricity and Transportation</t>
  </si>
  <si>
    <t>AEO.2026.ELECTRNP.ECI_VMT_FGHT_SOSOS_FUC_NA_NA_BLNMLS.A</t>
  </si>
  <si>
    <t>Freight: Truck Stock: Vehicle Miles Traveled: Medium: Fuel Cell: Alternative Electricity and Transportation</t>
  </si>
  <si>
    <t>AEO.2026.ELECTRNP.ECI_VMT_FGHT_SOSOS_EGH_NA_NA_BLNMLS.A</t>
  </si>
  <si>
    <t>Freight: Truck Stock: Vehicle Miles Traveled: Medium: Plug-in Gasoline Hybrid: Alternative Electricity and Transportation</t>
  </si>
  <si>
    <t>AEO.2026.ELECTRNP.ECI_VMT_FGHT_SOSOS_EDH_NA_NA_BLNMLS.A</t>
  </si>
  <si>
    <t>Freight: Truck Stock: Vehicle Miles Traveled: Medium: Plug-in Diesel Hybrid: Alternative Electricity and Transportation</t>
  </si>
  <si>
    <t>AEO.2026.ELECTRNP.ECI_VMT_FGHT_SOSOS_ELE_NA_NA_BLNMLS.A</t>
  </si>
  <si>
    <t>Freight: Truck Stock: Vehicle Miles Traveled: Medium: Electric: Alternative Electricity and Transportation</t>
  </si>
  <si>
    <t>AEO.2026.ELECTRNP.ECI_VMT_FGHT_SOSOS_EFFI_NA_NA_BLNMLS.A</t>
  </si>
  <si>
    <t>Freight: Truck Stock: Vehicle Miles Traveled: Medium: Ethanol-Flex Fuel: Alternative Electricity and Transportation</t>
  </si>
  <si>
    <t>AEO.2026.ELECTRNP.ECI_VMT_FGHT_SOSOS_NG_NA_NA_BLNMLS.A</t>
  </si>
  <si>
    <t>Freight: Truck Stock: Vehicle Miles Traveled: Medium: Natural Gas: Alternative Electricity and Transportation</t>
  </si>
  <si>
    <t>AEO.2026.ELECTRNP.ECI_VMT_FGHT_SOSOS_PROP_NA_NA_BLNMLS.A</t>
  </si>
  <si>
    <t>Freight: Truck Stock: Vehicle Miles Traveled: Medium: Propane: Alternative Electricity and Transportation</t>
  </si>
  <si>
    <t>AEO.2026.ELECTRNP.ECI_VMT_FGHT_SOSOS_MGS_NA_NA_BLNMLS.A</t>
  </si>
  <si>
    <t>Freight: Truck Stock: Vehicle Miles Traveled: Medium: Motor Gasoline: Alternative Electricity and Transportation</t>
  </si>
  <si>
    <t>AEO.2026.ELECTRNP.ECI_VMT_FGHT_SOSOS_DSL_NA_NA_BLNMLS.A</t>
  </si>
  <si>
    <t>Freight: Truck Stock: Vehicle Miles Traveled: Medium: Diesel: Alternative Electricity and Transportation</t>
  </si>
  <si>
    <t>AEO.2026.ELECTRNP.ECI_VMT_FGHT_LITEMEDS_NA_NA_NA_BLNMLS.A</t>
  </si>
  <si>
    <t>Freight: Truck Stock: Vehicle Miles Traveled: Light Medium: Alternative Electricity and Transportation</t>
  </si>
  <si>
    <t>AEO.2026.ELECTRNP.ECI_VMT_FGHT_LITEMEDS_HYDICE_NA_NA_BLNMLS.A</t>
  </si>
  <si>
    <t>Freight: Truck Stock: Vehicle Miles Traveled: Light Medium: Hydrogen ICE: Alternative Electricity and Transportation</t>
  </si>
  <si>
    <t>AEO.2026.ELECTRNP.ECI_VMT_FGHT_LITEMEDS_GASHEV_NA_NA_BLNMLS.A</t>
  </si>
  <si>
    <t>Freight: Truck Stock: Vehicle Miles Traveled: Light Medium: Gasoline Hybrid: Alternative Electricity and Transportation</t>
  </si>
  <si>
    <t>AEO.2026.ELECTRNP.ECI_VMT_FGHT_LITEMEDS_FEUCELBATDOM_NA_NA_BLNMLS.A</t>
  </si>
  <si>
    <t>Freight: Truck Stock: Vehicle Miles Traveled: Light Medium: Fuel Cell Battery Dominant: Alternative Electricity and Transportation</t>
  </si>
  <si>
    <t>AEO.2026.ELECTRNP.ECI_VMT_FGHT_LITEMEDS_FUC_NA_NA_BLNMLS.A</t>
  </si>
  <si>
    <t>Freight: Truck Stock: Vehicle Miles Traveled: Light Medium: Fuel Cell: Alternative Electricity and Transportation</t>
  </si>
  <si>
    <t>AEO.2026.ELECTRNP.ECI_VMT_FGHT_LITEMEDS_EGH_NA_NA_BLNMLS.A</t>
  </si>
  <si>
    <t>Freight: Truck Stock: Vehicle Miles Traveled: Light Medium: Plug-in Gasoline Hybrid: Alternative Electricity and Transportation</t>
  </si>
  <si>
    <t>AEO.2026.ELECTRNP.ECI_VMT_FGHT_LITEMEDS_EDH_NA_NA_BLNMLS.A</t>
  </si>
  <si>
    <t>Freight: Truck Stock: Vehicle Miles Traveled: Light Medium: Plug-in Diesel Hybrid: Alternative Electricity and Transportation</t>
  </si>
  <si>
    <t>AEO.2026.ELECTRNP.ECI_VMT_FGHT_LITEMEDS_ELE_NA_NA_BLNMLS.A</t>
  </si>
  <si>
    <t>Freight: Truck Stock: Vehicle Miles Traveled: Light Medium: Electric: Alternative Electricity and Transportation</t>
  </si>
  <si>
    <t>AEO.2026.ELECTRNP.ECI_VMT_FGHT_LITEMEDS_EFFI_NA_NA_BLNMLS.A</t>
  </si>
  <si>
    <t>Freight: Truck Stock: Vehicle Miles Traveled: Light Medium: Ethanol-Flex Fuel: Alternative Electricity and Transportation</t>
  </si>
  <si>
    <t>AEO.2026.ELECTRNP.ECI_VMT_FGHT_LITEMEDS_NG_NA_NA_BLNMLS.A</t>
  </si>
  <si>
    <t>Freight: Truck Stock: Vehicle Miles Traveled: Light Medium: Natural Gas: Alternative Electricity and Transportation</t>
  </si>
  <si>
    <t>AEO.2026.ELECTRNP.ECI_VMT_FGHT_LITEMEDS_PROP_NA_NA_BLNMLS.A</t>
  </si>
  <si>
    <t>Freight: Truck Stock: Vehicle Miles Traveled: Light Medium: Propane: Alternative Electricity and Transportation</t>
  </si>
  <si>
    <t>AEO.2026.ELECTRNP.ECI_VMT_FGHT_LITEMEDS_MGS_NA_NA_BLNMLS.A</t>
  </si>
  <si>
    <t>Freight: Truck Stock: Vehicle Miles Traveled: Light Medium: Motor Gasoline: Alternative Electricity and Transportation</t>
  </si>
  <si>
    <t>AEO.2026.ELECTRNP.ECI_VMT_FGHT_LITEMEDS_DSL_NA_NA_BLNMLS.A</t>
  </si>
  <si>
    <t>Freight: Truck Stock: Vehicle Miles Traveled: Light Medium: Diesel: Alternative Electricity and Transportation</t>
  </si>
  <si>
    <t>Thu Apr 23 2026 15:05:43 GMT-0700 (Pacific Daylight Time)</t>
  </si>
  <si>
    <t>https://www.eia.gov/outlooks/aeo/data/browser/#/?id=58-AEO2026&amp;cases=electrnp&amp;sourcekey=0</t>
  </si>
  <si>
    <t>LDV FREIGHT</t>
  </si>
  <si>
    <t>AEO 2026 Values</t>
  </si>
  <si>
    <t>BCDTRSTY</t>
  </si>
  <si>
    <t>Calcs</t>
  </si>
  <si>
    <t>Backast stock values because they don’t align between AEO 2025 and 2026</t>
  </si>
  <si>
    <t>School buses, FHWA MV-10 2023 (registrations)</t>
  </si>
  <si>
    <t>Transit buses incl. cutaways, FTA NTD 2024 vehicle age distribution (bus modes)</t>
  </si>
  <si>
    <t>Motorcoaches, ABA Foundation Motorcoach Census 2025</t>
  </si>
  <si>
    <t>Total buses (AEO transit + intercity + school scope)</t>
  </si>
  <si>
    <t>Was: FHWA all registered buses (NTS 1-11), incl. ~450k outside the AEO scope</t>
  </si>
  <si>
    <t>Table 1-32: Class I Railroad Locomotive Fleet by Year Built (locomotive units)</t>
  </si>
  <si>
    <t>Transcribed 2026-10-14 from the BTS online viewer of table_01_32_072726.xlsx (National Transportation Statistics, Jul 2026 edition; source AAR Railroad Facts p. 51); 2015-2024 columns only. Totals checked against the sum of the bins. BTS note: table not comparable to the version before 2023; year of rebuilding disregarded.</t>
  </si>
  <si>
    <t>https://www.bts.gov/content/class-i-railroad-locomotive-fleet-year-built</t>
  </si>
  <si>
    <t>year_built</t>
  </si>
  <si>
    <t>Before 2000</t>
  </si>
  <si>
    <t>2000-04</t>
  </si>
  <si>
    <t>2005-09</t>
  </si>
  <si>
    <t>2010-14</t>
  </si>
  <si>
    <t>2015-19</t>
  </si>
  <si>
    <t>2020-24</t>
  </si>
  <si>
    <t>NTD rail revenue vehicles 2024 (age-distribution file; HR, LR, CR cars and locomotives, AGV, monorail, cable, inclined)</t>
  </si>
  <si>
    <t>calc BAADTVBT (car-miles per vehicle)</t>
  </si>
  <si>
    <t>SYVBT-diesel (vehicles)</t>
  </si>
  <si>
    <t>SYVBT-electric (vehicles)</t>
  </si>
  <si>
    <t>diesel share of the stock on the train basis (trains x state diesel share / trains): the split the fuel-economy anchor (SYFAFE, now NVFEbV) was built on</t>
  </si>
  <si>
    <t>scaling of the state diesel vehicle counts so the national diesel share of vehicles equals that share (a unit change must not move energy by fuel)</t>
  </si>
  <si>
    <t>School buses</t>
  </si>
  <si>
    <t>U.S. Federal Highway Administration</t>
  </si>
  <si>
    <t>Highway Statistics 2023, Table MV-10 (publicly owned vehicles)</t>
  </si>
  <si>
    <t>https://www.fhwa.dot.gov/policyinformation/statistics.cfm</t>
  </si>
  <si>
    <t>School buses, 424,199 in 2023, on tab 'calcs' (bus block). The 2024 edition jumps to 509,196 with a reporting change, so 2023 is used; DOE's Fact of the Week 1320 cites about 450,000.</t>
  </si>
  <si>
    <t>Transit buses</t>
  </si>
  <si>
    <t>Federal Transit Administration, National Transit Database</t>
  </si>
  <si>
    <t>2024 NTD Annual Data - Vehicles (Age Distribution), bus modes</t>
  </si>
  <si>
    <t>https://data.transportation.gov/Public-Transit/2022-2025-NTD-Annual-Data-Vehicles-Age-Distribution-/6abt-uhgq</t>
  </si>
  <si>
    <t>Transit buses including cutaways, 103,013 in 2024, on tab 'calcs' (bus block).</t>
  </si>
  <si>
    <t>Motorcoaches</t>
  </si>
  <si>
    <t>American Bus Association Foundation</t>
  </si>
  <si>
    <t>Motorcoach Census 2025</t>
  </si>
  <si>
    <t>https://www.buses.org/foundation/</t>
  </si>
  <si>
    <t>Motorcoaches in service, 49,543, on tab 'calcs' (bus block). Not to be used for school or transit buses, which the census excludes.</t>
  </si>
  <si>
    <t>Class I locomotives by year built (freight rail fleet)</t>
  </si>
  <si>
    <t>Bureau of Transportation Statistics (AAR Railroad Facts data)</t>
  </si>
  <si>
    <t>National Transportation Statistics Table 1-32, Jul 2026 edition</t>
  </si>
  <si>
    <t>Transcribed from the BTS online viewer on tab 'NTS 1-32' (2015-2024); the fleet total is the locomotives OWNED by Class I railroads, including units in storage. The Table 1-11 locomotive row reads it for the lookup year. Not comparable to editions before 2023.</t>
  </si>
  <si>
    <t>Transit and commuter rail revenue vehicles (passenger rail fleet)</t>
  </si>
  <si>
    <t>2022-2025 NTD Annual Data - Vehicles (Age Distribution), 2024 report year</t>
  </si>
  <si>
    <t>Rail revenue vehicles by state (heavy rail cars, light rail vehicles, commuter rail coaches, self-propelled cars and locomotives, automated guideway, monorail, cable car, inclined plane), 23,648 in 2024, in column Y of 'psgr rail calcs'. Amtrak is not in the NTD.</t>
  </si>
  <si>
    <t>Registered recreational boats (passenger ships)</t>
  </si>
  <si>
    <t>U.S. Coast Guard, via Bureau of Transportation Statistics</t>
  </si>
  <si>
    <t>National Transportation Statistics Table 1-11, recreational vessels</t>
  </si>
  <si>
    <t>State-registered recreational vessels, 11,674,073 in 2024, on tab 'NTS 1-11' (row 32). Counts registered boats only; the 2012 National Recreational Boating Survey counts boats owned, registered or not, and is kept for the boating-activity figures the distance file reads.</t>
  </si>
  <si>
    <t>Notes:</t>
  </si>
  <si>
    <t>What this file is</t>
  </si>
  <si>
    <t>The number of vehicles of each type and technology in the fleet in the start year (2024, the year before the first simulated year; set on this tab in cell B98). The model vintages this fleet, retires it with the survival curves and buys new vehicles to meet travel, so the count here sets the scale of every vehicle result. Sources sit on their own tabs as published; the 'calcs' tab assembles each type and the two dark-blue tabs are exported.</t>
  </si>
  <si>
    <t>Passenger LDVs</t>
  </si>
  <si>
    <t>AEO 2025 Table 39 light-duty stock by technology. Hybrids count as gasoline vehicles, plug-in hybrids and battery electric vehicles separately. AEO is used because the model's travel and energy for this type are anchored to AEO.</t>
  </si>
  <si>
    <t>Freight LDVs (class 2b-6)</t>
  </si>
  <si>
    <t>AEO 2026 commercial light trucks (Table 45, class 2b-3) plus class 3-6 freight trucks (Table 49), by fuel. AEO 2026 starts in 2025, so the 2025 stock is brought back to 2024 with AEO's own travel growth. The model groups class 2b-6 as freight LDVs, so the two AEO categories are added.</t>
  </si>
  <si>
    <t>Buses</t>
  </si>
  <si>
    <t>School buses (FHWA), transit buses including cutaways (NTD) and motorcoaches (ABA), 576,755 in all, split across fuels with the bus energy shares in AEO 2025 Table 36. This is the same scope as AEO's bus category (transit, intercity and school), which is what the model's bus travel and energy are anchored to. FHWA's registered-bus count is about twice as large because it includes church, hotel, rental and other private buses that no travel, energy or sales statistic covers; counting them would make the model buy buses for a fleet it cannot see.</t>
  </si>
  <si>
    <t>Heavy trucks (class 7-8)</t>
  </si>
  <si>
    <t>AEO 2025 Table 49 class 7-8 stock by fuel for 2024. AEO is the anchor for heavy-truck travel and energy.</t>
  </si>
  <si>
    <t>Passenger and freight aircraft</t>
  </si>
  <si>
    <t>AEO 2026 Table 48 active aircraft in 2025, for passenger and cargo service, times the domestic share of air travel from the EPA inventory, because the model covers domestic aviation only.</t>
  </si>
  <si>
    <t>Passenger rail</t>
  </si>
  <si>
    <t>NTD rail revenue vehicles by state: 23,648 heavy rail cars, light rail vehicles, commuter rail cars and locomotives in 2024. The model unit is one rail vehicle, so the fleet, the miles per vehicle, the loading, the price and the age mix all sit on the same basis as the vehicle counts, ages and years built that NTD publishes. The diesel and electric counts follow each state's share of fueled vehicle-miles, scaled so that the national diesel share stays at the 6% the fuel-economy input was built on; electric is the remainder, so vehicles in states with no fuel data are kept. The maximum number of trains in operation is kept in column E of 'psgr rail calcs' for reference only.</t>
  </si>
  <si>
    <t>Freight rail</t>
  </si>
  <si>
    <t>Class I locomotives owned in 2024 from AAR (via BTS Table 1-32), scaled up by the ratio of Class I, II and III railroad revenue to Class I revenue (FRA) to cover regional and short-line railroads, for which no locomotive count is published. The owned fleet includes stored units; the model has no storage concept, so the fleet is held flat in the distance file and ton-miles per locomotive absorbs changes in traffic.</t>
  </si>
  <si>
    <t>Recreational boats (passenger ships)</t>
  </si>
  <si>
    <t>State-registered recreational vessels from the Coast Guard, 11.67 million in 2024, split between gasoline and diesel with AEO's recreational-boat energy shares. Registrations are the fleet that boat sales and retirements are measured against; the older survey count of boats owned includes unregistered canoes, kayaks and small craft that use little fuel.</t>
  </si>
  <si>
    <t>Freight ships</t>
  </si>
  <si>
    <t>Self-propelled vessels including towboats and tugs, plus oceangoing vessels of 1,000 gross tons and over (BTS Table 1-11), times AEO's domestic share of shipping energy. Towboats are counted because they move the barges that carry the cargo, in the same way locomotives are counted for rail and railcars are not.</t>
  </si>
  <si>
    <t>Motorbikes</t>
  </si>
  <si>
    <t>Registered motorcycles from FHWA (BTS Table 1-11), all gasoline, because no source splits motorcycles by fuel.</t>
  </si>
  <si>
    <t>Car basis: the stock is NTD revenue vehicles (column Y) rather than maximum trains in operation (column E, kept for reference), split by the diesel/electric vehicle-mile shares; miles per vehicle is car-miles per vehicle. Loading (column L) is per car.</t>
  </si>
  <si>
    <t>Diesel/electric split: the diesel count is the state fueled-mile share applied to the state vehicles, scaled (Y65) so the national diesel share of vehicles equals the train-basis value (Y64), which is the split the fuel-economy input was built on; electric is the remainder, so vehicles in states without fuel data are kept. The national diesel share of fueled vehicle-miles is only 2.9%, so the fuel-economy anchor and this split should move together whenever the anchor is rebuilt.</t>
  </si>
  <si>
    <t>Passenger ships = USCG state-registered recreational vessels (NTS 1-11, lookup year on About!B98), split by AEO's gasoline/diesel energy shares. Was the 2012 NRBS count of boats OWNED (powerboats, pontoons, PWC: 12.7 M), which includes unregistered boats and predates the registration series the fleet path and lifetime now use.</t>
  </si>
  <si>
    <t>Bus fleet on the AEO scope</t>
  </si>
  <si>
    <t>The 2024 count comes from NTS Table 1-32 (Class I locomotive fleet by year built, total). Table 1-32 runs 2 units above this table for 2022-23.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</si>
</sst>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43" formatCode="_(* #,##0.00_);_(* \(#,##0.00\);_(* &quot;-&quot;??_);_(@_)"/>
    <numFmt numFmtId="164" formatCode="#,##0.0"/>
    <numFmt numFmtId="165" formatCode="&quot;(R)&quot;\ #,##0;&quot;(R) -&quot;#,##0;&quot;(R) &quot;\ 0"/>
    <numFmt numFmtId="166" formatCode="###0.00_)"/>
    <numFmt numFmtId="167" formatCode="#,##0_)"/>
    <numFmt numFmtId="168" formatCode="#,##0.000000"/>
    <numFmt numFmtId="169" formatCode="\ #,##0"/>
    <numFmt numFmtId="170" formatCode="_(* #,##0_);_(* \(#,##0\);_(* &quot;-&quot;??_);_(@_)"/>
    <numFmt numFmtId="171" formatCode="000#"/>
    <numFmt numFmtId="172" formatCode="0000#"/>
    <numFmt numFmtId="173" formatCode="_(* #,##0.0_);_(* \(#,##0.0\);_(* &quot;-&quot;??_);_(@_)"/>
    <numFmt numFmtId="174" formatCode="0.0%"/>
  </numFmts>
  <fonts count="6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theme="1"/>
      <name val="Calibri"/>
      <family val="2"/>
      <scheme val="minor"/>
    </font>
    <font>
      <sz val="10"/>
      <name val="Arial"/>
      <family val="2"/>
    </font>
    <font>
      <sz val="10"/>
      <name val="Arial Narrow"/>
      <family val="2"/>
    </font>
    <font>
      <b/>
      <sz val="9"/>
      <name val="Arial"/>
      <family val="2"/>
    </font>
    <font>
      <sz val="9"/>
      <name val="Arial"/>
      <family val="2"/>
    </font>
    <font>
      <i/>
      <sz val="9"/>
      <name val="Arial"/>
      <family val="2"/>
    </font>
    <font>
      <sz val="8"/>
      <name val="Helv"/>
    </font>
    <font>
      <vertAlign val="superscript"/>
      <sz val="9"/>
      <name val="Arial"/>
      <family val="2"/>
    </font>
    <font>
      <i/>
      <vertAlign val="superscript"/>
      <sz val="9"/>
      <name val="Arial"/>
      <family val="2"/>
    </font>
    <font>
      <b/>
      <sz val="10"/>
      <name val="Helv"/>
    </font>
    <font>
      <sz val="11"/>
      <name val="Arial Narrow"/>
      <family val="2"/>
    </font>
    <font>
      <vertAlign val="superscript"/>
      <sz val="11"/>
      <name val="Arial Narrow"/>
      <family val="2"/>
    </font>
    <font>
      <b/>
      <sz val="11"/>
      <name val="Arial Narrow"/>
      <family val="2"/>
    </font>
    <font>
      <b/>
      <vertAlign val="superscript"/>
      <sz val="11"/>
      <name val="Arial Narrow"/>
      <family val="2"/>
    </font>
    <font>
      <b/>
      <sz val="14"/>
      <name val="Helv"/>
    </font>
    <font>
      <b/>
      <sz val="12"/>
      <name val="Arial"/>
      <family val="2"/>
    </font>
    <font>
      <b/>
      <sz val="14"/>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color theme="1"/>
      <name val="Calibri"/>
      <family val="2"/>
      <charset val="129"/>
      <scheme val="minor"/>
    </font>
    <font>
      <sz val="10"/>
      <name val="HELV"/>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9"/>
      <name val="Helv"/>
    </font>
    <font>
      <sz val="8.5"/>
      <name val="Helv"/>
    </font>
    <font>
      <sz val="11"/>
      <color indexed="62"/>
      <name val="Calibri"/>
      <family val="2"/>
    </font>
    <font>
      <sz val="11"/>
      <color indexed="52"/>
      <name val="Calibri"/>
      <family val="2"/>
    </font>
    <font>
      <sz val="11"/>
      <color indexed="60"/>
      <name val="Calibri"/>
      <family val="2"/>
    </font>
    <font>
      <sz val="10"/>
      <name val="P-AVGARD"/>
    </font>
    <font>
      <sz val="6"/>
      <name val="P-AVGARD"/>
    </font>
    <font>
      <b/>
      <sz val="11"/>
      <color indexed="63"/>
      <name val="Calibri"/>
      <family val="2"/>
    </font>
    <font>
      <b/>
      <sz val="18"/>
      <color indexed="56"/>
      <name val="Cambria"/>
      <family val="2"/>
    </font>
    <font>
      <b/>
      <sz val="12"/>
      <name val="Helv"/>
    </font>
    <font>
      <b/>
      <sz val="11"/>
      <color indexed="8"/>
      <name val="Calibri"/>
      <family val="2"/>
    </font>
    <font>
      <sz val="11"/>
      <color indexed="10"/>
      <name val="Calibri"/>
      <family val="2"/>
    </font>
    <font>
      <u/>
      <sz val="11"/>
      <color theme="10"/>
      <name val="Calibri"/>
      <family val="2"/>
      <scheme val="minor"/>
    </font>
    <font>
      <sz val="10"/>
      <color indexed="8"/>
      <name val="Verdana"/>
      <family val="2"/>
    </font>
    <font>
      <b/>
      <sz val="8"/>
      <color theme="0"/>
      <name val="Arial"/>
      <family val="2"/>
    </font>
    <font>
      <sz val="8"/>
      <color theme="1"/>
      <name val="Arial"/>
      <family val="2"/>
    </font>
    <font>
      <b/>
      <sz val="8"/>
      <name val="Arial"/>
      <family val="2"/>
    </font>
    <font>
      <b/>
      <sz val="11"/>
      <color rgb="FF403F41"/>
      <name val="Calibri"/>
      <family val="2"/>
      <scheme val="minor"/>
    </font>
    <font>
      <sz val="11"/>
      <color rgb="FF403F41"/>
      <name val="Calibri"/>
      <family val="2"/>
      <scheme val="minor"/>
    </font>
    <font>
      <sz val="8"/>
      <name val="Arial Narrow"/>
      <family val="2"/>
    </font>
    <font>
      <b/>
      <i/>
      <sz val="11"/>
      <color theme="1"/>
      <name val="Calibri"/>
      <family val="2"/>
      <scheme val="minor"/>
    </font>
    <font>
      <i/>
      <sz val="11"/>
      <color theme="1"/>
      <name val="Calibri"/>
      <family val="2"/>
      <scheme val="minor"/>
    </font>
    <font>
      <u/>
      <sz val="11"/>
      <color rgb="FF0556C1"/>
      <name val="Calibri"/>
      <family val="2"/>
      <scheme val="minor"/>
    </font>
  </fonts>
  <fills count="41">
    <fill>
      <patternFill patternType="none"/>
    </fill>
    <fill>
      <patternFill patternType="gray125"/>
    </fill>
    <fill>
      <patternFill patternType="solid">
        <fgColor theme="0" tint="-0.249977111117893"/>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7" tint="-0.249977111117893"/>
        <bgColor indexed="64"/>
      </patternFill>
    </fill>
    <fill>
      <patternFill patternType="solid">
        <fgColor rgb="FFFFCC66"/>
        <bgColor indexed="64"/>
      </patternFill>
    </fill>
    <fill>
      <patternFill patternType="solid">
        <fgColor theme="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3" tint="0.499984740745262"/>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D9D9D9"/>
        <bgColor indexed="64"/>
      </patternFill>
    </fill>
  </fills>
  <borders count="23">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rgb="FFB2B2B2"/>
      </left>
      <right style="thin">
        <color rgb="FFB2B2B2"/>
      </right>
      <top style="thin">
        <color rgb="FFB2B2B2"/>
      </top>
      <bottom style="thin">
        <color rgb="FFB2B2B2"/>
      </bottom>
      <diagonal/>
    </border>
    <border>
      <left/>
      <right/>
      <top/>
      <bottom style="thin">
        <color indexed="22"/>
      </bottom>
      <diagonal/>
    </border>
    <border>
      <left/>
      <right/>
      <top style="medium">
        <color indexed="64"/>
      </top>
      <bottom/>
      <diagonal/>
    </border>
    <border>
      <left/>
      <right/>
      <top/>
      <bottom style="medium">
        <color indexed="64"/>
      </bottom>
      <diagonal/>
    </border>
    <border>
      <left/>
      <right/>
      <top style="medium">
        <color auto="1"/>
      </top>
      <bottom style="thin">
        <color auto="1"/>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style="thin">
        <color auto="1"/>
      </left>
      <right/>
      <top/>
      <bottom/>
      <diagonal/>
    </border>
  </borders>
  <cellStyleXfs count="166">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5" fillId="0" borderId="0" applyNumberFormat="0" applyProtection="0">
      <alignment horizontal="left"/>
    </xf>
    <xf numFmtId="0" fontId="8" fillId="0" borderId="0"/>
    <xf numFmtId="0" fontId="13" fillId="0" borderId="0">
      <alignment horizontal="left"/>
    </xf>
    <xf numFmtId="0" fontId="16" fillId="0" borderId="6">
      <alignment horizontal="left" vertical="center"/>
    </xf>
    <xf numFmtId="3" fontId="13" fillId="0" borderId="6">
      <alignment horizontal="right" vertical="center"/>
    </xf>
    <xf numFmtId="0" fontId="7" fillId="0" borderId="0"/>
    <xf numFmtId="43" fontId="8" fillId="0" borderId="0" applyFont="0" applyFill="0" applyBorder="0" applyAlignment="0" applyProtection="0"/>
    <xf numFmtId="0" fontId="7" fillId="0" borderId="0"/>
    <xf numFmtId="0" fontId="16" fillId="0" borderId="6">
      <alignment horizontal="left"/>
    </xf>
    <xf numFmtId="0" fontId="21" fillId="0" borderId="0">
      <alignment horizontal="left" vertical="top"/>
    </xf>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7" borderId="0" applyNumberFormat="0" applyBorder="0" applyAlignment="0" applyProtection="0"/>
    <xf numFmtId="0" fontId="24" fillId="10" borderId="0" applyNumberFormat="0" applyBorder="0" applyAlignment="0" applyProtection="0"/>
    <xf numFmtId="0" fontId="24" fillId="13" borderId="0" applyNumberFormat="0" applyBorder="0" applyAlignment="0" applyProtection="0"/>
    <xf numFmtId="0" fontId="25" fillId="14" borderId="0" applyNumberFormat="0" applyBorder="0" applyAlignment="0" applyProtection="0"/>
    <xf numFmtId="0" fontId="25" fillId="11" borderId="0" applyNumberFormat="0" applyBorder="0" applyAlignment="0" applyProtection="0"/>
    <xf numFmtId="0" fontId="25" fillId="12"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21" borderId="0" applyNumberFormat="0" applyBorder="0" applyAlignment="0" applyProtection="0"/>
    <xf numFmtId="0" fontId="26" fillId="5" borderId="0" applyNumberFormat="0" applyBorder="0" applyAlignment="0" applyProtection="0"/>
    <xf numFmtId="0" fontId="27" fillId="22" borderId="11" applyNumberFormat="0" applyAlignment="0" applyProtection="0"/>
    <xf numFmtId="0" fontId="28" fillId="23" borderId="12" applyNumberFormat="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9" fillId="0" borderId="0" applyFont="0" applyFill="0" applyBorder="0" applyAlignment="0" applyProtection="0"/>
    <xf numFmtId="43" fontId="24" fillId="0" borderId="0" applyFont="0" applyFill="0" applyBorder="0" applyAlignment="0" applyProtection="0"/>
    <xf numFmtId="43" fontId="8" fillId="0" borderId="0" applyFont="0" applyFill="0" applyBorder="0" applyAlignment="0" applyProtection="0"/>
    <xf numFmtId="43" fontId="2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4" fontId="8" fillId="0" borderId="0" applyFont="0" applyFill="0" applyBorder="0" applyAlignment="0" applyProtection="0"/>
    <xf numFmtId="44" fontId="7" fillId="0" borderId="0" applyFont="0" applyFill="0" applyBorder="0" applyAlignment="0" applyProtection="0"/>
    <xf numFmtId="44" fontId="8" fillId="0" borderId="0" applyFont="0" applyFill="0" applyBorder="0" applyAlignment="0" applyProtection="0"/>
    <xf numFmtId="166" fontId="30" fillId="0" borderId="6" applyNumberFormat="0" applyFill="0">
      <alignment horizontal="right"/>
    </xf>
    <xf numFmtId="167" fontId="31" fillId="0" borderId="6">
      <alignment horizontal="right" vertical="center"/>
    </xf>
    <xf numFmtId="49" fontId="32" fillId="0" borderId="6">
      <alignment horizontal="left" vertical="center"/>
    </xf>
    <xf numFmtId="166" fontId="30" fillId="0" borderId="6" applyNumberFormat="0" applyFill="0">
      <alignment horizontal="right"/>
    </xf>
    <xf numFmtId="0" fontId="33" fillId="0" borderId="0" applyNumberFormat="0" applyFill="0" applyBorder="0" applyAlignment="0" applyProtection="0"/>
    <xf numFmtId="0" fontId="34" fillId="6" borderId="0" applyNumberFormat="0" applyBorder="0" applyAlignment="0" applyProtection="0"/>
    <xf numFmtId="0" fontId="35" fillId="0" borderId="13" applyNumberFormat="0" applyFill="0" applyAlignment="0" applyProtection="0"/>
    <xf numFmtId="0" fontId="36" fillId="0" borderId="14" applyNumberFormat="0" applyFill="0" applyAlignment="0" applyProtection="0"/>
    <xf numFmtId="0" fontId="37" fillId="0" borderId="15" applyNumberFormat="0" applyFill="0" applyAlignment="0" applyProtection="0"/>
    <xf numFmtId="0" fontId="37" fillId="0" borderId="0" applyNumberFormat="0" applyFill="0" applyBorder="0" applyAlignment="0" applyProtection="0"/>
    <xf numFmtId="0" fontId="38" fillId="0" borderId="16">
      <alignment horizontal="right" vertical="center"/>
    </xf>
    <xf numFmtId="0" fontId="39" fillId="0" borderId="6">
      <alignment horizontal="left" vertical="center"/>
    </xf>
    <xf numFmtId="0" fontId="30" fillId="0" borderId="6">
      <alignment horizontal="left" vertical="center"/>
    </xf>
    <xf numFmtId="0" fontId="16" fillId="0" borderId="6">
      <alignment horizontal="left"/>
    </xf>
    <xf numFmtId="0" fontId="16" fillId="24" borderId="0">
      <alignment horizontal="centerContinuous" wrapText="1"/>
    </xf>
    <xf numFmtId="0" fontId="40" fillId="9" borderId="11" applyNumberFormat="0" applyAlignment="0" applyProtection="0"/>
    <xf numFmtId="0" fontId="41" fillId="0" borderId="17" applyNumberFormat="0" applyFill="0" applyAlignment="0" applyProtection="0"/>
    <xf numFmtId="0" fontId="42" fillId="25" borderId="0" applyNumberFormat="0" applyBorder="0" applyAlignment="0" applyProtection="0"/>
    <xf numFmtId="0" fontId="7"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8" fillId="0" borderId="0"/>
    <xf numFmtId="0" fontId="29"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8" fillId="0" borderId="0"/>
    <xf numFmtId="37" fontId="43" fillId="0" borderId="0"/>
    <xf numFmtId="0" fontId="7" fillId="0" borderId="0"/>
    <xf numFmtId="37" fontId="44" fillId="0" borderId="0"/>
    <xf numFmtId="0" fontId="8" fillId="0" borderId="0"/>
    <xf numFmtId="0" fontId="7" fillId="0" borderId="0"/>
    <xf numFmtId="0" fontId="7" fillId="0" borderId="0"/>
    <xf numFmtId="0" fontId="7" fillId="0" borderId="0"/>
    <xf numFmtId="0" fontId="7" fillId="3" borderId="5" applyNumberFormat="0" applyFont="0" applyAlignment="0" applyProtection="0"/>
    <xf numFmtId="0" fontId="8" fillId="26" borderId="18" applyNumberFormat="0" applyFont="0" applyAlignment="0" applyProtection="0"/>
    <xf numFmtId="0" fontId="45" fillId="22" borderId="19" applyNumberFormat="0" applyAlignment="0" applyProtection="0"/>
    <xf numFmtId="9" fontId="8"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8" fillId="0" borderId="0" applyFont="0" applyFill="0" applyBorder="0" applyAlignment="0" applyProtection="0"/>
    <xf numFmtId="0" fontId="13" fillId="0" borderId="0">
      <alignment horizontal="right"/>
    </xf>
    <xf numFmtId="0" fontId="32" fillId="0" borderId="0">
      <alignment horizontal="right"/>
    </xf>
    <xf numFmtId="49" fontId="31" fillId="0" borderId="0">
      <alignment horizontal="left" vertical="center"/>
    </xf>
    <xf numFmtId="49" fontId="32" fillId="0" borderId="6">
      <alignment horizontal="left"/>
    </xf>
    <xf numFmtId="166" fontId="31" fillId="0" borderId="0" applyNumberFormat="0">
      <alignment horizontal="right"/>
    </xf>
    <xf numFmtId="0" fontId="38" fillId="27" borderId="0">
      <alignment horizontal="centerContinuous" vertical="center" wrapText="1"/>
    </xf>
    <xf numFmtId="0" fontId="38" fillId="0" borderId="20">
      <alignment horizontal="left" vertical="center"/>
    </xf>
    <xf numFmtId="0" fontId="46" fillId="0" borderId="0" applyNumberFormat="0" applyFill="0" applyBorder="0" applyAlignment="0" applyProtection="0"/>
    <xf numFmtId="0" fontId="16" fillId="0" borderId="0">
      <alignment horizontal="left"/>
    </xf>
    <xf numFmtId="0" fontId="47" fillId="0" borderId="0">
      <alignment horizontal="left"/>
    </xf>
    <xf numFmtId="0" fontId="30" fillId="0" borderId="0">
      <alignment horizontal="left"/>
    </xf>
    <xf numFmtId="0" fontId="47" fillId="0" borderId="0">
      <alignment horizontal="left"/>
    </xf>
    <xf numFmtId="0" fontId="30" fillId="0" borderId="0">
      <alignment horizontal="left"/>
    </xf>
    <xf numFmtId="0" fontId="48" fillId="0" borderId="21" applyNumberFormat="0" applyFill="0" applyAlignment="0" applyProtection="0"/>
    <xf numFmtId="0" fontId="49" fillId="0" borderId="0" applyNumberFormat="0" applyFill="0" applyBorder="0" applyAlignment="0" applyProtection="0"/>
    <xf numFmtId="49" fontId="31" fillId="0" borderId="6">
      <alignment horizontal="left"/>
    </xf>
    <xf numFmtId="0" fontId="38" fillId="0" borderId="16">
      <alignment horizontal="left"/>
    </xf>
    <xf numFmtId="0" fontId="16" fillId="0" borderId="0">
      <alignment horizontal="left" vertical="center"/>
    </xf>
    <xf numFmtId="43" fontId="7" fillId="0" borderId="0" applyFont="0" applyFill="0" applyBorder="0" applyAlignment="0" applyProtection="0"/>
    <xf numFmtId="9" fontId="7" fillId="0" borderId="0" applyFont="0" applyFill="0" applyBorder="0" applyAlignment="0" applyProtection="0"/>
    <xf numFmtId="0" fontId="50" fillId="0" borderId="0" applyNumberFormat="0" applyFill="0" applyBorder="0" applyAlignment="0" applyProtection="0"/>
    <xf numFmtId="0" fontId="51" fillId="0" borderId="0" applyNumberFormat="0">
      <alignment readingOrder="1"/>
      <protection locked="0"/>
    </xf>
    <xf numFmtId="43" fontId="8"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5" fillId="0" borderId="0">
      <alignment horizontal="left"/>
    </xf>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5" fillId="0" borderId="0">
      <alignment horizontal="left"/>
    </xf>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5" fillId="0" borderId="0">
      <alignment horizontal="left"/>
    </xf>
  </cellStyleXfs>
  <cellXfs count="154">
    <xf numFmtId="0" fontId="0" fillId="0" borderId="0" xfId="0"/>
    <xf numFmtId="0" fontId="1" fillId="0" borderId="0" xfId="0" applyFont="1"/>
    <xf numFmtId="0" fontId="1" fillId="2" borderId="0" xfId="0" applyFont="1" applyFill="1"/>
    <xf numFmtId="0" fontId="0" fillId="0" borderId="0" xfId="0" applyAlignment="1">
      <alignment horizontal="left"/>
    </xf>
    <xf numFmtId="3" fontId="0" fillId="0" borderId="0" xfId="0" applyNumberFormat="1"/>
    <xf numFmtId="0" fontId="1" fillId="0" borderId="0" xfId="0" applyFont="1" applyAlignment="1">
      <alignment horizontal="right"/>
    </xf>
    <xf numFmtId="1" fontId="0" fillId="0" borderId="0" xfId="0" applyNumberFormat="1"/>
    <xf numFmtId="0" fontId="8" fillId="0" borderId="0" xfId="0" applyFont="1"/>
    <xf numFmtId="0" fontId="19" fillId="0" borderId="0" xfId="0" applyFont="1"/>
    <xf numFmtId="3" fontId="17" fillId="0" borderId="0" xfId="0" applyNumberFormat="1" applyFont="1"/>
    <xf numFmtId="0" fontId="17" fillId="0" borderId="0" xfId="0" applyFont="1"/>
    <xf numFmtId="0" fontId="11" fillId="0" borderId="0" xfId="0" applyFont="1" applyAlignment="1">
      <alignment vertical="center"/>
    </xf>
    <xf numFmtId="0" fontId="11" fillId="0" borderId="0" xfId="0" applyFont="1"/>
    <xf numFmtId="0" fontId="11" fillId="0" borderId="0" xfId="0" applyFont="1" applyAlignment="1">
      <alignment horizontal="left" vertical="center"/>
    </xf>
    <xf numFmtId="0" fontId="4" fillId="0" borderId="0" xfId="0" applyFont="1" applyAlignment="1">
      <alignment horizontal="left"/>
    </xf>
    <xf numFmtId="0" fontId="4" fillId="0" borderId="0" xfId="0" applyFont="1"/>
    <xf numFmtId="0" fontId="9" fillId="0" borderId="0" xfId="0" applyFont="1"/>
    <xf numFmtId="0" fontId="1" fillId="0" borderId="0" xfId="0" applyFont="1" applyAlignment="1">
      <alignment wrapText="1"/>
    </xf>
    <xf numFmtId="168" fontId="0" fillId="0" borderId="0" xfId="0" applyNumberFormat="1"/>
    <xf numFmtId="0" fontId="0" fillId="0" borderId="0" xfId="142" applyNumberFormat="1" applyFont="1"/>
    <xf numFmtId="10" fontId="0" fillId="0" borderId="0" xfId="0" applyNumberFormat="1"/>
    <xf numFmtId="0" fontId="50" fillId="0" borderId="0" xfId="144"/>
    <xf numFmtId="0" fontId="17" fillId="0" borderId="10" xfId="0" applyFont="1" applyBorder="1" applyAlignment="1">
      <alignment horizontal="center"/>
    </xf>
    <xf numFmtId="0" fontId="19" fillId="0" borderId="10" xfId="15" applyFont="1" applyBorder="1" applyAlignment="1">
      <alignment horizontal="center"/>
    </xf>
    <xf numFmtId="0" fontId="19" fillId="0" borderId="9" xfId="0" applyFont="1" applyBorder="1" applyAlignment="1">
      <alignment horizontal="center"/>
    </xf>
    <xf numFmtId="0" fontId="19" fillId="0" borderId="0" xfId="10" quotePrefix="1" applyFont="1" applyBorder="1" applyAlignment="1">
      <alignment horizontal="left"/>
    </xf>
    <xf numFmtId="3" fontId="17" fillId="0" borderId="0" xfId="11" applyFont="1" applyBorder="1" applyAlignment="1">
      <alignment horizontal="right"/>
    </xf>
    <xf numFmtId="3" fontId="17" fillId="0" borderId="0" xfId="0" applyNumberFormat="1" applyFont="1" applyAlignment="1">
      <alignment horizontal="right"/>
    </xf>
    <xf numFmtId="3" fontId="19" fillId="0" borderId="0" xfId="11" applyFont="1" applyBorder="1" applyAlignment="1">
      <alignment horizontal="right"/>
    </xf>
    <xf numFmtId="0" fontId="19" fillId="0" borderId="0" xfId="10" applyFont="1" applyBorder="1" applyAlignment="1">
      <alignment horizontal="left"/>
    </xf>
    <xf numFmtId="3" fontId="17" fillId="0" borderId="0" xfId="10" applyNumberFormat="1" applyFont="1" applyBorder="1" applyAlignment="1">
      <alignment horizontal="right"/>
    </xf>
    <xf numFmtId="169" fontId="17" fillId="0" borderId="0" xfId="0" applyNumberFormat="1" applyFont="1"/>
    <xf numFmtId="3" fontId="17" fillId="0" borderId="8" xfId="11" applyFont="1" applyBorder="1" applyAlignment="1">
      <alignment horizontal="right"/>
    </xf>
    <xf numFmtId="3" fontId="17" fillId="0" borderId="8" xfId="10" applyNumberFormat="1" applyFont="1" applyBorder="1" applyAlignment="1">
      <alignment horizontal="right"/>
    </xf>
    <xf numFmtId="3" fontId="17" fillId="0" borderId="8" xfId="0" applyNumberFormat="1" applyFont="1" applyBorder="1"/>
    <xf numFmtId="3" fontId="11" fillId="0" borderId="0" xfId="0" applyNumberFormat="1" applyFont="1" applyAlignment="1">
      <alignment horizontal="left" vertical="center"/>
    </xf>
    <xf numFmtId="9" fontId="0" fillId="0" borderId="0" xfId="143" applyFont="1"/>
    <xf numFmtId="3" fontId="17" fillId="0" borderId="0" xfId="145" applyNumberFormat="1" applyFont="1" applyAlignment="1">
      <alignment horizontal="right" readingOrder="1"/>
      <protection locked="0"/>
    </xf>
    <xf numFmtId="3" fontId="19" fillId="0" borderId="0" xfId="145" applyNumberFormat="1" applyFont="1" applyAlignment="1">
      <alignment horizontal="right" readingOrder="1"/>
      <protection locked="0"/>
    </xf>
    <xf numFmtId="0" fontId="11" fillId="0" borderId="0" xfId="0" applyFont="1" applyAlignment="1">
      <alignment horizontal="left"/>
    </xf>
    <xf numFmtId="0" fontId="1" fillId="2" borderId="0" xfId="0" applyFont="1" applyFill="1" applyAlignment="1">
      <alignment horizontal="left"/>
    </xf>
    <xf numFmtId="0" fontId="50" fillId="0" borderId="0" xfId="144" applyAlignment="1">
      <alignment horizontal="left"/>
    </xf>
    <xf numFmtId="0" fontId="52" fillId="28" borderId="0" xfId="0" applyFont="1" applyFill="1" applyAlignment="1">
      <alignment wrapText="1"/>
    </xf>
    <xf numFmtId="3" fontId="52" fillId="29" borderId="0" xfId="0" applyNumberFormat="1" applyFont="1" applyFill="1" applyAlignment="1">
      <alignment wrapText="1"/>
    </xf>
    <xf numFmtId="0" fontId="52" fillId="29" borderId="0" xfId="0" applyFont="1" applyFill="1" applyAlignment="1">
      <alignment wrapText="1"/>
    </xf>
    <xf numFmtId="170" fontId="52" fillId="28" borderId="0" xfId="142" applyNumberFormat="1" applyFont="1" applyFill="1" applyBorder="1" applyAlignment="1">
      <alignment wrapText="1"/>
    </xf>
    <xf numFmtId="37" fontId="52" fillId="28" borderId="0" xfId="142" applyNumberFormat="1" applyFont="1" applyFill="1" applyBorder="1" applyAlignment="1">
      <alignment wrapText="1"/>
    </xf>
    <xf numFmtId="37" fontId="52" fillId="29" borderId="0" xfId="142" applyNumberFormat="1" applyFont="1" applyFill="1" applyBorder="1" applyAlignment="1">
      <alignment wrapText="1"/>
    </xf>
    <xf numFmtId="3" fontId="52" fillId="28" borderId="0" xfId="0" applyNumberFormat="1" applyFont="1" applyFill="1" applyAlignment="1">
      <alignment wrapText="1"/>
    </xf>
    <xf numFmtId="164" fontId="52" fillId="28" borderId="0" xfId="0" applyNumberFormat="1" applyFont="1" applyFill="1" applyAlignment="1">
      <alignment wrapText="1"/>
    </xf>
    <xf numFmtId="0" fontId="53" fillId="0" borderId="0" xfId="0" applyFont="1"/>
    <xf numFmtId="171" fontId="53" fillId="0" borderId="0" xfId="0" applyNumberFormat="1" applyFont="1" applyAlignment="1">
      <alignment horizontal="left"/>
    </xf>
    <xf numFmtId="172" fontId="53" fillId="0" borderId="0" xfId="0" applyNumberFormat="1" applyFont="1" applyAlignment="1">
      <alignment horizontal="left"/>
    </xf>
    <xf numFmtId="37" fontId="53" fillId="0" borderId="0" xfId="142" applyNumberFormat="1" applyFont="1"/>
    <xf numFmtId="170" fontId="53" fillId="0" borderId="0" xfId="142" applyNumberFormat="1" applyFont="1"/>
    <xf numFmtId="3" fontId="53" fillId="0" borderId="0" xfId="0" applyNumberFormat="1" applyFont="1"/>
    <xf numFmtId="3" fontId="53" fillId="29" borderId="0" xfId="142" applyNumberFormat="1" applyFont="1" applyFill="1"/>
    <xf numFmtId="43" fontId="53" fillId="0" borderId="0" xfId="142" applyFont="1"/>
    <xf numFmtId="37" fontId="53" fillId="29" borderId="0" xfId="142" applyNumberFormat="1" applyFont="1" applyFill="1"/>
    <xf numFmtId="37" fontId="53" fillId="0" borderId="0" xfId="142" applyNumberFormat="1" applyFont="1" applyBorder="1"/>
    <xf numFmtId="164" fontId="53" fillId="0" borderId="0" xfId="0" applyNumberFormat="1" applyFont="1"/>
    <xf numFmtId="3" fontId="0" fillId="29" borderId="0" xfId="0" applyNumberFormat="1" applyFill="1"/>
    <xf numFmtId="0" fontId="0" fillId="29" borderId="0" xfId="0" applyFill="1"/>
    <xf numFmtId="0" fontId="52" fillId="30" borderId="0" xfId="75" applyFont="1" applyFill="1"/>
    <xf numFmtId="0" fontId="52" fillId="30" borderId="0" xfId="75" applyFont="1" applyFill="1" applyAlignment="1">
      <alignment horizontal="left" wrapText="1"/>
    </xf>
    <xf numFmtId="171" fontId="52" fillId="30" borderId="0" xfId="75" applyNumberFormat="1" applyFont="1" applyFill="1" applyAlignment="1">
      <alignment horizontal="left" wrapText="1"/>
    </xf>
    <xf numFmtId="172" fontId="52" fillId="30" borderId="0" xfId="75" applyNumberFormat="1" applyFont="1" applyFill="1" applyAlignment="1">
      <alignment horizontal="left" wrapText="1"/>
    </xf>
    <xf numFmtId="0" fontId="52" fillId="30" borderId="0" xfId="75" applyFont="1" applyFill="1" applyAlignment="1">
      <alignment wrapText="1"/>
    </xf>
    <xf numFmtId="3" fontId="52" fillId="30" borderId="0" xfId="75" applyNumberFormat="1" applyFont="1" applyFill="1" applyAlignment="1">
      <alignment wrapText="1"/>
    </xf>
    <xf numFmtId="3" fontId="54" fillId="31" borderId="22" xfId="75" applyNumberFormat="1" applyFont="1" applyFill="1" applyBorder="1" applyAlignment="1">
      <alignment wrapText="1"/>
    </xf>
    <xf numFmtId="3" fontId="54" fillId="31" borderId="0" xfId="75" applyNumberFormat="1" applyFont="1" applyFill="1" applyAlignment="1">
      <alignment wrapText="1"/>
    </xf>
    <xf numFmtId="0" fontId="52" fillId="30" borderId="22" xfId="75" applyFont="1" applyFill="1" applyBorder="1" applyAlignment="1">
      <alignment wrapText="1"/>
    </xf>
    <xf numFmtId="2" fontId="52" fillId="30" borderId="0" xfId="75" applyNumberFormat="1" applyFont="1" applyFill="1" applyAlignment="1">
      <alignment wrapText="1"/>
    </xf>
    <xf numFmtId="0" fontId="4" fillId="0" borderId="0" xfId="75" applyFont="1"/>
    <xf numFmtId="0" fontId="4" fillId="0" borderId="0" xfId="75" applyFont="1" applyAlignment="1">
      <alignment horizontal="left"/>
    </xf>
    <xf numFmtId="171" fontId="4" fillId="0" borderId="0" xfId="75" quotePrefix="1" applyNumberFormat="1" applyFont="1" applyAlignment="1">
      <alignment horizontal="left"/>
    </xf>
    <xf numFmtId="172" fontId="4" fillId="0" borderId="0" xfId="75" quotePrefix="1" applyNumberFormat="1" applyFont="1" applyAlignment="1">
      <alignment horizontal="left"/>
    </xf>
    <xf numFmtId="3" fontId="4" fillId="0" borderId="0" xfId="75" applyNumberFormat="1" applyFont="1" applyAlignment="1">
      <alignment horizontal="right" wrapText="1"/>
    </xf>
    <xf numFmtId="3" fontId="4" fillId="0" borderId="0" xfId="75" applyNumberFormat="1" applyFont="1" applyAlignment="1">
      <alignment horizontal="right"/>
    </xf>
    <xf numFmtId="170" fontId="4" fillId="0" borderId="0" xfId="146" applyNumberFormat="1" applyFont="1"/>
    <xf numFmtId="164" fontId="4" fillId="0" borderId="0" xfId="146" applyNumberFormat="1" applyFont="1"/>
    <xf numFmtId="3" fontId="4" fillId="0" borderId="0" xfId="146" applyNumberFormat="1" applyFont="1" applyAlignment="1">
      <alignment horizontal="right"/>
    </xf>
    <xf numFmtId="3" fontId="4" fillId="0" borderId="0" xfId="75" applyNumberFormat="1" applyFont="1"/>
    <xf numFmtId="3" fontId="4" fillId="0" borderId="22" xfId="75" applyNumberFormat="1" applyFont="1" applyBorder="1"/>
    <xf numFmtId="0" fontId="4" fillId="0" borderId="22" xfId="75" applyFont="1" applyBorder="1"/>
    <xf numFmtId="2" fontId="4" fillId="0" borderId="0" xfId="75" applyNumberFormat="1" applyFont="1"/>
    <xf numFmtId="0" fontId="1" fillId="29" borderId="0" xfId="0" applyFont="1" applyFill="1"/>
    <xf numFmtId="0" fontId="1" fillId="32" borderId="0" xfId="0" applyFont="1" applyFill="1"/>
    <xf numFmtId="0" fontId="0" fillId="32" borderId="0" xfId="0" applyFill="1"/>
    <xf numFmtId="0" fontId="1" fillId="33" borderId="0" xfId="0" applyFont="1" applyFill="1"/>
    <xf numFmtId="0" fontId="0" fillId="33" borderId="0" xfId="0" applyFill="1"/>
    <xf numFmtId="170" fontId="0" fillId="0" borderId="0" xfId="142" applyNumberFormat="1" applyFont="1"/>
    <xf numFmtId="0" fontId="55" fillId="0" borderId="0" xfId="0" applyFont="1" applyAlignment="1">
      <alignment vertical="center"/>
    </xf>
    <xf numFmtId="0" fontId="1" fillId="34" borderId="0" xfId="0" applyFont="1" applyFill="1"/>
    <xf numFmtId="0" fontId="56" fillId="0" borderId="0" xfId="0" applyFont="1"/>
    <xf numFmtId="173" fontId="0" fillId="34" borderId="0" xfId="142" applyNumberFormat="1" applyFont="1" applyFill="1"/>
    <xf numFmtId="170" fontId="0" fillId="34" borderId="0" xfId="142" applyNumberFormat="1" applyFont="1" applyFill="1"/>
    <xf numFmtId="0" fontId="0" fillId="34" borderId="0" xfId="0" applyFill="1"/>
    <xf numFmtId="173" fontId="1" fillId="2" borderId="0" xfId="142" applyNumberFormat="1" applyFont="1" applyFill="1"/>
    <xf numFmtId="170" fontId="1" fillId="2" borderId="0" xfId="142" applyNumberFormat="1" applyFont="1" applyFill="1"/>
    <xf numFmtId="170" fontId="7" fillId="2" borderId="0" xfId="142" applyNumberFormat="1" applyFont="1" applyFill="1"/>
    <xf numFmtId="11" fontId="1" fillId="2" borderId="0" xfId="0" applyNumberFormat="1" applyFont="1" applyFill="1"/>
    <xf numFmtId="0" fontId="0" fillId="2" borderId="0" xfId="0" applyFill="1"/>
    <xf numFmtId="43" fontId="0" fillId="0" borderId="0" xfId="142" applyFont="1"/>
    <xf numFmtId="9" fontId="1" fillId="0" borderId="0" xfId="143" applyFont="1"/>
    <xf numFmtId="0" fontId="22" fillId="0" borderId="8" xfId="16" applyFont="1" applyBorder="1" applyAlignment="1"/>
    <xf numFmtId="0" fontId="17" fillId="0" borderId="0" xfId="10" applyFont="1" applyBorder="1" applyAlignment="1">
      <alignment horizontal="left"/>
    </xf>
    <xf numFmtId="0" fontId="17" fillId="0" borderId="0" xfId="0" applyFont="1" applyAlignment="1">
      <alignment horizontal="left"/>
    </xf>
    <xf numFmtId="165" fontId="17" fillId="0" borderId="0" xfId="10" applyNumberFormat="1" applyFont="1" applyBorder="1" applyAlignment="1">
      <alignment horizontal="left"/>
    </xf>
    <xf numFmtId="0" fontId="17" fillId="0" borderId="8" xfId="10" applyFont="1" applyBorder="1" applyAlignment="1">
      <alignment horizontal="left"/>
    </xf>
    <xf numFmtId="0" fontId="10" fillId="0" borderId="0" xfId="0" applyFont="1" applyAlignment="1">
      <alignment vertical="center"/>
    </xf>
    <xf numFmtId="0" fontId="14" fillId="0" borderId="0" xfId="10" applyFont="1" applyBorder="1" applyAlignment="1"/>
    <xf numFmtId="0" fontId="14" fillId="0" borderId="0" xfId="9" applyFont="1" applyAlignment="1"/>
    <xf numFmtId="0" fontId="11" fillId="0" borderId="0" xfId="9" applyFont="1" applyAlignment="1"/>
    <xf numFmtId="0" fontId="10" fillId="0" borderId="0" xfId="9" applyFont="1" applyAlignment="1"/>
    <xf numFmtId="0" fontId="10" fillId="0" borderId="7" xfId="0" applyFont="1" applyBorder="1"/>
    <xf numFmtId="2" fontId="11" fillId="0" borderId="0" xfId="0" applyNumberFormat="1" applyFont="1"/>
    <xf numFmtId="0" fontId="10" fillId="0" borderId="0" xfId="0" applyFont="1"/>
    <xf numFmtId="49" fontId="12" fillId="0" borderId="0" xfId="0" applyNumberFormat="1" applyFont="1"/>
    <xf numFmtId="49" fontId="11" fillId="0" borderId="0" xfId="0" applyNumberFormat="1" applyFont="1"/>
    <xf numFmtId="49" fontId="10" fillId="0" borderId="0" xfId="0" applyNumberFormat="1" applyFont="1"/>
    <xf numFmtId="49" fontId="10" fillId="0" borderId="0" xfId="0" applyNumberFormat="1" applyFont="1" applyAlignment="1">
      <alignment horizontal="left"/>
    </xf>
    <xf numFmtId="49" fontId="4" fillId="0" borderId="0" xfId="0" applyNumberFormat="1" applyFont="1" applyAlignment="1">
      <alignment horizontal="left"/>
    </xf>
    <xf numFmtId="0" fontId="57" fillId="0" borderId="0" xfId="0" applyFont="1" applyAlignment="1">
      <alignment horizontal="left"/>
    </xf>
    <xf numFmtId="0" fontId="57" fillId="0" borderId="0" xfId="0" applyFont="1"/>
    <xf numFmtId="0" fontId="0" fillId="0" borderId="0" xfId="143" applyNumberFormat="1" applyFont="1"/>
    <xf numFmtId="0" fontId="0" fillId="31" borderId="0" xfId="0" applyFill="1"/>
    <xf numFmtId="10" fontId="0" fillId="31" borderId="0" xfId="0" applyNumberFormat="1" applyFill="1"/>
    <xf numFmtId="0" fontId="0" fillId="0" borderId="0" xfId="0" applyAlignment="1">
      <alignment wrapText="1"/>
    </xf>
    <xf numFmtId="0" fontId="1" fillId="0" borderId="0" xfId="0" applyFont="1" applyAlignment="1">
      <alignment horizontal="right" wrapText="1"/>
    </xf>
    <xf numFmtId="0" fontId="0" fillId="0" borderId="0" xfId="142" applyNumberFormat="1" applyFont="1" applyAlignment="1">
      <alignment wrapText="1"/>
    </xf>
    <xf numFmtId="1" fontId="0" fillId="0" borderId="0" xfId="0" applyNumberFormat="1" applyAlignment="1">
      <alignment wrapText="1"/>
    </xf>
    <xf numFmtId="0" fontId="0" fillId="0" borderId="0" xfId="142" applyNumberFormat="1" applyFont="1" applyFill="1" applyAlignment="1">
      <alignment wrapText="1"/>
    </xf>
    <xf numFmtId="0" fontId="0" fillId="35" borderId="0" xfId="0" applyFill="1"/>
    <xf numFmtId="10" fontId="0" fillId="35" borderId="0" xfId="0" applyNumberFormat="1" applyFill="1"/>
    <xf numFmtId="0" fontId="0" fillId="36" borderId="0" xfId="0" applyFill="1"/>
    <xf numFmtId="10" fontId="0" fillId="36" borderId="0" xfId="0" applyNumberFormat="1" applyFill="1"/>
    <xf numFmtId="0" fontId="0" fillId="37" borderId="0" xfId="0" applyFill="1"/>
    <xf numFmtId="10" fontId="0" fillId="37" borderId="0" xfId="0" applyNumberFormat="1" applyFill="1"/>
    <xf numFmtId="3" fontId="0" fillId="0" borderId="0" xfId="142" applyNumberFormat="1" applyFont="1" applyAlignment="1">
      <alignment wrapText="1"/>
    </xf>
    <xf numFmtId="0" fontId="0" fillId="38" borderId="0" xfId="0" applyFill="1"/>
    <xf numFmtId="10" fontId="0" fillId="38" borderId="0" xfId="0" applyNumberFormat="1" applyFill="1"/>
    <xf numFmtId="0" fontId="0" fillId="39" borderId="0" xfId="0" applyFill="1"/>
    <xf numFmtId="10" fontId="0" fillId="39" borderId="0" xfId="0" applyNumberFormat="1" applyFill="1"/>
    <xf numFmtId="0" fontId="58" fillId="39" borderId="0" xfId="0" applyFont="1" applyFill="1"/>
    <xf numFmtId="0" fontId="0" fillId="39" borderId="0" xfId="0" applyFill="1" applyAlignment="1">
      <alignment wrapText="1"/>
    </xf>
    <xf numFmtId="9" fontId="0" fillId="0" borderId="0" xfId="143" applyFont="1" applyAlignment="1">
      <alignment wrapText="1"/>
    </xf>
    <xf numFmtId="0" fontId="59" fillId="39" borderId="0" xfId="0" applyFont="1" applyFill="1"/>
    <xf numFmtId="174" fontId="0" fillId="0" borderId="0" xfId="143" applyNumberFormat="1" applyFont="1"/>
    <xf numFmtId="0" fontId="1" fillId="40" borderId="0" xfId="0" applyFont="1" applyFill="1"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60" fillId="0" borderId="0" xfId="144" applyFont="1" applyFill="1" applyAlignment="1">
      <alignment horizontal="left" vertical="top"/>
    </xf>
    <xf numFmtId="0" fontId="1" fillId="0" borderId="0" xfId="0" applyFont="1" applyAlignment="1">
      <alignment vertical="top"/>
    </xf>
  </cellXfs>
  <cellStyles count="166">
    <cellStyle name="_Normal" xfId="145" xr:uid="{789658FE-13DF-464B-96F6-C87D7C584B79}"/>
    <cellStyle name="20% - Accent1 2" xfId="17" xr:uid="{00000000-0005-0000-0000-000000000000}"/>
    <cellStyle name="20% - Accent2 2" xfId="18" xr:uid="{00000000-0005-0000-0000-000001000000}"/>
    <cellStyle name="20% - Accent3 2" xfId="19" xr:uid="{00000000-0005-0000-0000-000002000000}"/>
    <cellStyle name="20% - Accent4 2" xfId="20" xr:uid="{00000000-0005-0000-0000-000003000000}"/>
    <cellStyle name="20% - Accent5 2" xfId="21" xr:uid="{00000000-0005-0000-0000-000004000000}"/>
    <cellStyle name="20% - Accent6 2" xfId="22" xr:uid="{00000000-0005-0000-0000-000005000000}"/>
    <cellStyle name="40% - Accent1 2" xfId="23" xr:uid="{00000000-0005-0000-0000-000006000000}"/>
    <cellStyle name="40% - Accent2 2" xfId="24" xr:uid="{00000000-0005-0000-0000-000007000000}"/>
    <cellStyle name="40% - Accent3 2" xfId="25" xr:uid="{00000000-0005-0000-0000-000008000000}"/>
    <cellStyle name="40% - Accent4 2" xfId="26" xr:uid="{00000000-0005-0000-0000-000009000000}"/>
    <cellStyle name="40% - Accent5 2" xfId="27" xr:uid="{00000000-0005-0000-0000-00000A000000}"/>
    <cellStyle name="40% - Accent6 2" xfId="28" xr:uid="{00000000-0005-0000-0000-00000B000000}"/>
    <cellStyle name="60% - Accent1 2" xfId="29" xr:uid="{00000000-0005-0000-0000-00000C000000}"/>
    <cellStyle name="60% - Accent2 2" xfId="30" xr:uid="{00000000-0005-0000-0000-00000D000000}"/>
    <cellStyle name="60% - Accent3 2" xfId="31" xr:uid="{00000000-0005-0000-0000-00000E000000}"/>
    <cellStyle name="60% - Accent4 2" xfId="32" xr:uid="{00000000-0005-0000-0000-00000F000000}"/>
    <cellStyle name="60% - Accent5 2" xfId="33" xr:uid="{00000000-0005-0000-0000-000010000000}"/>
    <cellStyle name="60% - Accent6 2" xfId="34" xr:uid="{00000000-0005-0000-0000-000011000000}"/>
    <cellStyle name="Accent1 2" xfId="35" xr:uid="{00000000-0005-0000-0000-000012000000}"/>
    <cellStyle name="Accent2 2" xfId="36" xr:uid="{00000000-0005-0000-0000-000013000000}"/>
    <cellStyle name="Accent3 2" xfId="37" xr:uid="{00000000-0005-0000-0000-000014000000}"/>
    <cellStyle name="Accent4 2" xfId="38" xr:uid="{00000000-0005-0000-0000-000015000000}"/>
    <cellStyle name="Accent5 2" xfId="39" xr:uid="{00000000-0005-0000-0000-000016000000}"/>
    <cellStyle name="Accent6 2" xfId="40" xr:uid="{00000000-0005-0000-0000-000017000000}"/>
    <cellStyle name="Bad 2" xfId="41" xr:uid="{00000000-0005-0000-0000-000018000000}"/>
    <cellStyle name="Body: normal cell" xfId="4" xr:uid="{00000000-0005-0000-0000-000019000000}"/>
    <cellStyle name="Body: normal cell 2" xfId="160" xr:uid="{CB5DBB3B-471E-4D37-BD9C-125D6BE8FCD4}"/>
    <cellStyle name="Body: normal cell 3" xfId="154" xr:uid="{EFC471A7-DF81-4A92-B231-77315CFA3027}"/>
    <cellStyle name="Body: normal cell 4" xfId="147" xr:uid="{FB75AB18-CC82-4E68-93EE-937A3240DFCF}"/>
    <cellStyle name="Calculation 2" xfId="42" xr:uid="{00000000-0005-0000-0000-00001A000000}"/>
    <cellStyle name="Check Cell 2" xfId="43" xr:uid="{00000000-0005-0000-0000-00001B000000}"/>
    <cellStyle name="Comma" xfId="142" builtinId="3"/>
    <cellStyle name="Comma 2" xfId="44" xr:uid="{00000000-0005-0000-0000-00001D000000}"/>
    <cellStyle name="Comma 2 2" xfId="13" xr:uid="{00000000-0005-0000-0000-00001E000000}"/>
    <cellStyle name="Comma 2 2 2" xfId="45" xr:uid="{00000000-0005-0000-0000-00001F000000}"/>
    <cellStyle name="Comma 2 2 3" xfId="46" xr:uid="{00000000-0005-0000-0000-000020000000}"/>
    <cellStyle name="Comma 2 3" xfId="47" xr:uid="{00000000-0005-0000-0000-000021000000}"/>
    <cellStyle name="Comma 2 4" xfId="146" xr:uid="{2395395A-1206-4548-A2F5-6E18C265DB1C}"/>
    <cellStyle name="Comma 3" xfId="48" xr:uid="{00000000-0005-0000-0000-000022000000}"/>
    <cellStyle name="Comma 4" xfId="49" xr:uid="{00000000-0005-0000-0000-000023000000}"/>
    <cellStyle name="Comma 5" xfId="50" xr:uid="{00000000-0005-0000-0000-000024000000}"/>
    <cellStyle name="Comma 6" xfId="51" xr:uid="{00000000-0005-0000-0000-000025000000}"/>
    <cellStyle name="Comma 7" xfId="52" xr:uid="{00000000-0005-0000-0000-000026000000}"/>
    <cellStyle name="Currency 2" xfId="53" xr:uid="{00000000-0005-0000-0000-000027000000}"/>
    <cellStyle name="Currency 3" xfId="54" xr:uid="{00000000-0005-0000-0000-000028000000}"/>
    <cellStyle name="Currency 3 2" xfId="55" xr:uid="{00000000-0005-0000-0000-000029000000}"/>
    <cellStyle name="Data" xfId="56" xr:uid="{00000000-0005-0000-0000-00002A000000}"/>
    <cellStyle name="Data no deci" xfId="57" xr:uid="{00000000-0005-0000-0000-00002B000000}"/>
    <cellStyle name="Data Superscript" xfId="58" xr:uid="{00000000-0005-0000-0000-00002C000000}"/>
    <cellStyle name="Data_1-1A-Regular" xfId="59" xr:uid="{00000000-0005-0000-0000-00002D000000}"/>
    <cellStyle name="Data_Sheet1 (2)_1" xfId="11" xr:uid="{00000000-0005-0000-0000-00002E000000}"/>
    <cellStyle name="Explanatory Text 2" xfId="60" xr:uid="{00000000-0005-0000-0000-00002F000000}"/>
    <cellStyle name="Font: Calibri, 9pt regular" xfId="6" xr:uid="{00000000-0005-0000-0000-000030000000}"/>
    <cellStyle name="Font: Calibri, 9pt regular 2" xfId="161" xr:uid="{165951B0-C4F7-40CC-B64E-33E3EDD3C4E7}"/>
    <cellStyle name="Font: Calibri, 9pt regular 3" xfId="155" xr:uid="{D3B95771-22FC-4EBE-991F-44747A1BACE7}"/>
    <cellStyle name="Font: Calibri, 9pt regular 4" xfId="148" xr:uid="{5DABB863-281B-445F-A65B-7D989E813E69}"/>
    <cellStyle name="Footnotes: top row" xfId="2" xr:uid="{00000000-0005-0000-0000-000031000000}"/>
    <cellStyle name="Footnotes: top row 2" xfId="162" xr:uid="{7DB3E857-1276-4CD4-9549-15A23504E352}"/>
    <cellStyle name="Footnotes: top row 3" xfId="156" xr:uid="{BD77C261-0274-46FA-A8D4-BBBDB7A77D49}"/>
    <cellStyle name="Footnotes: top row 4" xfId="149" xr:uid="{D9A17164-F399-4316-A228-A576E9682B2D}"/>
    <cellStyle name="Good 2" xfId="61" xr:uid="{00000000-0005-0000-0000-000032000000}"/>
    <cellStyle name="Header: bottom row" xfId="5" xr:uid="{00000000-0005-0000-0000-000033000000}"/>
    <cellStyle name="Header: bottom row 2" xfId="163" xr:uid="{E059B323-6F29-42F9-BBF8-469DB538F6A5}"/>
    <cellStyle name="Header: bottom row 3" xfId="157" xr:uid="{D5D168B8-48EE-4423-80B6-F874573EC431}"/>
    <cellStyle name="Header: bottom row 4" xfId="150" xr:uid="{4C6D829A-AAA1-4191-BEEE-C65D4194956B}"/>
    <cellStyle name="Heading 1 2" xfId="62" xr:uid="{00000000-0005-0000-0000-000034000000}"/>
    <cellStyle name="Heading 2 2" xfId="63" xr:uid="{00000000-0005-0000-0000-000035000000}"/>
    <cellStyle name="Heading 3 2" xfId="64" xr:uid="{00000000-0005-0000-0000-000036000000}"/>
    <cellStyle name="Heading 4 2" xfId="65" xr:uid="{00000000-0005-0000-0000-000037000000}"/>
    <cellStyle name="Hed Side" xfId="15" xr:uid="{00000000-0005-0000-0000-000038000000}"/>
    <cellStyle name="Hed Side bold" xfId="66" xr:uid="{00000000-0005-0000-0000-000039000000}"/>
    <cellStyle name="Hed Side Indent" xfId="67" xr:uid="{00000000-0005-0000-0000-00003A000000}"/>
    <cellStyle name="Hed Side Regular" xfId="68" xr:uid="{00000000-0005-0000-0000-00003B000000}"/>
    <cellStyle name="Hed Side_1-1A-Regular" xfId="69" xr:uid="{00000000-0005-0000-0000-00003C000000}"/>
    <cellStyle name="Hed Side_Sheet1 (2)_1" xfId="10" xr:uid="{00000000-0005-0000-0000-00003D000000}"/>
    <cellStyle name="Hed Top" xfId="70" xr:uid="{00000000-0005-0000-0000-00003E000000}"/>
    <cellStyle name="Hyperlink" xfId="144" builtinId="8"/>
    <cellStyle name="Input 2" xfId="71" xr:uid="{00000000-0005-0000-0000-000040000000}"/>
    <cellStyle name="Linked Cell 2" xfId="72" xr:uid="{00000000-0005-0000-0000-000041000000}"/>
    <cellStyle name="Neutral 2" xfId="73" xr:uid="{00000000-0005-0000-0000-000042000000}"/>
    <cellStyle name="Normal" xfId="0" builtinId="0"/>
    <cellStyle name="Normal 10" xfId="74" xr:uid="{00000000-0005-0000-0000-000044000000}"/>
    <cellStyle name="Normal 11" xfId="12" xr:uid="{00000000-0005-0000-0000-000045000000}"/>
    <cellStyle name="Normal 2" xfId="1" xr:uid="{00000000-0005-0000-0000-000046000000}"/>
    <cellStyle name="Normal 2 2" xfId="75" xr:uid="{00000000-0005-0000-0000-000047000000}"/>
    <cellStyle name="Normal 2 2 2" xfId="76" xr:uid="{00000000-0005-0000-0000-000048000000}"/>
    <cellStyle name="Normal 2 2 3" xfId="77" xr:uid="{00000000-0005-0000-0000-000049000000}"/>
    <cellStyle name="Normal 2 3" xfId="78" xr:uid="{00000000-0005-0000-0000-00004A000000}"/>
    <cellStyle name="Normal 2 4" xfId="79" xr:uid="{00000000-0005-0000-0000-00004B000000}"/>
    <cellStyle name="Normal 3" xfId="8" xr:uid="{00000000-0005-0000-0000-00004C000000}"/>
    <cellStyle name="Normal 3 2" xfId="80" xr:uid="{00000000-0005-0000-0000-00004D000000}"/>
    <cellStyle name="Normal 3 2 2" xfId="81" xr:uid="{00000000-0005-0000-0000-00004E000000}"/>
    <cellStyle name="Normal 3 2 2 2" xfId="82" xr:uid="{00000000-0005-0000-0000-00004F000000}"/>
    <cellStyle name="Normal 3 2 3" xfId="83" xr:uid="{00000000-0005-0000-0000-000050000000}"/>
    <cellStyle name="Normal 3 3" xfId="84" xr:uid="{00000000-0005-0000-0000-000051000000}"/>
    <cellStyle name="Normal 3 3 2" xfId="85" xr:uid="{00000000-0005-0000-0000-000052000000}"/>
    <cellStyle name="Normal 3 3 2 2" xfId="86" xr:uid="{00000000-0005-0000-0000-000053000000}"/>
    <cellStyle name="Normal 3 3 3" xfId="87" xr:uid="{00000000-0005-0000-0000-000054000000}"/>
    <cellStyle name="Normal 3 4" xfId="88" xr:uid="{00000000-0005-0000-0000-000055000000}"/>
    <cellStyle name="Normal 3 4 2" xfId="89" xr:uid="{00000000-0005-0000-0000-000056000000}"/>
    <cellStyle name="Normal 3 5" xfId="90" xr:uid="{00000000-0005-0000-0000-000057000000}"/>
    <cellStyle name="Normal 3 6" xfId="91" xr:uid="{00000000-0005-0000-0000-000058000000}"/>
    <cellStyle name="Normal 3 7" xfId="92" xr:uid="{00000000-0005-0000-0000-000059000000}"/>
    <cellStyle name="Normal 3 8" xfId="93" xr:uid="{00000000-0005-0000-0000-00005A000000}"/>
    <cellStyle name="Normal 3 9" xfId="14" xr:uid="{00000000-0005-0000-0000-00005B000000}"/>
    <cellStyle name="Normal 4" xfId="94" xr:uid="{00000000-0005-0000-0000-00005C000000}"/>
    <cellStyle name="Normal 4 2" xfId="95" xr:uid="{00000000-0005-0000-0000-00005D000000}"/>
    <cellStyle name="Normal 4 2 2" xfId="96" xr:uid="{00000000-0005-0000-0000-00005E000000}"/>
    <cellStyle name="Normal 4 2 2 2" xfId="97" xr:uid="{00000000-0005-0000-0000-00005F000000}"/>
    <cellStyle name="Normal 4 2 3" xfId="98" xr:uid="{00000000-0005-0000-0000-000060000000}"/>
    <cellStyle name="Normal 4 3" xfId="99" xr:uid="{00000000-0005-0000-0000-000061000000}"/>
    <cellStyle name="Normal 4 3 2" xfId="100" xr:uid="{00000000-0005-0000-0000-000062000000}"/>
    <cellStyle name="Normal 4 3 2 2" xfId="101" xr:uid="{00000000-0005-0000-0000-000063000000}"/>
    <cellStyle name="Normal 4 3 3" xfId="102" xr:uid="{00000000-0005-0000-0000-000064000000}"/>
    <cellStyle name="Normal 4 4" xfId="103" xr:uid="{00000000-0005-0000-0000-000065000000}"/>
    <cellStyle name="Normal 4 4 2" xfId="104" xr:uid="{00000000-0005-0000-0000-000066000000}"/>
    <cellStyle name="Normal 4 5" xfId="105" xr:uid="{00000000-0005-0000-0000-000067000000}"/>
    <cellStyle name="Normal 4 6" xfId="106" xr:uid="{00000000-0005-0000-0000-000068000000}"/>
    <cellStyle name="Normal 4 7" xfId="107" xr:uid="{00000000-0005-0000-0000-000069000000}"/>
    <cellStyle name="Normal 4 8" xfId="108" xr:uid="{00000000-0005-0000-0000-00006A000000}"/>
    <cellStyle name="Normal 4 9" xfId="153" xr:uid="{A2E96EDB-E3B0-42D1-8519-13069A213F96}"/>
    <cellStyle name="Normal 5" xfId="109" xr:uid="{00000000-0005-0000-0000-00006B000000}"/>
    <cellStyle name="Normal 5 2" xfId="110" xr:uid="{00000000-0005-0000-0000-00006C000000}"/>
    <cellStyle name="Normal 5 3" xfId="111" xr:uid="{00000000-0005-0000-0000-00006D000000}"/>
    <cellStyle name="Normal 6" xfId="112" xr:uid="{00000000-0005-0000-0000-00006E000000}"/>
    <cellStyle name="Normal 6 2" xfId="113" xr:uid="{00000000-0005-0000-0000-00006F000000}"/>
    <cellStyle name="Normal 7" xfId="114" xr:uid="{00000000-0005-0000-0000-000070000000}"/>
    <cellStyle name="Normal 8" xfId="115" xr:uid="{00000000-0005-0000-0000-000071000000}"/>
    <cellStyle name="Normal 9" xfId="116" xr:uid="{00000000-0005-0000-0000-000072000000}"/>
    <cellStyle name="Note 2" xfId="117" xr:uid="{00000000-0005-0000-0000-000073000000}"/>
    <cellStyle name="Note 2 2" xfId="118" xr:uid="{00000000-0005-0000-0000-000074000000}"/>
    <cellStyle name="Output 2" xfId="119" xr:uid="{00000000-0005-0000-0000-000075000000}"/>
    <cellStyle name="Parent row" xfId="3" xr:uid="{00000000-0005-0000-0000-000076000000}"/>
    <cellStyle name="Parent row 2" xfId="164" xr:uid="{E2CE74C3-472B-4843-A23F-D36F9BE33843}"/>
    <cellStyle name="Parent row 3" xfId="158" xr:uid="{27000447-EA48-4C1C-84E0-8A2AED0C1D72}"/>
    <cellStyle name="Parent row 4" xfId="151" xr:uid="{E59285E4-2D4C-49D0-BEF8-31FFEFAFD432}"/>
    <cellStyle name="Percent" xfId="143" builtinId="5"/>
    <cellStyle name="Percent 2" xfId="120" xr:uid="{00000000-0005-0000-0000-000078000000}"/>
    <cellStyle name="Percent 2 2" xfId="121" xr:uid="{00000000-0005-0000-0000-000079000000}"/>
    <cellStyle name="Percent 3" xfId="122" xr:uid="{00000000-0005-0000-0000-00007A000000}"/>
    <cellStyle name="Percent 3 2" xfId="123" xr:uid="{00000000-0005-0000-0000-00007B000000}"/>
    <cellStyle name="Source Hed" xfId="124" xr:uid="{00000000-0005-0000-0000-00007C000000}"/>
    <cellStyle name="Source Superscript" xfId="125" xr:uid="{00000000-0005-0000-0000-00007D000000}"/>
    <cellStyle name="Source Text" xfId="9" xr:uid="{00000000-0005-0000-0000-00007E000000}"/>
    <cellStyle name="State" xfId="126" xr:uid="{00000000-0005-0000-0000-00007F000000}"/>
    <cellStyle name="Superscript" xfId="127" xr:uid="{00000000-0005-0000-0000-000080000000}"/>
    <cellStyle name="Table Data" xfId="128" xr:uid="{00000000-0005-0000-0000-000081000000}"/>
    <cellStyle name="Table Head Top" xfId="129" xr:uid="{00000000-0005-0000-0000-000082000000}"/>
    <cellStyle name="Table Hed Side" xfId="130" xr:uid="{00000000-0005-0000-0000-000083000000}"/>
    <cellStyle name="Table title" xfId="7" xr:uid="{00000000-0005-0000-0000-000084000000}"/>
    <cellStyle name="Table title 2" xfId="165" xr:uid="{4A9B4A06-1190-4D01-AAC6-01F2750F2DF8}"/>
    <cellStyle name="Table title 3" xfId="159" xr:uid="{638929BF-116A-4B59-BB51-999F55F279E6}"/>
    <cellStyle name="Table title 4" xfId="152" xr:uid="{FF60225D-2D45-4484-B509-4539D96809D5}"/>
    <cellStyle name="Title 2" xfId="131" xr:uid="{00000000-0005-0000-0000-000085000000}"/>
    <cellStyle name="Title Text" xfId="132" xr:uid="{00000000-0005-0000-0000-000086000000}"/>
    <cellStyle name="Title Text 1" xfId="133" xr:uid="{00000000-0005-0000-0000-000087000000}"/>
    <cellStyle name="Title Text 2" xfId="134" xr:uid="{00000000-0005-0000-0000-000088000000}"/>
    <cellStyle name="Title-1" xfId="16" xr:uid="{00000000-0005-0000-0000-000089000000}"/>
    <cellStyle name="Title-2" xfId="135" xr:uid="{00000000-0005-0000-0000-00008A000000}"/>
    <cellStyle name="Title-3" xfId="136" xr:uid="{00000000-0005-0000-0000-00008B000000}"/>
    <cellStyle name="Total 2" xfId="137" xr:uid="{00000000-0005-0000-0000-00008C000000}"/>
    <cellStyle name="Warning Text 2" xfId="138" xr:uid="{00000000-0005-0000-0000-00008D000000}"/>
    <cellStyle name="Wrap" xfId="139" xr:uid="{00000000-0005-0000-0000-00008E000000}"/>
    <cellStyle name="Wrap Bold" xfId="140" xr:uid="{00000000-0005-0000-0000-00008F000000}"/>
    <cellStyle name="Wrap Title" xfId="141" xr:uid="{00000000-0005-0000-0000-000090000000}"/>
  </cellStyles>
  <dxfs count="7">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EBF1DE"/>
      <color rgb="FFE4DFEC"/>
      <color rgb="FFC5D9F1"/>
      <color rgb="FFB8C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bts.gov/content/number-us-aircraft-vehicles-vessels-and-other-conveyances" TargetMode="External"/><Relationship Id="rId3" Type="http://schemas.openxmlformats.org/officeDocument/2006/relationships/hyperlink" Target="https://www.fhwa.dot.gov/policyinformation/statistics.cfm" TargetMode="External"/><Relationship Id="rId7" Type="http://schemas.openxmlformats.org/officeDocument/2006/relationships/hyperlink" Target="https://data.transportation.gov/Public-Transit/2022-2025-NTD-Annual-Data-Vehicles-Age-Distribution-/6abt-uhgq" TargetMode="External"/><Relationship Id="rId2" Type="http://schemas.openxmlformats.org/officeDocument/2006/relationships/hyperlink" Target="https://www.apta.com/research-technical-resources/transit-statistics/ntd-data-tables/" TargetMode="External"/><Relationship Id="rId1" Type="http://schemas.openxmlformats.org/officeDocument/2006/relationships/hyperlink" Target="https://www.bts.gov/content/number-us-aircraft-vehicles-vessels-and-other-conveyances" TargetMode="External"/><Relationship Id="rId6" Type="http://schemas.openxmlformats.org/officeDocument/2006/relationships/hyperlink" Target="https://www.bts.gov/content/class-i-railroad-locomotive-fleet-year-built" TargetMode="External"/><Relationship Id="rId5" Type="http://schemas.openxmlformats.org/officeDocument/2006/relationships/hyperlink" Target="https://www.buses.org/foundation/" TargetMode="External"/><Relationship Id="rId4" Type="http://schemas.openxmlformats.org/officeDocument/2006/relationships/hyperlink" Target="https://data.transportation.gov/Public-Transit/2022-2025-NTD-Annual-Data-Vehicles-Age-Distribution-/6abt-uhgq" TargetMode="External"/><Relationship Id="rId9"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8"/>
  <sheetViews>
    <sheetView workbookViewId="0"/>
  </sheetViews>
  <sheetFormatPr defaultRowHeight="15"/>
  <cols>
    <col min="1" max="1" width="16.7109375" customWidth="1"/>
    <col min="2" max="2" width="100.7109375" customWidth="1"/>
    <col min="3" max="3" width="3.7109375" customWidth="1"/>
    <col min="4" max="4" width="100.7109375" customWidth="1"/>
  </cols>
  <sheetData>
    <row r="1" spans="1:4">
      <c r="A1" s="1" t="s">
        <v>0</v>
      </c>
    </row>
    <row r="3" spans="1:4">
      <c r="A3" s="1" t="s">
        <v>1</v>
      </c>
      <c r="B3" s="2" t="s">
        <v>287</v>
      </c>
      <c r="D3" s="149" t="s">
        <v>3903</v>
      </c>
    </row>
    <row r="4" spans="1:4">
      <c r="B4" t="s">
        <v>20</v>
      </c>
      <c r="D4" s="151" t="s">
        <v>3904</v>
      </c>
    </row>
    <row r="5" spans="1:4">
      <c r="B5" s="3">
        <v>2025</v>
      </c>
      <c r="D5" s="151" t="s">
        <v>3905</v>
      </c>
    </row>
    <row r="6" spans="1:4">
      <c r="B6" t="s">
        <v>2805</v>
      </c>
      <c r="D6" s="151">
        <v>2024</v>
      </c>
    </row>
    <row r="7" spans="1:4">
      <c r="B7" t="s">
        <v>89</v>
      </c>
      <c r="D7" s="152" t="s">
        <v>3906</v>
      </c>
    </row>
    <row r="8" spans="1:4" ht="30">
      <c r="B8" t="s">
        <v>290</v>
      </c>
      <c r="D8" s="150" t="s">
        <v>3907</v>
      </c>
    </row>
    <row r="10" spans="1:4">
      <c r="B10" s="2" t="s">
        <v>288</v>
      </c>
      <c r="D10" s="149" t="s">
        <v>3908</v>
      </c>
    </row>
    <row r="11" spans="1:4">
      <c r="B11" t="s">
        <v>20</v>
      </c>
      <c r="D11" s="151" t="s">
        <v>3909</v>
      </c>
    </row>
    <row r="12" spans="1:4">
      <c r="B12" s="3">
        <v>2025</v>
      </c>
      <c r="D12" s="151" t="s">
        <v>3910</v>
      </c>
    </row>
    <row r="13" spans="1:4">
      <c r="B13" t="s">
        <v>2805</v>
      </c>
      <c r="D13" s="151">
        <v>2025</v>
      </c>
    </row>
    <row r="14" spans="1:4">
      <c r="B14" t="s">
        <v>89</v>
      </c>
      <c r="D14" s="152" t="s">
        <v>3911</v>
      </c>
    </row>
    <row r="15" spans="1:4">
      <c r="B15" t="s">
        <v>289</v>
      </c>
      <c r="D15" s="150" t="s">
        <v>3912</v>
      </c>
    </row>
    <row r="17" spans="2:4">
      <c r="B17" s="2" t="s">
        <v>130</v>
      </c>
      <c r="D17" s="149" t="s">
        <v>3913</v>
      </c>
    </row>
    <row r="18" spans="2:4">
      <c r="B18" t="s">
        <v>78</v>
      </c>
      <c r="D18" s="151" t="s">
        <v>3914</v>
      </c>
    </row>
    <row r="19" spans="2:4">
      <c r="B19" s="3">
        <v>2019</v>
      </c>
      <c r="D19" s="151" t="s">
        <v>3915</v>
      </c>
    </row>
    <row r="20" spans="2:4">
      <c r="B20" t="s">
        <v>109</v>
      </c>
      <c r="D20" s="151">
        <v>2025</v>
      </c>
    </row>
    <row r="21" spans="2:4">
      <c r="B21" s="21" t="s">
        <v>108</v>
      </c>
      <c r="D21" s="152" t="s">
        <v>3916</v>
      </c>
    </row>
    <row r="22" spans="2:4" ht="30">
      <c r="B22" t="s">
        <v>79</v>
      </c>
      <c r="D22" s="150" t="s">
        <v>3917</v>
      </c>
    </row>
    <row r="24" spans="2:4">
      <c r="B24" s="2" t="s">
        <v>135</v>
      </c>
      <c r="D24" s="149" t="s">
        <v>3918</v>
      </c>
    </row>
    <row r="25" spans="2:4">
      <c r="B25" t="s">
        <v>131</v>
      </c>
      <c r="D25" s="151" t="s">
        <v>3919</v>
      </c>
    </row>
    <row r="26" spans="2:4">
      <c r="B26" s="3">
        <v>2013</v>
      </c>
      <c r="D26" s="151" t="s">
        <v>3920</v>
      </c>
    </row>
    <row r="27" spans="2:4">
      <c r="B27" t="s">
        <v>132</v>
      </c>
      <c r="D27" s="151">
        <v>2026</v>
      </c>
    </row>
    <row r="28" spans="2:4">
      <c r="B28" t="s">
        <v>133</v>
      </c>
      <c r="D28" s="152" t="s">
        <v>3889</v>
      </c>
    </row>
    <row r="29" spans="2:4" ht="45">
      <c r="B29" t="s">
        <v>134</v>
      </c>
      <c r="D29" s="150" t="s">
        <v>3921</v>
      </c>
    </row>
    <row r="31" spans="2:4">
      <c r="B31" s="2" t="s">
        <v>102</v>
      </c>
      <c r="D31" s="149" t="s">
        <v>3922</v>
      </c>
    </row>
    <row r="32" spans="2:4">
      <c r="B32" t="s">
        <v>78</v>
      </c>
      <c r="D32" s="151" t="s">
        <v>3909</v>
      </c>
    </row>
    <row r="33" spans="2:4">
      <c r="B33" s="3">
        <v>2016</v>
      </c>
      <c r="D33" s="151" t="s">
        <v>3923</v>
      </c>
    </row>
    <row r="34" spans="2:4">
      <c r="B34" t="s">
        <v>103</v>
      </c>
      <c r="D34" s="151">
        <v>2025</v>
      </c>
    </row>
    <row r="35" spans="2:4">
      <c r="B35" t="s">
        <v>104</v>
      </c>
      <c r="D35" s="152" t="s">
        <v>3911</v>
      </c>
    </row>
    <row r="36" spans="2:4" ht="45">
      <c r="B36" t="s">
        <v>105</v>
      </c>
      <c r="D36" s="150" t="s">
        <v>3924</v>
      </c>
    </row>
    <row r="38" spans="2:4">
      <c r="B38" s="2" t="s">
        <v>27</v>
      </c>
      <c r="D38" s="149" t="s">
        <v>3925</v>
      </c>
    </row>
    <row r="39" spans="2:4">
      <c r="B39" t="s">
        <v>20</v>
      </c>
      <c r="D39" s="151" t="s">
        <v>3926</v>
      </c>
    </row>
    <row r="40" spans="2:4">
      <c r="B40" s="3">
        <v>2025</v>
      </c>
      <c r="D40" s="151" t="s">
        <v>3927</v>
      </c>
    </row>
    <row r="41" spans="2:4">
      <c r="B41" t="s">
        <v>2805</v>
      </c>
      <c r="D41" s="151">
        <v>2026</v>
      </c>
    </row>
    <row r="42" spans="2:4">
      <c r="B42" t="s">
        <v>89</v>
      </c>
      <c r="D42" s="152" t="s">
        <v>108</v>
      </c>
    </row>
    <row r="43" spans="2:4" ht="45">
      <c r="B43" t="s">
        <v>21</v>
      </c>
      <c r="D43" s="150" t="s">
        <v>3928</v>
      </c>
    </row>
    <row r="45" spans="2:4">
      <c r="B45" s="2" t="s">
        <v>98</v>
      </c>
    </row>
    <row r="46" spans="2:4">
      <c r="B46" t="s">
        <v>100</v>
      </c>
    </row>
    <row r="47" spans="2:4">
      <c r="B47" s="3">
        <v>2014</v>
      </c>
    </row>
    <row r="48" spans="2:4">
      <c r="B48" t="s">
        <v>101</v>
      </c>
    </row>
    <row r="49" spans="2:2">
      <c r="B49" t="s">
        <v>107</v>
      </c>
    </row>
    <row r="50" spans="2:2">
      <c r="B50" t="s">
        <v>99</v>
      </c>
    </row>
    <row r="52" spans="2:2">
      <c r="B52" s="2" t="s">
        <v>4</v>
      </c>
    </row>
    <row r="53" spans="2:2">
      <c r="B53" t="s">
        <v>20</v>
      </c>
    </row>
    <row r="54" spans="2:2">
      <c r="B54" s="3">
        <v>2025</v>
      </c>
    </row>
    <row r="55" spans="2:2">
      <c r="B55" t="s">
        <v>2805</v>
      </c>
    </row>
    <row r="56" spans="2:2">
      <c r="B56" t="s">
        <v>89</v>
      </c>
    </row>
    <row r="57" spans="2:2">
      <c r="B57" t="s">
        <v>286</v>
      </c>
    </row>
    <row r="59" spans="2:2">
      <c r="B59" s="40" t="s">
        <v>298</v>
      </c>
    </row>
    <row r="60" spans="2:2">
      <c r="B60" s="3" t="s">
        <v>299</v>
      </c>
    </row>
    <row r="61" spans="2:2">
      <c r="B61" s="3" t="s">
        <v>300</v>
      </c>
    </row>
    <row r="62" spans="2:2">
      <c r="B62" s="3">
        <v>2020</v>
      </c>
    </row>
    <row r="63" spans="2:2">
      <c r="B63" s="41" t="s">
        <v>301</v>
      </c>
    </row>
    <row r="66" spans="1:2">
      <c r="A66" s="1" t="s">
        <v>3929</v>
      </c>
    </row>
    <row r="67" spans="1:2" ht="75">
      <c r="A67" s="153" t="s">
        <v>3930</v>
      </c>
      <c r="B67" s="150" t="s">
        <v>3931</v>
      </c>
    </row>
    <row r="68" spans="1:2" ht="45">
      <c r="A68" s="153" t="s">
        <v>3932</v>
      </c>
      <c r="B68" s="150" t="s">
        <v>3933</v>
      </c>
    </row>
    <row r="69" spans="1:2" ht="45">
      <c r="A69" s="153" t="s">
        <v>3934</v>
      </c>
      <c r="B69" s="150" t="s">
        <v>3935</v>
      </c>
    </row>
    <row r="70" spans="1:2" ht="90">
      <c r="A70" s="153" t="s">
        <v>3936</v>
      </c>
      <c r="B70" s="150" t="s">
        <v>3937</v>
      </c>
    </row>
    <row r="71" spans="1:2">
      <c r="A71" s="153" t="s">
        <v>3938</v>
      </c>
      <c r="B71" s="150" t="s">
        <v>3939</v>
      </c>
    </row>
    <row r="72" spans="1:2" ht="30">
      <c r="A72" s="153" t="s">
        <v>3940</v>
      </c>
      <c r="B72" s="150" t="s">
        <v>3941</v>
      </c>
    </row>
    <row r="73" spans="1:2" ht="105">
      <c r="A73" s="153" t="s">
        <v>3942</v>
      </c>
      <c r="B73" s="150" t="s">
        <v>3943</v>
      </c>
    </row>
    <row r="74" spans="1:2" ht="60">
      <c r="A74" s="153" t="s">
        <v>3944</v>
      </c>
      <c r="B74" s="150" t="s">
        <v>3945</v>
      </c>
    </row>
    <row r="75" spans="1:2" ht="60">
      <c r="A75" s="153" t="s">
        <v>3946</v>
      </c>
      <c r="B75" s="150" t="s">
        <v>3947</v>
      </c>
    </row>
    <row r="76" spans="1:2" ht="45">
      <c r="A76" s="153" t="s">
        <v>3948</v>
      </c>
      <c r="B76" s="150" t="s">
        <v>3949</v>
      </c>
    </row>
    <row r="77" spans="1:2" ht="30">
      <c r="A77" s="153" t="s">
        <v>3950</v>
      </c>
      <c r="B77" s="150" t="s">
        <v>3951</v>
      </c>
    </row>
    <row r="98" spans="1:2">
      <c r="A98" s="1" t="s">
        <v>110</v>
      </c>
      <c r="B98">
        <v>2024</v>
      </c>
    </row>
  </sheetData>
  <hyperlinks>
    <hyperlink ref="B21" r:id="rId1" xr:uid="{00000000-0004-0000-0000-000000000000}"/>
    <hyperlink ref="B63" r:id="rId2" xr:uid="{956E7496-C2A5-4FC3-829B-E5DFF299CF26}"/>
    <hyperlink ref="D7" r:id="rId3" xr:uid="{6BDB5572-3D7D-4A9E-B222-866CBECC68A9}"/>
    <hyperlink ref="D14" r:id="rId4" xr:uid="{930717D6-492B-4512-A104-D694EDF5D7B9}"/>
    <hyperlink ref="D21" r:id="rId5" xr:uid="{52845213-957E-46A6-9397-C9AA222A281E}"/>
    <hyperlink ref="D28" r:id="rId6" xr:uid="{46410661-BC9E-42F0-8F4C-B5CE5D6479C8}"/>
    <hyperlink ref="D35" r:id="rId7" xr:uid="{246A201A-0F72-4D94-AAC3-82642D4F4202}"/>
    <hyperlink ref="D42" r:id="rId8" xr:uid="{F073ABD1-BC70-4F81-970F-F6E5DA314611}"/>
  </hyperlink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151B3-50AB-45DE-8755-DFA154D5BAD3}">
  <sheetPr>
    <tabColor theme="0" tint="-0.499984740745262"/>
  </sheetPr>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395E9-92AB-4DB6-95B9-99236AEB6323}">
  <dimension ref="A1:AG230"/>
  <sheetViews>
    <sheetView workbookViewId="0"/>
  </sheetViews>
  <sheetFormatPr defaultRowHeight="15"/>
  <cols>
    <col min="2" max="2" width="83.5703125" bestFit="1" customWidth="1"/>
  </cols>
  <sheetData>
    <row r="1" spans="1:33">
      <c r="A1" t="s">
        <v>209</v>
      </c>
    </row>
    <row r="2" spans="1:33">
      <c r="A2" t="s">
        <v>1160</v>
      </c>
    </row>
    <row r="3" spans="1:33">
      <c r="A3" t="s">
        <v>1159</v>
      </c>
    </row>
    <row r="4" spans="1:33">
      <c r="A4" t="s">
        <v>173</v>
      </c>
    </row>
    <row r="5" spans="1:33">
      <c r="B5" t="s">
        <v>174</v>
      </c>
      <c r="C5" t="s">
        <v>175</v>
      </c>
      <c r="D5" t="s">
        <v>176</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1158</v>
      </c>
    </row>
    <row r="6" spans="1:33">
      <c r="A6" t="s">
        <v>18</v>
      </c>
    </row>
    <row r="7" spans="1:33">
      <c r="A7" t="s">
        <v>210</v>
      </c>
      <c r="B7" t="s">
        <v>1157</v>
      </c>
      <c r="C7" t="s">
        <v>1156</v>
      </c>
      <c r="D7" t="s">
        <v>176</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20">
        <v>1.7000000000000001E-2</v>
      </c>
    </row>
    <row r="8" spans="1:33">
      <c r="A8" t="s">
        <v>211</v>
      </c>
      <c r="B8" t="s">
        <v>1155</v>
      </c>
      <c r="C8" t="s">
        <v>1154</v>
      </c>
      <c r="D8" t="s">
        <v>176</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20">
        <v>1.7000000000000001E-2</v>
      </c>
    </row>
    <row r="9" spans="1:33">
      <c r="A9" t="s">
        <v>212</v>
      </c>
      <c r="B9" t="s">
        <v>1153</v>
      </c>
      <c r="C9" t="s">
        <v>1152</v>
      </c>
      <c r="D9" t="s">
        <v>176</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20">
        <v>1.7000000000000001E-2</v>
      </c>
    </row>
    <row r="10" spans="1:33">
      <c r="A10" t="s">
        <v>213</v>
      </c>
      <c r="B10" t="s">
        <v>1151</v>
      </c>
      <c r="C10" t="s">
        <v>1150</v>
      </c>
      <c r="D10" t="s">
        <v>176</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20">
        <v>1.6E-2</v>
      </c>
    </row>
    <row r="11" spans="1:33">
      <c r="A11" t="s">
        <v>214</v>
      </c>
      <c r="B11" t="s">
        <v>1149</v>
      </c>
      <c r="C11" t="s">
        <v>1148</v>
      </c>
      <c r="D11" t="s">
        <v>176</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20">
        <v>1.7999999999999999E-2</v>
      </c>
    </row>
    <row r="12" spans="1:33">
      <c r="A12" t="s">
        <v>211</v>
      </c>
      <c r="B12" t="s">
        <v>1147</v>
      </c>
      <c r="C12" t="s">
        <v>1146</v>
      </c>
      <c r="D12" t="s">
        <v>176</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20">
        <v>1.7999999999999999E-2</v>
      </c>
    </row>
    <row r="13" spans="1:33">
      <c r="A13" t="s">
        <v>212</v>
      </c>
      <c r="B13" t="s">
        <v>1145</v>
      </c>
      <c r="C13" t="s">
        <v>1144</v>
      </c>
      <c r="D13" t="s">
        <v>176</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20">
        <v>2.1000000000000001E-2</v>
      </c>
    </row>
    <row r="14" spans="1:33">
      <c r="A14" t="s">
        <v>213</v>
      </c>
      <c r="B14" t="s">
        <v>1143</v>
      </c>
      <c r="C14" t="s">
        <v>1142</v>
      </c>
      <c r="D14" t="s">
        <v>176</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20">
        <v>1.7999999999999999E-2</v>
      </c>
    </row>
    <row r="15" spans="1:33">
      <c r="A15" t="s">
        <v>745</v>
      </c>
      <c r="B15" t="s">
        <v>1141</v>
      </c>
      <c r="C15" t="s">
        <v>1140</v>
      </c>
      <c r="D15" t="s">
        <v>176</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20">
        <v>3.1E-2</v>
      </c>
    </row>
    <row r="16" spans="1:33">
      <c r="A16" t="s">
        <v>211</v>
      </c>
      <c r="B16" t="s">
        <v>1139</v>
      </c>
      <c r="C16" t="s">
        <v>1138</v>
      </c>
      <c r="D16" t="s">
        <v>176</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20">
        <v>3.1E-2</v>
      </c>
    </row>
    <row r="17" spans="1:33">
      <c r="A17" t="s">
        <v>212</v>
      </c>
      <c r="B17" t="s">
        <v>1137</v>
      </c>
      <c r="C17" t="s">
        <v>1136</v>
      </c>
      <c r="D17" t="s">
        <v>176</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20">
        <v>2.9000000000000001E-2</v>
      </c>
    </row>
    <row r="18" spans="1:33">
      <c r="A18" t="s">
        <v>213</v>
      </c>
      <c r="B18" t="s">
        <v>1135</v>
      </c>
      <c r="C18" t="s">
        <v>1134</v>
      </c>
      <c r="D18" t="s">
        <v>176</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20">
        <v>0.03</v>
      </c>
    </row>
    <row r="19" spans="1:33">
      <c r="A19" t="s">
        <v>742</v>
      </c>
      <c r="B19" t="s">
        <v>1133</v>
      </c>
      <c r="C19" t="s">
        <v>1132</v>
      </c>
      <c r="D19" t="s">
        <v>176</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20">
        <v>1.7999999999999999E-2</v>
      </c>
    </row>
    <row r="20" spans="1:33">
      <c r="A20" t="s">
        <v>211</v>
      </c>
      <c r="B20" t="s">
        <v>1131</v>
      </c>
      <c r="C20" t="s">
        <v>1130</v>
      </c>
      <c r="D20" t="s">
        <v>176</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20">
        <v>1.9E-2</v>
      </c>
    </row>
    <row r="21" spans="1:33">
      <c r="A21" t="s">
        <v>212</v>
      </c>
      <c r="B21" t="s">
        <v>1129</v>
      </c>
      <c r="C21" t="s">
        <v>1128</v>
      </c>
      <c r="D21" t="s">
        <v>176</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20">
        <v>1.7000000000000001E-2</v>
      </c>
    </row>
    <row r="22" spans="1:33">
      <c r="A22" t="s">
        <v>213</v>
      </c>
      <c r="B22" t="s">
        <v>1127</v>
      </c>
      <c r="C22" t="s">
        <v>1126</v>
      </c>
      <c r="D22" t="s">
        <v>176</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20">
        <v>1.9E-2</v>
      </c>
    </row>
    <row r="23" spans="1:33">
      <c r="A23" t="s">
        <v>739</v>
      </c>
      <c r="B23" t="s">
        <v>1125</v>
      </c>
      <c r="C23" t="s">
        <v>1124</v>
      </c>
      <c r="D23" t="s">
        <v>176</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20">
        <v>2E-3</v>
      </c>
    </row>
    <row r="24" spans="1:33">
      <c r="A24" t="s">
        <v>211</v>
      </c>
      <c r="B24" t="s">
        <v>1123</v>
      </c>
      <c r="C24" t="s">
        <v>1122</v>
      </c>
      <c r="D24" t="s">
        <v>176</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20">
        <v>4.0000000000000001E-3</v>
      </c>
    </row>
    <row r="25" spans="1:33">
      <c r="A25" t="s">
        <v>212</v>
      </c>
      <c r="B25" t="s">
        <v>1121</v>
      </c>
      <c r="C25" t="s">
        <v>1120</v>
      </c>
      <c r="D25" t="s">
        <v>176</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20">
        <v>-1E-3</v>
      </c>
    </row>
    <row r="26" spans="1:33">
      <c r="A26" t="s">
        <v>213</v>
      </c>
      <c r="B26" t="s">
        <v>1119</v>
      </c>
      <c r="C26" t="s">
        <v>1118</v>
      </c>
      <c r="D26" t="s">
        <v>176</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20">
        <v>5.0000000000000001E-3</v>
      </c>
    </row>
    <row r="27" spans="1:33">
      <c r="A27" t="s">
        <v>736</v>
      </c>
      <c r="B27" t="s">
        <v>1117</v>
      </c>
      <c r="C27" t="s">
        <v>1116</v>
      </c>
      <c r="D27" t="s">
        <v>176</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20">
        <v>2.1999999999999999E-2</v>
      </c>
    </row>
    <row r="28" spans="1:33">
      <c r="A28" t="s">
        <v>211</v>
      </c>
      <c r="B28" t="s">
        <v>1115</v>
      </c>
      <c r="C28" t="s">
        <v>1114</v>
      </c>
      <c r="D28" t="s">
        <v>176</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20">
        <v>2.1000000000000001E-2</v>
      </c>
    </row>
    <row r="29" spans="1:33">
      <c r="A29" t="s">
        <v>212</v>
      </c>
      <c r="B29" t="s">
        <v>1113</v>
      </c>
      <c r="C29" t="s">
        <v>1112</v>
      </c>
      <c r="D29" t="s">
        <v>176</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20">
        <v>2.3E-2</v>
      </c>
    </row>
    <row r="30" spans="1:33">
      <c r="A30" t="s">
        <v>213</v>
      </c>
      <c r="B30" t="s">
        <v>1111</v>
      </c>
      <c r="C30" t="s">
        <v>1110</v>
      </c>
      <c r="D30" t="s">
        <v>176</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20">
        <v>2.1000000000000001E-2</v>
      </c>
    </row>
    <row r="31" spans="1:33">
      <c r="A31" t="s">
        <v>733</v>
      </c>
      <c r="B31" t="s">
        <v>1109</v>
      </c>
      <c r="C31" t="s">
        <v>1108</v>
      </c>
      <c r="D31" t="s">
        <v>176</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20">
        <v>2.3E-2</v>
      </c>
    </row>
    <row r="32" spans="1:33">
      <c r="A32" t="s">
        <v>211</v>
      </c>
      <c r="B32" t="s">
        <v>1107</v>
      </c>
      <c r="C32" t="s">
        <v>1106</v>
      </c>
      <c r="D32" t="s">
        <v>176</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20">
        <v>2.1000000000000001E-2</v>
      </c>
    </row>
    <row r="33" spans="1:33">
      <c r="A33" t="s">
        <v>212</v>
      </c>
      <c r="B33" t="s">
        <v>1105</v>
      </c>
      <c r="C33" t="s">
        <v>1104</v>
      </c>
      <c r="D33" t="s">
        <v>176</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20">
        <v>2.5000000000000001E-2</v>
      </c>
    </row>
    <row r="34" spans="1:33">
      <c r="A34" t="s">
        <v>213</v>
      </c>
      <c r="B34" t="s">
        <v>1103</v>
      </c>
      <c r="C34" t="s">
        <v>1102</v>
      </c>
      <c r="D34" t="s">
        <v>176</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20">
        <v>1.7999999999999999E-2</v>
      </c>
    </row>
    <row r="35" spans="1:33">
      <c r="A35" t="s">
        <v>730</v>
      </c>
      <c r="B35" t="s">
        <v>1101</v>
      </c>
      <c r="C35" t="s">
        <v>1100</v>
      </c>
      <c r="D35" t="s">
        <v>176</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20">
        <v>2.3E-2</v>
      </c>
    </row>
    <row r="36" spans="1:33">
      <c r="A36" t="s">
        <v>211</v>
      </c>
      <c r="B36" t="s">
        <v>1099</v>
      </c>
      <c r="C36" t="s">
        <v>1098</v>
      </c>
      <c r="D36" t="s">
        <v>176</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20">
        <v>2.1999999999999999E-2</v>
      </c>
    </row>
    <row r="37" spans="1:33">
      <c r="A37" t="s">
        <v>212</v>
      </c>
      <c r="B37" t="s">
        <v>1097</v>
      </c>
      <c r="C37" t="s">
        <v>1096</v>
      </c>
      <c r="D37" t="s">
        <v>176</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20">
        <v>3.5000000000000003E-2</v>
      </c>
    </row>
    <row r="38" spans="1:33">
      <c r="A38" t="s">
        <v>213</v>
      </c>
      <c r="B38" t="s">
        <v>1095</v>
      </c>
      <c r="C38" t="s">
        <v>1094</v>
      </c>
      <c r="D38" t="s">
        <v>176</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20">
        <v>1.6E-2</v>
      </c>
    </row>
    <row r="39" spans="1:33">
      <c r="A39" t="s">
        <v>727</v>
      </c>
      <c r="B39" t="s">
        <v>1093</v>
      </c>
      <c r="C39" t="s">
        <v>1092</v>
      </c>
      <c r="D39" t="s">
        <v>176</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20">
        <v>2.5999999999999999E-2</v>
      </c>
    </row>
    <row r="40" spans="1:33">
      <c r="A40" t="s">
        <v>211</v>
      </c>
      <c r="B40" t="s">
        <v>1091</v>
      </c>
      <c r="C40" t="s">
        <v>1090</v>
      </c>
      <c r="D40" t="s">
        <v>176</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20">
        <v>2.9000000000000001E-2</v>
      </c>
    </row>
    <row r="41" spans="1:33">
      <c r="A41" t="s">
        <v>212</v>
      </c>
      <c r="B41" t="s">
        <v>1089</v>
      </c>
      <c r="C41" t="s">
        <v>1088</v>
      </c>
      <c r="D41" t="s">
        <v>176</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20">
        <v>1.9E-2</v>
      </c>
    </row>
    <row r="42" spans="1:33">
      <c r="A42" t="s">
        <v>213</v>
      </c>
      <c r="B42" t="s">
        <v>1087</v>
      </c>
      <c r="C42" t="s">
        <v>1086</v>
      </c>
      <c r="D42" t="s">
        <v>176</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20">
        <v>2.1999999999999999E-2</v>
      </c>
    </row>
    <row r="43" spans="1:33">
      <c r="A43" t="s">
        <v>216</v>
      </c>
      <c r="B43" t="s">
        <v>1085</v>
      </c>
      <c r="C43" t="s">
        <v>1084</v>
      </c>
      <c r="D43" t="s">
        <v>176</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20">
        <v>4.2000000000000003E-2</v>
      </c>
    </row>
    <row r="44" spans="1:33">
      <c r="A44" t="s">
        <v>211</v>
      </c>
      <c r="B44" t="s">
        <v>1083</v>
      </c>
      <c r="C44" t="s">
        <v>1082</v>
      </c>
      <c r="D44" t="s">
        <v>176</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20">
        <v>4.2000000000000003E-2</v>
      </c>
    </row>
    <row r="45" spans="1:33">
      <c r="A45" t="s">
        <v>212</v>
      </c>
      <c r="B45" t="s">
        <v>1081</v>
      </c>
      <c r="C45" t="s">
        <v>1080</v>
      </c>
      <c r="D45" t="s">
        <v>176</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20">
        <v>3.9E-2</v>
      </c>
    </row>
    <row r="46" spans="1:33">
      <c r="A46" t="s">
        <v>213</v>
      </c>
      <c r="B46" t="s">
        <v>1079</v>
      </c>
      <c r="C46" t="s">
        <v>1078</v>
      </c>
      <c r="D46" t="s">
        <v>176</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20">
        <v>0.04</v>
      </c>
    </row>
    <row r="47" spans="1:33">
      <c r="A47" t="s">
        <v>722</v>
      </c>
      <c r="B47" t="s">
        <v>1077</v>
      </c>
      <c r="C47" t="s">
        <v>1076</v>
      </c>
      <c r="D47" t="s">
        <v>176</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20">
        <v>5.6000000000000001E-2</v>
      </c>
    </row>
    <row r="48" spans="1:33">
      <c r="A48" t="s">
        <v>211</v>
      </c>
      <c r="B48" t="s">
        <v>1075</v>
      </c>
      <c r="C48" t="s">
        <v>1074</v>
      </c>
      <c r="D48" t="s">
        <v>176</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20">
        <v>5.7000000000000002E-2</v>
      </c>
    </row>
    <row r="49" spans="1:33">
      <c r="A49" t="s">
        <v>212</v>
      </c>
      <c r="B49" t="s">
        <v>1073</v>
      </c>
      <c r="C49" t="s">
        <v>1072</v>
      </c>
      <c r="D49" t="s">
        <v>176</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20">
        <v>4.8000000000000001E-2</v>
      </c>
    </row>
    <row r="50" spans="1:33">
      <c r="A50" t="s">
        <v>213</v>
      </c>
      <c r="B50" t="s">
        <v>1071</v>
      </c>
      <c r="C50" t="s">
        <v>1070</v>
      </c>
      <c r="D50" t="s">
        <v>176</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20">
        <v>5.7000000000000002E-2</v>
      </c>
    </row>
    <row r="51" spans="1:33">
      <c r="A51" t="s">
        <v>719</v>
      </c>
      <c r="B51" t="s">
        <v>1069</v>
      </c>
      <c r="C51" t="s">
        <v>1068</v>
      </c>
      <c r="D51" t="s">
        <v>176</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20">
        <v>3.7999999999999999E-2</v>
      </c>
    </row>
    <row r="52" spans="1:33">
      <c r="A52" t="s">
        <v>211</v>
      </c>
      <c r="B52" t="s">
        <v>1067</v>
      </c>
      <c r="C52" t="s">
        <v>1066</v>
      </c>
      <c r="D52" t="s">
        <v>176</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20">
        <v>3.9E-2</v>
      </c>
    </row>
    <row r="53" spans="1:33">
      <c r="A53" t="s">
        <v>212</v>
      </c>
      <c r="B53" t="s">
        <v>1065</v>
      </c>
      <c r="C53" t="s">
        <v>1064</v>
      </c>
      <c r="D53" t="s">
        <v>176</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20">
        <v>3.5000000000000003E-2</v>
      </c>
    </row>
    <row r="54" spans="1:33">
      <c r="A54" t="s">
        <v>213</v>
      </c>
      <c r="B54" t="s">
        <v>1063</v>
      </c>
      <c r="C54" t="s">
        <v>1062</v>
      </c>
      <c r="D54" t="s">
        <v>176</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20">
        <v>3.7999999999999999E-2</v>
      </c>
    </row>
    <row r="55" spans="1:33">
      <c r="A55" t="s">
        <v>716</v>
      </c>
      <c r="B55" t="s">
        <v>1061</v>
      </c>
      <c r="C55" t="s">
        <v>1060</v>
      </c>
      <c r="D55" t="s">
        <v>176</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20">
        <v>3.6999999999999998E-2</v>
      </c>
    </row>
    <row r="56" spans="1:33">
      <c r="A56" t="s">
        <v>211</v>
      </c>
      <c r="B56" t="s">
        <v>1059</v>
      </c>
      <c r="C56" t="s">
        <v>1058</v>
      </c>
      <c r="D56" t="s">
        <v>176</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20">
        <v>3.6999999999999998E-2</v>
      </c>
    </row>
    <row r="57" spans="1:33">
      <c r="A57" t="s">
        <v>212</v>
      </c>
      <c r="B57" t="s">
        <v>1057</v>
      </c>
      <c r="C57" t="s">
        <v>1056</v>
      </c>
      <c r="D57" t="s">
        <v>176</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20">
        <v>3.6999999999999998E-2</v>
      </c>
    </row>
    <row r="58" spans="1:33">
      <c r="A58" t="s">
        <v>213</v>
      </c>
      <c r="B58" t="s">
        <v>1055</v>
      </c>
      <c r="C58" t="s">
        <v>1054</v>
      </c>
      <c r="D58" t="s">
        <v>176</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20">
        <v>3.3000000000000002E-2</v>
      </c>
    </row>
    <row r="59" spans="1:33">
      <c r="A59" t="s">
        <v>215</v>
      </c>
      <c r="B59" t="s">
        <v>1053</v>
      </c>
      <c r="C59" t="s">
        <v>1052</v>
      </c>
      <c r="D59" t="s">
        <v>176</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20">
        <v>3.7999999999999999E-2</v>
      </c>
    </row>
    <row r="60" spans="1:33">
      <c r="A60" t="s">
        <v>211</v>
      </c>
      <c r="B60" t="s">
        <v>1051</v>
      </c>
      <c r="C60" t="s">
        <v>1050</v>
      </c>
      <c r="D60" t="s">
        <v>176</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20">
        <v>3.7999999999999999E-2</v>
      </c>
    </row>
    <row r="61" spans="1:33">
      <c r="A61" t="s">
        <v>212</v>
      </c>
      <c r="B61" t="s">
        <v>1049</v>
      </c>
      <c r="C61" t="s">
        <v>1048</v>
      </c>
      <c r="D61" t="s">
        <v>176</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20">
        <v>3.6999999999999998E-2</v>
      </c>
    </row>
    <row r="62" spans="1:33">
      <c r="A62" t="s">
        <v>213</v>
      </c>
      <c r="B62" t="s">
        <v>1047</v>
      </c>
      <c r="C62" t="s">
        <v>1046</v>
      </c>
      <c r="D62" t="s">
        <v>176</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20">
        <v>3.9E-2</v>
      </c>
    </row>
    <row r="63" spans="1:33">
      <c r="A63" t="s">
        <v>711</v>
      </c>
      <c r="B63" t="s">
        <v>1045</v>
      </c>
      <c r="C63" t="s">
        <v>1044</v>
      </c>
      <c r="D63" t="s">
        <v>176</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20">
        <v>1.4999999999999999E-2</v>
      </c>
    </row>
    <row r="64" spans="1:33">
      <c r="A64" t="s">
        <v>211</v>
      </c>
      <c r="B64" t="s">
        <v>1043</v>
      </c>
      <c r="C64" t="s">
        <v>1042</v>
      </c>
      <c r="D64" t="s">
        <v>176</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20">
        <v>1.4999999999999999E-2</v>
      </c>
    </row>
    <row r="65" spans="1:33">
      <c r="A65" t="s">
        <v>212</v>
      </c>
      <c r="B65" t="s">
        <v>1041</v>
      </c>
      <c r="C65" t="s">
        <v>1040</v>
      </c>
      <c r="D65" t="s">
        <v>176</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20">
        <v>1.6E-2</v>
      </c>
    </row>
    <row r="66" spans="1:33">
      <c r="A66" t="s">
        <v>213</v>
      </c>
      <c r="B66" t="s">
        <v>1039</v>
      </c>
      <c r="C66" t="s">
        <v>1038</v>
      </c>
      <c r="D66" t="s">
        <v>176</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20">
        <v>1.4999999999999999E-2</v>
      </c>
    </row>
    <row r="67" spans="1:33">
      <c r="A67" t="s">
        <v>708</v>
      </c>
      <c r="B67" t="s">
        <v>1037</v>
      </c>
      <c r="C67" t="s">
        <v>1036</v>
      </c>
      <c r="D67" t="s">
        <v>176</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20">
        <v>2.5000000000000001E-2</v>
      </c>
    </row>
    <row r="68" spans="1:33">
      <c r="A68" t="s">
        <v>211</v>
      </c>
      <c r="B68" t="s">
        <v>1035</v>
      </c>
      <c r="C68" t="s">
        <v>1034</v>
      </c>
      <c r="D68" t="s">
        <v>176</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20">
        <v>2.5999999999999999E-2</v>
      </c>
    </row>
    <row r="69" spans="1:33">
      <c r="A69" t="s">
        <v>212</v>
      </c>
      <c r="B69" t="s">
        <v>1033</v>
      </c>
      <c r="C69" t="s">
        <v>1032</v>
      </c>
      <c r="D69" t="s">
        <v>176</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20">
        <v>2.5999999999999999E-2</v>
      </c>
    </row>
    <row r="70" spans="1:33">
      <c r="A70" t="s">
        <v>213</v>
      </c>
      <c r="B70" t="s">
        <v>1031</v>
      </c>
      <c r="C70" t="s">
        <v>1030</v>
      </c>
      <c r="D70" t="s">
        <v>176</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20">
        <v>2.3E-2</v>
      </c>
    </row>
    <row r="71" spans="1:33">
      <c r="A71" t="s">
        <v>13</v>
      </c>
      <c r="B71" t="s">
        <v>1029</v>
      </c>
      <c r="C71" t="s">
        <v>1028</v>
      </c>
      <c r="D71" t="s">
        <v>176</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20">
        <v>2.8000000000000001E-2</v>
      </c>
    </row>
    <row r="72" spans="1:33">
      <c r="A72" t="s">
        <v>211</v>
      </c>
      <c r="B72" t="s">
        <v>1027</v>
      </c>
      <c r="C72" t="s">
        <v>1026</v>
      </c>
      <c r="D72" t="s">
        <v>176</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20">
        <v>2.9000000000000001E-2</v>
      </c>
    </row>
    <row r="73" spans="1:33">
      <c r="A73" t="s">
        <v>212</v>
      </c>
      <c r="B73" t="s">
        <v>1025</v>
      </c>
      <c r="C73" t="s">
        <v>1024</v>
      </c>
      <c r="D73" t="s">
        <v>176</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20">
        <v>2.7E-2</v>
      </c>
    </row>
    <row r="74" spans="1:33">
      <c r="A74" t="s">
        <v>213</v>
      </c>
      <c r="B74" t="s">
        <v>1023</v>
      </c>
      <c r="C74" t="s">
        <v>1022</v>
      </c>
      <c r="D74" t="s">
        <v>176</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20">
        <v>2.4E-2</v>
      </c>
    </row>
    <row r="75" spans="1:33">
      <c r="A75" t="s">
        <v>17</v>
      </c>
    </row>
    <row r="76" spans="1:33" s="126" customFormat="1">
      <c r="A76" s="126" t="s">
        <v>210</v>
      </c>
      <c r="B76" s="126" t="s">
        <v>1021</v>
      </c>
      <c r="C76" s="126" t="s">
        <v>1020</v>
      </c>
      <c r="D76" s="126" t="s">
        <v>176</v>
      </c>
      <c r="F76" s="126">
        <v>6646.0996089999999</v>
      </c>
      <c r="G76" s="126">
        <v>6787.3227539999998</v>
      </c>
      <c r="H76" s="126">
        <v>6959.5649409999996</v>
      </c>
      <c r="I76" s="126">
        <v>7119.3955079999996</v>
      </c>
      <c r="J76" s="126">
        <v>7251.236328</v>
      </c>
      <c r="K76" s="126">
        <v>7393.5234380000002</v>
      </c>
      <c r="L76" s="126">
        <v>7517.5341799999997</v>
      </c>
      <c r="M76" s="126">
        <v>7618.9179690000001</v>
      </c>
      <c r="N76" s="126">
        <v>7737.2568359999996</v>
      </c>
      <c r="O76" s="126">
        <v>7864.2241210000002</v>
      </c>
      <c r="P76" s="126">
        <v>7986.0410160000001</v>
      </c>
      <c r="Q76" s="126">
        <v>8120.8369140000004</v>
      </c>
      <c r="R76" s="126">
        <v>8258.1699219999991</v>
      </c>
      <c r="S76" s="126">
        <v>8404.5097659999992</v>
      </c>
      <c r="T76" s="126">
        <v>8562.2236329999996</v>
      </c>
      <c r="U76" s="126">
        <v>8720.0830079999996</v>
      </c>
      <c r="V76" s="126">
        <v>8877.8691409999992</v>
      </c>
      <c r="W76" s="126">
        <v>9032.5605469999991</v>
      </c>
      <c r="X76" s="126">
        <v>9200.7851559999999</v>
      </c>
      <c r="Y76" s="126">
        <v>9365.0214840000008</v>
      </c>
      <c r="Z76" s="126">
        <v>9517.4570309999999</v>
      </c>
      <c r="AA76" s="126">
        <v>9666.5917969999991</v>
      </c>
      <c r="AB76" s="126">
        <v>9812.8144530000009</v>
      </c>
      <c r="AC76" s="126">
        <v>9985.6748050000006</v>
      </c>
      <c r="AD76" s="126">
        <v>10170.505859000001</v>
      </c>
      <c r="AE76" s="126">
        <v>10346.943359000001</v>
      </c>
      <c r="AF76" s="126">
        <v>10520.594727</v>
      </c>
      <c r="AG76" s="127">
        <v>1.7999999999999999E-2</v>
      </c>
    </row>
    <row r="77" spans="1:33">
      <c r="A77" t="s">
        <v>211</v>
      </c>
      <c r="B77" t="s">
        <v>1019</v>
      </c>
      <c r="C77" t="s">
        <v>1018</v>
      </c>
      <c r="D77" t="s">
        <v>176</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20">
        <v>1.7999999999999999E-2</v>
      </c>
    </row>
    <row r="78" spans="1:33">
      <c r="A78" t="s">
        <v>212</v>
      </c>
      <c r="B78" t="s">
        <v>1017</v>
      </c>
      <c r="C78" t="s">
        <v>1016</v>
      </c>
      <c r="D78" t="s">
        <v>176</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20">
        <v>0.02</v>
      </c>
    </row>
    <row r="79" spans="1:33">
      <c r="A79" t="s">
        <v>213</v>
      </c>
      <c r="B79" t="s">
        <v>1015</v>
      </c>
      <c r="C79" t="s">
        <v>1014</v>
      </c>
      <c r="D79" t="s">
        <v>176</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20">
        <v>1.7000000000000001E-2</v>
      </c>
    </row>
    <row r="80" spans="1:33">
      <c r="A80" t="s">
        <v>214</v>
      </c>
      <c r="B80" t="s">
        <v>1013</v>
      </c>
      <c r="C80" t="s">
        <v>1012</v>
      </c>
      <c r="D80" t="s">
        <v>176</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20">
        <v>2.1000000000000001E-2</v>
      </c>
    </row>
    <row r="81" spans="1:33">
      <c r="A81" t="s">
        <v>211</v>
      </c>
      <c r="B81" t="s">
        <v>1011</v>
      </c>
      <c r="C81" t="s">
        <v>1010</v>
      </c>
      <c r="D81" t="s">
        <v>176</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20">
        <v>1.9E-2</v>
      </c>
    </row>
    <row r="82" spans="1:33">
      <c r="A82" t="s">
        <v>212</v>
      </c>
      <c r="B82" t="s">
        <v>1009</v>
      </c>
      <c r="C82" t="s">
        <v>1008</v>
      </c>
      <c r="D82" t="s">
        <v>176</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20">
        <v>2.4E-2</v>
      </c>
    </row>
    <row r="83" spans="1:33">
      <c r="A83" t="s">
        <v>213</v>
      </c>
      <c r="B83" t="s">
        <v>1007</v>
      </c>
      <c r="C83" t="s">
        <v>1006</v>
      </c>
      <c r="D83" t="s">
        <v>176</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20">
        <v>0.02</v>
      </c>
    </row>
    <row r="84" spans="1:33">
      <c r="A84" t="s">
        <v>745</v>
      </c>
      <c r="B84" t="s">
        <v>1005</v>
      </c>
      <c r="C84" t="s">
        <v>1004</v>
      </c>
      <c r="D84" t="s">
        <v>176</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20">
        <v>3.3000000000000002E-2</v>
      </c>
    </row>
    <row r="85" spans="1:33">
      <c r="A85" t="s">
        <v>211</v>
      </c>
      <c r="B85" t="s">
        <v>1003</v>
      </c>
      <c r="C85" t="s">
        <v>1002</v>
      </c>
      <c r="D85" t="s">
        <v>176</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20">
        <v>3.3000000000000002E-2</v>
      </c>
    </row>
    <row r="86" spans="1:33">
      <c r="A86" t="s">
        <v>212</v>
      </c>
      <c r="B86" t="s">
        <v>1001</v>
      </c>
      <c r="C86" t="s">
        <v>1000</v>
      </c>
      <c r="D86" t="s">
        <v>176</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20">
        <v>0.03</v>
      </c>
    </row>
    <row r="87" spans="1:33">
      <c r="A87" t="s">
        <v>213</v>
      </c>
      <c r="B87" t="s">
        <v>999</v>
      </c>
      <c r="C87" t="s">
        <v>998</v>
      </c>
      <c r="D87" t="s">
        <v>176</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20">
        <v>3.4000000000000002E-2</v>
      </c>
    </row>
    <row r="88" spans="1:33">
      <c r="A88" t="s">
        <v>742</v>
      </c>
      <c r="B88" t="s">
        <v>997</v>
      </c>
      <c r="C88" t="s">
        <v>996</v>
      </c>
      <c r="D88" t="s">
        <v>176</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20">
        <v>0.02</v>
      </c>
    </row>
    <row r="89" spans="1:33">
      <c r="A89" t="s">
        <v>211</v>
      </c>
      <c r="B89" t="s">
        <v>995</v>
      </c>
      <c r="C89" t="s">
        <v>994</v>
      </c>
      <c r="D89" t="s">
        <v>176</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20">
        <v>0.02</v>
      </c>
    </row>
    <row r="90" spans="1:33">
      <c r="A90" t="s">
        <v>212</v>
      </c>
      <c r="B90" t="s">
        <v>993</v>
      </c>
      <c r="C90" t="s">
        <v>992</v>
      </c>
      <c r="D90" t="s">
        <v>176</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20">
        <v>1.7999999999999999E-2</v>
      </c>
    </row>
    <row r="91" spans="1:33">
      <c r="A91" t="s">
        <v>213</v>
      </c>
      <c r="B91" t="s">
        <v>991</v>
      </c>
      <c r="C91" t="s">
        <v>990</v>
      </c>
      <c r="D91" t="s">
        <v>176</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20">
        <v>0.02</v>
      </c>
    </row>
    <row r="92" spans="1:33">
      <c r="A92" t="s">
        <v>739</v>
      </c>
      <c r="B92" t="s">
        <v>989</v>
      </c>
      <c r="C92" t="s">
        <v>988</v>
      </c>
      <c r="D92" t="s">
        <v>176</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20">
        <v>2E-3</v>
      </c>
    </row>
    <row r="93" spans="1:33">
      <c r="A93" t="s">
        <v>211</v>
      </c>
      <c r="B93" t="s">
        <v>987</v>
      </c>
      <c r="C93" t="s">
        <v>986</v>
      </c>
      <c r="D93" t="s">
        <v>176</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20">
        <v>4.0000000000000001E-3</v>
      </c>
    </row>
    <row r="94" spans="1:33">
      <c r="A94" t="s">
        <v>212</v>
      </c>
      <c r="B94" t="s">
        <v>985</v>
      </c>
      <c r="C94" t="s">
        <v>984</v>
      </c>
      <c r="D94" t="s">
        <v>176</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20">
        <v>0</v>
      </c>
    </row>
    <row r="95" spans="1:33">
      <c r="A95" t="s">
        <v>213</v>
      </c>
      <c r="B95" t="s">
        <v>983</v>
      </c>
      <c r="C95" t="s">
        <v>982</v>
      </c>
      <c r="D95" t="s">
        <v>176</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20">
        <v>5.0000000000000001E-3</v>
      </c>
    </row>
    <row r="96" spans="1:33">
      <c r="A96" t="s">
        <v>736</v>
      </c>
      <c r="B96" t="s">
        <v>981</v>
      </c>
      <c r="C96" t="s">
        <v>980</v>
      </c>
      <c r="D96" t="s">
        <v>176</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20">
        <v>2.3E-2</v>
      </c>
    </row>
    <row r="97" spans="1:33">
      <c r="A97" t="s">
        <v>211</v>
      </c>
      <c r="B97" t="s">
        <v>979</v>
      </c>
      <c r="C97" t="s">
        <v>978</v>
      </c>
      <c r="D97" t="s">
        <v>176</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20">
        <v>2.3E-2</v>
      </c>
    </row>
    <row r="98" spans="1:33">
      <c r="A98" t="s">
        <v>212</v>
      </c>
      <c r="B98" t="s">
        <v>977</v>
      </c>
      <c r="C98" t="s">
        <v>976</v>
      </c>
      <c r="D98" t="s">
        <v>176</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20">
        <v>2.5999999999999999E-2</v>
      </c>
    </row>
    <row r="99" spans="1:33">
      <c r="A99" t="s">
        <v>213</v>
      </c>
      <c r="B99" t="s">
        <v>975</v>
      </c>
      <c r="C99" t="s">
        <v>974</v>
      </c>
      <c r="D99" t="s">
        <v>176</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20">
        <v>2.3E-2</v>
      </c>
    </row>
    <row r="100" spans="1:33">
      <c r="A100" t="s">
        <v>733</v>
      </c>
      <c r="B100" t="s">
        <v>973</v>
      </c>
      <c r="C100" t="s">
        <v>972</v>
      </c>
      <c r="D100" t="s">
        <v>176</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20">
        <v>2.5000000000000001E-2</v>
      </c>
    </row>
    <row r="101" spans="1:33">
      <c r="A101" t="s">
        <v>211</v>
      </c>
      <c r="B101" t="s">
        <v>971</v>
      </c>
      <c r="C101" t="s">
        <v>970</v>
      </c>
      <c r="D101" t="s">
        <v>176</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20">
        <v>2.1999999999999999E-2</v>
      </c>
    </row>
    <row r="102" spans="1:33">
      <c r="A102" t="s">
        <v>212</v>
      </c>
      <c r="B102" t="s">
        <v>969</v>
      </c>
      <c r="C102" t="s">
        <v>968</v>
      </c>
      <c r="D102" t="s">
        <v>176</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20">
        <v>2.8000000000000001E-2</v>
      </c>
    </row>
    <row r="103" spans="1:33">
      <c r="A103" t="s">
        <v>213</v>
      </c>
      <c r="B103" t="s">
        <v>967</v>
      </c>
      <c r="C103" t="s">
        <v>966</v>
      </c>
      <c r="D103" t="s">
        <v>176</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20">
        <v>1.7999999999999999E-2</v>
      </c>
    </row>
    <row r="104" spans="1:33">
      <c r="A104" t="s">
        <v>730</v>
      </c>
      <c r="B104" t="s">
        <v>965</v>
      </c>
      <c r="C104" t="s">
        <v>964</v>
      </c>
      <c r="D104" t="s">
        <v>176</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20">
        <v>2.4E-2</v>
      </c>
    </row>
    <row r="105" spans="1:33">
      <c r="A105" t="s">
        <v>211</v>
      </c>
      <c r="B105" t="s">
        <v>963</v>
      </c>
      <c r="C105" t="s">
        <v>962</v>
      </c>
      <c r="D105" t="s">
        <v>176</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20">
        <v>2.3E-2</v>
      </c>
    </row>
    <row r="106" spans="1:33">
      <c r="A106" t="s">
        <v>212</v>
      </c>
      <c r="B106" t="s">
        <v>961</v>
      </c>
      <c r="C106" t="s">
        <v>960</v>
      </c>
      <c r="D106" t="s">
        <v>176</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20">
        <v>0.04</v>
      </c>
    </row>
    <row r="107" spans="1:33">
      <c r="A107" t="s">
        <v>213</v>
      </c>
      <c r="B107" t="s">
        <v>959</v>
      </c>
      <c r="C107" t="s">
        <v>958</v>
      </c>
      <c r="D107" t="s">
        <v>176</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20">
        <v>1.7000000000000001E-2</v>
      </c>
    </row>
    <row r="108" spans="1:33">
      <c r="A108" t="s">
        <v>727</v>
      </c>
      <c r="B108" t="s">
        <v>957</v>
      </c>
      <c r="C108" t="s">
        <v>956</v>
      </c>
      <c r="D108" t="s">
        <v>176</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20">
        <v>3.3000000000000002E-2</v>
      </c>
    </row>
    <row r="109" spans="1:33">
      <c r="A109" t="s">
        <v>211</v>
      </c>
      <c r="B109" t="s">
        <v>955</v>
      </c>
      <c r="C109" t="s">
        <v>954</v>
      </c>
      <c r="D109" t="s">
        <v>176</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20">
        <v>3.3000000000000002E-2</v>
      </c>
    </row>
    <row r="110" spans="1:33">
      <c r="A110" t="s">
        <v>212</v>
      </c>
      <c r="B110" t="s">
        <v>953</v>
      </c>
      <c r="C110" t="s">
        <v>952</v>
      </c>
      <c r="D110" t="s">
        <v>176</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20">
        <v>3.3000000000000002E-2</v>
      </c>
    </row>
    <row r="111" spans="1:33">
      <c r="A111" t="s">
        <v>213</v>
      </c>
      <c r="B111" t="s">
        <v>951</v>
      </c>
      <c r="C111" t="s">
        <v>950</v>
      </c>
      <c r="D111" t="s">
        <v>176</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20">
        <v>3.2000000000000001E-2</v>
      </c>
    </row>
    <row r="112" spans="1:33">
      <c r="A112" t="s">
        <v>216</v>
      </c>
      <c r="B112" t="s">
        <v>949</v>
      </c>
      <c r="C112" t="s">
        <v>948</v>
      </c>
      <c r="D112" t="s">
        <v>176</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20">
        <v>4.2999999999999997E-2</v>
      </c>
    </row>
    <row r="113" spans="1:33">
      <c r="A113" t="s">
        <v>211</v>
      </c>
      <c r="B113" t="s">
        <v>947</v>
      </c>
      <c r="C113" t="s">
        <v>946</v>
      </c>
      <c r="D113" t="s">
        <v>176</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20">
        <v>4.2999999999999997E-2</v>
      </c>
    </row>
    <row r="114" spans="1:33">
      <c r="A114" t="s">
        <v>212</v>
      </c>
      <c r="B114" t="s">
        <v>945</v>
      </c>
      <c r="C114" t="s">
        <v>944</v>
      </c>
      <c r="D114" t="s">
        <v>176</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20">
        <v>4.1000000000000002E-2</v>
      </c>
    </row>
    <row r="115" spans="1:33">
      <c r="A115" t="s">
        <v>213</v>
      </c>
      <c r="B115" t="s">
        <v>943</v>
      </c>
      <c r="C115" t="s">
        <v>942</v>
      </c>
      <c r="D115" t="s">
        <v>176</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20">
        <v>4.2999999999999997E-2</v>
      </c>
    </row>
    <row r="116" spans="1:33">
      <c r="A116" t="s">
        <v>722</v>
      </c>
      <c r="B116" t="s">
        <v>941</v>
      </c>
      <c r="C116" t="s">
        <v>940</v>
      </c>
      <c r="D116" t="s">
        <v>176</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20">
        <v>5.8000000000000003E-2</v>
      </c>
    </row>
    <row r="117" spans="1:33">
      <c r="A117" t="s">
        <v>211</v>
      </c>
      <c r="B117" t="s">
        <v>939</v>
      </c>
      <c r="C117" t="s">
        <v>938</v>
      </c>
      <c r="D117" t="s">
        <v>176</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20">
        <v>5.8000000000000003E-2</v>
      </c>
    </row>
    <row r="118" spans="1:33">
      <c r="A118" t="s">
        <v>212</v>
      </c>
      <c r="B118" t="s">
        <v>937</v>
      </c>
      <c r="C118" t="s">
        <v>936</v>
      </c>
      <c r="D118" t="s">
        <v>176</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20">
        <v>5.2999999999999999E-2</v>
      </c>
    </row>
    <row r="119" spans="1:33">
      <c r="A119" t="s">
        <v>213</v>
      </c>
      <c r="B119" t="s">
        <v>935</v>
      </c>
      <c r="C119" t="s">
        <v>934</v>
      </c>
      <c r="D119" t="s">
        <v>176</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20">
        <v>6.0999999999999999E-2</v>
      </c>
    </row>
    <row r="120" spans="1:33">
      <c r="A120" t="s">
        <v>719</v>
      </c>
      <c r="B120" t="s">
        <v>933</v>
      </c>
      <c r="C120" t="s">
        <v>932</v>
      </c>
      <c r="D120" t="s">
        <v>176</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20">
        <v>0.04</v>
      </c>
    </row>
    <row r="121" spans="1:33">
      <c r="A121" t="s">
        <v>211</v>
      </c>
      <c r="B121" t="s">
        <v>931</v>
      </c>
      <c r="C121" t="s">
        <v>930</v>
      </c>
      <c r="D121" t="s">
        <v>176</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20">
        <v>0.04</v>
      </c>
    </row>
    <row r="122" spans="1:33">
      <c r="A122" t="s">
        <v>212</v>
      </c>
      <c r="B122" t="s">
        <v>929</v>
      </c>
      <c r="C122" t="s">
        <v>928</v>
      </c>
      <c r="D122" t="s">
        <v>176</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20">
        <v>3.7999999999999999E-2</v>
      </c>
    </row>
    <row r="123" spans="1:33">
      <c r="A123" t="s">
        <v>213</v>
      </c>
      <c r="B123" t="s">
        <v>927</v>
      </c>
      <c r="C123" t="s">
        <v>926</v>
      </c>
      <c r="D123" t="s">
        <v>176</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20">
        <v>4.1000000000000002E-2</v>
      </c>
    </row>
    <row r="124" spans="1:33">
      <c r="A124" t="s">
        <v>716</v>
      </c>
      <c r="B124" t="s">
        <v>925</v>
      </c>
      <c r="C124" t="s">
        <v>924</v>
      </c>
      <c r="D124" t="s">
        <v>176</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20">
        <v>3.9E-2</v>
      </c>
    </row>
    <row r="125" spans="1:33">
      <c r="A125" t="s">
        <v>211</v>
      </c>
      <c r="B125" t="s">
        <v>923</v>
      </c>
      <c r="C125" t="s">
        <v>922</v>
      </c>
      <c r="D125" t="s">
        <v>176</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20">
        <v>3.7999999999999999E-2</v>
      </c>
    </row>
    <row r="126" spans="1:33">
      <c r="A126" t="s">
        <v>212</v>
      </c>
      <c r="B126" t="s">
        <v>921</v>
      </c>
      <c r="C126" t="s">
        <v>920</v>
      </c>
      <c r="D126" t="s">
        <v>176</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20">
        <v>3.9E-2</v>
      </c>
    </row>
    <row r="127" spans="1:33">
      <c r="A127" t="s">
        <v>213</v>
      </c>
      <c r="B127" t="s">
        <v>919</v>
      </c>
      <c r="C127" t="s">
        <v>918</v>
      </c>
      <c r="D127" t="s">
        <v>176</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20">
        <v>3.5999999999999997E-2</v>
      </c>
    </row>
    <row r="128" spans="1:33">
      <c r="A128" t="s">
        <v>215</v>
      </c>
      <c r="B128" t="s">
        <v>917</v>
      </c>
      <c r="C128" t="s">
        <v>916</v>
      </c>
      <c r="D128" t="s">
        <v>176</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20">
        <v>4.1000000000000002E-2</v>
      </c>
    </row>
    <row r="129" spans="1:33">
      <c r="A129" t="s">
        <v>211</v>
      </c>
      <c r="B129" t="s">
        <v>915</v>
      </c>
      <c r="C129" t="s">
        <v>914</v>
      </c>
      <c r="D129" t="s">
        <v>176</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20">
        <v>4.1000000000000002E-2</v>
      </c>
    </row>
    <row r="130" spans="1:33">
      <c r="A130" t="s">
        <v>212</v>
      </c>
      <c r="B130" t="s">
        <v>913</v>
      </c>
      <c r="C130" t="s">
        <v>912</v>
      </c>
      <c r="D130" t="s">
        <v>176</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20">
        <v>3.9E-2</v>
      </c>
    </row>
    <row r="131" spans="1:33">
      <c r="A131" t="s">
        <v>213</v>
      </c>
      <c r="B131" t="s">
        <v>911</v>
      </c>
      <c r="C131" t="s">
        <v>910</v>
      </c>
      <c r="D131" t="s">
        <v>176</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20">
        <v>4.2000000000000003E-2</v>
      </c>
    </row>
    <row r="132" spans="1:33">
      <c r="A132" t="s">
        <v>711</v>
      </c>
      <c r="B132" t="s">
        <v>909</v>
      </c>
      <c r="C132" t="s">
        <v>908</v>
      </c>
      <c r="D132" t="s">
        <v>176</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20">
        <v>1.6E-2</v>
      </c>
    </row>
    <row r="133" spans="1:33">
      <c r="A133" t="s">
        <v>211</v>
      </c>
      <c r="B133" t="s">
        <v>907</v>
      </c>
      <c r="C133" t="s">
        <v>906</v>
      </c>
      <c r="D133" t="s">
        <v>176</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20">
        <v>1.6E-2</v>
      </c>
    </row>
    <row r="134" spans="1:33">
      <c r="A134" t="s">
        <v>212</v>
      </c>
      <c r="B134" t="s">
        <v>905</v>
      </c>
      <c r="C134" t="s">
        <v>904</v>
      </c>
      <c r="D134" t="s">
        <v>176</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20">
        <v>1.7999999999999999E-2</v>
      </c>
    </row>
    <row r="135" spans="1:33">
      <c r="A135" t="s">
        <v>213</v>
      </c>
      <c r="B135" t="s">
        <v>903</v>
      </c>
      <c r="C135" t="s">
        <v>902</v>
      </c>
      <c r="D135" t="s">
        <v>176</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20">
        <v>1.6E-2</v>
      </c>
    </row>
    <row r="136" spans="1:33">
      <c r="A136" t="s">
        <v>708</v>
      </c>
      <c r="B136" t="s">
        <v>901</v>
      </c>
      <c r="C136" t="s">
        <v>900</v>
      </c>
      <c r="D136" t="s">
        <v>176</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20">
        <v>2.5999999999999999E-2</v>
      </c>
    </row>
    <row r="137" spans="1:33">
      <c r="A137" t="s">
        <v>211</v>
      </c>
      <c r="B137" t="s">
        <v>899</v>
      </c>
      <c r="C137" t="s">
        <v>898</v>
      </c>
      <c r="D137" t="s">
        <v>176</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20">
        <v>2.5999999999999999E-2</v>
      </c>
    </row>
    <row r="138" spans="1:33">
      <c r="A138" t="s">
        <v>212</v>
      </c>
      <c r="B138" t="s">
        <v>897</v>
      </c>
      <c r="C138" t="s">
        <v>896</v>
      </c>
      <c r="D138" t="s">
        <v>176</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20">
        <v>2.9000000000000001E-2</v>
      </c>
    </row>
    <row r="139" spans="1:33">
      <c r="A139" t="s">
        <v>213</v>
      </c>
      <c r="B139" t="s">
        <v>895</v>
      </c>
      <c r="C139" t="s">
        <v>894</v>
      </c>
      <c r="D139" t="s">
        <v>176</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20">
        <v>2.5000000000000001E-2</v>
      </c>
    </row>
    <row r="140" spans="1:33">
      <c r="A140" t="s">
        <v>13</v>
      </c>
      <c r="B140" t="s">
        <v>893</v>
      </c>
      <c r="C140" t="s">
        <v>892</v>
      </c>
      <c r="D140" t="s">
        <v>176</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20">
        <v>0.03</v>
      </c>
    </row>
    <row r="141" spans="1:33">
      <c r="A141" t="s">
        <v>211</v>
      </c>
      <c r="B141" t="s">
        <v>891</v>
      </c>
      <c r="C141" t="s">
        <v>890</v>
      </c>
      <c r="D141" t="s">
        <v>176</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20">
        <v>0.03</v>
      </c>
    </row>
    <row r="142" spans="1:33">
      <c r="A142" t="s">
        <v>212</v>
      </c>
      <c r="B142" t="s">
        <v>889</v>
      </c>
      <c r="C142" t="s">
        <v>888</v>
      </c>
      <c r="D142" t="s">
        <v>176</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20">
        <v>0.03</v>
      </c>
    </row>
    <row r="143" spans="1:33">
      <c r="A143" t="s">
        <v>213</v>
      </c>
      <c r="B143" t="s">
        <v>887</v>
      </c>
      <c r="C143" t="s">
        <v>886</v>
      </c>
      <c r="D143" t="s">
        <v>176</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20">
        <v>2.5999999999999999E-2</v>
      </c>
    </row>
    <row r="144" spans="1:33">
      <c r="A144" t="s">
        <v>16</v>
      </c>
    </row>
    <row r="145" spans="1:33">
      <c r="A145" t="s">
        <v>210</v>
      </c>
      <c r="B145" t="s">
        <v>885</v>
      </c>
      <c r="C145" t="s">
        <v>884</v>
      </c>
      <c r="D145" t="s">
        <v>176</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20">
        <v>0</v>
      </c>
    </row>
    <row r="146" spans="1:33">
      <c r="A146" t="s">
        <v>211</v>
      </c>
      <c r="B146" t="s">
        <v>883</v>
      </c>
      <c r="C146" t="s">
        <v>882</v>
      </c>
      <c r="D146" t="s">
        <v>176</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20">
        <v>0</v>
      </c>
    </row>
    <row r="147" spans="1:33">
      <c r="A147" t="s">
        <v>212</v>
      </c>
      <c r="B147" t="s">
        <v>881</v>
      </c>
      <c r="C147" t="s">
        <v>880</v>
      </c>
      <c r="D147" t="s">
        <v>176</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20">
        <v>0</v>
      </c>
    </row>
    <row r="148" spans="1:33">
      <c r="A148" t="s">
        <v>213</v>
      </c>
      <c r="B148" t="s">
        <v>879</v>
      </c>
      <c r="C148" t="s">
        <v>878</v>
      </c>
      <c r="D148" t="s">
        <v>176</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20">
        <v>0</v>
      </c>
    </row>
    <row r="149" spans="1:33">
      <c r="A149" t="s">
        <v>214</v>
      </c>
      <c r="B149" t="s">
        <v>877</v>
      </c>
      <c r="C149" t="s">
        <v>876</v>
      </c>
      <c r="D149" t="s">
        <v>176</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20">
        <v>-1E-3</v>
      </c>
    </row>
    <row r="150" spans="1:33">
      <c r="A150" t="s">
        <v>211</v>
      </c>
      <c r="B150" t="s">
        <v>875</v>
      </c>
      <c r="C150" t="s">
        <v>874</v>
      </c>
      <c r="D150" t="s">
        <v>176</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20">
        <v>-2E-3</v>
      </c>
    </row>
    <row r="151" spans="1:33">
      <c r="A151" t="s">
        <v>212</v>
      </c>
      <c r="B151" t="s">
        <v>873</v>
      </c>
      <c r="C151" t="s">
        <v>872</v>
      </c>
      <c r="D151" t="s">
        <v>176</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20">
        <v>-1E-3</v>
      </c>
    </row>
    <row r="152" spans="1:33">
      <c r="A152" t="s">
        <v>213</v>
      </c>
      <c r="B152" t="s">
        <v>871</v>
      </c>
      <c r="C152" t="s">
        <v>870</v>
      </c>
      <c r="D152" t="s">
        <v>176</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20">
        <v>0</v>
      </c>
    </row>
    <row r="153" spans="1:33">
      <c r="A153" t="s">
        <v>745</v>
      </c>
      <c r="B153" t="s">
        <v>869</v>
      </c>
      <c r="C153" t="s">
        <v>868</v>
      </c>
      <c r="D153" t="s">
        <v>176</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20">
        <v>0</v>
      </c>
    </row>
    <row r="154" spans="1:33">
      <c r="A154" t="s">
        <v>211</v>
      </c>
      <c r="B154" t="s">
        <v>867</v>
      </c>
      <c r="C154" t="s">
        <v>866</v>
      </c>
      <c r="D154" t="s">
        <v>176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20">
        <v>0</v>
      </c>
    </row>
    <row r="155" spans="1:33">
      <c r="A155" t="s">
        <v>212</v>
      </c>
      <c r="B155" t="s">
        <v>865</v>
      </c>
      <c r="C155" t="s">
        <v>864</v>
      </c>
      <c r="D155" t="s">
        <v>176</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15</v>
      </c>
    </row>
    <row r="156" spans="1:33">
      <c r="A156" t="s">
        <v>213</v>
      </c>
      <c r="B156" t="s">
        <v>863</v>
      </c>
      <c r="C156" t="s">
        <v>862</v>
      </c>
      <c r="D156" t="s">
        <v>176</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20">
        <v>0</v>
      </c>
    </row>
    <row r="157" spans="1:33">
      <c r="A157" t="s">
        <v>742</v>
      </c>
      <c r="B157" t="s">
        <v>861</v>
      </c>
      <c r="C157" t="s">
        <v>860</v>
      </c>
      <c r="D157" t="s">
        <v>176</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20">
        <v>0</v>
      </c>
    </row>
    <row r="158" spans="1:33">
      <c r="A158" t="s">
        <v>211</v>
      </c>
      <c r="B158" t="s">
        <v>859</v>
      </c>
      <c r="C158" t="s">
        <v>858</v>
      </c>
      <c r="D158" t="s">
        <v>176</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20">
        <v>0</v>
      </c>
    </row>
    <row r="159" spans="1:33">
      <c r="A159" t="s">
        <v>212</v>
      </c>
      <c r="B159" t="s">
        <v>857</v>
      </c>
      <c r="C159" t="s">
        <v>856</v>
      </c>
      <c r="D159" t="s">
        <v>176</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20">
        <v>0</v>
      </c>
    </row>
    <row r="160" spans="1:33">
      <c r="A160" t="s">
        <v>213</v>
      </c>
      <c r="B160" t="s">
        <v>855</v>
      </c>
      <c r="C160" t="s">
        <v>854</v>
      </c>
      <c r="D160" t="s">
        <v>176</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20">
        <v>0</v>
      </c>
    </row>
    <row r="161" spans="1:33">
      <c r="A161" t="s">
        <v>739</v>
      </c>
      <c r="B161" t="s">
        <v>853</v>
      </c>
      <c r="C161" t="s">
        <v>852</v>
      </c>
      <c r="D161" t="s">
        <v>176</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20">
        <v>0</v>
      </c>
    </row>
    <row r="162" spans="1:33">
      <c r="A162" t="s">
        <v>211</v>
      </c>
      <c r="B162" t="s">
        <v>851</v>
      </c>
      <c r="C162" t="s">
        <v>850</v>
      </c>
      <c r="D162" t="s">
        <v>176</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20">
        <v>0</v>
      </c>
    </row>
    <row r="163" spans="1:33">
      <c r="A163" t="s">
        <v>212</v>
      </c>
      <c r="B163" t="s">
        <v>849</v>
      </c>
      <c r="C163" t="s">
        <v>848</v>
      </c>
      <c r="D163" t="s">
        <v>176</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20">
        <v>0</v>
      </c>
    </row>
    <row r="164" spans="1:33">
      <c r="A164" t="s">
        <v>213</v>
      </c>
      <c r="B164" t="s">
        <v>847</v>
      </c>
      <c r="C164" t="s">
        <v>846</v>
      </c>
      <c r="D164" t="s">
        <v>176</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20">
        <v>0</v>
      </c>
    </row>
    <row r="165" spans="1:33">
      <c r="A165" t="s">
        <v>736</v>
      </c>
      <c r="B165" t="s">
        <v>845</v>
      </c>
      <c r="C165" t="s">
        <v>844</v>
      </c>
      <c r="D165" t="s">
        <v>176</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20">
        <v>0</v>
      </c>
    </row>
    <row r="166" spans="1:33">
      <c r="A166" t="s">
        <v>211</v>
      </c>
      <c r="B166" t="s">
        <v>843</v>
      </c>
      <c r="C166" t="s">
        <v>842</v>
      </c>
      <c r="D166" t="s">
        <v>176</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20">
        <v>-1E-3</v>
      </c>
    </row>
    <row r="167" spans="1:33">
      <c r="A167" t="s">
        <v>212</v>
      </c>
      <c r="B167" t="s">
        <v>841</v>
      </c>
      <c r="C167" t="s">
        <v>840</v>
      </c>
      <c r="D167" t="s">
        <v>176</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20">
        <v>0</v>
      </c>
    </row>
    <row r="168" spans="1:33">
      <c r="A168" t="s">
        <v>213</v>
      </c>
      <c r="B168" t="s">
        <v>839</v>
      </c>
      <c r="C168" t="s">
        <v>838</v>
      </c>
      <c r="D168" t="s">
        <v>176</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20">
        <v>0</v>
      </c>
    </row>
    <row r="169" spans="1:33">
      <c r="A169" t="s">
        <v>733</v>
      </c>
      <c r="B169" t="s">
        <v>837</v>
      </c>
      <c r="C169" t="s">
        <v>836</v>
      </c>
      <c r="D169" t="s">
        <v>176</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20">
        <v>0</v>
      </c>
    </row>
    <row r="170" spans="1:33">
      <c r="A170" t="s">
        <v>211</v>
      </c>
      <c r="B170" t="s">
        <v>835</v>
      </c>
      <c r="C170" t="s">
        <v>834</v>
      </c>
      <c r="D170" t="s">
        <v>176</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15</v>
      </c>
    </row>
    <row r="171" spans="1:33">
      <c r="A171" t="s">
        <v>212</v>
      </c>
      <c r="B171" t="s">
        <v>833</v>
      </c>
      <c r="C171" t="s">
        <v>832</v>
      </c>
      <c r="D171" t="s">
        <v>176</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20">
        <v>0</v>
      </c>
    </row>
    <row r="172" spans="1:33">
      <c r="A172" t="s">
        <v>213</v>
      </c>
      <c r="B172" t="s">
        <v>831</v>
      </c>
      <c r="C172" t="s">
        <v>830</v>
      </c>
      <c r="D172" t="s">
        <v>176</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15</v>
      </c>
    </row>
    <row r="173" spans="1:33">
      <c r="A173" t="s">
        <v>730</v>
      </c>
      <c r="B173" t="s">
        <v>829</v>
      </c>
      <c r="C173" t="s">
        <v>828</v>
      </c>
      <c r="D173" t="s">
        <v>176</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20">
        <v>0</v>
      </c>
    </row>
    <row r="174" spans="1:33">
      <c r="A174" t="s">
        <v>211</v>
      </c>
      <c r="B174" t="s">
        <v>827</v>
      </c>
      <c r="C174" t="s">
        <v>826</v>
      </c>
      <c r="D174" t="s">
        <v>176</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20">
        <v>0</v>
      </c>
    </row>
    <row r="175" spans="1:33">
      <c r="A175" t="s">
        <v>212</v>
      </c>
      <c r="B175" t="s">
        <v>825</v>
      </c>
      <c r="C175" t="s">
        <v>824</v>
      </c>
      <c r="D175" t="s">
        <v>176</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20">
        <v>0</v>
      </c>
    </row>
    <row r="176" spans="1:33">
      <c r="A176" t="s">
        <v>213</v>
      </c>
      <c r="B176" t="s">
        <v>823</v>
      </c>
      <c r="C176" t="s">
        <v>822</v>
      </c>
      <c r="D176" t="s">
        <v>176</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20">
        <v>0</v>
      </c>
    </row>
    <row r="177" spans="1:33">
      <c r="A177" t="s">
        <v>727</v>
      </c>
      <c r="B177" t="s">
        <v>821</v>
      </c>
      <c r="C177" t="s">
        <v>820</v>
      </c>
      <c r="D177" t="s">
        <v>176</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20">
        <v>0</v>
      </c>
    </row>
    <row r="178" spans="1:33">
      <c r="A178" t="s">
        <v>211</v>
      </c>
      <c r="B178" t="s">
        <v>819</v>
      </c>
      <c r="C178" t="s">
        <v>818</v>
      </c>
      <c r="D178" t="s">
        <v>176</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20">
        <v>0</v>
      </c>
    </row>
    <row r="179" spans="1:33">
      <c r="A179" t="s">
        <v>212</v>
      </c>
      <c r="B179" t="s">
        <v>817</v>
      </c>
      <c r="C179" t="s">
        <v>816</v>
      </c>
      <c r="D179" t="s">
        <v>176</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20">
        <v>0</v>
      </c>
    </row>
    <row r="180" spans="1:33">
      <c r="A180" t="s">
        <v>213</v>
      </c>
      <c r="B180" t="s">
        <v>815</v>
      </c>
      <c r="C180" t="s">
        <v>814</v>
      </c>
      <c r="D180" t="s">
        <v>176</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20">
        <v>0</v>
      </c>
    </row>
    <row r="181" spans="1:33">
      <c r="A181" t="s">
        <v>216</v>
      </c>
      <c r="B181" t="s">
        <v>813</v>
      </c>
      <c r="C181" t="s">
        <v>812</v>
      </c>
      <c r="D181" t="s">
        <v>176</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20">
        <v>-2E-3</v>
      </c>
    </row>
    <row r="182" spans="1:33">
      <c r="A182" t="s">
        <v>211</v>
      </c>
      <c r="B182" t="s">
        <v>811</v>
      </c>
      <c r="C182" t="s">
        <v>810</v>
      </c>
      <c r="D182" t="s">
        <v>176</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20">
        <v>-5.0000000000000001E-3</v>
      </c>
    </row>
    <row r="183" spans="1:33">
      <c r="A183" t="s">
        <v>212</v>
      </c>
      <c r="B183" t="s">
        <v>809</v>
      </c>
      <c r="C183" t="s">
        <v>808</v>
      </c>
      <c r="D183" t="s">
        <v>176</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20">
        <v>0</v>
      </c>
    </row>
    <row r="184" spans="1:33">
      <c r="A184" t="s">
        <v>213</v>
      </c>
      <c r="B184" t="s">
        <v>807</v>
      </c>
      <c r="C184" t="s">
        <v>806</v>
      </c>
      <c r="D184" t="s">
        <v>176</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20">
        <v>0</v>
      </c>
    </row>
    <row r="185" spans="1:33">
      <c r="A185" t="s">
        <v>722</v>
      </c>
      <c r="B185" t="s">
        <v>805</v>
      </c>
      <c r="C185" t="s">
        <v>804</v>
      </c>
      <c r="D185" t="s">
        <v>176</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20">
        <v>0</v>
      </c>
    </row>
    <row r="186" spans="1:33">
      <c r="A186" t="s">
        <v>211</v>
      </c>
      <c r="B186" t="s">
        <v>803</v>
      </c>
      <c r="C186" t="s">
        <v>802</v>
      </c>
      <c r="D186" t="s">
        <v>176</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20">
        <v>0</v>
      </c>
    </row>
    <row r="187" spans="1:33">
      <c r="A187" t="s">
        <v>212</v>
      </c>
      <c r="B187" t="s">
        <v>801</v>
      </c>
      <c r="C187" t="s">
        <v>800</v>
      </c>
      <c r="D187" t="s">
        <v>176</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20">
        <v>0</v>
      </c>
    </row>
    <row r="188" spans="1:33">
      <c r="A188" t="s">
        <v>213</v>
      </c>
      <c r="B188" t="s">
        <v>799</v>
      </c>
      <c r="C188" t="s">
        <v>798</v>
      </c>
      <c r="D188" t="s">
        <v>176</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20">
        <v>0</v>
      </c>
    </row>
    <row r="189" spans="1:33">
      <c r="A189" t="s">
        <v>719</v>
      </c>
      <c r="B189" t="s">
        <v>797</v>
      </c>
      <c r="C189" t="s">
        <v>796</v>
      </c>
      <c r="D189" t="s">
        <v>176</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20">
        <v>0</v>
      </c>
    </row>
    <row r="190" spans="1:33">
      <c r="A190" t="s">
        <v>211</v>
      </c>
      <c r="B190" t="s">
        <v>795</v>
      </c>
      <c r="C190" t="s">
        <v>794</v>
      </c>
      <c r="D190" t="s">
        <v>176</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20">
        <v>0</v>
      </c>
    </row>
    <row r="191" spans="1:33">
      <c r="A191" t="s">
        <v>212</v>
      </c>
      <c r="B191" t="s">
        <v>793</v>
      </c>
      <c r="C191" t="s">
        <v>792</v>
      </c>
      <c r="D191" t="s">
        <v>176</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20">
        <v>0</v>
      </c>
    </row>
    <row r="192" spans="1:33">
      <c r="A192" t="s">
        <v>213</v>
      </c>
      <c r="B192" t="s">
        <v>791</v>
      </c>
      <c r="C192" t="s">
        <v>790</v>
      </c>
      <c r="D192" t="s">
        <v>176</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20">
        <v>0</v>
      </c>
    </row>
    <row r="193" spans="1:33">
      <c r="A193" t="s">
        <v>716</v>
      </c>
      <c r="B193" t="s">
        <v>789</v>
      </c>
      <c r="C193" t="s">
        <v>788</v>
      </c>
      <c r="D193" t="s">
        <v>176</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20">
        <v>0</v>
      </c>
    </row>
    <row r="194" spans="1:33">
      <c r="A194" t="s">
        <v>211</v>
      </c>
      <c r="B194" t="s">
        <v>787</v>
      </c>
      <c r="C194" t="s">
        <v>786</v>
      </c>
      <c r="D194" t="s">
        <v>176</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20">
        <v>0</v>
      </c>
    </row>
    <row r="195" spans="1:33">
      <c r="A195" t="s">
        <v>212</v>
      </c>
      <c r="B195" t="s">
        <v>785</v>
      </c>
      <c r="C195" t="s">
        <v>784</v>
      </c>
      <c r="D195" t="s">
        <v>176</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20">
        <v>0</v>
      </c>
    </row>
    <row r="196" spans="1:33">
      <c r="A196" t="s">
        <v>213</v>
      </c>
      <c r="B196" t="s">
        <v>783</v>
      </c>
      <c r="C196" t="s">
        <v>782</v>
      </c>
      <c r="D196" t="s">
        <v>176</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20">
        <v>0</v>
      </c>
    </row>
    <row r="197" spans="1:33">
      <c r="A197" t="s">
        <v>215</v>
      </c>
      <c r="B197" t="s">
        <v>781</v>
      </c>
      <c r="C197" t="s">
        <v>780</v>
      </c>
      <c r="D197" t="s">
        <v>176</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20">
        <v>0</v>
      </c>
    </row>
    <row r="198" spans="1:33">
      <c r="A198" t="s">
        <v>211</v>
      </c>
      <c r="B198" t="s">
        <v>779</v>
      </c>
      <c r="C198" t="s">
        <v>778</v>
      </c>
      <c r="D198" t="s">
        <v>176</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20">
        <v>0</v>
      </c>
    </row>
    <row r="199" spans="1:33">
      <c r="A199" t="s">
        <v>212</v>
      </c>
      <c r="B199" t="s">
        <v>777</v>
      </c>
      <c r="C199" t="s">
        <v>776</v>
      </c>
      <c r="D199" t="s">
        <v>176</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20">
        <v>0</v>
      </c>
    </row>
    <row r="200" spans="1:33">
      <c r="A200" t="s">
        <v>213</v>
      </c>
      <c r="B200" t="s">
        <v>775</v>
      </c>
      <c r="C200" t="s">
        <v>774</v>
      </c>
      <c r="D200" t="s">
        <v>176</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20">
        <v>0</v>
      </c>
    </row>
    <row r="201" spans="1:33">
      <c r="A201" t="s">
        <v>711</v>
      </c>
      <c r="B201" t="s">
        <v>773</v>
      </c>
      <c r="C201" t="s">
        <v>772</v>
      </c>
      <c r="D201" t="s">
        <v>176</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20">
        <v>0</v>
      </c>
    </row>
    <row r="202" spans="1:33">
      <c r="A202" t="s">
        <v>211</v>
      </c>
      <c r="B202" t="s">
        <v>771</v>
      </c>
      <c r="C202" t="s">
        <v>770</v>
      </c>
      <c r="D202" t="s">
        <v>176</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20">
        <v>0</v>
      </c>
    </row>
    <row r="203" spans="1:33">
      <c r="A203" t="s">
        <v>212</v>
      </c>
      <c r="B203" t="s">
        <v>769</v>
      </c>
      <c r="C203" t="s">
        <v>768</v>
      </c>
      <c r="D203" t="s">
        <v>176</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20">
        <v>0</v>
      </c>
    </row>
    <row r="204" spans="1:33">
      <c r="A204" t="s">
        <v>213</v>
      </c>
      <c r="B204" t="s">
        <v>767</v>
      </c>
      <c r="C204" t="s">
        <v>766</v>
      </c>
      <c r="D204" t="s">
        <v>176</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20">
        <v>0</v>
      </c>
    </row>
    <row r="205" spans="1:33">
      <c r="A205" t="s">
        <v>708</v>
      </c>
      <c r="B205" t="s">
        <v>765</v>
      </c>
      <c r="C205" t="s">
        <v>764</v>
      </c>
      <c r="D205" t="s">
        <v>176</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20">
        <v>0</v>
      </c>
    </row>
    <row r="206" spans="1:33">
      <c r="A206" t="s">
        <v>211</v>
      </c>
      <c r="B206" t="s">
        <v>763</v>
      </c>
      <c r="C206" t="s">
        <v>762</v>
      </c>
      <c r="D206" t="s">
        <v>176</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20">
        <v>0</v>
      </c>
    </row>
    <row r="207" spans="1:33">
      <c r="A207" t="s">
        <v>212</v>
      </c>
      <c r="B207" t="s">
        <v>761</v>
      </c>
      <c r="C207" t="s">
        <v>760</v>
      </c>
      <c r="D207" t="s">
        <v>176</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20">
        <v>0</v>
      </c>
    </row>
    <row r="208" spans="1:33">
      <c r="A208" t="s">
        <v>213</v>
      </c>
      <c r="B208" t="s">
        <v>759</v>
      </c>
      <c r="C208" t="s">
        <v>758</v>
      </c>
      <c r="D208" t="s">
        <v>176</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20">
        <v>0</v>
      </c>
    </row>
    <row r="209" spans="1:33">
      <c r="A209" t="s">
        <v>13</v>
      </c>
      <c r="B209" t="s">
        <v>757</v>
      </c>
      <c r="C209" t="s">
        <v>756</v>
      </c>
      <c r="D209" t="s">
        <v>176</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20">
        <v>0</v>
      </c>
    </row>
    <row r="210" spans="1:33">
      <c r="A210" t="s">
        <v>211</v>
      </c>
      <c r="B210" t="s">
        <v>755</v>
      </c>
      <c r="C210" t="s">
        <v>754</v>
      </c>
      <c r="D210" t="s">
        <v>176</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20">
        <v>-1E-3</v>
      </c>
    </row>
    <row r="211" spans="1:33">
      <c r="A211" t="s">
        <v>212</v>
      </c>
      <c r="B211" t="s">
        <v>753</v>
      </c>
      <c r="C211" t="s">
        <v>752</v>
      </c>
      <c r="D211" t="s">
        <v>176</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20">
        <v>0</v>
      </c>
    </row>
    <row r="212" spans="1:33">
      <c r="A212" t="s">
        <v>213</v>
      </c>
      <c r="B212" t="s">
        <v>751</v>
      </c>
      <c r="C212" t="s">
        <v>750</v>
      </c>
      <c r="D212" t="s">
        <v>176</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20">
        <v>0</v>
      </c>
    </row>
    <row r="213" spans="1:33">
      <c r="A213" t="s">
        <v>14</v>
      </c>
    </row>
    <row r="214" spans="1:33" s="126" customFormat="1">
      <c r="A214" s="126" t="s">
        <v>210</v>
      </c>
      <c r="B214" s="126" t="s">
        <v>749</v>
      </c>
      <c r="C214" s="126" t="s">
        <v>748</v>
      </c>
      <c r="D214" s="126" t="s">
        <v>176</v>
      </c>
      <c r="F214" s="126">
        <v>1068.7120359999999</v>
      </c>
      <c r="G214" s="126">
        <v>1079.8138429999999</v>
      </c>
      <c r="H214" s="126">
        <v>1093.642456</v>
      </c>
      <c r="I214" s="126">
        <v>1106.2845460000001</v>
      </c>
      <c r="J214" s="126">
        <v>1117.290039</v>
      </c>
      <c r="K214" s="126">
        <v>1129.9379879999999</v>
      </c>
      <c r="L214" s="126">
        <v>1142.154663</v>
      </c>
      <c r="M214" s="126">
        <v>1152.991577</v>
      </c>
      <c r="N214" s="126">
        <v>1165.8289789999999</v>
      </c>
      <c r="O214" s="126">
        <v>1179.8967290000001</v>
      </c>
      <c r="P214" s="126">
        <v>1193.9592290000001</v>
      </c>
      <c r="Q214" s="126">
        <v>1209.5074460000001</v>
      </c>
      <c r="R214" s="126">
        <v>1225.6295170000001</v>
      </c>
      <c r="S214" s="126">
        <v>1242.8675539999999</v>
      </c>
      <c r="T214" s="126">
        <v>1261.404297</v>
      </c>
      <c r="U214" s="126">
        <v>1280.2581789999999</v>
      </c>
      <c r="V214" s="126">
        <v>1299.432251</v>
      </c>
      <c r="W214" s="126">
        <v>1318.6405030000001</v>
      </c>
      <c r="X214" s="126">
        <v>1339.2829589999999</v>
      </c>
      <c r="Y214" s="126">
        <v>1359.8707280000001</v>
      </c>
      <c r="Z214" s="126">
        <v>1379.740967</v>
      </c>
      <c r="AA214" s="126">
        <v>1399.6171879999999</v>
      </c>
      <c r="AB214" s="126">
        <v>1419.5272219999999</v>
      </c>
      <c r="AC214" s="126">
        <v>1441.9884030000001</v>
      </c>
      <c r="AD214" s="126">
        <v>1465.759155</v>
      </c>
      <c r="AE214" s="126">
        <v>1489.1166989999999</v>
      </c>
      <c r="AF214" s="126">
        <v>1512.543823</v>
      </c>
      <c r="AG214" s="127">
        <v>1.2999999999999999E-2</v>
      </c>
    </row>
    <row r="215" spans="1:33">
      <c r="A215" t="s">
        <v>214</v>
      </c>
      <c r="B215" t="s">
        <v>747</v>
      </c>
      <c r="C215" t="s">
        <v>746</v>
      </c>
      <c r="D215" t="s">
        <v>176</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20">
        <v>6.0000000000000001E-3</v>
      </c>
    </row>
    <row r="216" spans="1:33">
      <c r="A216" t="s">
        <v>745</v>
      </c>
      <c r="B216" t="s">
        <v>744</v>
      </c>
      <c r="C216" t="s">
        <v>743</v>
      </c>
      <c r="D216" t="s">
        <v>176</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20">
        <v>1.7000000000000001E-2</v>
      </c>
    </row>
    <row r="217" spans="1:33">
      <c r="A217" t="s">
        <v>742</v>
      </c>
      <c r="B217" t="s">
        <v>741</v>
      </c>
      <c r="C217" t="s">
        <v>740</v>
      </c>
      <c r="D217" t="s">
        <v>176</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20">
        <v>4.0000000000000001E-3</v>
      </c>
    </row>
    <row r="218" spans="1:33">
      <c r="A218" t="s">
        <v>739</v>
      </c>
      <c r="B218" t="s">
        <v>738</v>
      </c>
      <c r="C218" t="s">
        <v>737</v>
      </c>
      <c r="D218" t="s">
        <v>176</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20">
        <v>-0.01</v>
      </c>
    </row>
    <row r="219" spans="1:33">
      <c r="A219" t="s">
        <v>736</v>
      </c>
      <c r="B219" t="s">
        <v>735</v>
      </c>
      <c r="C219" t="s">
        <v>734</v>
      </c>
      <c r="D219" t="s">
        <v>176</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20">
        <v>-2.4E-2</v>
      </c>
    </row>
    <row r="220" spans="1:33">
      <c r="A220" t="s">
        <v>733</v>
      </c>
      <c r="B220" t="s">
        <v>732</v>
      </c>
      <c r="C220" t="s">
        <v>731</v>
      </c>
      <c r="D220" t="s">
        <v>176</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20">
        <v>4.0000000000000001E-3</v>
      </c>
    </row>
    <row r="221" spans="1:33">
      <c r="A221" t="s">
        <v>730</v>
      </c>
      <c r="B221" t="s">
        <v>729</v>
      </c>
      <c r="C221" t="s">
        <v>728</v>
      </c>
      <c r="D221" t="s">
        <v>176</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20">
        <v>8.9999999999999993E-3</v>
      </c>
    </row>
    <row r="222" spans="1:33">
      <c r="A222" t="s">
        <v>727</v>
      </c>
      <c r="B222" t="s">
        <v>726</v>
      </c>
      <c r="C222" t="s">
        <v>725</v>
      </c>
      <c r="D222" t="s">
        <v>176</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20">
        <v>-3.0000000000000001E-3</v>
      </c>
    </row>
    <row r="223" spans="1:33">
      <c r="A223" t="s">
        <v>216</v>
      </c>
      <c r="B223" t="s">
        <v>724</v>
      </c>
      <c r="C223" t="s">
        <v>723</v>
      </c>
      <c r="D223" t="s">
        <v>176</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20">
        <v>2.1000000000000001E-2</v>
      </c>
    </row>
    <row r="224" spans="1:33">
      <c r="A224" t="s">
        <v>722</v>
      </c>
      <c r="B224" t="s">
        <v>721</v>
      </c>
      <c r="C224" t="s">
        <v>720</v>
      </c>
      <c r="D224" t="s">
        <v>176</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20">
        <v>2.5999999999999999E-2</v>
      </c>
    </row>
    <row r="225" spans="1:33">
      <c r="A225" t="s">
        <v>719</v>
      </c>
      <c r="B225" t="s">
        <v>718</v>
      </c>
      <c r="C225" t="s">
        <v>717</v>
      </c>
      <c r="D225" t="s">
        <v>176</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20">
        <v>-6.0000000000000001E-3</v>
      </c>
    </row>
    <row r="226" spans="1:33">
      <c r="A226" t="s">
        <v>716</v>
      </c>
      <c r="B226" t="s">
        <v>715</v>
      </c>
      <c r="C226" t="s">
        <v>714</v>
      </c>
      <c r="D226" t="s">
        <v>176</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20">
        <v>-3.0000000000000001E-3</v>
      </c>
    </row>
    <row r="227" spans="1:33">
      <c r="A227" t="s">
        <v>215</v>
      </c>
      <c r="B227" t="s">
        <v>713</v>
      </c>
      <c r="C227" t="s">
        <v>712</v>
      </c>
      <c r="D227" t="s">
        <v>176</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20">
        <v>1.4E-2</v>
      </c>
    </row>
    <row r="228" spans="1:33">
      <c r="A228" t="s">
        <v>711</v>
      </c>
      <c r="B228" t="s">
        <v>710</v>
      </c>
      <c r="C228" t="s">
        <v>709</v>
      </c>
      <c r="D228" t="s">
        <v>176</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20">
        <v>0</v>
      </c>
    </row>
    <row r="229" spans="1:33">
      <c r="A229" t="s">
        <v>708</v>
      </c>
      <c r="B229" t="s">
        <v>707</v>
      </c>
      <c r="C229" t="s">
        <v>706</v>
      </c>
      <c r="D229" t="s">
        <v>176</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20">
        <v>1.4999999999999999E-2</v>
      </c>
    </row>
    <row r="230" spans="1:33">
      <c r="A230" t="s">
        <v>13</v>
      </c>
      <c r="B230" t="s">
        <v>705</v>
      </c>
      <c r="C230" t="s">
        <v>704</v>
      </c>
      <c r="D230" t="s">
        <v>176</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20">
        <v>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AF654-3CF2-4369-9100-F6D29EE1F952}">
  <dimension ref="A1:AH256"/>
  <sheetViews>
    <sheetView workbookViewId="0"/>
  </sheetViews>
  <sheetFormatPr defaultRowHeight="15"/>
  <cols>
    <col min="1" max="1" width="35" customWidth="1"/>
  </cols>
  <sheetData>
    <row r="1" spans="1:33">
      <c r="A1" t="s">
        <v>1657</v>
      </c>
    </row>
    <row r="2" spans="1:33">
      <c r="A2" t="s">
        <v>1656</v>
      </c>
    </row>
    <row r="3" spans="1:33">
      <c r="A3" t="s">
        <v>1655</v>
      </c>
    </row>
    <row r="4" spans="1:33">
      <c r="A4" t="s">
        <v>173</v>
      </c>
    </row>
    <row r="5" spans="1:33">
      <c r="B5" t="s">
        <v>174</v>
      </c>
      <c r="C5" t="s">
        <v>175</v>
      </c>
      <c r="D5" t="s">
        <v>176</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1158</v>
      </c>
    </row>
    <row r="6" spans="1:33">
      <c r="A6" t="s">
        <v>1654</v>
      </c>
      <c r="B6" t="s">
        <v>1653</v>
      </c>
      <c r="C6" t="s">
        <v>1652</v>
      </c>
      <c r="D6" t="s">
        <v>1651</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20">
        <v>8.0000000000000002E-3</v>
      </c>
    </row>
    <row r="7" spans="1:33">
      <c r="A7" t="s">
        <v>677</v>
      </c>
    </row>
    <row r="8" spans="1:33">
      <c r="A8" t="s">
        <v>1650</v>
      </c>
      <c r="B8" t="s">
        <v>1649</v>
      </c>
      <c r="C8" t="s">
        <v>1648</v>
      </c>
      <c r="D8" t="s">
        <v>1644</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20">
        <v>1E-3</v>
      </c>
    </row>
    <row r="9" spans="1:33">
      <c r="A9" t="s">
        <v>1647</v>
      </c>
      <c r="B9" t="s">
        <v>1646</v>
      </c>
      <c r="C9" t="s">
        <v>1645</v>
      </c>
      <c r="D9" t="s">
        <v>1644</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20">
        <v>2E-3</v>
      </c>
    </row>
    <row r="10" spans="1:33">
      <c r="A10" t="s">
        <v>678</v>
      </c>
    </row>
    <row r="11" spans="1:33">
      <c r="A11" t="s">
        <v>1643</v>
      </c>
    </row>
    <row r="12" spans="1:33">
      <c r="A12" t="s">
        <v>210</v>
      </c>
      <c r="B12" t="s">
        <v>1642</v>
      </c>
      <c r="C12" t="s">
        <v>1641</v>
      </c>
      <c r="D12" t="s">
        <v>200</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20">
        <v>3.0000000000000001E-3</v>
      </c>
    </row>
    <row r="13" spans="1:33">
      <c r="A13" t="s">
        <v>214</v>
      </c>
      <c r="B13" t="s">
        <v>1640</v>
      </c>
      <c r="C13" t="s">
        <v>1639</v>
      </c>
      <c r="D13" t="s">
        <v>200</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20">
        <v>8.9999999999999993E-3</v>
      </c>
    </row>
    <row r="14" spans="1:33">
      <c r="A14" t="s">
        <v>745</v>
      </c>
      <c r="B14" t="s">
        <v>1638</v>
      </c>
      <c r="C14" t="s">
        <v>1637</v>
      </c>
      <c r="D14" t="s">
        <v>200</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20">
        <v>5.0000000000000001E-3</v>
      </c>
    </row>
    <row r="15" spans="1:33">
      <c r="A15" t="s">
        <v>742</v>
      </c>
      <c r="B15" t="s">
        <v>1636</v>
      </c>
      <c r="C15" t="s">
        <v>1635</v>
      </c>
      <c r="D15" t="s">
        <v>200</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20">
        <v>0</v>
      </c>
    </row>
    <row r="16" spans="1:33">
      <c r="A16" t="s">
        <v>739</v>
      </c>
      <c r="B16" t="s">
        <v>1634</v>
      </c>
      <c r="C16" t="s">
        <v>1633</v>
      </c>
      <c r="D16" t="s">
        <v>200</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20">
        <v>-6.0000000000000001E-3</v>
      </c>
    </row>
    <row r="17" spans="1:33">
      <c r="A17" t="s">
        <v>736</v>
      </c>
      <c r="B17" t="s">
        <v>1632</v>
      </c>
      <c r="C17" t="s">
        <v>1631</v>
      </c>
      <c r="D17" t="s">
        <v>200</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20">
        <v>8.9999999999999993E-3</v>
      </c>
    </row>
    <row r="18" spans="1:33">
      <c r="A18" t="s">
        <v>733</v>
      </c>
      <c r="B18" t="s">
        <v>1630</v>
      </c>
      <c r="C18" t="s">
        <v>1629</v>
      </c>
      <c r="D18" t="s">
        <v>200</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20">
        <v>-5.0000000000000001E-3</v>
      </c>
    </row>
    <row r="19" spans="1:33">
      <c r="A19" t="s">
        <v>730</v>
      </c>
      <c r="B19" t="s">
        <v>1628</v>
      </c>
      <c r="C19" t="s">
        <v>1627</v>
      </c>
      <c r="D19" t="s">
        <v>200</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20">
        <v>-2E-3</v>
      </c>
    </row>
    <row r="20" spans="1:33">
      <c r="A20" t="s">
        <v>727</v>
      </c>
      <c r="B20" t="s">
        <v>1626</v>
      </c>
      <c r="C20" t="s">
        <v>1625</v>
      </c>
      <c r="D20" t="s">
        <v>200</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20">
        <v>6.0000000000000001E-3</v>
      </c>
    </row>
    <row r="21" spans="1:33">
      <c r="A21" t="s">
        <v>216</v>
      </c>
      <c r="B21" t="s">
        <v>1624</v>
      </c>
      <c r="C21" t="s">
        <v>1623</v>
      </c>
      <c r="D21" t="s">
        <v>200</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20">
        <v>-5.0000000000000001E-3</v>
      </c>
    </row>
    <row r="22" spans="1:33">
      <c r="A22" t="s">
        <v>722</v>
      </c>
      <c r="B22" t="s">
        <v>1622</v>
      </c>
      <c r="C22" t="s">
        <v>1621</v>
      </c>
      <c r="D22" t="s">
        <v>200</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20">
        <v>6.0000000000000001E-3</v>
      </c>
    </row>
    <row r="23" spans="1:33">
      <c r="A23" t="s">
        <v>719</v>
      </c>
      <c r="B23" t="s">
        <v>1620</v>
      </c>
      <c r="C23" t="s">
        <v>1619</v>
      </c>
      <c r="D23" t="s">
        <v>200</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20">
        <v>8.0000000000000002E-3</v>
      </c>
    </row>
    <row r="24" spans="1:33">
      <c r="A24" t="s">
        <v>716</v>
      </c>
      <c r="B24" t="s">
        <v>1618</v>
      </c>
      <c r="C24" t="s">
        <v>1617</v>
      </c>
      <c r="D24" t="s">
        <v>200</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20">
        <v>1.2999999999999999E-2</v>
      </c>
    </row>
    <row r="25" spans="1:33">
      <c r="A25" t="s">
        <v>215</v>
      </c>
      <c r="B25" t="s">
        <v>1616</v>
      </c>
      <c r="C25" t="s">
        <v>1615</v>
      </c>
      <c r="D25" t="s">
        <v>200</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20">
        <v>1.9E-2</v>
      </c>
    </row>
    <row r="26" spans="1:33">
      <c r="A26" t="s">
        <v>711</v>
      </c>
      <c r="B26" t="s">
        <v>1614</v>
      </c>
      <c r="C26" t="s">
        <v>1613</v>
      </c>
      <c r="D26" t="s">
        <v>200</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20">
        <v>1E-3</v>
      </c>
    </row>
    <row r="27" spans="1:33">
      <c r="A27" t="s">
        <v>708</v>
      </c>
      <c r="B27" t="s">
        <v>1612</v>
      </c>
      <c r="C27" t="s">
        <v>1611</v>
      </c>
      <c r="D27" t="s">
        <v>200</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20">
        <v>5.0000000000000001E-3</v>
      </c>
    </row>
    <row r="28" spans="1:33">
      <c r="A28" t="s">
        <v>679</v>
      </c>
    </row>
    <row r="29" spans="1:33">
      <c r="A29" t="s">
        <v>1610</v>
      </c>
    </row>
    <row r="30" spans="1:33">
      <c r="A30" t="s">
        <v>1609</v>
      </c>
    </row>
    <row r="31" spans="1:33" s="133" customFormat="1">
      <c r="A31" s="133" t="s">
        <v>210</v>
      </c>
      <c r="B31" s="133" t="s">
        <v>1608</v>
      </c>
      <c r="C31" s="133" t="s">
        <v>1607</v>
      </c>
      <c r="D31" s="133" t="s">
        <v>220</v>
      </c>
      <c r="F31" s="133">
        <v>769.07440199999996</v>
      </c>
      <c r="G31" s="133">
        <v>784.82141100000001</v>
      </c>
      <c r="H31" s="133">
        <v>804.30224599999997</v>
      </c>
      <c r="I31" s="133">
        <v>822.31329300000004</v>
      </c>
      <c r="J31" s="133">
        <v>836.94464100000005</v>
      </c>
      <c r="K31" s="133">
        <v>852.79473900000005</v>
      </c>
      <c r="L31" s="133">
        <v>867.11852999999996</v>
      </c>
      <c r="M31" s="133">
        <v>878.67956500000003</v>
      </c>
      <c r="N31" s="133">
        <v>892.21368399999994</v>
      </c>
      <c r="O31" s="133">
        <v>906.72900400000003</v>
      </c>
      <c r="P31" s="133">
        <v>920.58386199999995</v>
      </c>
      <c r="Q31" s="133">
        <v>935.94891399999995</v>
      </c>
      <c r="R31" s="133">
        <v>951.57720900000004</v>
      </c>
      <c r="S31" s="133">
        <v>968.24322500000005</v>
      </c>
      <c r="T31" s="133">
        <v>986.23107900000002</v>
      </c>
      <c r="U31" s="133">
        <v>1004.200562</v>
      </c>
      <c r="V31" s="133">
        <v>1022.167603</v>
      </c>
      <c r="W31" s="133">
        <v>1039.7504879999999</v>
      </c>
      <c r="X31" s="133">
        <v>1058.9343260000001</v>
      </c>
      <c r="Y31" s="133">
        <v>1077.6267089999999</v>
      </c>
      <c r="Z31" s="133">
        <v>1094.8948969999999</v>
      </c>
      <c r="AA31" s="133">
        <v>1111.753052</v>
      </c>
      <c r="AB31" s="133">
        <v>1128.2475589999999</v>
      </c>
      <c r="AC31" s="133">
        <v>1147.9022219999999</v>
      </c>
      <c r="AD31" s="133">
        <v>1168.965942</v>
      </c>
      <c r="AE31" s="133">
        <v>1189.009399</v>
      </c>
      <c r="AF31" s="133">
        <v>1208.700439</v>
      </c>
      <c r="AG31" s="134">
        <v>1.7999999999999999E-2</v>
      </c>
    </row>
    <row r="32" spans="1:33">
      <c r="A32" t="s">
        <v>214</v>
      </c>
      <c r="B32" t="s">
        <v>1606</v>
      </c>
      <c r="C32" t="s">
        <v>1605</v>
      </c>
      <c r="D32" t="s">
        <v>220</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20">
        <v>1.7000000000000001E-2</v>
      </c>
    </row>
    <row r="33" spans="1:33">
      <c r="A33" t="s">
        <v>745</v>
      </c>
      <c r="B33" t="s">
        <v>1604</v>
      </c>
      <c r="C33" t="s">
        <v>1603</v>
      </c>
      <c r="D33" t="s">
        <v>220</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20">
        <v>3.5999999999999997E-2</v>
      </c>
    </row>
    <row r="34" spans="1:33">
      <c r="A34" t="s">
        <v>742</v>
      </c>
      <c r="B34" t="s">
        <v>1602</v>
      </c>
      <c r="C34" t="s">
        <v>1601</v>
      </c>
      <c r="D34" t="s">
        <v>220</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20">
        <v>2.1000000000000001E-2</v>
      </c>
    </row>
    <row r="35" spans="1:33">
      <c r="A35" t="s">
        <v>739</v>
      </c>
      <c r="B35" t="s">
        <v>1600</v>
      </c>
      <c r="C35" t="s">
        <v>1599</v>
      </c>
      <c r="D35" t="s">
        <v>220</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20">
        <v>5.0000000000000001E-3</v>
      </c>
    </row>
    <row r="36" spans="1:33">
      <c r="A36" t="s">
        <v>736</v>
      </c>
      <c r="B36" t="s">
        <v>1598</v>
      </c>
      <c r="C36" t="s">
        <v>1597</v>
      </c>
      <c r="D36" t="s">
        <v>220</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20">
        <v>2.3E-2</v>
      </c>
    </row>
    <row r="37" spans="1:33">
      <c r="A37" t="s">
        <v>733</v>
      </c>
      <c r="B37" t="s">
        <v>1596</v>
      </c>
      <c r="C37" t="s">
        <v>1595</v>
      </c>
      <c r="D37" t="s">
        <v>220</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20">
        <v>0.01</v>
      </c>
    </row>
    <row r="38" spans="1:33">
      <c r="A38" t="s">
        <v>730</v>
      </c>
      <c r="B38" t="s">
        <v>1594</v>
      </c>
      <c r="C38" t="s">
        <v>1593</v>
      </c>
      <c r="D38" t="s">
        <v>220</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20">
        <v>1.2E-2</v>
      </c>
    </row>
    <row r="39" spans="1:33">
      <c r="A39" t="s">
        <v>727</v>
      </c>
      <c r="B39" t="s">
        <v>1592</v>
      </c>
      <c r="C39" t="s">
        <v>1591</v>
      </c>
      <c r="D39" t="s">
        <v>220</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20">
        <v>3.2000000000000001E-2</v>
      </c>
    </row>
    <row r="40" spans="1:33">
      <c r="A40" t="s">
        <v>216</v>
      </c>
      <c r="B40" t="s">
        <v>1590</v>
      </c>
      <c r="C40" t="s">
        <v>1589</v>
      </c>
      <c r="D40" t="s">
        <v>220</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20">
        <v>4.3999999999999997E-2</v>
      </c>
    </row>
    <row r="41" spans="1:33">
      <c r="A41" t="s">
        <v>722</v>
      </c>
      <c r="B41" t="s">
        <v>1588</v>
      </c>
      <c r="C41" t="s">
        <v>1587</v>
      </c>
      <c r="D41" t="s">
        <v>220</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20">
        <v>6.0999999999999999E-2</v>
      </c>
    </row>
    <row r="42" spans="1:33">
      <c r="A42" t="s">
        <v>719</v>
      </c>
      <c r="B42" t="s">
        <v>1586</v>
      </c>
      <c r="C42" t="s">
        <v>1585</v>
      </c>
      <c r="D42" t="s">
        <v>220</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20">
        <v>4.2999999999999997E-2</v>
      </c>
    </row>
    <row r="43" spans="1:33">
      <c r="A43" t="s">
        <v>716</v>
      </c>
      <c r="B43" t="s">
        <v>1584</v>
      </c>
      <c r="C43" t="s">
        <v>1583</v>
      </c>
      <c r="D43" t="s">
        <v>220</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20">
        <v>3.6999999999999998E-2</v>
      </c>
    </row>
    <row r="44" spans="1:33">
      <c r="A44" t="s">
        <v>215</v>
      </c>
      <c r="B44" t="s">
        <v>1582</v>
      </c>
      <c r="C44" t="s">
        <v>1581</v>
      </c>
      <c r="D44" t="s">
        <v>220</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20">
        <v>4.3999999999999997E-2</v>
      </c>
    </row>
    <row r="45" spans="1:33">
      <c r="A45" t="s">
        <v>711</v>
      </c>
      <c r="B45" t="s">
        <v>1580</v>
      </c>
      <c r="C45" t="s">
        <v>1579</v>
      </c>
      <c r="D45" t="s">
        <v>220</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20">
        <v>1.6E-2</v>
      </c>
    </row>
    <row r="46" spans="1:33">
      <c r="A46" t="s">
        <v>708</v>
      </c>
      <c r="B46" t="s">
        <v>1578</v>
      </c>
      <c r="C46" t="s">
        <v>1577</v>
      </c>
      <c r="D46" t="s">
        <v>220</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20">
        <v>2.5000000000000001E-2</v>
      </c>
    </row>
    <row r="47" spans="1:33">
      <c r="A47" t="s">
        <v>1505</v>
      </c>
      <c r="B47" t="s">
        <v>1576</v>
      </c>
      <c r="C47" t="s">
        <v>1575</v>
      </c>
      <c r="D47" t="s">
        <v>220</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20">
        <v>0.03</v>
      </c>
    </row>
    <row r="48" spans="1:33">
      <c r="A48" t="s">
        <v>1574</v>
      </c>
    </row>
    <row r="49" spans="1:33" s="133" customFormat="1">
      <c r="A49" s="133" t="s">
        <v>210</v>
      </c>
      <c r="B49" s="133" t="s">
        <v>1573</v>
      </c>
      <c r="C49" s="133" t="s">
        <v>1572</v>
      </c>
      <c r="D49" s="133" t="s">
        <v>220</v>
      </c>
      <c r="F49" s="133">
        <v>430.05841099999998</v>
      </c>
      <c r="G49" s="133">
        <v>440.68881199999998</v>
      </c>
      <c r="H49" s="133">
        <v>452.96109000000001</v>
      </c>
      <c r="I49" s="133">
        <v>464.51516700000002</v>
      </c>
      <c r="J49" s="133">
        <v>474.60986300000002</v>
      </c>
      <c r="K49" s="133">
        <v>485.356537</v>
      </c>
      <c r="L49" s="133">
        <v>495.48510700000003</v>
      </c>
      <c r="M49" s="133">
        <v>504.40972900000003</v>
      </c>
      <c r="N49" s="133">
        <v>514.33551</v>
      </c>
      <c r="O49" s="133">
        <v>524.80676300000005</v>
      </c>
      <c r="P49" s="133">
        <v>535.051514</v>
      </c>
      <c r="Q49" s="133">
        <v>546.09051499999998</v>
      </c>
      <c r="R49" s="133">
        <v>557.34069799999997</v>
      </c>
      <c r="S49" s="133">
        <v>569.17608600000005</v>
      </c>
      <c r="T49" s="133">
        <v>581.73895300000004</v>
      </c>
      <c r="U49" s="133">
        <v>594.39086899999995</v>
      </c>
      <c r="V49" s="133">
        <v>607.14080799999999</v>
      </c>
      <c r="W49" s="133">
        <v>619.80383300000005</v>
      </c>
      <c r="X49" s="133">
        <v>633.34387200000003</v>
      </c>
      <c r="Y49" s="133">
        <v>646.74987799999997</v>
      </c>
      <c r="Z49" s="133">
        <v>659.56420900000001</v>
      </c>
      <c r="AA49" s="133">
        <v>672.27984600000002</v>
      </c>
      <c r="AB49" s="133">
        <v>684.91857900000002</v>
      </c>
      <c r="AC49" s="133">
        <v>699.22735599999999</v>
      </c>
      <c r="AD49" s="133">
        <v>714.35424799999998</v>
      </c>
      <c r="AE49" s="133">
        <v>729.09729000000004</v>
      </c>
      <c r="AF49" s="133">
        <v>743.78802499999995</v>
      </c>
      <c r="AG49" s="134">
        <v>2.1000000000000001E-2</v>
      </c>
    </row>
    <row r="50" spans="1:33">
      <c r="A50" t="s">
        <v>214</v>
      </c>
      <c r="B50" t="s">
        <v>1571</v>
      </c>
      <c r="C50" t="s">
        <v>1570</v>
      </c>
      <c r="D50" t="s">
        <v>220</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20">
        <v>2.5000000000000001E-2</v>
      </c>
    </row>
    <row r="51" spans="1:33">
      <c r="A51" t="s">
        <v>745</v>
      </c>
      <c r="B51" t="s">
        <v>1569</v>
      </c>
      <c r="C51" t="s">
        <v>1568</v>
      </c>
      <c r="D51" t="s">
        <v>220</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20">
        <v>0.03</v>
      </c>
    </row>
    <row r="52" spans="1:33">
      <c r="A52" t="s">
        <v>742</v>
      </c>
      <c r="B52" t="s">
        <v>1567</v>
      </c>
      <c r="C52" t="s">
        <v>1566</v>
      </c>
      <c r="D52" t="s">
        <v>220</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20">
        <v>1.9E-2</v>
      </c>
    </row>
    <row r="53" spans="1:33">
      <c r="A53" t="s">
        <v>739</v>
      </c>
      <c r="B53" t="s">
        <v>1565</v>
      </c>
      <c r="C53" t="s">
        <v>1564</v>
      </c>
      <c r="D53" t="s">
        <v>220</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20">
        <v>1E-3</v>
      </c>
    </row>
    <row r="54" spans="1:33">
      <c r="A54" t="s">
        <v>736</v>
      </c>
      <c r="B54" t="s">
        <v>1563</v>
      </c>
      <c r="C54" t="s">
        <v>1562</v>
      </c>
      <c r="D54" t="s">
        <v>220</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20">
        <v>2.9000000000000001E-2</v>
      </c>
    </row>
    <row r="55" spans="1:33">
      <c r="A55" t="s">
        <v>733</v>
      </c>
      <c r="B55" t="s">
        <v>1561</v>
      </c>
      <c r="C55" t="s">
        <v>1560</v>
      </c>
      <c r="D55" t="s">
        <v>220</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20">
        <v>3.1E-2</v>
      </c>
    </row>
    <row r="56" spans="1:33">
      <c r="A56" t="s">
        <v>730</v>
      </c>
      <c r="B56" t="s">
        <v>1559</v>
      </c>
      <c r="C56" t="s">
        <v>1558</v>
      </c>
      <c r="D56" t="s">
        <v>220</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20">
        <v>5.0999999999999997E-2</v>
      </c>
    </row>
    <row r="57" spans="1:33">
      <c r="A57" t="s">
        <v>727</v>
      </c>
      <c r="B57" t="s">
        <v>1557</v>
      </c>
      <c r="C57" t="s">
        <v>1556</v>
      </c>
      <c r="D57" t="s">
        <v>220</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20">
        <v>3.5000000000000003E-2</v>
      </c>
    </row>
    <row r="58" spans="1:33">
      <c r="A58" t="s">
        <v>216</v>
      </c>
      <c r="B58" t="s">
        <v>1555</v>
      </c>
      <c r="C58" t="s">
        <v>1554</v>
      </c>
      <c r="D58" t="s">
        <v>220</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20">
        <v>4.3999999999999997E-2</v>
      </c>
    </row>
    <row r="59" spans="1:33">
      <c r="A59" t="s">
        <v>722</v>
      </c>
      <c r="B59" t="s">
        <v>1553</v>
      </c>
      <c r="C59" t="s">
        <v>1552</v>
      </c>
      <c r="D59" t="s">
        <v>220</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20">
        <v>5.2999999999999999E-2</v>
      </c>
    </row>
    <row r="60" spans="1:33">
      <c r="A60" t="s">
        <v>719</v>
      </c>
      <c r="B60" t="s">
        <v>1551</v>
      </c>
      <c r="C60" t="s">
        <v>1550</v>
      </c>
      <c r="D60" t="s">
        <v>220</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20">
        <v>3.9E-2</v>
      </c>
    </row>
    <row r="61" spans="1:33">
      <c r="A61" t="s">
        <v>716</v>
      </c>
      <c r="B61" t="s">
        <v>1549</v>
      </c>
      <c r="C61" t="s">
        <v>1548</v>
      </c>
      <c r="D61" t="s">
        <v>220</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20">
        <v>4.1000000000000002E-2</v>
      </c>
    </row>
    <row r="62" spans="1:33">
      <c r="A62" t="s">
        <v>215</v>
      </c>
      <c r="B62" t="s">
        <v>1547</v>
      </c>
      <c r="C62" t="s">
        <v>1546</v>
      </c>
      <c r="D62" t="s">
        <v>220</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20">
        <v>0.04</v>
      </c>
    </row>
    <row r="63" spans="1:33">
      <c r="A63" t="s">
        <v>711</v>
      </c>
      <c r="B63" t="s">
        <v>1545</v>
      </c>
      <c r="C63" t="s">
        <v>1544</v>
      </c>
      <c r="D63" t="s">
        <v>220</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20">
        <v>1.9E-2</v>
      </c>
    </row>
    <row r="64" spans="1:33">
      <c r="A64" t="s">
        <v>708</v>
      </c>
      <c r="B64" t="s">
        <v>1543</v>
      </c>
      <c r="C64" t="s">
        <v>1542</v>
      </c>
      <c r="D64" t="s">
        <v>220</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20">
        <v>0.03</v>
      </c>
    </row>
    <row r="65" spans="1:33">
      <c r="A65" t="s">
        <v>1503</v>
      </c>
      <c r="B65" t="s">
        <v>1541</v>
      </c>
      <c r="C65" t="s">
        <v>1539</v>
      </c>
      <c r="D65" t="s">
        <v>220</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20">
        <v>3.1E-2</v>
      </c>
    </row>
    <row r="66" spans="1:33">
      <c r="A66" t="s">
        <v>13</v>
      </c>
      <c r="B66" t="s">
        <v>1540</v>
      </c>
      <c r="C66" t="s">
        <v>1539</v>
      </c>
      <c r="D66" t="s">
        <v>220</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20">
        <v>0.03</v>
      </c>
    </row>
    <row r="67" spans="1:33">
      <c r="A67" t="s">
        <v>1538</v>
      </c>
    </row>
    <row r="68" spans="1:33">
      <c r="A68" t="s">
        <v>210</v>
      </c>
      <c r="B68" t="s">
        <v>1537</v>
      </c>
      <c r="C68" t="s">
        <v>1536</v>
      </c>
      <c r="D68" t="s">
        <v>220</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20">
        <v>0.02</v>
      </c>
    </row>
    <row r="69" spans="1:33">
      <c r="A69" t="s">
        <v>214</v>
      </c>
      <c r="B69" t="s">
        <v>1535</v>
      </c>
      <c r="C69" t="s">
        <v>1534</v>
      </c>
      <c r="D69" t="s">
        <v>220</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20">
        <v>4.0000000000000001E-3</v>
      </c>
    </row>
    <row r="70" spans="1:33">
      <c r="A70" t="s">
        <v>745</v>
      </c>
      <c r="B70" t="s">
        <v>1533</v>
      </c>
      <c r="C70" t="s">
        <v>1532</v>
      </c>
      <c r="D70" t="s">
        <v>220</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20">
        <v>2.7E-2</v>
      </c>
    </row>
    <row r="71" spans="1:33">
      <c r="A71" t="s">
        <v>742</v>
      </c>
      <c r="B71" t="s">
        <v>1531</v>
      </c>
      <c r="C71" t="s">
        <v>1530</v>
      </c>
      <c r="D71" t="s">
        <v>220</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20">
        <v>0.03</v>
      </c>
    </row>
    <row r="72" spans="1:33">
      <c r="A72" t="s">
        <v>739</v>
      </c>
      <c r="B72" t="s">
        <v>1529</v>
      </c>
      <c r="C72" t="s">
        <v>1528</v>
      </c>
      <c r="D72" t="s">
        <v>220</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20">
        <v>2E-3</v>
      </c>
    </row>
    <row r="73" spans="1:33">
      <c r="A73" t="s">
        <v>736</v>
      </c>
      <c r="B73" t="s">
        <v>1527</v>
      </c>
      <c r="C73" t="s">
        <v>1526</v>
      </c>
      <c r="D73" t="s">
        <v>220</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20">
        <v>1.7999999999999999E-2</v>
      </c>
    </row>
    <row r="74" spans="1:33">
      <c r="A74" t="s">
        <v>733</v>
      </c>
      <c r="B74" t="s">
        <v>1525</v>
      </c>
      <c r="C74" t="s">
        <v>1524</v>
      </c>
      <c r="D74" t="s">
        <v>220</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20">
        <v>1.4999999999999999E-2</v>
      </c>
    </row>
    <row r="75" spans="1:33">
      <c r="A75" t="s">
        <v>730</v>
      </c>
      <c r="B75" t="s">
        <v>1523</v>
      </c>
      <c r="C75" t="s">
        <v>1522</v>
      </c>
      <c r="D75" t="s">
        <v>220</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20">
        <v>1.7999999999999999E-2</v>
      </c>
    </row>
    <row r="76" spans="1:33">
      <c r="A76" t="s">
        <v>727</v>
      </c>
      <c r="B76" t="s">
        <v>1521</v>
      </c>
      <c r="C76" t="s">
        <v>1520</v>
      </c>
      <c r="D76" t="s">
        <v>220</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20">
        <v>-4.2000000000000003E-2</v>
      </c>
    </row>
    <row r="77" spans="1:33">
      <c r="A77" t="s">
        <v>216</v>
      </c>
      <c r="B77" t="s">
        <v>1519</v>
      </c>
      <c r="C77" t="s">
        <v>1518</v>
      </c>
      <c r="D77" t="s">
        <v>220</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20">
        <v>2.5999999999999999E-2</v>
      </c>
    </row>
    <row r="78" spans="1:33">
      <c r="A78" t="s">
        <v>722</v>
      </c>
      <c r="B78" t="s">
        <v>1517</v>
      </c>
      <c r="C78" t="s">
        <v>1516</v>
      </c>
      <c r="D78" t="s">
        <v>220</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20">
        <v>3.5000000000000003E-2</v>
      </c>
    </row>
    <row r="79" spans="1:33">
      <c r="A79" t="s">
        <v>719</v>
      </c>
      <c r="B79" t="s">
        <v>1515</v>
      </c>
      <c r="C79" t="s">
        <v>1514</v>
      </c>
      <c r="D79" t="s">
        <v>220</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20">
        <v>1.2999999999999999E-2</v>
      </c>
    </row>
    <row r="80" spans="1:33">
      <c r="A80" t="s">
        <v>716</v>
      </c>
      <c r="B80" t="s">
        <v>1513</v>
      </c>
      <c r="C80" t="s">
        <v>1512</v>
      </c>
      <c r="D80" t="s">
        <v>220</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20">
        <v>-0.02</v>
      </c>
    </row>
    <row r="81" spans="1:33">
      <c r="A81" t="s">
        <v>215</v>
      </c>
      <c r="B81" t="s">
        <v>1511</v>
      </c>
      <c r="C81" t="s">
        <v>1510</v>
      </c>
      <c r="D81" t="s">
        <v>220</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20">
        <v>3.6999999999999998E-2</v>
      </c>
    </row>
    <row r="82" spans="1:33">
      <c r="A82" t="s">
        <v>711</v>
      </c>
      <c r="B82" t="s">
        <v>1509</v>
      </c>
      <c r="C82" t="s">
        <v>1508</v>
      </c>
      <c r="D82" t="s">
        <v>220</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20">
        <v>8.9999999999999993E-3</v>
      </c>
    </row>
    <row r="83" spans="1:33">
      <c r="A83" t="s">
        <v>708</v>
      </c>
      <c r="B83" t="s">
        <v>1507</v>
      </c>
      <c r="C83" t="s">
        <v>1506</v>
      </c>
      <c r="D83" t="s">
        <v>220</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20">
        <v>3.5000000000000003E-2</v>
      </c>
    </row>
    <row r="84" spans="1:33">
      <c r="A84" t="s">
        <v>1505</v>
      </c>
      <c r="B84" t="s">
        <v>1504</v>
      </c>
      <c r="C84" t="s">
        <v>1500</v>
      </c>
      <c r="D84" t="s">
        <v>220</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20">
        <v>1.6E-2</v>
      </c>
    </row>
    <row r="85" spans="1:33">
      <c r="A85" t="s">
        <v>1503</v>
      </c>
      <c r="B85" t="s">
        <v>1502</v>
      </c>
      <c r="C85" t="s">
        <v>1500</v>
      </c>
      <c r="D85" t="s">
        <v>220</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20">
        <v>2.1999999999999999E-2</v>
      </c>
    </row>
    <row r="86" spans="1:33">
      <c r="A86" t="s">
        <v>13</v>
      </c>
      <c r="B86" t="s">
        <v>1501</v>
      </c>
      <c r="C86" t="s">
        <v>1500</v>
      </c>
      <c r="D86" t="s">
        <v>220</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20">
        <v>2.1000000000000001E-2</v>
      </c>
    </row>
    <row r="87" spans="1:33">
      <c r="A87" t="s">
        <v>680</v>
      </c>
    </row>
    <row r="88" spans="1:33">
      <c r="A88" t="s">
        <v>210</v>
      </c>
      <c r="B88" t="s">
        <v>1499</v>
      </c>
      <c r="C88" t="s">
        <v>1498</v>
      </c>
      <c r="D88" t="s">
        <v>220</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20">
        <v>1.7999999999999999E-2</v>
      </c>
    </row>
    <row r="89" spans="1:33">
      <c r="A89" t="s">
        <v>211</v>
      </c>
      <c r="B89" t="s">
        <v>1497</v>
      </c>
      <c r="C89" t="s">
        <v>1496</v>
      </c>
      <c r="D89" t="s">
        <v>220</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20">
        <v>1.7000000000000001E-2</v>
      </c>
    </row>
    <row r="90" spans="1:33">
      <c r="A90" t="s">
        <v>212</v>
      </c>
      <c r="B90" t="s">
        <v>1495</v>
      </c>
      <c r="C90" t="s">
        <v>1494</v>
      </c>
      <c r="D90" t="s">
        <v>220</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20">
        <v>1.9E-2</v>
      </c>
    </row>
    <row r="91" spans="1:33">
      <c r="A91" t="s">
        <v>213</v>
      </c>
      <c r="B91" t="s">
        <v>1493</v>
      </c>
      <c r="C91" t="s">
        <v>1492</v>
      </c>
      <c r="D91" t="s">
        <v>220</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20">
        <v>1.7000000000000001E-2</v>
      </c>
    </row>
    <row r="92" spans="1:33">
      <c r="A92" t="s">
        <v>214</v>
      </c>
      <c r="B92" t="s">
        <v>1491</v>
      </c>
      <c r="C92" t="s">
        <v>1490</v>
      </c>
      <c r="D92" t="s">
        <v>220</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20">
        <v>2.1000000000000001E-2</v>
      </c>
    </row>
    <row r="93" spans="1:33">
      <c r="A93" t="s">
        <v>211</v>
      </c>
      <c r="B93" t="s">
        <v>1489</v>
      </c>
      <c r="C93" t="s">
        <v>1488</v>
      </c>
      <c r="D93" t="s">
        <v>220</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20">
        <v>1.9E-2</v>
      </c>
    </row>
    <row r="94" spans="1:33">
      <c r="A94" t="s">
        <v>212</v>
      </c>
      <c r="B94" t="s">
        <v>1487</v>
      </c>
      <c r="C94" t="s">
        <v>1486</v>
      </c>
      <c r="D94" t="s">
        <v>220</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20">
        <v>2.3E-2</v>
      </c>
    </row>
    <row r="95" spans="1:33">
      <c r="A95" t="s">
        <v>213</v>
      </c>
      <c r="B95" t="s">
        <v>1485</v>
      </c>
      <c r="C95" t="s">
        <v>1484</v>
      </c>
      <c r="D95" t="s">
        <v>220</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20">
        <v>1.9E-2</v>
      </c>
    </row>
    <row r="96" spans="1:33">
      <c r="A96" t="s">
        <v>745</v>
      </c>
      <c r="B96" t="s">
        <v>1483</v>
      </c>
      <c r="C96" t="s">
        <v>1482</v>
      </c>
      <c r="D96" t="s">
        <v>220</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20">
        <v>3.2000000000000001E-2</v>
      </c>
    </row>
    <row r="97" spans="1:33">
      <c r="A97" t="s">
        <v>211</v>
      </c>
      <c r="B97" t="s">
        <v>1481</v>
      </c>
      <c r="C97" t="s">
        <v>1480</v>
      </c>
      <c r="D97" t="s">
        <v>220</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20">
        <v>3.2000000000000001E-2</v>
      </c>
    </row>
    <row r="98" spans="1:33">
      <c r="A98" t="s">
        <v>212</v>
      </c>
      <c r="B98" t="s">
        <v>1479</v>
      </c>
      <c r="C98" t="s">
        <v>1478</v>
      </c>
      <c r="D98" t="s">
        <v>220</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20">
        <v>0.03</v>
      </c>
    </row>
    <row r="99" spans="1:33">
      <c r="A99" t="s">
        <v>213</v>
      </c>
      <c r="B99" t="s">
        <v>1477</v>
      </c>
      <c r="C99" t="s">
        <v>1476</v>
      </c>
      <c r="D99" t="s">
        <v>220</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20">
        <v>3.3000000000000002E-2</v>
      </c>
    </row>
    <row r="100" spans="1:33">
      <c r="A100" t="s">
        <v>742</v>
      </c>
      <c r="B100" t="s">
        <v>1475</v>
      </c>
      <c r="C100" t="s">
        <v>1474</v>
      </c>
      <c r="D100" t="s">
        <v>220</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20">
        <v>1.7999999999999999E-2</v>
      </c>
    </row>
    <row r="101" spans="1:33">
      <c r="A101" t="s">
        <v>211</v>
      </c>
      <c r="B101" t="s">
        <v>1473</v>
      </c>
      <c r="C101" t="s">
        <v>1472</v>
      </c>
      <c r="D101" t="s">
        <v>220</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20">
        <v>0.02</v>
      </c>
    </row>
    <row r="102" spans="1:33">
      <c r="A102" t="s">
        <v>212</v>
      </c>
      <c r="B102" t="s">
        <v>1471</v>
      </c>
      <c r="C102" t="s">
        <v>1470</v>
      </c>
      <c r="D102" t="s">
        <v>220</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20">
        <v>1.6E-2</v>
      </c>
    </row>
    <row r="103" spans="1:33">
      <c r="A103" t="s">
        <v>213</v>
      </c>
      <c r="B103" t="s">
        <v>1469</v>
      </c>
      <c r="C103" t="s">
        <v>1468</v>
      </c>
      <c r="D103" t="s">
        <v>220</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20">
        <v>0.02</v>
      </c>
    </row>
    <row r="104" spans="1:33">
      <c r="A104" t="s">
        <v>739</v>
      </c>
      <c r="B104" t="s">
        <v>1467</v>
      </c>
      <c r="C104" t="s">
        <v>1466</v>
      </c>
      <c r="D104" t="s">
        <v>220</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20">
        <v>-1E-3</v>
      </c>
    </row>
    <row r="105" spans="1:33">
      <c r="A105" t="s">
        <v>211</v>
      </c>
      <c r="B105" t="s">
        <v>1465</v>
      </c>
      <c r="C105" t="s">
        <v>1464</v>
      </c>
      <c r="D105" t="s">
        <v>220</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20">
        <v>3.0000000000000001E-3</v>
      </c>
    </row>
    <row r="106" spans="1:33">
      <c r="A106" t="s">
        <v>212</v>
      </c>
      <c r="B106" t="s">
        <v>1463</v>
      </c>
      <c r="C106" t="s">
        <v>1462</v>
      </c>
      <c r="D106" t="s">
        <v>220</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20">
        <v>-4.0000000000000001E-3</v>
      </c>
    </row>
    <row r="107" spans="1:33">
      <c r="A107" t="s">
        <v>213</v>
      </c>
      <c r="B107" t="s">
        <v>1461</v>
      </c>
      <c r="C107" t="s">
        <v>1460</v>
      </c>
      <c r="D107" t="s">
        <v>220</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20">
        <v>4.0000000000000001E-3</v>
      </c>
    </row>
    <row r="108" spans="1:33">
      <c r="A108" t="s">
        <v>736</v>
      </c>
      <c r="B108" t="s">
        <v>1459</v>
      </c>
      <c r="C108" t="s">
        <v>1458</v>
      </c>
      <c r="D108" t="s">
        <v>220</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20">
        <v>2.1999999999999999E-2</v>
      </c>
    </row>
    <row r="109" spans="1:33">
      <c r="A109" t="s">
        <v>211</v>
      </c>
      <c r="B109" t="s">
        <v>1457</v>
      </c>
      <c r="C109" t="s">
        <v>1456</v>
      </c>
      <c r="D109" t="s">
        <v>220</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20">
        <v>2.1999999999999999E-2</v>
      </c>
    </row>
    <row r="110" spans="1:33">
      <c r="A110" t="s">
        <v>212</v>
      </c>
      <c r="B110" t="s">
        <v>1455</v>
      </c>
      <c r="C110" t="s">
        <v>1454</v>
      </c>
      <c r="D110" t="s">
        <v>220</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20">
        <v>2.1999999999999999E-2</v>
      </c>
    </row>
    <row r="111" spans="1:33">
      <c r="A111" t="s">
        <v>213</v>
      </c>
      <c r="B111" t="s">
        <v>1453</v>
      </c>
      <c r="C111" t="s">
        <v>1452</v>
      </c>
      <c r="D111" t="s">
        <v>220</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20">
        <v>2.1999999999999999E-2</v>
      </c>
    </row>
    <row r="112" spans="1:33">
      <c r="A112" t="s">
        <v>733</v>
      </c>
      <c r="B112" t="s">
        <v>1451</v>
      </c>
      <c r="C112" t="s">
        <v>1450</v>
      </c>
      <c r="D112" t="s">
        <v>220</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20">
        <v>2.7E-2</v>
      </c>
    </row>
    <row r="113" spans="1:33">
      <c r="A113" t="s">
        <v>211</v>
      </c>
      <c r="B113" t="s">
        <v>1449</v>
      </c>
      <c r="C113" t="s">
        <v>1448</v>
      </c>
      <c r="D113" t="s">
        <v>220</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20">
        <v>2.1999999999999999E-2</v>
      </c>
    </row>
    <row r="114" spans="1:33">
      <c r="A114" t="s">
        <v>212</v>
      </c>
      <c r="B114" t="s">
        <v>1447</v>
      </c>
      <c r="C114" t="s">
        <v>1446</v>
      </c>
      <c r="D114" t="s">
        <v>220</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20">
        <v>2.8000000000000001E-2</v>
      </c>
    </row>
    <row r="115" spans="1:33">
      <c r="A115" t="s">
        <v>213</v>
      </c>
      <c r="B115" t="s">
        <v>1445</v>
      </c>
      <c r="C115" t="s">
        <v>1444</v>
      </c>
      <c r="D115" t="s">
        <v>220</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20">
        <v>1.7999999999999999E-2</v>
      </c>
    </row>
    <row r="116" spans="1:33">
      <c r="A116" t="s">
        <v>730</v>
      </c>
      <c r="B116" t="s">
        <v>1443</v>
      </c>
      <c r="C116" t="s">
        <v>1442</v>
      </c>
      <c r="D116" t="s">
        <v>220</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20">
        <v>2.7E-2</v>
      </c>
    </row>
    <row r="117" spans="1:33">
      <c r="A117" t="s">
        <v>211</v>
      </c>
      <c r="B117" t="s">
        <v>1441</v>
      </c>
      <c r="C117" t="s">
        <v>1440</v>
      </c>
      <c r="D117" t="s">
        <v>220</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20">
        <v>2.3E-2</v>
      </c>
    </row>
    <row r="118" spans="1:33">
      <c r="A118" t="s">
        <v>212</v>
      </c>
      <c r="B118" t="s">
        <v>1439</v>
      </c>
      <c r="C118" t="s">
        <v>1438</v>
      </c>
      <c r="D118" t="s">
        <v>220</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20">
        <v>0.04</v>
      </c>
    </row>
    <row r="119" spans="1:33">
      <c r="A119" t="s">
        <v>213</v>
      </c>
      <c r="B119" t="s">
        <v>1437</v>
      </c>
      <c r="C119" t="s">
        <v>1436</v>
      </c>
      <c r="D119" t="s">
        <v>220</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20">
        <v>1.7000000000000001E-2</v>
      </c>
    </row>
    <row r="120" spans="1:33">
      <c r="A120" t="s">
        <v>727</v>
      </c>
      <c r="B120" t="s">
        <v>1435</v>
      </c>
      <c r="C120" t="s">
        <v>1434</v>
      </c>
      <c r="D120" t="s">
        <v>220</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20">
        <v>3.3000000000000002E-2</v>
      </c>
    </row>
    <row r="121" spans="1:33">
      <c r="A121" t="s">
        <v>211</v>
      </c>
      <c r="B121" t="s">
        <v>1433</v>
      </c>
      <c r="C121" t="s">
        <v>1432</v>
      </c>
      <c r="D121" t="s">
        <v>220</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20">
        <v>3.3000000000000002E-2</v>
      </c>
    </row>
    <row r="122" spans="1:33">
      <c r="A122" t="s">
        <v>212</v>
      </c>
      <c r="B122" t="s">
        <v>1431</v>
      </c>
      <c r="C122" t="s">
        <v>1430</v>
      </c>
      <c r="D122" t="s">
        <v>220</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20">
        <v>3.3000000000000002E-2</v>
      </c>
    </row>
    <row r="123" spans="1:33">
      <c r="A123" t="s">
        <v>213</v>
      </c>
      <c r="B123" t="s">
        <v>1429</v>
      </c>
      <c r="C123" t="s">
        <v>1428</v>
      </c>
      <c r="D123" t="s">
        <v>220</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20">
        <v>3.2000000000000001E-2</v>
      </c>
    </row>
    <row r="124" spans="1:33">
      <c r="A124" t="s">
        <v>216</v>
      </c>
      <c r="B124" t="s">
        <v>1427</v>
      </c>
      <c r="C124" t="s">
        <v>1426</v>
      </c>
      <c r="D124" t="s">
        <v>220</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20">
        <v>4.2000000000000003E-2</v>
      </c>
    </row>
    <row r="125" spans="1:33">
      <c r="A125" t="s">
        <v>211</v>
      </c>
      <c r="B125" t="s">
        <v>1425</v>
      </c>
      <c r="C125" t="s">
        <v>1424</v>
      </c>
      <c r="D125" t="s">
        <v>220</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20">
        <v>4.2999999999999997E-2</v>
      </c>
    </row>
    <row r="126" spans="1:33">
      <c r="A126" t="s">
        <v>212</v>
      </c>
      <c r="B126" t="s">
        <v>1423</v>
      </c>
      <c r="C126" t="s">
        <v>1422</v>
      </c>
      <c r="D126" t="s">
        <v>220</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20">
        <v>4.1000000000000002E-2</v>
      </c>
    </row>
    <row r="127" spans="1:33">
      <c r="A127" t="s">
        <v>213</v>
      </c>
      <c r="B127" t="s">
        <v>1421</v>
      </c>
      <c r="C127" t="s">
        <v>1420</v>
      </c>
      <c r="D127" t="s">
        <v>220</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20">
        <v>4.2999999999999997E-2</v>
      </c>
    </row>
    <row r="128" spans="1:33">
      <c r="A128" t="s">
        <v>722</v>
      </c>
      <c r="B128" t="s">
        <v>1419</v>
      </c>
      <c r="C128" t="s">
        <v>1418</v>
      </c>
      <c r="D128" t="s">
        <v>220</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20">
        <v>5.5E-2</v>
      </c>
    </row>
    <row r="129" spans="1:33">
      <c r="A129" t="s">
        <v>211</v>
      </c>
      <c r="B129" t="s">
        <v>1417</v>
      </c>
      <c r="C129" t="s">
        <v>1416</v>
      </c>
      <c r="D129" t="s">
        <v>220</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20">
        <v>5.6000000000000001E-2</v>
      </c>
    </row>
    <row r="130" spans="1:33">
      <c r="A130" t="s">
        <v>212</v>
      </c>
      <c r="B130" t="s">
        <v>1415</v>
      </c>
      <c r="C130" t="s">
        <v>1414</v>
      </c>
      <c r="D130" t="s">
        <v>220</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20">
        <v>0.05</v>
      </c>
    </row>
    <row r="131" spans="1:33">
      <c r="A131" t="s">
        <v>213</v>
      </c>
      <c r="B131" t="s">
        <v>1413</v>
      </c>
      <c r="C131" t="s">
        <v>1412</v>
      </c>
      <c r="D131" t="s">
        <v>220</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20">
        <v>0.06</v>
      </c>
    </row>
    <row r="132" spans="1:33">
      <c r="A132" t="s">
        <v>719</v>
      </c>
      <c r="B132" t="s">
        <v>1411</v>
      </c>
      <c r="C132" t="s">
        <v>1410</v>
      </c>
      <c r="D132" t="s">
        <v>220</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20">
        <v>3.9E-2</v>
      </c>
    </row>
    <row r="133" spans="1:33">
      <c r="A133" t="s">
        <v>211</v>
      </c>
      <c r="B133" t="s">
        <v>1409</v>
      </c>
      <c r="C133" t="s">
        <v>1408</v>
      </c>
      <c r="D133" t="s">
        <v>220</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20">
        <v>0.04</v>
      </c>
    </row>
    <row r="134" spans="1:33">
      <c r="A134" t="s">
        <v>212</v>
      </c>
      <c r="B134" t="s">
        <v>1407</v>
      </c>
      <c r="C134" t="s">
        <v>1406</v>
      </c>
      <c r="D134" t="s">
        <v>220</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20">
        <v>3.7999999999999999E-2</v>
      </c>
    </row>
    <row r="135" spans="1:33">
      <c r="A135" t="s">
        <v>213</v>
      </c>
      <c r="B135" t="s">
        <v>1405</v>
      </c>
      <c r="C135" t="s">
        <v>1404</v>
      </c>
      <c r="D135" t="s">
        <v>220</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20">
        <v>4.1000000000000002E-2</v>
      </c>
    </row>
    <row r="136" spans="1:33">
      <c r="A136" t="s">
        <v>716</v>
      </c>
      <c r="B136" t="s">
        <v>1403</v>
      </c>
      <c r="C136" t="s">
        <v>1402</v>
      </c>
      <c r="D136" t="s">
        <v>220</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20">
        <v>3.9E-2</v>
      </c>
    </row>
    <row r="137" spans="1:33">
      <c r="A137" t="s">
        <v>211</v>
      </c>
      <c r="B137" t="s">
        <v>1401</v>
      </c>
      <c r="C137" t="s">
        <v>1400</v>
      </c>
      <c r="D137" t="s">
        <v>220</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20">
        <v>3.7999999999999999E-2</v>
      </c>
    </row>
    <row r="138" spans="1:33">
      <c r="A138" t="s">
        <v>212</v>
      </c>
      <c r="B138" t="s">
        <v>1399</v>
      </c>
      <c r="C138" t="s">
        <v>1398</v>
      </c>
      <c r="D138" t="s">
        <v>220</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20">
        <v>3.9E-2</v>
      </c>
    </row>
    <row r="139" spans="1:33">
      <c r="A139" t="s">
        <v>213</v>
      </c>
      <c r="B139" t="s">
        <v>1397</v>
      </c>
      <c r="C139" t="s">
        <v>1396</v>
      </c>
      <c r="D139" t="s">
        <v>220</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20">
        <v>3.5000000000000003E-2</v>
      </c>
    </row>
    <row r="140" spans="1:33">
      <c r="A140" t="s">
        <v>215</v>
      </c>
      <c r="B140" t="s">
        <v>1395</v>
      </c>
      <c r="C140" t="s">
        <v>1394</v>
      </c>
      <c r="D140" t="s">
        <v>220</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20">
        <v>0.04</v>
      </c>
    </row>
    <row r="141" spans="1:33">
      <c r="A141" t="s">
        <v>211</v>
      </c>
      <c r="B141" t="s">
        <v>1393</v>
      </c>
      <c r="C141" t="s">
        <v>1392</v>
      </c>
      <c r="D141" t="s">
        <v>220</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20">
        <v>4.1000000000000002E-2</v>
      </c>
    </row>
    <row r="142" spans="1:33">
      <c r="A142" t="s">
        <v>212</v>
      </c>
      <c r="B142" t="s">
        <v>1391</v>
      </c>
      <c r="C142" t="s">
        <v>1390</v>
      </c>
      <c r="D142" t="s">
        <v>220</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20">
        <v>3.9E-2</v>
      </c>
    </row>
    <row r="143" spans="1:33">
      <c r="A143" t="s">
        <v>213</v>
      </c>
      <c r="B143" t="s">
        <v>1389</v>
      </c>
      <c r="C143" t="s">
        <v>1388</v>
      </c>
      <c r="D143" t="s">
        <v>220</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20">
        <v>4.2000000000000003E-2</v>
      </c>
    </row>
    <row r="144" spans="1:33">
      <c r="A144" t="s">
        <v>711</v>
      </c>
      <c r="B144" t="s">
        <v>1387</v>
      </c>
      <c r="C144" t="s">
        <v>1386</v>
      </c>
      <c r="D144" t="s">
        <v>220</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20">
        <v>1.4999999999999999E-2</v>
      </c>
    </row>
    <row r="145" spans="1:33">
      <c r="A145" t="s">
        <v>211</v>
      </c>
      <c r="B145" t="s">
        <v>1385</v>
      </c>
      <c r="C145" t="s">
        <v>1384</v>
      </c>
      <c r="D145" t="s">
        <v>220</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20">
        <v>1.4999999999999999E-2</v>
      </c>
    </row>
    <row r="146" spans="1:33">
      <c r="A146" t="s">
        <v>212</v>
      </c>
      <c r="B146" t="s">
        <v>1383</v>
      </c>
      <c r="C146" t="s">
        <v>1382</v>
      </c>
      <c r="D146" t="s">
        <v>220</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20">
        <v>1.4E-2</v>
      </c>
    </row>
    <row r="147" spans="1:33">
      <c r="A147" t="s">
        <v>213</v>
      </c>
      <c r="B147" t="s">
        <v>1381</v>
      </c>
      <c r="C147" t="s">
        <v>1380</v>
      </c>
      <c r="D147" t="s">
        <v>220</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20">
        <v>1.4999999999999999E-2</v>
      </c>
    </row>
    <row r="148" spans="1:33">
      <c r="A148" t="s">
        <v>708</v>
      </c>
      <c r="B148" t="s">
        <v>1379</v>
      </c>
      <c r="C148" t="s">
        <v>1378</v>
      </c>
      <c r="D148" t="s">
        <v>220</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20">
        <v>2.5999999999999999E-2</v>
      </c>
    </row>
    <row r="149" spans="1:33">
      <c r="A149" t="s">
        <v>211</v>
      </c>
      <c r="B149" t="s">
        <v>1377</v>
      </c>
      <c r="C149" t="s">
        <v>1376</v>
      </c>
      <c r="D149" t="s">
        <v>220</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20">
        <v>2.5000000000000001E-2</v>
      </c>
    </row>
    <row r="150" spans="1:33">
      <c r="A150" t="s">
        <v>212</v>
      </c>
      <c r="B150" t="s">
        <v>1375</v>
      </c>
      <c r="C150" t="s">
        <v>1374</v>
      </c>
      <c r="D150" t="s">
        <v>220</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20">
        <v>2.7E-2</v>
      </c>
    </row>
    <row r="151" spans="1:33">
      <c r="A151" t="s">
        <v>213</v>
      </c>
      <c r="B151" t="s">
        <v>1373</v>
      </c>
      <c r="C151" t="s">
        <v>1372</v>
      </c>
      <c r="D151" t="s">
        <v>220</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20">
        <v>2.4E-2</v>
      </c>
    </row>
    <row r="152" spans="1:33">
      <c r="A152" t="s">
        <v>1235</v>
      </c>
      <c r="B152" t="s">
        <v>1371</v>
      </c>
      <c r="C152" t="s">
        <v>1370</v>
      </c>
      <c r="D152" t="s">
        <v>220</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20">
        <v>2.9000000000000001E-2</v>
      </c>
    </row>
    <row r="153" spans="1:33">
      <c r="A153" t="s">
        <v>1232</v>
      </c>
      <c r="B153" t="s">
        <v>1369</v>
      </c>
      <c r="C153" t="s">
        <v>1368</v>
      </c>
      <c r="D153" t="s">
        <v>220</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20">
        <v>2.9000000000000001E-2</v>
      </c>
    </row>
    <row r="154" spans="1:33">
      <c r="A154" t="s">
        <v>1229</v>
      </c>
      <c r="B154" t="s">
        <v>1367</v>
      </c>
      <c r="C154" t="s">
        <v>1366</v>
      </c>
      <c r="D154" t="s">
        <v>220</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20">
        <v>2.8000000000000001E-2</v>
      </c>
    </row>
    <row r="155" spans="1:33">
      <c r="A155" t="s">
        <v>13</v>
      </c>
      <c r="B155" t="s">
        <v>1365</v>
      </c>
      <c r="C155" t="s">
        <v>1364</v>
      </c>
      <c r="D155" t="s">
        <v>220</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20">
        <v>2.9000000000000001E-2</v>
      </c>
    </row>
    <row r="156" spans="1:33">
      <c r="A156" t="s">
        <v>681</v>
      </c>
    </row>
    <row r="157" spans="1:33">
      <c r="A157" t="s">
        <v>210</v>
      </c>
      <c r="B157" t="s">
        <v>1363</v>
      </c>
      <c r="C157" t="s">
        <v>1362</v>
      </c>
      <c r="D157" t="s">
        <v>176</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20">
        <v>5.0000000000000001E-3</v>
      </c>
    </row>
    <row r="158" spans="1:33">
      <c r="A158" t="s">
        <v>211</v>
      </c>
      <c r="B158" t="s">
        <v>1361</v>
      </c>
      <c r="C158" t="s">
        <v>1360</v>
      </c>
      <c r="D158" t="s">
        <v>176</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20">
        <v>7.0000000000000001E-3</v>
      </c>
    </row>
    <row r="159" spans="1:33">
      <c r="A159" t="s">
        <v>212</v>
      </c>
      <c r="B159" t="s">
        <v>1359</v>
      </c>
      <c r="C159" t="s">
        <v>1358</v>
      </c>
      <c r="D159" t="s">
        <v>176</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20">
        <v>-0.01</v>
      </c>
    </row>
    <row r="160" spans="1:33">
      <c r="A160" t="s">
        <v>213</v>
      </c>
      <c r="B160" t="s">
        <v>1357</v>
      </c>
      <c r="C160" t="s">
        <v>1356</v>
      </c>
      <c r="D160" t="s">
        <v>176</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20">
        <v>1.0999999999999999E-2</v>
      </c>
    </row>
    <row r="161" spans="1:33">
      <c r="A161" t="s">
        <v>214</v>
      </c>
      <c r="B161" t="s">
        <v>1355</v>
      </c>
      <c r="C161" t="s">
        <v>1354</v>
      </c>
      <c r="D161" t="s">
        <v>176</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20">
        <v>6.0000000000000001E-3</v>
      </c>
    </row>
    <row r="162" spans="1:33">
      <c r="A162" t="s">
        <v>211</v>
      </c>
      <c r="B162" t="s">
        <v>1353</v>
      </c>
      <c r="C162" t="s">
        <v>1352</v>
      </c>
      <c r="D162" t="s">
        <v>176</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20">
        <v>2.7E-2</v>
      </c>
    </row>
    <row r="163" spans="1:33">
      <c r="A163" t="s">
        <v>212</v>
      </c>
      <c r="B163" t="s">
        <v>1351</v>
      </c>
      <c r="C163" t="s">
        <v>1350</v>
      </c>
      <c r="D163" t="s">
        <v>176</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20">
        <v>1.2E-2</v>
      </c>
    </row>
    <row r="164" spans="1:33">
      <c r="A164" t="s">
        <v>213</v>
      </c>
      <c r="B164" t="s">
        <v>1349</v>
      </c>
      <c r="C164" t="s">
        <v>1348</v>
      </c>
      <c r="D164" t="s">
        <v>176</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20">
        <v>-8.9999999999999993E-3</v>
      </c>
    </row>
    <row r="165" spans="1:33">
      <c r="A165" t="s">
        <v>745</v>
      </c>
      <c r="B165" t="s">
        <v>1347</v>
      </c>
      <c r="C165" t="s">
        <v>1346</v>
      </c>
      <c r="D165" t="s">
        <v>176</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20">
        <v>3.6999999999999998E-2</v>
      </c>
    </row>
    <row r="166" spans="1:33">
      <c r="A166" t="s">
        <v>211</v>
      </c>
      <c r="B166" t="s">
        <v>1345</v>
      </c>
      <c r="C166" t="s">
        <v>1344</v>
      </c>
      <c r="D166" t="s">
        <v>176</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20">
        <v>0.04</v>
      </c>
    </row>
    <row r="167" spans="1:33">
      <c r="A167" t="s">
        <v>212</v>
      </c>
      <c r="B167" t="s">
        <v>1343</v>
      </c>
      <c r="C167" t="s">
        <v>1342</v>
      </c>
      <c r="D167" t="s">
        <v>176</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20">
        <v>2.8000000000000001E-2</v>
      </c>
    </row>
    <row r="168" spans="1:33">
      <c r="A168" t="s">
        <v>213</v>
      </c>
      <c r="B168" t="s">
        <v>1341</v>
      </c>
      <c r="C168" t="s">
        <v>1340</v>
      </c>
      <c r="D168" t="s">
        <v>176</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20">
        <v>3.1E-2</v>
      </c>
    </row>
    <row r="169" spans="1:33">
      <c r="A169" t="s">
        <v>742</v>
      </c>
      <c r="B169" t="s">
        <v>1339</v>
      </c>
      <c r="C169" t="s">
        <v>1338</v>
      </c>
      <c r="D169" t="s">
        <v>176</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20">
        <v>4.8000000000000001E-2</v>
      </c>
    </row>
    <row r="170" spans="1:33">
      <c r="A170" t="s">
        <v>211</v>
      </c>
      <c r="B170" t="s">
        <v>1337</v>
      </c>
      <c r="C170" t="s">
        <v>1336</v>
      </c>
      <c r="D170" t="s">
        <v>176</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20">
        <v>6.4000000000000001E-2</v>
      </c>
    </row>
    <row r="171" spans="1:33">
      <c r="A171" t="s">
        <v>212</v>
      </c>
      <c r="B171" t="s">
        <v>1335</v>
      </c>
      <c r="C171" t="s">
        <v>1334</v>
      </c>
      <c r="D171" t="s">
        <v>176</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20">
        <v>6.4000000000000001E-2</v>
      </c>
    </row>
    <row r="172" spans="1:33">
      <c r="A172" t="s">
        <v>213</v>
      </c>
      <c r="B172" t="s">
        <v>1333</v>
      </c>
      <c r="C172" t="s">
        <v>1332</v>
      </c>
      <c r="D172" t="s">
        <v>176</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20">
        <v>1.6E-2</v>
      </c>
    </row>
    <row r="173" spans="1:33">
      <c r="A173" t="s">
        <v>739</v>
      </c>
      <c r="B173" t="s">
        <v>1331</v>
      </c>
      <c r="C173" t="s">
        <v>1330</v>
      </c>
      <c r="D173" t="s">
        <v>176</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20">
        <v>-0.01</v>
      </c>
    </row>
    <row r="174" spans="1:33">
      <c r="A174" t="s">
        <v>211</v>
      </c>
      <c r="B174" t="s">
        <v>1329</v>
      </c>
      <c r="C174" t="s">
        <v>1328</v>
      </c>
      <c r="D174" t="s">
        <v>176</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20">
        <v>0.08</v>
      </c>
    </row>
    <row r="175" spans="1:33">
      <c r="A175" t="s">
        <v>212</v>
      </c>
      <c r="B175" t="s">
        <v>1327</v>
      </c>
      <c r="C175" t="s">
        <v>1326</v>
      </c>
      <c r="D175" t="s">
        <v>176</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20">
        <v>-3.6999999999999998E-2</v>
      </c>
    </row>
    <row r="176" spans="1:33">
      <c r="A176" t="s">
        <v>213</v>
      </c>
      <c r="B176" t="s">
        <v>1325</v>
      </c>
      <c r="C176" t="s">
        <v>1324</v>
      </c>
      <c r="D176" t="s">
        <v>176</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15</v>
      </c>
    </row>
    <row r="177" spans="1:33">
      <c r="A177" t="s">
        <v>736</v>
      </c>
      <c r="B177" t="s">
        <v>1323</v>
      </c>
      <c r="C177" t="s">
        <v>1322</v>
      </c>
      <c r="D177" t="s">
        <v>176</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20">
        <v>2.4E-2</v>
      </c>
    </row>
    <row r="178" spans="1:33">
      <c r="A178" t="s">
        <v>211</v>
      </c>
      <c r="B178" t="s">
        <v>1321</v>
      </c>
      <c r="C178" t="s">
        <v>1320</v>
      </c>
      <c r="D178" t="s">
        <v>176</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20">
        <v>1.7999999999999999E-2</v>
      </c>
    </row>
    <row r="179" spans="1:33">
      <c r="A179" t="s">
        <v>212</v>
      </c>
      <c r="B179" t="s">
        <v>1319</v>
      </c>
      <c r="C179" t="s">
        <v>1318</v>
      </c>
      <c r="D179" t="s">
        <v>176</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20">
        <v>2.4E-2</v>
      </c>
    </row>
    <row r="180" spans="1:33">
      <c r="A180" t="s">
        <v>213</v>
      </c>
      <c r="B180" t="s">
        <v>1317</v>
      </c>
      <c r="C180" t="s">
        <v>1316</v>
      </c>
      <c r="D180" t="s">
        <v>176</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20">
        <v>3.4000000000000002E-2</v>
      </c>
    </row>
    <row r="181" spans="1:33">
      <c r="A181" t="s">
        <v>733</v>
      </c>
      <c r="B181" t="s">
        <v>1315</v>
      </c>
      <c r="C181" t="s">
        <v>1314</v>
      </c>
      <c r="D181" t="s">
        <v>176</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20">
        <v>-8.9999999999999993E-3</v>
      </c>
    </row>
    <row r="182" spans="1:33">
      <c r="A182" t="s">
        <v>211</v>
      </c>
      <c r="B182" t="s">
        <v>1313</v>
      </c>
      <c r="C182" t="s">
        <v>1312</v>
      </c>
      <c r="D182" t="s">
        <v>176</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20">
        <v>3.4000000000000002E-2</v>
      </c>
    </row>
    <row r="183" spans="1:33">
      <c r="A183" t="s">
        <v>212</v>
      </c>
      <c r="B183" t="s">
        <v>1311</v>
      </c>
      <c r="C183" t="s">
        <v>1310</v>
      </c>
      <c r="D183" t="s">
        <v>176</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20">
        <v>-2.5000000000000001E-2</v>
      </c>
    </row>
    <row r="184" spans="1:33">
      <c r="A184" t="s">
        <v>213</v>
      </c>
      <c r="B184" t="s">
        <v>1309</v>
      </c>
      <c r="C184" t="s">
        <v>1308</v>
      </c>
      <c r="D184" t="s">
        <v>176</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20">
        <v>7.0000000000000001E-3</v>
      </c>
    </row>
    <row r="185" spans="1:33">
      <c r="A185" t="s">
        <v>730</v>
      </c>
      <c r="B185" t="s">
        <v>1307</v>
      </c>
      <c r="C185" t="s">
        <v>1306</v>
      </c>
      <c r="D185" t="s">
        <v>176</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20">
        <v>-0.01</v>
      </c>
    </row>
    <row r="186" spans="1:33">
      <c r="A186" t="s">
        <v>211</v>
      </c>
      <c r="B186" t="s">
        <v>1305</v>
      </c>
      <c r="C186" t="s">
        <v>1304</v>
      </c>
      <c r="D186" t="s">
        <v>176</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20">
        <v>-1.2E-2</v>
      </c>
    </row>
    <row r="187" spans="1:33">
      <c r="A187" t="s">
        <v>212</v>
      </c>
      <c r="B187" t="s">
        <v>1303</v>
      </c>
      <c r="C187" t="s">
        <v>1302</v>
      </c>
      <c r="D187" t="s">
        <v>176</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20">
        <v>-2E-3</v>
      </c>
    </row>
    <row r="188" spans="1:33">
      <c r="A188" t="s">
        <v>213</v>
      </c>
      <c r="B188" t="s">
        <v>1301</v>
      </c>
      <c r="C188" t="s">
        <v>1300</v>
      </c>
      <c r="D188" t="s">
        <v>176</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20">
        <v>-6.0000000000000001E-3</v>
      </c>
    </row>
    <row r="189" spans="1:33">
      <c r="A189" t="s">
        <v>727</v>
      </c>
      <c r="B189" t="s">
        <v>1299</v>
      </c>
      <c r="C189" t="s">
        <v>1298</v>
      </c>
      <c r="D189" t="s">
        <v>176</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20">
        <v>2.1999999999999999E-2</v>
      </c>
    </row>
    <row r="190" spans="1:33">
      <c r="A190" t="s">
        <v>211</v>
      </c>
      <c r="B190" t="s">
        <v>1297</v>
      </c>
      <c r="C190" t="s">
        <v>1296</v>
      </c>
      <c r="D190" t="s">
        <v>176</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20">
        <v>2.1000000000000001E-2</v>
      </c>
    </row>
    <row r="191" spans="1:33">
      <c r="A191" t="s">
        <v>212</v>
      </c>
      <c r="B191" t="s">
        <v>1295</v>
      </c>
      <c r="C191" t="s">
        <v>1294</v>
      </c>
      <c r="D191" t="s">
        <v>176</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20">
        <v>2.5999999999999999E-2</v>
      </c>
    </row>
    <row r="192" spans="1:33">
      <c r="A192" t="s">
        <v>213</v>
      </c>
      <c r="B192" t="s">
        <v>1293</v>
      </c>
      <c r="C192" t="s">
        <v>1292</v>
      </c>
      <c r="D192" t="s">
        <v>176</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20">
        <v>2.1999999999999999E-2</v>
      </c>
    </row>
    <row r="193" spans="1:33">
      <c r="A193" t="s">
        <v>216</v>
      </c>
      <c r="B193" t="s">
        <v>1291</v>
      </c>
      <c r="C193" t="s">
        <v>1290</v>
      </c>
      <c r="D193" t="s">
        <v>176</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20">
        <v>1.9E-2</v>
      </c>
    </row>
    <row r="194" spans="1:33">
      <c r="A194" t="s">
        <v>211</v>
      </c>
      <c r="B194" t="s">
        <v>1289</v>
      </c>
      <c r="C194" t="s">
        <v>1288</v>
      </c>
      <c r="D194" t="s">
        <v>176</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20">
        <v>3.1E-2</v>
      </c>
    </row>
    <row r="195" spans="1:33">
      <c r="A195" t="s">
        <v>212</v>
      </c>
      <c r="B195" t="s">
        <v>1287</v>
      </c>
      <c r="C195" t="s">
        <v>1286</v>
      </c>
      <c r="D195" t="s">
        <v>176</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20">
        <v>-1.2E-2</v>
      </c>
    </row>
    <row r="196" spans="1:33">
      <c r="A196" t="s">
        <v>213</v>
      </c>
      <c r="B196" t="s">
        <v>1285</v>
      </c>
      <c r="C196" t="s">
        <v>1284</v>
      </c>
      <c r="D196" t="s">
        <v>176</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20">
        <v>0.03</v>
      </c>
    </row>
    <row r="197" spans="1:33">
      <c r="A197" t="s">
        <v>722</v>
      </c>
      <c r="B197" t="s">
        <v>1283</v>
      </c>
      <c r="C197" t="s">
        <v>1282</v>
      </c>
      <c r="D197" t="s">
        <v>176</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20">
        <v>4.5999999999999999E-2</v>
      </c>
    </row>
    <row r="198" spans="1:33">
      <c r="A198" t="s">
        <v>211</v>
      </c>
      <c r="B198" t="s">
        <v>1281</v>
      </c>
      <c r="C198" t="s">
        <v>1280</v>
      </c>
      <c r="D198" t="s">
        <v>176</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20">
        <v>4.7E-2</v>
      </c>
    </row>
    <row r="199" spans="1:33">
      <c r="A199" t="s">
        <v>212</v>
      </c>
      <c r="B199" t="s">
        <v>1279</v>
      </c>
      <c r="C199" t="s">
        <v>1278</v>
      </c>
      <c r="D199" t="s">
        <v>176</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20">
        <v>4.2000000000000003E-2</v>
      </c>
    </row>
    <row r="200" spans="1:33">
      <c r="A200" t="s">
        <v>213</v>
      </c>
      <c r="B200" t="s">
        <v>1277</v>
      </c>
      <c r="C200" t="s">
        <v>1276</v>
      </c>
      <c r="D200" t="s">
        <v>176</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20">
        <v>4.1000000000000002E-2</v>
      </c>
    </row>
    <row r="201" spans="1:33">
      <c r="A201" t="s">
        <v>719</v>
      </c>
      <c r="B201" t="s">
        <v>1275</v>
      </c>
      <c r="C201" t="s">
        <v>1274</v>
      </c>
      <c r="D201" t="s">
        <v>176</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20">
        <v>1.9E-2</v>
      </c>
    </row>
    <row r="202" spans="1:33">
      <c r="A202" t="s">
        <v>211</v>
      </c>
      <c r="B202" t="s">
        <v>1273</v>
      </c>
      <c r="C202" t="s">
        <v>1272</v>
      </c>
      <c r="D202" t="s">
        <v>176</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20">
        <v>5.1999999999999998E-2</v>
      </c>
    </row>
    <row r="203" spans="1:33">
      <c r="A203" t="s">
        <v>212</v>
      </c>
      <c r="B203" t="s">
        <v>1271</v>
      </c>
      <c r="C203" t="s">
        <v>1270</v>
      </c>
      <c r="D203" t="s">
        <v>176</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20">
        <v>-7.0000000000000001E-3</v>
      </c>
    </row>
    <row r="204" spans="1:33">
      <c r="A204" t="s">
        <v>213</v>
      </c>
      <c r="B204" t="s">
        <v>1269</v>
      </c>
      <c r="C204" t="s">
        <v>1268</v>
      </c>
      <c r="D204" t="s">
        <v>176</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20">
        <v>0.01</v>
      </c>
    </row>
    <row r="205" spans="1:33">
      <c r="A205" t="s">
        <v>716</v>
      </c>
      <c r="B205" t="s">
        <v>1267</v>
      </c>
      <c r="C205" t="s">
        <v>1266</v>
      </c>
      <c r="D205" t="s">
        <v>176</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20">
        <v>3.5999999999999997E-2</v>
      </c>
    </row>
    <row r="206" spans="1:33">
      <c r="A206" t="s">
        <v>211</v>
      </c>
      <c r="B206" t="s">
        <v>1265</v>
      </c>
      <c r="C206" t="s">
        <v>1264</v>
      </c>
      <c r="D206" t="s">
        <v>176</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20">
        <v>3.5000000000000003E-2</v>
      </c>
    </row>
    <row r="207" spans="1:33">
      <c r="A207" t="s">
        <v>212</v>
      </c>
      <c r="B207" t="s">
        <v>1263</v>
      </c>
      <c r="C207" t="s">
        <v>1262</v>
      </c>
      <c r="D207" t="s">
        <v>176</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20">
        <v>3.5999999999999997E-2</v>
      </c>
    </row>
    <row r="208" spans="1:33">
      <c r="A208" t="s">
        <v>213</v>
      </c>
      <c r="B208" t="s">
        <v>1261</v>
      </c>
      <c r="C208" t="s">
        <v>1260</v>
      </c>
      <c r="D208" t="s">
        <v>176</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20">
        <v>3.2000000000000001E-2</v>
      </c>
    </row>
    <row r="209" spans="1:33">
      <c r="A209" t="s">
        <v>215</v>
      </c>
      <c r="B209" t="s">
        <v>1259</v>
      </c>
      <c r="C209" t="s">
        <v>1258</v>
      </c>
      <c r="D209" t="s">
        <v>176</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20">
        <v>4.7E-2</v>
      </c>
    </row>
    <row r="210" spans="1:33">
      <c r="A210" t="s">
        <v>211</v>
      </c>
      <c r="B210" t="s">
        <v>1257</v>
      </c>
      <c r="C210" t="s">
        <v>1256</v>
      </c>
      <c r="D210" t="s">
        <v>176</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20">
        <v>3.6999999999999998E-2</v>
      </c>
    </row>
    <row r="211" spans="1:33">
      <c r="A211" t="s">
        <v>212</v>
      </c>
      <c r="B211" t="s">
        <v>1255</v>
      </c>
      <c r="C211" t="s">
        <v>1254</v>
      </c>
      <c r="D211" t="s">
        <v>176</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20">
        <v>4.9000000000000002E-2</v>
      </c>
    </row>
    <row r="212" spans="1:33">
      <c r="A212" t="s">
        <v>213</v>
      </c>
      <c r="B212" t="s">
        <v>1253</v>
      </c>
      <c r="C212" t="s">
        <v>1252</v>
      </c>
      <c r="D212" t="s">
        <v>176</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20">
        <v>5.8999999999999997E-2</v>
      </c>
    </row>
    <row r="213" spans="1:33">
      <c r="A213" t="s">
        <v>711</v>
      </c>
      <c r="B213" t="s">
        <v>1251</v>
      </c>
      <c r="C213" t="s">
        <v>1250</v>
      </c>
      <c r="D213" t="s">
        <v>176</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20">
        <v>7.0000000000000001E-3</v>
      </c>
    </row>
    <row r="214" spans="1:33">
      <c r="A214" t="s">
        <v>211</v>
      </c>
      <c r="B214" t="s">
        <v>1249</v>
      </c>
      <c r="C214" t="s">
        <v>1248</v>
      </c>
      <c r="D214" t="s">
        <v>176</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20">
        <v>6.0000000000000001E-3</v>
      </c>
    </row>
    <row r="215" spans="1:33">
      <c r="A215" t="s">
        <v>212</v>
      </c>
      <c r="B215" t="s">
        <v>1247</v>
      </c>
      <c r="C215" t="s">
        <v>1246</v>
      </c>
      <c r="D215" t="s">
        <v>176</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20">
        <v>2.8000000000000001E-2</v>
      </c>
    </row>
    <row r="216" spans="1:33">
      <c r="A216" t="s">
        <v>213</v>
      </c>
      <c r="B216" t="s">
        <v>1245</v>
      </c>
      <c r="C216" t="s">
        <v>1244</v>
      </c>
      <c r="D216" t="s">
        <v>176</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20">
        <v>4.0000000000000001E-3</v>
      </c>
    </row>
    <row r="217" spans="1:33">
      <c r="A217" t="s">
        <v>708</v>
      </c>
      <c r="B217" t="s">
        <v>1243</v>
      </c>
      <c r="C217" t="s">
        <v>1242</v>
      </c>
      <c r="D217" t="s">
        <v>176</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20">
        <v>4.3999999999999997E-2</v>
      </c>
    </row>
    <row r="218" spans="1:33">
      <c r="A218" t="s">
        <v>211</v>
      </c>
      <c r="B218" t="s">
        <v>1241</v>
      </c>
      <c r="C218" t="s">
        <v>1240</v>
      </c>
      <c r="D218" t="s">
        <v>176</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20">
        <v>4.5999999999999999E-2</v>
      </c>
    </row>
    <row r="219" spans="1:33">
      <c r="A219" t="s">
        <v>212</v>
      </c>
      <c r="B219" t="s">
        <v>1239</v>
      </c>
      <c r="C219" t="s">
        <v>1238</v>
      </c>
      <c r="D219" t="s">
        <v>176</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20">
        <v>7.8E-2</v>
      </c>
    </row>
    <row r="220" spans="1:33">
      <c r="A220" t="s">
        <v>213</v>
      </c>
      <c r="B220" t="s">
        <v>1237</v>
      </c>
      <c r="C220" t="s">
        <v>1236</v>
      </c>
      <c r="D220" t="s">
        <v>176</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20">
        <v>2.5999999999999999E-2</v>
      </c>
    </row>
    <row r="221" spans="1:33">
      <c r="A221" t="s">
        <v>1235</v>
      </c>
      <c r="B221" t="s">
        <v>1234</v>
      </c>
      <c r="C221" t="s">
        <v>1233</v>
      </c>
      <c r="D221" t="s">
        <v>176</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20">
        <v>0.03</v>
      </c>
    </row>
    <row r="222" spans="1:33">
      <c r="A222" t="s">
        <v>1232</v>
      </c>
      <c r="B222" t="s">
        <v>1231</v>
      </c>
      <c r="C222" t="s">
        <v>1230</v>
      </c>
      <c r="D222" t="s">
        <v>176</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20">
        <v>4.0000000000000001E-3</v>
      </c>
    </row>
    <row r="223" spans="1:33">
      <c r="A223" t="s">
        <v>1229</v>
      </c>
      <c r="B223" t="s">
        <v>1228</v>
      </c>
      <c r="C223" t="s">
        <v>1227</v>
      </c>
      <c r="D223" t="s">
        <v>176</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20">
        <v>1.7999999999999999E-2</v>
      </c>
    </row>
    <row r="224" spans="1:33">
      <c r="A224" t="s">
        <v>13</v>
      </c>
      <c r="B224" t="s">
        <v>1226</v>
      </c>
      <c r="C224" t="s">
        <v>1225</v>
      </c>
      <c r="D224" t="s">
        <v>176</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20">
        <v>2.1000000000000001E-2</v>
      </c>
    </row>
    <row r="225" spans="1:33">
      <c r="A225" t="s">
        <v>1224</v>
      </c>
    </row>
    <row r="226" spans="1:33">
      <c r="A226" t="s">
        <v>1223</v>
      </c>
    </row>
    <row r="227" spans="1:33">
      <c r="A227" t="s">
        <v>211</v>
      </c>
      <c r="B227" t="s">
        <v>1222</v>
      </c>
      <c r="C227" t="s">
        <v>1221</v>
      </c>
      <c r="D227" t="s">
        <v>1205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20">
        <v>8.0000000000000002E-3</v>
      </c>
    </row>
    <row r="228" spans="1:33">
      <c r="A228" t="s">
        <v>212</v>
      </c>
      <c r="B228" t="s">
        <v>1220</v>
      </c>
      <c r="C228" t="s">
        <v>1219</v>
      </c>
      <c r="D228" t="s">
        <v>1205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20">
        <v>8.0000000000000002E-3</v>
      </c>
    </row>
    <row r="229" spans="1:33">
      <c r="A229" t="s">
        <v>213</v>
      </c>
      <c r="B229" t="s">
        <v>1218</v>
      </c>
      <c r="C229" t="s">
        <v>1217</v>
      </c>
      <c r="D229" t="s">
        <v>1205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20">
        <v>8.9999999999999993E-3</v>
      </c>
    </row>
    <row r="230" spans="1:33">
      <c r="A230" t="s">
        <v>1208</v>
      </c>
      <c r="B230" t="s">
        <v>1216</v>
      </c>
      <c r="C230" t="s">
        <v>1215</v>
      </c>
      <c r="D230" t="s">
        <v>1205</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20">
        <v>8.0000000000000002E-3</v>
      </c>
    </row>
    <row r="231" spans="1:33">
      <c r="A231" t="s">
        <v>18</v>
      </c>
    </row>
    <row r="232" spans="1:33">
      <c r="A232" t="s">
        <v>211</v>
      </c>
      <c r="B232" t="s">
        <v>1214</v>
      </c>
      <c r="C232" t="s">
        <v>1213</v>
      </c>
      <c r="D232" t="s">
        <v>1205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20">
        <v>8.0000000000000002E-3</v>
      </c>
    </row>
    <row r="233" spans="1:33">
      <c r="A233" t="s">
        <v>212</v>
      </c>
      <c r="B233" t="s">
        <v>1212</v>
      </c>
      <c r="C233" t="s">
        <v>1211</v>
      </c>
      <c r="D233" t="s">
        <v>1205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20">
        <v>8.0000000000000002E-3</v>
      </c>
    </row>
    <row r="234" spans="1:33">
      <c r="A234" t="s">
        <v>213</v>
      </c>
      <c r="B234" t="s">
        <v>1210</v>
      </c>
      <c r="C234" t="s">
        <v>1209</v>
      </c>
      <c r="D234" t="s">
        <v>1205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20">
        <v>7.0000000000000001E-3</v>
      </c>
    </row>
    <row r="235" spans="1:33">
      <c r="A235" t="s">
        <v>1208</v>
      </c>
      <c r="B235" t="s">
        <v>1207</v>
      </c>
      <c r="C235" t="s">
        <v>1206</v>
      </c>
      <c r="D235" t="s">
        <v>1205</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20">
        <v>8.0000000000000002E-3</v>
      </c>
    </row>
    <row r="236" spans="1:33">
      <c r="A236" t="s">
        <v>244</v>
      </c>
    </row>
    <row r="237" spans="1:33">
      <c r="A237" t="s">
        <v>1204</v>
      </c>
    </row>
    <row r="238" spans="1:33">
      <c r="A238" t="s">
        <v>210</v>
      </c>
      <c r="B238" t="s">
        <v>1203</v>
      </c>
      <c r="C238" t="s">
        <v>1202</v>
      </c>
      <c r="D238" t="s">
        <v>177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20">
        <v>8.9999999999999993E-3</v>
      </c>
    </row>
    <row r="239" spans="1:33">
      <c r="A239" t="s">
        <v>214</v>
      </c>
      <c r="B239" t="s">
        <v>1201</v>
      </c>
      <c r="C239" t="s">
        <v>1200</v>
      </c>
      <c r="D239" t="s">
        <v>177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20">
        <v>0.01</v>
      </c>
    </row>
    <row r="240" spans="1:33">
      <c r="A240" t="s">
        <v>745</v>
      </c>
      <c r="B240" t="s">
        <v>1199</v>
      </c>
      <c r="C240" t="s">
        <v>1198</v>
      </c>
      <c r="D240" t="s">
        <v>177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20">
        <v>2.4E-2</v>
      </c>
    </row>
    <row r="241" spans="1:34">
      <c r="A241" t="s">
        <v>742</v>
      </c>
      <c r="B241" t="s">
        <v>1197</v>
      </c>
      <c r="C241" t="s">
        <v>1196</v>
      </c>
      <c r="D241" t="s">
        <v>177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20">
        <v>1.0999999999999999E-2</v>
      </c>
    </row>
    <row r="242" spans="1:34">
      <c r="A242" t="s">
        <v>739</v>
      </c>
      <c r="B242" t="s">
        <v>1195</v>
      </c>
      <c r="C242" t="s">
        <v>1194</v>
      </c>
      <c r="D242" t="s">
        <v>177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20">
        <v>-8.0000000000000002E-3</v>
      </c>
    </row>
    <row r="243" spans="1:34">
      <c r="A243" t="s">
        <v>736</v>
      </c>
      <c r="B243" t="s">
        <v>1193</v>
      </c>
      <c r="C243" t="s">
        <v>1192</v>
      </c>
      <c r="D243" t="s">
        <v>177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20">
        <v>1.4E-2</v>
      </c>
    </row>
    <row r="244" spans="1:34">
      <c r="A244" t="s">
        <v>733</v>
      </c>
      <c r="B244" t="s">
        <v>1191</v>
      </c>
      <c r="C244" t="s">
        <v>1190</v>
      </c>
      <c r="D244" t="s">
        <v>177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20">
        <v>1.4E-2</v>
      </c>
    </row>
    <row r="245" spans="1:34">
      <c r="A245" t="s">
        <v>730</v>
      </c>
      <c r="B245" t="s">
        <v>1189</v>
      </c>
      <c r="C245" t="s">
        <v>1188</v>
      </c>
      <c r="D245" t="s">
        <v>177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20">
        <v>1.7000000000000001E-2</v>
      </c>
    </row>
    <row r="246" spans="1:34">
      <c r="A246" t="s">
        <v>727</v>
      </c>
      <c r="B246" t="s">
        <v>1187</v>
      </c>
      <c r="C246" t="s">
        <v>1186</v>
      </c>
      <c r="D246" t="s">
        <v>177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20">
        <v>0.02</v>
      </c>
    </row>
    <row r="247" spans="1:34">
      <c r="A247" t="s">
        <v>216</v>
      </c>
      <c r="B247" t="s">
        <v>1185</v>
      </c>
      <c r="C247" t="s">
        <v>1184</v>
      </c>
      <c r="D247" t="s">
        <v>177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20">
        <v>0.03</v>
      </c>
    </row>
    <row r="248" spans="1:34">
      <c r="A248" t="s">
        <v>722</v>
      </c>
      <c r="B248" t="s">
        <v>1183</v>
      </c>
      <c r="C248" t="s">
        <v>1182</v>
      </c>
      <c r="D248" t="s">
        <v>177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20">
        <v>4.4999999999999998E-2</v>
      </c>
    </row>
    <row r="249" spans="1:34">
      <c r="A249" t="s">
        <v>719</v>
      </c>
      <c r="B249" t="s">
        <v>1181</v>
      </c>
      <c r="C249" t="s">
        <v>1180</v>
      </c>
      <c r="D249" t="s">
        <v>177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20">
        <v>2.5999999999999999E-2</v>
      </c>
    </row>
    <row r="250" spans="1:34">
      <c r="A250" t="s">
        <v>716</v>
      </c>
      <c r="B250" t="s">
        <v>1179</v>
      </c>
      <c r="C250" t="s">
        <v>1178</v>
      </c>
      <c r="D250" t="s">
        <v>177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20">
        <v>2.4E-2</v>
      </c>
    </row>
    <row r="251" spans="1:34">
      <c r="A251" t="s">
        <v>215</v>
      </c>
      <c r="B251" t="s">
        <v>1177</v>
      </c>
      <c r="C251" t="s">
        <v>1176</v>
      </c>
      <c r="D251" t="s">
        <v>177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20">
        <v>0.03</v>
      </c>
    </row>
    <row r="252" spans="1:34">
      <c r="A252" t="s">
        <v>711</v>
      </c>
      <c r="B252" t="s">
        <v>1175</v>
      </c>
      <c r="C252" t="s">
        <v>1174</v>
      </c>
      <c r="D252" t="s">
        <v>177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20">
        <v>7.0000000000000001E-3</v>
      </c>
    </row>
    <row r="253" spans="1:34">
      <c r="A253" t="s">
        <v>708</v>
      </c>
      <c r="B253" t="s">
        <v>1173</v>
      </c>
      <c r="C253" t="s">
        <v>1172</v>
      </c>
      <c r="D253" t="s">
        <v>177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20">
        <v>1.7999999999999999E-2</v>
      </c>
    </row>
    <row r="254" spans="1:34">
      <c r="A254" t="s">
        <v>13</v>
      </c>
      <c r="B254" t="s">
        <v>1171</v>
      </c>
      <c r="C254" t="s">
        <v>1170</v>
      </c>
      <c r="D254" t="s">
        <v>177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20">
        <v>1.7999999999999999E-2</v>
      </c>
    </row>
    <row r="255" spans="1:34">
      <c r="A255" t="s">
        <v>1169</v>
      </c>
      <c r="B255" t="s">
        <v>1165</v>
      </c>
      <c r="C255" t="s">
        <v>1168</v>
      </c>
      <c r="D255" t="s">
        <v>1167</v>
      </c>
      <c r="E255" t="s">
        <v>177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20">
        <v>0</v>
      </c>
    </row>
    <row r="256" spans="1:34">
      <c r="A256" t="s">
        <v>1166</v>
      </c>
      <c r="B256" t="s">
        <v>1165</v>
      </c>
      <c r="C256" t="s">
        <v>1164</v>
      </c>
      <c r="D256" t="s">
        <v>1163</v>
      </c>
      <c r="E256" t="s">
        <v>177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20">
        <v>2E-3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CCC80-0A9E-4F05-BB7B-B6AE461E3609}">
  <dimension ref="A1:AH67"/>
  <sheetViews>
    <sheetView workbookViewId="0"/>
  </sheetViews>
  <sheetFormatPr defaultRowHeight="15"/>
  <cols>
    <col min="1" max="1" width="38.42578125" customWidth="1"/>
  </cols>
  <sheetData>
    <row r="1" spans="1:33">
      <c r="B1" t="s">
        <v>174</v>
      </c>
      <c r="C1" t="s">
        <v>175</v>
      </c>
      <c r="D1" t="s">
        <v>176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1158</v>
      </c>
    </row>
    <row r="10" spans="1:33">
      <c r="A10" t="s">
        <v>178</v>
      </c>
    </row>
    <row r="11" spans="1:33">
      <c r="A11" t="s">
        <v>1862</v>
      </c>
    </row>
    <row r="12" spans="1:33">
      <c r="A12" t="s">
        <v>1861</v>
      </c>
    </row>
    <row r="13" spans="1:33">
      <c r="A13" t="s">
        <v>173</v>
      </c>
    </row>
    <row r="14" spans="1:33">
      <c r="B14" t="s">
        <v>174</v>
      </c>
      <c r="C14" t="s">
        <v>175</v>
      </c>
      <c r="D14" t="s">
        <v>176</v>
      </c>
      <c r="E14">
        <v>2023</v>
      </c>
      <c r="F14">
        <v>2024</v>
      </c>
      <c r="G14">
        <v>2025</v>
      </c>
      <c r="H14">
        <v>2026</v>
      </c>
      <c r="I14">
        <v>2027</v>
      </c>
      <c r="J14">
        <v>2028</v>
      </c>
      <c r="K14">
        <v>2029</v>
      </c>
      <c r="L14">
        <v>2030</v>
      </c>
      <c r="M14">
        <v>2031</v>
      </c>
      <c r="N14">
        <v>2032</v>
      </c>
      <c r="O14">
        <v>2033</v>
      </c>
      <c r="P14">
        <v>2034</v>
      </c>
      <c r="Q14">
        <v>2035</v>
      </c>
      <c r="R14">
        <v>2036</v>
      </c>
      <c r="S14">
        <v>2037</v>
      </c>
      <c r="T14">
        <v>2038</v>
      </c>
      <c r="U14">
        <v>2039</v>
      </c>
      <c r="V14">
        <v>2040</v>
      </c>
      <c r="W14">
        <v>2041</v>
      </c>
      <c r="X14">
        <v>2042</v>
      </c>
      <c r="Y14">
        <v>2043</v>
      </c>
      <c r="Z14">
        <v>2044</v>
      </c>
      <c r="AA14">
        <v>2045</v>
      </c>
      <c r="AB14">
        <v>2046</v>
      </c>
      <c r="AC14">
        <v>2047</v>
      </c>
      <c r="AD14">
        <v>2048</v>
      </c>
      <c r="AE14">
        <v>2049</v>
      </c>
      <c r="AF14">
        <v>2050</v>
      </c>
      <c r="AG14" t="s">
        <v>1158</v>
      </c>
    </row>
    <row r="15" spans="1:33">
      <c r="A15" t="s">
        <v>179</v>
      </c>
    </row>
    <row r="16" spans="1:33">
      <c r="A16" t="s">
        <v>180</v>
      </c>
    </row>
    <row r="17" spans="1:33">
      <c r="A17" t="s">
        <v>181</v>
      </c>
      <c r="B17" t="s">
        <v>1860</v>
      </c>
      <c r="C17" t="s">
        <v>1859</v>
      </c>
      <c r="D17" t="s">
        <v>200</v>
      </c>
      <c r="F17">
        <v>108.74241600000001</v>
      </c>
      <c r="G17">
        <v>106.025879</v>
      </c>
      <c r="H17">
        <v>103.03121899999999</v>
      </c>
      <c r="I17">
        <v>99.755088999999998</v>
      </c>
      <c r="J17">
        <v>96.325905000000006</v>
      </c>
      <c r="K17">
        <v>92.986259000000004</v>
      </c>
      <c r="L17">
        <v>89.637253000000001</v>
      </c>
      <c r="M17">
        <v>86.243224999999995</v>
      </c>
      <c r="N17">
        <v>82.736350999999999</v>
      </c>
      <c r="O17">
        <v>79.426986999999997</v>
      </c>
      <c r="P17">
        <v>76.303139000000002</v>
      </c>
      <c r="Q17">
        <v>73.195068000000006</v>
      </c>
      <c r="R17">
        <v>70.231750000000005</v>
      </c>
      <c r="S17">
        <v>67.489211999999995</v>
      </c>
      <c r="T17">
        <v>64.999938999999998</v>
      </c>
      <c r="U17">
        <v>62.702289999999998</v>
      </c>
      <c r="V17">
        <v>60.584476000000002</v>
      </c>
      <c r="W17">
        <v>58.661816000000002</v>
      </c>
      <c r="X17">
        <v>56.918571</v>
      </c>
      <c r="Y17">
        <v>55.322688999999997</v>
      </c>
      <c r="Z17">
        <v>53.845939999999999</v>
      </c>
      <c r="AA17">
        <v>52.475898999999998</v>
      </c>
      <c r="AB17">
        <v>51.170169999999999</v>
      </c>
      <c r="AC17">
        <v>49.920616000000003</v>
      </c>
      <c r="AD17">
        <v>48.722949999999997</v>
      </c>
      <c r="AE17">
        <v>47.584212999999998</v>
      </c>
      <c r="AF17">
        <v>46.522464999999997</v>
      </c>
      <c r="AG17" s="20">
        <v>-3.2000000000000001E-2</v>
      </c>
    </row>
    <row r="18" spans="1:33">
      <c r="A18" t="s">
        <v>182</v>
      </c>
      <c r="B18" t="s">
        <v>1858</v>
      </c>
      <c r="C18" t="s">
        <v>1857</v>
      </c>
      <c r="D18" t="s">
        <v>200</v>
      </c>
      <c r="F18">
        <v>0.48206100000000002</v>
      </c>
      <c r="G18">
        <v>0.44858900000000002</v>
      </c>
      <c r="H18">
        <v>0.41582599999999997</v>
      </c>
      <c r="I18">
        <v>0.383631</v>
      </c>
      <c r="J18">
        <v>0.35176200000000002</v>
      </c>
      <c r="K18">
        <v>0.32012000000000002</v>
      </c>
      <c r="L18">
        <v>0.28923500000000002</v>
      </c>
      <c r="M18">
        <v>0.25984099999999999</v>
      </c>
      <c r="N18">
        <v>0.23157700000000001</v>
      </c>
      <c r="O18">
        <v>0.204986</v>
      </c>
      <c r="P18">
        <v>0.18060499999999999</v>
      </c>
      <c r="Q18">
        <v>0.15894800000000001</v>
      </c>
      <c r="R18">
        <v>0.140461</v>
      </c>
      <c r="S18">
        <v>0.12514600000000001</v>
      </c>
      <c r="T18">
        <v>0.11297</v>
      </c>
      <c r="U18">
        <v>0.103879</v>
      </c>
      <c r="V18">
        <v>9.6940999999999999E-2</v>
      </c>
      <c r="W18">
        <v>9.0629000000000001E-2</v>
      </c>
      <c r="X18">
        <v>8.4923999999999999E-2</v>
      </c>
      <c r="Y18">
        <v>7.9742999999999994E-2</v>
      </c>
      <c r="Z18">
        <v>7.4915999999999996E-2</v>
      </c>
      <c r="AA18">
        <v>7.0396E-2</v>
      </c>
      <c r="AB18">
        <v>6.6163E-2</v>
      </c>
      <c r="AC18">
        <v>6.2198000000000003E-2</v>
      </c>
      <c r="AD18">
        <v>5.8481999999999999E-2</v>
      </c>
      <c r="AE18">
        <v>5.4998999999999999E-2</v>
      </c>
      <c r="AF18">
        <v>5.1733000000000001E-2</v>
      </c>
      <c r="AG18" s="20">
        <v>-8.2000000000000003E-2</v>
      </c>
    </row>
    <row r="19" spans="1:33">
      <c r="A19" t="s">
        <v>183</v>
      </c>
      <c r="B19" t="s">
        <v>1856</v>
      </c>
      <c r="C19" t="s">
        <v>1855</v>
      </c>
      <c r="D19" t="s">
        <v>200</v>
      </c>
      <c r="F19">
        <v>109.22448</v>
      </c>
      <c r="G19">
        <v>106.474464</v>
      </c>
      <c r="H19">
        <v>103.44704400000001</v>
      </c>
      <c r="I19">
        <v>100.138718</v>
      </c>
      <c r="J19">
        <v>96.677666000000002</v>
      </c>
      <c r="K19">
        <v>93.306381000000002</v>
      </c>
      <c r="L19">
        <v>89.926490999999999</v>
      </c>
      <c r="M19">
        <v>86.503067000000001</v>
      </c>
      <c r="N19">
        <v>82.967926000000006</v>
      </c>
      <c r="O19">
        <v>79.631973000000002</v>
      </c>
      <c r="P19">
        <v>76.483742000000007</v>
      </c>
      <c r="Q19">
        <v>73.354018999999994</v>
      </c>
      <c r="R19">
        <v>70.372208000000001</v>
      </c>
      <c r="S19">
        <v>67.614356999999998</v>
      </c>
      <c r="T19">
        <v>65.112907000000007</v>
      </c>
      <c r="U19">
        <v>62.806168</v>
      </c>
      <c r="V19">
        <v>60.681418999999998</v>
      </c>
      <c r="W19">
        <v>58.752445000000002</v>
      </c>
      <c r="X19">
        <v>57.003494000000003</v>
      </c>
      <c r="Y19">
        <v>55.402431</v>
      </c>
      <c r="Z19">
        <v>53.920856000000001</v>
      </c>
      <c r="AA19">
        <v>52.546295000000001</v>
      </c>
      <c r="AB19">
        <v>51.236331999999997</v>
      </c>
      <c r="AC19">
        <v>49.982815000000002</v>
      </c>
      <c r="AD19">
        <v>48.781433</v>
      </c>
      <c r="AE19">
        <v>47.639214000000003</v>
      </c>
      <c r="AF19">
        <v>46.574196000000001</v>
      </c>
      <c r="AG19" s="20">
        <v>-3.2000000000000001E-2</v>
      </c>
    </row>
    <row r="20" spans="1:33">
      <c r="A20" t="s">
        <v>184</v>
      </c>
    </row>
    <row r="21" spans="1:33">
      <c r="A21" t="s">
        <v>185</v>
      </c>
      <c r="B21" t="s">
        <v>1854</v>
      </c>
      <c r="C21" t="s">
        <v>1853</v>
      </c>
      <c r="D21" t="s">
        <v>200</v>
      </c>
      <c r="F21">
        <v>3.7780100000000001</v>
      </c>
      <c r="G21">
        <v>3.5434100000000002</v>
      </c>
      <c r="H21">
        <v>3.2958829999999999</v>
      </c>
      <c r="I21">
        <v>3.0365920000000002</v>
      </c>
      <c r="J21">
        <v>2.7698239999999998</v>
      </c>
      <c r="K21">
        <v>2.500095</v>
      </c>
      <c r="L21">
        <v>2.2328399999999999</v>
      </c>
      <c r="M21">
        <v>1.9757119999999999</v>
      </c>
      <c r="N21">
        <v>1.7341070000000001</v>
      </c>
      <c r="O21">
        <v>1.5130859999999999</v>
      </c>
      <c r="P21">
        <v>1.3133269999999999</v>
      </c>
      <c r="Q21">
        <v>1.1375630000000001</v>
      </c>
      <c r="R21">
        <v>0.99011400000000005</v>
      </c>
      <c r="S21">
        <v>0.87148599999999998</v>
      </c>
      <c r="T21">
        <v>0.774501</v>
      </c>
      <c r="U21">
        <v>0.69865100000000002</v>
      </c>
      <c r="V21">
        <v>0.64009899999999997</v>
      </c>
      <c r="W21">
        <v>0.59181700000000004</v>
      </c>
      <c r="X21">
        <v>0.55091299999999999</v>
      </c>
      <c r="Y21">
        <v>0.51566699999999999</v>
      </c>
      <c r="Z21">
        <v>0.48551499999999997</v>
      </c>
      <c r="AA21">
        <v>0.45842100000000002</v>
      </c>
      <c r="AB21">
        <v>0.432894</v>
      </c>
      <c r="AC21">
        <v>0.40884900000000002</v>
      </c>
      <c r="AD21">
        <v>0.386237</v>
      </c>
      <c r="AE21">
        <v>0.36496499999999998</v>
      </c>
      <c r="AF21">
        <v>0.34493200000000002</v>
      </c>
      <c r="AG21" s="20">
        <v>-8.7999999999999995E-2</v>
      </c>
    </row>
    <row r="22" spans="1:33">
      <c r="A22" t="s">
        <v>696</v>
      </c>
      <c r="B22" t="s">
        <v>1852</v>
      </c>
      <c r="C22" t="s">
        <v>1851</v>
      </c>
      <c r="D22" t="s">
        <v>200</v>
      </c>
      <c r="F22">
        <v>0.189364</v>
      </c>
      <c r="G22">
        <v>0.19455600000000001</v>
      </c>
      <c r="H22">
        <v>0.19730800000000001</v>
      </c>
      <c r="I22">
        <v>0.19857900000000001</v>
      </c>
      <c r="J22">
        <v>0.197598</v>
      </c>
      <c r="K22">
        <v>0.194962</v>
      </c>
      <c r="L22">
        <v>0.19237899999999999</v>
      </c>
      <c r="M22">
        <v>0.189522</v>
      </c>
      <c r="N22">
        <v>0.186697</v>
      </c>
      <c r="O22">
        <v>0.18129999999999999</v>
      </c>
      <c r="P22">
        <v>0.17685000000000001</v>
      </c>
      <c r="Q22">
        <v>0.173177</v>
      </c>
      <c r="R22">
        <v>0.170455</v>
      </c>
      <c r="S22">
        <v>0.16869999999999999</v>
      </c>
      <c r="T22">
        <v>0.16841300000000001</v>
      </c>
      <c r="U22">
        <v>0.169129</v>
      </c>
      <c r="V22">
        <v>0.17027500000000001</v>
      </c>
      <c r="W22">
        <v>0.172011</v>
      </c>
      <c r="X22">
        <v>0.1741</v>
      </c>
      <c r="Y22">
        <v>0.176482</v>
      </c>
      <c r="Z22">
        <v>0.17879700000000001</v>
      </c>
      <c r="AA22">
        <v>0.181057</v>
      </c>
      <c r="AB22">
        <v>0.18312400000000001</v>
      </c>
      <c r="AC22">
        <v>0.18501300000000001</v>
      </c>
      <c r="AD22">
        <v>0.18690599999999999</v>
      </c>
      <c r="AE22">
        <v>0.18876699999999999</v>
      </c>
      <c r="AF22">
        <v>0.19092799999999999</v>
      </c>
      <c r="AG22" s="20">
        <v>0</v>
      </c>
    </row>
    <row r="23" spans="1:33">
      <c r="A23" t="s">
        <v>695</v>
      </c>
      <c r="B23" t="s">
        <v>1850</v>
      </c>
      <c r="C23" t="s">
        <v>1849</v>
      </c>
      <c r="D23" t="s">
        <v>200</v>
      </c>
      <c r="F23">
        <v>0.59605799999999998</v>
      </c>
      <c r="G23">
        <v>0.799342</v>
      </c>
      <c r="H23">
        <v>1.026953</v>
      </c>
      <c r="I23">
        <v>1.2785390000000001</v>
      </c>
      <c r="J23">
        <v>1.5151269999999999</v>
      </c>
      <c r="K23">
        <v>1.736084</v>
      </c>
      <c r="L23">
        <v>1.9814229999999999</v>
      </c>
      <c r="M23">
        <v>2.2331699999999999</v>
      </c>
      <c r="N23">
        <v>2.6783700000000001</v>
      </c>
      <c r="O23">
        <v>3.1484930000000002</v>
      </c>
      <c r="P23">
        <v>3.6508669999999999</v>
      </c>
      <c r="Q23">
        <v>4.2490540000000001</v>
      </c>
      <c r="R23">
        <v>4.8313839999999999</v>
      </c>
      <c r="S23">
        <v>5.4068480000000001</v>
      </c>
      <c r="T23">
        <v>5.9816269999999996</v>
      </c>
      <c r="U23">
        <v>6.6255899999999999</v>
      </c>
      <c r="V23">
        <v>7.2437820000000004</v>
      </c>
      <c r="W23">
        <v>7.8387960000000003</v>
      </c>
      <c r="X23">
        <v>8.4091679999999993</v>
      </c>
      <c r="Y23">
        <v>8.9656479999999998</v>
      </c>
      <c r="Z23">
        <v>9.4957309999999993</v>
      </c>
      <c r="AA23">
        <v>10.010146000000001</v>
      </c>
      <c r="AB23">
        <v>10.490636</v>
      </c>
      <c r="AC23">
        <v>10.937265999999999</v>
      </c>
      <c r="AD23">
        <v>11.354158</v>
      </c>
      <c r="AE23">
        <v>11.739839</v>
      </c>
      <c r="AF23">
        <v>12.117647</v>
      </c>
      <c r="AG23" s="20">
        <v>0.123</v>
      </c>
    </row>
    <row r="24" spans="1:33">
      <c r="A24" t="s">
        <v>694</v>
      </c>
      <c r="B24" t="s">
        <v>1848</v>
      </c>
      <c r="C24" t="s">
        <v>1847</v>
      </c>
      <c r="D24" t="s">
        <v>200</v>
      </c>
      <c r="F24">
        <v>3.350819</v>
      </c>
      <c r="G24">
        <v>4.5535810000000003</v>
      </c>
      <c r="H24">
        <v>6.0892939999999998</v>
      </c>
      <c r="I24">
        <v>7.7830810000000001</v>
      </c>
      <c r="J24">
        <v>9.4272559999999999</v>
      </c>
      <c r="K24">
        <v>10.973656</v>
      </c>
      <c r="L24">
        <v>12.551532999999999</v>
      </c>
      <c r="M24">
        <v>14.073188999999999</v>
      </c>
      <c r="N24">
        <v>15.524174</v>
      </c>
      <c r="O24">
        <v>16.764969000000001</v>
      </c>
      <c r="P24">
        <v>18.055681</v>
      </c>
      <c r="Q24">
        <v>19.304041000000002</v>
      </c>
      <c r="R24">
        <v>20.498692999999999</v>
      </c>
      <c r="S24">
        <v>21.636648000000001</v>
      </c>
      <c r="T24">
        <v>22.716851999999999</v>
      </c>
      <c r="U24">
        <v>23.720338999999999</v>
      </c>
      <c r="V24">
        <v>24.676342000000002</v>
      </c>
      <c r="W24">
        <v>25.531099000000001</v>
      </c>
      <c r="X24">
        <v>26.285509000000001</v>
      </c>
      <c r="Y24">
        <v>26.945651999999999</v>
      </c>
      <c r="Z24">
        <v>27.518177000000001</v>
      </c>
      <c r="AA24">
        <v>28.014536</v>
      </c>
      <c r="AB24">
        <v>28.438889</v>
      </c>
      <c r="AC24">
        <v>28.795072999999999</v>
      </c>
      <c r="AD24">
        <v>29.093326999999999</v>
      </c>
      <c r="AE24">
        <v>29.345419</v>
      </c>
      <c r="AF24">
        <v>29.574321999999999</v>
      </c>
      <c r="AG24" s="20">
        <v>8.6999999999999994E-2</v>
      </c>
    </row>
    <row r="25" spans="1:33">
      <c r="A25" t="s">
        <v>693</v>
      </c>
      <c r="B25" t="s">
        <v>1846</v>
      </c>
      <c r="C25" t="s">
        <v>1845</v>
      </c>
      <c r="D25" t="s">
        <v>200</v>
      </c>
      <c r="F25">
        <v>0.39025399999999999</v>
      </c>
      <c r="G25">
        <v>0.41901100000000002</v>
      </c>
      <c r="H25">
        <v>0.45079399999999997</v>
      </c>
      <c r="I25">
        <v>0.48530600000000002</v>
      </c>
      <c r="J25">
        <v>0.51864299999999997</v>
      </c>
      <c r="K25">
        <v>0.54260799999999998</v>
      </c>
      <c r="L25">
        <v>0.56321399999999999</v>
      </c>
      <c r="M25">
        <v>0.58076399999999995</v>
      </c>
      <c r="N25">
        <v>0.59069899999999997</v>
      </c>
      <c r="O25">
        <v>0.59323199999999998</v>
      </c>
      <c r="P25">
        <v>0.59710700000000005</v>
      </c>
      <c r="Q25">
        <v>0.59896700000000003</v>
      </c>
      <c r="R25">
        <v>0.59988600000000003</v>
      </c>
      <c r="S25">
        <v>0.60057799999999995</v>
      </c>
      <c r="T25">
        <v>0.601549</v>
      </c>
      <c r="U25">
        <v>0.60184300000000002</v>
      </c>
      <c r="V25">
        <v>0.60175800000000002</v>
      </c>
      <c r="W25">
        <v>0.60126900000000005</v>
      </c>
      <c r="X25">
        <v>0.60097299999999998</v>
      </c>
      <c r="Y25">
        <v>0.60078399999999998</v>
      </c>
      <c r="Z25">
        <v>0.59993399999999997</v>
      </c>
      <c r="AA25">
        <v>0.59881799999999996</v>
      </c>
      <c r="AB25">
        <v>0.59695399999999998</v>
      </c>
      <c r="AC25">
        <v>0.59459200000000001</v>
      </c>
      <c r="AD25">
        <v>0.59189700000000001</v>
      </c>
      <c r="AE25">
        <v>0.58897500000000003</v>
      </c>
      <c r="AF25">
        <v>0.58703700000000003</v>
      </c>
      <c r="AG25" s="20">
        <v>1.6E-2</v>
      </c>
    </row>
    <row r="26" spans="1:33">
      <c r="A26" t="s">
        <v>692</v>
      </c>
      <c r="B26" t="s">
        <v>1844</v>
      </c>
      <c r="C26" t="s">
        <v>1843</v>
      </c>
      <c r="D26" t="s">
        <v>200</v>
      </c>
      <c r="F26">
        <v>0.23388200000000001</v>
      </c>
      <c r="G26">
        <v>0.256353</v>
      </c>
      <c r="H26">
        <v>0.30679200000000001</v>
      </c>
      <c r="I26">
        <v>0.36219400000000002</v>
      </c>
      <c r="J26">
        <v>0.41856900000000002</v>
      </c>
      <c r="K26">
        <v>0.46719899999999998</v>
      </c>
      <c r="L26">
        <v>0.51294799999999996</v>
      </c>
      <c r="M26">
        <v>0.55661799999999995</v>
      </c>
      <c r="N26">
        <v>0.58514600000000005</v>
      </c>
      <c r="O26">
        <v>0.60014100000000004</v>
      </c>
      <c r="P26">
        <v>0.618645</v>
      </c>
      <c r="Q26">
        <v>0.63188699999999998</v>
      </c>
      <c r="R26">
        <v>0.64504700000000004</v>
      </c>
      <c r="S26">
        <v>0.65804499999999999</v>
      </c>
      <c r="T26">
        <v>0.67108400000000001</v>
      </c>
      <c r="U26">
        <v>0.67890300000000003</v>
      </c>
      <c r="V26">
        <v>0.68503400000000003</v>
      </c>
      <c r="W26">
        <v>0.68902099999999999</v>
      </c>
      <c r="X26">
        <v>0.69115099999999996</v>
      </c>
      <c r="Y26">
        <v>0.69150900000000004</v>
      </c>
      <c r="Z26">
        <v>0.68911299999999998</v>
      </c>
      <c r="AA26">
        <v>0.684504</v>
      </c>
      <c r="AB26">
        <v>0.67767699999999997</v>
      </c>
      <c r="AC26">
        <v>0.66927000000000003</v>
      </c>
      <c r="AD26">
        <v>0.65995599999999999</v>
      </c>
      <c r="AE26">
        <v>0.6502</v>
      </c>
      <c r="AF26">
        <v>0.64114199999999999</v>
      </c>
      <c r="AG26" s="20">
        <v>0.04</v>
      </c>
    </row>
    <row r="27" spans="1:33">
      <c r="A27" t="s">
        <v>186</v>
      </c>
      <c r="B27" t="s">
        <v>1842</v>
      </c>
      <c r="C27" t="s">
        <v>1841</v>
      </c>
      <c r="D27" t="s">
        <v>200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t="s">
        <v>15</v>
      </c>
    </row>
    <row r="28" spans="1:33">
      <c r="A28" t="s">
        <v>187</v>
      </c>
      <c r="B28" t="s">
        <v>1840</v>
      </c>
      <c r="C28" t="s">
        <v>1839</v>
      </c>
      <c r="D28" t="s">
        <v>200</v>
      </c>
      <c r="F28">
        <v>4.3834960000000001</v>
      </c>
      <c r="G28">
        <v>4.6673439999999999</v>
      </c>
      <c r="H28">
        <v>4.9200220000000003</v>
      </c>
      <c r="I28">
        <v>5.1893140000000004</v>
      </c>
      <c r="J28">
        <v>5.4175420000000001</v>
      </c>
      <c r="K28">
        <v>5.6472939999999996</v>
      </c>
      <c r="L28">
        <v>5.877103</v>
      </c>
      <c r="M28">
        <v>6.1017530000000004</v>
      </c>
      <c r="N28">
        <v>6.293952</v>
      </c>
      <c r="O28">
        <v>6.500947</v>
      </c>
      <c r="P28">
        <v>6.7283179999999998</v>
      </c>
      <c r="Q28">
        <v>6.9565409999999996</v>
      </c>
      <c r="R28">
        <v>7.1800379999999997</v>
      </c>
      <c r="S28">
        <v>7.4054909999999996</v>
      </c>
      <c r="T28">
        <v>7.6333349999999998</v>
      </c>
      <c r="U28">
        <v>7.8515220000000001</v>
      </c>
      <c r="V28">
        <v>8.052346</v>
      </c>
      <c r="W28">
        <v>8.2412340000000004</v>
      </c>
      <c r="X28">
        <v>8.4192579999999992</v>
      </c>
      <c r="Y28">
        <v>8.5844959999999997</v>
      </c>
      <c r="Z28">
        <v>8.7392009999999996</v>
      </c>
      <c r="AA28">
        <v>8.8846000000000007</v>
      </c>
      <c r="AB28">
        <v>9.0192829999999997</v>
      </c>
      <c r="AC28">
        <v>9.144209</v>
      </c>
      <c r="AD28">
        <v>9.2598310000000001</v>
      </c>
      <c r="AE28">
        <v>9.3698630000000005</v>
      </c>
      <c r="AF28">
        <v>9.4803820000000005</v>
      </c>
      <c r="AG28" s="20">
        <v>0.03</v>
      </c>
    </row>
    <row r="29" spans="1:33">
      <c r="A29" t="s">
        <v>188</v>
      </c>
      <c r="B29" t="s">
        <v>1838</v>
      </c>
      <c r="C29" t="s">
        <v>1837</v>
      </c>
      <c r="D29" t="s">
        <v>200</v>
      </c>
      <c r="F29">
        <v>9.9659999999999992E-3</v>
      </c>
      <c r="G29">
        <v>9.0830000000000008E-3</v>
      </c>
      <c r="H29">
        <v>8.2019999999999992E-3</v>
      </c>
      <c r="I29">
        <v>7.3210000000000003E-3</v>
      </c>
      <c r="J29">
        <v>6.4669999999999997E-3</v>
      </c>
      <c r="K29">
        <v>5.6559999999999996E-3</v>
      </c>
      <c r="L29">
        <v>4.9849999999999998E-3</v>
      </c>
      <c r="M29">
        <v>4.352E-3</v>
      </c>
      <c r="N29">
        <v>3.7940000000000001E-3</v>
      </c>
      <c r="O29">
        <v>3.313E-3</v>
      </c>
      <c r="P29">
        <v>2.9169999999999999E-3</v>
      </c>
      <c r="Q29">
        <v>2.5860000000000002E-3</v>
      </c>
      <c r="R29">
        <v>2.3149999999999998E-3</v>
      </c>
      <c r="S29">
        <v>2.137E-3</v>
      </c>
      <c r="T29">
        <v>1.9840000000000001E-3</v>
      </c>
      <c r="U29">
        <v>1.8569999999999999E-3</v>
      </c>
      <c r="V29">
        <v>1.7440000000000001E-3</v>
      </c>
      <c r="W29">
        <v>1.6379999999999999E-3</v>
      </c>
      <c r="X29">
        <v>1.5380000000000001E-3</v>
      </c>
      <c r="Y29">
        <v>1.4450000000000001E-3</v>
      </c>
      <c r="Z29">
        <v>1.3569999999999999E-3</v>
      </c>
      <c r="AA29">
        <v>1.274E-3</v>
      </c>
      <c r="AB29">
        <v>1.1969999999999999E-3</v>
      </c>
      <c r="AC29">
        <v>1.124E-3</v>
      </c>
      <c r="AD29">
        <v>1.0560000000000001E-3</v>
      </c>
      <c r="AE29">
        <v>9.9099999999999991E-4</v>
      </c>
      <c r="AF29">
        <v>9.3099999999999997E-4</v>
      </c>
      <c r="AG29" s="20">
        <v>-8.6999999999999994E-2</v>
      </c>
    </row>
    <row r="30" spans="1:33">
      <c r="A30" t="s">
        <v>189</v>
      </c>
      <c r="B30" t="s">
        <v>1836</v>
      </c>
      <c r="C30" t="s">
        <v>1835</v>
      </c>
      <c r="D30" t="s">
        <v>200</v>
      </c>
      <c r="F30">
        <v>2.3599999999999999E-4</v>
      </c>
      <c r="G30">
        <v>2.22E-4</v>
      </c>
      <c r="H30">
        <v>2.0900000000000001E-4</v>
      </c>
      <c r="I30">
        <v>1.9599999999999999E-4</v>
      </c>
      <c r="J30">
        <v>1.84E-4</v>
      </c>
      <c r="K30">
        <v>1.73E-4</v>
      </c>
      <c r="L30">
        <v>1.6200000000000001E-4</v>
      </c>
      <c r="M30">
        <v>1.5200000000000001E-4</v>
      </c>
      <c r="N30">
        <v>1.4300000000000001E-4</v>
      </c>
      <c r="O30">
        <v>1.34E-4</v>
      </c>
      <c r="P30">
        <v>1.26E-4</v>
      </c>
      <c r="Q30">
        <v>1.1900000000000001E-4</v>
      </c>
      <c r="R30">
        <v>1.11E-4</v>
      </c>
      <c r="S30">
        <v>1.05E-4</v>
      </c>
      <c r="T30">
        <v>9.7999999999999997E-5</v>
      </c>
      <c r="U30">
        <v>9.2E-5</v>
      </c>
      <c r="V30">
        <v>8.7000000000000001E-5</v>
      </c>
      <c r="W30">
        <v>8.1000000000000004E-5</v>
      </c>
      <c r="X30">
        <v>7.6000000000000004E-5</v>
      </c>
      <c r="Y30">
        <v>7.2000000000000002E-5</v>
      </c>
      <c r="Z30">
        <v>6.7000000000000002E-5</v>
      </c>
      <c r="AA30">
        <v>6.3E-5</v>
      </c>
      <c r="AB30">
        <v>5.8999999999999998E-5</v>
      </c>
      <c r="AC30">
        <v>5.5999999999999999E-5</v>
      </c>
      <c r="AD30">
        <v>5.1999999999999997E-5</v>
      </c>
      <c r="AE30">
        <v>4.8999999999999998E-5</v>
      </c>
      <c r="AF30">
        <v>4.6E-5</v>
      </c>
      <c r="AG30" s="20">
        <v>-6.0999999999999999E-2</v>
      </c>
    </row>
    <row r="31" spans="1:33">
      <c r="A31" t="s">
        <v>190</v>
      </c>
      <c r="B31" t="s">
        <v>1834</v>
      </c>
      <c r="C31" t="s">
        <v>1833</v>
      </c>
      <c r="D31" t="s">
        <v>200</v>
      </c>
      <c r="F31">
        <v>1.531E-3</v>
      </c>
      <c r="G31">
        <v>1.3309999999999999E-3</v>
      </c>
      <c r="H31">
        <v>1.207E-3</v>
      </c>
      <c r="I31">
        <v>1.1299999999999999E-3</v>
      </c>
      <c r="J31">
        <v>1.062E-3</v>
      </c>
      <c r="K31">
        <v>9.9700000000000006E-4</v>
      </c>
      <c r="L31">
        <v>9.3599999999999998E-4</v>
      </c>
      <c r="M31">
        <v>8.7900000000000001E-4</v>
      </c>
      <c r="N31">
        <v>8.2600000000000002E-4</v>
      </c>
      <c r="O31">
        <v>7.76E-4</v>
      </c>
      <c r="P31">
        <v>7.2800000000000002E-4</v>
      </c>
      <c r="Q31">
        <v>6.8400000000000004E-4</v>
      </c>
      <c r="R31">
        <v>6.4199999999999999E-4</v>
      </c>
      <c r="S31">
        <v>6.0300000000000002E-4</v>
      </c>
      <c r="T31">
        <v>5.6700000000000001E-4</v>
      </c>
      <c r="U31">
        <v>5.3200000000000003E-4</v>
      </c>
      <c r="V31">
        <v>5.0000000000000001E-4</v>
      </c>
      <c r="W31">
        <v>4.6900000000000002E-4</v>
      </c>
      <c r="X31">
        <v>4.4099999999999999E-4</v>
      </c>
      <c r="Y31">
        <v>4.1399999999999998E-4</v>
      </c>
      <c r="Z31">
        <v>3.8900000000000002E-4</v>
      </c>
      <c r="AA31">
        <v>3.6499999999999998E-4</v>
      </c>
      <c r="AB31">
        <v>3.4299999999999999E-4</v>
      </c>
      <c r="AC31">
        <v>3.2200000000000002E-4</v>
      </c>
      <c r="AD31">
        <v>3.0200000000000002E-4</v>
      </c>
      <c r="AE31">
        <v>2.8400000000000002E-4</v>
      </c>
      <c r="AF31">
        <v>2.6699999999999998E-4</v>
      </c>
      <c r="AG31" s="20">
        <v>-6.5000000000000002E-2</v>
      </c>
    </row>
    <row r="32" spans="1:33">
      <c r="A32" t="s">
        <v>191</v>
      </c>
      <c r="B32" t="s">
        <v>1832</v>
      </c>
      <c r="C32" t="s">
        <v>1831</v>
      </c>
      <c r="D32" t="s">
        <v>200</v>
      </c>
      <c r="F32">
        <v>2.9949999999999998E-3</v>
      </c>
      <c r="G32">
        <v>2.5860000000000002E-3</v>
      </c>
      <c r="H32">
        <v>2.3059999999999999E-3</v>
      </c>
      <c r="I32">
        <v>2.1350000000000002E-3</v>
      </c>
      <c r="J32">
        <v>1.99E-3</v>
      </c>
      <c r="K32">
        <v>1.869E-3</v>
      </c>
      <c r="L32">
        <v>1.755E-3</v>
      </c>
      <c r="M32">
        <v>1.6490000000000001E-3</v>
      </c>
      <c r="N32">
        <v>1.5479999999999999E-3</v>
      </c>
      <c r="O32">
        <v>1.454E-3</v>
      </c>
      <c r="P32">
        <v>1.366E-3</v>
      </c>
      <c r="Q32">
        <v>1.2819999999999999E-3</v>
      </c>
      <c r="R32">
        <v>1.204E-3</v>
      </c>
      <c r="S32">
        <v>1.1310000000000001E-3</v>
      </c>
      <c r="T32">
        <v>1.062E-3</v>
      </c>
      <c r="U32">
        <v>9.9799999999999997E-4</v>
      </c>
      <c r="V32">
        <v>9.3700000000000001E-4</v>
      </c>
      <c r="W32">
        <v>8.8000000000000003E-4</v>
      </c>
      <c r="X32">
        <v>8.2600000000000002E-4</v>
      </c>
      <c r="Y32">
        <v>7.76E-4</v>
      </c>
      <c r="Z32">
        <v>7.2900000000000005E-4</v>
      </c>
      <c r="AA32">
        <v>6.8400000000000004E-4</v>
      </c>
      <c r="AB32">
        <v>6.4300000000000002E-4</v>
      </c>
      <c r="AC32">
        <v>6.0400000000000004E-4</v>
      </c>
      <c r="AD32">
        <v>5.6700000000000001E-4</v>
      </c>
      <c r="AE32">
        <v>5.3200000000000003E-4</v>
      </c>
      <c r="AF32">
        <v>5.0000000000000001E-4</v>
      </c>
      <c r="AG32" s="20">
        <v>-6.7000000000000004E-2</v>
      </c>
    </row>
    <row r="33" spans="1:33">
      <c r="A33" t="s">
        <v>192</v>
      </c>
      <c r="B33" t="s">
        <v>1830</v>
      </c>
      <c r="C33" t="s">
        <v>1829</v>
      </c>
      <c r="D33" t="s">
        <v>200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15</v>
      </c>
    </row>
    <row r="34" spans="1:33">
      <c r="A34" t="s">
        <v>193</v>
      </c>
      <c r="B34" t="s">
        <v>1828</v>
      </c>
      <c r="C34" t="s">
        <v>1827</v>
      </c>
      <c r="D34" t="s">
        <v>200</v>
      </c>
      <c r="F34">
        <v>1.7094000000000002E-2</v>
      </c>
      <c r="G34">
        <v>1.7212000000000002E-2</v>
      </c>
      <c r="H34">
        <v>1.7323999999999999E-2</v>
      </c>
      <c r="I34">
        <v>1.7491E-2</v>
      </c>
      <c r="J34">
        <v>1.7677999999999999E-2</v>
      </c>
      <c r="K34">
        <v>1.7375999999999999E-2</v>
      </c>
      <c r="L34">
        <v>1.7114000000000001E-2</v>
      </c>
      <c r="M34">
        <v>1.6773E-2</v>
      </c>
      <c r="N34">
        <v>1.6348000000000001E-2</v>
      </c>
      <c r="O34">
        <v>1.5785E-2</v>
      </c>
      <c r="P34">
        <v>1.516E-2</v>
      </c>
      <c r="Q34">
        <v>1.4505000000000001E-2</v>
      </c>
      <c r="R34">
        <v>1.3759E-2</v>
      </c>
      <c r="S34">
        <v>1.2952999999999999E-2</v>
      </c>
      <c r="T34">
        <v>1.2102999999999999E-2</v>
      </c>
      <c r="U34">
        <v>1.1240999999999999E-2</v>
      </c>
      <c r="V34">
        <v>1.0390999999999999E-2</v>
      </c>
      <c r="W34">
        <v>9.5709999999999996E-3</v>
      </c>
      <c r="X34">
        <v>8.848E-3</v>
      </c>
      <c r="Y34">
        <v>8.1939999999999999E-3</v>
      </c>
      <c r="Z34">
        <v>7.6309999999999998E-3</v>
      </c>
      <c r="AA34">
        <v>7.123E-3</v>
      </c>
      <c r="AB34">
        <v>6.7089999999999997E-3</v>
      </c>
      <c r="AC34">
        <v>6.3709999999999999E-3</v>
      </c>
      <c r="AD34">
        <v>6.1079999999999997E-3</v>
      </c>
      <c r="AE34">
        <v>5.8770000000000003E-3</v>
      </c>
      <c r="AF34">
        <v>5.6889999999999996E-3</v>
      </c>
      <c r="AG34" s="20">
        <v>-4.1000000000000002E-2</v>
      </c>
    </row>
    <row r="35" spans="1:33">
      <c r="A35" t="s">
        <v>194</v>
      </c>
      <c r="B35" t="s">
        <v>1826</v>
      </c>
      <c r="C35" t="s">
        <v>1825</v>
      </c>
      <c r="D35" t="s">
        <v>200</v>
      </c>
      <c r="F35">
        <v>12.953704999999999</v>
      </c>
      <c r="G35">
        <v>14.464029</v>
      </c>
      <c r="H35">
        <v>16.316293999999999</v>
      </c>
      <c r="I35">
        <v>18.361877</v>
      </c>
      <c r="J35">
        <v>20.291938999999999</v>
      </c>
      <c r="K35">
        <v>22.087965000000001</v>
      </c>
      <c r="L35">
        <v>23.936394</v>
      </c>
      <c r="M35">
        <v>25.734532999999999</v>
      </c>
      <c r="N35">
        <v>27.615805000000002</v>
      </c>
      <c r="O35">
        <v>29.323630999999999</v>
      </c>
      <c r="P35">
        <v>31.161090999999999</v>
      </c>
      <c r="Q35">
        <v>33.070404000000003</v>
      </c>
      <c r="R35">
        <v>34.933650999999998</v>
      </c>
      <c r="S35">
        <v>36.764729000000003</v>
      </c>
      <c r="T35">
        <v>38.563175000000001</v>
      </c>
      <c r="U35">
        <v>40.360698999999997</v>
      </c>
      <c r="V35">
        <v>42.083294000000002</v>
      </c>
      <c r="W35">
        <v>43.677886999999998</v>
      </c>
      <c r="X35">
        <v>45.142798999999997</v>
      </c>
      <c r="Y35">
        <v>46.491135</v>
      </c>
      <c r="Z35">
        <v>47.716636999999999</v>
      </c>
      <c r="AA35">
        <v>48.841591000000001</v>
      </c>
      <c r="AB35">
        <v>49.848407999999999</v>
      </c>
      <c r="AC35">
        <v>50.742747999999999</v>
      </c>
      <c r="AD35">
        <v>51.540393999999999</v>
      </c>
      <c r="AE35">
        <v>52.255763999999999</v>
      </c>
      <c r="AF35">
        <v>52.943821</v>
      </c>
      <c r="AG35" s="20">
        <v>5.6000000000000001E-2</v>
      </c>
    </row>
    <row r="36" spans="1:33">
      <c r="A36" t="s">
        <v>73</v>
      </c>
      <c r="B36" t="s">
        <v>1824</v>
      </c>
      <c r="C36" t="s">
        <v>1823</v>
      </c>
      <c r="D36" t="s">
        <v>200</v>
      </c>
      <c r="F36">
        <v>122.178185</v>
      </c>
      <c r="G36">
        <v>120.938492</v>
      </c>
      <c r="H36">
        <v>119.763336</v>
      </c>
      <c r="I36">
        <v>118.500595</v>
      </c>
      <c r="J36">
        <v>116.969604</v>
      </c>
      <c r="K36">
        <v>115.39434799999999</v>
      </c>
      <c r="L36">
        <v>113.86288500000001</v>
      </c>
      <c r="M36">
        <v>112.237602</v>
      </c>
      <c r="N36">
        <v>110.583733</v>
      </c>
      <c r="O36">
        <v>108.95560500000001</v>
      </c>
      <c r="P36">
        <v>107.644836</v>
      </c>
      <c r="Q36">
        <v>106.424423</v>
      </c>
      <c r="R36">
        <v>105.305862</v>
      </c>
      <c r="S36">
        <v>104.37908899999999</v>
      </c>
      <c r="T36">
        <v>103.676086</v>
      </c>
      <c r="U36">
        <v>103.16687</v>
      </c>
      <c r="V36">
        <v>102.764709</v>
      </c>
      <c r="W36">
        <v>102.430328</v>
      </c>
      <c r="X36">
        <v>102.146294</v>
      </c>
      <c r="Y36">
        <v>101.89357</v>
      </c>
      <c r="Z36">
        <v>101.637497</v>
      </c>
      <c r="AA36">
        <v>101.38788599999999</v>
      </c>
      <c r="AB36">
        <v>101.08474</v>
      </c>
      <c r="AC36">
        <v>100.72556299999999</v>
      </c>
      <c r="AD36">
        <v>100.32182299999999</v>
      </c>
      <c r="AE36">
        <v>99.894974000000005</v>
      </c>
      <c r="AF36">
        <v>99.518021000000005</v>
      </c>
      <c r="AG36" s="20">
        <v>-8.0000000000000002E-3</v>
      </c>
    </row>
    <row r="37" spans="1:33">
      <c r="A37" t="s">
        <v>195</v>
      </c>
    </row>
    <row r="38" spans="1:33">
      <c r="A38" t="s">
        <v>196</v>
      </c>
    </row>
    <row r="39" spans="1:33">
      <c r="A39" t="s">
        <v>181</v>
      </c>
      <c r="B39" t="s">
        <v>1822</v>
      </c>
      <c r="C39" t="s">
        <v>1821</v>
      </c>
      <c r="D39" t="s">
        <v>200</v>
      </c>
      <c r="F39">
        <v>122.602211</v>
      </c>
      <c r="G39">
        <v>123.597122</v>
      </c>
      <c r="H39">
        <v>124.07770499999999</v>
      </c>
      <c r="I39">
        <v>125.185158</v>
      </c>
      <c r="J39">
        <v>126.13748200000001</v>
      </c>
      <c r="K39">
        <v>126.961922</v>
      </c>
      <c r="L39">
        <v>127.490517</v>
      </c>
      <c r="M39">
        <v>127.716103</v>
      </c>
      <c r="N39">
        <v>127.737015</v>
      </c>
      <c r="O39">
        <v>127.87170399999999</v>
      </c>
      <c r="P39">
        <v>127.633965</v>
      </c>
      <c r="Q39">
        <v>127.17414100000001</v>
      </c>
      <c r="R39">
        <v>126.50900300000001</v>
      </c>
      <c r="S39">
        <v>125.67581199999999</v>
      </c>
      <c r="T39">
        <v>124.71436300000001</v>
      </c>
      <c r="U39">
        <v>123.672867</v>
      </c>
      <c r="V39">
        <v>122.624039</v>
      </c>
      <c r="W39">
        <v>121.549408</v>
      </c>
      <c r="X39">
        <v>120.468895</v>
      </c>
      <c r="Y39">
        <v>119.372551</v>
      </c>
      <c r="Z39">
        <v>118.32049600000001</v>
      </c>
      <c r="AA39">
        <v>117.268692</v>
      </c>
      <c r="AB39">
        <v>116.23584</v>
      </c>
      <c r="AC39">
        <v>115.21210499999999</v>
      </c>
      <c r="AD39">
        <v>114.160583</v>
      </c>
      <c r="AE39">
        <v>113.100105</v>
      </c>
      <c r="AF39">
        <v>111.98960099999999</v>
      </c>
      <c r="AG39" s="20">
        <v>-3.0000000000000001E-3</v>
      </c>
    </row>
    <row r="40" spans="1:33">
      <c r="A40" t="s">
        <v>182</v>
      </c>
      <c r="B40" t="s">
        <v>1820</v>
      </c>
      <c r="C40" t="s">
        <v>1819</v>
      </c>
      <c r="D40" t="s">
        <v>200</v>
      </c>
      <c r="F40">
        <v>1.071032</v>
      </c>
      <c r="G40">
        <v>1.213133</v>
      </c>
      <c r="H40">
        <v>1.3465469999999999</v>
      </c>
      <c r="I40">
        <v>1.46787</v>
      </c>
      <c r="J40">
        <v>1.5797559999999999</v>
      </c>
      <c r="K40">
        <v>1.6906760000000001</v>
      </c>
      <c r="L40">
        <v>1.7601</v>
      </c>
      <c r="M40">
        <v>1.8229960000000001</v>
      </c>
      <c r="N40">
        <v>1.8818440000000001</v>
      </c>
      <c r="O40">
        <v>1.9443349999999999</v>
      </c>
      <c r="P40">
        <v>1.999323</v>
      </c>
      <c r="Q40">
        <v>2.0485660000000001</v>
      </c>
      <c r="R40">
        <v>2.0930599999999999</v>
      </c>
      <c r="S40">
        <v>2.1308479999999999</v>
      </c>
      <c r="T40">
        <v>2.1627239999999999</v>
      </c>
      <c r="U40">
        <v>2.1899769999999998</v>
      </c>
      <c r="V40">
        <v>2.2130800000000002</v>
      </c>
      <c r="W40">
        <v>2.2322739999999999</v>
      </c>
      <c r="X40">
        <v>2.246032</v>
      </c>
      <c r="Y40">
        <v>2.2551909999999999</v>
      </c>
      <c r="Z40">
        <v>2.2600150000000001</v>
      </c>
      <c r="AA40">
        <v>2.261415</v>
      </c>
      <c r="AB40">
        <v>2.2618490000000002</v>
      </c>
      <c r="AC40">
        <v>2.260939</v>
      </c>
      <c r="AD40">
        <v>2.2580719999999999</v>
      </c>
      <c r="AE40">
        <v>2.2546040000000001</v>
      </c>
      <c r="AF40">
        <v>2.2503860000000002</v>
      </c>
      <c r="AG40" s="20">
        <v>2.9000000000000001E-2</v>
      </c>
    </row>
    <row r="41" spans="1:33">
      <c r="A41" t="s">
        <v>197</v>
      </c>
      <c r="B41" t="s">
        <v>1818</v>
      </c>
      <c r="C41" t="s">
        <v>1817</v>
      </c>
      <c r="D41" t="s">
        <v>200</v>
      </c>
      <c r="F41">
        <v>123.673241</v>
      </c>
      <c r="G41">
        <v>124.81025700000001</v>
      </c>
      <c r="H41">
        <v>125.424255</v>
      </c>
      <c r="I41">
        <v>126.65303</v>
      </c>
      <c r="J41">
        <v>127.71723900000001</v>
      </c>
      <c r="K41">
        <v>128.652603</v>
      </c>
      <c r="L41">
        <v>129.25060999999999</v>
      </c>
      <c r="M41">
        <v>129.53909300000001</v>
      </c>
      <c r="N41">
        <v>129.618866</v>
      </c>
      <c r="O41">
        <v>129.81603999999999</v>
      </c>
      <c r="P41">
        <v>129.633286</v>
      </c>
      <c r="Q41">
        <v>129.222702</v>
      </c>
      <c r="R41">
        <v>128.60206600000001</v>
      </c>
      <c r="S41">
        <v>127.806656</v>
      </c>
      <c r="T41">
        <v>126.87709</v>
      </c>
      <c r="U41">
        <v>125.862846</v>
      </c>
      <c r="V41">
        <v>124.83712</v>
      </c>
      <c r="W41">
        <v>123.781685</v>
      </c>
      <c r="X41">
        <v>122.714928</v>
      </c>
      <c r="Y41">
        <v>121.62773900000001</v>
      </c>
      <c r="Z41">
        <v>120.580513</v>
      </c>
      <c r="AA41">
        <v>119.530106</v>
      </c>
      <c r="AB41">
        <v>118.497688</v>
      </c>
      <c r="AC41">
        <v>117.473045</v>
      </c>
      <c r="AD41">
        <v>116.418655</v>
      </c>
      <c r="AE41">
        <v>115.35470599999999</v>
      </c>
      <c r="AF41">
        <v>114.23999000000001</v>
      </c>
      <c r="AG41" s="20">
        <v>-3.0000000000000001E-3</v>
      </c>
    </row>
    <row r="42" spans="1:33">
      <c r="A42" t="s">
        <v>198</v>
      </c>
    </row>
    <row r="43" spans="1:33">
      <c r="A43" t="s">
        <v>185</v>
      </c>
      <c r="B43" t="s">
        <v>1816</v>
      </c>
      <c r="C43" t="s">
        <v>1815</v>
      </c>
      <c r="D43" t="s">
        <v>200</v>
      </c>
      <c r="F43">
        <v>14.794088</v>
      </c>
      <c r="G43">
        <v>14.26782</v>
      </c>
      <c r="H43">
        <v>13.725348</v>
      </c>
      <c r="I43">
        <v>13.142136000000001</v>
      </c>
      <c r="J43">
        <v>12.529042</v>
      </c>
      <c r="K43">
        <v>11.889238000000001</v>
      </c>
      <c r="L43">
        <v>11.197042</v>
      </c>
      <c r="M43">
        <v>10.492464</v>
      </c>
      <c r="N43">
        <v>9.8005469999999999</v>
      </c>
      <c r="O43">
        <v>9.1317459999999997</v>
      </c>
      <c r="P43">
        <v>8.4819300000000002</v>
      </c>
      <c r="Q43">
        <v>7.8681229999999998</v>
      </c>
      <c r="R43">
        <v>7.3014169999999998</v>
      </c>
      <c r="S43">
        <v>6.7834430000000001</v>
      </c>
      <c r="T43">
        <v>6.3223209999999996</v>
      </c>
      <c r="U43">
        <v>5.9155230000000003</v>
      </c>
      <c r="V43">
        <v>5.5534230000000004</v>
      </c>
      <c r="W43">
        <v>5.2276680000000004</v>
      </c>
      <c r="X43">
        <v>4.9411839999999998</v>
      </c>
      <c r="Y43">
        <v>4.6852119999999999</v>
      </c>
      <c r="Z43">
        <v>4.4571750000000003</v>
      </c>
      <c r="AA43">
        <v>4.2489439999999998</v>
      </c>
      <c r="AB43">
        <v>4.0590789999999997</v>
      </c>
      <c r="AC43">
        <v>3.8813520000000001</v>
      </c>
      <c r="AD43">
        <v>3.7131080000000001</v>
      </c>
      <c r="AE43">
        <v>3.5547119999999999</v>
      </c>
      <c r="AF43">
        <v>3.4045770000000002</v>
      </c>
      <c r="AG43" s="20">
        <v>-5.5E-2</v>
      </c>
    </row>
    <row r="44" spans="1:33">
      <c r="A44" t="s">
        <v>696</v>
      </c>
      <c r="B44" t="s">
        <v>1814</v>
      </c>
      <c r="C44" t="s">
        <v>1813</v>
      </c>
      <c r="D44" t="s">
        <v>200</v>
      </c>
      <c r="F44">
        <v>5.3600000000000002E-4</v>
      </c>
      <c r="G44">
        <v>4.8299999999999998E-4</v>
      </c>
      <c r="H44">
        <v>4.37E-4</v>
      </c>
      <c r="I44">
        <v>3.97E-4</v>
      </c>
      <c r="J44">
        <v>3.6200000000000002E-4</v>
      </c>
      <c r="K44">
        <v>3.2899999999999997E-4</v>
      </c>
      <c r="L44">
        <v>2.9799999999999998E-4</v>
      </c>
      <c r="M44">
        <v>2.7099999999999997E-4</v>
      </c>
      <c r="N44">
        <v>2.4600000000000002E-4</v>
      </c>
      <c r="O44">
        <v>2.23E-4</v>
      </c>
      <c r="P44">
        <v>2.03E-4</v>
      </c>
      <c r="Q44">
        <v>1.8599999999999999E-4</v>
      </c>
      <c r="R44">
        <v>1.7000000000000001E-4</v>
      </c>
      <c r="S44">
        <v>1.5699999999999999E-4</v>
      </c>
      <c r="T44">
        <v>1.45E-4</v>
      </c>
      <c r="U44">
        <v>1.34E-4</v>
      </c>
      <c r="V44">
        <v>1.2400000000000001E-4</v>
      </c>
      <c r="W44">
        <v>1.1400000000000001E-4</v>
      </c>
      <c r="X44">
        <v>1.06E-4</v>
      </c>
      <c r="Y44">
        <v>9.7999999999999997E-5</v>
      </c>
      <c r="Z44">
        <v>9.1000000000000003E-5</v>
      </c>
      <c r="AA44">
        <v>8.3999999999999995E-5</v>
      </c>
      <c r="AB44">
        <v>7.7999999999999999E-5</v>
      </c>
      <c r="AC44">
        <v>7.2000000000000002E-5</v>
      </c>
      <c r="AD44">
        <v>6.7000000000000002E-5</v>
      </c>
      <c r="AE44">
        <v>6.2000000000000003E-5</v>
      </c>
      <c r="AF44">
        <v>5.7000000000000003E-5</v>
      </c>
      <c r="AG44" s="20">
        <v>-8.2000000000000003E-2</v>
      </c>
    </row>
    <row r="45" spans="1:33">
      <c r="A45" t="s">
        <v>695</v>
      </c>
      <c r="B45" t="s">
        <v>1812</v>
      </c>
      <c r="C45" t="s">
        <v>1811</v>
      </c>
      <c r="D45" t="s">
        <v>200</v>
      </c>
      <c r="F45">
        <v>0.17559</v>
      </c>
      <c r="G45">
        <v>0.26069700000000001</v>
      </c>
      <c r="H45">
        <v>0.58880699999999997</v>
      </c>
      <c r="I45">
        <v>0.78061800000000003</v>
      </c>
      <c r="J45">
        <v>0.93684699999999999</v>
      </c>
      <c r="K45">
        <v>1.068935</v>
      </c>
      <c r="L45">
        <v>1.1635329999999999</v>
      </c>
      <c r="M45">
        <v>1.2701</v>
      </c>
      <c r="N45">
        <v>1.394074</v>
      </c>
      <c r="O45">
        <v>1.4815560000000001</v>
      </c>
      <c r="P45">
        <v>1.576978</v>
      </c>
      <c r="Q45">
        <v>1.6850099999999999</v>
      </c>
      <c r="R45">
        <v>1.8017049999999999</v>
      </c>
      <c r="S45">
        <v>1.923624</v>
      </c>
      <c r="T45">
        <v>2.0508649999999999</v>
      </c>
      <c r="U45">
        <v>2.183408</v>
      </c>
      <c r="V45">
        <v>2.3182070000000001</v>
      </c>
      <c r="W45">
        <v>2.4520360000000001</v>
      </c>
      <c r="X45">
        <v>2.583637</v>
      </c>
      <c r="Y45">
        <v>2.7134860000000001</v>
      </c>
      <c r="Z45">
        <v>2.8407589999999998</v>
      </c>
      <c r="AA45">
        <v>2.9662320000000002</v>
      </c>
      <c r="AB45">
        <v>3.0892469999999999</v>
      </c>
      <c r="AC45">
        <v>3.2089500000000002</v>
      </c>
      <c r="AD45">
        <v>3.3264179999999999</v>
      </c>
      <c r="AE45">
        <v>3.4413999999999998</v>
      </c>
      <c r="AF45">
        <v>3.5571449999999998</v>
      </c>
      <c r="AG45" s="20">
        <v>0.123</v>
      </c>
    </row>
    <row r="46" spans="1:33">
      <c r="A46" t="s">
        <v>694</v>
      </c>
      <c r="B46" t="s">
        <v>1810</v>
      </c>
      <c r="C46" t="s">
        <v>1809</v>
      </c>
      <c r="D46" t="s">
        <v>200</v>
      </c>
      <c r="F46">
        <v>0.45758599999999999</v>
      </c>
      <c r="G46">
        <v>0.92208000000000001</v>
      </c>
      <c r="H46">
        <v>1.4762390000000001</v>
      </c>
      <c r="I46">
        <v>2.0919080000000001</v>
      </c>
      <c r="J46">
        <v>2.7149969999999999</v>
      </c>
      <c r="K46">
        <v>3.3253560000000002</v>
      </c>
      <c r="L46">
        <v>3.7993299999999999</v>
      </c>
      <c r="M46">
        <v>4.2905930000000003</v>
      </c>
      <c r="N46">
        <v>4.8166580000000003</v>
      </c>
      <c r="O46">
        <v>5.250108</v>
      </c>
      <c r="P46">
        <v>5.698887</v>
      </c>
      <c r="Q46">
        <v>6.1740649999999997</v>
      </c>
      <c r="R46">
        <v>6.6656139999999997</v>
      </c>
      <c r="S46">
        <v>7.1621449999999998</v>
      </c>
      <c r="T46">
        <v>7.6618190000000004</v>
      </c>
      <c r="U46">
        <v>8.1631929999999997</v>
      </c>
      <c r="V46">
        <v>8.6570579999999993</v>
      </c>
      <c r="W46">
        <v>9.1358859999999993</v>
      </c>
      <c r="X46">
        <v>9.5951789999999999</v>
      </c>
      <c r="Y46">
        <v>10.034424</v>
      </c>
      <c r="Z46">
        <v>10.452215000000001</v>
      </c>
      <c r="AA46">
        <v>10.850963999999999</v>
      </c>
      <c r="AB46">
        <v>11.228305000000001</v>
      </c>
      <c r="AC46">
        <v>11.585025999999999</v>
      </c>
      <c r="AD46">
        <v>11.923116</v>
      </c>
      <c r="AE46">
        <v>12.243358000000001</v>
      </c>
      <c r="AF46">
        <v>12.557769</v>
      </c>
      <c r="AG46" s="20">
        <v>0.13600000000000001</v>
      </c>
    </row>
    <row r="47" spans="1:33">
      <c r="A47" t="s">
        <v>693</v>
      </c>
      <c r="B47" t="s">
        <v>1808</v>
      </c>
      <c r="C47" t="s">
        <v>1807</v>
      </c>
      <c r="D47" t="s">
        <v>200</v>
      </c>
      <c r="F47">
        <v>0.64550799999999997</v>
      </c>
      <c r="G47">
        <v>0.89343499999999998</v>
      </c>
      <c r="H47">
        <v>1.447883</v>
      </c>
      <c r="I47">
        <v>1.7944450000000001</v>
      </c>
      <c r="J47">
        <v>2.1400239999999999</v>
      </c>
      <c r="K47">
        <v>2.427181</v>
      </c>
      <c r="L47">
        <v>2.7416390000000002</v>
      </c>
      <c r="M47">
        <v>3.0513750000000002</v>
      </c>
      <c r="N47">
        <v>3.3595090000000001</v>
      </c>
      <c r="O47">
        <v>3.6159859999999999</v>
      </c>
      <c r="P47">
        <v>3.8773240000000002</v>
      </c>
      <c r="Q47">
        <v>4.152031</v>
      </c>
      <c r="R47">
        <v>4.4107890000000003</v>
      </c>
      <c r="S47">
        <v>4.6647360000000004</v>
      </c>
      <c r="T47">
        <v>4.9148379999999996</v>
      </c>
      <c r="U47">
        <v>5.1600440000000001</v>
      </c>
      <c r="V47">
        <v>5.3934249999999997</v>
      </c>
      <c r="W47">
        <v>5.6113350000000004</v>
      </c>
      <c r="X47">
        <v>5.8120390000000004</v>
      </c>
      <c r="Y47">
        <v>5.995546</v>
      </c>
      <c r="Z47">
        <v>6.1615310000000001</v>
      </c>
      <c r="AA47">
        <v>6.3107480000000002</v>
      </c>
      <c r="AB47">
        <v>6.4453379999999996</v>
      </c>
      <c r="AC47">
        <v>6.5666919999999998</v>
      </c>
      <c r="AD47">
        <v>6.67502</v>
      </c>
      <c r="AE47">
        <v>6.7724570000000002</v>
      </c>
      <c r="AF47">
        <v>6.860519</v>
      </c>
      <c r="AG47" s="20">
        <v>9.5000000000000001E-2</v>
      </c>
    </row>
    <row r="48" spans="1:33">
      <c r="A48" t="s">
        <v>692</v>
      </c>
      <c r="B48" t="s">
        <v>1806</v>
      </c>
      <c r="C48" t="s">
        <v>1805</v>
      </c>
      <c r="D48" t="s">
        <v>200</v>
      </c>
      <c r="F48">
        <v>0.14818100000000001</v>
      </c>
      <c r="G48">
        <v>0.36060399999999998</v>
      </c>
      <c r="H48">
        <v>0.64673000000000003</v>
      </c>
      <c r="I48">
        <v>0.96714900000000004</v>
      </c>
      <c r="J48">
        <v>1.1982600000000001</v>
      </c>
      <c r="K48">
        <v>1.377591</v>
      </c>
      <c r="L48">
        <v>1.74356</v>
      </c>
      <c r="M48">
        <v>2.102026</v>
      </c>
      <c r="N48">
        <v>2.4561959999999998</v>
      </c>
      <c r="O48">
        <v>2.7676289999999999</v>
      </c>
      <c r="P48">
        <v>3.0870160000000002</v>
      </c>
      <c r="Q48">
        <v>3.4222899999999998</v>
      </c>
      <c r="R48">
        <v>3.8247040000000001</v>
      </c>
      <c r="S48">
        <v>4.2220589999999998</v>
      </c>
      <c r="T48">
        <v>4.61496</v>
      </c>
      <c r="U48">
        <v>5.0050080000000001</v>
      </c>
      <c r="V48">
        <v>5.3880109999999997</v>
      </c>
      <c r="W48">
        <v>5.7584860000000004</v>
      </c>
      <c r="X48">
        <v>6.1135640000000002</v>
      </c>
      <c r="Y48">
        <v>6.4517600000000002</v>
      </c>
      <c r="Z48">
        <v>6.772265</v>
      </c>
      <c r="AA48">
        <v>7.0746840000000004</v>
      </c>
      <c r="AB48">
        <v>7.3582049999999999</v>
      </c>
      <c r="AC48">
        <v>7.6228749999999996</v>
      </c>
      <c r="AD48">
        <v>7.8675040000000003</v>
      </c>
      <c r="AE48">
        <v>8.0928609999999992</v>
      </c>
      <c r="AF48">
        <v>8.303077</v>
      </c>
      <c r="AG48" s="20">
        <v>0.16700000000000001</v>
      </c>
    </row>
    <row r="49" spans="1:34">
      <c r="A49" t="s">
        <v>186</v>
      </c>
      <c r="B49" t="s">
        <v>1804</v>
      </c>
      <c r="C49" t="s">
        <v>1803</v>
      </c>
      <c r="D49" t="s">
        <v>200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t="s">
        <v>15</v>
      </c>
    </row>
    <row r="50" spans="1:34">
      <c r="A50" t="s">
        <v>187</v>
      </c>
      <c r="B50" t="s">
        <v>1802</v>
      </c>
      <c r="C50" t="s">
        <v>1801</v>
      </c>
      <c r="D50" t="s">
        <v>200</v>
      </c>
      <c r="F50">
        <v>3.349602</v>
      </c>
      <c r="G50">
        <v>4.1830809999999996</v>
      </c>
      <c r="H50">
        <v>5.2982680000000002</v>
      </c>
      <c r="I50">
        <v>6.1546149999999997</v>
      </c>
      <c r="J50">
        <v>6.9858190000000002</v>
      </c>
      <c r="K50">
        <v>7.8412740000000003</v>
      </c>
      <c r="L50">
        <v>8.7270520000000005</v>
      </c>
      <c r="M50">
        <v>9.5878870000000003</v>
      </c>
      <c r="N50">
        <v>10.431224</v>
      </c>
      <c r="O50">
        <v>11.323978</v>
      </c>
      <c r="P50">
        <v>12.183553</v>
      </c>
      <c r="Q50">
        <v>13.027006</v>
      </c>
      <c r="R50">
        <v>13.853551</v>
      </c>
      <c r="S50">
        <v>14.654529999999999</v>
      </c>
      <c r="T50">
        <v>15.429045</v>
      </c>
      <c r="U50">
        <v>16.175438</v>
      </c>
      <c r="V50">
        <v>16.896954000000001</v>
      </c>
      <c r="W50">
        <v>17.584748999999999</v>
      </c>
      <c r="X50">
        <v>18.240337</v>
      </c>
      <c r="Y50">
        <v>18.860395</v>
      </c>
      <c r="Z50">
        <v>19.456378999999998</v>
      </c>
      <c r="AA50">
        <v>20.027346000000001</v>
      </c>
      <c r="AB50">
        <v>20.583994000000001</v>
      </c>
      <c r="AC50">
        <v>21.128261999999999</v>
      </c>
      <c r="AD50">
        <v>21.654205000000001</v>
      </c>
      <c r="AE50">
        <v>22.167380999999999</v>
      </c>
      <c r="AF50">
        <v>22.661224000000001</v>
      </c>
      <c r="AG50" s="20">
        <v>7.5999999999999998E-2</v>
      </c>
    </row>
    <row r="51" spans="1:34">
      <c r="A51" t="s">
        <v>188</v>
      </c>
      <c r="B51" t="s">
        <v>1800</v>
      </c>
      <c r="C51" t="s">
        <v>1799</v>
      </c>
      <c r="D51" t="s">
        <v>200</v>
      </c>
      <c r="F51">
        <v>2.4550000000000002E-3</v>
      </c>
      <c r="G51">
        <v>2.287E-3</v>
      </c>
      <c r="H51">
        <v>2.1250000000000002E-3</v>
      </c>
      <c r="I51">
        <v>1.9719999999999998E-3</v>
      </c>
      <c r="J51">
        <v>1.8320000000000001E-3</v>
      </c>
      <c r="K51">
        <v>1.7099999999999999E-3</v>
      </c>
      <c r="L51">
        <v>1.596E-3</v>
      </c>
      <c r="M51">
        <v>1.485E-3</v>
      </c>
      <c r="N51">
        <v>1.379E-3</v>
      </c>
      <c r="O51">
        <v>1.279E-3</v>
      </c>
      <c r="P51">
        <v>1.1850000000000001E-3</v>
      </c>
      <c r="Q51">
        <v>1.098E-3</v>
      </c>
      <c r="R51">
        <v>1.0200000000000001E-3</v>
      </c>
      <c r="S51">
        <v>9.5500000000000001E-4</v>
      </c>
      <c r="T51">
        <v>8.9400000000000005E-4</v>
      </c>
      <c r="U51">
        <v>8.3900000000000001E-4</v>
      </c>
      <c r="V51">
        <v>7.8799999999999996E-4</v>
      </c>
      <c r="W51">
        <v>7.3999999999999999E-4</v>
      </c>
      <c r="X51">
        <v>6.9399999999999996E-4</v>
      </c>
      <c r="Y51">
        <v>6.5200000000000002E-4</v>
      </c>
      <c r="Z51">
        <v>6.1200000000000002E-4</v>
      </c>
      <c r="AA51">
        <v>5.7499999999999999E-4</v>
      </c>
      <c r="AB51">
        <v>5.4000000000000001E-4</v>
      </c>
      <c r="AC51">
        <v>5.0699999999999996E-4</v>
      </c>
      <c r="AD51">
        <v>4.7600000000000002E-4</v>
      </c>
      <c r="AE51">
        <v>4.4700000000000002E-4</v>
      </c>
      <c r="AF51">
        <v>4.2000000000000002E-4</v>
      </c>
      <c r="AG51" s="20">
        <v>-6.6000000000000003E-2</v>
      </c>
    </row>
    <row r="52" spans="1:34">
      <c r="A52" t="s">
        <v>189</v>
      </c>
      <c r="B52" t="s">
        <v>1798</v>
      </c>
      <c r="C52" t="s">
        <v>1797</v>
      </c>
      <c r="D52" t="s">
        <v>200</v>
      </c>
      <c r="F52">
        <v>1.8489999999999999E-3</v>
      </c>
      <c r="G52">
        <v>1.7359999999999999E-3</v>
      </c>
      <c r="H52">
        <v>1.629E-3</v>
      </c>
      <c r="I52">
        <v>1.529E-3</v>
      </c>
      <c r="J52">
        <v>1.436E-3</v>
      </c>
      <c r="K52">
        <v>1.3470000000000001E-3</v>
      </c>
      <c r="L52">
        <v>1.2650000000000001E-3</v>
      </c>
      <c r="M52">
        <v>1.1869999999999999E-3</v>
      </c>
      <c r="N52">
        <v>1.1150000000000001E-3</v>
      </c>
      <c r="O52">
        <v>1.0460000000000001E-3</v>
      </c>
      <c r="P52">
        <v>9.8200000000000002E-4</v>
      </c>
      <c r="Q52">
        <v>9.2199999999999997E-4</v>
      </c>
      <c r="R52">
        <v>8.6499999999999999E-4</v>
      </c>
      <c r="S52">
        <v>8.1300000000000003E-4</v>
      </c>
      <c r="T52">
        <v>7.6300000000000001E-4</v>
      </c>
      <c r="U52">
        <v>7.1599999999999995E-4</v>
      </c>
      <c r="V52">
        <v>6.7199999999999996E-4</v>
      </c>
      <c r="W52">
        <v>6.3100000000000005E-4</v>
      </c>
      <c r="X52">
        <v>5.9299999999999999E-4</v>
      </c>
      <c r="Y52">
        <v>5.5599999999999996E-4</v>
      </c>
      <c r="Z52">
        <v>5.22E-4</v>
      </c>
      <c r="AA52">
        <v>4.8999999999999998E-4</v>
      </c>
      <c r="AB52">
        <v>4.6000000000000001E-4</v>
      </c>
      <c r="AC52">
        <v>4.3199999999999998E-4</v>
      </c>
      <c r="AD52">
        <v>4.06E-4</v>
      </c>
      <c r="AE52">
        <v>3.8099999999999999E-4</v>
      </c>
      <c r="AF52">
        <v>3.5799999999999997E-4</v>
      </c>
      <c r="AG52" s="20">
        <v>-6.0999999999999999E-2</v>
      </c>
    </row>
    <row r="53" spans="1:34">
      <c r="A53" t="s">
        <v>190</v>
      </c>
      <c r="B53" t="s">
        <v>1796</v>
      </c>
      <c r="C53" t="s">
        <v>1795</v>
      </c>
      <c r="D53" t="s">
        <v>200</v>
      </c>
      <c r="F53">
        <v>4.6610000000000002E-3</v>
      </c>
      <c r="G53">
        <v>4.248E-3</v>
      </c>
      <c r="H53">
        <v>3.9309999999999996E-3</v>
      </c>
      <c r="I53">
        <v>3.6800000000000001E-3</v>
      </c>
      <c r="J53">
        <v>3.454E-3</v>
      </c>
      <c r="K53">
        <v>3.2420000000000001E-3</v>
      </c>
      <c r="L53">
        <v>3.0439999999999998E-3</v>
      </c>
      <c r="M53">
        <v>2.8570000000000002E-3</v>
      </c>
      <c r="N53">
        <v>2.6819999999999999E-3</v>
      </c>
      <c r="O53">
        <v>2.5170000000000001E-3</v>
      </c>
      <c r="P53">
        <v>2.3630000000000001E-3</v>
      </c>
      <c r="Q53">
        <v>2.2179999999999999E-3</v>
      </c>
      <c r="R53">
        <v>2.0820000000000001E-3</v>
      </c>
      <c r="S53">
        <v>1.9550000000000001E-3</v>
      </c>
      <c r="T53">
        <v>1.835E-3</v>
      </c>
      <c r="U53">
        <v>1.7229999999999999E-3</v>
      </c>
      <c r="V53">
        <v>1.6169999999999999E-3</v>
      </c>
      <c r="W53">
        <v>1.518E-3</v>
      </c>
      <c r="X53">
        <v>1.426E-3</v>
      </c>
      <c r="Y53">
        <v>1.338E-3</v>
      </c>
      <c r="Z53">
        <v>1.2570000000000001E-3</v>
      </c>
      <c r="AA53">
        <v>1.1800000000000001E-3</v>
      </c>
      <c r="AB53">
        <v>1.108E-3</v>
      </c>
      <c r="AC53">
        <v>1.0399999999999999E-3</v>
      </c>
      <c r="AD53">
        <v>9.7599999999999998E-4</v>
      </c>
      <c r="AE53">
        <v>9.1699999999999995E-4</v>
      </c>
      <c r="AF53">
        <v>8.61E-4</v>
      </c>
      <c r="AG53" s="20">
        <v>-6.3E-2</v>
      </c>
    </row>
    <row r="54" spans="1:34">
      <c r="A54" t="s">
        <v>191</v>
      </c>
      <c r="B54" t="s">
        <v>1794</v>
      </c>
      <c r="C54" t="s">
        <v>1793</v>
      </c>
      <c r="D54" t="s">
        <v>200</v>
      </c>
      <c r="F54">
        <v>4.3379999999999998E-3</v>
      </c>
      <c r="G54">
        <v>4.0720000000000001E-3</v>
      </c>
      <c r="H54">
        <v>3.8219999999999999E-3</v>
      </c>
      <c r="I54">
        <v>3.5869999999999999E-3</v>
      </c>
      <c r="J54">
        <v>3.3670000000000002E-3</v>
      </c>
      <c r="K54">
        <v>3.1610000000000002E-3</v>
      </c>
      <c r="L54">
        <v>2.967E-3</v>
      </c>
      <c r="M54">
        <v>2.7850000000000001E-3</v>
      </c>
      <c r="N54">
        <v>2.614E-3</v>
      </c>
      <c r="O54">
        <v>2.454E-3</v>
      </c>
      <c r="P54">
        <v>2.3040000000000001E-3</v>
      </c>
      <c r="Q54">
        <v>2.1619999999999999E-3</v>
      </c>
      <c r="R54">
        <v>2.0300000000000001E-3</v>
      </c>
      <c r="S54">
        <v>1.9059999999999999E-3</v>
      </c>
      <c r="T54">
        <v>1.789E-3</v>
      </c>
      <c r="U54">
        <v>1.6800000000000001E-3</v>
      </c>
      <c r="V54">
        <v>1.5770000000000001E-3</v>
      </c>
      <c r="W54">
        <v>1.48E-3</v>
      </c>
      <c r="X54">
        <v>1.39E-3</v>
      </c>
      <c r="Y54">
        <v>1.305E-3</v>
      </c>
      <c r="Z54">
        <v>1.225E-3</v>
      </c>
      <c r="AA54">
        <v>1.15E-3</v>
      </c>
      <c r="AB54">
        <v>1.08E-3</v>
      </c>
      <c r="AC54">
        <v>1.0139999999999999E-3</v>
      </c>
      <c r="AD54">
        <v>9.5200000000000005E-4</v>
      </c>
      <c r="AE54">
        <v>8.9400000000000005E-4</v>
      </c>
      <c r="AF54">
        <v>8.3900000000000001E-4</v>
      </c>
      <c r="AG54" s="20">
        <v>-6.0999999999999999E-2</v>
      </c>
    </row>
    <row r="55" spans="1:34">
      <c r="A55" t="s">
        <v>192</v>
      </c>
      <c r="B55" t="s">
        <v>1792</v>
      </c>
      <c r="C55" t="s">
        <v>1791</v>
      </c>
      <c r="D55" t="s">
        <v>200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15</v>
      </c>
    </row>
    <row r="56" spans="1:34">
      <c r="A56" t="s">
        <v>193</v>
      </c>
      <c r="B56" t="s">
        <v>1790</v>
      </c>
      <c r="C56" t="s">
        <v>1789</v>
      </c>
      <c r="D56" t="s">
        <v>200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t="s">
        <v>15</v>
      </c>
    </row>
    <row r="57" spans="1:34">
      <c r="A57" t="s">
        <v>199</v>
      </c>
      <c r="B57" t="s">
        <v>1788</v>
      </c>
      <c r="C57" t="s">
        <v>1787</v>
      </c>
      <c r="D57" t="s">
        <v>200</v>
      </c>
      <c r="F57">
        <v>19.584394</v>
      </c>
      <c r="G57">
        <v>20.900542999999999</v>
      </c>
      <c r="H57">
        <v>23.195217</v>
      </c>
      <c r="I57">
        <v>24.942038</v>
      </c>
      <c r="J57">
        <v>26.515438</v>
      </c>
      <c r="K57">
        <v>27.939364999999999</v>
      </c>
      <c r="L57">
        <v>29.381325</v>
      </c>
      <c r="M57">
        <v>30.803028000000001</v>
      </c>
      <c r="N57">
        <v>32.266243000000003</v>
      </c>
      <c r="O57">
        <v>33.578522</v>
      </c>
      <c r="P57">
        <v>34.912726999999997</v>
      </c>
      <c r="Q57">
        <v>36.335113999999997</v>
      </c>
      <c r="R57">
        <v>37.863948999999998</v>
      </c>
      <c r="S57">
        <v>39.416321000000003</v>
      </c>
      <c r="T57">
        <v>40.999274999999997</v>
      </c>
      <c r="U57">
        <v>42.607703999999998</v>
      </c>
      <c r="V57">
        <v>44.211857000000002</v>
      </c>
      <c r="W57">
        <v>45.774647000000002</v>
      </c>
      <c r="X57">
        <v>47.290146</v>
      </c>
      <c r="Y57">
        <v>48.744774</v>
      </c>
      <c r="Z57">
        <v>50.144027999999999</v>
      </c>
      <c r="AA57">
        <v>51.482399000000001</v>
      </c>
      <c r="AB57">
        <v>52.767432999999997</v>
      </c>
      <c r="AC57">
        <v>53.996223000000001</v>
      </c>
      <c r="AD57">
        <v>55.162247000000001</v>
      </c>
      <c r="AE57">
        <v>56.274867999999998</v>
      </c>
      <c r="AF57">
        <v>57.346848000000001</v>
      </c>
      <c r="AG57" s="20">
        <v>4.2000000000000003E-2</v>
      </c>
    </row>
    <row r="58" spans="1:34">
      <c r="A58" t="s">
        <v>72</v>
      </c>
      <c r="B58" t="s">
        <v>1786</v>
      </c>
      <c r="C58" t="s">
        <v>1785</v>
      </c>
      <c r="D58" t="s">
        <v>200</v>
      </c>
      <c r="F58">
        <v>143.25762900000001</v>
      </c>
      <c r="G58">
        <v>145.71080000000001</v>
      </c>
      <c r="H58">
        <v>148.61947599999999</v>
      </c>
      <c r="I58">
        <v>151.59506200000001</v>
      </c>
      <c r="J58">
        <v>154.23268100000001</v>
      </c>
      <c r="K58">
        <v>156.59196499999999</v>
      </c>
      <c r="L58">
        <v>158.63192699999999</v>
      </c>
      <c r="M58">
        <v>160.342117</v>
      </c>
      <c r="N58">
        <v>161.88510099999999</v>
      </c>
      <c r="O58">
        <v>163.39456200000001</v>
      </c>
      <c r="P58">
        <v>164.546021</v>
      </c>
      <c r="Q58">
        <v>165.557816</v>
      </c>
      <c r="R58">
        <v>166.46601899999999</v>
      </c>
      <c r="S58">
        <v>167.22297699999999</v>
      </c>
      <c r="T58">
        <v>167.876373</v>
      </c>
      <c r="U58">
        <v>168.470551</v>
      </c>
      <c r="V58">
        <v>169.048981</v>
      </c>
      <c r="W58">
        <v>169.55633499999999</v>
      </c>
      <c r="X58">
        <v>170.005066</v>
      </c>
      <c r="Y58">
        <v>170.372513</v>
      </c>
      <c r="Z58">
        <v>170.724548</v>
      </c>
      <c r="AA58">
        <v>171.01251199999999</v>
      </c>
      <c r="AB58">
        <v>171.26512099999999</v>
      </c>
      <c r="AC58">
        <v>171.469269</v>
      </c>
      <c r="AD58">
        <v>171.58090200000001</v>
      </c>
      <c r="AE58">
        <v>171.62957800000001</v>
      </c>
      <c r="AF58">
        <v>171.586838</v>
      </c>
      <c r="AG58" s="20">
        <v>7.0000000000000001E-3</v>
      </c>
    </row>
    <row r="59" spans="1:34">
      <c r="A59" t="s">
        <v>71</v>
      </c>
      <c r="B59" t="s">
        <v>703</v>
      </c>
      <c r="C59" t="s">
        <v>1784</v>
      </c>
      <c r="D59" t="s">
        <v>1783</v>
      </c>
      <c r="E59" t="s">
        <v>200</v>
      </c>
      <c r="G59">
        <v>265.43582199999997</v>
      </c>
      <c r="H59">
        <v>266.649292</v>
      </c>
      <c r="I59">
        <v>268.382812</v>
      </c>
      <c r="J59">
        <v>270.095642</v>
      </c>
      <c r="K59">
        <v>271.202271</v>
      </c>
      <c r="L59">
        <v>271.98632800000001</v>
      </c>
      <c r="M59">
        <v>272.49481200000002</v>
      </c>
      <c r="N59">
        <v>272.57971199999997</v>
      </c>
      <c r="O59">
        <v>272.468842</v>
      </c>
      <c r="P59">
        <v>272.35015900000002</v>
      </c>
      <c r="Q59">
        <v>272.19085699999999</v>
      </c>
      <c r="R59">
        <v>271.98223899999999</v>
      </c>
      <c r="S59">
        <v>271.77188100000001</v>
      </c>
      <c r="T59">
        <v>271.60205100000002</v>
      </c>
      <c r="U59">
        <v>271.55246</v>
      </c>
      <c r="V59">
        <v>271.63742100000002</v>
      </c>
      <c r="W59">
        <v>271.81369000000001</v>
      </c>
      <c r="X59">
        <v>271.98666400000002</v>
      </c>
      <c r="Y59">
        <v>272.15136699999999</v>
      </c>
      <c r="Z59">
        <v>272.26608299999998</v>
      </c>
      <c r="AA59">
        <v>272.36206099999998</v>
      </c>
      <c r="AB59">
        <v>272.40039100000001</v>
      </c>
      <c r="AC59">
        <v>272.34985399999999</v>
      </c>
      <c r="AD59">
        <v>272.19482399999998</v>
      </c>
      <c r="AE59">
        <v>271.90271000000001</v>
      </c>
      <c r="AF59">
        <v>271.52453600000001</v>
      </c>
      <c r="AG59">
        <v>271.10485799999998</v>
      </c>
      <c r="AH59" s="20">
        <v>1E-3</v>
      </c>
    </row>
    <row r="60" spans="1:34">
      <c r="A60" t="s">
        <v>702</v>
      </c>
      <c r="B60" t="s">
        <v>1782</v>
      </c>
      <c r="C60" t="s">
        <v>1781</v>
      </c>
      <c r="D60" t="s">
        <v>200</v>
      </c>
      <c r="F60">
        <v>231.34463500000001</v>
      </c>
      <c r="G60">
        <v>229.62300099999999</v>
      </c>
      <c r="H60">
        <v>227.10891699999999</v>
      </c>
      <c r="I60">
        <v>224.940247</v>
      </c>
      <c r="J60">
        <v>222.463379</v>
      </c>
      <c r="K60">
        <v>219.94818100000001</v>
      </c>
      <c r="L60">
        <v>217.12777700000001</v>
      </c>
      <c r="M60">
        <v>213.95931999999999</v>
      </c>
      <c r="N60">
        <v>210.47335799999999</v>
      </c>
      <c r="O60">
        <v>207.29869099999999</v>
      </c>
      <c r="P60">
        <v>203.93710300000001</v>
      </c>
      <c r="Q60">
        <v>200.369202</v>
      </c>
      <c r="R60">
        <v>196.74075300000001</v>
      </c>
      <c r="S60">
        <v>193.16502399999999</v>
      </c>
      <c r="T60">
        <v>189.714294</v>
      </c>
      <c r="U60">
        <v>186.37515300000001</v>
      </c>
      <c r="V60">
        <v>183.20851099999999</v>
      </c>
      <c r="W60">
        <v>180.21122700000001</v>
      </c>
      <c r="X60">
        <v>177.38746599999999</v>
      </c>
      <c r="Y60">
        <v>174.69523599999999</v>
      </c>
      <c r="Z60">
        <v>172.16644299999999</v>
      </c>
      <c r="AA60">
        <v>169.744598</v>
      </c>
      <c r="AB60">
        <v>167.40600599999999</v>
      </c>
      <c r="AC60">
        <v>165.132721</v>
      </c>
      <c r="AD60">
        <v>162.88353000000001</v>
      </c>
      <c r="AE60">
        <v>160.684326</v>
      </c>
      <c r="AF60">
        <v>158.51206999999999</v>
      </c>
      <c r="AG60" s="20">
        <v>-1.4E-2</v>
      </c>
    </row>
    <row r="61" spans="1:34">
      <c r="A61" t="s">
        <v>701</v>
      </c>
      <c r="B61" t="s">
        <v>1780</v>
      </c>
      <c r="C61" t="s">
        <v>1779</v>
      </c>
      <c r="D61" t="s">
        <v>200</v>
      </c>
      <c r="F61">
        <v>1.5530930000000001</v>
      </c>
      <c r="G61">
        <v>1.6617219999999999</v>
      </c>
      <c r="H61">
        <v>1.7623740000000001</v>
      </c>
      <c r="I61">
        <v>1.8515010000000001</v>
      </c>
      <c r="J61">
        <v>1.9315180000000001</v>
      </c>
      <c r="K61">
        <v>2.010796</v>
      </c>
      <c r="L61">
        <v>2.0493350000000001</v>
      </c>
      <c r="M61">
        <v>2.0828359999999999</v>
      </c>
      <c r="N61">
        <v>2.1134210000000002</v>
      </c>
      <c r="O61">
        <v>2.149321</v>
      </c>
      <c r="P61">
        <v>2.1799279999999999</v>
      </c>
      <c r="Q61">
        <v>2.2075140000000002</v>
      </c>
      <c r="R61">
        <v>2.2335210000000001</v>
      </c>
      <c r="S61">
        <v>2.2559939999999998</v>
      </c>
      <c r="T61">
        <v>2.2756940000000001</v>
      </c>
      <c r="U61">
        <v>2.293857</v>
      </c>
      <c r="V61">
        <v>2.310022</v>
      </c>
      <c r="W61">
        <v>2.3229030000000002</v>
      </c>
      <c r="X61">
        <v>2.3309549999999999</v>
      </c>
      <c r="Y61">
        <v>2.3349340000000001</v>
      </c>
      <c r="Z61">
        <v>2.3349310000000001</v>
      </c>
      <c r="AA61">
        <v>2.3318120000000002</v>
      </c>
      <c r="AB61">
        <v>2.3280129999999999</v>
      </c>
      <c r="AC61">
        <v>2.323137</v>
      </c>
      <c r="AD61">
        <v>2.316554</v>
      </c>
      <c r="AE61">
        <v>2.3096019999999999</v>
      </c>
      <c r="AF61">
        <v>2.3021189999999998</v>
      </c>
      <c r="AG61" s="20">
        <v>1.4999999999999999E-2</v>
      </c>
    </row>
    <row r="62" spans="1:34">
      <c r="A62" t="s">
        <v>700</v>
      </c>
      <c r="B62" t="s">
        <v>1778</v>
      </c>
      <c r="C62" t="s">
        <v>1777</v>
      </c>
      <c r="D62" t="s">
        <v>200</v>
      </c>
      <c r="F62">
        <v>18.572098</v>
      </c>
      <c r="G62">
        <v>17.811229999999998</v>
      </c>
      <c r="H62">
        <v>17.021231</v>
      </c>
      <c r="I62">
        <v>16.178728</v>
      </c>
      <c r="J62">
        <v>15.298866</v>
      </c>
      <c r="K62">
        <v>14.389333000000001</v>
      </c>
      <c r="L62">
        <v>13.429881999999999</v>
      </c>
      <c r="M62">
        <v>12.468177000000001</v>
      </c>
      <c r="N62">
        <v>11.534654</v>
      </c>
      <c r="O62">
        <v>10.644833</v>
      </c>
      <c r="P62">
        <v>9.7952580000000005</v>
      </c>
      <c r="Q62">
        <v>9.0056860000000007</v>
      </c>
      <c r="R62">
        <v>8.2915310000000009</v>
      </c>
      <c r="S62">
        <v>7.6549300000000002</v>
      </c>
      <c r="T62">
        <v>7.0968229999999997</v>
      </c>
      <c r="U62">
        <v>6.6141740000000002</v>
      </c>
      <c r="V62">
        <v>6.1935229999999999</v>
      </c>
      <c r="W62">
        <v>5.8194850000000002</v>
      </c>
      <c r="X62">
        <v>5.4920960000000001</v>
      </c>
      <c r="Y62">
        <v>5.2008789999999996</v>
      </c>
      <c r="Z62">
        <v>4.9426899999999998</v>
      </c>
      <c r="AA62">
        <v>4.7073650000000002</v>
      </c>
      <c r="AB62">
        <v>4.4919719999999996</v>
      </c>
      <c r="AC62">
        <v>4.2902009999999997</v>
      </c>
      <c r="AD62">
        <v>4.0993449999999996</v>
      </c>
      <c r="AE62">
        <v>3.9196770000000001</v>
      </c>
      <c r="AF62">
        <v>3.7495099999999999</v>
      </c>
      <c r="AG62" s="20">
        <v>-0.06</v>
      </c>
    </row>
    <row r="63" spans="1:34">
      <c r="A63" t="s">
        <v>204</v>
      </c>
      <c r="B63" t="s">
        <v>1776</v>
      </c>
      <c r="C63" t="s">
        <v>1775</v>
      </c>
      <c r="D63" t="s">
        <v>200</v>
      </c>
      <c r="F63">
        <v>4.7699530000000001</v>
      </c>
      <c r="G63">
        <v>6.7307389999999998</v>
      </c>
      <c r="H63">
        <v>9.3790379999999995</v>
      </c>
      <c r="I63">
        <v>12.133120999999999</v>
      </c>
      <c r="J63">
        <v>14.792187</v>
      </c>
      <c r="K63">
        <v>17.299320000000002</v>
      </c>
      <c r="L63">
        <v>19.688496000000001</v>
      </c>
      <c r="M63">
        <v>22.056844999999999</v>
      </c>
      <c r="N63">
        <v>24.600218000000002</v>
      </c>
      <c r="O63">
        <v>26.826649</v>
      </c>
      <c r="P63">
        <v>29.159468</v>
      </c>
      <c r="Q63">
        <v>31.585533000000002</v>
      </c>
      <c r="R63">
        <v>33.968024999999997</v>
      </c>
      <c r="S63">
        <v>36.298121999999999</v>
      </c>
      <c r="T63">
        <v>38.579720000000002</v>
      </c>
      <c r="U63">
        <v>40.861794000000003</v>
      </c>
      <c r="V63">
        <v>43.065787999999998</v>
      </c>
      <c r="W63">
        <v>45.129944000000002</v>
      </c>
      <c r="X63">
        <v>47.047699000000001</v>
      </c>
      <c r="Y63">
        <v>48.835788999999998</v>
      </c>
      <c r="Z63">
        <v>50.485771</v>
      </c>
      <c r="AA63">
        <v>52.023018</v>
      </c>
      <c r="AB63">
        <v>53.430278999999999</v>
      </c>
      <c r="AC63">
        <v>54.711395000000003</v>
      </c>
      <c r="AD63">
        <v>55.883991000000002</v>
      </c>
      <c r="AE63">
        <v>56.958846999999999</v>
      </c>
      <c r="AF63">
        <v>57.997867999999997</v>
      </c>
      <c r="AG63" s="20">
        <v>0.10100000000000001</v>
      </c>
    </row>
    <row r="64" spans="1:34">
      <c r="A64" t="s">
        <v>699</v>
      </c>
      <c r="B64" t="s">
        <v>1774</v>
      </c>
      <c r="C64" t="s">
        <v>1773</v>
      </c>
      <c r="D64" t="s">
        <v>200</v>
      </c>
      <c r="F64">
        <v>1.417826</v>
      </c>
      <c r="G64">
        <v>1.929403</v>
      </c>
      <c r="H64">
        <v>2.8521990000000002</v>
      </c>
      <c r="I64">
        <v>3.6090930000000001</v>
      </c>
      <c r="J64">
        <v>4.2754960000000004</v>
      </c>
      <c r="K64">
        <v>4.8145790000000002</v>
      </c>
      <c r="L64">
        <v>5.5613619999999999</v>
      </c>
      <c r="M64">
        <v>6.2907820000000001</v>
      </c>
      <c r="N64">
        <v>6.9915510000000003</v>
      </c>
      <c r="O64">
        <v>7.5769880000000001</v>
      </c>
      <c r="P64">
        <v>8.1800920000000001</v>
      </c>
      <c r="Q64">
        <v>8.8051759999999994</v>
      </c>
      <c r="R64">
        <v>9.4804270000000006</v>
      </c>
      <c r="S64">
        <v>10.145417999999999</v>
      </c>
      <c r="T64">
        <v>10.802431</v>
      </c>
      <c r="U64">
        <v>11.445798</v>
      </c>
      <c r="V64">
        <v>12.068228</v>
      </c>
      <c r="W64">
        <v>12.660111000000001</v>
      </c>
      <c r="X64">
        <v>13.217727999999999</v>
      </c>
      <c r="Y64">
        <v>13.739599</v>
      </c>
      <c r="Z64">
        <v>14.222842</v>
      </c>
      <c r="AA64">
        <v>14.668754</v>
      </c>
      <c r="AB64">
        <v>15.078174000000001</v>
      </c>
      <c r="AC64">
        <v>15.453428000000001</v>
      </c>
      <c r="AD64">
        <v>15.794376</v>
      </c>
      <c r="AE64">
        <v>16.104493999999999</v>
      </c>
      <c r="AF64">
        <v>16.391774999999999</v>
      </c>
      <c r="AG64" s="20">
        <v>9.9000000000000005E-2</v>
      </c>
    </row>
    <row r="65" spans="1:33">
      <c r="A65" t="s">
        <v>698</v>
      </c>
      <c r="B65" t="s">
        <v>1772</v>
      </c>
      <c r="C65" t="s">
        <v>1771</v>
      </c>
      <c r="D65" t="s">
        <v>200</v>
      </c>
      <c r="F65">
        <v>7.7330969999999999</v>
      </c>
      <c r="G65">
        <v>8.8504240000000003</v>
      </c>
      <c r="H65">
        <v>10.218289</v>
      </c>
      <c r="I65">
        <v>11.343928999999999</v>
      </c>
      <c r="J65">
        <v>12.403362</v>
      </c>
      <c r="K65">
        <v>13.488567</v>
      </c>
      <c r="L65">
        <v>14.604155</v>
      </c>
      <c r="M65">
        <v>15.689640000000001</v>
      </c>
      <c r="N65">
        <v>16.725176000000001</v>
      </c>
      <c r="O65">
        <v>17.824926000000001</v>
      </c>
      <c r="P65">
        <v>18.911871000000001</v>
      </c>
      <c r="Q65">
        <v>19.983547000000002</v>
      </c>
      <c r="R65">
        <v>21.033588000000002</v>
      </c>
      <c r="S65">
        <v>22.060020000000002</v>
      </c>
      <c r="T65">
        <v>23.062380000000001</v>
      </c>
      <c r="U65">
        <v>24.026959999999999</v>
      </c>
      <c r="V65">
        <v>24.949299</v>
      </c>
      <c r="W65">
        <v>25.825983000000001</v>
      </c>
      <c r="X65">
        <v>26.659594999999999</v>
      </c>
      <c r="Y65">
        <v>27.444890999999998</v>
      </c>
      <c r="Z65">
        <v>28.19558</v>
      </c>
      <c r="AA65">
        <v>28.911944999999999</v>
      </c>
      <c r="AB65">
        <v>29.603276999999999</v>
      </c>
      <c r="AC65">
        <v>30.272469999999998</v>
      </c>
      <c r="AD65">
        <v>30.914035999999999</v>
      </c>
      <c r="AE65">
        <v>31.537243</v>
      </c>
      <c r="AF65">
        <v>32.141604999999998</v>
      </c>
      <c r="AG65" s="20">
        <v>5.6000000000000001E-2</v>
      </c>
    </row>
    <row r="66" spans="1:33">
      <c r="A66" t="s">
        <v>697</v>
      </c>
      <c r="B66" t="s">
        <v>1770</v>
      </c>
      <c r="C66" t="s">
        <v>1769</v>
      </c>
      <c r="D66" t="s">
        <v>200</v>
      </c>
      <c r="F66">
        <v>2.8032000000000001E-2</v>
      </c>
      <c r="G66">
        <v>2.5564E-2</v>
      </c>
      <c r="H66">
        <v>2.3431E-2</v>
      </c>
      <c r="I66">
        <v>2.1551000000000001E-2</v>
      </c>
      <c r="J66">
        <v>1.9791E-2</v>
      </c>
      <c r="K66">
        <v>1.8155000000000001E-2</v>
      </c>
      <c r="L66">
        <v>1.6709000000000002E-2</v>
      </c>
      <c r="M66">
        <v>1.5346E-2</v>
      </c>
      <c r="N66">
        <v>1.41E-2</v>
      </c>
      <c r="O66">
        <v>1.2973E-2</v>
      </c>
      <c r="P66">
        <v>1.1971000000000001E-2</v>
      </c>
      <c r="Q66">
        <v>1.1072E-2</v>
      </c>
      <c r="R66">
        <v>1.0272E-2</v>
      </c>
      <c r="S66">
        <v>9.6039999999999997E-3</v>
      </c>
      <c r="T66">
        <v>8.992E-3</v>
      </c>
      <c r="U66">
        <v>8.4370000000000001E-3</v>
      </c>
      <c r="V66">
        <v>7.9220000000000002E-3</v>
      </c>
      <c r="W66">
        <v>7.4380000000000002E-3</v>
      </c>
      <c r="X66">
        <v>6.9839999999999998E-3</v>
      </c>
      <c r="Y66">
        <v>6.5579999999999996E-3</v>
      </c>
      <c r="Z66">
        <v>6.1580000000000003E-3</v>
      </c>
      <c r="AA66">
        <v>5.7819999999999998E-3</v>
      </c>
      <c r="AB66">
        <v>5.4299999999999999E-3</v>
      </c>
      <c r="AC66">
        <v>5.0990000000000002E-3</v>
      </c>
      <c r="AD66">
        <v>4.7879999999999997E-3</v>
      </c>
      <c r="AE66">
        <v>4.496E-3</v>
      </c>
      <c r="AF66">
        <v>4.2220000000000001E-3</v>
      </c>
      <c r="AG66" s="20">
        <v>-7.0000000000000007E-2</v>
      </c>
    </row>
    <row r="67" spans="1:33">
      <c r="A67" t="s">
        <v>207</v>
      </c>
      <c r="B67" t="s">
        <v>1768</v>
      </c>
      <c r="C67" t="s">
        <v>1767</v>
      </c>
      <c r="D67" t="s">
        <v>200</v>
      </c>
      <c r="F67">
        <v>1.7094000000000002E-2</v>
      </c>
      <c r="G67">
        <v>1.7212000000000002E-2</v>
      </c>
      <c r="H67">
        <v>1.7323999999999999E-2</v>
      </c>
      <c r="I67">
        <v>1.7491E-2</v>
      </c>
      <c r="J67">
        <v>1.7677999999999999E-2</v>
      </c>
      <c r="K67">
        <v>1.7375999999999999E-2</v>
      </c>
      <c r="L67">
        <v>1.7114000000000001E-2</v>
      </c>
      <c r="M67">
        <v>1.6773E-2</v>
      </c>
      <c r="N67">
        <v>1.6348000000000001E-2</v>
      </c>
      <c r="O67">
        <v>1.5785E-2</v>
      </c>
      <c r="P67">
        <v>1.516E-2</v>
      </c>
      <c r="Q67">
        <v>1.4505000000000001E-2</v>
      </c>
      <c r="R67">
        <v>1.3759E-2</v>
      </c>
      <c r="S67">
        <v>1.2952999999999999E-2</v>
      </c>
      <c r="T67">
        <v>1.2102999999999999E-2</v>
      </c>
      <c r="U67">
        <v>1.1240999999999999E-2</v>
      </c>
      <c r="V67">
        <v>1.0390999999999999E-2</v>
      </c>
      <c r="W67">
        <v>9.5709999999999996E-3</v>
      </c>
      <c r="X67">
        <v>8.848E-3</v>
      </c>
      <c r="Y67">
        <v>8.1939999999999999E-3</v>
      </c>
      <c r="Z67">
        <v>7.6309999999999998E-3</v>
      </c>
      <c r="AA67">
        <v>7.123E-3</v>
      </c>
      <c r="AB67">
        <v>6.7089999999999997E-3</v>
      </c>
      <c r="AC67">
        <v>6.3709999999999999E-3</v>
      </c>
      <c r="AD67">
        <v>6.1079999999999997E-3</v>
      </c>
      <c r="AE67">
        <v>5.8770000000000003E-3</v>
      </c>
      <c r="AF67">
        <v>5.6889999999999996E-3</v>
      </c>
      <c r="AG67" s="20">
        <v>-4.1000000000000002E-2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F0BA2-7330-4645-8CCA-580C59F9D956}">
  <dimension ref="A1:AG105"/>
  <sheetViews>
    <sheetView workbookViewId="0"/>
  </sheetViews>
  <sheetFormatPr defaultRowHeight="15"/>
  <cols>
    <col min="1" max="1" width="18.7109375" customWidth="1"/>
    <col min="2" max="2" width="71.140625" customWidth="1"/>
  </cols>
  <sheetData>
    <row r="1" spans="1:33">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1158</v>
      </c>
    </row>
    <row r="10" spans="1:33">
      <c r="A10" t="s">
        <v>172</v>
      </c>
    </row>
    <row r="11" spans="1:33">
      <c r="A11" t="s">
        <v>2046</v>
      </c>
    </row>
    <row r="12" spans="1:33">
      <c r="A12" t="s">
        <v>2045</v>
      </c>
    </row>
    <row r="13" spans="1:33">
      <c r="A13" t="s">
        <v>173</v>
      </c>
    </row>
    <row r="14" spans="1:33">
      <c r="B14" t="s">
        <v>174</v>
      </c>
      <c r="C14" t="s">
        <v>175</v>
      </c>
      <c r="D14" t="s">
        <v>176</v>
      </c>
      <c r="E14">
        <v>2023</v>
      </c>
      <c r="F14">
        <v>2024</v>
      </c>
      <c r="G14">
        <v>2025</v>
      </c>
      <c r="H14">
        <v>2026</v>
      </c>
      <c r="I14">
        <v>2027</v>
      </c>
      <c r="J14">
        <v>2028</v>
      </c>
      <c r="K14">
        <v>2029</v>
      </c>
      <c r="L14">
        <v>2030</v>
      </c>
      <c r="M14">
        <v>2031</v>
      </c>
      <c r="N14">
        <v>2032</v>
      </c>
      <c r="O14">
        <v>2033</v>
      </c>
      <c r="P14">
        <v>2034</v>
      </c>
      <c r="Q14">
        <v>2035</v>
      </c>
      <c r="R14">
        <v>2036</v>
      </c>
      <c r="S14">
        <v>2037</v>
      </c>
      <c r="T14">
        <v>2038</v>
      </c>
      <c r="U14">
        <v>2039</v>
      </c>
      <c r="V14">
        <v>2040</v>
      </c>
      <c r="W14">
        <v>2041</v>
      </c>
      <c r="X14">
        <v>2042</v>
      </c>
      <c r="Y14">
        <v>2043</v>
      </c>
      <c r="Z14">
        <v>2044</v>
      </c>
      <c r="AA14">
        <v>2045</v>
      </c>
      <c r="AB14">
        <v>2046</v>
      </c>
      <c r="AC14">
        <v>2047</v>
      </c>
      <c r="AD14">
        <v>2048</v>
      </c>
      <c r="AE14">
        <v>2049</v>
      </c>
      <c r="AF14">
        <v>2050</v>
      </c>
      <c r="AG14" t="s">
        <v>1158</v>
      </c>
    </row>
    <row r="15" spans="1:33">
      <c r="A15" t="s">
        <v>88</v>
      </c>
      <c r="B15" t="s">
        <v>2044</v>
      </c>
      <c r="C15" t="s">
        <v>2043</v>
      </c>
      <c r="D15" t="s">
        <v>177</v>
      </c>
      <c r="F15">
        <v>15264.655273</v>
      </c>
      <c r="G15">
        <v>15318.793944999999</v>
      </c>
      <c r="H15">
        <v>15263.795898</v>
      </c>
      <c r="I15">
        <v>15137.205078000001</v>
      </c>
      <c r="J15">
        <v>14977.219727</v>
      </c>
      <c r="K15">
        <v>14792.021484000001</v>
      </c>
      <c r="L15">
        <v>14586.776367</v>
      </c>
      <c r="M15">
        <v>14410.759765999999</v>
      </c>
      <c r="N15">
        <v>14212.753906</v>
      </c>
      <c r="O15">
        <v>14032.136719</v>
      </c>
      <c r="P15">
        <v>13876.546875</v>
      </c>
      <c r="Q15">
        <v>13716.935546999999</v>
      </c>
      <c r="R15">
        <v>13531.819336</v>
      </c>
      <c r="S15">
        <v>13355.208984000001</v>
      </c>
      <c r="T15">
        <v>13213.083984000001</v>
      </c>
      <c r="U15">
        <v>13074.737305000001</v>
      </c>
      <c r="V15">
        <v>12960.390625</v>
      </c>
      <c r="W15">
        <v>12861.575194999999</v>
      </c>
      <c r="X15">
        <v>12746.392578000001</v>
      </c>
      <c r="Y15">
        <v>12672.746094</v>
      </c>
      <c r="Z15">
        <v>12583.179688</v>
      </c>
      <c r="AA15">
        <v>12516.974609000001</v>
      </c>
      <c r="AB15">
        <v>12440.612305000001</v>
      </c>
      <c r="AC15">
        <v>12393.320312</v>
      </c>
      <c r="AD15">
        <v>12311.716796999999</v>
      </c>
      <c r="AE15">
        <v>12264.786133</v>
      </c>
      <c r="AF15">
        <v>12255.930664</v>
      </c>
      <c r="AG15" s="20">
        <v>-8.0000000000000002E-3</v>
      </c>
    </row>
    <row r="16" spans="1:33">
      <c r="A16" t="s">
        <v>145</v>
      </c>
      <c r="B16" t="s">
        <v>2042</v>
      </c>
      <c r="C16" t="s">
        <v>2041</v>
      </c>
      <c r="D16" t="s">
        <v>177</v>
      </c>
      <c r="F16">
        <v>15082.832031</v>
      </c>
      <c r="G16">
        <v>15102.086914</v>
      </c>
      <c r="H16">
        <v>15001.700194999999</v>
      </c>
      <c r="I16">
        <v>14826.172852</v>
      </c>
      <c r="J16">
        <v>14611.696289</v>
      </c>
      <c r="K16">
        <v>14370.883789</v>
      </c>
      <c r="L16">
        <v>14109.580078000001</v>
      </c>
      <c r="M16">
        <v>13886.185546999999</v>
      </c>
      <c r="N16">
        <v>13640.148438</v>
      </c>
      <c r="O16">
        <v>13418.370117</v>
      </c>
      <c r="P16">
        <v>13220.600586</v>
      </c>
      <c r="Q16">
        <v>13020.751953000001</v>
      </c>
      <c r="R16">
        <v>12794.552734000001</v>
      </c>
      <c r="S16">
        <v>12576.742188</v>
      </c>
      <c r="T16">
        <v>12394.092773</v>
      </c>
      <c r="U16">
        <v>12215.558594</v>
      </c>
      <c r="V16">
        <v>12062.521484000001</v>
      </c>
      <c r="W16">
        <v>11926.910156</v>
      </c>
      <c r="X16">
        <v>11776.866211</v>
      </c>
      <c r="Y16">
        <v>11670.566406</v>
      </c>
      <c r="Z16">
        <v>11550.738281</v>
      </c>
      <c r="AA16">
        <v>11456.912109000001</v>
      </c>
      <c r="AB16">
        <v>11354.418944999999</v>
      </c>
      <c r="AC16">
        <v>11282.190430000001</v>
      </c>
      <c r="AD16">
        <v>11177.411133</v>
      </c>
      <c r="AE16">
        <v>11107.422852</v>
      </c>
      <c r="AF16">
        <v>11075.950194999999</v>
      </c>
      <c r="AG16" s="20">
        <v>-1.2E-2</v>
      </c>
    </row>
    <row r="17" spans="1:33">
      <c r="A17" t="s">
        <v>146</v>
      </c>
      <c r="B17" t="s">
        <v>2040</v>
      </c>
      <c r="C17" t="s">
        <v>2039</v>
      </c>
      <c r="D17" t="s">
        <v>177</v>
      </c>
      <c r="F17">
        <v>36.493248000000001</v>
      </c>
      <c r="G17">
        <v>35.324047</v>
      </c>
      <c r="H17">
        <v>33.054344</v>
      </c>
      <c r="I17">
        <v>30.216524</v>
      </c>
      <c r="J17">
        <v>29.000741999999999</v>
      </c>
      <c r="K17">
        <v>27.631107</v>
      </c>
      <c r="L17">
        <v>26.088915</v>
      </c>
      <c r="M17">
        <v>23.857711999999999</v>
      </c>
      <c r="N17">
        <v>21.977796999999999</v>
      </c>
      <c r="O17">
        <v>20.037936999999999</v>
      </c>
      <c r="P17">
        <v>18.306711</v>
      </c>
      <c r="Q17">
        <v>16.690548</v>
      </c>
      <c r="R17">
        <v>15.190678</v>
      </c>
      <c r="S17">
        <v>14.10623</v>
      </c>
      <c r="T17">
        <v>12.678630999999999</v>
      </c>
      <c r="U17">
        <v>11.868214</v>
      </c>
      <c r="V17">
        <v>11.293405999999999</v>
      </c>
      <c r="W17">
        <v>10.778375</v>
      </c>
      <c r="X17">
        <v>10.287208</v>
      </c>
      <c r="Y17">
        <v>9.9186230000000002</v>
      </c>
      <c r="Z17">
        <v>9.7976939999999999</v>
      </c>
      <c r="AA17">
        <v>9.2459539999999993</v>
      </c>
      <c r="AB17">
        <v>9.049213</v>
      </c>
      <c r="AC17">
        <v>9.1681340000000002</v>
      </c>
      <c r="AD17">
        <v>8.9579869999999993</v>
      </c>
      <c r="AE17">
        <v>8.7842780000000005</v>
      </c>
      <c r="AF17">
        <v>8.5644519999999993</v>
      </c>
      <c r="AG17" s="20">
        <v>-5.3999999999999999E-2</v>
      </c>
    </row>
    <row r="18" spans="1:33">
      <c r="A18" t="s">
        <v>147</v>
      </c>
      <c r="B18" t="s">
        <v>2038</v>
      </c>
      <c r="C18" t="s">
        <v>2037</v>
      </c>
      <c r="D18" t="s">
        <v>177</v>
      </c>
      <c r="F18">
        <v>87.055556999999993</v>
      </c>
      <c r="G18">
        <v>95.813736000000006</v>
      </c>
      <c r="H18">
        <v>104.507935</v>
      </c>
      <c r="I18">
        <v>111.845032</v>
      </c>
      <c r="J18">
        <v>118.39093800000001</v>
      </c>
      <c r="K18">
        <v>125.015457</v>
      </c>
      <c r="L18">
        <v>128.80909700000001</v>
      </c>
      <c r="M18">
        <v>132.43237300000001</v>
      </c>
      <c r="N18">
        <v>135.511551</v>
      </c>
      <c r="O18">
        <v>137.266876</v>
      </c>
      <c r="P18">
        <v>139.63299599999999</v>
      </c>
      <c r="Q18">
        <v>141.013901</v>
      </c>
      <c r="R18">
        <v>142.85320999999999</v>
      </c>
      <c r="S18">
        <v>144.476776</v>
      </c>
      <c r="T18">
        <v>146.03744499999999</v>
      </c>
      <c r="U18">
        <v>147.20349100000001</v>
      </c>
      <c r="V18">
        <v>147.97177099999999</v>
      </c>
      <c r="W18">
        <v>148.60348500000001</v>
      </c>
      <c r="X18">
        <v>149.49903900000001</v>
      </c>
      <c r="Y18">
        <v>149.937286</v>
      </c>
      <c r="Z18">
        <v>149.69160500000001</v>
      </c>
      <c r="AA18">
        <v>149.08166499999999</v>
      </c>
      <c r="AB18">
        <v>148.949219</v>
      </c>
      <c r="AC18">
        <v>148.95747399999999</v>
      </c>
      <c r="AD18">
        <v>148.59544399999999</v>
      </c>
      <c r="AE18">
        <v>148.537384</v>
      </c>
      <c r="AF18">
        <v>148.52256800000001</v>
      </c>
      <c r="AG18" s="20">
        <v>2.1000000000000001E-2</v>
      </c>
    </row>
    <row r="19" spans="1:33">
      <c r="A19" t="s">
        <v>148</v>
      </c>
      <c r="B19" t="s">
        <v>2036</v>
      </c>
      <c r="C19" t="s">
        <v>2035</v>
      </c>
      <c r="D19" t="s">
        <v>177</v>
      </c>
      <c r="F19">
        <v>0.66039800000000004</v>
      </c>
      <c r="G19">
        <v>0.60518499999999997</v>
      </c>
      <c r="H19">
        <v>0.54915499999999995</v>
      </c>
      <c r="I19">
        <v>0.49468299999999998</v>
      </c>
      <c r="J19">
        <v>0.454592</v>
      </c>
      <c r="K19">
        <v>0.42900500000000003</v>
      </c>
      <c r="L19">
        <v>0.39121800000000001</v>
      </c>
      <c r="M19">
        <v>0.353904</v>
      </c>
      <c r="N19">
        <v>0.32100000000000001</v>
      </c>
      <c r="O19">
        <v>0.29277500000000001</v>
      </c>
      <c r="P19">
        <v>0.265233</v>
      </c>
      <c r="Q19">
        <v>0.20321700000000001</v>
      </c>
      <c r="R19">
        <v>0.180974</v>
      </c>
      <c r="S19">
        <v>0.167022</v>
      </c>
      <c r="T19">
        <v>0.153364</v>
      </c>
      <c r="U19">
        <v>0.14274700000000001</v>
      </c>
      <c r="V19">
        <v>0.133997</v>
      </c>
      <c r="W19">
        <v>0.125782</v>
      </c>
      <c r="X19">
        <v>0.118071</v>
      </c>
      <c r="Y19">
        <v>0.11083800000000001</v>
      </c>
      <c r="Z19">
        <v>0.104047</v>
      </c>
      <c r="AA19">
        <v>9.7719E-2</v>
      </c>
      <c r="AB19">
        <v>9.1732999999999995E-2</v>
      </c>
      <c r="AC19">
        <v>8.6113999999999996E-2</v>
      </c>
      <c r="AD19">
        <v>8.0839999999999995E-2</v>
      </c>
      <c r="AE19">
        <v>7.5889999999999999E-2</v>
      </c>
      <c r="AF19">
        <v>7.1244000000000002E-2</v>
      </c>
      <c r="AG19" s="20">
        <v>-8.2000000000000003E-2</v>
      </c>
    </row>
    <row r="20" spans="1:33">
      <c r="A20" t="s">
        <v>149</v>
      </c>
      <c r="B20" t="s">
        <v>2034</v>
      </c>
      <c r="C20" t="s">
        <v>2033</v>
      </c>
      <c r="D20" t="s">
        <v>177</v>
      </c>
      <c r="F20">
        <v>0.63888999999999996</v>
      </c>
      <c r="G20">
        <v>0.577901</v>
      </c>
      <c r="H20">
        <v>0.51927299999999998</v>
      </c>
      <c r="I20">
        <v>0.47898499999999999</v>
      </c>
      <c r="J20">
        <v>0.44590800000000003</v>
      </c>
      <c r="K20">
        <v>0.41668899999999998</v>
      </c>
      <c r="L20">
        <v>0.38909300000000002</v>
      </c>
      <c r="M20">
        <v>0.364006</v>
      </c>
      <c r="N20">
        <v>0.33676899999999999</v>
      </c>
      <c r="O20">
        <v>0.31163999999999997</v>
      </c>
      <c r="P20">
        <v>0.29238500000000001</v>
      </c>
      <c r="Q20">
        <v>0.274588</v>
      </c>
      <c r="R20">
        <v>0.25867400000000002</v>
      </c>
      <c r="S20">
        <v>0.24304400000000001</v>
      </c>
      <c r="T20">
        <v>0.22870599999999999</v>
      </c>
      <c r="U20">
        <v>0.215165</v>
      </c>
      <c r="V20">
        <v>0.201597</v>
      </c>
      <c r="W20">
        <v>0.18818499999999999</v>
      </c>
      <c r="X20">
        <v>0.17565600000000001</v>
      </c>
      <c r="Y20">
        <v>0.16469400000000001</v>
      </c>
      <c r="Z20">
        <v>0.154083</v>
      </c>
      <c r="AA20">
        <v>0.14483299999999999</v>
      </c>
      <c r="AB20">
        <v>0.13509199999999999</v>
      </c>
      <c r="AC20">
        <v>0.126557</v>
      </c>
      <c r="AD20">
        <v>0.118808</v>
      </c>
      <c r="AE20">
        <v>0.11133899999999999</v>
      </c>
      <c r="AF20">
        <v>0.105409</v>
      </c>
      <c r="AG20" s="20">
        <v>-6.7000000000000004E-2</v>
      </c>
    </row>
    <row r="21" spans="1:33">
      <c r="A21" t="s">
        <v>150</v>
      </c>
      <c r="B21" t="s">
        <v>2032</v>
      </c>
      <c r="C21" t="s">
        <v>2031</v>
      </c>
      <c r="D21" t="s">
        <v>177</v>
      </c>
      <c r="F21">
        <v>56.573005999999999</v>
      </c>
      <c r="G21">
        <v>83.956969999999998</v>
      </c>
      <c r="H21">
        <v>123.025932</v>
      </c>
      <c r="I21">
        <v>167.55509900000001</v>
      </c>
      <c r="J21">
        <v>216.78942900000001</v>
      </c>
      <c r="K21">
        <v>267.21673600000003</v>
      </c>
      <c r="L21">
        <v>321.101562</v>
      </c>
      <c r="M21">
        <v>367.16476399999999</v>
      </c>
      <c r="N21">
        <v>414.07318099999998</v>
      </c>
      <c r="O21">
        <v>455.49417099999999</v>
      </c>
      <c r="P21">
        <v>497.10797100000002</v>
      </c>
      <c r="Q21">
        <v>537.68353300000001</v>
      </c>
      <c r="R21">
        <v>578.48742700000003</v>
      </c>
      <c r="S21">
        <v>619.20111099999997</v>
      </c>
      <c r="T21">
        <v>659.64343299999996</v>
      </c>
      <c r="U21">
        <v>699.52166699999998</v>
      </c>
      <c r="V21">
        <v>738.06237799999997</v>
      </c>
      <c r="W21">
        <v>774.78204300000004</v>
      </c>
      <c r="X21">
        <v>809.27581799999996</v>
      </c>
      <c r="Y21">
        <v>841.89172399999995</v>
      </c>
      <c r="Z21">
        <v>872.54925500000002</v>
      </c>
      <c r="AA21">
        <v>901.35949700000003</v>
      </c>
      <c r="AB21">
        <v>927.84582499999999</v>
      </c>
      <c r="AC21">
        <v>952.67511000000002</v>
      </c>
      <c r="AD21">
        <v>976.43872099999999</v>
      </c>
      <c r="AE21">
        <v>999.74530000000004</v>
      </c>
      <c r="AF21">
        <v>1022.609863</v>
      </c>
      <c r="AG21" s="20">
        <v>0.11799999999999999</v>
      </c>
    </row>
    <row r="22" spans="1:33">
      <c r="A22" t="s">
        <v>151</v>
      </c>
      <c r="B22" t="s">
        <v>2030</v>
      </c>
      <c r="C22" t="s">
        <v>2029</v>
      </c>
      <c r="D22" t="s">
        <v>177</v>
      </c>
      <c r="F22">
        <v>0.40270299999999998</v>
      </c>
      <c r="G22">
        <v>0.428566</v>
      </c>
      <c r="H22">
        <v>0.438523</v>
      </c>
      <c r="I22">
        <v>0.44270799999999999</v>
      </c>
      <c r="J22">
        <v>0.44139400000000001</v>
      </c>
      <c r="K22">
        <v>0.42853200000000002</v>
      </c>
      <c r="L22">
        <v>0.41623500000000002</v>
      </c>
      <c r="M22">
        <v>0.40165200000000001</v>
      </c>
      <c r="N22">
        <v>0.38442700000000002</v>
      </c>
      <c r="O22">
        <v>0.362952</v>
      </c>
      <c r="P22">
        <v>0.34098000000000001</v>
      </c>
      <c r="Q22">
        <v>0.31870199999999999</v>
      </c>
      <c r="R22">
        <v>0.29588700000000001</v>
      </c>
      <c r="S22">
        <v>0.272922</v>
      </c>
      <c r="T22">
        <v>0.250058</v>
      </c>
      <c r="U22">
        <v>0.22815199999999999</v>
      </c>
      <c r="V22">
        <v>0.207236</v>
      </c>
      <c r="W22">
        <v>0.18687400000000001</v>
      </c>
      <c r="X22">
        <v>0.170434</v>
      </c>
      <c r="Y22">
        <v>0.155837</v>
      </c>
      <c r="Z22">
        <v>0.14472299999999999</v>
      </c>
      <c r="AA22">
        <v>0.13236999999999999</v>
      </c>
      <c r="AB22">
        <v>0.123225</v>
      </c>
      <c r="AC22">
        <v>0.116811</v>
      </c>
      <c r="AD22">
        <v>0.112998</v>
      </c>
      <c r="AE22">
        <v>0.10956299999999999</v>
      </c>
      <c r="AF22">
        <v>0.10698199999999999</v>
      </c>
      <c r="AG22" s="20">
        <v>-0.05</v>
      </c>
    </row>
    <row r="23" spans="1:33">
      <c r="A23" t="s">
        <v>152</v>
      </c>
      <c r="B23" t="s">
        <v>2028</v>
      </c>
      <c r="C23" t="s">
        <v>2027</v>
      </c>
      <c r="D23" t="s">
        <v>177</v>
      </c>
      <c r="F23">
        <v>874.37518299999999</v>
      </c>
      <c r="G23">
        <v>855.73950200000002</v>
      </c>
      <c r="H23">
        <v>839.740723</v>
      </c>
      <c r="I23">
        <v>829.06280500000003</v>
      </c>
      <c r="J23">
        <v>817.03814699999998</v>
      </c>
      <c r="K23">
        <v>806.52307099999996</v>
      </c>
      <c r="L23">
        <v>797.05285600000002</v>
      </c>
      <c r="M23">
        <v>786.66845699999999</v>
      </c>
      <c r="N23">
        <v>776.01849400000003</v>
      </c>
      <c r="O23">
        <v>765.74780299999998</v>
      </c>
      <c r="P23">
        <v>755.152649</v>
      </c>
      <c r="Q23">
        <v>744.23339799999997</v>
      </c>
      <c r="R23">
        <v>733.15368699999999</v>
      </c>
      <c r="S23">
        <v>721.99127199999998</v>
      </c>
      <c r="T23">
        <v>710.85888699999998</v>
      </c>
      <c r="U23">
        <v>699.93121299999996</v>
      </c>
      <c r="V23">
        <v>689.72308299999997</v>
      </c>
      <c r="W23">
        <v>678.65417500000001</v>
      </c>
      <c r="X23">
        <v>668.12085000000002</v>
      </c>
      <c r="Y23">
        <v>657.26190199999996</v>
      </c>
      <c r="Z23">
        <v>646.87323000000004</v>
      </c>
      <c r="AA23">
        <v>636.53192100000001</v>
      </c>
      <c r="AB23">
        <v>626.424622</v>
      </c>
      <c r="AC23">
        <v>616.49578899999995</v>
      </c>
      <c r="AD23">
        <v>606.53204300000004</v>
      </c>
      <c r="AE23">
        <v>596.60644500000001</v>
      </c>
      <c r="AF23">
        <v>586.682861</v>
      </c>
      <c r="AG23" s="20">
        <v>-1.4999999999999999E-2</v>
      </c>
    </row>
    <row r="24" spans="1:33">
      <c r="A24" t="s">
        <v>145</v>
      </c>
      <c r="B24" t="s">
        <v>2026</v>
      </c>
      <c r="C24" t="s">
        <v>2025</v>
      </c>
      <c r="D24" t="s">
        <v>177</v>
      </c>
      <c r="F24">
        <v>608.84582499999999</v>
      </c>
      <c r="G24">
        <v>602.34234600000002</v>
      </c>
      <c r="H24">
        <v>598.57141100000001</v>
      </c>
      <c r="I24">
        <v>598.02734399999997</v>
      </c>
      <c r="J24">
        <v>597.05413799999997</v>
      </c>
      <c r="K24">
        <v>597.51867700000003</v>
      </c>
      <c r="L24">
        <v>597.57959000000005</v>
      </c>
      <c r="M24">
        <v>597.26855499999999</v>
      </c>
      <c r="N24">
        <v>596.43859899999995</v>
      </c>
      <c r="O24">
        <v>595.41339100000005</v>
      </c>
      <c r="P24">
        <v>593.97943099999998</v>
      </c>
      <c r="Q24">
        <v>591.838257</v>
      </c>
      <c r="R24">
        <v>588.94305399999996</v>
      </c>
      <c r="S24">
        <v>585.04077099999995</v>
      </c>
      <c r="T24">
        <v>580.45666500000004</v>
      </c>
      <c r="U24">
        <v>575.171021</v>
      </c>
      <c r="V24">
        <v>569.657104</v>
      </c>
      <c r="W24">
        <v>563.30285600000002</v>
      </c>
      <c r="X24">
        <v>556.67156999999997</v>
      </c>
      <c r="Y24">
        <v>549.21490500000004</v>
      </c>
      <c r="Z24">
        <v>541.86505099999999</v>
      </c>
      <c r="AA24">
        <v>534.24523899999997</v>
      </c>
      <c r="AB24">
        <v>526.59002699999996</v>
      </c>
      <c r="AC24">
        <v>518.82629399999996</v>
      </c>
      <c r="AD24">
        <v>510.98663299999998</v>
      </c>
      <c r="AE24">
        <v>503.05392499999999</v>
      </c>
      <c r="AF24">
        <v>495.19235200000003</v>
      </c>
      <c r="AG24" s="20">
        <v>-8.0000000000000002E-3</v>
      </c>
    </row>
    <row r="25" spans="1:33">
      <c r="A25" t="s">
        <v>146</v>
      </c>
      <c r="B25" t="s">
        <v>2024</v>
      </c>
      <c r="C25" t="s">
        <v>2023</v>
      </c>
      <c r="D25" t="s">
        <v>177</v>
      </c>
      <c r="F25">
        <v>3.3636499999999998</v>
      </c>
      <c r="G25">
        <v>3.4067470000000002</v>
      </c>
      <c r="H25">
        <v>3.3543240000000001</v>
      </c>
      <c r="I25">
        <v>3.2885390000000001</v>
      </c>
      <c r="J25">
        <v>3.3905889999999999</v>
      </c>
      <c r="K25">
        <v>3.5174259999999999</v>
      </c>
      <c r="L25">
        <v>3.61917</v>
      </c>
      <c r="M25">
        <v>3.6108020000000001</v>
      </c>
      <c r="N25">
        <v>3.6295920000000002</v>
      </c>
      <c r="O25">
        <v>3.659923</v>
      </c>
      <c r="P25">
        <v>3.6371609999999999</v>
      </c>
      <c r="Q25">
        <v>3.6421950000000001</v>
      </c>
      <c r="R25">
        <v>3.6528450000000001</v>
      </c>
      <c r="S25">
        <v>3.7175240000000001</v>
      </c>
      <c r="T25">
        <v>3.6814689999999999</v>
      </c>
      <c r="U25">
        <v>3.7555809999999998</v>
      </c>
      <c r="V25">
        <v>3.8101099999999999</v>
      </c>
      <c r="W25">
        <v>3.8497219999999999</v>
      </c>
      <c r="X25">
        <v>3.878349</v>
      </c>
      <c r="Y25">
        <v>3.8791020000000001</v>
      </c>
      <c r="Z25">
        <v>3.9045179999999999</v>
      </c>
      <c r="AA25">
        <v>3.919181</v>
      </c>
      <c r="AB25">
        <v>3.9340229999999998</v>
      </c>
      <c r="AC25">
        <v>3.9450240000000001</v>
      </c>
      <c r="AD25">
        <v>3.9532989999999999</v>
      </c>
      <c r="AE25">
        <v>3.9519769999999999</v>
      </c>
      <c r="AF25">
        <v>3.920096</v>
      </c>
      <c r="AG25" s="20">
        <v>6.0000000000000001E-3</v>
      </c>
    </row>
    <row r="26" spans="1:33">
      <c r="A26" t="s">
        <v>147</v>
      </c>
      <c r="B26" t="s">
        <v>2022</v>
      </c>
      <c r="C26" t="s">
        <v>2021</v>
      </c>
      <c r="D26" t="s">
        <v>177</v>
      </c>
      <c r="F26">
        <v>259.73095699999999</v>
      </c>
      <c r="G26">
        <v>246.746262</v>
      </c>
      <c r="H26">
        <v>233.65933200000001</v>
      </c>
      <c r="I26">
        <v>222.639511</v>
      </c>
      <c r="J26">
        <v>210.52593999999999</v>
      </c>
      <c r="K26">
        <v>198.44125399999999</v>
      </c>
      <c r="L26">
        <v>187.82809399999999</v>
      </c>
      <c r="M26">
        <v>176.83654799999999</v>
      </c>
      <c r="N26">
        <v>165.995453</v>
      </c>
      <c r="O26">
        <v>155.707672</v>
      </c>
      <c r="P26">
        <v>145.472443</v>
      </c>
      <c r="Q26">
        <v>135.48971599999999</v>
      </c>
      <c r="R26">
        <v>125.976921</v>
      </c>
      <c r="S26">
        <v>117.19341300000001</v>
      </c>
      <c r="T26">
        <v>109.041771</v>
      </c>
      <c r="U26">
        <v>101.510696</v>
      </c>
      <c r="V26">
        <v>94.802504999999996</v>
      </c>
      <c r="W26">
        <v>87.939010999999994</v>
      </c>
      <c r="X26">
        <v>81.827179000000001</v>
      </c>
      <c r="Y26">
        <v>76.176422000000002</v>
      </c>
      <c r="Z26">
        <v>70.805824000000001</v>
      </c>
      <c r="AA26">
        <v>65.785888999999997</v>
      </c>
      <c r="AB26">
        <v>61.069122</v>
      </c>
      <c r="AC26">
        <v>56.668498999999997</v>
      </c>
      <c r="AD26">
        <v>52.409759999999999</v>
      </c>
      <c r="AE26">
        <v>48.369202000000001</v>
      </c>
      <c r="AF26">
        <v>44.395896999999998</v>
      </c>
      <c r="AG26" s="20">
        <v>-6.6000000000000003E-2</v>
      </c>
    </row>
    <row r="27" spans="1:33">
      <c r="A27" t="s">
        <v>149</v>
      </c>
      <c r="B27" t="s">
        <v>2020</v>
      </c>
      <c r="C27" t="s">
        <v>2019</v>
      </c>
      <c r="D27" t="s">
        <v>177</v>
      </c>
      <c r="F27">
        <v>1.0250000000000001E-3</v>
      </c>
      <c r="G27">
        <v>1.3290000000000001E-3</v>
      </c>
      <c r="H27">
        <v>1.686E-3</v>
      </c>
      <c r="I27">
        <v>2.0939999999999999E-3</v>
      </c>
      <c r="J27">
        <v>2.506E-3</v>
      </c>
      <c r="K27">
        <v>2.9390000000000002E-3</v>
      </c>
      <c r="L27">
        <v>3.359E-3</v>
      </c>
      <c r="M27">
        <v>3.686E-3</v>
      </c>
      <c r="N27">
        <v>4.0039999999999997E-3</v>
      </c>
      <c r="O27">
        <v>4.2830000000000003E-3</v>
      </c>
      <c r="P27">
        <v>4.5339999999999998E-3</v>
      </c>
      <c r="Q27">
        <v>4.7619999999999997E-3</v>
      </c>
      <c r="R27">
        <v>4.9760000000000004E-3</v>
      </c>
      <c r="S27">
        <v>5.1679999999999999E-3</v>
      </c>
      <c r="T27">
        <v>5.3449999999999999E-3</v>
      </c>
      <c r="U27">
        <v>5.5059999999999996E-3</v>
      </c>
      <c r="V27">
        <v>5.6420000000000003E-3</v>
      </c>
      <c r="W27">
        <v>5.7540000000000004E-3</v>
      </c>
      <c r="X27">
        <v>5.8479999999999999E-3</v>
      </c>
      <c r="Y27">
        <v>5.9199999999999999E-3</v>
      </c>
      <c r="Z27">
        <v>5.9769999999999997E-3</v>
      </c>
      <c r="AA27">
        <v>6.019E-3</v>
      </c>
      <c r="AB27">
        <v>6.0489999999999997E-3</v>
      </c>
      <c r="AC27">
        <v>6.0699999999999999E-3</v>
      </c>
      <c r="AD27">
        <v>6.0790000000000002E-3</v>
      </c>
      <c r="AE27">
        <v>6.0800000000000003E-3</v>
      </c>
      <c r="AF27">
        <v>6.0730000000000003E-3</v>
      </c>
      <c r="AG27" s="20">
        <v>7.0999999999999994E-2</v>
      </c>
    </row>
    <row r="28" spans="1:33">
      <c r="A28" t="s">
        <v>148</v>
      </c>
      <c r="B28" t="s">
        <v>2018</v>
      </c>
      <c r="C28" t="s">
        <v>2017</v>
      </c>
      <c r="D28" t="s">
        <v>177</v>
      </c>
      <c r="F28">
        <v>1.3639239999999999</v>
      </c>
      <c r="G28">
        <v>1.6967699999999999</v>
      </c>
      <c r="H28">
        <v>2.1010930000000001</v>
      </c>
      <c r="I28">
        <v>2.5268730000000001</v>
      </c>
      <c r="J28">
        <v>2.9791289999999999</v>
      </c>
      <c r="K28">
        <v>3.5089809999999999</v>
      </c>
      <c r="L28">
        <v>4.0691170000000003</v>
      </c>
      <c r="M28">
        <v>4.5565810000000004</v>
      </c>
      <c r="N28">
        <v>5.0722300000000002</v>
      </c>
      <c r="O28">
        <v>5.5800280000000004</v>
      </c>
      <c r="P28">
        <v>6.1040279999999996</v>
      </c>
      <c r="Q28">
        <v>6.6120320000000001</v>
      </c>
      <c r="R28">
        <v>7.1249989999999999</v>
      </c>
      <c r="S28">
        <v>7.669187</v>
      </c>
      <c r="T28">
        <v>8.2990139999999997</v>
      </c>
      <c r="U28">
        <v>9.0218489999999996</v>
      </c>
      <c r="V28">
        <v>9.8359710000000007</v>
      </c>
      <c r="W28">
        <v>10.729393</v>
      </c>
      <c r="X28">
        <v>11.652920999999999</v>
      </c>
      <c r="Y28">
        <v>12.597635</v>
      </c>
      <c r="Z28">
        <v>13.58042</v>
      </c>
      <c r="AA28">
        <v>14.560661</v>
      </c>
      <c r="AB28">
        <v>15.533315999999999</v>
      </c>
      <c r="AC28">
        <v>16.514008</v>
      </c>
      <c r="AD28">
        <v>17.471374999999998</v>
      </c>
      <c r="AE28">
        <v>18.412832000000002</v>
      </c>
      <c r="AF28">
        <v>19.309812999999998</v>
      </c>
      <c r="AG28" s="20">
        <v>0.107</v>
      </c>
    </row>
    <row r="29" spans="1:33">
      <c r="A29" t="s">
        <v>150</v>
      </c>
      <c r="B29" t="s">
        <v>2016</v>
      </c>
      <c r="C29" t="s">
        <v>2015</v>
      </c>
      <c r="D29" t="s">
        <v>177</v>
      </c>
      <c r="F29">
        <v>1.0697620000000001</v>
      </c>
      <c r="G29">
        <v>1.5460320000000001</v>
      </c>
      <c r="H29">
        <v>2.0528270000000002</v>
      </c>
      <c r="I29">
        <v>2.5784729999999998</v>
      </c>
      <c r="J29">
        <v>3.0858810000000001</v>
      </c>
      <c r="K29">
        <v>3.5337329999999998</v>
      </c>
      <c r="L29">
        <v>3.9535309999999999</v>
      </c>
      <c r="M29">
        <v>4.3923189999999996</v>
      </c>
      <c r="N29">
        <v>4.878654</v>
      </c>
      <c r="O29">
        <v>5.3824829999999997</v>
      </c>
      <c r="P29">
        <v>5.9551239999999996</v>
      </c>
      <c r="Q29">
        <v>6.6463650000000003</v>
      </c>
      <c r="R29">
        <v>7.4508869999999998</v>
      </c>
      <c r="S29">
        <v>8.365183</v>
      </c>
      <c r="T29">
        <v>9.3746519999999993</v>
      </c>
      <c r="U29">
        <v>10.466586</v>
      </c>
      <c r="V29">
        <v>11.611726000000001</v>
      </c>
      <c r="W29">
        <v>12.827472</v>
      </c>
      <c r="X29">
        <v>14.085025999999999</v>
      </c>
      <c r="Y29">
        <v>15.387928</v>
      </c>
      <c r="Z29">
        <v>16.711383999999999</v>
      </c>
      <c r="AA29">
        <v>18.014876999999998</v>
      </c>
      <c r="AB29">
        <v>19.292100999999999</v>
      </c>
      <c r="AC29">
        <v>20.535923</v>
      </c>
      <c r="AD29">
        <v>21.704830000000001</v>
      </c>
      <c r="AE29">
        <v>22.812384000000002</v>
      </c>
      <c r="AF29">
        <v>23.858597</v>
      </c>
      <c r="AG29" s="20">
        <v>0.127</v>
      </c>
    </row>
    <row r="30" spans="1:33">
      <c r="A30" t="s">
        <v>151</v>
      </c>
      <c r="B30" t="s">
        <v>2014</v>
      </c>
      <c r="C30" t="s">
        <v>2013</v>
      </c>
      <c r="D30" t="s">
        <v>177</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t="s">
        <v>15</v>
      </c>
    </row>
    <row r="31" spans="1:33">
      <c r="A31" t="s">
        <v>153</v>
      </c>
      <c r="B31" t="s">
        <v>2012</v>
      </c>
      <c r="C31" t="s">
        <v>2011</v>
      </c>
      <c r="D31" t="s">
        <v>177</v>
      </c>
      <c r="F31">
        <v>6005.1274409999996</v>
      </c>
      <c r="G31">
        <v>6058.611328</v>
      </c>
      <c r="H31">
        <v>6062.5527339999999</v>
      </c>
      <c r="I31">
        <v>6052.2768550000001</v>
      </c>
      <c r="J31">
        <v>6018.6782229999999</v>
      </c>
      <c r="K31">
        <v>5988.8549800000001</v>
      </c>
      <c r="L31">
        <v>5960.1284180000002</v>
      </c>
      <c r="M31">
        <v>5923.4799800000001</v>
      </c>
      <c r="N31">
        <v>5889.1928710000002</v>
      </c>
      <c r="O31">
        <v>5851.3447269999997</v>
      </c>
      <c r="P31">
        <v>5821.859375</v>
      </c>
      <c r="Q31">
        <v>5796.4853519999997</v>
      </c>
      <c r="R31">
        <v>5783.0722660000001</v>
      </c>
      <c r="S31">
        <v>5777.6474609999996</v>
      </c>
      <c r="T31">
        <v>5775.5737300000001</v>
      </c>
      <c r="U31">
        <v>5770.5004879999997</v>
      </c>
      <c r="V31">
        <v>5770.6040039999998</v>
      </c>
      <c r="W31">
        <v>5771.0673829999996</v>
      </c>
      <c r="X31">
        <v>5774.9716799999997</v>
      </c>
      <c r="Y31">
        <v>5776.5786129999997</v>
      </c>
      <c r="Z31">
        <v>5777.7495120000003</v>
      </c>
      <c r="AA31">
        <v>5784.5151370000003</v>
      </c>
      <c r="AB31">
        <v>5789.783203</v>
      </c>
      <c r="AC31">
        <v>5816.3759769999997</v>
      </c>
      <c r="AD31">
        <v>5843.7739259999998</v>
      </c>
      <c r="AE31">
        <v>5867.5810549999997</v>
      </c>
      <c r="AF31">
        <v>5884.5639650000003</v>
      </c>
      <c r="AG31" s="20">
        <v>-1E-3</v>
      </c>
    </row>
    <row r="32" spans="1:33">
      <c r="A32" t="s">
        <v>154</v>
      </c>
      <c r="B32" t="s">
        <v>2010</v>
      </c>
      <c r="C32" t="s">
        <v>2009</v>
      </c>
      <c r="D32" t="s">
        <v>177</v>
      </c>
      <c r="F32">
        <v>682.64904799999999</v>
      </c>
      <c r="G32">
        <v>696.67846699999996</v>
      </c>
      <c r="H32">
        <v>706.45770300000004</v>
      </c>
      <c r="I32">
        <v>715.23767099999998</v>
      </c>
      <c r="J32">
        <v>725.20898399999999</v>
      </c>
      <c r="K32">
        <v>740.442139</v>
      </c>
      <c r="L32">
        <v>759.80108600000005</v>
      </c>
      <c r="M32">
        <v>781.30432099999996</v>
      </c>
      <c r="N32">
        <v>805.93072500000005</v>
      </c>
      <c r="O32">
        <v>832.13165300000003</v>
      </c>
      <c r="P32">
        <v>860.34063700000002</v>
      </c>
      <c r="Q32">
        <v>888.86492899999996</v>
      </c>
      <c r="R32">
        <v>918.140625</v>
      </c>
      <c r="S32">
        <v>947.66625999999997</v>
      </c>
      <c r="T32">
        <v>976.79376200000002</v>
      </c>
      <c r="U32">
        <v>1005.037659</v>
      </c>
      <c r="V32">
        <v>1032.881592</v>
      </c>
      <c r="W32">
        <v>1058.080078</v>
      </c>
      <c r="X32">
        <v>1081.025513</v>
      </c>
      <c r="Y32">
        <v>1100.698486</v>
      </c>
      <c r="Z32">
        <v>1118.5776370000001</v>
      </c>
      <c r="AA32">
        <v>1136.2543949999999</v>
      </c>
      <c r="AB32">
        <v>1152.5543210000001</v>
      </c>
      <c r="AC32">
        <v>1171.06665</v>
      </c>
      <c r="AD32">
        <v>1187.4848629999999</v>
      </c>
      <c r="AE32">
        <v>1201.6254879999999</v>
      </c>
      <c r="AF32">
        <v>1213.2468260000001</v>
      </c>
      <c r="AG32" s="20">
        <v>2.1999999999999999E-2</v>
      </c>
    </row>
    <row r="33" spans="1:33">
      <c r="A33" t="s">
        <v>147</v>
      </c>
      <c r="B33" t="s">
        <v>2008</v>
      </c>
      <c r="C33" t="s">
        <v>2007</v>
      </c>
      <c r="D33" t="s">
        <v>177</v>
      </c>
      <c r="F33">
        <v>5262.0546880000002</v>
      </c>
      <c r="G33">
        <v>5295.5166019999997</v>
      </c>
      <c r="H33">
        <v>5284.3710940000001</v>
      </c>
      <c r="I33">
        <v>5261.173828</v>
      </c>
      <c r="J33">
        <v>5214.8681640000004</v>
      </c>
      <c r="K33">
        <v>5167.3994140000004</v>
      </c>
      <c r="L33">
        <v>5117.4399409999996</v>
      </c>
      <c r="M33">
        <v>5057.9794920000004</v>
      </c>
      <c r="N33">
        <v>4997.7973629999997</v>
      </c>
      <c r="O33">
        <v>4932.8691410000001</v>
      </c>
      <c r="P33">
        <v>4873.9633789999998</v>
      </c>
      <c r="Q33">
        <v>4818.3222660000001</v>
      </c>
      <c r="R33">
        <v>4773.3173829999996</v>
      </c>
      <c r="S33">
        <v>4735.3779299999997</v>
      </c>
      <c r="T33">
        <v>4700.5795900000003</v>
      </c>
      <c r="U33">
        <v>4663.09375</v>
      </c>
      <c r="V33">
        <v>4630.2001950000003</v>
      </c>
      <c r="W33">
        <v>4599.0820309999999</v>
      </c>
      <c r="X33">
        <v>4572.8413090000004</v>
      </c>
      <c r="Y33">
        <v>4547.0268550000001</v>
      </c>
      <c r="Z33">
        <v>4522.3266599999997</v>
      </c>
      <c r="AA33">
        <v>4502.796875</v>
      </c>
      <c r="AB33">
        <v>4482.5249020000001</v>
      </c>
      <c r="AC33">
        <v>4479.8339839999999</v>
      </c>
      <c r="AD33">
        <v>4478.9736329999996</v>
      </c>
      <c r="AE33">
        <v>4475.9814450000003</v>
      </c>
      <c r="AF33">
        <v>4467.7338870000003</v>
      </c>
      <c r="AG33" s="20">
        <v>-6.0000000000000001E-3</v>
      </c>
    </row>
    <row r="34" spans="1:33">
      <c r="A34" t="s">
        <v>148</v>
      </c>
      <c r="B34" t="s">
        <v>2006</v>
      </c>
      <c r="C34" t="s">
        <v>2005</v>
      </c>
      <c r="D34" t="s">
        <v>177</v>
      </c>
      <c r="F34">
        <v>55.106686000000003</v>
      </c>
      <c r="G34">
        <v>60.266616999999997</v>
      </c>
      <c r="H34">
        <v>64.839827999999997</v>
      </c>
      <c r="I34">
        <v>68.349625000000003</v>
      </c>
      <c r="J34">
        <v>70.525550999999993</v>
      </c>
      <c r="K34">
        <v>72.469809999999995</v>
      </c>
      <c r="L34">
        <v>73.923186999999999</v>
      </c>
      <c r="M34">
        <v>74.768660999999994</v>
      </c>
      <c r="N34">
        <v>75.424942000000001</v>
      </c>
      <c r="O34">
        <v>75.820374000000001</v>
      </c>
      <c r="P34">
        <v>76.349898999999994</v>
      </c>
      <c r="Q34">
        <v>77.040145999999993</v>
      </c>
      <c r="R34">
        <v>77.877280999999996</v>
      </c>
      <c r="S34">
        <v>79.043143999999998</v>
      </c>
      <c r="T34">
        <v>80.450858999999994</v>
      </c>
      <c r="U34">
        <v>82.033744999999996</v>
      </c>
      <c r="V34">
        <v>84.148926000000003</v>
      </c>
      <c r="W34">
        <v>86.843947999999997</v>
      </c>
      <c r="X34">
        <v>89.839264</v>
      </c>
      <c r="Y34">
        <v>92.977112000000005</v>
      </c>
      <c r="Z34">
        <v>96.314857000000003</v>
      </c>
      <c r="AA34">
        <v>100.060036</v>
      </c>
      <c r="AB34">
        <v>104.284363</v>
      </c>
      <c r="AC34">
        <v>109.62687699999999</v>
      </c>
      <c r="AD34">
        <v>115.90031399999999</v>
      </c>
      <c r="AE34">
        <v>122.995178</v>
      </c>
      <c r="AF34">
        <v>131.06424000000001</v>
      </c>
      <c r="AG34" s="20">
        <v>3.4000000000000002E-2</v>
      </c>
    </row>
    <row r="35" spans="1:33">
      <c r="A35" t="s">
        <v>149</v>
      </c>
      <c r="B35" t="s">
        <v>2004</v>
      </c>
      <c r="C35" t="s">
        <v>2003</v>
      </c>
      <c r="D35" t="s">
        <v>177</v>
      </c>
      <c r="F35">
        <v>1.63686</v>
      </c>
      <c r="G35">
        <v>1.8039179999999999</v>
      </c>
      <c r="H35">
        <v>1.9553450000000001</v>
      </c>
      <c r="I35">
        <v>2.095329</v>
      </c>
      <c r="J35">
        <v>2.202966</v>
      </c>
      <c r="K35">
        <v>2.2743500000000001</v>
      </c>
      <c r="L35">
        <v>2.341685</v>
      </c>
      <c r="M35">
        <v>2.3793389999999999</v>
      </c>
      <c r="N35">
        <v>2.4041060000000001</v>
      </c>
      <c r="O35">
        <v>2.4123800000000002</v>
      </c>
      <c r="P35">
        <v>2.4138890000000002</v>
      </c>
      <c r="Q35">
        <v>2.405564</v>
      </c>
      <c r="R35">
        <v>2.395575</v>
      </c>
      <c r="S35">
        <v>2.3836390000000001</v>
      </c>
      <c r="T35">
        <v>2.3738160000000001</v>
      </c>
      <c r="U35">
        <v>2.3633470000000001</v>
      </c>
      <c r="V35">
        <v>2.356134</v>
      </c>
      <c r="W35">
        <v>2.346463</v>
      </c>
      <c r="X35">
        <v>2.3374450000000002</v>
      </c>
      <c r="Y35">
        <v>2.3282379999999998</v>
      </c>
      <c r="Z35">
        <v>2.3202970000000001</v>
      </c>
      <c r="AA35">
        <v>2.3174630000000001</v>
      </c>
      <c r="AB35">
        <v>2.3153820000000001</v>
      </c>
      <c r="AC35">
        <v>2.323302</v>
      </c>
      <c r="AD35">
        <v>2.3276080000000001</v>
      </c>
      <c r="AE35">
        <v>2.3246549999999999</v>
      </c>
      <c r="AF35">
        <v>2.3222160000000001</v>
      </c>
      <c r="AG35" s="20">
        <v>1.4E-2</v>
      </c>
    </row>
    <row r="36" spans="1:33">
      <c r="A36" t="s">
        <v>146</v>
      </c>
      <c r="B36" t="s">
        <v>2002</v>
      </c>
      <c r="C36" t="s">
        <v>2001</v>
      </c>
      <c r="D36" t="s">
        <v>177</v>
      </c>
      <c r="F36">
        <v>1.4276580000000001</v>
      </c>
      <c r="G36">
        <v>1.318281</v>
      </c>
      <c r="H36">
        <v>1.1735040000000001</v>
      </c>
      <c r="I36">
        <v>1.023695</v>
      </c>
      <c r="J36">
        <v>0.946716</v>
      </c>
      <c r="K36">
        <v>0.89150200000000002</v>
      </c>
      <c r="L36">
        <v>0.83629500000000001</v>
      </c>
      <c r="M36">
        <v>0.763683</v>
      </c>
      <c r="N36">
        <v>0.70567800000000003</v>
      </c>
      <c r="O36">
        <v>0.65266599999999997</v>
      </c>
      <c r="P36">
        <v>0.59577599999999997</v>
      </c>
      <c r="Q36">
        <v>0.54799399999999998</v>
      </c>
      <c r="R36">
        <v>0.50356299999999998</v>
      </c>
      <c r="S36">
        <v>0.46726000000000001</v>
      </c>
      <c r="T36">
        <v>0.42045199999999999</v>
      </c>
      <c r="U36">
        <v>0.38884400000000002</v>
      </c>
      <c r="V36">
        <v>0.357379</v>
      </c>
      <c r="W36">
        <v>0.32849600000000001</v>
      </c>
      <c r="X36">
        <v>0.30108299999999999</v>
      </c>
      <c r="Y36">
        <v>0.27498400000000001</v>
      </c>
      <c r="Z36">
        <v>0.25062299999999998</v>
      </c>
      <c r="AA36">
        <v>0.22716500000000001</v>
      </c>
      <c r="AB36">
        <v>0.20371</v>
      </c>
      <c r="AC36">
        <v>0.18196599999999999</v>
      </c>
      <c r="AD36">
        <v>0.15764400000000001</v>
      </c>
      <c r="AE36">
        <v>0.13266900000000001</v>
      </c>
      <c r="AF36">
        <v>0.106854</v>
      </c>
      <c r="AG36" s="20">
        <v>-9.5000000000000001E-2</v>
      </c>
    </row>
    <row r="37" spans="1:33">
      <c r="A37" t="s">
        <v>150</v>
      </c>
      <c r="B37" t="s">
        <v>2000</v>
      </c>
      <c r="C37" t="s">
        <v>1999</v>
      </c>
      <c r="D37" t="s">
        <v>177</v>
      </c>
      <c r="F37">
        <v>2.2528419999999998</v>
      </c>
      <c r="G37">
        <v>3.0272250000000001</v>
      </c>
      <c r="H37">
        <v>3.7554750000000001</v>
      </c>
      <c r="I37">
        <v>4.3965420000000002</v>
      </c>
      <c r="J37">
        <v>4.9255509999999996</v>
      </c>
      <c r="K37">
        <v>5.3774040000000003</v>
      </c>
      <c r="L37">
        <v>5.785533</v>
      </c>
      <c r="M37">
        <v>6.2847600000000003</v>
      </c>
      <c r="N37">
        <v>6.9303150000000002</v>
      </c>
      <c r="O37">
        <v>7.4577920000000004</v>
      </c>
      <c r="P37">
        <v>8.1955190000000009</v>
      </c>
      <c r="Q37">
        <v>9.3046340000000001</v>
      </c>
      <c r="R37">
        <v>10.838058</v>
      </c>
      <c r="S37">
        <v>12.709625000000001</v>
      </c>
      <c r="T37">
        <v>14.955209</v>
      </c>
      <c r="U37">
        <v>17.583475</v>
      </c>
      <c r="V37">
        <v>20.659679000000001</v>
      </c>
      <c r="W37">
        <v>24.386471</v>
      </c>
      <c r="X37">
        <v>28.626867000000001</v>
      </c>
      <c r="Y37">
        <v>33.272857999999999</v>
      </c>
      <c r="Z37">
        <v>37.959400000000002</v>
      </c>
      <c r="AA37">
        <v>42.859276000000001</v>
      </c>
      <c r="AB37">
        <v>47.901051000000002</v>
      </c>
      <c r="AC37">
        <v>53.343429999999998</v>
      </c>
      <c r="AD37">
        <v>58.929783</v>
      </c>
      <c r="AE37">
        <v>64.521468999999996</v>
      </c>
      <c r="AF37">
        <v>70.089607000000001</v>
      </c>
      <c r="AG37" s="20">
        <v>0.14099999999999999</v>
      </c>
    </row>
    <row r="38" spans="1:33">
      <c r="A38" t="s">
        <v>151</v>
      </c>
      <c r="B38" t="s">
        <v>1998</v>
      </c>
      <c r="C38" t="s">
        <v>1997</v>
      </c>
      <c r="D38" t="s">
        <v>177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15</v>
      </c>
    </row>
    <row r="39" spans="1:33">
      <c r="A39" t="s">
        <v>155</v>
      </c>
      <c r="B39" t="s">
        <v>1996</v>
      </c>
      <c r="C39" t="s">
        <v>1995</v>
      </c>
      <c r="D39" t="s">
        <v>177</v>
      </c>
      <c r="F39">
        <v>434.230682</v>
      </c>
      <c r="G39">
        <v>443.75869799999998</v>
      </c>
      <c r="H39">
        <v>432.581299</v>
      </c>
      <c r="I39">
        <v>417.75234999999998</v>
      </c>
      <c r="J39">
        <v>417.42465199999998</v>
      </c>
      <c r="K39">
        <v>415.93777499999999</v>
      </c>
      <c r="L39">
        <v>403.47412100000003</v>
      </c>
      <c r="M39">
        <v>403.17804000000001</v>
      </c>
      <c r="N39">
        <v>383.83212300000002</v>
      </c>
      <c r="O39">
        <v>385.30667099999999</v>
      </c>
      <c r="P39">
        <v>381.27539100000001</v>
      </c>
      <c r="Q39">
        <v>381.04003899999998</v>
      </c>
      <c r="R39">
        <v>382.19842499999999</v>
      </c>
      <c r="S39">
        <v>383.73739599999999</v>
      </c>
      <c r="T39">
        <v>388.55950899999999</v>
      </c>
      <c r="U39">
        <v>385.72473100000002</v>
      </c>
      <c r="V39">
        <v>387.17019699999997</v>
      </c>
      <c r="W39">
        <v>387.33422899999999</v>
      </c>
      <c r="X39">
        <v>388.97726399999999</v>
      </c>
      <c r="Y39">
        <v>390.85006700000002</v>
      </c>
      <c r="Z39">
        <v>391.76263399999999</v>
      </c>
      <c r="AA39">
        <v>392.73843399999998</v>
      </c>
      <c r="AB39">
        <v>392.65093999999999</v>
      </c>
      <c r="AC39">
        <v>396.48129299999999</v>
      </c>
      <c r="AD39">
        <v>399.58117700000003</v>
      </c>
      <c r="AE39">
        <v>402.097534</v>
      </c>
      <c r="AF39">
        <v>402.97448700000001</v>
      </c>
      <c r="AG39" s="20">
        <v>-3.0000000000000001E-3</v>
      </c>
    </row>
    <row r="40" spans="1:33">
      <c r="A40" t="s">
        <v>147</v>
      </c>
      <c r="B40" t="s">
        <v>1994</v>
      </c>
      <c r="C40" t="s">
        <v>1993</v>
      </c>
      <c r="D40" t="s">
        <v>177</v>
      </c>
      <c r="F40">
        <v>434.230682</v>
      </c>
      <c r="G40">
        <v>443.75869799999998</v>
      </c>
      <c r="H40">
        <v>432.581299</v>
      </c>
      <c r="I40">
        <v>417.75234999999998</v>
      </c>
      <c r="J40">
        <v>417.42465199999998</v>
      </c>
      <c r="K40">
        <v>415.93777499999999</v>
      </c>
      <c r="L40">
        <v>403.47412100000003</v>
      </c>
      <c r="M40">
        <v>403.17804000000001</v>
      </c>
      <c r="N40">
        <v>383.83212300000002</v>
      </c>
      <c r="O40">
        <v>385.30667099999999</v>
      </c>
      <c r="P40">
        <v>381.27539100000001</v>
      </c>
      <c r="Q40">
        <v>381.04003899999998</v>
      </c>
      <c r="R40">
        <v>382.19842499999999</v>
      </c>
      <c r="S40">
        <v>383.73739599999999</v>
      </c>
      <c r="T40">
        <v>388.55950899999999</v>
      </c>
      <c r="U40">
        <v>385.72473100000002</v>
      </c>
      <c r="V40">
        <v>387.17019699999997</v>
      </c>
      <c r="W40">
        <v>387.33422899999999</v>
      </c>
      <c r="X40">
        <v>388.97726399999999</v>
      </c>
      <c r="Y40">
        <v>390.85006700000002</v>
      </c>
      <c r="Z40">
        <v>391.76263399999999</v>
      </c>
      <c r="AA40">
        <v>392.73843399999998</v>
      </c>
      <c r="AB40">
        <v>392.65093999999999</v>
      </c>
      <c r="AC40">
        <v>396.48129299999999</v>
      </c>
      <c r="AD40">
        <v>399.58117700000003</v>
      </c>
      <c r="AE40">
        <v>402.097534</v>
      </c>
      <c r="AF40">
        <v>402.97448700000001</v>
      </c>
      <c r="AG40" s="20">
        <v>-3.0000000000000001E-3</v>
      </c>
    </row>
    <row r="41" spans="1:33">
      <c r="A41" t="s">
        <v>156</v>
      </c>
      <c r="B41" t="s">
        <v>1992</v>
      </c>
      <c r="C41" t="s">
        <v>1991</v>
      </c>
      <c r="D41" t="s">
        <v>177</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15</v>
      </c>
    </row>
    <row r="42" spans="1:33">
      <c r="A42" t="s">
        <v>157</v>
      </c>
      <c r="B42" t="s">
        <v>1990</v>
      </c>
      <c r="C42" t="s">
        <v>1989</v>
      </c>
      <c r="D42" t="s">
        <v>177</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15</v>
      </c>
    </row>
    <row r="43" spans="1:33">
      <c r="A43" t="s">
        <v>158</v>
      </c>
      <c r="B43" t="s">
        <v>1988</v>
      </c>
      <c r="C43" t="s">
        <v>1987</v>
      </c>
      <c r="D43" t="s">
        <v>177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15</v>
      </c>
    </row>
    <row r="44" spans="1:33">
      <c r="A44" t="s">
        <v>23</v>
      </c>
      <c r="B44" t="s">
        <v>1986</v>
      </c>
      <c r="C44" t="s">
        <v>1985</v>
      </c>
      <c r="D44" t="s">
        <v>177</v>
      </c>
      <c r="F44">
        <v>94.440971000000005</v>
      </c>
      <c r="G44">
        <v>95.330078</v>
      </c>
      <c r="H44">
        <v>94.566444000000004</v>
      </c>
      <c r="I44">
        <v>93.798164</v>
      </c>
      <c r="J44">
        <v>93.107506000000001</v>
      </c>
      <c r="K44">
        <v>92.339127000000005</v>
      </c>
      <c r="L44">
        <v>91.480575999999999</v>
      </c>
      <c r="M44">
        <v>90.543334999999999</v>
      </c>
      <c r="N44">
        <v>89.462424999999996</v>
      </c>
      <c r="O44">
        <v>88.707656999999998</v>
      </c>
      <c r="P44">
        <v>88.034156999999993</v>
      </c>
      <c r="Q44">
        <v>87.319710000000001</v>
      </c>
      <c r="R44">
        <v>86.579650999999998</v>
      </c>
      <c r="S44">
        <v>85.944571999999994</v>
      </c>
      <c r="T44">
        <v>85.341614000000007</v>
      </c>
      <c r="U44">
        <v>84.675208999999995</v>
      </c>
      <c r="V44">
        <v>84.112099000000001</v>
      </c>
      <c r="W44">
        <v>83.540062000000006</v>
      </c>
      <c r="X44">
        <v>82.973929999999996</v>
      </c>
      <c r="Y44">
        <v>82.355484000000004</v>
      </c>
      <c r="Z44">
        <v>81.679946999999999</v>
      </c>
      <c r="AA44">
        <v>81.034569000000005</v>
      </c>
      <c r="AB44">
        <v>80.382202000000007</v>
      </c>
      <c r="AC44">
        <v>79.953879999999998</v>
      </c>
      <c r="AD44">
        <v>79.430321000000006</v>
      </c>
      <c r="AE44">
        <v>78.866470000000007</v>
      </c>
      <c r="AF44">
        <v>78.277953999999994</v>
      </c>
      <c r="AG44" s="20">
        <v>-7.0000000000000001E-3</v>
      </c>
    </row>
    <row r="45" spans="1:33">
      <c r="A45" t="s">
        <v>147</v>
      </c>
      <c r="B45" t="s">
        <v>1984</v>
      </c>
      <c r="C45" t="s">
        <v>1983</v>
      </c>
      <c r="D45" t="s">
        <v>177</v>
      </c>
      <c r="F45">
        <v>92.332252999999994</v>
      </c>
      <c r="G45">
        <v>93.278983999999994</v>
      </c>
      <c r="H45">
        <v>92.539314000000005</v>
      </c>
      <c r="I45">
        <v>91.795044000000004</v>
      </c>
      <c r="J45">
        <v>91.125641000000002</v>
      </c>
      <c r="K45">
        <v>90.379990000000006</v>
      </c>
      <c r="L45">
        <v>89.546463000000003</v>
      </c>
      <c r="M45">
        <v>88.635925</v>
      </c>
      <c r="N45">
        <v>87.584746999999993</v>
      </c>
      <c r="O45">
        <v>86.852417000000003</v>
      </c>
      <c r="P45">
        <v>86.199318000000005</v>
      </c>
      <c r="Q45">
        <v>85.505904999999998</v>
      </c>
      <c r="R45">
        <v>84.786452999999995</v>
      </c>
      <c r="S45">
        <v>84.170158000000001</v>
      </c>
      <c r="T45">
        <v>83.586044000000001</v>
      </c>
      <c r="U45">
        <v>82.940169999999995</v>
      </c>
      <c r="V45">
        <v>82.351212000000004</v>
      </c>
      <c r="W45">
        <v>81.693588000000005</v>
      </c>
      <c r="X45">
        <v>81.036438000000004</v>
      </c>
      <c r="Y45">
        <v>80.322616999999994</v>
      </c>
      <c r="Z45">
        <v>79.547393999999997</v>
      </c>
      <c r="AA45">
        <v>78.795531999999994</v>
      </c>
      <c r="AB45">
        <v>78.030472000000003</v>
      </c>
      <c r="AC45">
        <v>77.475707999999997</v>
      </c>
      <c r="AD45">
        <v>76.820853999999997</v>
      </c>
      <c r="AE45">
        <v>76.119011</v>
      </c>
      <c r="AF45">
        <v>75.385009999999994</v>
      </c>
      <c r="AG45" s="20">
        <v>-8.0000000000000002E-3</v>
      </c>
    </row>
    <row r="46" spans="1:33">
      <c r="A46" t="s">
        <v>159</v>
      </c>
      <c r="B46" t="s">
        <v>1982</v>
      </c>
      <c r="C46" t="s">
        <v>1981</v>
      </c>
      <c r="D46" t="s">
        <v>177</v>
      </c>
      <c r="F46">
        <v>1.3822049999999999</v>
      </c>
      <c r="G46">
        <v>1.2632559999999999</v>
      </c>
      <c r="H46">
        <v>1.198018</v>
      </c>
      <c r="I46">
        <v>1.1309709999999999</v>
      </c>
      <c r="J46">
        <v>1.0674129999999999</v>
      </c>
      <c r="K46">
        <v>1.0042279999999999</v>
      </c>
      <c r="L46">
        <v>0.937581</v>
      </c>
      <c r="M46">
        <v>0.868587</v>
      </c>
      <c r="N46">
        <v>0.80069400000000002</v>
      </c>
      <c r="O46">
        <v>0.73563800000000001</v>
      </c>
      <c r="P46">
        <v>0.673956</v>
      </c>
      <c r="Q46">
        <v>0.61449699999999996</v>
      </c>
      <c r="R46">
        <v>0.56326799999999999</v>
      </c>
      <c r="S46">
        <v>0.50884700000000005</v>
      </c>
      <c r="T46">
        <v>0.44785000000000003</v>
      </c>
      <c r="U46">
        <v>0.38284099999999999</v>
      </c>
      <c r="V46">
        <v>0.32558700000000002</v>
      </c>
      <c r="W46">
        <v>0.32329599999999997</v>
      </c>
      <c r="X46">
        <v>0.321021</v>
      </c>
      <c r="Y46">
        <v>0.31855600000000001</v>
      </c>
      <c r="Z46">
        <v>0.31585600000000003</v>
      </c>
      <c r="AA46">
        <v>0.31325799999999998</v>
      </c>
      <c r="AB46">
        <v>0.310612</v>
      </c>
      <c r="AC46">
        <v>0.30888199999999999</v>
      </c>
      <c r="AD46">
        <v>0.306782</v>
      </c>
      <c r="AE46">
        <v>0.30452499999999999</v>
      </c>
      <c r="AF46">
        <v>0.302176</v>
      </c>
      <c r="AG46" s="20">
        <v>-5.7000000000000002E-2</v>
      </c>
    </row>
    <row r="47" spans="1:33">
      <c r="A47" t="s">
        <v>157</v>
      </c>
      <c r="B47" t="s">
        <v>1980</v>
      </c>
      <c r="C47" t="s">
        <v>1979</v>
      </c>
      <c r="D47" t="s">
        <v>177</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15</v>
      </c>
    </row>
    <row r="48" spans="1:33">
      <c r="A48" t="s">
        <v>158</v>
      </c>
      <c r="B48" t="s">
        <v>1978</v>
      </c>
      <c r="C48" t="s">
        <v>1977</v>
      </c>
      <c r="D48" t="s">
        <v>177</v>
      </c>
      <c r="F48">
        <v>0.72651399999999999</v>
      </c>
      <c r="G48">
        <v>0.78784500000000002</v>
      </c>
      <c r="H48">
        <v>0.82910799999999996</v>
      </c>
      <c r="I48">
        <v>0.87214700000000001</v>
      </c>
      <c r="J48">
        <v>0.91445100000000001</v>
      </c>
      <c r="K48">
        <v>0.95491099999999995</v>
      </c>
      <c r="L48">
        <v>0.99653099999999994</v>
      </c>
      <c r="M48">
        <v>1.038818</v>
      </c>
      <c r="N48">
        <v>1.0769789999999999</v>
      </c>
      <c r="O48">
        <v>1.119599</v>
      </c>
      <c r="P48">
        <v>1.1608780000000001</v>
      </c>
      <c r="Q48">
        <v>1.199308</v>
      </c>
      <c r="R48">
        <v>1.229924</v>
      </c>
      <c r="S48">
        <v>1.2655670000000001</v>
      </c>
      <c r="T48">
        <v>1.3077129999999999</v>
      </c>
      <c r="U48">
        <v>1.352198</v>
      </c>
      <c r="V48">
        <v>1.4353050000000001</v>
      </c>
      <c r="W48">
        <v>1.5231779999999999</v>
      </c>
      <c r="X48">
        <v>1.616471</v>
      </c>
      <c r="Y48">
        <v>1.7143079999999999</v>
      </c>
      <c r="Z48">
        <v>1.8166960000000001</v>
      </c>
      <c r="AA48">
        <v>1.9257839999999999</v>
      </c>
      <c r="AB48">
        <v>2.0411160000000002</v>
      </c>
      <c r="AC48">
        <v>2.1692900000000002</v>
      </c>
      <c r="AD48">
        <v>2.3026849999999999</v>
      </c>
      <c r="AE48">
        <v>2.44293</v>
      </c>
      <c r="AF48">
        <v>2.590767</v>
      </c>
      <c r="AG48" s="20">
        <v>0.05</v>
      </c>
    </row>
    <row r="49" spans="1:33">
      <c r="A49" t="s">
        <v>22</v>
      </c>
      <c r="B49" t="s">
        <v>1976</v>
      </c>
      <c r="C49" t="s">
        <v>1975</v>
      </c>
      <c r="D49" t="s">
        <v>177</v>
      </c>
      <c r="F49">
        <v>752.11914100000001</v>
      </c>
      <c r="G49">
        <v>733.38183600000002</v>
      </c>
      <c r="H49">
        <v>741.75500499999998</v>
      </c>
      <c r="I49">
        <v>755.32031199999994</v>
      </c>
      <c r="J49">
        <v>766.29522699999995</v>
      </c>
      <c r="K49">
        <v>778.19598399999995</v>
      </c>
      <c r="L49">
        <v>789.92559800000004</v>
      </c>
      <c r="M49">
        <v>800.55590800000004</v>
      </c>
      <c r="N49">
        <v>812.12438999999995</v>
      </c>
      <c r="O49">
        <v>823.286743</v>
      </c>
      <c r="P49">
        <v>834.92968800000006</v>
      </c>
      <c r="Q49">
        <v>844.163635</v>
      </c>
      <c r="R49">
        <v>851.84155299999998</v>
      </c>
      <c r="S49">
        <v>859.28411900000003</v>
      </c>
      <c r="T49">
        <v>865.81829800000003</v>
      </c>
      <c r="U49">
        <v>872.40655500000003</v>
      </c>
      <c r="V49">
        <v>878.26220699999999</v>
      </c>
      <c r="W49">
        <v>883.989014</v>
      </c>
      <c r="X49">
        <v>889.83532700000001</v>
      </c>
      <c r="Y49">
        <v>895.57183799999996</v>
      </c>
      <c r="Z49">
        <v>901.092896</v>
      </c>
      <c r="AA49">
        <v>906.31549099999995</v>
      </c>
      <c r="AB49">
        <v>910.75854500000003</v>
      </c>
      <c r="AC49">
        <v>916.78363000000002</v>
      </c>
      <c r="AD49">
        <v>923.91906700000004</v>
      </c>
      <c r="AE49">
        <v>930.80413799999997</v>
      </c>
      <c r="AF49">
        <v>937.27282700000001</v>
      </c>
      <c r="AG49" s="20">
        <v>8.9999999999999993E-3</v>
      </c>
    </row>
    <row r="50" spans="1:33">
      <c r="A50" t="s">
        <v>147</v>
      </c>
      <c r="B50" t="s">
        <v>1974</v>
      </c>
      <c r="C50" t="s">
        <v>1973</v>
      </c>
      <c r="D50" t="s">
        <v>177</v>
      </c>
      <c r="F50">
        <v>195.74534600000001</v>
      </c>
      <c r="G50">
        <v>212.661835</v>
      </c>
      <c r="H50">
        <v>224.314606</v>
      </c>
      <c r="I50">
        <v>228.064087</v>
      </c>
      <c r="J50">
        <v>233.18679800000001</v>
      </c>
      <c r="K50">
        <v>235.61990399999999</v>
      </c>
      <c r="L50">
        <v>238.52423099999999</v>
      </c>
      <c r="M50">
        <v>242.35704000000001</v>
      </c>
      <c r="N50">
        <v>248.63774100000001</v>
      </c>
      <c r="O50">
        <v>254.948486</v>
      </c>
      <c r="P50">
        <v>261.07586700000002</v>
      </c>
      <c r="Q50">
        <v>263.98260499999998</v>
      </c>
      <c r="R50">
        <v>266.61132800000001</v>
      </c>
      <c r="S50">
        <v>268.03750600000001</v>
      </c>
      <c r="T50">
        <v>270.21701000000002</v>
      </c>
      <c r="U50">
        <v>272.002228</v>
      </c>
      <c r="V50">
        <v>273.95889299999999</v>
      </c>
      <c r="W50">
        <v>276.39965799999999</v>
      </c>
      <c r="X50">
        <v>278.885986</v>
      </c>
      <c r="Y50">
        <v>280.99075299999998</v>
      </c>
      <c r="Z50">
        <v>283.009094</v>
      </c>
      <c r="AA50">
        <v>284.52014200000002</v>
      </c>
      <c r="AB50">
        <v>284.75753800000001</v>
      </c>
      <c r="AC50">
        <v>286.24276700000001</v>
      </c>
      <c r="AD50">
        <v>288.10394300000002</v>
      </c>
      <c r="AE50">
        <v>290.23345899999998</v>
      </c>
      <c r="AF50">
        <v>292.11120599999998</v>
      </c>
      <c r="AG50" s="20">
        <v>1.6E-2</v>
      </c>
    </row>
    <row r="51" spans="1:33">
      <c r="A51" t="s">
        <v>159</v>
      </c>
      <c r="B51" t="s">
        <v>1972</v>
      </c>
      <c r="C51" t="s">
        <v>1971</v>
      </c>
      <c r="D51" t="s">
        <v>177</v>
      </c>
      <c r="F51">
        <v>550.43896500000005</v>
      </c>
      <c r="G51">
        <v>514.18347200000005</v>
      </c>
      <c r="H51">
        <v>510.80633499999999</v>
      </c>
      <c r="I51">
        <v>520.583618</v>
      </c>
      <c r="J51">
        <v>526.08252000000005</v>
      </c>
      <c r="K51">
        <v>535.16064500000005</v>
      </c>
      <c r="L51">
        <v>543.52642800000001</v>
      </c>
      <c r="M51">
        <v>549.77069100000006</v>
      </c>
      <c r="N51">
        <v>554.768372</v>
      </c>
      <c r="O51">
        <v>559.316101</v>
      </c>
      <c r="P51">
        <v>564.45159899999999</v>
      </c>
      <c r="Q51">
        <v>570.71923800000002</v>
      </c>
      <c r="R51">
        <v>575.59594700000002</v>
      </c>
      <c r="S51">
        <v>581.43194600000004</v>
      </c>
      <c r="T51">
        <v>585.571777</v>
      </c>
      <c r="U51">
        <v>590.16540499999996</v>
      </c>
      <c r="V51">
        <v>593.91705300000001</v>
      </c>
      <c r="W51">
        <v>597.12823500000002</v>
      </c>
      <c r="X51">
        <v>600.45532200000002</v>
      </c>
      <c r="Y51">
        <v>603.99230999999997</v>
      </c>
      <c r="Z51">
        <v>607.38354500000003</v>
      </c>
      <c r="AA51">
        <v>610.92431599999998</v>
      </c>
      <c r="AB51">
        <v>615.06170699999996</v>
      </c>
      <c r="AC51">
        <v>619.51269500000001</v>
      </c>
      <c r="AD51">
        <v>624.67334000000005</v>
      </c>
      <c r="AE51">
        <v>629.26171899999997</v>
      </c>
      <c r="AF51">
        <v>633.68322799999999</v>
      </c>
      <c r="AG51" s="20">
        <v>5.0000000000000001E-3</v>
      </c>
    </row>
    <row r="52" spans="1:33">
      <c r="A52" t="s">
        <v>157</v>
      </c>
      <c r="B52" t="s">
        <v>1970</v>
      </c>
      <c r="C52" t="s">
        <v>1969</v>
      </c>
      <c r="D52" t="s">
        <v>177</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t="s">
        <v>15</v>
      </c>
    </row>
    <row r="53" spans="1:33">
      <c r="A53" t="s">
        <v>158</v>
      </c>
      <c r="B53" t="s">
        <v>1968</v>
      </c>
      <c r="C53" t="s">
        <v>1967</v>
      </c>
      <c r="D53" t="s">
        <v>177</v>
      </c>
      <c r="F53">
        <v>5.9348320000000001</v>
      </c>
      <c r="G53">
        <v>6.5364779999999998</v>
      </c>
      <c r="H53">
        <v>6.6340339999999998</v>
      </c>
      <c r="I53">
        <v>6.6726179999999999</v>
      </c>
      <c r="J53">
        <v>7.0259280000000004</v>
      </c>
      <c r="K53">
        <v>7.4154460000000002</v>
      </c>
      <c r="L53">
        <v>7.8749640000000003</v>
      </c>
      <c r="M53">
        <v>8.4281520000000008</v>
      </c>
      <c r="N53">
        <v>8.7182600000000008</v>
      </c>
      <c r="O53">
        <v>9.0221319999999992</v>
      </c>
      <c r="P53">
        <v>9.4022459999999999</v>
      </c>
      <c r="Q53">
        <v>9.4618070000000003</v>
      </c>
      <c r="R53">
        <v>9.6343019999999999</v>
      </c>
      <c r="S53">
        <v>9.8146550000000001</v>
      </c>
      <c r="T53">
        <v>10.029487</v>
      </c>
      <c r="U53">
        <v>10.238963999999999</v>
      </c>
      <c r="V53">
        <v>10.386210999999999</v>
      </c>
      <c r="W53">
        <v>10.461117</v>
      </c>
      <c r="X53">
        <v>10.493995</v>
      </c>
      <c r="Y53">
        <v>10.588778</v>
      </c>
      <c r="Z53">
        <v>10.700267999999999</v>
      </c>
      <c r="AA53">
        <v>10.871041999999999</v>
      </c>
      <c r="AB53">
        <v>10.939361999999999</v>
      </c>
      <c r="AC53">
        <v>11.028162999999999</v>
      </c>
      <c r="AD53">
        <v>11.141788</v>
      </c>
      <c r="AE53">
        <v>11.308977000000001</v>
      </c>
      <c r="AF53">
        <v>11.478370999999999</v>
      </c>
      <c r="AG53" s="20">
        <v>2.5999999999999999E-2</v>
      </c>
    </row>
    <row r="54" spans="1:33">
      <c r="A54" t="s">
        <v>87</v>
      </c>
      <c r="B54" t="s">
        <v>1966</v>
      </c>
      <c r="C54" t="s">
        <v>1965</v>
      </c>
      <c r="D54" t="s">
        <v>177</v>
      </c>
      <c r="F54">
        <v>3268.3242190000001</v>
      </c>
      <c r="G54">
        <v>3262.0329590000001</v>
      </c>
      <c r="H54">
        <v>3288.7468260000001</v>
      </c>
      <c r="I54">
        <v>3323.875</v>
      </c>
      <c r="J54">
        <v>3351.2607419999999</v>
      </c>
      <c r="K54">
        <v>3383.5483399999998</v>
      </c>
      <c r="L54">
        <v>3411.5720209999999</v>
      </c>
      <c r="M54">
        <v>3430.9506839999999</v>
      </c>
      <c r="N54">
        <v>3454.6044919999999</v>
      </c>
      <c r="O54">
        <v>3479.304932</v>
      </c>
      <c r="P54">
        <v>3503.2453609999998</v>
      </c>
      <c r="Q54">
        <v>3534.0241700000001</v>
      </c>
      <c r="R54">
        <v>3567.5559079999998</v>
      </c>
      <c r="S54">
        <v>3607.15625</v>
      </c>
      <c r="T54">
        <v>3649.6206050000001</v>
      </c>
      <c r="U54">
        <v>3693.141846</v>
      </c>
      <c r="V54">
        <v>3735.9509280000002</v>
      </c>
      <c r="W54">
        <v>3776.4458009999998</v>
      </c>
      <c r="X54">
        <v>3821.6879880000001</v>
      </c>
      <c r="Y54">
        <v>3863.9777829999998</v>
      </c>
      <c r="Z54">
        <v>3901.1779790000001</v>
      </c>
      <c r="AA54">
        <v>3936.9096679999998</v>
      </c>
      <c r="AB54">
        <v>3970.2233890000002</v>
      </c>
      <c r="AC54">
        <v>4011.1313479999999</v>
      </c>
      <c r="AD54">
        <v>4055.1303710000002</v>
      </c>
      <c r="AE54">
        <v>4094.5153810000002</v>
      </c>
      <c r="AF54">
        <v>4133.5112300000001</v>
      </c>
      <c r="AG54" s="20">
        <v>8.9999999999999993E-3</v>
      </c>
    </row>
    <row r="55" spans="1:33">
      <c r="A55" t="s">
        <v>160</v>
      </c>
      <c r="B55" t="s">
        <v>1964</v>
      </c>
      <c r="C55" t="s">
        <v>1963</v>
      </c>
      <c r="D55" t="s">
        <v>177</v>
      </c>
      <c r="F55">
        <v>3245.922607</v>
      </c>
      <c r="G55">
        <v>3239.6389159999999</v>
      </c>
      <c r="H55">
        <v>3266.3591310000002</v>
      </c>
      <c r="I55">
        <v>3301.492432</v>
      </c>
      <c r="J55">
        <v>3328.8823240000002</v>
      </c>
      <c r="K55">
        <v>3361.1733399999998</v>
      </c>
      <c r="L55">
        <v>3389.1999510000001</v>
      </c>
      <c r="M55">
        <v>3408.5810550000001</v>
      </c>
      <c r="N55">
        <v>3432.2368160000001</v>
      </c>
      <c r="O55">
        <v>3456.9389649999998</v>
      </c>
      <c r="P55">
        <v>3480.8808589999999</v>
      </c>
      <c r="Q55">
        <v>3511.6606449999999</v>
      </c>
      <c r="R55">
        <v>3545.1933589999999</v>
      </c>
      <c r="S55">
        <v>3584.7944339999999</v>
      </c>
      <c r="T55">
        <v>3627.2595209999999</v>
      </c>
      <c r="U55">
        <v>3670.78125</v>
      </c>
      <c r="V55">
        <v>3713.5908199999999</v>
      </c>
      <c r="W55">
        <v>3754.086182</v>
      </c>
      <c r="X55">
        <v>3799.3286130000001</v>
      </c>
      <c r="Y55">
        <v>3841.6186520000001</v>
      </c>
      <c r="Z55">
        <v>3878.8190920000002</v>
      </c>
      <c r="AA55">
        <v>3914.5507809999999</v>
      </c>
      <c r="AB55">
        <v>3947.8647460000002</v>
      </c>
      <c r="AC55">
        <v>3988.7727049999999</v>
      </c>
      <c r="AD55">
        <v>4032.7719729999999</v>
      </c>
      <c r="AE55">
        <v>4072.156982</v>
      </c>
      <c r="AF55">
        <v>4111.1528319999998</v>
      </c>
      <c r="AG55" s="20">
        <v>8.9999999999999993E-3</v>
      </c>
    </row>
    <row r="56" spans="1:33">
      <c r="A56" t="s">
        <v>161</v>
      </c>
      <c r="B56" t="s">
        <v>1962</v>
      </c>
      <c r="C56" t="s">
        <v>1961</v>
      </c>
      <c r="D56" t="s">
        <v>177</v>
      </c>
      <c r="F56">
        <v>22.401547999999998</v>
      </c>
      <c r="G56">
        <v>22.394031999999999</v>
      </c>
      <c r="H56">
        <v>22.387812</v>
      </c>
      <c r="I56">
        <v>22.382666</v>
      </c>
      <c r="J56">
        <v>22.378406999999999</v>
      </c>
      <c r="K56">
        <v>22.374884000000002</v>
      </c>
      <c r="L56">
        <v>22.371969</v>
      </c>
      <c r="M56">
        <v>22.369558000000001</v>
      </c>
      <c r="N56">
        <v>22.367563000000001</v>
      </c>
      <c r="O56">
        <v>22.365911000000001</v>
      </c>
      <c r="P56">
        <v>22.364546000000001</v>
      </c>
      <c r="Q56">
        <v>22.363416999999998</v>
      </c>
      <c r="R56">
        <v>22.362480000000001</v>
      </c>
      <c r="S56">
        <v>22.361708</v>
      </c>
      <c r="T56">
        <v>22.361066999999998</v>
      </c>
      <c r="U56">
        <v>22.360537999999998</v>
      </c>
      <c r="V56">
        <v>22.360099999999999</v>
      </c>
      <c r="W56">
        <v>22.359736999999999</v>
      </c>
      <c r="X56">
        <v>22.359438000000001</v>
      </c>
      <c r="Y56">
        <v>22.359190000000002</v>
      </c>
      <c r="Z56">
        <v>22.358984</v>
      </c>
      <c r="AA56">
        <v>22.358813999999999</v>
      </c>
      <c r="AB56">
        <v>22.358673</v>
      </c>
      <c r="AC56">
        <v>22.358557000000001</v>
      </c>
      <c r="AD56">
        <v>22.358460999999998</v>
      </c>
      <c r="AE56">
        <v>22.358381000000001</v>
      </c>
      <c r="AF56">
        <v>22.358315000000001</v>
      </c>
      <c r="AG56" s="20">
        <v>0</v>
      </c>
    </row>
    <row r="57" spans="1:33">
      <c r="A57" t="s">
        <v>86</v>
      </c>
      <c r="B57" t="s">
        <v>1960</v>
      </c>
      <c r="C57" t="s">
        <v>1959</v>
      </c>
      <c r="D57" t="s">
        <v>177</v>
      </c>
      <c r="F57">
        <v>444.78881799999999</v>
      </c>
      <c r="G57">
        <v>449.84466600000002</v>
      </c>
      <c r="H57">
        <v>452.96935999999999</v>
      </c>
      <c r="I57">
        <v>454.89593500000001</v>
      </c>
      <c r="J57">
        <v>455.761932</v>
      </c>
      <c r="K57">
        <v>455.59344499999997</v>
      </c>
      <c r="L57">
        <v>455.377319</v>
      </c>
      <c r="M57">
        <v>455.84149200000002</v>
      </c>
      <c r="N57">
        <v>456.21725500000002</v>
      </c>
      <c r="O57">
        <v>456.609802</v>
      </c>
      <c r="P57">
        <v>456.93264799999997</v>
      </c>
      <c r="Q57">
        <v>457.18493699999999</v>
      </c>
      <c r="R57">
        <v>457.63305700000001</v>
      </c>
      <c r="S57">
        <v>458.22058099999998</v>
      </c>
      <c r="T57">
        <v>458.78735399999999</v>
      </c>
      <c r="U57">
        <v>459.338776</v>
      </c>
      <c r="V57">
        <v>459.87536599999999</v>
      </c>
      <c r="W57">
        <v>460.398956</v>
      </c>
      <c r="X57">
        <v>460.913971</v>
      </c>
      <c r="Y57">
        <v>461.42312600000002</v>
      </c>
      <c r="Z57">
        <v>461.92681900000002</v>
      </c>
      <c r="AA57">
        <v>462.42492700000003</v>
      </c>
      <c r="AB57">
        <v>462.92233299999998</v>
      </c>
      <c r="AC57">
        <v>463.41894500000001</v>
      </c>
      <c r="AD57">
        <v>463.91293300000001</v>
      </c>
      <c r="AE57">
        <v>464.407623</v>
      </c>
      <c r="AF57">
        <v>464.90356400000002</v>
      </c>
      <c r="AG57" s="20">
        <v>2E-3</v>
      </c>
    </row>
    <row r="58" spans="1:33">
      <c r="A58" t="s">
        <v>162</v>
      </c>
      <c r="B58" t="s">
        <v>1958</v>
      </c>
      <c r="C58" t="s">
        <v>1957</v>
      </c>
      <c r="D58" t="s">
        <v>177</v>
      </c>
      <c r="F58">
        <v>335.94638099999997</v>
      </c>
      <c r="G58">
        <v>339.76504499999999</v>
      </c>
      <c r="H58">
        <v>342.125092</v>
      </c>
      <c r="I58">
        <v>343.58023100000003</v>
      </c>
      <c r="J58">
        <v>344.23431399999998</v>
      </c>
      <c r="K58">
        <v>344.107056</v>
      </c>
      <c r="L58">
        <v>343.94381700000002</v>
      </c>
      <c r="M58">
        <v>344.29440299999999</v>
      </c>
      <c r="N58">
        <v>344.578217</v>
      </c>
      <c r="O58">
        <v>344.87469499999997</v>
      </c>
      <c r="P58">
        <v>345.11853000000002</v>
      </c>
      <c r="Q58">
        <v>345.30908199999999</v>
      </c>
      <c r="R58">
        <v>345.64752199999998</v>
      </c>
      <c r="S58">
        <v>346.09127799999999</v>
      </c>
      <c r="T58">
        <v>346.51937900000001</v>
      </c>
      <c r="U58">
        <v>346.93585200000001</v>
      </c>
      <c r="V58">
        <v>347.34112499999998</v>
      </c>
      <c r="W58">
        <v>347.736603</v>
      </c>
      <c r="X58">
        <v>348.12558000000001</v>
      </c>
      <c r="Y58">
        <v>348.51016199999998</v>
      </c>
      <c r="Z58">
        <v>348.89059400000002</v>
      </c>
      <c r="AA58">
        <v>349.26681500000001</v>
      </c>
      <c r="AB58">
        <v>349.64248700000002</v>
      </c>
      <c r="AC58">
        <v>350.01757800000001</v>
      </c>
      <c r="AD58">
        <v>350.39068600000002</v>
      </c>
      <c r="AE58">
        <v>350.76431300000002</v>
      </c>
      <c r="AF58">
        <v>351.13888500000002</v>
      </c>
      <c r="AG58" s="20">
        <v>2E-3</v>
      </c>
    </row>
    <row r="59" spans="1:33">
      <c r="A59" t="s">
        <v>156</v>
      </c>
      <c r="B59" t="s">
        <v>1956</v>
      </c>
      <c r="C59" t="s">
        <v>1955</v>
      </c>
      <c r="D59" t="s">
        <v>177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15</v>
      </c>
    </row>
    <row r="60" spans="1:33">
      <c r="A60" t="s">
        <v>163</v>
      </c>
      <c r="B60" t="s">
        <v>1954</v>
      </c>
      <c r="C60" t="s">
        <v>1953</v>
      </c>
      <c r="D60" t="s">
        <v>177</v>
      </c>
      <c r="F60">
        <v>108.84242999999999</v>
      </c>
      <c r="G60">
        <v>110.079628</v>
      </c>
      <c r="H60">
        <v>110.844261</v>
      </c>
      <c r="I60">
        <v>111.31572</v>
      </c>
      <c r="J60">
        <v>111.527618</v>
      </c>
      <c r="K60">
        <v>111.486397</v>
      </c>
      <c r="L60">
        <v>111.43351699999999</v>
      </c>
      <c r="M60">
        <v>111.547089</v>
      </c>
      <c r="N60">
        <v>111.63904599999999</v>
      </c>
      <c r="O60">
        <v>111.735107</v>
      </c>
      <c r="P60">
        <v>111.814117</v>
      </c>
      <c r="Q60">
        <v>111.87587000000001</v>
      </c>
      <c r="R60">
        <v>111.985519</v>
      </c>
      <c r="S60">
        <v>112.12930299999999</v>
      </c>
      <c r="T60">
        <v>112.26799</v>
      </c>
      <c r="U60">
        <v>112.402924</v>
      </c>
      <c r="V60">
        <v>112.53424099999999</v>
      </c>
      <c r="W60">
        <v>112.66235399999999</v>
      </c>
      <c r="X60">
        <v>112.788383</v>
      </c>
      <c r="Y60">
        <v>112.912964</v>
      </c>
      <c r="Z60">
        <v>113.03624000000001</v>
      </c>
      <c r="AA60">
        <v>113.15812699999999</v>
      </c>
      <c r="AB60">
        <v>113.27984600000001</v>
      </c>
      <c r="AC60">
        <v>113.401375</v>
      </c>
      <c r="AD60">
        <v>113.52224699999999</v>
      </c>
      <c r="AE60">
        <v>113.643303</v>
      </c>
      <c r="AF60">
        <v>113.764679</v>
      </c>
      <c r="AG60" s="20">
        <v>2E-3</v>
      </c>
    </row>
    <row r="61" spans="1:33">
      <c r="A61" t="s">
        <v>85</v>
      </c>
      <c r="B61" t="s">
        <v>1952</v>
      </c>
      <c r="C61" t="s">
        <v>1951</v>
      </c>
      <c r="D61" t="s">
        <v>177</v>
      </c>
      <c r="F61">
        <v>207.85879499999999</v>
      </c>
      <c r="G61">
        <v>213.51556400000001</v>
      </c>
      <c r="H61">
        <v>216.129898</v>
      </c>
      <c r="I61">
        <v>217.12576300000001</v>
      </c>
      <c r="J61">
        <v>217.48175000000001</v>
      </c>
      <c r="K61">
        <v>217.42764299999999</v>
      </c>
      <c r="L61">
        <v>217.24430799999999</v>
      </c>
      <c r="M61">
        <v>216.24174500000001</v>
      </c>
      <c r="N61">
        <v>214.76506000000001</v>
      </c>
      <c r="O61">
        <v>213.18585200000001</v>
      </c>
      <c r="P61">
        <v>211.90618900000001</v>
      </c>
      <c r="Q61">
        <v>210.37204</v>
      </c>
      <c r="R61">
        <v>208.78291300000001</v>
      </c>
      <c r="S61">
        <v>207.22485399999999</v>
      </c>
      <c r="T61">
        <v>205.64492799999999</v>
      </c>
      <c r="U61">
        <v>203.97955300000001</v>
      </c>
      <c r="V61">
        <v>202.18667600000001</v>
      </c>
      <c r="W61">
        <v>200.30072000000001</v>
      </c>
      <c r="X61">
        <v>198.29200700000001</v>
      </c>
      <c r="Y61">
        <v>196.336792</v>
      </c>
      <c r="Z61">
        <v>194.28083799999999</v>
      </c>
      <c r="AA61">
        <v>192.319534</v>
      </c>
      <c r="AB61">
        <v>190.19499200000001</v>
      </c>
      <c r="AC61">
        <v>187.95107999999999</v>
      </c>
      <c r="AD61">
        <v>185.79196200000001</v>
      </c>
      <c r="AE61">
        <v>183.69107099999999</v>
      </c>
      <c r="AF61">
        <v>181.903885</v>
      </c>
      <c r="AG61" s="20">
        <v>-5.0000000000000001E-3</v>
      </c>
    </row>
    <row r="62" spans="1:33">
      <c r="A62" t="s">
        <v>164</v>
      </c>
      <c r="B62" t="s">
        <v>1950</v>
      </c>
      <c r="C62" t="s">
        <v>1949</v>
      </c>
      <c r="D62" t="s">
        <v>177</v>
      </c>
      <c r="F62">
        <v>76.710044999999994</v>
      </c>
      <c r="G62">
        <v>81.313903999999994</v>
      </c>
      <c r="H62">
        <v>83.939346</v>
      </c>
      <c r="I62">
        <v>85.569359000000006</v>
      </c>
      <c r="J62">
        <v>86.754188999999997</v>
      </c>
      <c r="K62">
        <v>87.688941999999997</v>
      </c>
      <c r="L62">
        <v>88.627594000000002</v>
      </c>
      <c r="M62">
        <v>88.838866999999993</v>
      </c>
      <c r="N62">
        <v>88.562233000000006</v>
      </c>
      <c r="O62">
        <v>88.112342999999996</v>
      </c>
      <c r="P62">
        <v>87.900931999999997</v>
      </c>
      <c r="Q62">
        <v>87.407082000000003</v>
      </c>
      <c r="R62">
        <v>86.832076999999998</v>
      </c>
      <c r="S62">
        <v>86.239661999999996</v>
      </c>
      <c r="T62">
        <v>85.777709999999999</v>
      </c>
      <c r="U62">
        <v>85.252876000000001</v>
      </c>
      <c r="V62">
        <v>84.619086999999993</v>
      </c>
      <c r="W62">
        <v>83.913132000000004</v>
      </c>
      <c r="X62">
        <v>83.115341000000001</v>
      </c>
      <c r="Y62">
        <v>82.391418000000002</v>
      </c>
      <c r="Z62">
        <v>81.586922000000001</v>
      </c>
      <c r="AA62">
        <v>80.892448000000002</v>
      </c>
      <c r="AB62">
        <v>80.055817000000005</v>
      </c>
      <c r="AC62">
        <v>79.108192000000003</v>
      </c>
      <c r="AD62">
        <v>78.258156</v>
      </c>
      <c r="AE62">
        <v>77.463318000000001</v>
      </c>
      <c r="AF62">
        <v>76.982123999999999</v>
      </c>
      <c r="AG62" s="20">
        <v>0</v>
      </c>
    </row>
    <row r="63" spans="1:33">
      <c r="A63" t="s">
        <v>154</v>
      </c>
      <c r="B63" t="s">
        <v>1948</v>
      </c>
      <c r="C63" t="s">
        <v>1947</v>
      </c>
      <c r="D63" t="s">
        <v>177</v>
      </c>
      <c r="F63">
        <v>9.1472949999999997</v>
      </c>
      <c r="G63">
        <v>9.6769990000000004</v>
      </c>
      <c r="H63">
        <v>9.9694310000000002</v>
      </c>
      <c r="I63">
        <v>10.140093</v>
      </c>
      <c r="J63">
        <v>10.254068</v>
      </c>
      <c r="K63">
        <v>10.338150000000001</v>
      </c>
      <c r="L63">
        <v>10.423724999999999</v>
      </c>
      <c r="M63">
        <v>10.40757</v>
      </c>
      <c r="N63">
        <v>10.336831</v>
      </c>
      <c r="O63">
        <v>10.245358</v>
      </c>
      <c r="P63">
        <v>10.182765</v>
      </c>
      <c r="Q63">
        <v>10.088881000000001</v>
      </c>
      <c r="R63">
        <v>9.9874010000000002</v>
      </c>
      <c r="S63">
        <v>9.8847330000000007</v>
      </c>
      <c r="T63">
        <v>9.7954469999999993</v>
      </c>
      <c r="U63">
        <v>9.7009380000000007</v>
      </c>
      <c r="V63">
        <v>9.5947750000000003</v>
      </c>
      <c r="W63">
        <v>9.4811399999999999</v>
      </c>
      <c r="X63">
        <v>9.3583630000000007</v>
      </c>
      <c r="Y63">
        <v>9.2445350000000008</v>
      </c>
      <c r="Z63">
        <v>9.1221510000000006</v>
      </c>
      <c r="AA63">
        <v>9.0127930000000003</v>
      </c>
      <c r="AB63">
        <v>8.8882650000000005</v>
      </c>
      <c r="AC63">
        <v>8.7531800000000004</v>
      </c>
      <c r="AD63">
        <v>8.6299919999999997</v>
      </c>
      <c r="AE63">
        <v>8.5133890000000001</v>
      </c>
      <c r="AF63">
        <v>8.4316549999999992</v>
      </c>
      <c r="AG63" s="20">
        <v>-3.0000000000000001E-3</v>
      </c>
    </row>
    <row r="64" spans="1:33">
      <c r="A64" t="s">
        <v>146</v>
      </c>
      <c r="B64" t="s">
        <v>1946</v>
      </c>
      <c r="C64" t="s">
        <v>1945</v>
      </c>
      <c r="D64" t="s">
        <v>177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15</v>
      </c>
    </row>
    <row r="65" spans="1:33">
      <c r="A65" t="s">
        <v>147</v>
      </c>
      <c r="B65" t="s">
        <v>1944</v>
      </c>
      <c r="C65" t="s">
        <v>1943</v>
      </c>
      <c r="D65" t="s">
        <v>177</v>
      </c>
      <c r="F65">
        <v>40.625771</v>
      </c>
      <c r="G65">
        <v>43.015372999999997</v>
      </c>
      <c r="H65">
        <v>44.437289999999997</v>
      </c>
      <c r="I65">
        <v>45.333485000000003</v>
      </c>
      <c r="J65">
        <v>45.963813999999999</v>
      </c>
      <c r="K65">
        <v>46.444603000000001</v>
      </c>
      <c r="L65">
        <v>46.903049000000003</v>
      </c>
      <c r="M65">
        <v>46.919742999999997</v>
      </c>
      <c r="N65">
        <v>46.674880999999999</v>
      </c>
      <c r="O65">
        <v>46.334845999999999</v>
      </c>
      <c r="P65">
        <v>46.093288000000001</v>
      </c>
      <c r="Q65">
        <v>45.718204</v>
      </c>
      <c r="R65">
        <v>45.301796000000003</v>
      </c>
      <c r="S65">
        <v>44.889698000000003</v>
      </c>
      <c r="T65">
        <v>44.538803000000001</v>
      </c>
      <c r="U65">
        <v>44.157210999999997</v>
      </c>
      <c r="V65">
        <v>43.730533999999999</v>
      </c>
      <c r="W65">
        <v>43.270508</v>
      </c>
      <c r="X65">
        <v>42.771523000000002</v>
      </c>
      <c r="Y65">
        <v>42.300243000000002</v>
      </c>
      <c r="Z65">
        <v>41.791203000000003</v>
      </c>
      <c r="AA65">
        <v>41.328612999999997</v>
      </c>
      <c r="AB65">
        <v>40.801394999999999</v>
      </c>
      <c r="AC65">
        <v>40.232635000000002</v>
      </c>
      <c r="AD65">
        <v>39.711196999999999</v>
      </c>
      <c r="AE65">
        <v>39.214508000000002</v>
      </c>
      <c r="AF65">
        <v>38.856288999999997</v>
      </c>
      <c r="AG65" s="20">
        <v>-2E-3</v>
      </c>
    </row>
    <row r="66" spans="1:33">
      <c r="A66" t="s">
        <v>148</v>
      </c>
      <c r="B66" t="s">
        <v>1942</v>
      </c>
      <c r="C66" t="s">
        <v>1941</v>
      </c>
      <c r="D66" t="s">
        <v>177</v>
      </c>
      <c r="F66">
        <v>23.263926999999999</v>
      </c>
      <c r="G66">
        <v>24.442589000000002</v>
      </c>
      <c r="H66">
        <v>24.941652000000001</v>
      </c>
      <c r="I66">
        <v>25.139893000000001</v>
      </c>
      <c r="J66">
        <v>25.233543000000001</v>
      </c>
      <c r="K66">
        <v>25.265585000000002</v>
      </c>
      <c r="L66">
        <v>25.313994999999998</v>
      </c>
      <c r="M66">
        <v>25.225773</v>
      </c>
      <c r="N66">
        <v>25.006153000000001</v>
      </c>
      <c r="O66">
        <v>24.744357999999998</v>
      </c>
      <c r="P66">
        <v>24.571242999999999</v>
      </c>
      <c r="Q66">
        <v>24.309456000000001</v>
      </c>
      <c r="R66">
        <v>24.027180000000001</v>
      </c>
      <c r="S66">
        <v>23.733592999999999</v>
      </c>
      <c r="T66">
        <v>23.491579000000002</v>
      </c>
      <c r="U66">
        <v>23.230962999999999</v>
      </c>
      <c r="V66">
        <v>22.936558000000002</v>
      </c>
      <c r="W66">
        <v>22.624068999999999</v>
      </c>
      <c r="X66">
        <v>22.285173</v>
      </c>
      <c r="Y66">
        <v>21.978224000000001</v>
      </c>
      <c r="Z66">
        <v>21.652470000000001</v>
      </c>
      <c r="AA66">
        <v>21.36721</v>
      </c>
      <c r="AB66">
        <v>21.043865</v>
      </c>
      <c r="AC66">
        <v>20.685226</v>
      </c>
      <c r="AD66">
        <v>20.358484000000001</v>
      </c>
      <c r="AE66">
        <v>20.053581000000001</v>
      </c>
      <c r="AF66">
        <v>19.847092</v>
      </c>
      <c r="AG66" s="20">
        <v>-6.0000000000000001E-3</v>
      </c>
    </row>
    <row r="67" spans="1:33">
      <c r="A67" t="s">
        <v>149</v>
      </c>
      <c r="B67" t="s">
        <v>1940</v>
      </c>
      <c r="C67" t="s">
        <v>1939</v>
      </c>
      <c r="D67" t="s">
        <v>177</v>
      </c>
      <c r="F67">
        <v>0.88131899999999996</v>
      </c>
      <c r="G67">
        <v>0.94454800000000005</v>
      </c>
      <c r="H67">
        <v>0.985039</v>
      </c>
      <c r="I67">
        <v>1.013336</v>
      </c>
      <c r="J67">
        <v>1.035471</v>
      </c>
      <c r="K67">
        <v>1.055701</v>
      </c>
      <c r="L67">
        <v>1.0791539999999999</v>
      </c>
      <c r="M67">
        <v>1.082665</v>
      </c>
      <c r="N67">
        <v>1.0780879999999999</v>
      </c>
      <c r="O67">
        <v>1.072206</v>
      </c>
      <c r="P67">
        <v>1.070856</v>
      </c>
      <c r="Q67">
        <v>1.066365</v>
      </c>
      <c r="R67">
        <v>1.0616030000000001</v>
      </c>
      <c r="S67">
        <v>1.0564439999999999</v>
      </c>
      <c r="T67">
        <v>1.052379</v>
      </c>
      <c r="U67">
        <v>1.0480579999999999</v>
      </c>
      <c r="V67">
        <v>1.041927</v>
      </c>
      <c r="W67">
        <v>1.034816</v>
      </c>
      <c r="X67">
        <v>1.0266090000000001</v>
      </c>
      <c r="Y67">
        <v>1.019739</v>
      </c>
      <c r="Z67">
        <v>1.0114700000000001</v>
      </c>
      <c r="AA67">
        <v>1.0050490000000001</v>
      </c>
      <c r="AB67">
        <v>0.99636899999999995</v>
      </c>
      <c r="AC67">
        <v>0.98636299999999999</v>
      </c>
      <c r="AD67">
        <v>0.97801499999999997</v>
      </c>
      <c r="AE67">
        <v>0.970356</v>
      </c>
      <c r="AF67">
        <v>0.96767199999999998</v>
      </c>
      <c r="AG67" s="20">
        <v>4.0000000000000001E-3</v>
      </c>
    </row>
    <row r="68" spans="1:33">
      <c r="A68" t="s">
        <v>150</v>
      </c>
      <c r="B68" t="s">
        <v>1938</v>
      </c>
      <c r="C68" t="s">
        <v>1937</v>
      </c>
      <c r="D68" t="s">
        <v>177</v>
      </c>
      <c r="F68">
        <v>2.7587679999999999</v>
      </c>
      <c r="G68">
        <v>3.1998139999999999</v>
      </c>
      <c r="H68">
        <v>3.570894</v>
      </c>
      <c r="I68">
        <v>3.9074979999999999</v>
      </c>
      <c r="J68">
        <v>4.2323620000000002</v>
      </c>
      <c r="K68">
        <v>4.5501690000000004</v>
      </c>
      <c r="L68">
        <v>4.8731359999999997</v>
      </c>
      <c r="M68">
        <v>5.1687770000000004</v>
      </c>
      <c r="N68">
        <v>5.4324050000000002</v>
      </c>
      <c r="O68">
        <v>5.682207</v>
      </c>
      <c r="P68">
        <v>5.9497499999999999</v>
      </c>
      <c r="Q68">
        <v>6.1916260000000003</v>
      </c>
      <c r="R68">
        <v>6.422059</v>
      </c>
      <c r="S68">
        <v>6.6436789999999997</v>
      </c>
      <c r="T68">
        <v>6.8684979999999998</v>
      </c>
      <c r="U68">
        <v>7.0852009999999996</v>
      </c>
      <c r="V68">
        <v>7.285336</v>
      </c>
      <c r="W68">
        <v>7.4732219999999998</v>
      </c>
      <c r="X68">
        <v>7.6448970000000003</v>
      </c>
      <c r="Y68">
        <v>7.8204669999999998</v>
      </c>
      <c r="Z68">
        <v>7.9819779999999998</v>
      </c>
      <c r="AA68">
        <v>8.1516319999999993</v>
      </c>
      <c r="AB68">
        <v>8.2993310000000005</v>
      </c>
      <c r="AC68">
        <v>8.4247949999999996</v>
      </c>
      <c r="AD68">
        <v>8.5550510000000006</v>
      </c>
      <c r="AE68">
        <v>8.6866050000000001</v>
      </c>
      <c r="AF68">
        <v>8.8549120000000006</v>
      </c>
      <c r="AG68" s="20">
        <v>4.5999999999999999E-2</v>
      </c>
    </row>
    <row r="69" spans="1:33">
      <c r="A69" t="s">
        <v>151</v>
      </c>
      <c r="B69" t="s">
        <v>1936</v>
      </c>
      <c r="C69" t="s">
        <v>1935</v>
      </c>
      <c r="D69" t="s">
        <v>177</v>
      </c>
      <c r="F69">
        <v>3.2971E-2</v>
      </c>
      <c r="G69">
        <v>3.4576999999999997E-2</v>
      </c>
      <c r="H69">
        <v>3.5043999999999999E-2</v>
      </c>
      <c r="I69">
        <v>3.5052E-2</v>
      </c>
      <c r="J69">
        <v>3.4937999999999997E-2</v>
      </c>
      <c r="K69">
        <v>3.4730999999999998E-2</v>
      </c>
      <c r="L69">
        <v>3.4534000000000002E-2</v>
      </c>
      <c r="M69">
        <v>3.4341999999999998E-2</v>
      </c>
      <c r="N69">
        <v>3.3877999999999998E-2</v>
      </c>
      <c r="O69">
        <v>3.3368000000000002E-2</v>
      </c>
      <c r="P69">
        <v>3.3023999999999998E-2</v>
      </c>
      <c r="Q69">
        <v>3.2548000000000001E-2</v>
      </c>
      <c r="R69">
        <v>3.2044999999999997E-2</v>
      </c>
      <c r="S69">
        <v>3.1515000000000001E-2</v>
      </c>
      <c r="T69">
        <v>3.1008000000000001E-2</v>
      </c>
      <c r="U69">
        <v>3.0508E-2</v>
      </c>
      <c r="V69">
        <v>2.9954999999999999E-2</v>
      </c>
      <c r="W69">
        <v>2.9382999999999999E-2</v>
      </c>
      <c r="X69">
        <v>2.8767999999999998E-2</v>
      </c>
      <c r="Y69">
        <v>2.8216000000000001E-2</v>
      </c>
      <c r="Z69">
        <v>2.7647000000000001E-2</v>
      </c>
      <c r="AA69">
        <v>2.7149E-2</v>
      </c>
      <c r="AB69">
        <v>2.6599000000000001E-2</v>
      </c>
      <c r="AC69">
        <v>2.5984E-2</v>
      </c>
      <c r="AD69">
        <v>2.5413999999999999E-2</v>
      </c>
      <c r="AE69">
        <v>2.4882000000000001E-2</v>
      </c>
      <c r="AF69">
        <v>2.4500000000000001E-2</v>
      </c>
      <c r="AG69" s="20">
        <v>-1.0999999999999999E-2</v>
      </c>
    </row>
    <row r="70" spans="1:33">
      <c r="A70" t="s">
        <v>165</v>
      </c>
      <c r="B70" t="s">
        <v>1934</v>
      </c>
      <c r="C70" t="s">
        <v>1933</v>
      </c>
      <c r="D70" t="s">
        <v>177</v>
      </c>
      <c r="F70">
        <v>30.108592999999999</v>
      </c>
      <c r="G70">
        <v>31.324183000000001</v>
      </c>
      <c r="H70">
        <v>32.204268999999996</v>
      </c>
      <c r="I70">
        <v>32.814284999999998</v>
      </c>
      <c r="J70">
        <v>33.256686999999999</v>
      </c>
      <c r="K70">
        <v>33.580925000000001</v>
      </c>
      <c r="L70">
        <v>33.812759</v>
      </c>
      <c r="M70">
        <v>33.971854999999998</v>
      </c>
      <c r="N70">
        <v>34.074733999999999</v>
      </c>
      <c r="O70">
        <v>34.127521999999999</v>
      </c>
      <c r="P70">
        <v>34.138331999999998</v>
      </c>
      <c r="Q70">
        <v>34.117863</v>
      </c>
      <c r="R70">
        <v>34.071151999999998</v>
      </c>
      <c r="S70">
        <v>34.002563000000002</v>
      </c>
      <c r="T70">
        <v>33.932445999999999</v>
      </c>
      <c r="U70">
        <v>33.850540000000002</v>
      </c>
      <c r="V70">
        <v>33.759456999999998</v>
      </c>
      <c r="W70">
        <v>33.660358000000002</v>
      </c>
      <c r="X70">
        <v>33.556801</v>
      </c>
      <c r="Y70">
        <v>33.447479000000001</v>
      </c>
      <c r="Z70">
        <v>33.332580999999998</v>
      </c>
      <c r="AA70">
        <v>33.213673</v>
      </c>
      <c r="AB70">
        <v>33.091960999999998</v>
      </c>
      <c r="AC70">
        <v>32.971535000000003</v>
      </c>
      <c r="AD70">
        <v>32.850974999999998</v>
      </c>
      <c r="AE70">
        <v>32.727406000000002</v>
      </c>
      <c r="AF70">
        <v>32.602530999999999</v>
      </c>
      <c r="AG70" s="20">
        <v>3.0000000000000001E-3</v>
      </c>
    </row>
    <row r="71" spans="1:33">
      <c r="A71" t="s">
        <v>154</v>
      </c>
      <c r="B71" t="s">
        <v>1932</v>
      </c>
      <c r="C71" t="s">
        <v>1931</v>
      </c>
      <c r="D71" t="s">
        <v>177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15</v>
      </c>
    </row>
    <row r="72" spans="1:33">
      <c r="A72" t="s">
        <v>146</v>
      </c>
      <c r="B72" t="s">
        <v>1930</v>
      </c>
      <c r="C72" t="s">
        <v>1929</v>
      </c>
      <c r="D72" t="s">
        <v>177</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t="s">
        <v>15</v>
      </c>
    </row>
    <row r="73" spans="1:33">
      <c r="A73" t="s">
        <v>147</v>
      </c>
      <c r="B73" t="s">
        <v>1928</v>
      </c>
      <c r="C73" t="s">
        <v>1927</v>
      </c>
      <c r="D73" t="s">
        <v>177</v>
      </c>
      <c r="F73">
        <v>30.108592999999999</v>
      </c>
      <c r="G73">
        <v>31.324183000000001</v>
      </c>
      <c r="H73">
        <v>32.204268999999996</v>
      </c>
      <c r="I73">
        <v>32.814284999999998</v>
      </c>
      <c r="J73">
        <v>33.256686999999999</v>
      </c>
      <c r="K73">
        <v>33.580925000000001</v>
      </c>
      <c r="L73">
        <v>33.812759</v>
      </c>
      <c r="M73">
        <v>33.971854999999998</v>
      </c>
      <c r="N73">
        <v>34.074733999999999</v>
      </c>
      <c r="O73">
        <v>34.127521999999999</v>
      </c>
      <c r="P73">
        <v>34.138331999999998</v>
      </c>
      <c r="Q73">
        <v>34.117863</v>
      </c>
      <c r="R73">
        <v>34.071151999999998</v>
      </c>
      <c r="S73">
        <v>34.002563000000002</v>
      </c>
      <c r="T73">
        <v>33.932445999999999</v>
      </c>
      <c r="U73">
        <v>33.850540000000002</v>
      </c>
      <c r="V73">
        <v>33.759456999999998</v>
      </c>
      <c r="W73">
        <v>33.660358000000002</v>
      </c>
      <c r="X73">
        <v>33.556801</v>
      </c>
      <c r="Y73">
        <v>33.447479000000001</v>
      </c>
      <c r="Z73">
        <v>33.332580999999998</v>
      </c>
      <c r="AA73">
        <v>33.213673</v>
      </c>
      <c r="AB73">
        <v>33.091960999999998</v>
      </c>
      <c r="AC73">
        <v>32.971535000000003</v>
      </c>
      <c r="AD73">
        <v>32.850974999999998</v>
      </c>
      <c r="AE73">
        <v>32.727406000000002</v>
      </c>
      <c r="AF73">
        <v>32.602530999999999</v>
      </c>
      <c r="AG73" s="20">
        <v>3.0000000000000001E-3</v>
      </c>
    </row>
    <row r="74" spans="1:33">
      <c r="A74" t="s">
        <v>148</v>
      </c>
      <c r="B74" t="s">
        <v>1926</v>
      </c>
      <c r="C74" t="s">
        <v>1925</v>
      </c>
      <c r="D74" t="s">
        <v>177</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t="s">
        <v>15</v>
      </c>
    </row>
    <row r="75" spans="1:33">
      <c r="A75" t="s">
        <v>149</v>
      </c>
      <c r="B75" t="s">
        <v>1924</v>
      </c>
      <c r="C75" t="s">
        <v>1923</v>
      </c>
      <c r="D75" t="s">
        <v>177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15</v>
      </c>
    </row>
    <row r="76" spans="1:33">
      <c r="A76" t="s">
        <v>150</v>
      </c>
      <c r="B76" t="s">
        <v>1922</v>
      </c>
      <c r="C76" t="s">
        <v>1921</v>
      </c>
      <c r="D76" t="s">
        <v>177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15</v>
      </c>
    </row>
    <row r="77" spans="1:33">
      <c r="A77" t="s">
        <v>151</v>
      </c>
      <c r="B77" t="s">
        <v>1920</v>
      </c>
      <c r="C77" t="s">
        <v>1919</v>
      </c>
      <c r="D77" t="s">
        <v>177</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t="s">
        <v>15</v>
      </c>
    </row>
    <row r="78" spans="1:33">
      <c r="A78" t="s">
        <v>166</v>
      </c>
      <c r="B78" t="s">
        <v>1918</v>
      </c>
      <c r="C78" t="s">
        <v>1917</v>
      </c>
      <c r="D78" t="s">
        <v>177</v>
      </c>
      <c r="F78">
        <v>101.04016900000001</v>
      </c>
      <c r="G78">
        <v>100.87748000000001</v>
      </c>
      <c r="H78">
        <v>99.986282000000003</v>
      </c>
      <c r="I78">
        <v>98.742125999999999</v>
      </c>
      <c r="J78">
        <v>97.470871000000002</v>
      </c>
      <c r="K78">
        <v>96.157784000000007</v>
      </c>
      <c r="L78">
        <v>94.803955000000002</v>
      </c>
      <c r="M78">
        <v>93.431022999999996</v>
      </c>
      <c r="N78">
        <v>92.128097999999994</v>
      </c>
      <c r="O78">
        <v>90.945992000000004</v>
      </c>
      <c r="P78">
        <v>89.866919999999993</v>
      </c>
      <c r="Q78">
        <v>88.847099</v>
      </c>
      <c r="R78">
        <v>87.879683999999997</v>
      </c>
      <c r="S78">
        <v>86.982628000000005</v>
      </c>
      <c r="T78">
        <v>85.934760999999995</v>
      </c>
      <c r="U78">
        <v>84.876143999999996</v>
      </c>
      <c r="V78">
        <v>83.808136000000005</v>
      </c>
      <c r="W78">
        <v>82.727233999999996</v>
      </c>
      <c r="X78">
        <v>81.619865000000004</v>
      </c>
      <c r="Y78">
        <v>80.497901999999996</v>
      </c>
      <c r="Z78">
        <v>79.361335999999994</v>
      </c>
      <c r="AA78">
        <v>78.213408999999999</v>
      </c>
      <c r="AB78">
        <v>77.047211000000004</v>
      </c>
      <c r="AC78">
        <v>75.871360999999993</v>
      </c>
      <c r="AD78">
        <v>74.682838000000004</v>
      </c>
      <c r="AE78">
        <v>73.500343000000001</v>
      </c>
      <c r="AF78">
        <v>72.319229000000007</v>
      </c>
      <c r="AG78" s="20">
        <v>-1.2999999999999999E-2</v>
      </c>
    </row>
    <row r="79" spans="1:33">
      <c r="A79" t="s">
        <v>154</v>
      </c>
      <c r="B79" t="s">
        <v>1916</v>
      </c>
      <c r="C79" t="s">
        <v>1915</v>
      </c>
      <c r="D79" t="s">
        <v>177</v>
      </c>
      <c r="F79">
        <v>10.011436</v>
      </c>
      <c r="G79">
        <v>9.9641760000000001</v>
      </c>
      <c r="H79">
        <v>9.8488229999999994</v>
      </c>
      <c r="I79">
        <v>9.6992469999999997</v>
      </c>
      <c r="J79">
        <v>9.5474689999999995</v>
      </c>
      <c r="K79">
        <v>9.3920720000000006</v>
      </c>
      <c r="L79">
        <v>9.2331830000000004</v>
      </c>
      <c r="M79">
        <v>9.0729570000000006</v>
      </c>
      <c r="N79">
        <v>8.9200700000000008</v>
      </c>
      <c r="O79">
        <v>8.7795740000000002</v>
      </c>
      <c r="P79">
        <v>8.6495519999999999</v>
      </c>
      <c r="Q79">
        <v>8.5256270000000001</v>
      </c>
      <c r="R79">
        <v>8.4073440000000002</v>
      </c>
      <c r="S79">
        <v>8.2961869999999998</v>
      </c>
      <c r="T79">
        <v>8.170966</v>
      </c>
      <c r="U79">
        <v>8.0451110000000003</v>
      </c>
      <c r="V79">
        <v>7.9187659999999997</v>
      </c>
      <c r="W79">
        <v>7.7916499999999997</v>
      </c>
      <c r="X79">
        <v>7.6625310000000004</v>
      </c>
      <c r="Y79">
        <v>7.5325889999999998</v>
      </c>
      <c r="Z79">
        <v>7.4017710000000001</v>
      </c>
      <c r="AA79">
        <v>7.2704040000000001</v>
      </c>
      <c r="AB79">
        <v>7.1378089999999998</v>
      </c>
      <c r="AC79">
        <v>7.0048300000000001</v>
      </c>
      <c r="AD79">
        <v>6.8712419999999996</v>
      </c>
      <c r="AE79">
        <v>6.738766</v>
      </c>
      <c r="AF79">
        <v>6.6069699999999996</v>
      </c>
      <c r="AG79" s="20">
        <v>-1.6E-2</v>
      </c>
    </row>
    <row r="80" spans="1:33">
      <c r="A80" t="s">
        <v>146</v>
      </c>
      <c r="B80" t="s">
        <v>1914</v>
      </c>
      <c r="C80" t="s">
        <v>1913</v>
      </c>
      <c r="D80" t="s">
        <v>177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t="s">
        <v>15</v>
      </c>
    </row>
    <row r="81" spans="1:33">
      <c r="A81" t="s">
        <v>147</v>
      </c>
      <c r="B81" t="s">
        <v>1912</v>
      </c>
      <c r="C81" t="s">
        <v>1911</v>
      </c>
      <c r="D81" t="s">
        <v>177</v>
      </c>
      <c r="F81">
        <v>81.477958999999998</v>
      </c>
      <c r="G81">
        <v>81.093315000000004</v>
      </c>
      <c r="H81">
        <v>80.154510000000002</v>
      </c>
      <c r="I81">
        <v>78.937209999999993</v>
      </c>
      <c r="J81">
        <v>77.701949999999997</v>
      </c>
      <c r="K81">
        <v>76.437241</v>
      </c>
      <c r="L81">
        <v>75.144149999999996</v>
      </c>
      <c r="M81">
        <v>73.840141000000003</v>
      </c>
      <c r="N81">
        <v>72.595862999999994</v>
      </c>
      <c r="O81">
        <v>71.452445999999995</v>
      </c>
      <c r="P81">
        <v>70.394264000000007</v>
      </c>
      <c r="Q81">
        <v>69.385695999999996</v>
      </c>
      <c r="R81">
        <v>68.423064999999994</v>
      </c>
      <c r="S81">
        <v>67.518416999999999</v>
      </c>
      <c r="T81">
        <v>66.499297999999996</v>
      </c>
      <c r="U81">
        <v>65.475020999999998</v>
      </c>
      <c r="V81">
        <v>64.446776999999997</v>
      </c>
      <c r="W81">
        <v>63.412239</v>
      </c>
      <c r="X81">
        <v>62.361404</v>
      </c>
      <c r="Y81">
        <v>61.303871000000001</v>
      </c>
      <c r="Z81">
        <v>60.239207999999998</v>
      </c>
      <c r="AA81">
        <v>59.170093999999999</v>
      </c>
      <c r="AB81">
        <v>58.090964999999997</v>
      </c>
      <c r="AC81">
        <v>57.008719999999997</v>
      </c>
      <c r="AD81">
        <v>55.921512999999997</v>
      </c>
      <c r="AE81">
        <v>54.843356999999997</v>
      </c>
      <c r="AF81">
        <v>53.770729000000003</v>
      </c>
      <c r="AG81" s="20">
        <v>-1.6E-2</v>
      </c>
    </row>
    <row r="82" spans="1:33">
      <c r="A82" t="s">
        <v>148</v>
      </c>
      <c r="B82" t="s">
        <v>1910</v>
      </c>
      <c r="C82" t="s">
        <v>1909</v>
      </c>
      <c r="D82" t="s">
        <v>177</v>
      </c>
      <c r="F82">
        <v>1.08043</v>
      </c>
      <c r="G82">
        <v>1.1090009999999999</v>
      </c>
      <c r="H82">
        <v>1.123974</v>
      </c>
      <c r="I82">
        <v>1.1334029999999999</v>
      </c>
      <c r="J82">
        <v>1.1428229999999999</v>
      </c>
      <c r="K82">
        <v>1.1520589999999999</v>
      </c>
      <c r="L82">
        <v>1.1612290000000001</v>
      </c>
      <c r="M82">
        <v>1.1705110000000001</v>
      </c>
      <c r="N82">
        <v>1.18072</v>
      </c>
      <c r="O82">
        <v>1.190545</v>
      </c>
      <c r="P82">
        <v>1.200944</v>
      </c>
      <c r="Q82">
        <v>1.21228</v>
      </c>
      <c r="R82">
        <v>1.222046</v>
      </c>
      <c r="S82">
        <v>1.232391</v>
      </c>
      <c r="T82">
        <v>1.241193</v>
      </c>
      <c r="U82">
        <v>1.250219</v>
      </c>
      <c r="V82">
        <v>1.2594339999999999</v>
      </c>
      <c r="W82">
        <v>1.2684489999999999</v>
      </c>
      <c r="X82">
        <v>1.276748</v>
      </c>
      <c r="Y82">
        <v>1.284117</v>
      </c>
      <c r="Z82">
        <v>1.2912060000000001</v>
      </c>
      <c r="AA82">
        <v>1.297987</v>
      </c>
      <c r="AB82">
        <v>1.3048919999999999</v>
      </c>
      <c r="AC82">
        <v>1.3117749999999999</v>
      </c>
      <c r="AD82">
        <v>1.3181830000000001</v>
      </c>
      <c r="AE82">
        <v>1.324549</v>
      </c>
      <c r="AF82">
        <v>1.330867</v>
      </c>
      <c r="AG82" s="20">
        <v>8.0000000000000002E-3</v>
      </c>
    </row>
    <row r="83" spans="1:33">
      <c r="A83" t="s">
        <v>149</v>
      </c>
      <c r="B83" t="s">
        <v>1908</v>
      </c>
      <c r="C83" t="s">
        <v>1907</v>
      </c>
      <c r="D83" t="s">
        <v>177</v>
      </c>
      <c r="F83">
        <v>8.0368440000000003</v>
      </c>
      <c r="G83">
        <v>7.9989049999999997</v>
      </c>
      <c r="H83">
        <v>7.9063030000000003</v>
      </c>
      <c r="I83">
        <v>7.7862289999999996</v>
      </c>
      <c r="J83">
        <v>7.6643869999999996</v>
      </c>
      <c r="K83">
        <v>7.5396390000000002</v>
      </c>
      <c r="L83">
        <v>7.4120889999999999</v>
      </c>
      <c r="M83">
        <v>7.2834640000000004</v>
      </c>
      <c r="N83">
        <v>7.1607320000000003</v>
      </c>
      <c r="O83">
        <v>7.0479469999999997</v>
      </c>
      <c r="P83">
        <v>6.9435690000000001</v>
      </c>
      <c r="Q83">
        <v>6.8440859999999999</v>
      </c>
      <c r="R83">
        <v>6.7491329999999996</v>
      </c>
      <c r="S83">
        <v>6.6599000000000004</v>
      </c>
      <c r="T83">
        <v>6.5593760000000003</v>
      </c>
      <c r="U83">
        <v>6.4583440000000003</v>
      </c>
      <c r="V83">
        <v>6.3569190000000004</v>
      </c>
      <c r="W83">
        <v>6.254874</v>
      </c>
      <c r="X83">
        <v>6.1512209999999996</v>
      </c>
      <c r="Y83">
        <v>6.0469080000000002</v>
      </c>
      <c r="Z83">
        <v>5.9418920000000002</v>
      </c>
      <c r="AA83">
        <v>5.836436</v>
      </c>
      <c r="AB83">
        <v>5.7299930000000003</v>
      </c>
      <c r="AC83">
        <v>5.6232410000000002</v>
      </c>
      <c r="AD83">
        <v>5.5160020000000003</v>
      </c>
      <c r="AE83">
        <v>5.4096539999999997</v>
      </c>
      <c r="AF83">
        <v>5.3038530000000002</v>
      </c>
      <c r="AG83" s="20">
        <v>-1.6E-2</v>
      </c>
    </row>
    <row r="84" spans="1:33">
      <c r="A84" t="s">
        <v>150</v>
      </c>
      <c r="B84" t="s">
        <v>1906</v>
      </c>
      <c r="C84" t="s">
        <v>1905</v>
      </c>
      <c r="D84" t="s">
        <v>177</v>
      </c>
      <c r="F84">
        <v>0.43350100000000003</v>
      </c>
      <c r="G84">
        <v>0.71207500000000001</v>
      </c>
      <c r="H84">
        <v>0.95266899999999999</v>
      </c>
      <c r="I84">
        <v>1.1860360000000001</v>
      </c>
      <c r="J84">
        <v>1.414234</v>
      </c>
      <c r="K84">
        <v>1.6367689999999999</v>
      </c>
      <c r="L84">
        <v>1.853299</v>
      </c>
      <c r="M84">
        <v>2.063949</v>
      </c>
      <c r="N84">
        <v>2.2707190000000002</v>
      </c>
      <c r="O84">
        <v>2.4754809999999998</v>
      </c>
      <c r="P84">
        <v>2.6785960000000002</v>
      </c>
      <c r="Q84">
        <v>2.8794080000000002</v>
      </c>
      <c r="R84">
        <v>3.0781019999999999</v>
      </c>
      <c r="S84">
        <v>3.2757350000000001</v>
      </c>
      <c r="T84">
        <v>3.463921</v>
      </c>
      <c r="U84">
        <v>3.6474440000000001</v>
      </c>
      <c r="V84">
        <v>3.8262390000000002</v>
      </c>
      <c r="W84">
        <v>4.0000239999999998</v>
      </c>
      <c r="X84">
        <v>4.1679579999999996</v>
      </c>
      <c r="Y84">
        <v>4.3304239999999998</v>
      </c>
      <c r="Z84">
        <v>4.4872579999999997</v>
      </c>
      <c r="AA84">
        <v>4.6384879999999997</v>
      </c>
      <c r="AB84">
        <v>4.7835470000000004</v>
      </c>
      <c r="AC84">
        <v>4.9227959999999999</v>
      </c>
      <c r="AD84">
        <v>5.0558969999999999</v>
      </c>
      <c r="AE84">
        <v>5.1840140000000003</v>
      </c>
      <c r="AF84">
        <v>5.3068090000000003</v>
      </c>
      <c r="AG84" s="20">
        <v>0.10100000000000001</v>
      </c>
    </row>
    <row r="85" spans="1:33">
      <c r="A85" t="s">
        <v>151</v>
      </c>
      <c r="B85" t="s">
        <v>1904</v>
      </c>
      <c r="C85" t="s">
        <v>1903</v>
      </c>
      <c r="D85" t="s">
        <v>177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15</v>
      </c>
    </row>
    <row r="86" spans="1:33">
      <c r="A86" t="s">
        <v>84</v>
      </c>
      <c r="B86" t="s">
        <v>1902</v>
      </c>
      <c r="C86" t="s">
        <v>1901</v>
      </c>
      <c r="D86" t="s">
        <v>177</v>
      </c>
      <c r="F86">
        <v>43.892204</v>
      </c>
      <c r="G86">
        <v>46.490710999999997</v>
      </c>
      <c r="H86">
        <v>47.928882999999999</v>
      </c>
      <c r="I86">
        <v>48.711205</v>
      </c>
      <c r="J86">
        <v>49.231833999999999</v>
      </c>
      <c r="K86">
        <v>49.773636000000003</v>
      </c>
      <c r="L86">
        <v>50.393982000000001</v>
      </c>
      <c r="M86">
        <v>50.846916</v>
      </c>
      <c r="N86">
        <v>51.249969</v>
      </c>
      <c r="O86">
        <v>51.578491</v>
      </c>
      <c r="P86">
        <v>51.858665000000002</v>
      </c>
      <c r="Q86">
        <v>52.283653000000001</v>
      </c>
      <c r="R86">
        <v>52.821021999999999</v>
      </c>
      <c r="S86">
        <v>53.370353999999999</v>
      </c>
      <c r="T86">
        <v>53.936473999999997</v>
      </c>
      <c r="U86">
        <v>54.449078</v>
      </c>
      <c r="V86">
        <v>54.919967999999997</v>
      </c>
      <c r="W86">
        <v>55.340308999999998</v>
      </c>
      <c r="X86">
        <v>55.737267000000003</v>
      </c>
      <c r="Y86">
        <v>56.129337</v>
      </c>
      <c r="Z86">
        <v>56.455002</v>
      </c>
      <c r="AA86">
        <v>56.804771000000002</v>
      </c>
      <c r="AB86">
        <v>57.083145000000002</v>
      </c>
      <c r="AC86">
        <v>57.392547999999998</v>
      </c>
      <c r="AD86">
        <v>57.764831999999998</v>
      </c>
      <c r="AE86">
        <v>58.136749000000002</v>
      </c>
      <c r="AF86">
        <v>58.625304999999997</v>
      </c>
      <c r="AG86" s="20">
        <v>1.0999999999999999E-2</v>
      </c>
    </row>
    <row r="87" spans="1:33">
      <c r="A87" t="s">
        <v>167</v>
      </c>
      <c r="B87" t="s">
        <v>1900</v>
      </c>
      <c r="C87" t="s">
        <v>1899</v>
      </c>
      <c r="D87" t="s">
        <v>177</v>
      </c>
      <c r="F87">
        <v>8.7423819999999992</v>
      </c>
      <c r="G87">
        <v>9.3800589999999993</v>
      </c>
      <c r="H87">
        <v>9.8378320000000006</v>
      </c>
      <c r="I87">
        <v>10.165743000000001</v>
      </c>
      <c r="J87">
        <v>10.415087</v>
      </c>
      <c r="K87">
        <v>10.611311000000001</v>
      </c>
      <c r="L87">
        <v>10.771235000000001</v>
      </c>
      <c r="M87">
        <v>10.905773999999999</v>
      </c>
      <c r="N87">
        <v>11.020588</v>
      </c>
      <c r="O87">
        <v>11.119541</v>
      </c>
      <c r="P87">
        <v>11.206322</v>
      </c>
      <c r="Q87">
        <v>11.283692</v>
      </c>
      <c r="R87">
        <v>11.353813000000001</v>
      </c>
      <c r="S87">
        <v>11.417555</v>
      </c>
      <c r="T87">
        <v>11.481839000000001</v>
      </c>
      <c r="U87">
        <v>11.543386999999999</v>
      </c>
      <c r="V87">
        <v>11.602665</v>
      </c>
      <c r="W87">
        <v>11.660023000000001</v>
      </c>
      <c r="X87">
        <v>11.716011999999999</v>
      </c>
      <c r="Y87">
        <v>11.770652999999999</v>
      </c>
      <c r="Z87">
        <v>11.824216</v>
      </c>
      <c r="AA87">
        <v>11.876847</v>
      </c>
      <c r="AB87">
        <v>11.928874</v>
      </c>
      <c r="AC87">
        <v>11.980318</v>
      </c>
      <c r="AD87">
        <v>12.031491000000001</v>
      </c>
      <c r="AE87">
        <v>12.082007000000001</v>
      </c>
      <c r="AF87">
        <v>12.132166</v>
      </c>
      <c r="AG87" s="20">
        <v>1.2999999999999999E-2</v>
      </c>
    </row>
    <row r="88" spans="1:33">
      <c r="A88" t="s">
        <v>150</v>
      </c>
      <c r="B88" t="s">
        <v>1898</v>
      </c>
      <c r="C88" t="s">
        <v>1897</v>
      </c>
      <c r="D88" t="s">
        <v>177</v>
      </c>
      <c r="F88">
        <v>1.0626599999999999</v>
      </c>
      <c r="G88">
        <v>1.140172</v>
      </c>
      <c r="H88">
        <v>1.1958150000000001</v>
      </c>
      <c r="I88">
        <v>1.2356739999999999</v>
      </c>
      <c r="J88">
        <v>1.2659819999999999</v>
      </c>
      <c r="K88">
        <v>1.2898339999999999</v>
      </c>
      <c r="L88">
        <v>1.3092729999999999</v>
      </c>
      <c r="M88">
        <v>1.325626</v>
      </c>
      <c r="N88">
        <v>1.3395820000000001</v>
      </c>
      <c r="O88">
        <v>1.35161</v>
      </c>
      <c r="P88">
        <v>1.3621589999999999</v>
      </c>
      <c r="Q88">
        <v>1.3715630000000001</v>
      </c>
      <c r="R88">
        <v>1.3800870000000001</v>
      </c>
      <c r="S88">
        <v>1.3878349999999999</v>
      </c>
      <c r="T88">
        <v>1.3956489999999999</v>
      </c>
      <c r="U88">
        <v>1.40313</v>
      </c>
      <c r="V88">
        <v>1.410336</v>
      </c>
      <c r="W88">
        <v>1.4173070000000001</v>
      </c>
      <c r="X88">
        <v>1.424113</v>
      </c>
      <c r="Y88">
        <v>1.430755</v>
      </c>
      <c r="Z88">
        <v>1.437265</v>
      </c>
      <c r="AA88">
        <v>1.4436629999999999</v>
      </c>
      <c r="AB88">
        <v>1.449986</v>
      </c>
      <c r="AC88">
        <v>1.45624</v>
      </c>
      <c r="AD88">
        <v>1.462461</v>
      </c>
      <c r="AE88">
        <v>1.4685999999999999</v>
      </c>
      <c r="AF88">
        <v>1.4746980000000001</v>
      </c>
      <c r="AG88" s="20">
        <v>1.2999999999999999E-2</v>
      </c>
    </row>
    <row r="89" spans="1:33">
      <c r="A89" t="s">
        <v>168</v>
      </c>
      <c r="B89" t="s">
        <v>1896</v>
      </c>
      <c r="C89" t="s">
        <v>1895</v>
      </c>
      <c r="D89" t="s">
        <v>177</v>
      </c>
      <c r="F89">
        <v>7.6797219999999999</v>
      </c>
      <c r="G89">
        <v>8.2398869999999995</v>
      </c>
      <c r="H89">
        <v>8.6420169999999992</v>
      </c>
      <c r="I89">
        <v>8.9300689999999996</v>
      </c>
      <c r="J89">
        <v>9.1491050000000005</v>
      </c>
      <c r="K89">
        <v>9.3214769999999998</v>
      </c>
      <c r="L89">
        <v>9.4619630000000008</v>
      </c>
      <c r="M89">
        <v>9.5801479999999994</v>
      </c>
      <c r="N89">
        <v>9.6810050000000007</v>
      </c>
      <c r="O89">
        <v>9.7679310000000008</v>
      </c>
      <c r="P89">
        <v>9.844163</v>
      </c>
      <c r="Q89">
        <v>9.9121290000000002</v>
      </c>
      <c r="R89">
        <v>9.9737259999999992</v>
      </c>
      <c r="S89">
        <v>10.029719999999999</v>
      </c>
      <c r="T89">
        <v>10.08619</v>
      </c>
      <c r="U89">
        <v>10.140257999999999</v>
      </c>
      <c r="V89">
        <v>10.192329000000001</v>
      </c>
      <c r="W89">
        <v>10.242716</v>
      </c>
      <c r="X89">
        <v>10.291899000000001</v>
      </c>
      <c r="Y89">
        <v>10.339898</v>
      </c>
      <c r="Z89">
        <v>10.386950000000001</v>
      </c>
      <c r="AA89">
        <v>10.433185</v>
      </c>
      <c r="AB89">
        <v>10.478888</v>
      </c>
      <c r="AC89">
        <v>10.524077999999999</v>
      </c>
      <c r="AD89">
        <v>10.569031000000001</v>
      </c>
      <c r="AE89">
        <v>10.613407</v>
      </c>
      <c r="AF89">
        <v>10.657468</v>
      </c>
      <c r="AG89" s="20">
        <v>1.2999999999999999E-2</v>
      </c>
    </row>
    <row r="90" spans="1:33">
      <c r="A90" t="s">
        <v>157</v>
      </c>
      <c r="B90" t="s">
        <v>1894</v>
      </c>
      <c r="C90" t="s">
        <v>1893</v>
      </c>
      <c r="D90" t="s">
        <v>177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15</v>
      </c>
    </row>
    <row r="91" spans="1:33">
      <c r="A91" t="s">
        <v>158</v>
      </c>
      <c r="B91" t="s">
        <v>1892</v>
      </c>
      <c r="C91" t="s">
        <v>1891</v>
      </c>
      <c r="D91" t="s">
        <v>177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15</v>
      </c>
    </row>
    <row r="92" spans="1:33">
      <c r="A92" t="s">
        <v>169</v>
      </c>
      <c r="B92" t="s">
        <v>1890</v>
      </c>
      <c r="C92" t="s">
        <v>1889</v>
      </c>
      <c r="D92" t="s">
        <v>177</v>
      </c>
      <c r="F92">
        <v>14.508388999999999</v>
      </c>
      <c r="G92">
        <v>15.421035</v>
      </c>
      <c r="H92">
        <v>16.002700999999998</v>
      </c>
      <c r="I92">
        <v>16.428796999999999</v>
      </c>
      <c r="J92">
        <v>16.870525000000001</v>
      </c>
      <c r="K92">
        <v>17.287436</v>
      </c>
      <c r="L92">
        <v>17.607780000000002</v>
      </c>
      <c r="M92">
        <v>17.836908000000001</v>
      </c>
      <c r="N92">
        <v>18.041525</v>
      </c>
      <c r="O92">
        <v>18.197558999999998</v>
      </c>
      <c r="P92">
        <v>18.347023</v>
      </c>
      <c r="Q92">
        <v>18.543555999999999</v>
      </c>
      <c r="R92">
        <v>18.732952000000001</v>
      </c>
      <c r="S92">
        <v>18.925523999999999</v>
      </c>
      <c r="T92">
        <v>19.122789000000001</v>
      </c>
      <c r="U92">
        <v>19.294951999999999</v>
      </c>
      <c r="V92">
        <v>19.444386000000002</v>
      </c>
      <c r="W92">
        <v>19.568449000000001</v>
      </c>
      <c r="X92">
        <v>19.677353</v>
      </c>
      <c r="Y92">
        <v>19.784870000000002</v>
      </c>
      <c r="Z92">
        <v>19.860029000000001</v>
      </c>
      <c r="AA92">
        <v>19.946988999999999</v>
      </c>
      <c r="AB92">
        <v>19.998484000000001</v>
      </c>
      <c r="AC92">
        <v>20.058503999999999</v>
      </c>
      <c r="AD92">
        <v>20.148382000000002</v>
      </c>
      <c r="AE92">
        <v>20.242802000000001</v>
      </c>
      <c r="AF92">
        <v>20.400482</v>
      </c>
      <c r="AG92" s="20">
        <v>1.2999999999999999E-2</v>
      </c>
    </row>
    <row r="93" spans="1:33">
      <c r="A93" t="s">
        <v>150</v>
      </c>
      <c r="B93" t="s">
        <v>1888</v>
      </c>
      <c r="C93" t="s">
        <v>1887</v>
      </c>
      <c r="D93" t="s">
        <v>177</v>
      </c>
      <c r="F93">
        <v>14.508388999999999</v>
      </c>
      <c r="G93">
        <v>15.421035</v>
      </c>
      <c r="H93">
        <v>16.002700999999998</v>
      </c>
      <c r="I93">
        <v>16.428796999999999</v>
      </c>
      <c r="J93">
        <v>16.870525000000001</v>
      </c>
      <c r="K93">
        <v>17.287436</v>
      </c>
      <c r="L93">
        <v>17.607780000000002</v>
      </c>
      <c r="M93">
        <v>17.836908000000001</v>
      </c>
      <c r="N93">
        <v>18.041525</v>
      </c>
      <c r="O93">
        <v>18.197558999999998</v>
      </c>
      <c r="P93">
        <v>18.347023</v>
      </c>
      <c r="Q93">
        <v>18.543555999999999</v>
      </c>
      <c r="R93">
        <v>18.732952000000001</v>
      </c>
      <c r="S93">
        <v>18.925523999999999</v>
      </c>
      <c r="T93">
        <v>19.122789000000001</v>
      </c>
      <c r="U93">
        <v>19.294951999999999</v>
      </c>
      <c r="V93">
        <v>19.444386000000002</v>
      </c>
      <c r="W93">
        <v>19.568449000000001</v>
      </c>
      <c r="X93">
        <v>19.677353</v>
      </c>
      <c r="Y93">
        <v>19.784870000000002</v>
      </c>
      <c r="Z93">
        <v>19.860029000000001</v>
      </c>
      <c r="AA93">
        <v>19.946988999999999</v>
      </c>
      <c r="AB93">
        <v>19.998484000000001</v>
      </c>
      <c r="AC93">
        <v>20.058503999999999</v>
      </c>
      <c r="AD93">
        <v>20.148382000000002</v>
      </c>
      <c r="AE93">
        <v>20.242802000000001</v>
      </c>
      <c r="AF93">
        <v>20.400482</v>
      </c>
      <c r="AG93" s="20">
        <v>1.2999999999999999E-2</v>
      </c>
    </row>
    <row r="94" spans="1:33">
      <c r="A94" t="s">
        <v>170</v>
      </c>
      <c r="B94" t="s">
        <v>1886</v>
      </c>
      <c r="C94" t="s">
        <v>1885</v>
      </c>
      <c r="D94" t="s">
        <v>177</v>
      </c>
      <c r="F94">
        <v>20.641434</v>
      </c>
      <c r="G94">
        <v>21.689616999999998</v>
      </c>
      <c r="H94">
        <v>22.088348</v>
      </c>
      <c r="I94">
        <v>22.116669000000002</v>
      </c>
      <c r="J94">
        <v>21.94622</v>
      </c>
      <c r="K94">
        <v>21.874889</v>
      </c>
      <c r="L94">
        <v>22.014965</v>
      </c>
      <c r="M94">
        <v>22.104230999999999</v>
      </c>
      <c r="N94">
        <v>22.187854999999999</v>
      </c>
      <c r="O94">
        <v>22.261389000000001</v>
      </c>
      <c r="P94">
        <v>22.305319000000001</v>
      </c>
      <c r="Q94">
        <v>22.456403999999999</v>
      </c>
      <c r="R94">
        <v>22.734255000000001</v>
      </c>
      <c r="S94">
        <v>23.027270999999999</v>
      </c>
      <c r="T94">
        <v>23.331844</v>
      </c>
      <c r="U94">
        <v>23.610738999999999</v>
      </c>
      <c r="V94">
        <v>23.872917000000001</v>
      </c>
      <c r="W94">
        <v>24.111839</v>
      </c>
      <c r="X94">
        <v>24.343903000000001</v>
      </c>
      <c r="Y94">
        <v>24.573816000000001</v>
      </c>
      <c r="Z94">
        <v>24.770754</v>
      </c>
      <c r="AA94">
        <v>24.980931999999999</v>
      </c>
      <c r="AB94">
        <v>25.155787</v>
      </c>
      <c r="AC94">
        <v>25.353729000000001</v>
      </c>
      <c r="AD94">
        <v>25.584959000000001</v>
      </c>
      <c r="AE94">
        <v>25.811942999999999</v>
      </c>
      <c r="AF94">
        <v>26.092656999999999</v>
      </c>
      <c r="AG94" s="20">
        <v>8.9999999999999993E-3</v>
      </c>
    </row>
    <row r="95" spans="1:33">
      <c r="A95" t="s">
        <v>150</v>
      </c>
      <c r="B95" t="s">
        <v>1884</v>
      </c>
      <c r="C95" t="s">
        <v>1883</v>
      </c>
      <c r="D95" t="s">
        <v>177</v>
      </c>
      <c r="F95">
        <v>7.5111889999999999</v>
      </c>
      <c r="G95">
        <v>7.855988</v>
      </c>
      <c r="H95">
        <v>8.0141960000000001</v>
      </c>
      <c r="I95">
        <v>8.0560130000000001</v>
      </c>
      <c r="J95">
        <v>8.0277329999999996</v>
      </c>
      <c r="K95">
        <v>8.0724560000000007</v>
      </c>
      <c r="L95">
        <v>8.107094</v>
      </c>
      <c r="M95">
        <v>8.1060300000000005</v>
      </c>
      <c r="N95">
        <v>8.1130739999999992</v>
      </c>
      <c r="O95">
        <v>8.1194109999999995</v>
      </c>
      <c r="P95">
        <v>8.102843</v>
      </c>
      <c r="Q95">
        <v>8.1355620000000002</v>
      </c>
      <c r="R95">
        <v>8.2269900000000007</v>
      </c>
      <c r="S95">
        <v>8.3286890000000007</v>
      </c>
      <c r="T95">
        <v>8.4335880000000003</v>
      </c>
      <c r="U95">
        <v>8.5265900000000006</v>
      </c>
      <c r="V95">
        <v>8.6186360000000004</v>
      </c>
      <c r="W95">
        <v>8.7029239999999994</v>
      </c>
      <c r="X95">
        <v>8.7860029999999991</v>
      </c>
      <c r="Y95">
        <v>8.8617150000000002</v>
      </c>
      <c r="Z95">
        <v>8.9281100000000002</v>
      </c>
      <c r="AA95">
        <v>8.9928310000000007</v>
      </c>
      <c r="AB95">
        <v>9.0486979999999999</v>
      </c>
      <c r="AC95">
        <v>9.1163530000000002</v>
      </c>
      <c r="AD95">
        <v>9.1924899999999994</v>
      </c>
      <c r="AE95">
        <v>9.2656609999999997</v>
      </c>
      <c r="AF95">
        <v>9.3441930000000006</v>
      </c>
      <c r="AG95" s="20">
        <v>8.0000000000000002E-3</v>
      </c>
    </row>
    <row r="96" spans="1:33">
      <c r="A96" t="s">
        <v>168</v>
      </c>
      <c r="B96" t="s">
        <v>1882</v>
      </c>
      <c r="C96" t="s">
        <v>1881</v>
      </c>
      <c r="D96" t="s">
        <v>177</v>
      </c>
      <c r="F96">
        <v>13.130245</v>
      </c>
      <c r="G96">
        <v>13.833631</v>
      </c>
      <c r="H96">
        <v>14.074153000000001</v>
      </c>
      <c r="I96">
        <v>14.060656</v>
      </c>
      <c r="J96">
        <v>13.918488</v>
      </c>
      <c r="K96">
        <v>13.802433000000001</v>
      </c>
      <c r="L96">
        <v>13.907870000000001</v>
      </c>
      <c r="M96">
        <v>13.998201</v>
      </c>
      <c r="N96">
        <v>14.074781</v>
      </c>
      <c r="O96">
        <v>14.141977000000001</v>
      </c>
      <c r="P96">
        <v>14.202476000000001</v>
      </c>
      <c r="Q96">
        <v>14.320842000000001</v>
      </c>
      <c r="R96">
        <v>14.507265</v>
      </c>
      <c r="S96">
        <v>14.698584</v>
      </c>
      <c r="T96">
        <v>14.898256999999999</v>
      </c>
      <c r="U96">
        <v>15.084148000000001</v>
      </c>
      <c r="V96">
        <v>15.25428</v>
      </c>
      <c r="W96">
        <v>15.408915</v>
      </c>
      <c r="X96">
        <v>15.5579</v>
      </c>
      <c r="Y96">
        <v>15.712101000000001</v>
      </c>
      <c r="Z96">
        <v>15.842644</v>
      </c>
      <c r="AA96">
        <v>15.988101</v>
      </c>
      <c r="AB96">
        <v>16.107088000000001</v>
      </c>
      <c r="AC96">
        <v>16.237375</v>
      </c>
      <c r="AD96">
        <v>16.392468999999998</v>
      </c>
      <c r="AE96">
        <v>16.546282000000001</v>
      </c>
      <c r="AF96">
        <v>16.748464999999999</v>
      </c>
      <c r="AG96" s="20">
        <v>8.9999999999999993E-3</v>
      </c>
    </row>
    <row r="97" spans="1:33">
      <c r="A97" t="s">
        <v>157</v>
      </c>
      <c r="B97" t="s">
        <v>1880</v>
      </c>
      <c r="C97" t="s">
        <v>1879</v>
      </c>
      <c r="D97" t="s">
        <v>177</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t="s">
        <v>15</v>
      </c>
    </row>
    <row r="98" spans="1:33">
      <c r="A98" t="s">
        <v>158</v>
      </c>
      <c r="B98" t="s">
        <v>1878</v>
      </c>
      <c r="C98" t="s">
        <v>1877</v>
      </c>
      <c r="D98" t="s">
        <v>177</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t="s">
        <v>15</v>
      </c>
    </row>
    <row r="99" spans="1:33">
      <c r="A99" t="s">
        <v>83</v>
      </c>
      <c r="B99" t="s">
        <v>1876</v>
      </c>
      <c r="C99" t="s">
        <v>1875</v>
      </c>
      <c r="D99" t="s">
        <v>177</v>
      </c>
      <c r="F99">
        <v>207.60502600000001</v>
      </c>
      <c r="G99">
        <v>206.044724</v>
      </c>
      <c r="H99">
        <v>205.25169399999999</v>
      </c>
      <c r="I99">
        <v>204.43426500000001</v>
      </c>
      <c r="J99">
        <v>203.14537000000001</v>
      </c>
      <c r="K99">
        <v>202.085342</v>
      </c>
      <c r="L99">
        <v>200.752869</v>
      </c>
      <c r="M99">
        <v>199.064514</v>
      </c>
      <c r="N99">
        <v>197.718536</v>
      </c>
      <c r="O99">
        <v>196.50250199999999</v>
      </c>
      <c r="P99">
        <v>195.25280799999999</v>
      </c>
      <c r="Q99">
        <v>194.23524499999999</v>
      </c>
      <c r="R99">
        <v>193.26904300000001</v>
      </c>
      <c r="S99">
        <v>192.45489499999999</v>
      </c>
      <c r="T99">
        <v>191.70195000000001</v>
      </c>
      <c r="U99">
        <v>190.90595999999999</v>
      </c>
      <c r="V99">
        <v>190.125854</v>
      </c>
      <c r="W99">
        <v>189.31890899999999</v>
      </c>
      <c r="X99">
        <v>188.616241</v>
      </c>
      <c r="Y99">
        <v>187.856247</v>
      </c>
      <c r="Z99">
        <v>186.963165</v>
      </c>
      <c r="AA99">
        <v>186.014847</v>
      </c>
      <c r="AB99">
        <v>185.01559399999999</v>
      </c>
      <c r="AC99">
        <v>184.28604100000001</v>
      </c>
      <c r="AD99">
        <v>183.61746199999999</v>
      </c>
      <c r="AE99">
        <v>182.85122699999999</v>
      </c>
      <c r="AF99">
        <v>182.05470299999999</v>
      </c>
      <c r="AG99" s="20">
        <v>-5.0000000000000001E-3</v>
      </c>
    </row>
    <row r="100" spans="1:33">
      <c r="A100" t="s">
        <v>171</v>
      </c>
      <c r="B100" t="s">
        <v>1874</v>
      </c>
      <c r="C100" t="s">
        <v>1873</v>
      </c>
      <c r="D100" t="s">
        <v>177</v>
      </c>
      <c r="F100">
        <v>166.91459699999999</v>
      </c>
      <c r="G100">
        <v>165.389938</v>
      </c>
      <c r="H100">
        <v>164.48289500000001</v>
      </c>
      <c r="I100">
        <v>163.55706799999999</v>
      </c>
      <c r="J100">
        <v>162.255493</v>
      </c>
      <c r="K100">
        <v>161.13850400000001</v>
      </c>
      <c r="L100">
        <v>159.80613700000001</v>
      </c>
      <c r="M100">
        <v>158.19323700000001</v>
      </c>
      <c r="N100">
        <v>156.85519400000001</v>
      </c>
      <c r="O100">
        <v>155.62240600000001</v>
      </c>
      <c r="P100">
        <v>154.36505099999999</v>
      </c>
      <c r="Q100">
        <v>153.29302999999999</v>
      </c>
      <c r="R100">
        <v>152.26300000000001</v>
      </c>
      <c r="S100">
        <v>151.353928</v>
      </c>
      <c r="T100">
        <v>150.49392700000001</v>
      </c>
      <c r="U100">
        <v>149.60101299999999</v>
      </c>
      <c r="V100">
        <v>148.721497</v>
      </c>
      <c r="W100">
        <v>147.821991</v>
      </c>
      <c r="X100">
        <v>147.00477599999999</v>
      </c>
      <c r="Y100">
        <v>146.14373800000001</v>
      </c>
      <c r="Z100">
        <v>145.180283</v>
      </c>
      <c r="AA100">
        <v>144.175354</v>
      </c>
      <c r="AB100">
        <v>143.13253800000001</v>
      </c>
      <c r="AC100">
        <v>142.29965200000001</v>
      </c>
      <c r="AD100">
        <v>141.514679</v>
      </c>
      <c r="AE100">
        <v>140.65533400000001</v>
      </c>
      <c r="AF100">
        <v>139.773788</v>
      </c>
      <c r="AG100" s="20">
        <v>-7.0000000000000001E-3</v>
      </c>
    </row>
    <row r="101" spans="1:33">
      <c r="A101" t="s">
        <v>147</v>
      </c>
      <c r="B101" t="s">
        <v>1872</v>
      </c>
      <c r="C101" t="s">
        <v>1871</v>
      </c>
      <c r="D101" t="s">
        <v>177</v>
      </c>
      <c r="F101">
        <v>40.690426000000002</v>
      </c>
      <c r="G101">
        <v>40.654781</v>
      </c>
      <c r="H101">
        <v>40.768794999999997</v>
      </c>
      <c r="I101">
        <v>40.877197000000002</v>
      </c>
      <c r="J101">
        <v>40.889881000000003</v>
      </c>
      <c r="K101">
        <v>40.946841999999997</v>
      </c>
      <c r="L101">
        <v>40.946728</v>
      </c>
      <c r="M101">
        <v>40.871284000000003</v>
      </c>
      <c r="N101">
        <v>40.863349999999997</v>
      </c>
      <c r="O101">
        <v>40.880088999999998</v>
      </c>
      <c r="P101">
        <v>40.887752999999996</v>
      </c>
      <c r="Q101">
        <v>40.942219000000001</v>
      </c>
      <c r="R101">
        <v>41.006045999999998</v>
      </c>
      <c r="S101">
        <v>41.100960000000001</v>
      </c>
      <c r="T101">
        <v>41.208027000000001</v>
      </c>
      <c r="U101">
        <v>41.304946999999999</v>
      </c>
      <c r="V101">
        <v>41.404350000000001</v>
      </c>
      <c r="W101">
        <v>41.496921999999998</v>
      </c>
      <c r="X101">
        <v>41.611457999999999</v>
      </c>
      <c r="Y101">
        <v>41.712508999999997</v>
      </c>
      <c r="Z101">
        <v>41.782890000000002</v>
      </c>
      <c r="AA101">
        <v>41.839492999999997</v>
      </c>
      <c r="AB101">
        <v>41.88306</v>
      </c>
      <c r="AC101">
        <v>41.986381999999999</v>
      </c>
      <c r="AD101">
        <v>42.102791000000003</v>
      </c>
      <c r="AE101">
        <v>42.195900000000002</v>
      </c>
      <c r="AF101">
        <v>42.280914000000003</v>
      </c>
      <c r="AG101" s="20">
        <v>1E-3</v>
      </c>
    </row>
    <row r="102" spans="1:33">
      <c r="A102" t="s">
        <v>82</v>
      </c>
      <c r="B102" t="s">
        <v>1870</v>
      </c>
      <c r="C102" t="s">
        <v>1869</v>
      </c>
      <c r="D102" t="s">
        <v>177</v>
      </c>
      <c r="F102">
        <v>134.26944</v>
      </c>
      <c r="G102">
        <v>134.664963</v>
      </c>
      <c r="H102">
        <v>135.304733</v>
      </c>
      <c r="I102">
        <v>135.76445000000001</v>
      </c>
      <c r="J102">
        <v>135.97155799999999</v>
      </c>
      <c r="K102">
        <v>136.08528100000001</v>
      </c>
      <c r="L102">
        <v>136.12858600000001</v>
      </c>
      <c r="M102">
        <v>136.05534399999999</v>
      </c>
      <c r="N102">
        <v>135.95806899999999</v>
      </c>
      <c r="O102">
        <v>135.90976000000001</v>
      </c>
      <c r="P102">
        <v>135.892471</v>
      </c>
      <c r="Q102">
        <v>135.86319</v>
      </c>
      <c r="R102">
        <v>135.82115200000001</v>
      </c>
      <c r="S102">
        <v>135.77626000000001</v>
      </c>
      <c r="T102">
        <v>135.75709499999999</v>
      </c>
      <c r="U102">
        <v>135.764038</v>
      </c>
      <c r="V102">
        <v>135.76824999999999</v>
      </c>
      <c r="W102">
        <v>135.74340799999999</v>
      </c>
      <c r="X102">
        <v>135.698792</v>
      </c>
      <c r="Y102">
        <v>135.63441499999999</v>
      </c>
      <c r="Z102">
        <v>135.56684899999999</v>
      </c>
      <c r="AA102">
        <v>135.500809</v>
      </c>
      <c r="AB102">
        <v>135.41752600000001</v>
      </c>
      <c r="AC102">
        <v>135.32342499999999</v>
      </c>
      <c r="AD102">
        <v>135.19622799999999</v>
      </c>
      <c r="AE102">
        <v>135.05600000000001</v>
      </c>
      <c r="AF102">
        <v>134.919434</v>
      </c>
      <c r="AG102" s="20">
        <v>0</v>
      </c>
    </row>
    <row r="103" spans="1:33">
      <c r="A103" t="s">
        <v>81</v>
      </c>
      <c r="B103" t="s">
        <v>1868</v>
      </c>
      <c r="C103" t="s">
        <v>1867</v>
      </c>
      <c r="D103" t="s">
        <v>177</v>
      </c>
      <c r="F103">
        <v>924.15820299999996</v>
      </c>
      <c r="G103">
        <v>870.21014400000001</v>
      </c>
      <c r="H103">
        <v>863.57080099999996</v>
      </c>
      <c r="I103">
        <v>835.60900900000001</v>
      </c>
      <c r="J103">
        <v>791.56463599999995</v>
      </c>
      <c r="K103">
        <v>757.790344</v>
      </c>
      <c r="L103">
        <v>713.010986</v>
      </c>
      <c r="M103">
        <v>703.35260000000005</v>
      </c>
      <c r="N103">
        <v>716.09576400000003</v>
      </c>
      <c r="O103">
        <v>709.19616699999995</v>
      </c>
      <c r="P103">
        <v>701.62231399999996</v>
      </c>
      <c r="Q103">
        <v>701.98468000000003</v>
      </c>
      <c r="R103">
        <v>707.069885</v>
      </c>
      <c r="S103">
        <v>716.51238999999998</v>
      </c>
      <c r="T103">
        <v>726.48242200000004</v>
      </c>
      <c r="U103">
        <v>737.60986300000002</v>
      </c>
      <c r="V103">
        <v>746.22839399999998</v>
      </c>
      <c r="W103">
        <v>752.33184800000004</v>
      </c>
      <c r="X103">
        <v>756.95684800000004</v>
      </c>
      <c r="Y103">
        <v>765.15093999999999</v>
      </c>
      <c r="Z103">
        <v>774.86108400000001</v>
      </c>
      <c r="AA103">
        <v>781.81097399999999</v>
      </c>
      <c r="AB103">
        <v>792.942993</v>
      </c>
      <c r="AC103">
        <v>801.18463099999997</v>
      </c>
      <c r="AD103">
        <v>810.29339600000003</v>
      </c>
      <c r="AE103">
        <v>819.83679199999995</v>
      </c>
      <c r="AF103">
        <v>831.59936500000003</v>
      </c>
      <c r="AG103" s="20">
        <v>-4.0000000000000001E-3</v>
      </c>
    </row>
    <row r="104" spans="1:33">
      <c r="A104" t="s">
        <v>691</v>
      </c>
      <c r="B104" t="s">
        <v>1866</v>
      </c>
      <c r="C104" t="s">
        <v>1865</v>
      </c>
      <c r="D104" t="s">
        <v>177</v>
      </c>
      <c r="F104">
        <v>367.99011200000001</v>
      </c>
      <c r="G104">
        <v>420.41076700000002</v>
      </c>
      <c r="H104">
        <v>447.69332900000001</v>
      </c>
      <c r="I104">
        <v>448.49334700000003</v>
      </c>
      <c r="J104">
        <v>534.99713099999997</v>
      </c>
      <c r="K104">
        <v>595.58819600000004</v>
      </c>
      <c r="L104">
        <v>658.57672100000002</v>
      </c>
      <c r="M104">
        <v>700.78753700000004</v>
      </c>
      <c r="N104">
        <v>769.51843299999996</v>
      </c>
      <c r="O104">
        <v>835.05316200000004</v>
      </c>
      <c r="P104">
        <v>877.011169</v>
      </c>
      <c r="Q104">
        <v>893.79437299999995</v>
      </c>
      <c r="R104">
        <v>912.175659</v>
      </c>
      <c r="S104">
        <v>927.36077899999998</v>
      </c>
      <c r="T104">
        <v>935.75238000000002</v>
      </c>
      <c r="U104">
        <v>935.75238000000002</v>
      </c>
      <c r="V104">
        <v>937.35046399999999</v>
      </c>
      <c r="W104">
        <v>935.75238000000002</v>
      </c>
      <c r="X104">
        <v>935.74237100000005</v>
      </c>
      <c r="Y104">
        <v>930.754456</v>
      </c>
      <c r="Z104">
        <v>932.171021</v>
      </c>
      <c r="AA104">
        <v>929.52716099999998</v>
      </c>
      <c r="AB104">
        <v>934.68682899999999</v>
      </c>
      <c r="AC104">
        <v>934.997253</v>
      </c>
      <c r="AD104">
        <v>936.23211700000002</v>
      </c>
      <c r="AE104">
        <v>934.12908900000002</v>
      </c>
      <c r="AF104">
        <v>935.01782200000002</v>
      </c>
      <c r="AG104" s="20">
        <v>3.6999999999999998E-2</v>
      </c>
    </row>
    <row r="105" spans="1:33">
      <c r="A105" t="s">
        <v>80</v>
      </c>
      <c r="B105" t="s">
        <v>1864</v>
      </c>
      <c r="C105" t="s">
        <v>1863</v>
      </c>
      <c r="D105" t="s">
        <v>177</v>
      </c>
      <c r="F105">
        <v>29023.835938</v>
      </c>
      <c r="G105">
        <v>29108.828125</v>
      </c>
      <c r="H105">
        <v>29092.589843999998</v>
      </c>
      <c r="I105">
        <v>28954.326172000001</v>
      </c>
      <c r="J105">
        <v>28829.177734000001</v>
      </c>
      <c r="K105">
        <v>28671.765625</v>
      </c>
      <c r="L105">
        <v>28471.894531000002</v>
      </c>
      <c r="M105">
        <v>28308.326172000001</v>
      </c>
      <c r="N105">
        <v>28159.509765999999</v>
      </c>
      <c r="O105">
        <v>28023.871093999998</v>
      </c>
      <c r="P105">
        <v>27891.519531000002</v>
      </c>
      <c r="Q105">
        <v>27749.921875</v>
      </c>
      <c r="R105">
        <v>27603.794922000001</v>
      </c>
      <c r="S105">
        <v>27481.890625</v>
      </c>
      <c r="T105">
        <v>27396.919922000001</v>
      </c>
      <c r="U105">
        <v>27298.917968999998</v>
      </c>
      <c r="V105">
        <v>27232.666015999999</v>
      </c>
      <c r="W105">
        <v>27171.791015999999</v>
      </c>
      <c r="X105">
        <v>27104.916015999999</v>
      </c>
      <c r="Y105">
        <v>27072.626952999999</v>
      </c>
      <c r="Z105">
        <v>27025.742188</v>
      </c>
      <c r="AA105">
        <v>26999.423827999999</v>
      </c>
      <c r="AB105">
        <v>26969.097656000002</v>
      </c>
      <c r="AC105">
        <v>26995.09375</v>
      </c>
      <c r="AD105">
        <v>26992.894531000002</v>
      </c>
      <c r="AE105">
        <v>27013.367188</v>
      </c>
      <c r="AF105">
        <v>27068.238281000002</v>
      </c>
      <c r="AG105" s="20">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5F858-2F9F-4AD0-87D0-97F1AF6D899B}">
  <dimension ref="A1:AG72"/>
  <sheetViews>
    <sheetView workbookViewId="0"/>
  </sheetViews>
  <sheetFormatPr defaultRowHeight="15"/>
  <cols>
    <col min="1" max="1" width="27" customWidth="1"/>
    <col min="2" max="2" width="35.85546875" customWidth="1"/>
  </cols>
  <sheetData>
    <row r="1" spans="1:33">
      <c r="B1" t="s">
        <v>174</v>
      </c>
      <c r="C1" t="s">
        <v>175</v>
      </c>
      <c r="D1" t="s">
        <v>176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1158</v>
      </c>
    </row>
    <row r="10" spans="1:33">
      <c r="A10" t="s">
        <v>201</v>
      </c>
    </row>
    <row r="11" spans="1:33">
      <c r="A11" t="s">
        <v>1766</v>
      </c>
    </row>
    <row r="12" spans="1:33">
      <c r="A12" t="s">
        <v>1765</v>
      </c>
    </row>
    <row r="13" spans="1:33">
      <c r="A13" t="s">
        <v>173</v>
      </c>
    </row>
    <row r="14" spans="1:33">
      <c r="B14" t="s">
        <v>174</v>
      </c>
      <c r="C14" t="s">
        <v>175</v>
      </c>
      <c r="D14" t="s">
        <v>176</v>
      </c>
      <c r="E14">
        <v>2023</v>
      </c>
      <c r="F14">
        <v>2024</v>
      </c>
      <c r="G14">
        <v>2025</v>
      </c>
      <c r="H14">
        <v>2026</v>
      </c>
      <c r="I14">
        <v>2027</v>
      </c>
      <c r="J14">
        <v>2028</v>
      </c>
      <c r="K14">
        <v>2029</v>
      </c>
      <c r="L14">
        <v>2030</v>
      </c>
      <c r="M14">
        <v>2031</v>
      </c>
      <c r="N14">
        <v>2032</v>
      </c>
      <c r="O14">
        <v>2033</v>
      </c>
      <c r="P14">
        <v>2034</v>
      </c>
      <c r="Q14">
        <v>2035</v>
      </c>
      <c r="R14">
        <v>2036</v>
      </c>
      <c r="S14">
        <v>2037</v>
      </c>
      <c r="T14">
        <v>2038</v>
      </c>
      <c r="U14">
        <v>2039</v>
      </c>
      <c r="V14">
        <v>2040</v>
      </c>
      <c r="W14">
        <v>2041</v>
      </c>
      <c r="X14">
        <v>2042</v>
      </c>
      <c r="Y14">
        <v>2043</v>
      </c>
      <c r="Z14">
        <v>2044</v>
      </c>
      <c r="AA14">
        <v>2045</v>
      </c>
      <c r="AB14">
        <v>2046</v>
      </c>
      <c r="AC14">
        <v>2047</v>
      </c>
      <c r="AD14">
        <v>2048</v>
      </c>
      <c r="AE14">
        <v>2049</v>
      </c>
      <c r="AF14">
        <v>2050</v>
      </c>
      <c r="AG14" t="s">
        <v>1158</v>
      </c>
    </row>
    <row r="15" spans="1:33">
      <c r="A15" t="s">
        <v>179</v>
      </c>
    </row>
    <row r="16" spans="1:33">
      <c r="A16" t="s">
        <v>180</v>
      </c>
    </row>
    <row r="17" spans="1:33">
      <c r="A17" t="s">
        <v>181</v>
      </c>
      <c r="B17" t="s">
        <v>1764</v>
      </c>
      <c r="C17" t="s">
        <v>1763</v>
      </c>
      <c r="D17" t="s">
        <v>202</v>
      </c>
      <c r="F17">
        <v>5075.3691410000001</v>
      </c>
      <c r="G17">
        <v>4824.9785160000001</v>
      </c>
      <c r="H17">
        <v>4539.7255859999996</v>
      </c>
      <c r="I17">
        <v>4228.984375</v>
      </c>
      <c r="J17">
        <v>3937.797607</v>
      </c>
      <c r="K17">
        <v>3710.922607</v>
      </c>
      <c r="L17">
        <v>3512.5742190000001</v>
      </c>
      <c r="M17">
        <v>3327.20874</v>
      </c>
      <c r="N17">
        <v>3127.469482</v>
      </c>
      <c r="O17">
        <v>2978.8933109999998</v>
      </c>
      <c r="P17">
        <v>2861.579346</v>
      </c>
      <c r="Q17">
        <v>2729.3728030000002</v>
      </c>
      <c r="R17">
        <v>2603.5134280000002</v>
      </c>
      <c r="S17">
        <v>2492.501953</v>
      </c>
      <c r="T17">
        <v>2396.883057</v>
      </c>
      <c r="U17">
        <v>2302.8364259999998</v>
      </c>
      <c r="V17">
        <v>2209.5778810000002</v>
      </c>
      <c r="W17">
        <v>2126.6970209999999</v>
      </c>
      <c r="X17">
        <v>2053.3640140000002</v>
      </c>
      <c r="Y17">
        <v>1987.5832519999999</v>
      </c>
      <c r="Z17">
        <v>1926.649048</v>
      </c>
      <c r="AA17">
        <v>1871.7105710000001</v>
      </c>
      <c r="AB17">
        <v>1819.1607670000001</v>
      </c>
      <c r="AC17">
        <v>1769.278564</v>
      </c>
      <c r="AD17">
        <v>1721.4882809999999</v>
      </c>
      <c r="AE17">
        <v>1676.5722659999999</v>
      </c>
      <c r="AF17">
        <v>1637.205078</v>
      </c>
      <c r="AG17" s="20">
        <v>-4.2999999999999997E-2</v>
      </c>
    </row>
    <row r="18" spans="1:33">
      <c r="A18" t="s">
        <v>182</v>
      </c>
      <c r="B18" t="s">
        <v>1762</v>
      </c>
      <c r="C18" t="s">
        <v>1761</v>
      </c>
      <c r="D18" t="s">
        <v>202</v>
      </c>
      <c r="F18">
        <v>15.97803</v>
      </c>
      <c r="G18">
        <v>13.911413</v>
      </c>
      <c r="H18">
        <v>12.051627</v>
      </c>
      <c r="I18">
        <v>10.370836000000001</v>
      </c>
      <c r="J18">
        <v>8.844614</v>
      </c>
      <c r="K18">
        <v>7.4791059999999998</v>
      </c>
      <c r="L18">
        <v>6.2849209999999998</v>
      </c>
      <c r="M18">
        <v>5.2521810000000002</v>
      </c>
      <c r="N18">
        <v>4.3723409999999996</v>
      </c>
      <c r="O18">
        <v>3.6431749999999998</v>
      </c>
      <c r="P18">
        <v>3.051164</v>
      </c>
      <c r="Q18">
        <v>2.5798580000000002</v>
      </c>
      <c r="R18">
        <v>2.2096680000000002</v>
      </c>
      <c r="S18">
        <v>1.920185</v>
      </c>
      <c r="T18">
        <v>1.695036</v>
      </c>
      <c r="U18">
        <v>1.51745</v>
      </c>
      <c r="V18">
        <v>1.3681749999999999</v>
      </c>
      <c r="W18">
        <v>1.2371019999999999</v>
      </c>
      <c r="X18">
        <v>1.1214569999999999</v>
      </c>
      <c r="Y18">
        <v>1.0183390000000001</v>
      </c>
      <c r="Z18">
        <v>0.92536499999999999</v>
      </c>
      <c r="AA18">
        <v>0.84118099999999996</v>
      </c>
      <c r="AB18">
        <v>0.76493500000000003</v>
      </c>
      <c r="AC18">
        <v>0.69586000000000003</v>
      </c>
      <c r="AD18">
        <v>0.63326300000000002</v>
      </c>
      <c r="AE18">
        <v>0.57652099999999995</v>
      </c>
      <c r="AF18">
        <v>0.52507000000000004</v>
      </c>
      <c r="AG18" s="20">
        <v>-0.123</v>
      </c>
    </row>
    <row r="19" spans="1:33">
      <c r="A19" t="s">
        <v>183</v>
      </c>
      <c r="B19" t="s">
        <v>1760</v>
      </c>
      <c r="C19" t="s">
        <v>1759</v>
      </c>
      <c r="D19" t="s">
        <v>202</v>
      </c>
      <c r="F19">
        <v>5091.3471680000002</v>
      </c>
      <c r="G19">
        <v>4838.8901370000003</v>
      </c>
      <c r="H19">
        <v>4551.7773440000001</v>
      </c>
      <c r="I19">
        <v>4239.3549800000001</v>
      </c>
      <c r="J19">
        <v>3946.6423340000001</v>
      </c>
      <c r="K19">
        <v>3718.4016109999998</v>
      </c>
      <c r="L19">
        <v>3518.8591310000002</v>
      </c>
      <c r="M19">
        <v>3332.4609380000002</v>
      </c>
      <c r="N19">
        <v>3131.841797</v>
      </c>
      <c r="O19">
        <v>2982.5363769999999</v>
      </c>
      <c r="P19">
        <v>2864.630615</v>
      </c>
      <c r="Q19">
        <v>2731.9526369999999</v>
      </c>
      <c r="R19">
        <v>2605.7231449999999</v>
      </c>
      <c r="S19">
        <v>2494.4221189999998</v>
      </c>
      <c r="T19">
        <v>2398.578125</v>
      </c>
      <c r="U19">
        <v>2304.35376</v>
      </c>
      <c r="V19">
        <v>2210.9460450000001</v>
      </c>
      <c r="W19">
        <v>2127.9340820000002</v>
      </c>
      <c r="X19">
        <v>2054.4853520000001</v>
      </c>
      <c r="Y19">
        <v>1988.6015620000001</v>
      </c>
      <c r="Z19">
        <v>1927.5744629999999</v>
      </c>
      <c r="AA19">
        <v>1872.5517580000001</v>
      </c>
      <c r="AB19">
        <v>1819.925659</v>
      </c>
      <c r="AC19">
        <v>1769.974365</v>
      </c>
      <c r="AD19">
        <v>1722.121582</v>
      </c>
      <c r="AE19">
        <v>1677.1488039999999</v>
      </c>
      <c r="AF19">
        <v>1637.7301030000001</v>
      </c>
      <c r="AG19" s="20">
        <v>-4.2999999999999997E-2</v>
      </c>
    </row>
    <row r="20" spans="1:33">
      <c r="A20" t="s">
        <v>184</v>
      </c>
    </row>
    <row r="21" spans="1:33">
      <c r="A21" t="s">
        <v>185</v>
      </c>
      <c r="B21" t="s">
        <v>1758</v>
      </c>
      <c r="C21" t="s">
        <v>1757</v>
      </c>
      <c r="D21" t="s">
        <v>202</v>
      </c>
      <c r="F21">
        <v>185.83042900000001</v>
      </c>
      <c r="G21">
        <v>158.766052</v>
      </c>
      <c r="H21">
        <v>134.82157900000001</v>
      </c>
      <c r="I21">
        <v>113.52628300000001</v>
      </c>
      <c r="J21">
        <v>94.714484999999996</v>
      </c>
      <c r="K21">
        <v>78.336166000000006</v>
      </c>
      <c r="L21">
        <v>64.364654999999999</v>
      </c>
      <c r="M21">
        <v>52.711390999999999</v>
      </c>
      <c r="N21">
        <v>43.209826999999997</v>
      </c>
      <c r="O21">
        <v>35.860064999999999</v>
      </c>
      <c r="P21">
        <v>30.128226999999999</v>
      </c>
      <c r="Q21">
        <v>25.750183</v>
      </c>
      <c r="R21">
        <v>22.493084</v>
      </c>
      <c r="S21">
        <v>19.972109</v>
      </c>
      <c r="T21">
        <v>17.990849000000001</v>
      </c>
      <c r="U21">
        <v>16.438389000000001</v>
      </c>
      <c r="V21">
        <v>15.174291</v>
      </c>
      <c r="W21">
        <v>14.108563</v>
      </c>
      <c r="X21">
        <v>13.189731</v>
      </c>
      <c r="Y21">
        <v>12.385399</v>
      </c>
      <c r="Z21">
        <v>11.676161</v>
      </c>
      <c r="AA21">
        <v>11.033206</v>
      </c>
      <c r="AB21">
        <v>10.440344</v>
      </c>
      <c r="AC21">
        <v>9.8937559999999998</v>
      </c>
      <c r="AD21">
        <v>9.3882999999999992</v>
      </c>
      <c r="AE21">
        <v>8.9212100000000003</v>
      </c>
      <c r="AF21">
        <v>8.4870450000000002</v>
      </c>
      <c r="AG21" s="20">
        <v>-0.112</v>
      </c>
    </row>
    <row r="22" spans="1:33">
      <c r="A22" t="s">
        <v>696</v>
      </c>
      <c r="B22" t="s">
        <v>1756</v>
      </c>
      <c r="C22" t="s">
        <v>1755</v>
      </c>
      <c r="D22" t="s">
        <v>202</v>
      </c>
      <c r="F22">
        <v>11.85019</v>
      </c>
      <c r="G22">
        <v>12.360404000000001</v>
      </c>
      <c r="H22">
        <v>12.04448</v>
      </c>
      <c r="I22">
        <v>11.302363</v>
      </c>
      <c r="J22">
        <v>10.383241</v>
      </c>
      <c r="K22">
        <v>9.6245969999999996</v>
      </c>
      <c r="L22">
        <v>9.1471199999999993</v>
      </c>
      <c r="M22">
        <v>8.7943309999999997</v>
      </c>
      <c r="N22">
        <v>8.563879</v>
      </c>
      <c r="O22">
        <v>7.9911260000000004</v>
      </c>
      <c r="P22">
        <v>7.7062759999999999</v>
      </c>
      <c r="Q22">
        <v>7.5855490000000003</v>
      </c>
      <c r="R22">
        <v>7.577725</v>
      </c>
      <c r="S22">
        <v>7.6397279999999999</v>
      </c>
      <c r="T22">
        <v>7.7614070000000002</v>
      </c>
      <c r="U22">
        <v>7.9287460000000003</v>
      </c>
      <c r="V22">
        <v>7.9740909999999996</v>
      </c>
      <c r="W22">
        <v>8.0476150000000004</v>
      </c>
      <c r="X22">
        <v>8.1398639999999993</v>
      </c>
      <c r="Y22">
        <v>8.2595290000000006</v>
      </c>
      <c r="Z22">
        <v>8.3617840000000001</v>
      </c>
      <c r="AA22">
        <v>8.4713049999999992</v>
      </c>
      <c r="AB22">
        <v>8.5565529999999992</v>
      </c>
      <c r="AC22">
        <v>8.6206870000000002</v>
      </c>
      <c r="AD22">
        <v>8.6789050000000003</v>
      </c>
      <c r="AE22">
        <v>8.7322120000000005</v>
      </c>
      <c r="AF22">
        <v>8.8282769999999999</v>
      </c>
      <c r="AG22" s="20">
        <v>-1.0999999999999999E-2</v>
      </c>
    </row>
    <row r="23" spans="1:33">
      <c r="A23" t="s">
        <v>695</v>
      </c>
      <c r="B23" t="s">
        <v>1754</v>
      </c>
      <c r="C23" t="s">
        <v>1753</v>
      </c>
      <c r="D23" t="s">
        <v>202</v>
      </c>
      <c r="F23">
        <v>70.611594999999994</v>
      </c>
      <c r="G23">
        <v>89.524704</v>
      </c>
      <c r="H23">
        <v>108.11518100000001</v>
      </c>
      <c r="I23">
        <v>128.680252</v>
      </c>
      <c r="J23">
        <v>142.52853400000001</v>
      </c>
      <c r="K23">
        <v>151.677277</v>
      </c>
      <c r="L23">
        <v>165.152344</v>
      </c>
      <c r="M23">
        <v>179.082199</v>
      </c>
      <c r="N23">
        <v>235.65670800000001</v>
      </c>
      <c r="O23">
        <v>287.33294699999999</v>
      </c>
      <c r="P23">
        <v>334.09530599999999</v>
      </c>
      <c r="Q23">
        <v>392.77569599999998</v>
      </c>
      <c r="R23">
        <v>437.339966</v>
      </c>
      <c r="S23">
        <v>473.97659299999998</v>
      </c>
      <c r="T23">
        <v>507.04260299999999</v>
      </c>
      <c r="U23">
        <v>555.18975799999998</v>
      </c>
      <c r="V23">
        <v>592.68933100000004</v>
      </c>
      <c r="W23">
        <v>622.91485599999999</v>
      </c>
      <c r="X23">
        <v>647.55517599999996</v>
      </c>
      <c r="Y23">
        <v>671.56579599999998</v>
      </c>
      <c r="Z23">
        <v>692.02984600000002</v>
      </c>
      <c r="AA23">
        <v>712.49700900000005</v>
      </c>
      <c r="AB23">
        <v>728.66308600000002</v>
      </c>
      <c r="AC23">
        <v>741.73767099999998</v>
      </c>
      <c r="AD23">
        <v>753.25073199999997</v>
      </c>
      <c r="AE23">
        <v>763.21765100000005</v>
      </c>
      <c r="AF23">
        <v>776.83136000000002</v>
      </c>
      <c r="AG23" s="20">
        <v>9.7000000000000003E-2</v>
      </c>
    </row>
    <row r="24" spans="1:33">
      <c r="A24" t="s">
        <v>694</v>
      </c>
      <c r="B24" t="s">
        <v>1752</v>
      </c>
      <c r="C24" t="s">
        <v>1751</v>
      </c>
      <c r="D24" t="s">
        <v>202</v>
      </c>
      <c r="F24">
        <v>278.55419899999998</v>
      </c>
      <c r="G24">
        <v>365.30419899999998</v>
      </c>
      <c r="H24">
        <v>506.17468300000002</v>
      </c>
      <c r="I24">
        <v>651.42443800000001</v>
      </c>
      <c r="J24">
        <v>761.15637200000003</v>
      </c>
      <c r="K24">
        <v>835.74780299999998</v>
      </c>
      <c r="L24">
        <v>906.38159199999996</v>
      </c>
      <c r="M24">
        <v>966.11364700000001</v>
      </c>
      <c r="N24">
        <v>1013.405945</v>
      </c>
      <c r="O24">
        <v>1021.955872</v>
      </c>
      <c r="P24">
        <v>1053.6198730000001</v>
      </c>
      <c r="Q24">
        <v>1086.2642820000001</v>
      </c>
      <c r="R24">
        <v>1118.510254</v>
      </c>
      <c r="S24">
        <v>1148.368774</v>
      </c>
      <c r="T24">
        <v>1176.9157709999999</v>
      </c>
      <c r="U24">
        <v>1200.628418</v>
      </c>
      <c r="V24">
        <v>1230.482422</v>
      </c>
      <c r="W24">
        <v>1251.8945309999999</v>
      </c>
      <c r="X24">
        <v>1267.2229</v>
      </c>
      <c r="Y24">
        <v>1277.7420649999999</v>
      </c>
      <c r="Z24">
        <v>1286.095947</v>
      </c>
      <c r="AA24">
        <v>1292.9970699999999</v>
      </c>
      <c r="AB24">
        <v>1297.8759769999999</v>
      </c>
      <c r="AC24">
        <v>1300.224976</v>
      </c>
      <c r="AD24">
        <v>1299.7360839999999</v>
      </c>
      <c r="AE24">
        <v>1298.2346190000001</v>
      </c>
      <c r="AF24">
        <v>1298.173828</v>
      </c>
      <c r="AG24" s="20">
        <v>6.0999999999999999E-2</v>
      </c>
    </row>
    <row r="25" spans="1:33">
      <c r="A25" t="s">
        <v>693</v>
      </c>
      <c r="B25" t="s">
        <v>1750</v>
      </c>
      <c r="C25" t="s">
        <v>1749</v>
      </c>
      <c r="D25" t="s">
        <v>202</v>
      </c>
      <c r="F25">
        <v>24.319165999999999</v>
      </c>
      <c r="G25">
        <v>28.024124</v>
      </c>
      <c r="H25">
        <v>31.654152</v>
      </c>
      <c r="I25">
        <v>35.126587000000001</v>
      </c>
      <c r="J25">
        <v>37.782134999999997</v>
      </c>
      <c r="K25">
        <v>38.713366999999998</v>
      </c>
      <c r="L25">
        <v>39.330399</v>
      </c>
      <c r="M25">
        <v>39.821682000000003</v>
      </c>
      <c r="N25">
        <v>39.222110999999998</v>
      </c>
      <c r="O25">
        <v>37.875874000000003</v>
      </c>
      <c r="P25">
        <v>37.592007000000002</v>
      </c>
      <c r="Q25">
        <v>37.293441999999999</v>
      </c>
      <c r="R25">
        <v>37.181023000000003</v>
      </c>
      <c r="S25">
        <v>37.163882999999998</v>
      </c>
      <c r="T25">
        <v>37.256144999999997</v>
      </c>
      <c r="U25">
        <v>37.154494999999997</v>
      </c>
      <c r="V25">
        <v>37.032181000000001</v>
      </c>
      <c r="W25">
        <v>36.916473000000003</v>
      </c>
      <c r="X25">
        <v>36.799956999999999</v>
      </c>
      <c r="Y25">
        <v>36.725025000000002</v>
      </c>
      <c r="Z25">
        <v>36.564059999999998</v>
      </c>
      <c r="AA25">
        <v>36.438701999999999</v>
      </c>
      <c r="AB25">
        <v>36.224212999999999</v>
      </c>
      <c r="AC25">
        <v>35.973830999999997</v>
      </c>
      <c r="AD25">
        <v>35.735878</v>
      </c>
      <c r="AE25">
        <v>35.502071000000001</v>
      </c>
      <c r="AF25">
        <v>35.428936</v>
      </c>
      <c r="AG25" s="20">
        <v>1.4999999999999999E-2</v>
      </c>
    </row>
    <row r="26" spans="1:33">
      <c r="A26" t="s">
        <v>692</v>
      </c>
      <c r="B26" t="s">
        <v>1748</v>
      </c>
      <c r="C26" t="s">
        <v>1747</v>
      </c>
      <c r="D26" t="s">
        <v>202</v>
      </c>
      <c r="F26">
        <v>16.713234</v>
      </c>
      <c r="G26">
        <v>19.646000000000001</v>
      </c>
      <c r="H26">
        <v>27.472750000000001</v>
      </c>
      <c r="I26">
        <v>34.305477000000003</v>
      </c>
      <c r="J26">
        <v>39.878402999999999</v>
      </c>
      <c r="K26">
        <v>43.144492999999997</v>
      </c>
      <c r="L26">
        <v>45.670814999999997</v>
      </c>
      <c r="M26">
        <v>47.934826000000001</v>
      </c>
      <c r="N26">
        <v>47.271560999999998</v>
      </c>
      <c r="O26">
        <v>44.810276000000002</v>
      </c>
      <c r="P26">
        <v>44.349277000000001</v>
      </c>
      <c r="Q26">
        <v>43.442248999999997</v>
      </c>
      <c r="R26">
        <v>43.141379999999998</v>
      </c>
      <c r="S26">
        <v>43.079932999999997</v>
      </c>
      <c r="T26">
        <v>43.204563</v>
      </c>
      <c r="U26">
        <v>42.328564</v>
      </c>
      <c r="V26">
        <v>41.575184</v>
      </c>
      <c r="W26">
        <v>40.920043999999997</v>
      </c>
      <c r="X26">
        <v>40.343662000000002</v>
      </c>
      <c r="Y26">
        <v>39.810692000000003</v>
      </c>
      <c r="Z26">
        <v>39.193900999999997</v>
      </c>
      <c r="AA26">
        <v>38.606316</v>
      </c>
      <c r="AB26">
        <v>37.957912</v>
      </c>
      <c r="AC26">
        <v>37.301848999999997</v>
      </c>
      <c r="AD26">
        <v>36.676651</v>
      </c>
      <c r="AE26">
        <v>36.085971999999998</v>
      </c>
      <c r="AF26">
        <v>35.664669000000004</v>
      </c>
      <c r="AG26" s="20">
        <v>0.03</v>
      </c>
    </row>
    <row r="27" spans="1:33">
      <c r="A27" t="s">
        <v>186</v>
      </c>
      <c r="B27" t="s">
        <v>1746</v>
      </c>
      <c r="C27" t="s">
        <v>1745</v>
      </c>
      <c r="D27" t="s">
        <v>202</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t="s">
        <v>15</v>
      </c>
    </row>
    <row r="28" spans="1:33">
      <c r="A28" t="s">
        <v>187</v>
      </c>
      <c r="B28" t="s">
        <v>1744</v>
      </c>
      <c r="C28" t="s">
        <v>1743</v>
      </c>
      <c r="D28" t="s">
        <v>202</v>
      </c>
      <c r="F28">
        <v>274.11764499999998</v>
      </c>
      <c r="G28">
        <v>308.045074</v>
      </c>
      <c r="H28">
        <v>323.019226</v>
      </c>
      <c r="I28">
        <v>335.71899400000001</v>
      </c>
      <c r="J28">
        <v>337.895355</v>
      </c>
      <c r="K28">
        <v>341.75335699999999</v>
      </c>
      <c r="L28">
        <v>345.65527300000002</v>
      </c>
      <c r="M28">
        <v>349.70907599999998</v>
      </c>
      <c r="N28">
        <v>346.89227299999999</v>
      </c>
      <c r="O28">
        <v>349.15042099999999</v>
      </c>
      <c r="P28">
        <v>355.91909800000002</v>
      </c>
      <c r="Q28">
        <v>358.722961</v>
      </c>
      <c r="R28">
        <v>360.87072799999999</v>
      </c>
      <c r="S28">
        <v>363.92602499999998</v>
      </c>
      <c r="T28">
        <v>368.21139499999998</v>
      </c>
      <c r="U28">
        <v>371.38156099999998</v>
      </c>
      <c r="V28">
        <v>372.19873000000001</v>
      </c>
      <c r="W28">
        <v>373.74975599999999</v>
      </c>
      <c r="X28">
        <v>376.01159699999999</v>
      </c>
      <c r="Y28">
        <v>378.73046900000003</v>
      </c>
      <c r="Z28">
        <v>381.48400900000001</v>
      </c>
      <c r="AA28">
        <v>384.61077899999998</v>
      </c>
      <c r="AB28">
        <v>387.44223</v>
      </c>
      <c r="AC28">
        <v>389.94586199999998</v>
      </c>
      <c r="AD28">
        <v>392.03338600000001</v>
      </c>
      <c r="AE28">
        <v>394.14669800000001</v>
      </c>
      <c r="AF28">
        <v>397.24316399999998</v>
      </c>
      <c r="AG28" s="20">
        <v>1.4E-2</v>
      </c>
    </row>
    <row r="29" spans="1:33">
      <c r="A29" t="s">
        <v>188</v>
      </c>
      <c r="B29" t="s">
        <v>1742</v>
      </c>
      <c r="C29" t="s">
        <v>1741</v>
      </c>
      <c r="D29" t="s">
        <v>202</v>
      </c>
      <c r="F29">
        <v>9.9655229999999992</v>
      </c>
      <c r="G29">
        <v>9.0828399999999991</v>
      </c>
      <c r="H29">
        <v>8.2020130000000009</v>
      </c>
      <c r="I29">
        <v>7.3214189999999997</v>
      </c>
      <c r="J29">
        <v>6.466685</v>
      </c>
      <c r="K29">
        <v>5.6556509999999998</v>
      </c>
      <c r="L29">
        <v>4.984686</v>
      </c>
      <c r="M29">
        <v>4.3517099999999997</v>
      </c>
      <c r="N29">
        <v>3.793523</v>
      </c>
      <c r="O29">
        <v>3.3131689999999998</v>
      </c>
      <c r="P29">
        <v>2.91656</v>
      </c>
      <c r="Q29">
        <v>2.58629</v>
      </c>
      <c r="R29">
        <v>2.3151820000000001</v>
      </c>
      <c r="S29">
        <v>2.1367910000000001</v>
      </c>
      <c r="T29">
        <v>1.984197</v>
      </c>
      <c r="U29">
        <v>1.8572599999999999</v>
      </c>
      <c r="V29">
        <v>1.7442409999999999</v>
      </c>
      <c r="W29">
        <v>1.6380980000000001</v>
      </c>
      <c r="X29">
        <v>1.5384150000000001</v>
      </c>
      <c r="Y29">
        <v>1.444798</v>
      </c>
      <c r="Z29">
        <v>1.356878</v>
      </c>
      <c r="AA29">
        <v>1.2743070000000001</v>
      </c>
      <c r="AB29">
        <v>1.1967620000000001</v>
      </c>
      <c r="AC29">
        <v>1.123936</v>
      </c>
      <c r="AD29">
        <v>1.0555410000000001</v>
      </c>
      <c r="AE29">
        <v>0.99130799999999997</v>
      </c>
      <c r="AF29">
        <v>0.93098400000000003</v>
      </c>
      <c r="AG29" s="20">
        <v>-8.6999999999999994E-2</v>
      </c>
    </row>
    <row r="30" spans="1:33">
      <c r="A30" t="s">
        <v>189</v>
      </c>
      <c r="B30" t="s">
        <v>1740</v>
      </c>
      <c r="C30" t="s">
        <v>1739</v>
      </c>
      <c r="D30" t="s">
        <v>202</v>
      </c>
      <c r="F30">
        <v>0.23644499999999999</v>
      </c>
      <c r="G30">
        <v>0.222056</v>
      </c>
      <c r="H30">
        <v>0.20854400000000001</v>
      </c>
      <c r="I30">
        <v>0.195853</v>
      </c>
      <c r="J30">
        <v>0.18393499999999999</v>
      </c>
      <c r="K30">
        <v>0.17274200000000001</v>
      </c>
      <c r="L30">
        <v>0.16223000000000001</v>
      </c>
      <c r="M30">
        <v>0.15235799999999999</v>
      </c>
      <c r="N30">
        <v>0.14308599999999999</v>
      </c>
      <c r="O30">
        <v>0.134379</v>
      </c>
      <c r="P30">
        <v>0.12620200000000001</v>
      </c>
      <c r="Q30">
        <v>0.118522</v>
      </c>
      <c r="R30">
        <v>0.11131000000000001</v>
      </c>
      <c r="S30">
        <v>0.104536</v>
      </c>
      <c r="T30">
        <v>9.8174999999999998E-2</v>
      </c>
      <c r="U30">
        <v>9.2201000000000005E-2</v>
      </c>
      <c r="V30">
        <v>8.659E-2</v>
      </c>
      <c r="W30">
        <v>8.1321000000000004E-2</v>
      </c>
      <c r="X30">
        <v>7.6371999999999995E-2</v>
      </c>
      <c r="Y30">
        <v>7.1724999999999997E-2</v>
      </c>
      <c r="Z30">
        <v>6.7360000000000003E-2</v>
      </c>
      <c r="AA30">
        <v>6.3260999999999998E-2</v>
      </c>
      <c r="AB30">
        <v>5.9410999999999999E-2</v>
      </c>
      <c r="AC30">
        <v>5.5795999999999998E-2</v>
      </c>
      <c r="AD30">
        <v>5.2400000000000002E-2</v>
      </c>
      <c r="AE30">
        <v>4.9211999999999999E-2</v>
      </c>
      <c r="AF30">
        <v>4.6217000000000001E-2</v>
      </c>
      <c r="AG30" s="20">
        <v>-6.0999999999999999E-2</v>
      </c>
    </row>
    <row r="31" spans="1:33">
      <c r="A31" t="s">
        <v>190</v>
      </c>
      <c r="B31" t="s">
        <v>1738</v>
      </c>
      <c r="C31" t="s">
        <v>1737</v>
      </c>
      <c r="D31" t="s">
        <v>202</v>
      </c>
      <c r="F31">
        <v>1.530565</v>
      </c>
      <c r="G31">
        <v>1.330983</v>
      </c>
      <c r="H31">
        <v>1.206502</v>
      </c>
      <c r="I31">
        <v>1.130379</v>
      </c>
      <c r="J31">
        <v>1.0615920000000001</v>
      </c>
      <c r="K31">
        <v>0.99699099999999996</v>
      </c>
      <c r="L31">
        <v>0.93632099999999996</v>
      </c>
      <c r="M31">
        <v>0.87934299999999999</v>
      </c>
      <c r="N31">
        <v>0.82583200000000001</v>
      </c>
      <c r="O31">
        <v>0.77557799999999999</v>
      </c>
      <c r="P31">
        <v>0.72838199999999997</v>
      </c>
      <c r="Q31">
        <v>0.68405800000000005</v>
      </c>
      <c r="R31">
        <v>0.64243099999999997</v>
      </c>
      <c r="S31">
        <v>0.60333700000000001</v>
      </c>
      <c r="T31">
        <v>0.56662199999999996</v>
      </c>
      <c r="U31">
        <v>0.53214099999999998</v>
      </c>
      <c r="V31">
        <v>0.49975900000000001</v>
      </c>
      <c r="W31">
        <v>0.46934700000000001</v>
      </c>
      <c r="X31">
        <v>0.44078600000000001</v>
      </c>
      <c r="Y31">
        <v>0.41396300000000003</v>
      </c>
      <c r="Z31">
        <v>0.38877200000000001</v>
      </c>
      <c r="AA31">
        <v>0.36511399999999999</v>
      </c>
      <c r="AB31">
        <v>0.34289599999999998</v>
      </c>
      <c r="AC31">
        <v>0.32202900000000001</v>
      </c>
      <c r="AD31">
        <v>0.30243300000000001</v>
      </c>
      <c r="AE31">
        <v>0.28402899999999998</v>
      </c>
      <c r="AF31">
        <v>0.26674500000000001</v>
      </c>
      <c r="AG31" s="20">
        <v>-6.5000000000000002E-2</v>
      </c>
    </row>
    <row r="32" spans="1:33">
      <c r="A32" t="s">
        <v>191</v>
      </c>
      <c r="B32" t="s">
        <v>1736</v>
      </c>
      <c r="C32" t="s">
        <v>1735</v>
      </c>
      <c r="D32" t="s">
        <v>202</v>
      </c>
      <c r="F32">
        <v>2.9953539999999998</v>
      </c>
      <c r="G32">
        <v>2.585502</v>
      </c>
      <c r="H32">
        <v>2.3061020000000001</v>
      </c>
      <c r="I32">
        <v>2.1352929999999999</v>
      </c>
      <c r="J32">
        <v>1.990221</v>
      </c>
      <c r="K32">
        <v>1.86911</v>
      </c>
      <c r="L32">
        <v>1.755369</v>
      </c>
      <c r="M32">
        <v>1.64855</v>
      </c>
      <c r="N32">
        <v>1.54823</v>
      </c>
      <c r="O32">
        <v>1.454016</v>
      </c>
      <c r="P32">
        <v>1.3655349999999999</v>
      </c>
      <c r="Q32">
        <v>1.282438</v>
      </c>
      <c r="R32">
        <v>1.2043969999999999</v>
      </c>
      <c r="S32">
        <v>1.1311059999999999</v>
      </c>
      <c r="T32">
        <v>1.0622750000000001</v>
      </c>
      <c r="U32">
        <v>0.99763299999999999</v>
      </c>
      <c r="V32">
        <v>0.93692399999999998</v>
      </c>
      <c r="W32">
        <v>0.87990900000000005</v>
      </c>
      <c r="X32">
        <v>0.82636399999999999</v>
      </c>
      <c r="Y32">
        <v>0.77607700000000002</v>
      </c>
      <c r="Z32">
        <v>0.72885</v>
      </c>
      <c r="AA32">
        <v>0.68449800000000005</v>
      </c>
      <c r="AB32">
        <v>0.64284399999999997</v>
      </c>
      <c r="AC32">
        <v>0.60372499999999996</v>
      </c>
      <c r="AD32">
        <v>0.56698700000000002</v>
      </c>
      <c r="AE32">
        <v>0.53248399999999996</v>
      </c>
      <c r="AF32">
        <v>0.50007999999999997</v>
      </c>
      <c r="AG32" s="20">
        <v>-6.7000000000000004E-2</v>
      </c>
    </row>
    <row r="33" spans="1:33">
      <c r="A33" t="s">
        <v>192</v>
      </c>
      <c r="B33" t="s">
        <v>1734</v>
      </c>
      <c r="C33" t="s">
        <v>1733</v>
      </c>
      <c r="D33" t="s">
        <v>202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15</v>
      </c>
    </row>
    <row r="34" spans="1:33">
      <c r="A34" t="s">
        <v>193</v>
      </c>
      <c r="B34" t="s">
        <v>1732</v>
      </c>
      <c r="C34" t="s">
        <v>1731</v>
      </c>
      <c r="D34" t="s">
        <v>202</v>
      </c>
      <c r="F34">
        <v>0.92445600000000006</v>
      </c>
      <c r="G34">
        <v>0.87777099999999997</v>
      </c>
      <c r="H34">
        <v>0.84600900000000001</v>
      </c>
      <c r="I34">
        <v>0.829878</v>
      </c>
      <c r="J34">
        <v>0.81545699999999999</v>
      </c>
      <c r="K34">
        <v>0.74329699999999999</v>
      </c>
      <c r="L34">
        <v>0.68915199999999999</v>
      </c>
      <c r="M34">
        <v>0.63259600000000005</v>
      </c>
      <c r="N34">
        <v>0.57752199999999998</v>
      </c>
      <c r="O34">
        <v>0.51954</v>
      </c>
      <c r="P34">
        <v>0.46768799999999999</v>
      </c>
      <c r="Q34">
        <v>0.42432799999999998</v>
      </c>
      <c r="R34">
        <v>0.38281500000000002</v>
      </c>
      <c r="S34">
        <v>0.34542499999999998</v>
      </c>
      <c r="T34">
        <v>0.31234699999999999</v>
      </c>
      <c r="U34">
        <v>0.283862</v>
      </c>
      <c r="V34">
        <v>0.26024999999999998</v>
      </c>
      <c r="W34">
        <v>0.241506</v>
      </c>
      <c r="X34">
        <v>0.22672100000000001</v>
      </c>
      <c r="Y34">
        <v>0.215305</v>
      </c>
      <c r="Z34">
        <v>0.205932</v>
      </c>
      <c r="AA34">
        <v>0.198986</v>
      </c>
      <c r="AB34">
        <v>0.19384899999999999</v>
      </c>
      <c r="AC34">
        <v>0.18962799999999999</v>
      </c>
      <c r="AD34">
        <v>0.186557</v>
      </c>
      <c r="AE34">
        <v>0.184422</v>
      </c>
      <c r="AF34">
        <v>0.18473300000000001</v>
      </c>
      <c r="AG34" s="20">
        <v>-0.06</v>
      </c>
    </row>
    <row r="35" spans="1:33">
      <c r="A35" t="s">
        <v>194</v>
      </c>
      <c r="B35" t="s">
        <v>1730</v>
      </c>
      <c r="C35" t="s">
        <v>1729</v>
      </c>
      <c r="D35" t="s">
        <v>202</v>
      </c>
      <c r="F35">
        <v>877.64880400000004</v>
      </c>
      <c r="G35">
        <v>995.76965299999995</v>
      </c>
      <c r="H35">
        <v>1156.0711670000001</v>
      </c>
      <c r="I35">
        <v>1321.6972659999999</v>
      </c>
      <c r="J35">
        <v>1434.8564449999999</v>
      </c>
      <c r="K35">
        <v>1508.434814</v>
      </c>
      <c r="L35">
        <v>1584.2299800000001</v>
      </c>
      <c r="M35">
        <v>1651.8316649999999</v>
      </c>
      <c r="N35">
        <v>1741.1104740000001</v>
      </c>
      <c r="O35">
        <v>1791.1733400000001</v>
      </c>
      <c r="P35">
        <v>1869.014404</v>
      </c>
      <c r="Q35">
        <v>1956.929932</v>
      </c>
      <c r="R35">
        <v>2031.770264</v>
      </c>
      <c r="S35">
        <v>2098.4482419999999</v>
      </c>
      <c r="T35">
        <v>2162.40625</v>
      </c>
      <c r="U35">
        <v>2234.813232</v>
      </c>
      <c r="V35">
        <v>2300.6538089999999</v>
      </c>
      <c r="W35">
        <v>2351.8620609999998</v>
      </c>
      <c r="X35">
        <v>2392.3718260000001</v>
      </c>
      <c r="Y35">
        <v>2428.1411130000001</v>
      </c>
      <c r="Z35">
        <v>2458.1535640000002</v>
      </c>
      <c r="AA35">
        <v>2487.2404790000001</v>
      </c>
      <c r="AB35">
        <v>2509.5961910000001</v>
      </c>
      <c r="AC35">
        <v>2525.9938959999999</v>
      </c>
      <c r="AD35">
        <v>2537.6640619999998</v>
      </c>
      <c r="AE35">
        <v>2546.881836</v>
      </c>
      <c r="AF35">
        <v>2562.586182</v>
      </c>
      <c r="AG35" s="20">
        <v>4.2000000000000003E-2</v>
      </c>
    </row>
    <row r="36" spans="1:33">
      <c r="A36" t="s">
        <v>73</v>
      </c>
      <c r="B36" t="s">
        <v>1728</v>
      </c>
      <c r="C36" t="s">
        <v>1727</v>
      </c>
      <c r="D36" t="s">
        <v>202</v>
      </c>
      <c r="F36">
        <v>5968.9960940000001</v>
      </c>
      <c r="G36">
        <v>5834.6596680000002</v>
      </c>
      <c r="H36">
        <v>5707.8486329999996</v>
      </c>
      <c r="I36">
        <v>5561.0522460000002</v>
      </c>
      <c r="J36">
        <v>5381.4990230000003</v>
      </c>
      <c r="K36">
        <v>5226.8364259999998</v>
      </c>
      <c r="L36">
        <v>5103.0888670000004</v>
      </c>
      <c r="M36">
        <v>4984.2924800000001</v>
      </c>
      <c r="N36">
        <v>4872.9521480000003</v>
      </c>
      <c r="O36">
        <v>4773.7099609999996</v>
      </c>
      <c r="P36">
        <v>4733.6450199999999</v>
      </c>
      <c r="Q36">
        <v>4688.8828119999998</v>
      </c>
      <c r="R36">
        <v>4637.4931640000004</v>
      </c>
      <c r="S36">
        <v>4592.8701170000004</v>
      </c>
      <c r="T36">
        <v>4560.984375</v>
      </c>
      <c r="U36">
        <v>4539.1669920000004</v>
      </c>
      <c r="V36">
        <v>4511.5996089999999</v>
      </c>
      <c r="W36">
        <v>4479.7958980000003</v>
      </c>
      <c r="X36">
        <v>4446.857422</v>
      </c>
      <c r="Y36">
        <v>4416.7426759999998</v>
      </c>
      <c r="Z36">
        <v>4385.7280270000001</v>
      </c>
      <c r="AA36">
        <v>4359.7919920000004</v>
      </c>
      <c r="AB36">
        <v>4329.5219729999999</v>
      </c>
      <c r="AC36">
        <v>4295.9682620000003</v>
      </c>
      <c r="AD36">
        <v>4259.7856449999999</v>
      </c>
      <c r="AE36">
        <v>4224.0307620000003</v>
      </c>
      <c r="AF36">
        <v>4200.3164059999999</v>
      </c>
      <c r="AG36" s="20">
        <v>-1.2999999999999999E-2</v>
      </c>
    </row>
    <row r="37" spans="1:33">
      <c r="A37" t="s">
        <v>195</v>
      </c>
    </row>
    <row r="38" spans="1:33">
      <c r="A38" t="s">
        <v>196</v>
      </c>
    </row>
    <row r="39" spans="1:33">
      <c r="A39" t="s">
        <v>181</v>
      </c>
      <c r="B39" t="s">
        <v>1726</v>
      </c>
      <c r="C39" t="s">
        <v>1725</v>
      </c>
      <c r="D39" t="s">
        <v>202</v>
      </c>
      <c r="F39">
        <v>8923.6708980000003</v>
      </c>
      <c r="G39">
        <v>8934.9296880000002</v>
      </c>
      <c r="H39">
        <v>8996.3759769999997</v>
      </c>
      <c r="I39">
        <v>9034.2822269999997</v>
      </c>
      <c r="J39">
        <v>9016.0234380000002</v>
      </c>
      <c r="K39">
        <v>8998.5683590000008</v>
      </c>
      <c r="L39">
        <v>8953.484375</v>
      </c>
      <c r="M39">
        <v>8875.3603519999997</v>
      </c>
      <c r="N39">
        <v>8791.2802730000003</v>
      </c>
      <c r="O39">
        <v>8767.2148440000001</v>
      </c>
      <c r="P39">
        <v>8699.2333980000003</v>
      </c>
      <c r="Q39">
        <v>8619.7167969999991</v>
      </c>
      <c r="R39">
        <v>8527.5742190000001</v>
      </c>
      <c r="S39">
        <v>8429.8212889999995</v>
      </c>
      <c r="T39">
        <v>8330.1591800000006</v>
      </c>
      <c r="U39">
        <v>8231.0175780000009</v>
      </c>
      <c r="V39">
        <v>8138.2236329999996</v>
      </c>
      <c r="W39">
        <v>8043.1137699999999</v>
      </c>
      <c r="X39">
        <v>7947.3481449999999</v>
      </c>
      <c r="Y39">
        <v>7847.076172</v>
      </c>
      <c r="Z39">
        <v>7751.6323240000002</v>
      </c>
      <c r="AA39">
        <v>7657.0732420000004</v>
      </c>
      <c r="AB39">
        <v>7565.3295900000003</v>
      </c>
      <c r="AC39">
        <v>7477.5024409999996</v>
      </c>
      <c r="AD39">
        <v>7385.466797</v>
      </c>
      <c r="AE39">
        <v>7292.4482420000004</v>
      </c>
      <c r="AF39">
        <v>7192.4799800000001</v>
      </c>
      <c r="AG39" s="20">
        <v>-8.0000000000000002E-3</v>
      </c>
    </row>
    <row r="40" spans="1:33">
      <c r="A40" t="s">
        <v>182</v>
      </c>
      <c r="B40" t="s">
        <v>1724</v>
      </c>
      <c r="C40" t="s">
        <v>1723</v>
      </c>
      <c r="D40" t="s">
        <v>202</v>
      </c>
      <c r="F40">
        <v>137.90730300000001</v>
      </c>
      <c r="G40">
        <v>169.558716</v>
      </c>
      <c r="H40">
        <v>195.61637899999999</v>
      </c>
      <c r="I40">
        <v>215.700165</v>
      </c>
      <c r="J40">
        <v>232.51667800000001</v>
      </c>
      <c r="K40">
        <v>248.90654000000001</v>
      </c>
      <c r="L40">
        <v>252.898788</v>
      </c>
      <c r="M40">
        <v>256.48461900000001</v>
      </c>
      <c r="N40">
        <v>259.75921599999998</v>
      </c>
      <c r="O40">
        <v>265.14529399999998</v>
      </c>
      <c r="P40">
        <v>269.12326000000002</v>
      </c>
      <c r="Q40">
        <v>272.22946200000001</v>
      </c>
      <c r="R40">
        <v>274.67004400000002</v>
      </c>
      <c r="S40">
        <v>275.89349399999998</v>
      </c>
      <c r="T40">
        <v>276.39572099999998</v>
      </c>
      <c r="U40">
        <v>276.40319799999997</v>
      </c>
      <c r="V40">
        <v>276.028595</v>
      </c>
      <c r="W40">
        <v>275.10641500000003</v>
      </c>
      <c r="X40">
        <v>273.64254799999998</v>
      </c>
      <c r="Y40">
        <v>271.65329000000003</v>
      </c>
      <c r="Z40">
        <v>269.47427399999998</v>
      </c>
      <c r="AA40">
        <v>267.15741000000003</v>
      </c>
      <c r="AB40">
        <v>264.77932700000002</v>
      </c>
      <c r="AC40">
        <v>262.48089599999997</v>
      </c>
      <c r="AD40">
        <v>260.10845899999998</v>
      </c>
      <c r="AE40">
        <v>257.75994900000001</v>
      </c>
      <c r="AF40">
        <v>255.434586</v>
      </c>
      <c r="AG40" s="20">
        <v>2.4E-2</v>
      </c>
    </row>
    <row r="41" spans="1:33">
      <c r="A41" t="s">
        <v>197</v>
      </c>
      <c r="B41" t="s">
        <v>1722</v>
      </c>
      <c r="C41" t="s">
        <v>1721</v>
      </c>
      <c r="D41" t="s">
        <v>202</v>
      </c>
      <c r="F41">
        <v>9061.578125</v>
      </c>
      <c r="G41">
        <v>9104.4882809999999</v>
      </c>
      <c r="H41">
        <v>9191.9921880000002</v>
      </c>
      <c r="I41">
        <v>9249.9824219999991</v>
      </c>
      <c r="J41">
        <v>9248.5400389999995</v>
      </c>
      <c r="K41">
        <v>9247.4746090000008</v>
      </c>
      <c r="L41">
        <v>9206.3828119999998</v>
      </c>
      <c r="M41">
        <v>9131.8447269999997</v>
      </c>
      <c r="N41">
        <v>9051.0390619999998</v>
      </c>
      <c r="O41">
        <v>9032.3603519999997</v>
      </c>
      <c r="P41">
        <v>8968.3564449999994</v>
      </c>
      <c r="Q41">
        <v>8891.9462889999995</v>
      </c>
      <c r="R41">
        <v>8802.2441409999992</v>
      </c>
      <c r="S41">
        <v>8705.7148440000001</v>
      </c>
      <c r="T41">
        <v>8606.5546880000002</v>
      </c>
      <c r="U41">
        <v>8507.4208980000003</v>
      </c>
      <c r="V41">
        <v>8414.2519530000009</v>
      </c>
      <c r="W41">
        <v>8318.2197269999997</v>
      </c>
      <c r="X41">
        <v>8220.9902340000008</v>
      </c>
      <c r="Y41">
        <v>8118.7294920000004</v>
      </c>
      <c r="Z41">
        <v>8021.1064450000003</v>
      </c>
      <c r="AA41">
        <v>7924.2304690000001</v>
      </c>
      <c r="AB41">
        <v>7830.1088870000003</v>
      </c>
      <c r="AC41">
        <v>7739.9833980000003</v>
      </c>
      <c r="AD41">
        <v>7645.5751950000003</v>
      </c>
      <c r="AE41">
        <v>7550.2080079999996</v>
      </c>
      <c r="AF41">
        <v>7447.9145509999998</v>
      </c>
      <c r="AG41" s="20">
        <v>-8.0000000000000002E-3</v>
      </c>
    </row>
    <row r="42" spans="1:33">
      <c r="A42" t="s">
        <v>198</v>
      </c>
    </row>
    <row r="43" spans="1:33">
      <c r="A43" t="s">
        <v>185</v>
      </c>
      <c r="B43" t="s">
        <v>1720</v>
      </c>
      <c r="C43" t="s">
        <v>1719</v>
      </c>
      <c r="D43" t="s">
        <v>202</v>
      </c>
      <c r="F43">
        <v>1155.04126</v>
      </c>
      <c r="G43">
        <v>1046.2299800000001</v>
      </c>
      <c r="H43">
        <v>969.38226299999997</v>
      </c>
      <c r="I43">
        <v>895.04504399999996</v>
      </c>
      <c r="J43">
        <v>825.72241199999996</v>
      </c>
      <c r="K43">
        <v>761.86456299999998</v>
      </c>
      <c r="L43">
        <v>689.284851</v>
      </c>
      <c r="M43">
        <v>624.50824</v>
      </c>
      <c r="N43">
        <v>567.14739999999995</v>
      </c>
      <c r="O43">
        <v>519.63403300000004</v>
      </c>
      <c r="P43">
        <v>477.88128699999999</v>
      </c>
      <c r="Q43">
        <v>441.70361300000002</v>
      </c>
      <c r="R43">
        <v>410.44512900000001</v>
      </c>
      <c r="S43">
        <v>383.56692500000003</v>
      </c>
      <c r="T43">
        <v>360.60861199999999</v>
      </c>
      <c r="U43">
        <v>340.47805799999998</v>
      </c>
      <c r="V43">
        <v>322.67721599999999</v>
      </c>
      <c r="W43">
        <v>306.82074</v>
      </c>
      <c r="X43">
        <v>292.656677</v>
      </c>
      <c r="Y43">
        <v>279.93524200000002</v>
      </c>
      <c r="Z43">
        <v>268.63595600000002</v>
      </c>
      <c r="AA43">
        <v>258.403076</v>
      </c>
      <c r="AB43">
        <v>249.22020000000001</v>
      </c>
      <c r="AC43">
        <v>241.054306</v>
      </c>
      <c r="AD43">
        <v>233.569885</v>
      </c>
      <c r="AE43">
        <v>226.67430100000001</v>
      </c>
      <c r="AF43">
        <v>220.02392599999999</v>
      </c>
      <c r="AG43" s="20">
        <v>-6.2E-2</v>
      </c>
    </row>
    <row r="44" spans="1:33">
      <c r="A44" t="s">
        <v>696</v>
      </c>
      <c r="B44" t="s">
        <v>1718</v>
      </c>
      <c r="C44" t="s">
        <v>1717</v>
      </c>
      <c r="D44" t="s">
        <v>202</v>
      </c>
      <c r="F44">
        <v>0.304786</v>
      </c>
      <c r="G44">
        <v>0.26952100000000001</v>
      </c>
      <c r="H44">
        <v>0.24009</v>
      </c>
      <c r="I44">
        <v>0.21415899999999999</v>
      </c>
      <c r="J44">
        <v>0.19064700000000001</v>
      </c>
      <c r="K44">
        <v>0.169484</v>
      </c>
      <c r="L44">
        <v>0.15060999999999999</v>
      </c>
      <c r="M44">
        <v>0.13395099999999999</v>
      </c>
      <c r="N44">
        <v>0.11940099999999999</v>
      </c>
      <c r="O44">
        <v>0.106739</v>
      </c>
      <c r="P44">
        <v>9.5671999999999993E-2</v>
      </c>
      <c r="Q44">
        <v>8.6231000000000002E-2</v>
      </c>
      <c r="R44">
        <v>7.8274999999999997E-2</v>
      </c>
      <c r="S44">
        <v>7.1275000000000005E-2</v>
      </c>
      <c r="T44">
        <v>6.4934000000000006E-2</v>
      </c>
      <c r="U44">
        <v>5.9186999999999997E-2</v>
      </c>
      <c r="V44">
        <v>5.3976000000000003E-2</v>
      </c>
      <c r="W44">
        <v>4.9249000000000001E-2</v>
      </c>
      <c r="X44">
        <v>4.4957999999999998E-2</v>
      </c>
      <c r="Y44">
        <v>4.1061E-2</v>
      </c>
      <c r="Z44">
        <v>3.7520999999999999E-2</v>
      </c>
      <c r="AA44">
        <v>3.4303E-2</v>
      </c>
      <c r="AB44">
        <v>3.1376000000000001E-2</v>
      </c>
      <c r="AC44">
        <v>2.8712000000000001E-2</v>
      </c>
      <c r="AD44">
        <v>2.6287000000000001E-2</v>
      </c>
      <c r="AE44">
        <v>2.4077999999999999E-2</v>
      </c>
      <c r="AF44">
        <v>2.2065000000000001E-2</v>
      </c>
      <c r="AG44" s="20">
        <v>-9.6000000000000002E-2</v>
      </c>
    </row>
    <row r="45" spans="1:33">
      <c r="A45" t="s">
        <v>695</v>
      </c>
      <c r="B45" t="s">
        <v>1716</v>
      </c>
      <c r="C45" t="s">
        <v>1715</v>
      </c>
      <c r="D45" t="s">
        <v>202</v>
      </c>
      <c r="F45">
        <v>29.193622999999999</v>
      </c>
      <c r="G45">
        <v>46.883118000000003</v>
      </c>
      <c r="H45">
        <v>72.163596999999996</v>
      </c>
      <c r="I45">
        <v>105.34955600000001</v>
      </c>
      <c r="J45">
        <v>137.55737300000001</v>
      </c>
      <c r="K45">
        <v>161.12240600000001</v>
      </c>
      <c r="L45">
        <v>164.73718299999999</v>
      </c>
      <c r="M45">
        <v>171.40036000000001</v>
      </c>
      <c r="N45">
        <v>181.326065</v>
      </c>
      <c r="O45">
        <v>183.96523999999999</v>
      </c>
      <c r="P45">
        <v>189.50070199999999</v>
      </c>
      <c r="Q45">
        <v>197.57170099999999</v>
      </c>
      <c r="R45">
        <v>207.47743199999999</v>
      </c>
      <c r="S45">
        <v>218.45459</v>
      </c>
      <c r="T45">
        <v>230.42562899999999</v>
      </c>
      <c r="U45">
        <v>243.47865300000001</v>
      </c>
      <c r="V45">
        <v>256.976471</v>
      </c>
      <c r="W45">
        <v>270.49215700000002</v>
      </c>
      <c r="X45">
        <v>283.80999800000001</v>
      </c>
      <c r="Y45">
        <v>297.20404100000002</v>
      </c>
      <c r="Z45">
        <v>310.42214999999999</v>
      </c>
      <c r="AA45">
        <v>323.80087300000002</v>
      </c>
      <c r="AB45">
        <v>336.92816199999999</v>
      </c>
      <c r="AC45">
        <v>349.70022599999999</v>
      </c>
      <c r="AD45">
        <v>362.153931</v>
      </c>
      <c r="AE45">
        <v>374.337402</v>
      </c>
      <c r="AF45">
        <v>387.13504</v>
      </c>
      <c r="AG45" s="20">
        <v>0.105</v>
      </c>
    </row>
    <row r="46" spans="1:33">
      <c r="A46" t="s">
        <v>694</v>
      </c>
      <c r="B46" t="s">
        <v>1714</v>
      </c>
      <c r="C46" t="s">
        <v>1713</v>
      </c>
      <c r="D46" t="s">
        <v>202</v>
      </c>
      <c r="F46">
        <v>55.996479000000001</v>
      </c>
      <c r="G46">
        <v>101.541</v>
      </c>
      <c r="H46">
        <v>164.25482199999999</v>
      </c>
      <c r="I46">
        <v>242.84007299999999</v>
      </c>
      <c r="J46">
        <v>323.41137700000002</v>
      </c>
      <c r="K46">
        <v>390.88372800000002</v>
      </c>
      <c r="L46">
        <v>434.73364299999997</v>
      </c>
      <c r="M46">
        <v>480.23126200000002</v>
      </c>
      <c r="N46">
        <v>529.794128</v>
      </c>
      <c r="O46">
        <v>557.75793499999997</v>
      </c>
      <c r="P46">
        <v>590.23730499999999</v>
      </c>
      <c r="Q46">
        <v>627.13812299999995</v>
      </c>
      <c r="R46">
        <v>666.81011999999998</v>
      </c>
      <c r="S46">
        <v>707.13928199999998</v>
      </c>
      <c r="T46">
        <v>747.65612799999997</v>
      </c>
      <c r="U46">
        <v>788.294983</v>
      </c>
      <c r="V46">
        <v>827.68963599999995</v>
      </c>
      <c r="W46">
        <v>864.985229</v>
      </c>
      <c r="X46">
        <v>899.77923599999997</v>
      </c>
      <c r="Y46">
        <v>932.42382799999996</v>
      </c>
      <c r="Z46">
        <v>962.87609899999995</v>
      </c>
      <c r="AA46">
        <v>991.71551499999998</v>
      </c>
      <c r="AB46">
        <v>1018.316833</v>
      </c>
      <c r="AC46">
        <v>1042.7836910000001</v>
      </c>
      <c r="AD46">
        <v>1065.0063479999999</v>
      </c>
      <c r="AE46">
        <v>1085.4464109999999</v>
      </c>
      <c r="AF46">
        <v>1105.575928</v>
      </c>
      <c r="AG46" s="20">
        <v>0.122</v>
      </c>
    </row>
    <row r="47" spans="1:33">
      <c r="A47" t="s">
        <v>693</v>
      </c>
      <c r="B47" t="s">
        <v>1712</v>
      </c>
      <c r="C47" t="s">
        <v>1711</v>
      </c>
      <c r="D47" t="s">
        <v>202</v>
      </c>
      <c r="F47">
        <v>97.912818999999999</v>
      </c>
      <c r="G47">
        <v>134.01071200000001</v>
      </c>
      <c r="H47">
        <v>177.149429</v>
      </c>
      <c r="I47">
        <v>219.80748</v>
      </c>
      <c r="J47">
        <v>256.24221799999998</v>
      </c>
      <c r="K47">
        <v>276.30212399999999</v>
      </c>
      <c r="L47">
        <v>301.77990699999998</v>
      </c>
      <c r="M47">
        <v>325.33950800000002</v>
      </c>
      <c r="N47">
        <v>348.625</v>
      </c>
      <c r="O47">
        <v>359.59054600000002</v>
      </c>
      <c r="P47">
        <v>374.19546500000001</v>
      </c>
      <c r="Q47">
        <v>392.92120399999999</v>
      </c>
      <c r="R47">
        <v>409.413544</v>
      </c>
      <c r="S47">
        <v>425.30969199999998</v>
      </c>
      <c r="T47">
        <v>440.83248900000001</v>
      </c>
      <c r="U47">
        <v>456.33038299999998</v>
      </c>
      <c r="V47">
        <v>470.58193999999997</v>
      </c>
      <c r="W47">
        <v>483.10613999999998</v>
      </c>
      <c r="X47">
        <v>493.90570100000002</v>
      </c>
      <c r="Y47">
        <v>503.30599999999998</v>
      </c>
      <c r="Z47">
        <v>511.40454099999999</v>
      </c>
      <c r="AA47">
        <v>518.49438499999997</v>
      </c>
      <c r="AB47">
        <v>524.45532200000002</v>
      </c>
      <c r="AC47">
        <v>529.55364999999995</v>
      </c>
      <c r="AD47">
        <v>533.50720200000001</v>
      </c>
      <c r="AE47">
        <v>536.76220699999999</v>
      </c>
      <c r="AF47">
        <v>539.71234100000004</v>
      </c>
      <c r="AG47" s="20">
        <v>6.8000000000000005E-2</v>
      </c>
    </row>
    <row r="48" spans="1:33">
      <c r="A48" t="s">
        <v>692</v>
      </c>
      <c r="B48" t="s">
        <v>1710</v>
      </c>
      <c r="C48" t="s">
        <v>1709</v>
      </c>
      <c r="D48" t="s">
        <v>202</v>
      </c>
      <c r="F48">
        <v>11.816848</v>
      </c>
      <c r="G48">
        <v>50.810218999999996</v>
      </c>
      <c r="H48">
        <v>73.271743999999998</v>
      </c>
      <c r="I48">
        <v>117.075783</v>
      </c>
      <c r="J48">
        <v>153.87335200000001</v>
      </c>
      <c r="K48">
        <v>174.812759</v>
      </c>
      <c r="L48">
        <v>229.112289</v>
      </c>
      <c r="M48">
        <v>276.06066900000002</v>
      </c>
      <c r="N48">
        <v>319.51800500000002</v>
      </c>
      <c r="O48">
        <v>347.213348</v>
      </c>
      <c r="P48">
        <v>376.59454299999999</v>
      </c>
      <c r="Q48">
        <v>409.30499300000002</v>
      </c>
      <c r="R48">
        <v>453.83206200000001</v>
      </c>
      <c r="S48">
        <v>494.26196299999998</v>
      </c>
      <c r="T48">
        <v>531.905396</v>
      </c>
      <c r="U48">
        <v>567.30883800000004</v>
      </c>
      <c r="V48">
        <v>600.24633800000004</v>
      </c>
      <c r="W48">
        <v>630.32580600000006</v>
      </c>
      <c r="X48">
        <v>657.58557099999996</v>
      </c>
      <c r="Y48">
        <v>682.30548099999999</v>
      </c>
      <c r="Z48">
        <v>704.52813700000002</v>
      </c>
      <c r="AA48">
        <v>724.65411400000005</v>
      </c>
      <c r="AB48">
        <v>742.43994099999998</v>
      </c>
      <c r="AC48">
        <v>758.198486</v>
      </c>
      <c r="AD48">
        <v>771.72662400000002</v>
      </c>
      <c r="AE48">
        <v>783.55999799999995</v>
      </c>
      <c r="AF48">
        <v>794.37731900000006</v>
      </c>
      <c r="AG48" s="20">
        <v>0.17599999999999999</v>
      </c>
    </row>
    <row r="49" spans="1:33">
      <c r="A49" t="s">
        <v>186</v>
      </c>
      <c r="B49" t="s">
        <v>1708</v>
      </c>
      <c r="C49" t="s">
        <v>1707</v>
      </c>
      <c r="D49" t="s">
        <v>202</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t="s">
        <v>15</v>
      </c>
    </row>
    <row r="50" spans="1:33">
      <c r="A50" t="s">
        <v>187</v>
      </c>
      <c r="B50" t="s">
        <v>1706</v>
      </c>
      <c r="C50" t="s">
        <v>1705</v>
      </c>
      <c r="D50" t="s">
        <v>202</v>
      </c>
      <c r="F50">
        <v>333.523438</v>
      </c>
      <c r="G50">
        <v>425.20144699999997</v>
      </c>
      <c r="H50">
        <v>504.40875199999999</v>
      </c>
      <c r="I50">
        <v>570.01074200000005</v>
      </c>
      <c r="J50">
        <v>625.60528599999998</v>
      </c>
      <c r="K50">
        <v>677.85968000000003</v>
      </c>
      <c r="L50">
        <v>738.84222399999999</v>
      </c>
      <c r="M50">
        <v>791.16101100000003</v>
      </c>
      <c r="N50">
        <v>838.12988299999995</v>
      </c>
      <c r="O50">
        <v>892.63708499999996</v>
      </c>
      <c r="P50">
        <v>938.61102300000005</v>
      </c>
      <c r="Q50">
        <v>981.43957499999999</v>
      </c>
      <c r="R50">
        <v>1021.3232420000001</v>
      </c>
      <c r="S50">
        <v>1057.832764</v>
      </c>
      <c r="T50">
        <v>1091.7021480000001</v>
      </c>
      <c r="U50">
        <v>1123.2170410000001</v>
      </c>
      <c r="V50">
        <v>1153.5466309999999</v>
      </c>
      <c r="W50">
        <v>1181.3538820000001</v>
      </c>
      <c r="X50">
        <v>1207.1405030000001</v>
      </c>
      <c r="Y50">
        <v>1230.2967530000001</v>
      </c>
      <c r="Z50">
        <v>1252.8519289999999</v>
      </c>
      <c r="AA50">
        <v>1274.3450929999999</v>
      </c>
      <c r="AB50">
        <v>1295.3204350000001</v>
      </c>
      <c r="AC50">
        <v>1316.1180420000001</v>
      </c>
      <c r="AD50">
        <v>1335.119995</v>
      </c>
      <c r="AE50">
        <v>1353.2185059999999</v>
      </c>
      <c r="AF50">
        <v>1369.207275</v>
      </c>
      <c r="AG50" s="20">
        <v>5.6000000000000001E-2</v>
      </c>
    </row>
    <row r="51" spans="1:33">
      <c r="A51" t="s">
        <v>188</v>
      </c>
      <c r="B51" t="s">
        <v>1704</v>
      </c>
      <c r="C51" t="s">
        <v>1703</v>
      </c>
      <c r="D51" t="s">
        <v>202</v>
      </c>
      <c r="F51">
        <v>2.4554840000000002</v>
      </c>
      <c r="G51">
        <v>2.287175</v>
      </c>
      <c r="H51">
        <v>2.1252430000000002</v>
      </c>
      <c r="I51">
        <v>1.9716119999999999</v>
      </c>
      <c r="J51">
        <v>1.831831</v>
      </c>
      <c r="K51">
        <v>1.71017</v>
      </c>
      <c r="L51">
        <v>1.5955760000000001</v>
      </c>
      <c r="M51">
        <v>1.4848509999999999</v>
      </c>
      <c r="N51">
        <v>1.3787309999999999</v>
      </c>
      <c r="O51">
        <v>1.2786459999999999</v>
      </c>
      <c r="P51">
        <v>1.185225</v>
      </c>
      <c r="Q51">
        <v>1.098376</v>
      </c>
      <c r="R51">
        <v>1.02034</v>
      </c>
      <c r="S51">
        <v>0.95485399999999998</v>
      </c>
      <c r="T51">
        <v>0.89369699999999996</v>
      </c>
      <c r="U51">
        <v>0.83906000000000003</v>
      </c>
      <c r="V51">
        <v>0.78777399999999997</v>
      </c>
      <c r="W51">
        <v>0.73963400000000001</v>
      </c>
      <c r="X51">
        <v>0.69444700000000004</v>
      </c>
      <c r="Y51">
        <v>0.65202899999999997</v>
      </c>
      <c r="Z51">
        <v>0.61221199999999998</v>
      </c>
      <c r="AA51">
        <v>0.57483399999999996</v>
      </c>
      <c r="AB51">
        <v>0.53974699999999998</v>
      </c>
      <c r="AC51">
        <v>0.50680899999999995</v>
      </c>
      <c r="AD51">
        <v>0.47588799999999998</v>
      </c>
      <c r="AE51">
        <v>0.44685900000000001</v>
      </c>
      <c r="AF51">
        <v>0.41960799999999998</v>
      </c>
      <c r="AG51" s="20">
        <v>-6.6000000000000003E-2</v>
      </c>
    </row>
    <row r="52" spans="1:33">
      <c r="A52" t="s">
        <v>189</v>
      </c>
      <c r="B52" t="s">
        <v>1702</v>
      </c>
      <c r="C52" t="s">
        <v>1701</v>
      </c>
      <c r="D52" t="s">
        <v>202</v>
      </c>
      <c r="F52">
        <v>1.8494280000000001</v>
      </c>
      <c r="G52">
        <v>1.7358819999999999</v>
      </c>
      <c r="H52">
        <v>1.6293310000000001</v>
      </c>
      <c r="I52">
        <v>1.529345</v>
      </c>
      <c r="J52">
        <v>1.435516</v>
      </c>
      <c r="K52">
        <v>1.347464</v>
      </c>
      <c r="L52">
        <v>1.2648330000000001</v>
      </c>
      <c r="M52">
        <v>1.187287</v>
      </c>
      <c r="N52">
        <v>1.1145119999999999</v>
      </c>
      <c r="O52">
        <v>1.046214</v>
      </c>
      <c r="P52">
        <v>0.98211599999999999</v>
      </c>
      <c r="Q52">
        <v>0.92195899999999997</v>
      </c>
      <c r="R52">
        <v>0.86550000000000005</v>
      </c>
      <c r="S52">
        <v>0.81251099999999998</v>
      </c>
      <c r="T52">
        <v>0.76277700000000004</v>
      </c>
      <c r="U52">
        <v>0.71609800000000001</v>
      </c>
      <c r="V52">
        <v>0.67228600000000005</v>
      </c>
      <c r="W52">
        <v>0.63116399999999995</v>
      </c>
      <c r="X52">
        <v>0.59256600000000004</v>
      </c>
      <c r="Y52">
        <v>0.55633699999999997</v>
      </c>
      <c r="Z52">
        <v>0.52233099999999999</v>
      </c>
      <c r="AA52">
        <v>0.49041000000000001</v>
      </c>
      <c r="AB52">
        <v>0.460447</v>
      </c>
      <c r="AC52">
        <v>0.43232199999999998</v>
      </c>
      <c r="AD52">
        <v>0.40592</v>
      </c>
      <c r="AE52">
        <v>0.38113599999999997</v>
      </c>
      <c r="AF52">
        <v>0.35787099999999999</v>
      </c>
      <c r="AG52" s="20">
        <v>-6.0999999999999999E-2</v>
      </c>
    </row>
    <row r="53" spans="1:33">
      <c r="A53" t="s">
        <v>190</v>
      </c>
      <c r="B53" t="s">
        <v>1700</v>
      </c>
      <c r="C53" t="s">
        <v>1699</v>
      </c>
      <c r="D53" t="s">
        <v>202</v>
      </c>
      <c r="F53">
        <v>4.6614789999999999</v>
      </c>
      <c r="G53">
        <v>4.2481010000000001</v>
      </c>
      <c r="H53">
        <v>3.9314930000000001</v>
      </c>
      <c r="I53">
        <v>3.6802589999999999</v>
      </c>
      <c r="J53">
        <v>3.4544060000000001</v>
      </c>
      <c r="K53">
        <v>3.2424620000000002</v>
      </c>
      <c r="L53">
        <v>3.0435690000000002</v>
      </c>
      <c r="M53">
        <v>2.8569200000000001</v>
      </c>
      <c r="N53">
        <v>2.681759</v>
      </c>
      <c r="O53">
        <v>2.5173749999999999</v>
      </c>
      <c r="P53">
        <v>2.363102</v>
      </c>
      <c r="Q53">
        <v>2.218318</v>
      </c>
      <c r="R53">
        <v>2.0824370000000001</v>
      </c>
      <c r="S53">
        <v>1.9549080000000001</v>
      </c>
      <c r="T53">
        <v>1.8352170000000001</v>
      </c>
      <c r="U53">
        <v>1.72288</v>
      </c>
      <c r="V53">
        <v>1.617443</v>
      </c>
      <c r="W53">
        <v>1.5184820000000001</v>
      </c>
      <c r="X53">
        <v>1.425597</v>
      </c>
      <c r="Y53">
        <v>1.338414</v>
      </c>
      <c r="Z53">
        <v>1.2565820000000001</v>
      </c>
      <c r="AA53">
        <v>1.17977</v>
      </c>
      <c r="AB53">
        <v>1.1076699999999999</v>
      </c>
      <c r="AC53">
        <v>1.039992</v>
      </c>
      <c r="AD53">
        <v>0.97646299999999997</v>
      </c>
      <c r="AE53">
        <v>0.91682900000000001</v>
      </c>
      <c r="AF53">
        <v>0.86084899999999998</v>
      </c>
      <c r="AG53" s="20">
        <v>-6.3E-2</v>
      </c>
    </row>
    <row r="54" spans="1:33">
      <c r="A54" t="s">
        <v>191</v>
      </c>
      <c r="B54" t="s">
        <v>1698</v>
      </c>
      <c r="C54" t="s">
        <v>1697</v>
      </c>
      <c r="D54" t="s">
        <v>202</v>
      </c>
      <c r="F54">
        <v>4.3379099999999999</v>
      </c>
      <c r="G54">
        <v>4.0715789999999998</v>
      </c>
      <c r="H54">
        <v>3.8216589999999999</v>
      </c>
      <c r="I54">
        <v>3.5871339999999998</v>
      </c>
      <c r="J54">
        <v>3.3670529999999999</v>
      </c>
      <c r="K54">
        <v>3.160523</v>
      </c>
      <c r="L54">
        <v>2.966707</v>
      </c>
      <c r="M54">
        <v>2.784818</v>
      </c>
      <c r="N54">
        <v>2.6141209999999999</v>
      </c>
      <c r="O54">
        <v>2.4539240000000002</v>
      </c>
      <c r="P54">
        <v>2.303579</v>
      </c>
      <c r="Q54">
        <v>2.1624780000000001</v>
      </c>
      <c r="R54">
        <v>2.0300509999999998</v>
      </c>
      <c r="S54">
        <v>1.905762</v>
      </c>
      <c r="T54">
        <v>1.78911</v>
      </c>
      <c r="U54">
        <v>1.6796230000000001</v>
      </c>
      <c r="V54">
        <v>1.5768599999999999</v>
      </c>
      <c r="W54">
        <v>1.480407</v>
      </c>
      <c r="X54">
        <v>1.3898740000000001</v>
      </c>
      <c r="Y54">
        <v>1.304897</v>
      </c>
      <c r="Z54">
        <v>1.2251339999999999</v>
      </c>
      <c r="AA54">
        <v>1.150264</v>
      </c>
      <c r="AB54">
        <v>1.079985</v>
      </c>
      <c r="AC54">
        <v>1.0140150000000001</v>
      </c>
      <c r="AD54">
        <v>0.95208899999999996</v>
      </c>
      <c r="AE54">
        <v>0.893957</v>
      </c>
      <c r="AF54">
        <v>0.83938800000000002</v>
      </c>
      <c r="AG54" s="20">
        <v>-6.0999999999999999E-2</v>
      </c>
    </row>
    <row r="55" spans="1:33">
      <c r="A55" t="s">
        <v>192</v>
      </c>
      <c r="B55" t="s">
        <v>1696</v>
      </c>
      <c r="C55" t="s">
        <v>1695</v>
      </c>
      <c r="D55" t="s">
        <v>202</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15</v>
      </c>
    </row>
    <row r="56" spans="1:33">
      <c r="A56" t="s">
        <v>193</v>
      </c>
      <c r="B56" t="s">
        <v>1694</v>
      </c>
      <c r="C56" t="s">
        <v>1693</v>
      </c>
      <c r="D56" t="s">
        <v>202</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t="s">
        <v>15</v>
      </c>
    </row>
    <row r="57" spans="1:33">
      <c r="A57" t="s">
        <v>199</v>
      </c>
      <c r="B57" t="s">
        <v>1692</v>
      </c>
      <c r="C57" t="s">
        <v>1691</v>
      </c>
      <c r="D57" t="s">
        <v>202</v>
      </c>
      <c r="F57">
        <v>1697.0936280000001</v>
      </c>
      <c r="G57">
        <v>1817.2886960000001</v>
      </c>
      <c r="H57">
        <v>1972.378418</v>
      </c>
      <c r="I57">
        <v>2161.1110840000001</v>
      </c>
      <c r="J57">
        <v>2332.6914059999999</v>
      </c>
      <c r="K57">
        <v>2452.475586</v>
      </c>
      <c r="L57">
        <v>2567.5112300000001</v>
      </c>
      <c r="M57">
        <v>2677.1489259999998</v>
      </c>
      <c r="N57">
        <v>2792.4487300000001</v>
      </c>
      <c r="O57">
        <v>2868.2006839999999</v>
      </c>
      <c r="P57">
        <v>2953.9499510000001</v>
      </c>
      <c r="Q57">
        <v>3056.5666500000002</v>
      </c>
      <c r="R57">
        <v>3175.3781739999999</v>
      </c>
      <c r="S57">
        <v>3292.2641600000002</v>
      </c>
      <c r="T57">
        <v>3408.4760740000002</v>
      </c>
      <c r="U57">
        <v>3524.1247560000002</v>
      </c>
      <c r="V57">
        <v>3636.4267580000001</v>
      </c>
      <c r="W57">
        <v>3741.5029300000001</v>
      </c>
      <c r="X57">
        <v>3839.0251459999999</v>
      </c>
      <c r="Y57">
        <v>3929.3642580000001</v>
      </c>
      <c r="Z57">
        <v>4014.3725589999999</v>
      </c>
      <c r="AA57">
        <v>4094.8427729999999</v>
      </c>
      <c r="AB57">
        <v>4169.9003910000001</v>
      </c>
      <c r="AC57">
        <v>4240.4301759999998</v>
      </c>
      <c r="AD57">
        <v>4303.9208980000003</v>
      </c>
      <c r="AE57">
        <v>4362.6616210000002</v>
      </c>
      <c r="AF57">
        <v>4418.5317379999997</v>
      </c>
      <c r="AG57" s="20">
        <v>3.6999999999999998E-2</v>
      </c>
    </row>
    <row r="58" spans="1:33">
      <c r="A58" t="s">
        <v>72</v>
      </c>
      <c r="B58" t="s">
        <v>1690</v>
      </c>
      <c r="C58" t="s">
        <v>1689</v>
      </c>
      <c r="D58" t="s">
        <v>202</v>
      </c>
      <c r="F58">
        <v>10758.671875</v>
      </c>
      <c r="G58">
        <v>10921.777344</v>
      </c>
      <c r="H58">
        <v>11164.371094</v>
      </c>
      <c r="I58">
        <v>11411.09375</v>
      </c>
      <c r="J58">
        <v>11581.231444999999</v>
      </c>
      <c r="K58">
        <v>11699.950194999999</v>
      </c>
      <c r="L58">
        <v>11773.894531</v>
      </c>
      <c r="M58">
        <v>11808.994140999999</v>
      </c>
      <c r="N58">
        <v>11843.488281</v>
      </c>
      <c r="O58">
        <v>11900.560546999999</v>
      </c>
      <c r="P58">
        <v>11922.306640999999</v>
      </c>
      <c r="Q58">
        <v>11948.512694999999</v>
      </c>
      <c r="R58">
        <v>11977.622069999999</v>
      </c>
      <c r="S58">
        <v>11997.978515999999</v>
      </c>
      <c r="T58">
        <v>12015.03125</v>
      </c>
      <c r="U58">
        <v>12031.545898</v>
      </c>
      <c r="V58">
        <v>12050.678711</v>
      </c>
      <c r="W58">
        <v>12059.722656</v>
      </c>
      <c r="X58">
        <v>12060.015625</v>
      </c>
      <c r="Y58">
        <v>12048.09375</v>
      </c>
      <c r="Z58">
        <v>12035.478515999999</v>
      </c>
      <c r="AA58">
        <v>12019.073242</v>
      </c>
      <c r="AB58">
        <v>12000.009765999999</v>
      </c>
      <c r="AC58">
        <v>11980.414062</v>
      </c>
      <c r="AD58">
        <v>11949.496094</v>
      </c>
      <c r="AE58">
        <v>11912.869140999999</v>
      </c>
      <c r="AF58">
        <v>11866.446289</v>
      </c>
      <c r="AG58" s="20">
        <v>4.0000000000000001E-3</v>
      </c>
    </row>
    <row r="59" spans="1:33">
      <c r="A59" t="s">
        <v>111</v>
      </c>
      <c r="B59" t="s">
        <v>1688</v>
      </c>
      <c r="C59" t="s">
        <v>1687</v>
      </c>
      <c r="D59" t="s">
        <v>202</v>
      </c>
      <c r="F59">
        <v>16727.667968999998</v>
      </c>
      <c r="G59">
        <v>16756.4375</v>
      </c>
      <c r="H59">
        <v>16872.21875</v>
      </c>
      <c r="I59">
        <v>16972.146484000001</v>
      </c>
      <c r="J59">
        <v>16962.730468999998</v>
      </c>
      <c r="K59">
        <v>16926.787109000001</v>
      </c>
      <c r="L59">
        <v>16876.984375</v>
      </c>
      <c r="M59">
        <v>16793.287109000001</v>
      </c>
      <c r="N59">
        <v>16716.441406000002</v>
      </c>
      <c r="O59">
        <v>16674.269531000002</v>
      </c>
      <c r="P59">
        <v>16655.951172000001</v>
      </c>
      <c r="Q59">
        <v>16637.394531000002</v>
      </c>
      <c r="R59">
        <v>16615.115234000001</v>
      </c>
      <c r="S59">
        <v>16590.847656000002</v>
      </c>
      <c r="T59">
        <v>16576.015625</v>
      </c>
      <c r="U59">
        <v>16570.712890999999</v>
      </c>
      <c r="V59">
        <v>16562.277343999998</v>
      </c>
      <c r="W59">
        <v>16539.519531000002</v>
      </c>
      <c r="X59">
        <v>16506.873047000001</v>
      </c>
      <c r="Y59">
        <v>16464.835938</v>
      </c>
      <c r="Z59">
        <v>16421.207031000002</v>
      </c>
      <c r="AA59">
        <v>16378.865234000001</v>
      </c>
      <c r="AB59">
        <v>16329.53125</v>
      </c>
      <c r="AC59">
        <v>16276.382812</v>
      </c>
      <c r="AD59">
        <v>16209.28125</v>
      </c>
      <c r="AE59">
        <v>16136.900390999999</v>
      </c>
      <c r="AF59">
        <v>16066.762694999999</v>
      </c>
      <c r="AG59" s="20">
        <v>-2E-3</v>
      </c>
    </row>
    <row r="60" spans="1:33">
      <c r="A60" t="s">
        <v>154</v>
      </c>
      <c r="B60" t="s">
        <v>1686</v>
      </c>
      <c r="C60" t="s">
        <v>1685</v>
      </c>
      <c r="D60" t="s">
        <v>202</v>
      </c>
      <c r="F60">
        <v>7855.1132809999999</v>
      </c>
      <c r="G60">
        <v>7665.2778319999998</v>
      </c>
      <c r="H60">
        <v>7542.0371089999999</v>
      </c>
      <c r="I60">
        <v>7458.8955079999996</v>
      </c>
      <c r="J60">
        <v>7381.9428710000002</v>
      </c>
      <c r="K60">
        <v>7305.078125</v>
      </c>
      <c r="L60">
        <v>7231.6528319999998</v>
      </c>
      <c r="M60">
        <v>7145.1933589999999</v>
      </c>
      <c r="N60">
        <v>7057.2055659999996</v>
      </c>
      <c r="O60">
        <v>6962.4838870000003</v>
      </c>
      <c r="P60">
        <v>6857.5385740000002</v>
      </c>
      <c r="Q60">
        <v>6737.0883789999998</v>
      </c>
      <c r="R60">
        <v>6609.517578</v>
      </c>
      <c r="S60">
        <v>6471.2866210000002</v>
      </c>
      <c r="T60">
        <v>6324.4775390000004</v>
      </c>
      <c r="U60">
        <v>6176.3608400000003</v>
      </c>
      <c r="V60">
        <v>6024.8154299999997</v>
      </c>
      <c r="W60">
        <v>5867.7143550000001</v>
      </c>
      <c r="X60">
        <v>5707.9418949999999</v>
      </c>
      <c r="Y60">
        <v>5552.0722660000001</v>
      </c>
      <c r="Z60">
        <v>5403.2841799999997</v>
      </c>
      <c r="AA60">
        <v>5252.5429690000001</v>
      </c>
      <c r="AB60">
        <v>5096.5878910000001</v>
      </c>
      <c r="AC60">
        <v>4938.9458009999998</v>
      </c>
      <c r="AD60">
        <v>4781.4506840000004</v>
      </c>
      <c r="AE60">
        <v>4618.0205079999996</v>
      </c>
      <c r="AF60">
        <v>4445.1220700000003</v>
      </c>
      <c r="AG60" s="20">
        <v>-2.1999999999999999E-2</v>
      </c>
    </row>
    <row r="61" spans="1:33">
      <c r="A61" t="s">
        <v>168</v>
      </c>
      <c r="B61" t="s">
        <v>1684</v>
      </c>
      <c r="C61" t="s">
        <v>1683</v>
      </c>
      <c r="D61" t="s">
        <v>202</v>
      </c>
      <c r="F61">
        <v>5019.189453</v>
      </c>
      <c r="G61">
        <v>4921.7592770000001</v>
      </c>
      <c r="H61">
        <v>4824.1694340000004</v>
      </c>
      <c r="I61">
        <v>4722.1992190000001</v>
      </c>
      <c r="J61">
        <v>4612.9482420000004</v>
      </c>
      <c r="K61">
        <v>4494.3481449999999</v>
      </c>
      <c r="L61">
        <v>4367.1333009999998</v>
      </c>
      <c r="M61">
        <v>4225.6899409999996</v>
      </c>
      <c r="N61">
        <v>4089.4565429999998</v>
      </c>
      <c r="O61">
        <v>3940.4841310000002</v>
      </c>
      <c r="P61">
        <v>3786.7536620000001</v>
      </c>
      <c r="Q61">
        <v>3621.6906739999999</v>
      </c>
      <c r="R61">
        <v>3452.0083009999998</v>
      </c>
      <c r="S61">
        <v>3278.1594239999999</v>
      </c>
      <c r="T61">
        <v>3098.8549800000001</v>
      </c>
      <c r="U61">
        <v>2921.928711</v>
      </c>
      <c r="V61">
        <v>2743.2478030000002</v>
      </c>
      <c r="W61">
        <v>2576.4331050000001</v>
      </c>
      <c r="X61">
        <v>2419.2429200000001</v>
      </c>
      <c r="Y61">
        <v>2284.141357</v>
      </c>
      <c r="Z61">
        <v>2165.0585940000001</v>
      </c>
      <c r="AA61">
        <v>2049.0903320000002</v>
      </c>
      <c r="AB61">
        <v>1935.6875</v>
      </c>
      <c r="AC61">
        <v>1827.8242190000001</v>
      </c>
      <c r="AD61">
        <v>1724.5014650000001</v>
      </c>
      <c r="AE61">
        <v>1614.953125</v>
      </c>
      <c r="AF61">
        <v>1504.0860600000001</v>
      </c>
      <c r="AG61" s="20">
        <v>-4.4999999999999998E-2</v>
      </c>
    </row>
    <row r="62" spans="1:33">
      <c r="A62" t="s">
        <v>149</v>
      </c>
      <c r="B62" t="s">
        <v>1682</v>
      </c>
      <c r="C62" t="s">
        <v>1681</v>
      </c>
      <c r="D62" t="s">
        <v>202</v>
      </c>
      <c r="F62">
        <v>2.9177000000000002E-2</v>
      </c>
      <c r="G62">
        <v>2.7893999999999999E-2</v>
      </c>
      <c r="H62">
        <v>2.8336E-2</v>
      </c>
      <c r="I62">
        <v>3.0077E-2</v>
      </c>
      <c r="J62">
        <v>3.2547E-2</v>
      </c>
      <c r="K62">
        <v>3.5536999999999999E-2</v>
      </c>
      <c r="L62">
        <v>3.8737000000000001E-2</v>
      </c>
      <c r="M62">
        <v>4.2036999999999998E-2</v>
      </c>
      <c r="N62">
        <v>4.5574000000000003E-2</v>
      </c>
      <c r="O62">
        <v>4.9294999999999999E-2</v>
      </c>
      <c r="P62">
        <v>5.287E-2</v>
      </c>
      <c r="Q62">
        <v>5.6437000000000001E-2</v>
      </c>
      <c r="R62">
        <v>6.0086000000000001E-2</v>
      </c>
      <c r="S62">
        <v>6.3736000000000001E-2</v>
      </c>
      <c r="T62">
        <v>6.7337999999999995E-2</v>
      </c>
      <c r="U62">
        <v>7.0847999999999994E-2</v>
      </c>
      <c r="V62">
        <v>7.4158000000000002E-2</v>
      </c>
      <c r="W62">
        <v>7.7238000000000001E-2</v>
      </c>
      <c r="X62">
        <v>8.0093999999999999E-2</v>
      </c>
      <c r="Y62">
        <v>8.2702999999999999E-2</v>
      </c>
      <c r="Z62">
        <v>8.5087999999999997E-2</v>
      </c>
      <c r="AA62">
        <v>8.7237999999999996E-2</v>
      </c>
      <c r="AB62">
        <v>8.9149999999999993E-2</v>
      </c>
      <c r="AC62">
        <v>9.0864E-2</v>
      </c>
      <c r="AD62">
        <v>9.2346999999999999E-2</v>
      </c>
      <c r="AE62">
        <v>9.3637999999999999E-2</v>
      </c>
      <c r="AF62">
        <v>9.4775999999999999E-2</v>
      </c>
      <c r="AG62" s="20">
        <v>4.5999999999999999E-2</v>
      </c>
    </row>
    <row r="63" spans="1:33">
      <c r="A63" t="s">
        <v>148</v>
      </c>
      <c r="B63" t="s">
        <v>1680</v>
      </c>
      <c r="C63" t="s">
        <v>1679</v>
      </c>
      <c r="D63" t="s">
        <v>202</v>
      </c>
      <c r="F63">
        <v>14.902305999999999</v>
      </c>
      <c r="G63">
        <v>17.576094000000001</v>
      </c>
      <c r="H63">
        <v>20.585961999999999</v>
      </c>
      <c r="I63">
        <v>23.665554</v>
      </c>
      <c r="J63">
        <v>26.919802000000001</v>
      </c>
      <c r="K63">
        <v>30.452202</v>
      </c>
      <c r="L63">
        <v>34.228214000000001</v>
      </c>
      <c r="M63">
        <v>38.143214999999998</v>
      </c>
      <c r="N63">
        <v>42.358657999999998</v>
      </c>
      <c r="O63">
        <v>46.960566999999998</v>
      </c>
      <c r="P63">
        <v>52.145308999999997</v>
      </c>
      <c r="Q63">
        <v>57.921512999999997</v>
      </c>
      <c r="R63">
        <v>64.438721000000001</v>
      </c>
      <c r="S63">
        <v>71.862915000000001</v>
      </c>
      <c r="T63">
        <v>80.503356999999994</v>
      </c>
      <c r="U63">
        <v>90.419799999999995</v>
      </c>
      <c r="V63">
        <v>101.53952</v>
      </c>
      <c r="W63">
        <v>113.773949</v>
      </c>
      <c r="X63">
        <v>126.754311</v>
      </c>
      <c r="Y63">
        <v>140.46791099999999</v>
      </c>
      <c r="Z63">
        <v>154.83050499999999</v>
      </c>
      <c r="AA63">
        <v>169.555542</v>
      </c>
      <c r="AB63">
        <v>184.507767</v>
      </c>
      <c r="AC63">
        <v>199.626755</v>
      </c>
      <c r="AD63">
        <v>214.75408899999999</v>
      </c>
      <c r="AE63">
        <v>229.751678</v>
      </c>
      <c r="AF63">
        <v>244.68684400000001</v>
      </c>
      <c r="AG63" s="20">
        <v>0.114</v>
      </c>
    </row>
    <row r="64" spans="1:33">
      <c r="A64" t="s">
        <v>203</v>
      </c>
      <c r="B64" t="s">
        <v>1678</v>
      </c>
      <c r="C64" t="s">
        <v>1677</v>
      </c>
      <c r="D64" t="s">
        <v>202</v>
      </c>
      <c r="F64">
        <v>1675.231567</v>
      </c>
      <c r="G64">
        <v>1730.6750489999999</v>
      </c>
      <c r="H64">
        <v>1783.8242190000001</v>
      </c>
      <c r="I64">
        <v>1831.4544679999999</v>
      </c>
      <c r="J64">
        <v>1871.336914</v>
      </c>
      <c r="K64">
        <v>1903.2607419999999</v>
      </c>
      <c r="L64">
        <v>1927.773682</v>
      </c>
      <c r="M64">
        <v>1944.653198</v>
      </c>
      <c r="N64">
        <v>1955.0585940000001</v>
      </c>
      <c r="O64">
        <v>1961.609741</v>
      </c>
      <c r="P64">
        <v>1964.1290280000001</v>
      </c>
      <c r="Q64">
        <v>1963.711914</v>
      </c>
      <c r="R64">
        <v>1961.604736</v>
      </c>
      <c r="S64">
        <v>1957.994751</v>
      </c>
      <c r="T64">
        <v>1953.357422</v>
      </c>
      <c r="U64">
        <v>1948.336914</v>
      </c>
      <c r="V64">
        <v>1942.3992920000001</v>
      </c>
      <c r="W64">
        <v>1935.624268</v>
      </c>
      <c r="X64">
        <v>1928.533081</v>
      </c>
      <c r="Y64">
        <v>1920.6376949999999</v>
      </c>
      <c r="Z64">
        <v>1908.769775</v>
      </c>
      <c r="AA64">
        <v>1892.4993899999999</v>
      </c>
      <c r="AB64">
        <v>1874.248047</v>
      </c>
      <c r="AC64">
        <v>1852.163086</v>
      </c>
      <c r="AD64">
        <v>1827.4487300000001</v>
      </c>
      <c r="AE64">
        <v>1796.4149170000001</v>
      </c>
      <c r="AF64">
        <v>1764.8702390000001</v>
      </c>
      <c r="AG64" s="20">
        <v>2E-3</v>
      </c>
    </row>
    <row r="65" spans="1:33">
      <c r="A65" t="s">
        <v>204</v>
      </c>
      <c r="B65" t="s">
        <v>1676</v>
      </c>
      <c r="C65" t="s">
        <v>1675</v>
      </c>
      <c r="D65" t="s">
        <v>202</v>
      </c>
      <c r="F65">
        <v>39.214866999999998</v>
      </c>
      <c r="G65">
        <v>55.817169</v>
      </c>
      <c r="H65">
        <v>73.137619000000001</v>
      </c>
      <c r="I65">
        <v>90.519867000000005</v>
      </c>
      <c r="J65">
        <v>107.33844000000001</v>
      </c>
      <c r="K65">
        <v>123.803017</v>
      </c>
      <c r="L65">
        <v>139.94560200000001</v>
      </c>
      <c r="M65">
        <v>159.49374399999999</v>
      </c>
      <c r="N65">
        <v>182.792282</v>
      </c>
      <c r="O65">
        <v>208.52500900000001</v>
      </c>
      <c r="P65">
        <v>238.42692600000001</v>
      </c>
      <c r="Q65">
        <v>274.92523199999999</v>
      </c>
      <c r="R65">
        <v>317.51724200000001</v>
      </c>
      <c r="S65">
        <v>365.99771099999998</v>
      </c>
      <c r="T65">
        <v>419.79144300000002</v>
      </c>
      <c r="U65">
        <v>478.25216699999999</v>
      </c>
      <c r="V65">
        <v>539.66424600000005</v>
      </c>
      <c r="W65">
        <v>605.26666299999999</v>
      </c>
      <c r="X65">
        <v>673.98651099999995</v>
      </c>
      <c r="Y65">
        <v>745.78527799999995</v>
      </c>
      <c r="Z65">
        <v>819.63543700000002</v>
      </c>
      <c r="AA65">
        <v>893.70117200000004</v>
      </c>
      <c r="AB65">
        <v>967.68975799999998</v>
      </c>
      <c r="AC65">
        <v>1040.8363039999999</v>
      </c>
      <c r="AD65">
        <v>1111.6138920000001</v>
      </c>
      <c r="AE65">
        <v>1180.5131839999999</v>
      </c>
      <c r="AF65">
        <v>1248.1435550000001</v>
      </c>
      <c r="AG65" s="20">
        <v>0.14199999999999999</v>
      </c>
    </row>
    <row r="66" spans="1:33">
      <c r="A66" t="s">
        <v>205</v>
      </c>
      <c r="B66" t="s">
        <v>1674</v>
      </c>
      <c r="C66" t="s">
        <v>1673</v>
      </c>
      <c r="D66" t="s">
        <v>202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15</v>
      </c>
    </row>
    <row r="67" spans="1:33">
      <c r="A67" t="s">
        <v>206</v>
      </c>
      <c r="B67" t="s">
        <v>1672</v>
      </c>
      <c r="C67" t="s">
        <v>1671</v>
      </c>
      <c r="D67" t="s">
        <v>202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15</v>
      </c>
    </row>
    <row r="68" spans="1:33">
      <c r="A68" t="s">
        <v>207</v>
      </c>
      <c r="B68" t="s">
        <v>1670</v>
      </c>
      <c r="C68" t="s">
        <v>1669</v>
      </c>
      <c r="D68" t="s">
        <v>202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15</v>
      </c>
    </row>
    <row r="69" spans="1:33">
      <c r="A69" t="s">
        <v>1668</v>
      </c>
      <c r="B69" t="s">
        <v>1667</v>
      </c>
      <c r="C69" t="s">
        <v>1666</v>
      </c>
      <c r="D69" t="s">
        <v>202</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t="s">
        <v>15</v>
      </c>
    </row>
    <row r="70" spans="1:33">
      <c r="A70" t="s">
        <v>1665</v>
      </c>
      <c r="B70" t="s">
        <v>1664</v>
      </c>
      <c r="C70" t="s">
        <v>1663</v>
      </c>
      <c r="D70" t="s">
        <v>202</v>
      </c>
      <c r="F70">
        <v>0</v>
      </c>
      <c r="G70">
        <v>1.8639939999999999</v>
      </c>
      <c r="H70">
        <v>4.4663040000000001</v>
      </c>
      <c r="I70">
        <v>8.0814699999999995</v>
      </c>
      <c r="J70">
        <v>22.056372</v>
      </c>
      <c r="K70">
        <v>48.933228</v>
      </c>
      <c r="L70">
        <v>87.077995000000001</v>
      </c>
      <c r="M70">
        <v>138.116333</v>
      </c>
      <c r="N70">
        <v>199.388733</v>
      </c>
      <c r="O70">
        <v>268.62094100000002</v>
      </c>
      <c r="P70">
        <v>344.759705</v>
      </c>
      <c r="Q70">
        <v>431.41665599999999</v>
      </c>
      <c r="R70">
        <v>522.13275099999998</v>
      </c>
      <c r="S70">
        <v>615.81591800000001</v>
      </c>
      <c r="T70">
        <v>715.17797900000005</v>
      </c>
      <c r="U70">
        <v>819.816101</v>
      </c>
      <c r="V70">
        <v>929.444885</v>
      </c>
      <c r="W70">
        <v>1047.6220699999999</v>
      </c>
      <c r="X70">
        <v>1170.4960940000001</v>
      </c>
      <c r="Y70">
        <v>1294.7873540000001</v>
      </c>
      <c r="Z70">
        <v>1421.6793210000001</v>
      </c>
      <c r="AA70">
        <v>1552.3092039999999</v>
      </c>
      <c r="AB70">
        <v>1686.1538089999999</v>
      </c>
      <c r="AC70">
        <v>1823.432495</v>
      </c>
      <c r="AD70">
        <v>1960.1687010000001</v>
      </c>
      <c r="AE70">
        <v>2097.6840820000002</v>
      </c>
      <c r="AF70">
        <v>2239.413086</v>
      </c>
      <c r="AG70" t="s">
        <v>15</v>
      </c>
    </row>
    <row r="71" spans="1:33">
      <c r="A71" t="s">
        <v>1662</v>
      </c>
      <c r="B71" t="s">
        <v>1661</v>
      </c>
      <c r="C71" t="s">
        <v>1660</v>
      </c>
      <c r="D71" t="s">
        <v>202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15</v>
      </c>
    </row>
    <row r="72" spans="1:33">
      <c r="A72" t="s">
        <v>208</v>
      </c>
      <c r="B72" t="s">
        <v>1659</v>
      </c>
      <c r="C72" t="s">
        <v>1658</v>
      </c>
      <c r="D72" t="s">
        <v>202</v>
      </c>
      <c r="F72">
        <v>14603.680664</v>
      </c>
      <c r="G72">
        <v>14392.998046999999</v>
      </c>
      <c r="H72">
        <v>14248.249023</v>
      </c>
      <c r="I72">
        <v>14134.845703000001</v>
      </c>
      <c r="J72">
        <v>14022.575194999999</v>
      </c>
      <c r="K72">
        <v>13905.910156</v>
      </c>
      <c r="L72">
        <v>13787.850586</v>
      </c>
      <c r="M72">
        <v>13651.332031</v>
      </c>
      <c r="N72">
        <v>13526.305664</v>
      </c>
      <c r="O72">
        <v>13388.733398</v>
      </c>
      <c r="P72">
        <v>13243.805664</v>
      </c>
      <c r="Q72">
        <v>13086.811523</v>
      </c>
      <c r="R72">
        <v>12927.279296999999</v>
      </c>
      <c r="S72">
        <v>12761.181640999999</v>
      </c>
      <c r="T72">
        <v>12592.228515999999</v>
      </c>
      <c r="U72">
        <v>12435.185546999999</v>
      </c>
      <c r="V72">
        <v>12281.185546999999</v>
      </c>
      <c r="W72">
        <v>12146.511719</v>
      </c>
      <c r="X72">
        <v>12027.034180000001</v>
      </c>
      <c r="Y72">
        <v>11937.974609000001</v>
      </c>
      <c r="Z72">
        <v>11873.34375</v>
      </c>
      <c r="AA72">
        <v>11809.786133</v>
      </c>
      <c r="AB72">
        <v>11744.964844</v>
      </c>
      <c r="AC72">
        <v>11682.918944999999</v>
      </c>
      <c r="AD72">
        <v>11620.030273</v>
      </c>
      <c r="AE72">
        <v>11537.429688</v>
      </c>
      <c r="AF72">
        <v>11446.416992</v>
      </c>
      <c r="AG72" s="20">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B1EBA-5A74-4A4D-86D8-E25F71FD511C}">
  <dimension ref="A1:AG319"/>
  <sheetViews>
    <sheetView workbookViewId="0"/>
  </sheetViews>
  <sheetFormatPr defaultRowHeight="15"/>
  <cols>
    <col min="1" max="1" width="19.85546875" customWidth="1"/>
    <col min="2" max="2" width="20.7109375" customWidth="1"/>
  </cols>
  <sheetData>
    <row r="1" spans="1:33">
      <c r="B1" t="s">
        <v>174</v>
      </c>
      <c r="C1" t="s">
        <v>175</v>
      </c>
      <c r="D1" t="s">
        <v>176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1158</v>
      </c>
    </row>
    <row r="11" spans="1:33">
      <c r="A11" t="s">
        <v>217</v>
      </c>
    </row>
    <row r="12" spans="1:33">
      <c r="A12" t="s">
        <v>2803</v>
      </c>
    </row>
    <row r="13" spans="1:33">
      <c r="A13" t="s">
        <v>2802</v>
      </c>
    </row>
    <row r="14" spans="1:33">
      <c r="A14" t="s">
        <v>173</v>
      </c>
    </row>
    <row r="15" spans="1:33">
      <c r="B15" t="s">
        <v>174</v>
      </c>
      <c r="C15" t="s">
        <v>175</v>
      </c>
      <c r="D15" t="s">
        <v>176</v>
      </c>
      <c r="E15">
        <v>2023</v>
      </c>
      <c r="F15">
        <v>2024</v>
      </c>
      <c r="G15">
        <v>2025</v>
      </c>
      <c r="H15">
        <v>2026</v>
      </c>
      <c r="I15">
        <v>2027</v>
      </c>
      <c r="J15">
        <v>2028</v>
      </c>
      <c r="K15">
        <v>2029</v>
      </c>
      <c r="L15">
        <v>2030</v>
      </c>
      <c r="M15">
        <v>2031</v>
      </c>
      <c r="N15">
        <v>2032</v>
      </c>
      <c r="O15">
        <v>2033</v>
      </c>
      <c r="P15">
        <v>2034</v>
      </c>
      <c r="Q15">
        <v>2035</v>
      </c>
      <c r="R15">
        <v>2036</v>
      </c>
      <c r="S15">
        <v>2037</v>
      </c>
      <c r="T15">
        <v>2038</v>
      </c>
      <c r="U15">
        <v>2039</v>
      </c>
      <c r="V15">
        <v>2040</v>
      </c>
      <c r="W15">
        <v>2041</v>
      </c>
      <c r="X15">
        <v>2042</v>
      </c>
      <c r="Y15">
        <v>2043</v>
      </c>
      <c r="Z15">
        <v>2044</v>
      </c>
      <c r="AA15">
        <v>2045</v>
      </c>
      <c r="AB15">
        <v>2046</v>
      </c>
      <c r="AC15">
        <v>2047</v>
      </c>
      <c r="AD15">
        <v>2048</v>
      </c>
      <c r="AE15">
        <v>2049</v>
      </c>
      <c r="AF15">
        <v>2050</v>
      </c>
      <c r="AG15" t="s">
        <v>1158</v>
      </c>
    </row>
    <row r="16" spans="1:33">
      <c r="A16" t="s">
        <v>26</v>
      </c>
    </row>
    <row r="17" spans="1:33">
      <c r="A17" t="s">
        <v>218</v>
      </c>
    </row>
    <row r="18" spans="1:33">
      <c r="A18" t="s">
        <v>219</v>
      </c>
    </row>
    <row r="19" spans="1:33">
      <c r="A19" t="s">
        <v>168</v>
      </c>
      <c r="B19" t="s">
        <v>2801</v>
      </c>
      <c r="C19" t="s">
        <v>2800</v>
      </c>
      <c r="D19" t="s">
        <v>220</v>
      </c>
      <c r="F19">
        <v>54.137805999999998</v>
      </c>
      <c r="G19">
        <v>54.071216999999997</v>
      </c>
      <c r="H19">
        <v>53.457313999999997</v>
      </c>
      <c r="I19">
        <v>52.647182000000001</v>
      </c>
      <c r="J19">
        <v>51.595882000000003</v>
      </c>
      <c r="K19">
        <v>50.530312000000002</v>
      </c>
      <c r="L19">
        <v>49.352173000000001</v>
      </c>
      <c r="M19">
        <v>47.958195000000003</v>
      </c>
      <c r="N19">
        <v>46.364254000000003</v>
      </c>
      <c r="O19">
        <v>44.630927999999997</v>
      </c>
      <c r="P19">
        <v>42.877257999999998</v>
      </c>
      <c r="Q19">
        <v>41.088706999999999</v>
      </c>
      <c r="R19">
        <v>39.341450000000002</v>
      </c>
      <c r="S19">
        <v>37.609543000000002</v>
      </c>
      <c r="T19">
        <v>35.849299999999999</v>
      </c>
      <c r="U19">
        <v>34.028595000000003</v>
      </c>
      <c r="V19">
        <v>32.296920999999998</v>
      </c>
      <c r="W19">
        <v>30.546603999999999</v>
      </c>
      <c r="X19">
        <v>28.828039</v>
      </c>
      <c r="Y19">
        <v>27.093805</v>
      </c>
      <c r="Z19">
        <v>25.4589</v>
      </c>
      <c r="AA19">
        <v>23.970109999999998</v>
      </c>
      <c r="AB19">
        <v>22.591919000000001</v>
      </c>
      <c r="AC19">
        <v>21.348120000000002</v>
      </c>
      <c r="AD19">
        <v>20.125426999999998</v>
      </c>
      <c r="AE19">
        <v>18.939999</v>
      </c>
      <c r="AF19">
        <v>17.824724</v>
      </c>
      <c r="AG19" s="20">
        <v>-4.2000000000000003E-2</v>
      </c>
    </row>
    <row r="20" spans="1:33">
      <c r="A20" t="s">
        <v>154</v>
      </c>
      <c r="B20" t="s">
        <v>2799</v>
      </c>
      <c r="C20" t="s">
        <v>2798</v>
      </c>
      <c r="D20" t="s">
        <v>220</v>
      </c>
      <c r="F20">
        <v>24.34918</v>
      </c>
      <c r="G20">
        <v>26.157592999999999</v>
      </c>
      <c r="H20">
        <v>27.731414999999998</v>
      </c>
      <c r="I20">
        <v>29.117968000000001</v>
      </c>
      <c r="J20">
        <v>30.147932000000001</v>
      </c>
      <c r="K20">
        <v>30.947813</v>
      </c>
      <c r="L20">
        <v>31.490299</v>
      </c>
      <c r="M20">
        <v>31.687159999999999</v>
      </c>
      <c r="N20">
        <v>31.595020000000002</v>
      </c>
      <c r="O20">
        <v>31.298421999999999</v>
      </c>
      <c r="P20">
        <v>30.888570999999999</v>
      </c>
      <c r="Q20">
        <v>30.361319000000002</v>
      </c>
      <c r="R20">
        <v>29.795849</v>
      </c>
      <c r="S20">
        <v>29.181716999999999</v>
      </c>
      <c r="T20">
        <v>28.457778999999999</v>
      </c>
      <c r="U20">
        <v>27.608362</v>
      </c>
      <c r="V20">
        <v>26.763168</v>
      </c>
      <c r="W20">
        <v>25.832671999999999</v>
      </c>
      <c r="X20">
        <v>24.834416999999998</v>
      </c>
      <c r="Y20">
        <v>23.746389000000001</v>
      </c>
      <c r="Z20">
        <v>22.699881000000001</v>
      </c>
      <c r="AA20">
        <v>21.744126999999999</v>
      </c>
      <c r="AB20">
        <v>20.840295999999999</v>
      </c>
      <c r="AC20">
        <v>20.011322</v>
      </c>
      <c r="AD20">
        <v>19.174472999999999</v>
      </c>
      <c r="AE20">
        <v>18.349557999999998</v>
      </c>
      <c r="AF20">
        <v>17.565284999999999</v>
      </c>
      <c r="AG20" s="20">
        <v>-1.2E-2</v>
      </c>
    </row>
    <row r="21" spans="1:33">
      <c r="A21" t="s">
        <v>149</v>
      </c>
      <c r="B21" t="s">
        <v>2797</v>
      </c>
      <c r="C21" t="s">
        <v>2796</v>
      </c>
      <c r="D21" t="s">
        <v>220</v>
      </c>
      <c r="F21">
        <v>7.2999999999999996E-4</v>
      </c>
      <c r="G21">
        <v>7.3099999999999999E-4</v>
      </c>
      <c r="H21">
        <v>7.3200000000000001E-4</v>
      </c>
      <c r="I21">
        <v>7.3499999999999998E-4</v>
      </c>
      <c r="J21">
        <v>7.4899999999999999E-4</v>
      </c>
      <c r="K21">
        <v>7.6800000000000002E-4</v>
      </c>
      <c r="L21">
        <v>7.8799999999999996E-4</v>
      </c>
      <c r="M21">
        <v>8.0999999999999996E-4</v>
      </c>
      <c r="N21">
        <v>8.3500000000000002E-4</v>
      </c>
      <c r="O21">
        <v>8.3000000000000001E-4</v>
      </c>
      <c r="P21">
        <v>8.1499999999999997E-4</v>
      </c>
      <c r="Q21">
        <v>8.1700000000000002E-4</v>
      </c>
      <c r="R21">
        <v>8.3000000000000001E-4</v>
      </c>
      <c r="S21">
        <v>8.4999999999999995E-4</v>
      </c>
      <c r="T21">
        <v>8.7500000000000002E-4</v>
      </c>
      <c r="U21">
        <v>9.0200000000000002E-4</v>
      </c>
      <c r="V21">
        <v>9.3000000000000005E-4</v>
      </c>
      <c r="W21">
        <v>9.5799999999999998E-4</v>
      </c>
      <c r="X21">
        <v>9.8299999999999993E-4</v>
      </c>
      <c r="Y21">
        <v>1.0070000000000001E-3</v>
      </c>
      <c r="Z21">
        <v>1.0280000000000001E-3</v>
      </c>
      <c r="AA21">
        <v>1.0510000000000001E-3</v>
      </c>
      <c r="AB21">
        <v>1.073E-3</v>
      </c>
      <c r="AC21">
        <v>1.0970000000000001E-3</v>
      </c>
      <c r="AD21">
        <v>1.119E-3</v>
      </c>
      <c r="AE21">
        <v>1.139E-3</v>
      </c>
      <c r="AF21">
        <v>1.158E-3</v>
      </c>
      <c r="AG21" s="20">
        <v>1.7999999999999999E-2</v>
      </c>
    </row>
    <row r="22" spans="1:33">
      <c r="A22" t="s">
        <v>148</v>
      </c>
      <c r="B22" t="s">
        <v>2795</v>
      </c>
      <c r="C22" t="s">
        <v>2794</v>
      </c>
      <c r="D22" t="s">
        <v>220</v>
      </c>
      <c r="F22">
        <v>7.9604999999999995E-2</v>
      </c>
      <c r="G22">
        <v>0.21027499999999999</v>
      </c>
      <c r="H22">
        <v>0.35547800000000002</v>
      </c>
      <c r="I22">
        <v>0.50833300000000003</v>
      </c>
      <c r="J22">
        <v>0.60356399999999999</v>
      </c>
      <c r="K22">
        <v>0.70265</v>
      </c>
      <c r="L22">
        <v>0.77752100000000002</v>
      </c>
      <c r="M22">
        <v>0.81933999999999996</v>
      </c>
      <c r="N22">
        <v>0.84735300000000002</v>
      </c>
      <c r="O22">
        <v>0.85540499999999997</v>
      </c>
      <c r="P22">
        <v>0.87202400000000002</v>
      </c>
      <c r="Q22">
        <v>0.90455399999999997</v>
      </c>
      <c r="R22">
        <v>0.94545400000000002</v>
      </c>
      <c r="S22">
        <v>0.99856599999999995</v>
      </c>
      <c r="T22">
        <v>1.076068</v>
      </c>
      <c r="U22">
        <v>1.161184</v>
      </c>
      <c r="V22">
        <v>1.2678579999999999</v>
      </c>
      <c r="W22">
        <v>1.4032100000000001</v>
      </c>
      <c r="X22">
        <v>1.557526</v>
      </c>
      <c r="Y22">
        <v>1.728326</v>
      </c>
      <c r="Z22">
        <v>1.898649</v>
      </c>
      <c r="AA22">
        <v>2.0823230000000001</v>
      </c>
      <c r="AB22">
        <v>2.2790659999999998</v>
      </c>
      <c r="AC22">
        <v>2.5033970000000001</v>
      </c>
      <c r="AD22">
        <v>2.7353589999999999</v>
      </c>
      <c r="AE22">
        <v>2.980953</v>
      </c>
      <c r="AF22">
        <v>3.2338290000000001</v>
      </c>
      <c r="AG22" s="20">
        <v>0.153</v>
      </c>
    </row>
    <row r="23" spans="1:33">
      <c r="A23" t="s">
        <v>203</v>
      </c>
      <c r="B23" t="s">
        <v>2793</v>
      </c>
      <c r="C23" t="s">
        <v>2792</v>
      </c>
      <c r="D23" t="s">
        <v>220</v>
      </c>
      <c r="F23">
        <v>3.2588729999999999</v>
      </c>
      <c r="G23">
        <v>2.9694029999999998</v>
      </c>
      <c r="H23">
        <v>2.670283</v>
      </c>
      <c r="I23">
        <v>2.3920520000000001</v>
      </c>
      <c r="J23">
        <v>2.1450879999999999</v>
      </c>
      <c r="K23">
        <v>1.9372720000000001</v>
      </c>
      <c r="L23">
        <v>1.7542489999999999</v>
      </c>
      <c r="M23">
        <v>1.591224</v>
      </c>
      <c r="N23">
        <v>1.443881</v>
      </c>
      <c r="O23">
        <v>1.3078000000000001</v>
      </c>
      <c r="P23">
        <v>1.183535</v>
      </c>
      <c r="Q23">
        <v>1.0700609999999999</v>
      </c>
      <c r="R23">
        <v>0.96449200000000002</v>
      </c>
      <c r="S23">
        <v>0.86558299999999999</v>
      </c>
      <c r="T23">
        <v>0.77333399999999997</v>
      </c>
      <c r="U23">
        <v>0.68865200000000004</v>
      </c>
      <c r="V23">
        <v>0.61294800000000005</v>
      </c>
      <c r="W23">
        <v>0.54637000000000002</v>
      </c>
      <c r="X23">
        <v>0.48824699999999999</v>
      </c>
      <c r="Y23">
        <v>0.43711</v>
      </c>
      <c r="Z23">
        <v>0.388071</v>
      </c>
      <c r="AA23">
        <v>0.34228599999999998</v>
      </c>
      <c r="AB23">
        <v>0.29872399999999999</v>
      </c>
      <c r="AC23">
        <v>0.26012600000000002</v>
      </c>
      <c r="AD23">
        <v>0.21887200000000001</v>
      </c>
      <c r="AE23">
        <v>0.17858399999999999</v>
      </c>
      <c r="AF23">
        <v>0.14052200000000001</v>
      </c>
      <c r="AG23" s="20">
        <v>-0.114</v>
      </c>
    </row>
    <row r="24" spans="1:33">
      <c r="A24" t="s">
        <v>204</v>
      </c>
      <c r="B24" t="s">
        <v>2791</v>
      </c>
      <c r="C24" t="s">
        <v>2790</v>
      </c>
      <c r="D24" t="s">
        <v>220</v>
      </c>
      <c r="F24">
        <v>8.7280999999999997E-2</v>
      </c>
      <c r="G24">
        <v>0.119507</v>
      </c>
      <c r="H24">
        <v>0.14918300000000001</v>
      </c>
      <c r="I24">
        <v>0.17560000000000001</v>
      </c>
      <c r="J24">
        <v>0.198771</v>
      </c>
      <c r="K24">
        <v>0.22067600000000001</v>
      </c>
      <c r="L24">
        <v>0.24584900000000001</v>
      </c>
      <c r="M24">
        <v>0.31488500000000003</v>
      </c>
      <c r="N24">
        <v>0.43936399999999998</v>
      </c>
      <c r="O24">
        <v>0.55638799999999999</v>
      </c>
      <c r="P24">
        <v>0.74443599999999999</v>
      </c>
      <c r="Q24">
        <v>1.0531710000000001</v>
      </c>
      <c r="R24">
        <v>1.4948330000000001</v>
      </c>
      <c r="S24">
        <v>2.0432519999999998</v>
      </c>
      <c r="T24">
        <v>2.7092320000000001</v>
      </c>
      <c r="U24">
        <v>3.4966200000000001</v>
      </c>
      <c r="V24">
        <v>4.4216449999999998</v>
      </c>
      <c r="W24">
        <v>5.5475440000000003</v>
      </c>
      <c r="X24">
        <v>6.8312460000000002</v>
      </c>
      <c r="Y24">
        <v>8.2411890000000003</v>
      </c>
      <c r="Z24">
        <v>9.6649480000000008</v>
      </c>
      <c r="AA24">
        <v>11.152545999999999</v>
      </c>
      <c r="AB24">
        <v>12.684813</v>
      </c>
      <c r="AC24">
        <v>14.333284000000001</v>
      </c>
      <c r="AD24">
        <v>16.026073</v>
      </c>
      <c r="AE24">
        <v>17.724495000000001</v>
      </c>
      <c r="AF24">
        <v>19.422892000000001</v>
      </c>
      <c r="AG24" s="20">
        <v>0.23100000000000001</v>
      </c>
    </row>
    <row r="25" spans="1:33">
      <c r="A25" t="s">
        <v>206</v>
      </c>
      <c r="B25" t="s">
        <v>2789</v>
      </c>
      <c r="C25" t="s">
        <v>2788</v>
      </c>
      <c r="D25" t="s">
        <v>220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t="s">
        <v>15</v>
      </c>
    </row>
    <row r="26" spans="1:33">
      <c r="A26" t="s">
        <v>205</v>
      </c>
      <c r="B26" t="s">
        <v>2787</v>
      </c>
      <c r="C26" t="s">
        <v>2786</v>
      </c>
      <c r="D26" t="s">
        <v>220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t="s">
        <v>15</v>
      </c>
    </row>
    <row r="27" spans="1:33">
      <c r="A27" t="s">
        <v>207</v>
      </c>
      <c r="B27" t="s">
        <v>2785</v>
      </c>
      <c r="C27" t="s">
        <v>2784</v>
      </c>
      <c r="D27" t="s">
        <v>220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t="s">
        <v>15</v>
      </c>
    </row>
    <row r="28" spans="1:33">
      <c r="A28" t="s">
        <v>1668</v>
      </c>
      <c r="B28" t="s">
        <v>2783</v>
      </c>
      <c r="C28" t="s">
        <v>2782</v>
      </c>
      <c r="D28" t="s">
        <v>220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t="s">
        <v>15</v>
      </c>
    </row>
    <row r="29" spans="1:33">
      <c r="A29" t="s">
        <v>1665</v>
      </c>
      <c r="B29" t="s">
        <v>2781</v>
      </c>
      <c r="C29" t="s">
        <v>2780</v>
      </c>
      <c r="D29" t="s">
        <v>220</v>
      </c>
      <c r="F29">
        <v>0</v>
      </c>
      <c r="G29">
        <v>0.109322</v>
      </c>
      <c r="H29">
        <v>0.28561399999999998</v>
      </c>
      <c r="I29">
        <v>0.52429300000000001</v>
      </c>
      <c r="J29">
        <v>1.3492900000000001</v>
      </c>
      <c r="K29">
        <v>2.8503099999999999</v>
      </c>
      <c r="L29">
        <v>5.0136310000000002</v>
      </c>
      <c r="M29">
        <v>7.7647050000000002</v>
      </c>
      <c r="N29">
        <v>11.073954000000001</v>
      </c>
      <c r="O29">
        <v>14.758941</v>
      </c>
      <c r="P29">
        <v>18.660900000000002</v>
      </c>
      <c r="Q29">
        <v>22.600832</v>
      </c>
      <c r="R29">
        <v>26.474253000000001</v>
      </c>
      <c r="S29">
        <v>30.237411000000002</v>
      </c>
      <c r="T29">
        <v>34.006458000000002</v>
      </c>
      <c r="U29">
        <v>37.792834999999997</v>
      </c>
      <c r="V29">
        <v>41.462817999999999</v>
      </c>
      <c r="W29">
        <v>44.911160000000002</v>
      </c>
      <c r="X29">
        <v>48.150188</v>
      </c>
      <c r="Y29">
        <v>51.148192999999999</v>
      </c>
      <c r="Z29">
        <v>53.948368000000002</v>
      </c>
      <c r="AA29">
        <v>56.632454000000003</v>
      </c>
      <c r="AB29">
        <v>59.163367999999998</v>
      </c>
      <c r="AC29">
        <v>61.704948000000002</v>
      </c>
      <c r="AD29">
        <v>64.027450999999999</v>
      </c>
      <c r="AE29">
        <v>66.138740999999996</v>
      </c>
      <c r="AF29">
        <v>68.037430000000001</v>
      </c>
      <c r="AG29" t="s">
        <v>15</v>
      </c>
    </row>
    <row r="30" spans="1:33">
      <c r="A30" t="s">
        <v>1662</v>
      </c>
      <c r="B30" t="s">
        <v>2779</v>
      </c>
      <c r="C30" t="s">
        <v>2778</v>
      </c>
      <c r="D30" t="s">
        <v>220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t="s">
        <v>15</v>
      </c>
    </row>
    <row r="31" spans="1:33">
      <c r="A31" t="s">
        <v>221</v>
      </c>
      <c r="B31" t="s">
        <v>2777</v>
      </c>
      <c r="C31" t="s">
        <v>2776</v>
      </c>
      <c r="D31" t="s">
        <v>220</v>
      </c>
      <c r="F31">
        <v>81.913414000000003</v>
      </c>
      <c r="G31">
        <v>83.637932000000006</v>
      </c>
      <c r="H31">
        <v>84.649970999999994</v>
      </c>
      <c r="I31">
        <v>85.366112000000001</v>
      </c>
      <c r="J31">
        <v>86.041008000000005</v>
      </c>
      <c r="K31">
        <v>87.189673999999997</v>
      </c>
      <c r="L31">
        <v>88.634345999999994</v>
      </c>
      <c r="M31">
        <v>90.136009000000001</v>
      </c>
      <c r="N31">
        <v>91.764342999999997</v>
      </c>
      <c r="O31">
        <v>93.408591999999999</v>
      </c>
      <c r="P31">
        <v>95.227249</v>
      </c>
      <c r="Q31">
        <v>97.079216000000002</v>
      </c>
      <c r="R31">
        <v>99.016814999999994</v>
      </c>
      <c r="S31">
        <v>100.936539</v>
      </c>
      <c r="T31">
        <v>102.872658</v>
      </c>
      <c r="U31">
        <v>104.776962</v>
      </c>
      <c r="V31">
        <v>106.826088</v>
      </c>
      <c r="W31">
        <v>108.78827699999999</v>
      </c>
      <c r="X31">
        <v>110.690437</v>
      </c>
      <c r="Y31">
        <v>112.395782</v>
      </c>
      <c r="Z31">
        <v>114.059608</v>
      </c>
      <c r="AA31">
        <v>115.924751</v>
      </c>
      <c r="AB31">
        <v>117.859016</v>
      </c>
      <c r="AC31">
        <v>120.16201</v>
      </c>
      <c r="AD31">
        <v>122.30836499999999</v>
      </c>
      <c r="AE31">
        <v>124.313187</v>
      </c>
      <c r="AF31">
        <v>126.225555</v>
      </c>
      <c r="AG31" s="20">
        <v>1.7000000000000001E-2</v>
      </c>
    </row>
    <row r="32" spans="1:33">
      <c r="A32" t="s">
        <v>222</v>
      </c>
    </row>
    <row r="33" spans="1:33">
      <c r="A33" t="s">
        <v>168</v>
      </c>
      <c r="B33" t="s">
        <v>2775</v>
      </c>
      <c r="C33" t="s">
        <v>2774</v>
      </c>
      <c r="D33" t="s">
        <v>220</v>
      </c>
      <c r="F33">
        <v>37.131771000000001</v>
      </c>
      <c r="G33">
        <v>36.594059000000001</v>
      </c>
      <c r="H33">
        <v>35.836998000000001</v>
      </c>
      <c r="I33">
        <v>35.128596999999999</v>
      </c>
      <c r="J33">
        <v>34.429993000000003</v>
      </c>
      <c r="K33">
        <v>33.848514999999999</v>
      </c>
      <c r="L33">
        <v>33.334881000000003</v>
      </c>
      <c r="M33">
        <v>32.813395999999997</v>
      </c>
      <c r="N33">
        <v>32.307029999999997</v>
      </c>
      <c r="O33">
        <v>31.735132</v>
      </c>
      <c r="P33">
        <v>31.138124000000001</v>
      </c>
      <c r="Q33">
        <v>30.495702999999999</v>
      </c>
      <c r="R33">
        <v>29.854996</v>
      </c>
      <c r="S33">
        <v>29.198588999999998</v>
      </c>
      <c r="T33">
        <v>28.521305000000002</v>
      </c>
      <c r="U33">
        <v>27.823361999999999</v>
      </c>
      <c r="V33">
        <v>27.163891</v>
      </c>
      <c r="W33">
        <v>26.519552000000001</v>
      </c>
      <c r="X33">
        <v>25.929789</v>
      </c>
      <c r="Y33">
        <v>25.381256</v>
      </c>
      <c r="Z33">
        <v>24.876940000000001</v>
      </c>
      <c r="AA33">
        <v>24.434802999999999</v>
      </c>
      <c r="AB33">
        <v>24.024281999999999</v>
      </c>
      <c r="AC33">
        <v>23.739571000000002</v>
      </c>
      <c r="AD33">
        <v>23.487732000000001</v>
      </c>
      <c r="AE33">
        <v>23.243437</v>
      </c>
      <c r="AF33">
        <v>22.989767000000001</v>
      </c>
      <c r="AG33" s="20">
        <v>-1.7999999999999999E-2</v>
      </c>
    </row>
    <row r="34" spans="1:33">
      <c r="A34" t="s">
        <v>154</v>
      </c>
      <c r="B34" t="s">
        <v>2773</v>
      </c>
      <c r="C34" t="s">
        <v>2772</v>
      </c>
      <c r="D34" t="s">
        <v>220</v>
      </c>
      <c r="F34">
        <v>24.710927999999999</v>
      </c>
      <c r="G34">
        <v>24.792711000000001</v>
      </c>
      <c r="H34">
        <v>24.766380000000002</v>
      </c>
      <c r="I34">
        <v>24.778901999999999</v>
      </c>
      <c r="J34">
        <v>24.779399999999999</v>
      </c>
      <c r="K34">
        <v>24.825973999999999</v>
      </c>
      <c r="L34">
        <v>24.892790000000002</v>
      </c>
      <c r="M34">
        <v>24.93458</v>
      </c>
      <c r="N34">
        <v>24.980650000000001</v>
      </c>
      <c r="O34">
        <v>24.957380000000001</v>
      </c>
      <c r="P34">
        <v>24.906849000000001</v>
      </c>
      <c r="Q34">
        <v>24.796883000000001</v>
      </c>
      <c r="R34">
        <v>24.652761000000002</v>
      </c>
      <c r="S34">
        <v>24.494171000000001</v>
      </c>
      <c r="T34">
        <v>24.287745999999999</v>
      </c>
      <c r="U34">
        <v>24.046125</v>
      </c>
      <c r="V34">
        <v>23.807701000000002</v>
      </c>
      <c r="W34">
        <v>23.569877999999999</v>
      </c>
      <c r="X34">
        <v>23.351219</v>
      </c>
      <c r="Y34">
        <v>23.130773999999999</v>
      </c>
      <c r="Z34">
        <v>22.915935999999999</v>
      </c>
      <c r="AA34">
        <v>22.730301000000001</v>
      </c>
      <c r="AB34">
        <v>22.550166999999998</v>
      </c>
      <c r="AC34">
        <v>22.463426999999999</v>
      </c>
      <c r="AD34">
        <v>22.392613999999998</v>
      </c>
      <c r="AE34">
        <v>22.314965999999998</v>
      </c>
      <c r="AF34">
        <v>22.208449999999999</v>
      </c>
      <c r="AG34" s="20">
        <v>-4.0000000000000001E-3</v>
      </c>
    </row>
    <row r="35" spans="1:33">
      <c r="A35" t="s">
        <v>149</v>
      </c>
      <c r="B35" t="s">
        <v>2771</v>
      </c>
      <c r="C35" t="s">
        <v>2770</v>
      </c>
      <c r="D35" t="s">
        <v>220</v>
      </c>
      <c r="F35">
        <v>2.5683000000000001E-2</v>
      </c>
      <c r="G35">
        <v>2.2918999999999998E-2</v>
      </c>
      <c r="H35">
        <v>2.0313999999999999E-2</v>
      </c>
      <c r="I35">
        <v>1.7925E-2</v>
      </c>
      <c r="J35">
        <v>1.5859000000000002E-2</v>
      </c>
      <c r="K35">
        <v>1.3155999999999999E-2</v>
      </c>
      <c r="L35">
        <v>1.1735000000000001E-2</v>
      </c>
      <c r="M35">
        <v>1.0444E-2</v>
      </c>
      <c r="N35">
        <v>9.3609999999999995E-3</v>
      </c>
      <c r="O35">
        <v>8.4089999999999998E-3</v>
      </c>
      <c r="P35">
        <v>7.3990000000000002E-3</v>
      </c>
      <c r="Q35">
        <v>6.6379999999999998E-3</v>
      </c>
      <c r="R35">
        <v>6.0309999999999999E-3</v>
      </c>
      <c r="S35">
        <v>5.5360000000000001E-3</v>
      </c>
      <c r="T35">
        <v>5.097E-3</v>
      </c>
      <c r="U35">
        <v>4.7149999999999996E-3</v>
      </c>
      <c r="V35">
        <v>4.4050000000000001E-3</v>
      </c>
      <c r="W35">
        <v>4.1209999999999997E-3</v>
      </c>
      <c r="X35">
        <v>3.8730000000000001E-3</v>
      </c>
      <c r="Y35">
        <v>3.6489999999999999E-3</v>
      </c>
      <c r="Z35">
        <v>3.4320000000000002E-3</v>
      </c>
      <c r="AA35">
        <v>3.297E-3</v>
      </c>
      <c r="AB35">
        <v>3.143E-3</v>
      </c>
      <c r="AC35">
        <v>3.0079999999999998E-3</v>
      </c>
      <c r="AD35">
        <v>2.6610000000000002E-3</v>
      </c>
      <c r="AE35">
        <v>2.1099999999999999E-3</v>
      </c>
      <c r="AF35">
        <v>1.676E-3</v>
      </c>
      <c r="AG35" s="20">
        <v>-0.1</v>
      </c>
    </row>
    <row r="36" spans="1:33">
      <c r="A36" t="s">
        <v>148</v>
      </c>
      <c r="B36" t="s">
        <v>2769</v>
      </c>
      <c r="C36" t="s">
        <v>2768</v>
      </c>
      <c r="D36" t="s">
        <v>220</v>
      </c>
      <c r="F36">
        <v>0.21660399999999999</v>
      </c>
      <c r="G36">
        <v>0.29153400000000002</v>
      </c>
      <c r="H36">
        <v>0.36267500000000003</v>
      </c>
      <c r="I36">
        <v>0.42705700000000002</v>
      </c>
      <c r="J36">
        <v>0.483323</v>
      </c>
      <c r="K36">
        <v>0.533188</v>
      </c>
      <c r="L36">
        <v>0.57804699999999998</v>
      </c>
      <c r="M36">
        <v>0.61812299999999998</v>
      </c>
      <c r="N36">
        <v>0.65573599999999999</v>
      </c>
      <c r="O36">
        <v>0.691272</v>
      </c>
      <c r="P36">
        <v>0.72470299999999999</v>
      </c>
      <c r="Q36">
        <v>0.75561</v>
      </c>
      <c r="R36">
        <v>0.78383000000000003</v>
      </c>
      <c r="S36">
        <v>0.81074299999999999</v>
      </c>
      <c r="T36">
        <v>0.83725300000000002</v>
      </c>
      <c r="U36">
        <v>0.86216999999999999</v>
      </c>
      <c r="V36">
        <v>0.885768</v>
      </c>
      <c r="W36">
        <v>0.90606100000000001</v>
      </c>
      <c r="X36">
        <v>0.92689299999999997</v>
      </c>
      <c r="Y36">
        <v>0.94793899999999998</v>
      </c>
      <c r="Z36">
        <v>0.96773900000000002</v>
      </c>
      <c r="AA36">
        <v>0.98745300000000003</v>
      </c>
      <c r="AB36">
        <v>1.006273</v>
      </c>
      <c r="AC36">
        <v>1.030934</v>
      </c>
      <c r="AD36">
        <v>1.0588070000000001</v>
      </c>
      <c r="AE36">
        <v>1.0924590000000001</v>
      </c>
      <c r="AF36">
        <v>1.1249199999999999</v>
      </c>
      <c r="AG36" s="20">
        <v>6.5000000000000002E-2</v>
      </c>
    </row>
    <row r="37" spans="1:33">
      <c r="A37" t="s">
        <v>203</v>
      </c>
      <c r="B37" t="s">
        <v>2767</v>
      </c>
      <c r="C37" t="s">
        <v>2766</v>
      </c>
      <c r="D37" t="s">
        <v>220</v>
      </c>
      <c r="F37">
        <v>0.56315499999999996</v>
      </c>
      <c r="G37">
        <v>0.50854999999999995</v>
      </c>
      <c r="H37">
        <v>0.45326300000000003</v>
      </c>
      <c r="I37">
        <v>0.40201100000000001</v>
      </c>
      <c r="J37">
        <v>0.35692600000000002</v>
      </c>
      <c r="K37">
        <v>0.320183</v>
      </c>
      <c r="L37">
        <v>0.28773399999999999</v>
      </c>
      <c r="M37">
        <v>0.25882300000000003</v>
      </c>
      <c r="N37">
        <v>0.233901</v>
      </c>
      <c r="O37">
        <v>0.21024899999999999</v>
      </c>
      <c r="P37">
        <v>0.1898</v>
      </c>
      <c r="Q37">
        <v>0.17246700000000001</v>
      </c>
      <c r="R37">
        <v>0.15728500000000001</v>
      </c>
      <c r="S37">
        <v>0.144478</v>
      </c>
      <c r="T37">
        <v>0.13336400000000001</v>
      </c>
      <c r="U37">
        <v>0.12360599999999999</v>
      </c>
      <c r="V37">
        <v>0.11543100000000001</v>
      </c>
      <c r="W37">
        <v>0.10784100000000001</v>
      </c>
      <c r="X37">
        <v>0.100605</v>
      </c>
      <c r="Y37">
        <v>9.3598000000000001E-2</v>
      </c>
      <c r="Z37">
        <v>8.6728E-2</v>
      </c>
      <c r="AA37">
        <v>7.9933000000000004E-2</v>
      </c>
      <c r="AB37">
        <v>7.2932999999999998E-2</v>
      </c>
      <c r="AC37">
        <v>6.5624000000000002E-2</v>
      </c>
      <c r="AD37">
        <v>5.7986999999999997E-2</v>
      </c>
      <c r="AE37">
        <v>5.0445999999999998E-2</v>
      </c>
      <c r="AF37">
        <v>4.2520000000000002E-2</v>
      </c>
      <c r="AG37" s="20">
        <v>-9.5000000000000001E-2</v>
      </c>
    </row>
    <row r="38" spans="1:33">
      <c r="A38" t="s">
        <v>204</v>
      </c>
      <c r="B38" t="s">
        <v>2765</v>
      </c>
      <c r="C38" t="s">
        <v>2764</v>
      </c>
      <c r="D38" t="s">
        <v>220</v>
      </c>
      <c r="F38">
        <v>2.1684999999999999E-2</v>
      </c>
      <c r="G38">
        <v>2.3281E-2</v>
      </c>
      <c r="H38">
        <v>2.4604000000000001E-2</v>
      </c>
      <c r="I38">
        <v>2.5850999999999999E-2</v>
      </c>
      <c r="J38">
        <v>2.6849999999999999E-2</v>
      </c>
      <c r="K38">
        <v>2.7718E-2</v>
      </c>
      <c r="L38">
        <v>2.8584999999999999E-2</v>
      </c>
      <c r="M38">
        <v>2.93E-2</v>
      </c>
      <c r="N38">
        <v>3.0084E-2</v>
      </c>
      <c r="O38">
        <v>3.0797999999999999E-2</v>
      </c>
      <c r="P38">
        <v>3.1477999999999999E-2</v>
      </c>
      <c r="Q38">
        <v>3.2091000000000001E-2</v>
      </c>
      <c r="R38">
        <v>3.2672E-2</v>
      </c>
      <c r="S38">
        <v>3.3252999999999998E-2</v>
      </c>
      <c r="T38">
        <v>3.3787999999999999E-2</v>
      </c>
      <c r="U38">
        <v>3.4255000000000001E-2</v>
      </c>
      <c r="V38">
        <v>3.4696999999999999E-2</v>
      </c>
      <c r="W38">
        <v>3.5131999999999997E-2</v>
      </c>
      <c r="X38">
        <v>3.5562999999999997E-2</v>
      </c>
      <c r="Y38">
        <v>3.5920000000000001E-2</v>
      </c>
      <c r="Z38">
        <v>3.6223999999999999E-2</v>
      </c>
      <c r="AA38">
        <v>3.6521999999999999E-2</v>
      </c>
      <c r="AB38">
        <v>3.6776999999999997E-2</v>
      </c>
      <c r="AC38">
        <v>3.7164000000000003E-2</v>
      </c>
      <c r="AD38">
        <v>3.7578E-2</v>
      </c>
      <c r="AE38">
        <v>3.7975000000000002E-2</v>
      </c>
      <c r="AF38">
        <v>3.8295000000000003E-2</v>
      </c>
      <c r="AG38" s="20">
        <v>2.1999999999999999E-2</v>
      </c>
    </row>
    <row r="39" spans="1:33">
      <c r="A39" t="s">
        <v>206</v>
      </c>
      <c r="B39" t="s">
        <v>2763</v>
      </c>
      <c r="C39" t="s">
        <v>2762</v>
      </c>
      <c r="D39" t="s">
        <v>220</v>
      </c>
      <c r="F39">
        <v>0</v>
      </c>
      <c r="G39">
        <v>0</v>
      </c>
      <c r="H39">
        <v>1.812E-3</v>
      </c>
      <c r="I39">
        <v>4.4209999999999996E-3</v>
      </c>
      <c r="J39">
        <v>8.4100000000000008E-3</v>
      </c>
      <c r="K39">
        <v>1.3413E-2</v>
      </c>
      <c r="L39">
        <v>1.8973E-2</v>
      </c>
      <c r="M39">
        <v>2.5016E-2</v>
      </c>
      <c r="N39">
        <v>3.1123999999999999E-2</v>
      </c>
      <c r="O39">
        <v>2.8725000000000001E-2</v>
      </c>
      <c r="P39">
        <v>2.6502000000000001E-2</v>
      </c>
      <c r="Q39">
        <v>2.4417999999999999E-2</v>
      </c>
      <c r="R39">
        <v>2.2536E-2</v>
      </c>
      <c r="S39">
        <v>2.0787E-2</v>
      </c>
      <c r="T39">
        <v>1.9154999999999998E-2</v>
      </c>
      <c r="U39">
        <v>1.7624999999999998E-2</v>
      </c>
      <c r="V39">
        <v>1.6230000000000001E-2</v>
      </c>
      <c r="W39">
        <v>1.4954E-2</v>
      </c>
      <c r="X39">
        <v>1.3782000000000001E-2</v>
      </c>
      <c r="Y39">
        <v>1.2718E-2</v>
      </c>
      <c r="Z39">
        <v>1.1752E-2</v>
      </c>
      <c r="AA39">
        <v>1.0893E-2</v>
      </c>
      <c r="AB39">
        <v>1.0121E-2</v>
      </c>
      <c r="AC39">
        <v>9.3299999999999998E-3</v>
      </c>
      <c r="AD39">
        <v>8.5830000000000004E-3</v>
      </c>
      <c r="AE39">
        <v>7.9159999999999994E-3</v>
      </c>
      <c r="AF39">
        <v>7.3150000000000003E-3</v>
      </c>
      <c r="AG39" t="s">
        <v>15</v>
      </c>
    </row>
    <row r="40" spans="1:33">
      <c r="A40" t="s">
        <v>205</v>
      </c>
      <c r="B40" t="s">
        <v>2761</v>
      </c>
      <c r="C40" t="s">
        <v>2760</v>
      </c>
      <c r="D40" t="s">
        <v>220</v>
      </c>
      <c r="F40">
        <v>0</v>
      </c>
      <c r="G40">
        <v>8.5570000000000004E-3</v>
      </c>
      <c r="H40">
        <v>1.7385999999999999E-2</v>
      </c>
      <c r="I40">
        <v>2.0511000000000001E-2</v>
      </c>
      <c r="J40">
        <v>1.9573E-2</v>
      </c>
      <c r="K40">
        <v>1.7939E-2</v>
      </c>
      <c r="L40">
        <v>1.6412E-2</v>
      </c>
      <c r="M40">
        <v>1.5066E-2</v>
      </c>
      <c r="N40">
        <v>1.3932999999999999E-2</v>
      </c>
      <c r="O40">
        <v>1.2857E-2</v>
      </c>
      <c r="P40">
        <v>1.1854999999999999E-2</v>
      </c>
      <c r="Q40">
        <v>1.0898E-2</v>
      </c>
      <c r="R40">
        <v>1.0045999999999999E-2</v>
      </c>
      <c r="S40">
        <v>9.2049999999999996E-3</v>
      </c>
      <c r="T40">
        <v>8.4309999999999993E-3</v>
      </c>
      <c r="U40">
        <v>7.7409999999999996E-3</v>
      </c>
      <c r="V40">
        <v>7.1500000000000001E-3</v>
      </c>
      <c r="W40">
        <v>6.6150000000000002E-3</v>
      </c>
      <c r="X40">
        <v>6.071E-3</v>
      </c>
      <c r="Y40">
        <v>5.5319999999999996E-3</v>
      </c>
      <c r="Z40">
        <v>5.0140000000000002E-3</v>
      </c>
      <c r="AA40">
        <v>4.6039999999999996E-3</v>
      </c>
      <c r="AB40">
        <v>4.2789999999999998E-3</v>
      </c>
      <c r="AC40">
        <v>4.006E-3</v>
      </c>
      <c r="AD40">
        <v>3.7469999999999999E-3</v>
      </c>
      <c r="AE40">
        <v>3.4919999999999999E-3</v>
      </c>
      <c r="AF40">
        <v>3.2469999999999999E-3</v>
      </c>
      <c r="AG40" t="s">
        <v>15</v>
      </c>
    </row>
    <row r="41" spans="1:33">
      <c r="A41" t="s">
        <v>207</v>
      </c>
      <c r="B41" t="s">
        <v>2759</v>
      </c>
      <c r="C41" t="s">
        <v>2758</v>
      </c>
      <c r="D41" t="s">
        <v>220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15</v>
      </c>
    </row>
    <row r="42" spans="1:33">
      <c r="A42" t="s">
        <v>1668</v>
      </c>
      <c r="B42" t="s">
        <v>2757</v>
      </c>
      <c r="C42" t="s">
        <v>2756</v>
      </c>
      <c r="D42" t="s">
        <v>220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15</v>
      </c>
    </row>
    <row r="43" spans="1:33">
      <c r="A43" t="s">
        <v>1665</v>
      </c>
      <c r="B43" t="s">
        <v>2755</v>
      </c>
      <c r="C43" t="s">
        <v>2754</v>
      </c>
      <c r="D43" t="s">
        <v>220</v>
      </c>
      <c r="F43">
        <v>0</v>
      </c>
      <c r="G43">
        <v>6.4962000000000006E-2</v>
      </c>
      <c r="H43">
        <v>0.15284300000000001</v>
      </c>
      <c r="I43">
        <v>0.26397999999999999</v>
      </c>
      <c r="J43">
        <v>0.39148899999999998</v>
      </c>
      <c r="K43">
        <v>0.54012800000000005</v>
      </c>
      <c r="L43">
        <v>0.72535000000000005</v>
      </c>
      <c r="M43">
        <v>0.96550199999999997</v>
      </c>
      <c r="N43">
        <v>1.2885960000000001</v>
      </c>
      <c r="O43">
        <v>1.7231620000000001</v>
      </c>
      <c r="P43">
        <v>2.2904900000000001</v>
      </c>
      <c r="Q43">
        <v>2.9959259999999999</v>
      </c>
      <c r="R43">
        <v>3.8416109999999999</v>
      </c>
      <c r="S43">
        <v>4.8051320000000004</v>
      </c>
      <c r="T43">
        <v>5.8463799999999999</v>
      </c>
      <c r="U43">
        <v>6.9121439999999996</v>
      </c>
      <c r="V43">
        <v>7.9788759999999996</v>
      </c>
      <c r="W43">
        <v>9.0158009999999997</v>
      </c>
      <c r="X43">
        <v>10.012964</v>
      </c>
      <c r="Y43">
        <v>10.950036000000001</v>
      </c>
      <c r="Z43">
        <v>11.814178999999999</v>
      </c>
      <c r="AA43">
        <v>12.617074000000001</v>
      </c>
      <c r="AB43">
        <v>13.349224</v>
      </c>
      <c r="AC43">
        <v>14.081083</v>
      </c>
      <c r="AD43">
        <v>14.773883</v>
      </c>
      <c r="AE43">
        <v>15.412091</v>
      </c>
      <c r="AF43">
        <v>15.978241000000001</v>
      </c>
      <c r="AG43" t="s">
        <v>15</v>
      </c>
    </row>
    <row r="44" spans="1:33">
      <c r="A44" t="s">
        <v>1662</v>
      </c>
      <c r="B44" t="s">
        <v>2753</v>
      </c>
      <c r="C44" t="s">
        <v>2752</v>
      </c>
      <c r="D44" t="s">
        <v>220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15</v>
      </c>
    </row>
    <row r="45" spans="1:33">
      <c r="A45" t="s">
        <v>223</v>
      </c>
      <c r="B45" t="s">
        <v>2751</v>
      </c>
      <c r="C45" t="s">
        <v>2750</v>
      </c>
      <c r="D45" t="s">
        <v>220</v>
      </c>
      <c r="F45">
        <v>62.669761999999999</v>
      </c>
      <c r="G45">
        <v>62.306469</v>
      </c>
      <c r="H45">
        <v>61.636169000000002</v>
      </c>
      <c r="I45">
        <v>61.069248000000002</v>
      </c>
      <c r="J45">
        <v>60.511715000000002</v>
      </c>
      <c r="K45">
        <v>60.140095000000002</v>
      </c>
      <c r="L45">
        <v>59.894455000000001</v>
      </c>
      <c r="M45">
        <v>59.670211999999999</v>
      </c>
      <c r="N45">
        <v>59.550327000000003</v>
      </c>
      <c r="O45">
        <v>59.398045000000003</v>
      </c>
      <c r="P45">
        <v>59.327106000000001</v>
      </c>
      <c r="Q45">
        <v>59.290576999999999</v>
      </c>
      <c r="R45">
        <v>59.361587999999998</v>
      </c>
      <c r="S45">
        <v>59.521720999999999</v>
      </c>
      <c r="T45">
        <v>59.692307</v>
      </c>
      <c r="U45">
        <v>59.831532000000003</v>
      </c>
      <c r="V45">
        <v>60.013888999999999</v>
      </c>
      <c r="W45">
        <v>60.179622999999999</v>
      </c>
      <c r="X45">
        <v>60.380524000000001</v>
      </c>
      <c r="Y45">
        <v>60.561053999999999</v>
      </c>
      <c r="Z45">
        <v>60.717669999999998</v>
      </c>
      <c r="AA45">
        <v>60.904583000000002</v>
      </c>
      <c r="AB45">
        <v>61.056731999999997</v>
      </c>
      <c r="AC45">
        <v>61.433689000000001</v>
      </c>
      <c r="AD45">
        <v>61.823250000000002</v>
      </c>
      <c r="AE45">
        <v>62.164485999999997</v>
      </c>
      <c r="AF45">
        <v>62.394100000000002</v>
      </c>
      <c r="AG45" s="20">
        <v>0</v>
      </c>
    </row>
    <row r="46" spans="1:33">
      <c r="A46" t="s">
        <v>224</v>
      </c>
    </row>
    <row r="47" spans="1:33">
      <c r="A47" t="s">
        <v>168</v>
      </c>
      <c r="B47" t="s">
        <v>2749</v>
      </c>
      <c r="C47" t="s">
        <v>2748</v>
      </c>
      <c r="D47" t="s">
        <v>220</v>
      </c>
      <c r="F47">
        <v>192.94982899999999</v>
      </c>
      <c r="G47">
        <v>197.59063699999999</v>
      </c>
      <c r="H47">
        <v>200.97595200000001</v>
      </c>
      <c r="I47">
        <v>204.19201699999999</v>
      </c>
      <c r="J47">
        <v>206.488708</v>
      </c>
      <c r="K47">
        <v>208.58886699999999</v>
      </c>
      <c r="L47">
        <v>210.49195900000001</v>
      </c>
      <c r="M47">
        <v>211.89570599999999</v>
      </c>
      <c r="N47">
        <v>213.206253</v>
      </c>
      <c r="O47">
        <v>214.241714</v>
      </c>
      <c r="P47">
        <v>215.399506</v>
      </c>
      <c r="Q47">
        <v>216.51177999999999</v>
      </c>
      <c r="R47">
        <v>217.892349</v>
      </c>
      <c r="S47">
        <v>219.42524700000001</v>
      </c>
      <c r="T47">
        <v>220.96220400000001</v>
      </c>
      <c r="U47">
        <v>222.213562</v>
      </c>
      <c r="V47">
        <v>223.48240699999999</v>
      </c>
      <c r="W47">
        <v>224.63845800000001</v>
      </c>
      <c r="X47">
        <v>225.79357899999999</v>
      </c>
      <c r="Y47">
        <v>226.73658800000001</v>
      </c>
      <c r="Z47">
        <v>227.47717299999999</v>
      </c>
      <c r="AA47">
        <v>228.256531</v>
      </c>
      <c r="AB47">
        <v>228.81037900000001</v>
      </c>
      <c r="AC47">
        <v>230.14291399999999</v>
      </c>
      <c r="AD47">
        <v>231.487762</v>
      </c>
      <c r="AE47">
        <v>232.64764400000001</v>
      </c>
      <c r="AF47">
        <v>233.4263</v>
      </c>
      <c r="AG47" s="20">
        <v>7.0000000000000001E-3</v>
      </c>
    </row>
    <row r="48" spans="1:33">
      <c r="A48" t="s">
        <v>154</v>
      </c>
      <c r="B48" t="s">
        <v>2747</v>
      </c>
      <c r="C48" t="s">
        <v>2746</v>
      </c>
      <c r="D48" t="s">
        <v>220</v>
      </c>
      <c r="F48">
        <v>0.17944199999999999</v>
      </c>
      <c r="G48">
        <v>0.15498799999999999</v>
      </c>
      <c r="H48">
        <v>0.13519600000000001</v>
      </c>
      <c r="I48">
        <v>0.119259</v>
      </c>
      <c r="J48">
        <v>0.106646</v>
      </c>
      <c r="K48">
        <v>9.7213999999999995E-2</v>
      </c>
      <c r="L48">
        <v>8.9940000000000006E-2</v>
      </c>
      <c r="M48">
        <v>8.3801E-2</v>
      </c>
      <c r="N48">
        <v>7.8592999999999996E-2</v>
      </c>
      <c r="O48">
        <v>7.3761999999999994E-2</v>
      </c>
      <c r="P48">
        <v>7.0135000000000003E-2</v>
      </c>
      <c r="Q48">
        <v>6.7147999999999999E-2</v>
      </c>
      <c r="R48">
        <v>6.4902000000000001E-2</v>
      </c>
      <c r="S48">
        <v>6.2685000000000005E-2</v>
      </c>
      <c r="T48">
        <v>6.0434000000000002E-2</v>
      </c>
      <c r="U48">
        <v>5.8535999999999998E-2</v>
      </c>
      <c r="V48">
        <v>5.7188000000000003E-2</v>
      </c>
      <c r="W48">
        <v>5.5987000000000002E-2</v>
      </c>
      <c r="X48">
        <v>5.4594999999999998E-2</v>
      </c>
      <c r="Y48">
        <v>5.3534999999999999E-2</v>
      </c>
      <c r="Z48">
        <v>5.2807E-2</v>
      </c>
      <c r="AA48">
        <v>5.2412E-2</v>
      </c>
      <c r="AB48">
        <v>5.2122000000000002E-2</v>
      </c>
      <c r="AC48">
        <v>5.2130000000000003E-2</v>
      </c>
      <c r="AD48">
        <v>5.2162E-2</v>
      </c>
      <c r="AE48">
        <v>5.2194999999999998E-2</v>
      </c>
      <c r="AF48">
        <v>5.2098999999999999E-2</v>
      </c>
      <c r="AG48" s="20">
        <v>-4.5999999999999999E-2</v>
      </c>
    </row>
    <row r="49" spans="1:33">
      <c r="A49" t="s">
        <v>149</v>
      </c>
      <c r="B49" t="s">
        <v>2745</v>
      </c>
      <c r="C49" t="s">
        <v>2744</v>
      </c>
      <c r="D49" t="s">
        <v>220</v>
      </c>
      <c r="F49">
        <v>4.7856000000000003E-2</v>
      </c>
      <c r="G49">
        <v>5.7736999999999997E-2</v>
      </c>
      <c r="H49">
        <v>6.6908999999999996E-2</v>
      </c>
      <c r="I49">
        <v>7.5483999999999996E-2</v>
      </c>
      <c r="J49">
        <v>8.2448999999999995E-2</v>
      </c>
      <c r="K49">
        <v>8.8404999999999997E-2</v>
      </c>
      <c r="L49">
        <v>9.3265000000000001E-2</v>
      </c>
      <c r="M49">
        <v>9.6863000000000005E-2</v>
      </c>
      <c r="N49">
        <v>9.9866999999999997E-2</v>
      </c>
      <c r="O49">
        <v>0.102191</v>
      </c>
      <c r="P49">
        <v>0.104356</v>
      </c>
      <c r="Q49">
        <v>0.105952</v>
      </c>
      <c r="R49">
        <v>0.10739799999999999</v>
      </c>
      <c r="S49">
        <v>0.108672</v>
      </c>
      <c r="T49">
        <v>0.109947</v>
      </c>
      <c r="U49">
        <v>0.111064</v>
      </c>
      <c r="V49">
        <v>0.11217199999999999</v>
      </c>
      <c r="W49">
        <v>0.11304699999999999</v>
      </c>
      <c r="X49">
        <v>0.113818</v>
      </c>
      <c r="Y49">
        <v>0.114437</v>
      </c>
      <c r="Z49">
        <v>0.114983</v>
      </c>
      <c r="AA49">
        <v>0.115591</v>
      </c>
      <c r="AB49">
        <v>0.11615499999999999</v>
      </c>
      <c r="AC49">
        <v>0.11715</v>
      </c>
      <c r="AD49">
        <v>0.118132</v>
      </c>
      <c r="AE49">
        <v>0.118927</v>
      </c>
      <c r="AF49">
        <v>0.119593</v>
      </c>
      <c r="AG49" s="20">
        <v>3.5999999999999997E-2</v>
      </c>
    </row>
    <row r="50" spans="1:33">
      <c r="A50" t="s">
        <v>148</v>
      </c>
      <c r="B50" t="s">
        <v>2743</v>
      </c>
      <c r="C50" t="s">
        <v>2742</v>
      </c>
      <c r="D50" t="s">
        <v>220</v>
      </c>
      <c r="F50">
        <v>2.1094580000000001</v>
      </c>
      <c r="G50">
        <v>2.214413</v>
      </c>
      <c r="H50">
        <v>2.3001610000000001</v>
      </c>
      <c r="I50">
        <v>2.3472629999999999</v>
      </c>
      <c r="J50">
        <v>2.3785280000000002</v>
      </c>
      <c r="K50">
        <v>2.4064909999999999</v>
      </c>
      <c r="L50">
        <v>2.4318550000000001</v>
      </c>
      <c r="M50">
        <v>2.4521289999999998</v>
      </c>
      <c r="N50">
        <v>2.4740410000000002</v>
      </c>
      <c r="O50">
        <v>2.4960559999999998</v>
      </c>
      <c r="P50">
        <v>2.521617</v>
      </c>
      <c r="Q50">
        <v>2.5483570000000002</v>
      </c>
      <c r="R50">
        <v>2.5778829999999999</v>
      </c>
      <c r="S50">
        <v>2.617191</v>
      </c>
      <c r="T50">
        <v>2.654404</v>
      </c>
      <c r="U50">
        <v>2.6962579999999998</v>
      </c>
      <c r="V50">
        <v>2.7533029999999998</v>
      </c>
      <c r="W50">
        <v>2.8257400000000001</v>
      </c>
      <c r="X50">
        <v>2.9015680000000001</v>
      </c>
      <c r="Y50">
        <v>2.9739230000000001</v>
      </c>
      <c r="Z50">
        <v>3.0567959999999998</v>
      </c>
      <c r="AA50">
        <v>3.1516289999999998</v>
      </c>
      <c r="AB50">
        <v>3.2652610000000002</v>
      </c>
      <c r="AC50">
        <v>3.4182450000000002</v>
      </c>
      <c r="AD50">
        <v>3.6164770000000002</v>
      </c>
      <c r="AE50">
        <v>3.8481260000000002</v>
      </c>
      <c r="AF50">
        <v>4.1315439999999999</v>
      </c>
      <c r="AG50" s="20">
        <v>2.5999999999999999E-2</v>
      </c>
    </row>
    <row r="51" spans="1:33">
      <c r="A51" t="s">
        <v>203</v>
      </c>
      <c r="B51" t="s">
        <v>2741</v>
      </c>
      <c r="C51" t="s">
        <v>2740</v>
      </c>
      <c r="D51" t="s">
        <v>220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t="s">
        <v>15</v>
      </c>
    </row>
    <row r="52" spans="1:33">
      <c r="A52" t="s">
        <v>204</v>
      </c>
      <c r="B52" t="s">
        <v>2739</v>
      </c>
      <c r="C52" t="s">
        <v>2738</v>
      </c>
      <c r="D52" t="s">
        <v>220</v>
      </c>
      <c r="F52">
        <v>0.18515499999999999</v>
      </c>
      <c r="G52">
        <v>0.24551999999999999</v>
      </c>
      <c r="H52">
        <v>0.30169099999999999</v>
      </c>
      <c r="I52">
        <v>0.35297400000000001</v>
      </c>
      <c r="J52">
        <v>0.39618599999999998</v>
      </c>
      <c r="K52">
        <v>0.43319400000000002</v>
      </c>
      <c r="L52">
        <v>0.46518399999999999</v>
      </c>
      <c r="M52">
        <v>0.49213899999999999</v>
      </c>
      <c r="N52">
        <v>0.51570899999999997</v>
      </c>
      <c r="O52">
        <v>0.53597600000000001</v>
      </c>
      <c r="P52">
        <v>0.55396900000000004</v>
      </c>
      <c r="Q52">
        <v>0.56943999999999995</v>
      </c>
      <c r="R52">
        <v>0.58362599999999998</v>
      </c>
      <c r="S52">
        <v>0.596418</v>
      </c>
      <c r="T52">
        <v>0.60785299999999998</v>
      </c>
      <c r="U52">
        <v>0.61746599999999996</v>
      </c>
      <c r="V52">
        <v>0.62655300000000003</v>
      </c>
      <c r="W52">
        <v>0.63464799999999999</v>
      </c>
      <c r="X52">
        <v>0.64217500000000005</v>
      </c>
      <c r="Y52">
        <v>0.64864299999999997</v>
      </c>
      <c r="Z52">
        <v>0.65428299999999995</v>
      </c>
      <c r="AA52">
        <v>0.66003299999999998</v>
      </c>
      <c r="AB52">
        <v>0.66523100000000002</v>
      </c>
      <c r="AC52">
        <v>0.67273099999999997</v>
      </c>
      <c r="AD52">
        <v>0.68039099999999997</v>
      </c>
      <c r="AE52">
        <v>0.68770299999999995</v>
      </c>
      <c r="AF52">
        <v>0.69397600000000004</v>
      </c>
      <c r="AG52" s="20">
        <v>5.1999999999999998E-2</v>
      </c>
    </row>
    <row r="53" spans="1:33">
      <c r="A53" t="s">
        <v>206</v>
      </c>
      <c r="B53" t="s">
        <v>2737</v>
      </c>
      <c r="C53" t="s">
        <v>2736</v>
      </c>
      <c r="D53" t="s">
        <v>220</v>
      </c>
      <c r="F53">
        <v>0</v>
      </c>
      <c r="G53">
        <v>0</v>
      </c>
      <c r="H53">
        <v>1.5969999999999999E-3</v>
      </c>
      <c r="I53">
        <v>4.424E-3</v>
      </c>
      <c r="J53">
        <v>7.4520000000000003E-3</v>
      </c>
      <c r="K53">
        <v>1.0940999999999999E-2</v>
      </c>
      <c r="L53">
        <v>1.4944000000000001E-2</v>
      </c>
      <c r="M53">
        <v>1.9642E-2</v>
      </c>
      <c r="N53">
        <v>2.5437999999999999E-2</v>
      </c>
      <c r="O53">
        <v>2.3895E-2</v>
      </c>
      <c r="P53">
        <v>2.2523999999999999E-2</v>
      </c>
      <c r="Q53">
        <v>2.1420999999999999E-2</v>
      </c>
      <c r="R53">
        <v>2.0462999999999999E-2</v>
      </c>
      <c r="S53">
        <v>1.9831000000000001E-2</v>
      </c>
      <c r="T53">
        <v>1.9446999999999999E-2</v>
      </c>
      <c r="U53">
        <v>1.9268E-2</v>
      </c>
      <c r="V53">
        <v>1.9012999999999999E-2</v>
      </c>
      <c r="W53">
        <v>1.8571000000000001E-2</v>
      </c>
      <c r="X53">
        <v>1.7878000000000002E-2</v>
      </c>
      <c r="Y53">
        <v>1.6910999999999999E-2</v>
      </c>
      <c r="Z53">
        <v>1.5798E-2</v>
      </c>
      <c r="AA53">
        <v>1.456E-2</v>
      </c>
      <c r="AB53">
        <v>1.3139E-2</v>
      </c>
      <c r="AC53">
        <v>1.1603E-2</v>
      </c>
      <c r="AD53">
        <v>1.0300999999999999E-2</v>
      </c>
      <c r="AE53">
        <v>9.221E-3</v>
      </c>
      <c r="AF53">
        <v>8.345E-3</v>
      </c>
      <c r="AG53" t="s">
        <v>15</v>
      </c>
    </row>
    <row r="54" spans="1:33">
      <c r="A54" t="s">
        <v>205</v>
      </c>
      <c r="B54" t="s">
        <v>2735</v>
      </c>
      <c r="C54" t="s">
        <v>2734</v>
      </c>
      <c r="D54" t="s">
        <v>220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15</v>
      </c>
    </row>
    <row r="55" spans="1:33">
      <c r="A55" t="s">
        <v>207</v>
      </c>
      <c r="B55" t="s">
        <v>2733</v>
      </c>
      <c r="C55" t="s">
        <v>2732</v>
      </c>
      <c r="D55" t="s">
        <v>220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15</v>
      </c>
    </row>
    <row r="56" spans="1:33">
      <c r="A56" t="s">
        <v>1668</v>
      </c>
      <c r="B56" t="s">
        <v>2731</v>
      </c>
      <c r="C56" t="s">
        <v>2730</v>
      </c>
      <c r="D56" t="s">
        <v>220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t="s">
        <v>15</v>
      </c>
    </row>
    <row r="57" spans="1:33">
      <c r="A57" t="s">
        <v>1665</v>
      </c>
      <c r="B57" t="s">
        <v>2729</v>
      </c>
      <c r="C57" t="s">
        <v>2728</v>
      </c>
      <c r="D57" t="s">
        <v>220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15</v>
      </c>
    </row>
    <row r="58" spans="1:33">
      <c r="A58" t="s">
        <v>1662</v>
      </c>
      <c r="B58" t="s">
        <v>2727</v>
      </c>
      <c r="C58" t="s">
        <v>2726</v>
      </c>
      <c r="D58" t="s">
        <v>220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15</v>
      </c>
    </row>
    <row r="59" spans="1:33">
      <c r="A59" t="s">
        <v>225</v>
      </c>
      <c r="B59" t="s">
        <v>2725</v>
      </c>
      <c r="C59" t="s">
        <v>2724</v>
      </c>
      <c r="D59" t="s">
        <v>220</v>
      </c>
      <c r="F59">
        <v>195.47178600000001</v>
      </c>
      <c r="G59">
        <v>200.263214</v>
      </c>
      <c r="H59">
        <v>203.781387</v>
      </c>
      <c r="I59">
        <v>207.091309</v>
      </c>
      <c r="J59">
        <v>209.459946</v>
      </c>
      <c r="K59">
        <v>211.624908</v>
      </c>
      <c r="L59">
        <v>213.58685299999999</v>
      </c>
      <c r="M59">
        <v>215.039703</v>
      </c>
      <c r="N59">
        <v>216.39988700000001</v>
      </c>
      <c r="O59">
        <v>217.47335799999999</v>
      </c>
      <c r="P59">
        <v>218.671783</v>
      </c>
      <c r="Q59">
        <v>219.823669</v>
      </c>
      <c r="R59">
        <v>221.246475</v>
      </c>
      <c r="S59">
        <v>222.829758</v>
      </c>
      <c r="T59">
        <v>224.413895</v>
      </c>
      <c r="U59">
        <v>225.715836</v>
      </c>
      <c r="V59">
        <v>227.05023199999999</v>
      </c>
      <c r="W59">
        <v>228.286179</v>
      </c>
      <c r="X59">
        <v>229.52342200000001</v>
      </c>
      <c r="Y59">
        <v>230.54377700000001</v>
      </c>
      <c r="Z59">
        <v>231.37148999999999</v>
      </c>
      <c r="AA59">
        <v>232.25056499999999</v>
      </c>
      <c r="AB59">
        <v>232.92233300000001</v>
      </c>
      <c r="AC59">
        <v>234.414322</v>
      </c>
      <c r="AD59">
        <v>235.96463</v>
      </c>
      <c r="AE59">
        <v>237.36372399999999</v>
      </c>
      <c r="AF59">
        <v>238.431488</v>
      </c>
      <c r="AG59" s="20">
        <v>8.0000000000000002E-3</v>
      </c>
    </row>
    <row r="60" spans="1:33">
      <c r="A60" t="s">
        <v>226</v>
      </c>
      <c r="B60" t="s">
        <v>2723</v>
      </c>
      <c r="C60" t="s">
        <v>2722</v>
      </c>
      <c r="D60" t="s">
        <v>220</v>
      </c>
      <c r="F60">
        <v>340.05352800000003</v>
      </c>
      <c r="G60">
        <v>346.20687900000001</v>
      </c>
      <c r="H60">
        <v>350.06643700000001</v>
      </c>
      <c r="I60">
        <v>353.524384</v>
      </c>
      <c r="J60">
        <v>356.01034499999997</v>
      </c>
      <c r="K60">
        <v>358.95349099999999</v>
      </c>
      <c r="L60">
        <v>362.113586</v>
      </c>
      <c r="M60">
        <v>364.84457400000002</v>
      </c>
      <c r="N60">
        <v>367.71246300000001</v>
      </c>
      <c r="O60">
        <v>370.27838100000002</v>
      </c>
      <c r="P60">
        <v>373.22351099999997</v>
      </c>
      <c r="Q60">
        <v>376.19232199999999</v>
      </c>
      <c r="R60">
        <v>379.62286399999999</v>
      </c>
      <c r="S60">
        <v>383.28610200000003</v>
      </c>
      <c r="T60">
        <v>386.97692899999998</v>
      </c>
      <c r="U60">
        <v>390.32254</v>
      </c>
      <c r="V60">
        <v>393.88848899999999</v>
      </c>
      <c r="W60">
        <v>397.25256300000001</v>
      </c>
      <c r="X60">
        <v>400.59161399999999</v>
      </c>
      <c r="Y60">
        <v>403.49899299999998</v>
      </c>
      <c r="Z60">
        <v>406.14782700000001</v>
      </c>
      <c r="AA60">
        <v>409.07757600000002</v>
      </c>
      <c r="AB60">
        <v>411.83511399999998</v>
      </c>
      <c r="AC60">
        <v>416.007904</v>
      </c>
      <c r="AD60">
        <v>420.09542800000003</v>
      </c>
      <c r="AE60">
        <v>423.83947799999999</v>
      </c>
      <c r="AF60">
        <v>427.049103</v>
      </c>
      <c r="AG60" s="20">
        <v>8.9999999999999993E-3</v>
      </c>
    </row>
    <row r="61" spans="1:33">
      <c r="A61" t="s">
        <v>227</v>
      </c>
    </row>
    <row r="62" spans="1:33">
      <c r="A62" t="s">
        <v>219</v>
      </c>
    </row>
    <row r="63" spans="1:33">
      <c r="A63" t="s">
        <v>168</v>
      </c>
      <c r="B63" t="s">
        <v>2721</v>
      </c>
      <c r="C63" t="s">
        <v>2720</v>
      </c>
      <c r="D63" t="s">
        <v>177</v>
      </c>
      <c r="F63">
        <v>539.32830799999999</v>
      </c>
      <c r="G63">
        <v>535.87744099999998</v>
      </c>
      <c r="H63">
        <v>526.47082499999999</v>
      </c>
      <c r="I63">
        <v>514.90979000000004</v>
      </c>
      <c r="J63">
        <v>500.66012599999999</v>
      </c>
      <c r="K63">
        <v>487.09197999999998</v>
      </c>
      <c r="L63">
        <v>472.83761600000003</v>
      </c>
      <c r="M63">
        <v>456.98330700000002</v>
      </c>
      <c r="N63">
        <v>439.54986600000001</v>
      </c>
      <c r="O63">
        <v>421.112213</v>
      </c>
      <c r="P63">
        <v>402.77359000000001</v>
      </c>
      <c r="Q63">
        <v>384.41812099999999</v>
      </c>
      <c r="R63">
        <v>366.71688799999998</v>
      </c>
      <c r="S63">
        <v>349.36556999999999</v>
      </c>
      <c r="T63">
        <v>331.83755500000001</v>
      </c>
      <c r="U63">
        <v>313.92739899999998</v>
      </c>
      <c r="V63">
        <v>297.00720200000001</v>
      </c>
      <c r="W63">
        <v>280.08450299999998</v>
      </c>
      <c r="X63">
        <v>263.625</v>
      </c>
      <c r="Y63">
        <v>247.19342</v>
      </c>
      <c r="Z63">
        <v>231.70181299999999</v>
      </c>
      <c r="AA63">
        <v>217.603363</v>
      </c>
      <c r="AB63">
        <v>204.607315</v>
      </c>
      <c r="AC63">
        <v>192.892731</v>
      </c>
      <c r="AD63">
        <v>181.41439800000001</v>
      </c>
      <c r="AE63">
        <v>170.285416</v>
      </c>
      <c r="AF63">
        <v>159.76902799999999</v>
      </c>
      <c r="AG63" s="20">
        <v>-4.5999999999999999E-2</v>
      </c>
    </row>
    <row r="64" spans="1:33">
      <c r="A64" t="s">
        <v>154</v>
      </c>
      <c r="B64" t="s">
        <v>2719</v>
      </c>
      <c r="C64" t="s">
        <v>2718</v>
      </c>
      <c r="D64" t="s">
        <v>177</v>
      </c>
      <c r="F64">
        <v>270.20654300000001</v>
      </c>
      <c r="G64">
        <v>286.74316399999998</v>
      </c>
      <c r="H64">
        <v>300.59240699999998</v>
      </c>
      <c r="I64">
        <v>312.42083700000001</v>
      </c>
      <c r="J64">
        <v>320.31881700000002</v>
      </c>
      <c r="K64">
        <v>326.26678500000003</v>
      </c>
      <c r="L64">
        <v>329.71170000000001</v>
      </c>
      <c r="M64">
        <v>329.802032</v>
      </c>
      <c r="N64">
        <v>327.10320999999999</v>
      </c>
      <c r="O64">
        <v>322.50714099999999</v>
      </c>
      <c r="P64">
        <v>316.945312</v>
      </c>
      <c r="Q64">
        <v>310.35699499999998</v>
      </c>
      <c r="R64">
        <v>303.54803500000003</v>
      </c>
      <c r="S64">
        <v>296.39196800000002</v>
      </c>
      <c r="T64">
        <v>288.21630900000002</v>
      </c>
      <c r="U64">
        <v>278.85684199999997</v>
      </c>
      <c r="V64">
        <v>269.63986199999999</v>
      </c>
      <c r="W64">
        <v>259.62844799999999</v>
      </c>
      <c r="X64">
        <v>249.007294</v>
      </c>
      <c r="Y64">
        <v>237.562637</v>
      </c>
      <c r="Z64">
        <v>226.576401</v>
      </c>
      <c r="AA64">
        <v>216.55032299999999</v>
      </c>
      <c r="AB64">
        <v>207.086716</v>
      </c>
      <c r="AC64">
        <v>198.388046</v>
      </c>
      <c r="AD64">
        <v>189.61007699999999</v>
      </c>
      <c r="AE64">
        <v>180.95361299999999</v>
      </c>
      <c r="AF64">
        <v>172.71246300000001</v>
      </c>
      <c r="AG64" s="20">
        <v>-1.7000000000000001E-2</v>
      </c>
    </row>
    <row r="65" spans="1:33">
      <c r="A65" t="s">
        <v>149</v>
      </c>
      <c r="B65" t="s">
        <v>2717</v>
      </c>
      <c r="C65" t="s">
        <v>2716</v>
      </c>
      <c r="D65" t="s">
        <v>177</v>
      </c>
      <c r="F65">
        <v>9.8759999999999994E-3</v>
      </c>
      <c r="G65">
        <v>9.6780000000000008E-3</v>
      </c>
      <c r="H65">
        <v>9.4769999999999993E-3</v>
      </c>
      <c r="I65">
        <v>9.3229999999999997E-3</v>
      </c>
      <c r="J65">
        <v>9.3380000000000008E-3</v>
      </c>
      <c r="K65">
        <v>9.4339999999999997E-3</v>
      </c>
      <c r="L65">
        <v>9.5499999999999995E-3</v>
      </c>
      <c r="M65">
        <v>9.6950000000000005E-3</v>
      </c>
      <c r="N65">
        <v>9.8689999999999993E-3</v>
      </c>
      <c r="O65">
        <v>9.639E-3</v>
      </c>
      <c r="P65">
        <v>9.2820000000000003E-3</v>
      </c>
      <c r="Q65">
        <v>9.1350000000000008E-3</v>
      </c>
      <c r="R65">
        <v>9.1500000000000001E-3</v>
      </c>
      <c r="S65">
        <v>9.2680000000000002E-3</v>
      </c>
      <c r="T65">
        <v>9.4549999999999999E-3</v>
      </c>
      <c r="U65">
        <v>9.6740000000000003E-3</v>
      </c>
      <c r="V65">
        <v>9.9190000000000007E-3</v>
      </c>
      <c r="W65">
        <v>1.0160000000000001E-2</v>
      </c>
      <c r="X65">
        <v>1.0387E-2</v>
      </c>
      <c r="Y65">
        <v>1.0591E-2</v>
      </c>
      <c r="Z65">
        <v>1.0782E-2</v>
      </c>
      <c r="AA65">
        <v>1.0982E-2</v>
      </c>
      <c r="AB65">
        <v>1.1176999999999999E-2</v>
      </c>
      <c r="AC65">
        <v>1.14E-2</v>
      </c>
      <c r="AD65">
        <v>1.1604E-2</v>
      </c>
      <c r="AE65">
        <v>1.1789000000000001E-2</v>
      </c>
      <c r="AF65">
        <v>1.1957000000000001E-2</v>
      </c>
      <c r="AG65" s="20">
        <v>7.0000000000000001E-3</v>
      </c>
    </row>
    <row r="66" spans="1:33">
      <c r="A66" t="s">
        <v>148</v>
      </c>
      <c r="B66" t="s">
        <v>2715</v>
      </c>
      <c r="C66" t="s">
        <v>2714</v>
      </c>
      <c r="D66" t="s">
        <v>177</v>
      </c>
      <c r="F66">
        <v>0.92232899999999995</v>
      </c>
      <c r="G66">
        <v>2.4081709999999998</v>
      </c>
      <c r="H66">
        <v>4.0482360000000002</v>
      </c>
      <c r="I66">
        <v>5.7588280000000003</v>
      </c>
      <c r="J66">
        <v>6.7716529999999997</v>
      </c>
      <c r="K66">
        <v>7.8335220000000003</v>
      </c>
      <c r="L66">
        <v>8.6189680000000006</v>
      </c>
      <c r="M66">
        <v>9.037191</v>
      </c>
      <c r="N66">
        <v>9.3006480000000007</v>
      </c>
      <c r="O66">
        <v>9.3489950000000004</v>
      </c>
      <c r="P66">
        <v>9.4854869999999991</v>
      </c>
      <c r="Q66">
        <v>9.7867789999999992</v>
      </c>
      <c r="R66">
        <v>10.174992</v>
      </c>
      <c r="S66">
        <v>10.690709</v>
      </c>
      <c r="T66">
        <v>11.461022</v>
      </c>
      <c r="U66">
        <v>12.313684</v>
      </c>
      <c r="V66">
        <v>13.393580999999999</v>
      </c>
      <c r="W66">
        <v>14.774547999999999</v>
      </c>
      <c r="X66">
        <v>16.355795000000001</v>
      </c>
      <c r="Y66">
        <v>18.112090999999999</v>
      </c>
      <c r="Z66">
        <v>19.866278000000001</v>
      </c>
      <c r="AA66">
        <v>21.762203</v>
      </c>
      <c r="AB66">
        <v>23.796016999999999</v>
      </c>
      <c r="AC66">
        <v>26.11871</v>
      </c>
      <c r="AD66">
        <v>28.521559</v>
      </c>
      <c r="AE66">
        <v>31.067458999999999</v>
      </c>
      <c r="AF66">
        <v>33.688952999999998</v>
      </c>
      <c r="AG66" s="20">
        <v>0.14799999999999999</v>
      </c>
    </row>
    <row r="67" spans="1:33">
      <c r="A67" t="s">
        <v>203</v>
      </c>
      <c r="B67" t="s">
        <v>2713</v>
      </c>
      <c r="C67" t="s">
        <v>2712</v>
      </c>
      <c r="D67" t="s">
        <v>177</v>
      </c>
      <c r="F67">
        <v>40.716315999999999</v>
      </c>
      <c r="G67">
        <v>37.109366999999999</v>
      </c>
      <c r="H67">
        <v>33.380229999999997</v>
      </c>
      <c r="I67">
        <v>29.907885</v>
      </c>
      <c r="J67">
        <v>26.824255000000001</v>
      </c>
      <c r="K67">
        <v>24.225940999999999</v>
      </c>
      <c r="L67">
        <v>21.93648</v>
      </c>
      <c r="M67">
        <v>19.895927</v>
      </c>
      <c r="N67">
        <v>18.051977000000001</v>
      </c>
      <c r="O67">
        <v>16.351952000000001</v>
      </c>
      <c r="P67">
        <v>14.802211</v>
      </c>
      <c r="Q67">
        <v>13.389184</v>
      </c>
      <c r="R67">
        <v>12.073988999999999</v>
      </c>
      <c r="S67">
        <v>10.838914000000001</v>
      </c>
      <c r="T67">
        <v>9.6831160000000001</v>
      </c>
      <c r="U67">
        <v>8.6211570000000002</v>
      </c>
      <c r="V67">
        <v>7.6712660000000001</v>
      </c>
      <c r="W67">
        <v>6.8364719999999997</v>
      </c>
      <c r="X67">
        <v>6.1080100000000002</v>
      </c>
      <c r="Y67">
        <v>5.4671849999999997</v>
      </c>
      <c r="Z67">
        <v>4.8528729999999998</v>
      </c>
      <c r="AA67">
        <v>4.2811690000000002</v>
      </c>
      <c r="AB67">
        <v>3.7411020000000001</v>
      </c>
      <c r="AC67">
        <v>3.2653530000000002</v>
      </c>
      <c r="AD67">
        <v>2.7555480000000001</v>
      </c>
      <c r="AE67">
        <v>2.2511809999999999</v>
      </c>
      <c r="AF67">
        <v>1.7685310000000001</v>
      </c>
      <c r="AG67" s="20">
        <v>-0.114</v>
      </c>
    </row>
    <row r="68" spans="1:33">
      <c r="A68" t="s">
        <v>204</v>
      </c>
      <c r="B68" t="s">
        <v>2711</v>
      </c>
      <c r="C68" t="s">
        <v>2710</v>
      </c>
      <c r="D68" t="s">
        <v>177</v>
      </c>
      <c r="F68">
        <v>0.29254200000000002</v>
      </c>
      <c r="G68">
        <v>0.39745999999999998</v>
      </c>
      <c r="H68">
        <v>0.494035</v>
      </c>
      <c r="I68">
        <v>0.57998000000000005</v>
      </c>
      <c r="J68">
        <v>0.65522100000000005</v>
      </c>
      <c r="K68">
        <v>0.72641299999999998</v>
      </c>
      <c r="L68">
        <v>0.80841700000000005</v>
      </c>
      <c r="M68">
        <v>1.033936</v>
      </c>
      <c r="N68">
        <v>1.440906</v>
      </c>
      <c r="O68">
        <v>1.823518</v>
      </c>
      <c r="P68">
        <v>2.43858</v>
      </c>
      <c r="Q68">
        <v>3.4486059999999998</v>
      </c>
      <c r="R68">
        <v>4.8937140000000001</v>
      </c>
      <c r="S68">
        <v>6.688231</v>
      </c>
      <c r="T68">
        <v>8.867578</v>
      </c>
      <c r="U68">
        <v>11.444328000000001</v>
      </c>
      <c r="V68">
        <v>14.47161</v>
      </c>
      <c r="W68">
        <v>18.156417999999999</v>
      </c>
      <c r="X68">
        <v>22.357728999999999</v>
      </c>
      <c r="Y68">
        <v>26.97221</v>
      </c>
      <c r="Z68">
        <v>31.631969000000002</v>
      </c>
      <c r="AA68">
        <v>36.500670999999997</v>
      </c>
      <c r="AB68">
        <v>41.514029999999998</v>
      </c>
      <c r="AC68">
        <v>46.904494999999997</v>
      </c>
      <c r="AD68">
        <v>52.434565999999997</v>
      </c>
      <c r="AE68">
        <v>57.970725999999999</v>
      </c>
      <c r="AF68">
        <v>63.491337000000001</v>
      </c>
      <c r="AG68" s="20">
        <v>0.23</v>
      </c>
    </row>
    <row r="69" spans="1:33">
      <c r="A69" t="s">
        <v>206</v>
      </c>
      <c r="B69" t="s">
        <v>2709</v>
      </c>
      <c r="C69" t="s">
        <v>2708</v>
      </c>
      <c r="D69" t="s">
        <v>177</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t="s">
        <v>15</v>
      </c>
    </row>
    <row r="70" spans="1:33">
      <c r="A70" t="s">
        <v>205</v>
      </c>
      <c r="B70" t="s">
        <v>2707</v>
      </c>
      <c r="C70" t="s">
        <v>2706</v>
      </c>
      <c r="D70" t="s">
        <v>177</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t="s">
        <v>15</v>
      </c>
    </row>
    <row r="71" spans="1:33">
      <c r="A71" t="s">
        <v>207</v>
      </c>
      <c r="B71" t="s">
        <v>2705</v>
      </c>
      <c r="C71" t="s">
        <v>2704</v>
      </c>
      <c r="D71" t="s">
        <v>177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15</v>
      </c>
    </row>
    <row r="72" spans="1:33">
      <c r="A72" t="s">
        <v>1668</v>
      </c>
      <c r="B72" t="s">
        <v>2703</v>
      </c>
      <c r="C72" t="s">
        <v>2702</v>
      </c>
      <c r="D72" t="s">
        <v>177</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t="s">
        <v>15</v>
      </c>
    </row>
    <row r="73" spans="1:33">
      <c r="A73" t="s">
        <v>1665</v>
      </c>
      <c r="B73" t="s">
        <v>2701</v>
      </c>
      <c r="C73" t="s">
        <v>2700</v>
      </c>
      <c r="D73" t="s">
        <v>177</v>
      </c>
      <c r="F73">
        <v>0</v>
      </c>
      <c r="G73">
        <v>0.95440199999999997</v>
      </c>
      <c r="H73">
        <v>2.4927169999999998</v>
      </c>
      <c r="I73">
        <v>4.5722139999999998</v>
      </c>
      <c r="J73">
        <v>11.711790000000001</v>
      </c>
      <c r="K73">
        <v>24.769062000000002</v>
      </c>
      <c r="L73">
        <v>43.507514999999998</v>
      </c>
      <c r="M73">
        <v>67.176765000000003</v>
      </c>
      <c r="N73">
        <v>95.398871999999997</v>
      </c>
      <c r="O73">
        <v>126.438271</v>
      </c>
      <c r="P73">
        <v>158.769058</v>
      </c>
      <c r="Q73">
        <v>191.04911799999999</v>
      </c>
      <c r="R73">
        <v>222.48751799999999</v>
      </c>
      <c r="S73">
        <v>252.82922400000001</v>
      </c>
      <c r="T73">
        <v>283.12927200000001</v>
      </c>
      <c r="U73">
        <v>313.562836</v>
      </c>
      <c r="V73">
        <v>343.07336400000003</v>
      </c>
      <c r="W73">
        <v>370.79885899999999</v>
      </c>
      <c r="X73">
        <v>396.84454299999999</v>
      </c>
      <c r="Y73">
        <v>420.95086700000002</v>
      </c>
      <c r="Z73">
        <v>443.47396900000001</v>
      </c>
      <c r="AA73">
        <v>465.08380099999999</v>
      </c>
      <c r="AB73">
        <v>485.47805799999998</v>
      </c>
      <c r="AC73">
        <v>505.99935900000003</v>
      </c>
      <c r="AD73">
        <v>524.76403800000003</v>
      </c>
      <c r="AE73">
        <v>541.83367899999996</v>
      </c>
      <c r="AF73">
        <v>557.18951400000003</v>
      </c>
      <c r="AG73" t="s">
        <v>15</v>
      </c>
    </row>
    <row r="74" spans="1:33">
      <c r="A74" t="s">
        <v>1662</v>
      </c>
      <c r="B74" t="s">
        <v>2699</v>
      </c>
      <c r="C74" t="s">
        <v>2698</v>
      </c>
      <c r="D74" t="s">
        <v>177</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t="s">
        <v>15</v>
      </c>
    </row>
    <row r="75" spans="1:33">
      <c r="A75" t="s">
        <v>221</v>
      </c>
      <c r="B75" t="s">
        <v>2697</v>
      </c>
      <c r="C75" t="s">
        <v>2696</v>
      </c>
      <c r="D75" t="s">
        <v>177</v>
      </c>
      <c r="F75">
        <v>851.47570800000005</v>
      </c>
      <c r="G75">
        <v>863.49969499999997</v>
      </c>
      <c r="H75">
        <v>867.48779300000001</v>
      </c>
      <c r="I75">
        <v>868.15893600000004</v>
      </c>
      <c r="J75">
        <v>866.95111099999997</v>
      </c>
      <c r="K75">
        <v>870.92315699999995</v>
      </c>
      <c r="L75">
        <v>877.43029799999999</v>
      </c>
      <c r="M75">
        <v>883.93908699999997</v>
      </c>
      <c r="N75">
        <v>890.85497999999995</v>
      </c>
      <c r="O75">
        <v>897.59155299999998</v>
      </c>
      <c r="P75">
        <v>905.22363299999995</v>
      </c>
      <c r="Q75">
        <v>912.45806900000002</v>
      </c>
      <c r="R75">
        <v>919.90423599999997</v>
      </c>
      <c r="S75">
        <v>926.81359899999995</v>
      </c>
      <c r="T75">
        <v>933.20452899999998</v>
      </c>
      <c r="U75">
        <v>938.73590100000001</v>
      </c>
      <c r="V75">
        <v>945.26709000000005</v>
      </c>
      <c r="W75">
        <v>950.28949</v>
      </c>
      <c r="X75">
        <v>954.308899</v>
      </c>
      <c r="Y75">
        <v>956.26916500000004</v>
      </c>
      <c r="Z75">
        <v>958.11425799999995</v>
      </c>
      <c r="AA75">
        <v>961.79260299999999</v>
      </c>
      <c r="AB75">
        <v>966.23419200000001</v>
      </c>
      <c r="AC75">
        <v>973.58013900000003</v>
      </c>
      <c r="AD75">
        <v>979.51165800000001</v>
      </c>
      <c r="AE75">
        <v>984.37377900000001</v>
      </c>
      <c r="AF75">
        <v>988.63177499999995</v>
      </c>
      <c r="AG75" s="20">
        <v>6.0000000000000001E-3</v>
      </c>
    </row>
    <row r="76" spans="1:33">
      <c r="A76" t="s">
        <v>222</v>
      </c>
    </row>
    <row r="77" spans="1:33">
      <c r="A77" t="s">
        <v>168</v>
      </c>
      <c r="B77" t="s">
        <v>2695</v>
      </c>
      <c r="C77" t="s">
        <v>2694</v>
      </c>
      <c r="D77" t="s">
        <v>177</v>
      </c>
      <c r="F77">
        <v>572.37652600000001</v>
      </c>
      <c r="G77">
        <v>558.80456500000003</v>
      </c>
      <c r="H77">
        <v>541.12286400000005</v>
      </c>
      <c r="I77">
        <v>523.78063999999995</v>
      </c>
      <c r="J77">
        <v>506.713165</v>
      </c>
      <c r="K77">
        <v>491.63479599999999</v>
      </c>
      <c r="L77">
        <v>477.74710099999999</v>
      </c>
      <c r="M77">
        <v>464.060181</v>
      </c>
      <c r="N77">
        <v>450.953217</v>
      </c>
      <c r="O77">
        <v>437.35858200000001</v>
      </c>
      <c r="P77">
        <v>423.99996900000002</v>
      </c>
      <c r="Q77">
        <v>410.70755000000003</v>
      </c>
      <c r="R77">
        <v>398.23928799999999</v>
      </c>
      <c r="S77">
        <v>386.23608400000001</v>
      </c>
      <c r="T77">
        <v>374.49648999999999</v>
      </c>
      <c r="U77">
        <v>362.95611600000001</v>
      </c>
      <c r="V77">
        <v>352.30072000000001</v>
      </c>
      <c r="W77">
        <v>342.16351300000002</v>
      </c>
      <c r="X77">
        <v>333.05093399999998</v>
      </c>
      <c r="Y77">
        <v>324.80343599999998</v>
      </c>
      <c r="Z77">
        <v>317.37185699999998</v>
      </c>
      <c r="AA77">
        <v>310.901184</v>
      </c>
      <c r="AB77">
        <v>304.93978900000002</v>
      </c>
      <c r="AC77">
        <v>300.66876200000002</v>
      </c>
      <c r="AD77">
        <v>296.874573</v>
      </c>
      <c r="AE77">
        <v>293.21627799999999</v>
      </c>
      <c r="AF77">
        <v>289.48172</v>
      </c>
      <c r="AG77" s="20">
        <v>-2.5999999999999999E-2</v>
      </c>
    </row>
    <row r="78" spans="1:33">
      <c r="A78" t="s">
        <v>154</v>
      </c>
      <c r="B78" t="s">
        <v>2693</v>
      </c>
      <c r="C78" t="s">
        <v>2692</v>
      </c>
      <c r="D78" t="s">
        <v>177</v>
      </c>
      <c r="F78">
        <v>359.68539399999997</v>
      </c>
      <c r="G78">
        <v>360.30960099999999</v>
      </c>
      <c r="H78">
        <v>358.48315400000001</v>
      </c>
      <c r="I78">
        <v>356.47775300000001</v>
      </c>
      <c r="J78">
        <v>353.87088</v>
      </c>
      <c r="K78">
        <v>351.62857100000002</v>
      </c>
      <c r="L78">
        <v>349.46173099999999</v>
      </c>
      <c r="M78">
        <v>346.85674999999998</v>
      </c>
      <c r="N78">
        <v>344.34634399999999</v>
      </c>
      <c r="O78">
        <v>341.01715100000001</v>
      </c>
      <c r="P78">
        <v>337.59548999999998</v>
      </c>
      <c r="Q78">
        <v>333.75140399999998</v>
      </c>
      <c r="R78">
        <v>329.916473</v>
      </c>
      <c r="S78">
        <v>326.27279700000003</v>
      </c>
      <c r="T78">
        <v>322.26357999999999</v>
      </c>
      <c r="U78">
        <v>318.03363000000002</v>
      </c>
      <c r="V78">
        <v>314.02862499999998</v>
      </c>
      <c r="W78">
        <v>310.18368500000003</v>
      </c>
      <c r="X78">
        <v>306.739441</v>
      </c>
      <c r="Y78">
        <v>303.39968900000002</v>
      </c>
      <c r="Z78">
        <v>300.22131300000001</v>
      </c>
      <c r="AA78">
        <v>297.467285</v>
      </c>
      <c r="AB78">
        <v>294.79830900000002</v>
      </c>
      <c r="AC78">
        <v>293.383667</v>
      </c>
      <c r="AD78">
        <v>292.20773300000002</v>
      </c>
      <c r="AE78">
        <v>290.96585099999999</v>
      </c>
      <c r="AF78">
        <v>289.34399400000001</v>
      </c>
      <c r="AG78" s="20">
        <v>-8.0000000000000002E-3</v>
      </c>
    </row>
    <row r="79" spans="1:33">
      <c r="A79" t="s">
        <v>149</v>
      </c>
      <c r="B79" t="s">
        <v>2691</v>
      </c>
      <c r="C79" t="s">
        <v>2690</v>
      </c>
      <c r="D79" t="s">
        <v>177</v>
      </c>
      <c r="F79">
        <v>0.47085199999999999</v>
      </c>
      <c r="G79">
        <v>0.41935099999999997</v>
      </c>
      <c r="H79">
        <v>0.37104700000000002</v>
      </c>
      <c r="I79">
        <v>0.32684800000000003</v>
      </c>
      <c r="J79">
        <v>0.28870000000000001</v>
      </c>
      <c r="K79">
        <v>0.238845</v>
      </c>
      <c r="L79">
        <v>0.21263199999999999</v>
      </c>
      <c r="M79">
        <v>0.188775</v>
      </c>
      <c r="N79">
        <v>0.168763</v>
      </c>
      <c r="O79">
        <v>0.15124199999999999</v>
      </c>
      <c r="P79">
        <v>0.13289300000000001</v>
      </c>
      <c r="Q79">
        <v>0.11908299999999999</v>
      </c>
      <c r="R79">
        <v>0.107998</v>
      </c>
      <c r="S79">
        <v>9.8922999999999997E-2</v>
      </c>
      <c r="T79">
        <v>9.0830999999999995E-2</v>
      </c>
      <c r="U79">
        <v>8.3752999999999994E-2</v>
      </c>
      <c r="V79">
        <v>7.8001000000000001E-2</v>
      </c>
      <c r="W79">
        <v>7.2731000000000004E-2</v>
      </c>
      <c r="X79">
        <v>6.8098000000000006E-2</v>
      </c>
      <c r="Y79">
        <v>6.3923999999999995E-2</v>
      </c>
      <c r="Z79">
        <v>5.9880999999999997E-2</v>
      </c>
      <c r="AA79">
        <v>5.7341000000000003E-2</v>
      </c>
      <c r="AB79">
        <v>5.4455000000000003E-2</v>
      </c>
      <c r="AC79">
        <v>5.1909999999999998E-2</v>
      </c>
      <c r="AD79">
        <v>4.5478999999999999E-2</v>
      </c>
      <c r="AE79">
        <v>3.5347999999999997E-2</v>
      </c>
      <c r="AF79">
        <v>2.7369999999999998E-2</v>
      </c>
      <c r="AG79" s="20">
        <v>-0.104</v>
      </c>
    </row>
    <row r="80" spans="1:33">
      <c r="A80" t="s">
        <v>148</v>
      </c>
      <c r="B80" t="s">
        <v>2689</v>
      </c>
      <c r="C80" t="s">
        <v>2688</v>
      </c>
      <c r="D80" t="s">
        <v>177</v>
      </c>
      <c r="F80">
        <v>3.8930639999999999</v>
      </c>
      <c r="G80">
        <v>5.1351810000000002</v>
      </c>
      <c r="H80">
        <v>6.2655669999999999</v>
      </c>
      <c r="I80">
        <v>7.246683</v>
      </c>
      <c r="J80">
        <v>8.0653629999999996</v>
      </c>
      <c r="K80">
        <v>8.758089</v>
      </c>
      <c r="L80">
        <v>9.3531890000000004</v>
      </c>
      <c r="M80">
        <v>9.8592479999999991</v>
      </c>
      <c r="N80">
        <v>10.31508</v>
      </c>
      <c r="O80">
        <v>10.730149000000001</v>
      </c>
      <c r="P80">
        <v>11.108435999999999</v>
      </c>
      <c r="Q80">
        <v>11.447547</v>
      </c>
      <c r="R80">
        <v>11.750847</v>
      </c>
      <c r="S80">
        <v>12.036473000000001</v>
      </c>
      <c r="T80">
        <v>12.319575</v>
      </c>
      <c r="U80">
        <v>12.586885000000001</v>
      </c>
      <c r="V80">
        <v>12.844605</v>
      </c>
      <c r="W80">
        <v>13.062322999999999</v>
      </c>
      <c r="X80">
        <v>13.289071</v>
      </c>
      <c r="Y80">
        <v>13.52201</v>
      </c>
      <c r="Z80">
        <v>13.743242</v>
      </c>
      <c r="AA80">
        <v>13.97</v>
      </c>
      <c r="AB80">
        <v>14.187524</v>
      </c>
      <c r="AC80">
        <v>14.488526999999999</v>
      </c>
      <c r="AD80">
        <v>14.832860999999999</v>
      </c>
      <c r="AE80">
        <v>15.254797999999999</v>
      </c>
      <c r="AF80">
        <v>15.66183</v>
      </c>
      <c r="AG80" s="20">
        <v>5.5E-2</v>
      </c>
    </row>
    <row r="81" spans="1:33">
      <c r="A81" t="s">
        <v>203</v>
      </c>
      <c r="B81" t="s">
        <v>2687</v>
      </c>
      <c r="C81" t="s">
        <v>2686</v>
      </c>
      <c r="D81" t="s">
        <v>177</v>
      </c>
      <c r="F81">
        <v>9.0335409999999996</v>
      </c>
      <c r="G81">
        <v>8.1573930000000008</v>
      </c>
      <c r="H81">
        <v>7.269139</v>
      </c>
      <c r="I81">
        <v>6.4449149999999999</v>
      </c>
      <c r="J81">
        <v>5.7201279999999999</v>
      </c>
      <c r="K81">
        <v>5.1299650000000003</v>
      </c>
      <c r="L81">
        <v>4.6090689999999999</v>
      </c>
      <c r="M81">
        <v>4.1451770000000003</v>
      </c>
      <c r="N81">
        <v>3.7455750000000001</v>
      </c>
      <c r="O81">
        <v>3.3678439999999998</v>
      </c>
      <c r="P81">
        <v>3.0418370000000001</v>
      </c>
      <c r="Q81">
        <v>2.7652130000000001</v>
      </c>
      <c r="R81">
        <v>2.5227219999999999</v>
      </c>
      <c r="S81">
        <v>2.3180540000000001</v>
      </c>
      <c r="T81">
        <v>2.140215</v>
      </c>
      <c r="U81">
        <v>1.9839070000000001</v>
      </c>
      <c r="V81">
        <v>1.8526009999999999</v>
      </c>
      <c r="W81">
        <v>1.7306029999999999</v>
      </c>
      <c r="X81">
        <v>1.61426</v>
      </c>
      <c r="Y81">
        <v>1.5015909999999999</v>
      </c>
      <c r="Z81">
        <v>1.3909229999999999</v>
      </c>
      <c r="AA81">
        <v>1.2808109999999999</v>
      </c>
      <c r="AB81">
        <v>1.1661630000000001</v>
      </c>
      <c r="AC81">
        <v>1.0466299999999999</v>
      </c>
      <c r="AD81">
        <v>0.92224600000000001</v>
      </c>
      <c r="AE81">
        <v>0.80049199999999998</v>
      </c>
      <c r="AF81">
        <v>0.67332499999999995</v>
      </c>
      <c r="AG81" s="20">
        <v>-9.5000000000000001E-2</v>
      </c>
    </row>
    <row r="82" spans="1:33">
      <c r="A82" t="s">
        <v>204</v>
      </c>
      <c r="B82" t="s">
        <v>2685</v>
      </c>
      <c r="C82" t="s">
        <v>2684</v>
      </c>
      <c r="D82" t="s">
        <v>177</v>
      </c>
      <c r="F82">
        <v>0.124458</v>
      </c>
      <c r="G82">
        <v>0.13747599999999999</v>
      </c>
      <c r="H82">
        <v>0.148559</v>
      </c>
      <c r="I82">
        <v>0.15875900000000001</v>
      </c>
      <c r="J82">
        <v>0.16692299999999999</v>
      </c>
      <c r="K82">
        <v>0.17386299999999999</v>
      </c>
      <c r="L82">
        <v>0.18042900000000001</v>
      </c>
      <c r="M82">
        <v>0.18590899999999999</v>
      </c>
      <c r="N82">
        <v>0.191583</v>
      </c>
      <c r="O82">
        <v>0.19669300000000001</v>
      </c>
      <c r="P82">
        <v>0.20150699999999999</v>
      </c>
      <c r="Q82">
        <v>0.20583699999999999</v>
      </c>
      <c r="R82">
        <v>0.20995</v>
      </c>
      <c r="S82">
        <v>0.21395600000000001</v>
      </c>
      <c r="T82">
        <v>0.21765999999999999</v>
      </c>
      <c r="U82">
        <v>0.22089800000000001</v>
      </c>
      <c r="V82">
        <v>0.22397800000000001</v>
      </c>
      <c r="W82">
        <v>0.226935</v>
      </c>
      <c r="X82">
        <v>0.22981099999999999</v>
      </c>
      <c r="Y82">
        <v>0.23222400000000001</v>
      </c>
      <c r="Z82">
        <v>0.23428499999999999</v>
      </c>
      <c r="AA82">
        <v>0.236315</v>
      </c>
      <c r="AB82">
        <v>0.23807500000000001</v>
      </c>
      <c r="AC82">
        <v>0.240677</v>
      </c>
      <c r="AD82">
        <v>0.243424</v>
      </c>
      <c r="AE82">
        <v>0.246055</v>
      </c>
      <c r="AF82">
        <v>0.2482</v>
      </c>
      <c r="AG82" s="20">
        <v>2.7E-2</v>
      </c>
    </row>
    <row r="83" spans="1:33">
      <c r="A83" t="s">
        <v>206</v>
      </c>
      <c r="B83" t="s">
        <v>2683</v>
      </c>
      <c r="C83" t="s">
        <v>2682</v>
      </c>
      <c r="D83" t="s">
        <v>177</v>
      </c>
      <c r="F83">
        <v>0</v>
      </c>
      <c r="G83">
        <v>0</v>
      </c>
      <c r="H83">
        <v>2.5073000000000002E-2</v>
      </c>
      <c r="I83">
        <v>6.0426000000000001E-2</v>
      </c>
      <c r="J83">
        <v>0.113721</v>
      </c>
      <c r="K83">
        <v>0.179671</v>
      </c>
      <c r="L83">
        <v>0.25176300000000001</v>
      </c>
      <c r="M83">
        <v>0.32860099999999998</v>
      </c>
      <c r="N83">
        <v>0.404474</v>
      </c>
      <c r="O83">
        <v>0.37326100000000001</v>
      </c>
      <c r="P83">
        <v>0.34434900000000002</v>
      </c>
      <c r="Q83">
        <v>0.31725999999999999</v>
      </c>
      <c r="R83">
        <v>0.29278799999999999</v>
      </c>
      <c r="S83">
        <v>0.27005200000000001</v>
      </c>
      <c r="T83">
        <v>0.24882099999999999</v>
      </c>
      <c r="U83">
        <v>0.22892100000000001</v>
      </c>
      <c r="V83">
        <v>0.210812</v>
      </c>
      <c r="W83">
        <v>0.19425799999999999</v>
      </c>
      <c r="X83">
        <v>0.179063</v>
      </c>
      <c r="Y83">
        <v>0.16525899999999999</v>
      </c>
      <c r="Z83">
        <v>0.152697</v>
      </c>
      <c r="AA83">
        <v>0.141516</v>
      </c>
      <c r="AB83">
        <v>0.131435</v>
      </c>
      <c r="AC83">
        <v>0.121158</v>
      </c>
      <c r="AD83">
        <v>0.11146499999999999</v>
      </c>
      <c r="AE83">
        <v>0.10281899999999999</v>
      </c>
      <c r="AF83">
        <v>9.5043000000000002E-2</v>
      </c>
      <c r="AG83" t="s">
        <v>15</v>
      </c>
    </row>
    <row r="84" spans="1:33">
      <c r="A84" t="s">
        <v>205</v>
      </c>
      <c r="B84" t="s">
        <v>2681</v>
      </c>
      <c r="C84" t="s">
        <v>2680</v>
      </c>
      <c r="D84" t="s">
        <v>177</v>
      </c>
      <c r="F84">
        <v>0</v>
      </c>
      <c r="G84">
        <v>0.115331</v>
      </c>
      <c r="H84">
        <v>0.231573</v>
      </c>
      <c r="I84">
        <v>0.27211000000000002</v>
      </c>
      <c r="J84">
        <v>0.25937199999999999</v>
      </c>
      <c r="K84">
        <v>0.23771500000000001</v>
      </c>
      <c r="L84">
        <v>0.21748300000000001</v>
      </c>
      <c r="M84">
        <v>0.19966</v>
      </c>
      <c r="N84">
        <v>0.18464700000000001</v>
      </c>
      <c r="O84">
        <v>0.17038800000000001</v>
      </c>
      <c r="P84">
        <v>0.157113</v>
      </c>
      <c r="Q84">
        <v>0.144426</v>
      </c>
      <c r="R84">
        <v>0.133132</v>
      </c>
      <c r="S84">
        <v>0.12199</v>
      </c>
      <c r="T84">
        <v>0.11172899999999999</v>
      </c>
      <c r="U84">
        <v>0.10259</v>
      </c>
      <c r="V84">
        <v>9.4766000000000003E-2</v>
      </c>
      <c r="W84">
        <v>8.7656999999999999E-2</v>
      </c>
      <c r="X84">
        <v>8.0437999999999996E-2</v>
      </c>
      <c r="Y84">
        <v>7.3296E-2</v>
      </c>
      <c r="Z84">
        <v>6.6423999999999997E-2</v>
      </c>
      <c r="AA84">
        <v>6.1006999999999999E-2</v>
      </c>
      <c r="AB84">
        <v>5.67E-2</v>
      </c>
      <c r="AC84">
        <v>5.3085E-2</v>
      </c>
      <c r="AD84">
        <v>4.9660999999999997E-2</v>
      </c>
      <c r="AE84">
        <v>4.6268999999999998E-2</v>
      </c>
      <c r="AF84">
        <v>4.3032000000000001E-2</v>
      </c>
      <c r="AG84" t="s">
        <v>15</v>
      </c>
    </row>
    <row r="85" spans="1:33">
      <c r="A85" t="s">
        <v>207</v>
      </c>
      <c r="B85" t="s">
        <v>2679</v>
      </c>
      <c r="C85" t="s">
        <v>2678</v>
      </c>
      <c r="D85" t="s">
        <v>177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15</v>
      </c>
    </row>
    <row r="86" spans="1:33">
      <c r="A86" t="s">
        <v>1668</v>
      </c>
      <c r="B86" t="s">
        <v>2677</v>
      </c>
      <c r="C86" t="s">
        <v>2676</v>
      </c>
      <c r="D86" t="s">
        <v>177</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t="s">
        <v>15</v>
      </c>
    </row>
    <row r="87" spans="1:33">
      <c r="A87" t="s">
        <v>1665</v>
      </c>
      <c r="B87" t="s">
        <v>2675</v>
      </c>
      <c r="C87" t="s">
        <v>2674</v>
      </c>
      <c r="D87" t="s">
        <v>177</v>
      </c>
      <c r="F87">
        <v>0</v>
      </c>
      <c r="G87">
        <v>0.82384199999999996</v>
      </c>
      <c r="H87">
        <v>1.9341729999999999</v>
      </c>
      <c r="I87">
        <v>3.335515</v>
      </c>
      <c r="J87">
        <v>4.9386640000000002</v>
      </c>
      <c r="K87">
        <v>6.8005509999999996</v>
      </c>
      <c r="L87">
        <v>9.1020889999999994</v>
      </c>
      <c r="M87">
        <v>12.05625</v>
      </c>
      <c r="N87">
        <v>16.004729999999999</v>
      </c>
      <c r="O87">
        <v>21.257300999999998</v>
      </c>
      <c r="P87">
        <v>28.049462999999999</v>
      </c>
      <c r="Q87">
        <v>36.463977999999997</v>
      </c>
      <c r="R87">
        <v>46.535229000000001</v>
      </c>
      <c r="S87">
        <v>57.997871000000004</v>
      </c>
      <c r="T87">
        <v>70.372337000000002</v>
      </c>
      <c r="U87">
        <v>83.024604999999994</v>
      </c>
      <c r="V87">
        <v>95.680374</v>
      </c>
      <c r="W87">
        <v>107.98371899999999</v>
      </c>
      <c r="X87">
        <v>119.816109</v>
      </c>
      <c r="Y87">
        <v>130.934631</v>
      </c>
      <c r="Z87">
        <v>141.18704199999999</v>
      </c>
      <c r="AA87">
        <v>150.71357699999999</v>
      </c>
      <c r="AB87">
        <v>159.40013099999999</v>
      </c>
      <c r="AC87">
        <v>168.087479</v>
      </c>
      <c r="AD87">
        <v>176.31300400000001</v>
      </c>
      <c r="AE87">
        <v>183.890884</v>
      </c>
      <c r="AF87">
        <v>190.61299099999999</v>
      </c>
      <c r="AG87" t="s">
        <v>15</v>
      </c>
    </row>
    <row r="88" spans="1:33">
      <c r="A88" t="s">
        <v>1662</v>
      </c>
      <c r="B88" t="s">
        <v>2673</v>
      </c>
      <c r="C88" t="s">
        <v>2672</v>
      </c>
      <c r="D88" t="s">
        <v>177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15</v>
      </c>
    </row>
    <row r="89" spans="1:33">
      <c r="A89" t="s">
        <v>223</v>
      </c>
      <c r="B89" t="s">
        <v>2671</v>
      </c>
      <c r="C89" t="s">
        <v>2670</v>
      </c>
      <c r="D89" t="s">
        <v>177</v>
      </c>
      <c r="F89">
        <v>945.583618</v>
      </c>
      <c r="G89">
        <v>933.902649</v>
      </c>
      <c r="H89">
        <v>915.85144000000003</v>
      </c>
      <c r="I89">
        <v>898.10369900000001</v>
      </c>
      <c r="J89">
        <v>880.13720699999999</v>
      </c>
      <c r="K89">
        <v>864.78234899999995</v>
      </c>
      <c r="L89">
        <v>851.13555899999994</v>
      </c>
      <c r="M89">
        <v>837.88061500000003</v>
      </c>
      <c r="N89">
        <v>826.31481900000006</v>
      </c>
      <c r="O89">
        <v>814.62268100000006</v>
      </c>
      <c r="P89">
        <v>804.63085899999999</v>
      </c>
      <c r="Q89">
        <v>795.92236300000002</v>
      </c>
      <c r="R89">
        <v>789.70843500000001</v>
      </c>
      <c r="S89">
        <v>785.566284</v>
      </c>
      <c r="T89">
        <v>782.26110800000004</v>
      </c>
      <c r="U89">
        <v>779.22161900000003</v>
      </c>
      <c r="V89">
        <v>777.314392</v>
      </c>
      <c r="W89">
        <v>775.70519999999999</v>
      </c>
      <c r="X89">
        <v>775.06707800000004</v>
      </c>
      <c r="Y89">
        <v>774.69598399999995</v>
      </c>
      <c r="Z89">
        <v>774.42779499999995</v>
      </c>
      <c r="AA89">
        <v>774.82928500000003</v>
      </c>
      <c r="AB89">
        <v>774.97283900000002</v>
      </c>
      <c r="AC89">
        <v>778.14209000000005</v>
      </c>
      <c r="AD89">
        <v>781.60040300000003</v>
      </c>
      <c r="AE89">
        <v>784.55853300000001</v>
      </c>
      <c r="AF89">
        <v>786.18713400000001</v>
      </c>
      <c r="AG89" s="20">
        <v>-7.0000000000000001E-3</v>
      </c>
    </row>
    <row r="90" spans="1:33">
      <c r="A90" t="s">
        <v>224</v>
      </c>
    </row>
    <row r="91" spans="1:33">
      <c r="A91" t="s">
        <v>168</v>
      </c>
      <c r="B91" t="s">
        <v>2669</v>
      </c>
      <c r="C91" t="s">
        <v>2668</v>
      </c>
      <c r="D91" t="s">
        <v>177</v>
      </c>
      <c r="F91">
        <v>4150.3491210000002</v>
      </c>
      <c r="G91">
        <v>4200.8354490000002</v>
      </c>
      <c r="H91">
        <v>4216.7382809999999</v>
      </c>
      <c r="I91">
        <v>4222.3842770000001</v>
      </c>
      <c r="J91">
        <v>4207.3222660000001</v>
      </c>
      <c r="K91">
        <v>4188.4086909999996</v>
      </c>
      <c r="L91">
        <v>4166.4912109999996</v>
      </c>
      <c r="M91">
        <v>4136.4614259999998</v>
      </c>
      <c r="N91">
        <v>4106.701172</v>
      </c>
      <c r="O91">
        <v>4073.8461910000001</v>
      </c>
      <c r="P91">
        <v>4046.6755370000001</v>
      </c>
      <c r="Q91">
        <v>4022.7158199999999</v>
      </c>
      <c r="R91">
        <v>4007.9099120000001</v>
      </c>
      <c r="S91">
        <v>3999.3498540000001</v>
      </c>
      <c r="T91">
        <v>3993.8400879999999</v>
      </c>
      <c r="U91">
        <v>3985.8237300000001</v>
      </c>
      <c r="V91">
        <v>3980.5234380000002</v>
      </c>
      <c r="W91">
        <v>3976.482422</v>
      </c>
      <c r="X91">
        <v>3975.83374</v>
      </c>
      <c r="Y91">
        <v>3974.7204590000001</v>
      </c>
      <c r="Z91">
        <v>3972.9650879999999</v>
      </c>
      <c r="AA91">
        <v>3974.0261230000001</v>
      </c>
      <c r="AB91">
        <v>3972.735596</v>
      </c>
      <c r="AC91">
        <v>3986.054443</v>
      </c>
      <c r="AD91">
        <v>4000.4877929999998</v>
      </c>
      <c r="AE91">
        <v>4012.3010250000002</v>
      </c>
      <c r="AF91">
        <v>4018.320068</v>
      </c>
      <c r="AG91" s="20">
        <v>-1E-3</v>
      </c>
    </row>
    <row r="92" spans="1:33">
      <c r="A92" t="s">
        <v>154</v>
      </c>
      <c r="B92" t="s">
        <v>2667</v>
      </c>
      <c r="C92" t="s">
        <v>2666</v>
      </c>
      <c r="D92" t="s">
        <v>177</v>
      </c>
      <c r="F92">
        <v>4.4349259999999999</v>
      </c>
      <c r="G92">
        <v>3.817758</v>
      </c>
      <c r="H92">
        <v>3.316071</v>
      </c>
      <c r="I92">
        <v>2.9103439999999998</v>
      </c>
      <c r="J92">
        <v>2.588219</v>
      </c>
      <c r="K92">
        <v>2.3451490000000002</v>
      </c>
      <c r="L92">
        <v>2.1555719999999998</v>
      </c>
      <c r="M92">
        <v>1.9943740000000001</v>
      </c>
      <c r="N92">
        <v>1.8554980000000001</v>
      </c>
      <c r="O92">
        <v>1.7244470000000001</v>
      </c>
      <c r="P92">
        <v>1.6221479999999999</v>
      </c>
      <c r="Q92">
        <v>1.5351790000000001</v>
      </c>
      <c r="R92">
        <v>1.466385</v>
      </c>
      <c r="S92">
        <v>1.398488</v>
      </c>
      <c r="T92">
        <v>1.330443</v>
      </c>
      <c r="U92">
        <v>1.2710809999999999</v>
      </c>
      <c r="V92">
        <v>1.225886</v>
      </c>
      <c r="W92">
        <v>1.1849799999999999</v>
      </c>
      <c r="X92">
        <v>1.1403030000000001</v>
      </c>
      <c r="Y92">
        <v>1.1049929999999999</v>
      </c>
      <c r="Z92">
        <v>1.0789299999999999</v>
      </c>
      <c r="AA92">
        <v>1.0615270000000001</v>
      </c>
      <c r="AB92">
        <v>1.0475140000000001</v>
      </c>
      <c r="AC92">
        <v>1.040597</v>
      </c>
      <c r="AD92">
        <v>1.034845</v>
      </c>
      <c r="AE92">
        <v>1.029752</v>
      </c>
      <c r="AF92">
        <v>1.022197</v>
      </c>
      <c r="AG92" s="20">
        <v>-5.5E-2</v>
      </c>
    </row>
    <row r="93" spans="1:33">
      <c r="A93" t="s">
        <v>149</v>
      </c>
      <c r="B93" t="s">
        <v>2665</v>
      </c>
      <c r="C93" t="s">
        <v>2664</v>
      </c>
      <c r="D93" t="s">
        <v>177</v>
      </c>
      <c r="F93">
        <v>1.1561319999999999</v>
      </c>
      <c r="G93">
        <v>1.374889</v>
      </c>
      <c r="H93">
        <v>1.574821</v>
      </c>
      <c r="I93">
        <v>1.759158</v>
      </c>
      <c r="J93">
        <v>1.904928</v>
      </c>
      <c r="K93">
        <v>2.026071</v>
      </c>
      <c r="L93">
        <v>2.1195029999999999</v>
      </c>
      <c r="M93">
        <v>2.1808689999999999</v>
      </c>
      <c r="N93">
        <v>2.2254740000000002</v>
      </c>
      <c r="O93">
        <v>2.2515000000000001</v>
      </c>
      <c r="P93">
        <v>2.2717139999999998</v>
      </c>
      <c r="Q93">
        <v>2.2773460000000001</v>
      </c>
      <c r="R93">
        <v>2.2784260000000001</v>
      </c>
      <c r="S93">
        <v>2.2754490000000001</v>
      </c>
      <c r="T93">
        <v>2.2735300000000001</v>
      </c>
      <c r="U93">
        <v>2.2699210000000001</v>
      </c>
      <c r="V93">
        <v>2.268214</v>
      </c>
      <c r="W93">
        <v>2.2635719999999999</v>
      </c>
      <c r="X93">
        <v>2.2589600000000001</v>
      </c>
      <c r="Y93">
        <v>2.2537240000000001</v>
      </c>
      <c r="Z93">
        <v>2.2496350000000001</v>
      </c>
      <c r="AA93">
        <v>2.2491400000000001</v>
      </c>
      <c r="AB93">
        <v>2.2497500000000001</v>
      </c>
      <c r="AC93">
        <v>2.2599909999999999</v>
      </c>
      <c r="AD93">
        <v>2.2705250000000001</v>
      </c>
      <c r="AE93">
        <v>2.2775180000000002</v>
      </c>
      <c r="AF93">
        <v>2.2828889999999999</v>
      </c>
      <c r="AG93" s="20">
        <v>2.7E-2</v>
      </c>
    </row>
    <row r="94" spans="1:33">
      <c r="A94" t="s">
        <v>148</v>
      </c>
      <c r="B94" t="s">
        <v>2663</v>
      </c>
      <c r="C94" t="s">
        <v>2662</v>
      </c>
      <c r="D94" t="s">
        <v>177</v>
      </c>
      <c r="F94">
        <v>50.291285999999999</v>
      </c>
      <c r="G94">
        <v>52.723258999999999</v>
      </c>
      <c r="H94">
        <v>54.526027999999997</v>
      </c>
      <c r="I94">
        <v>55.344116</v>
      </c>
      <c r="J94">
        <v>55.688533999999997</v>
      </c>
      <c r="K94">
        <v>55.878203999999997</v>
      </c>
      <c r="L94">
        <v>55.951027000000003</v>
      </c>
      <c r="M94">
        <v>55.872238000000003</v>
      </c>
      <c r="N94">
        <v>55.809218999999999</v>
      </c>
      <c r="O94">
        <v>55.741230000000002</v>
      </c>
      <c r="P94">
        <v>55.755974000000002</v>
      </c>
      <c r="Q94">
        <v>55.805816999999998</v>
      </c>
      <c r="R94">
        <v>55.951450000000001</v>
      </c>
      <c r="S94">
        <v>56.315952000000003</v>
      </c>
      <c r="T94">
        <v>56.670273000000002</v>
      </c>
      <c r="U94">
        <v>57.133186000000002</v>
      </c>
      <c r="V94">
        <v>57.910736</v>
      </c>
      <c r="W94">
        <v>59.007088000000003</v>
      </c>
      <c r="X94">
        <v>60.194412</v>
      </c>
      <c r="Y94">
        <v>61.343024999999997</v>
      </c>
      <c r="Z94">
        <v>62.705348999999998</v>
      </c>
      <c r="AA94">
        <v>64.327826999999999</v>
      </c>
      <c r="AB94">
        <v>66.300811999999993</v>
      </c>
      <c r="AC94">
        <v>69.019630000000006</v>
      </c>
      <c r="AD94">
        <v>72.545906000000002</v>
      </c>
      <c r="AE94">
        <v>76.672927999999999</v>
      </c>
      <c r="AF94">
        <v>81.713440000000006</v>
      </c>
      <c r="AG94" s="20">
        <v>1.9E-2</v>
      </c>
    </row>
    <row r="95" spans="1:33">
      <c r="A95" t="s">
        <v>203</v>
      </c>
      <c r="B95" t="s">
        <v>2661</v>
      </c>
      <c r="C95" t="s">
        <v>2660</v>
      </c>
      <c r="D95" t="s">
        <v>177</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t="s">
        <v>15</v>
      </c>
    </row>
    <row r="96" spans="1:33">
      <c r="A96" t="s">
        <v>204</v>
      </c>
      <c r="B96" t="s">
        <v>2659</v>
      </c>
      <c r="C96" t="s">
        <v>2658</v>
      </c>
      <c r="D96" t="s">
        <v>177</v>
      </c>
      <c r="F96">
        <v>1.835842</v>
      </c>
      <c r="G96">
        <v>2.4526810000000001</v>
      </c>
      <c r="H96">
        <v>3.0207929999999998</v>
      </c>
      <c r="I96">
        <v>3.5318879999999999</v>
      </c>
      <c r="J96">
        <v>3.9540489999999999</v>
      </c>
      <c r="K96">
        <v>4.3047269999999997</v>
      </c>
      <c r="L96">
        <v>4.5975380000000001</v>
      </c>
      <c r="M96">
        <v>4.8346179999999999</v>
      </c>
      <c r="N96">
        <v>5.0316390000000002</v>
      </c>
      <c r="O96">
        <v>5.1899280000000001</v>
      </c>
      <c r="P96">
        <v>5.3246770000000003</v>
      </c>
      <c r="Q96">
        <v>5.4344979999999996</v>
      </c>
      <c r="R96">
        <v>5.5320679999999998</v>
      </c>
      <c r="S96">
        <v>5.6165799999999999</v>
      </c>
      <c r="T96">
        <v>5.6888759999999996</v>
      </c>
      <c r="U96">
        <v>5.7453709999999996</v>
      </c>
      <c r="V96">
        <v>5.7989449999999998</v>
      </c>
      <c r="W96">
        <v>5.846025</v>
      </c>
      <c r="X96">
        <v>5.8912269999999998</v>
      </c>
      <c r="Y96">
        <v>5.930237</v>
      </c>
      <c r="Z96">
        <v>5.9651719999999999</v>
      </c>
      <c r="AA96">
        <v>6.0043030000000002</v>
      </c>
      <c r="AB96">
        <v>6.041099</v>
      </c>
      <c r="AC96">
        <v>6.100841</v>
      </c>
      <c r="AD96">
        <v>6.1635619999999998</v>
      </c>
      <c r="AE96">
        <v>6.2244010000000003</v>
      </c>
      <c r="AF96">
        <v>6.2765719999999998</v>
      </c>
      <c r="AG96" s="20">
        <v>4.8000000000000001E-2</v>
      </c>
    </row>
    <row r="97" spans="1:33">
      <c r="A97" t="s">
        <v>206</v>
      </c>
      <c r="B97" t="s">
        <v>2657</v>
      </c>
      <c r="C97" t="s">
        <v>2656</v>
      </c>
      <c r="D97" t="s">
        <v>177</v>
      </c>
      <c r="F97">
        <v>0</v>
      </c>
      <c r="G97">
        <v>0</v>
      </c>
      <c r="H97">
        <v>2.4901E-2</v>
      </c>
      <c r="I97">
        <v>6.8081000000000003E-2</v>
      </c>
      <c r="J97">
        <v>0.113634</v>
      </c>
      <c r="K97">
        <v>0.165435</v>
      </c>
      <c r="L97">
        <v>0.223909</v>
      </c>
      <c r="M97">
        <v>0.291244</v>
      </c>
      <c r="N97">
        <v>0.37263299999999999</v>
      </c>
      <c r="O97">
        <v>0.35006199999999998</v>
      </c>
      <c r="P97">
        <v>0.33010299999999998</v>
      </c>
      <c r="Q97">
        <v>0.314085</v>
      </c>
      <c r="R97">
        <v>0.30023300000000003</v>
      </c>
      <c r="S97">
        <v>0.29104400000000002</v>
      </c>
      <c r="T97">
        <v>0.28536400000000001</v>
      </c>
      <c r="U97">
        <v>0.28249800000000003</v>
      </c>
      <c r="V97">
        <v>0.278528</v>
      </c>
      <c r="W97">
        <v>0.27172800000000003</v>
      </c>
      <c r="X97">
        <v>0.261187</v>
      </c>
      <c r="Y97">
        <v>0.246643</v>
      </c>
      <c r="Z97">
        <v>0.23005400000000001</v>
      </c>
      <c r="AA97">
        <v>0.21174999999999999</v>
      </c>
      <c r="AB97">
        <v>0.19095899999999999</v>
      </c>
      <c r="AC97">
        <v>0.16870399999999999</v>
      </c>
      <c r="AD97">
        <v>0.14982000000000001</v>
      </c>
      <c r="AE97">
        <v>0.13414200000000001</v>
      </c>
      <c r="AF97">
        <v>0.121348</v>
      </c>
      <c r="AG97" t="s">
        <v>15</v>
      </c>
    </row>
    <row r="98" spans="1:33">
      <c r="A98" t="s">
        <v>205</v>
      </c>
      <c r="B98" t="s">
        <v>2655</v>
      </c>
      <c r="C98" t="s">
        <v>2654</v>
      </c>
      <c r="D98" t="s">
        <v>177</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t="s">
        <v>15</v>
      </c>
    </row>
    <row r="99" spans="1:33">
      <c r="A99" t="s">
        <v>207</v>
      </c>
      <c r="B99" t="s">
        <v>2653</v>
      </c>
      <c r="C99" t="s">
        <v>2652</v>
      </c>
      <c r="D99" t="s">
        <v>177</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t="s">
        <v>15</v>
      </c>
    </row>
    <row r="100" spans="1:33">
      <c r="A100" t="s">
        <v>1668</v>
      </c>
      <c r="B100" t="s">
        <v>2651</v>
      </c>
      <c r="C100" t="s">
        <v>2650</v>
      </c>
      <c r="D100" t="s">
        <v>177</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t="s">
        <v>15</v>
      </c>
    </row>
    <row r="101" spans="1:33">
      <c r="A101" t="s">
        <v>1665</v>
      </c>
      <c r="B101" t="s">
        <v>2649</v>
      </c>
      <c r="C101" t="s">
        <v>2648</v>
      </c>
      <c r="D101" t="s">
        <v>177</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t="s">
        <v>15</v>
      </c>
    </row>
    <row r="102" spans="1:33">
      <c r="A102" t="s">
        <v>1662</v>
      </c>
      <c r="B102" t="s">
        <v>2647</v>
      </c>
      <c r="C102" t="s">
        <v>2646</v>
      </c>
      <c r="D102" t="s">
        <v>177</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t="s">
        <v>15</v>
      </c>
    </row>
    <row r="103" spans="1:33">
      <c r="A103" t="s">
        <v>225</v>
      </c>
      <c r="B103" t="s">
        <v>2645</v>
      </c>
      <c r="C103" t="s">
        <v>2644</v>
      </c>
      <c r="D103" t="s">
        <v>177</v>
      </c>
      <c r="F103">
        <v>4208.0673829999996</v>
      </c>
      <c r="G103">
        <v>4261.2026370000003</v>
      </c>
      <c r="H103">
        <v>4279.1987300000001</v>
      </c>
      <c r="I103">
        <v>4285.9965819999998</v>
      </c>
      <c r="J103">
        <v>4271.5712890000004</v>
      </c>
      <c r="K103">
        <v>4253.1284180000002</v>
      </c>
      <c r="L103">
        <v>4231.5385740000002</v>
      </c>
      <c r="M103">
        <v>4201.6323240000002</v>
      </c>
      <c r="N103">
        <v>4171.9951170000004</v>
      </c>
      <c r="O103">
        <v>4139.1025390000004</v>
      </c>
      <c r="P103">
        <v>4111.9794920000004</v>
      </c>
      <c r="Q103">
        <v>4088.0834960000002</v>
      </c>
      <c r="R103">
        <v>4073.4372560000002</v>
      </c>
      <c r="S103">
        <v>4065.2475589999999</v>
      </c>
      <c r="T103">
        <v>4060.0888669999999</v>
      </c>
      <c r="U103">
        <v>4052.5258789999998</v>
      </c>
      <c r="V103">
        <v>4048.0051269999999</v>
      </c>
      <c r="W103">
        <v>4045.056885</v>
      </c>
      <c r="X103">
        <v>4045.580078</v>
      </c>
      <c r="Y103">
        <v>4045.5986330000001</v>
      </c>
      <c r="Z103">
        <v>4045.1948240000002</v>
      </c>
      <c r="AA103">
        <v>4047.8803710000002</v>
      </c>
      <c r="AB103">
        <v>4048.5656739999999</v>
      </c>
      <c r="AC103">
        <v>4064.6430660000001</v>
      </c>
      <c r="AD103">
        <v>4082.6523440000001</v>
      </c>
      <c r="AE103">
        <v>4098.6396480000003</v>
      </c>
      <c r="AF103">
        <v>4109.7368159999996</v>
      </c>
      <c r="AG103" s="20">
        <v>-1E-3</v>
      </c>
    </row>
    <row r="104" spans="1:33">
      <c r="A104" t="s">
        <v>219</v>
      </c>
      <c r="B104" t="s">
        <v>228</v>
      </c>
      <c r="C104" t="s">
        <v>229</v>
      </c>
    </row>
    <row r="105" spans="1:33">
      <c r="A105" t="s">
        <v>168</v>
      </c>
      <c r="B105" t="s">
        <v>2643</v>
      </c>
      <c r="C105" t="s">
        <v>2642</v>
      </c>
      <c r="D105" t="s">
        <v>177</v>
      </c>
      <c r="F105">
        <v>5262.0537109999996</v>
      </c>
      <c r="G105">
        <v>5295.517578</v>
      </c>
      <c r="H105">
        <v>5284.3320309999999</v>
      </c>
      <c r="I105">
        <v>5261.0747069999998</v>
      </c>
      <c r="J105">
        <v>5214.6953119999998</v>
      </c>
      <c r="K105">
        <v>5167.1357420000004</v>
      </c>
      <c r="L105">
        <v>5117.076172</v>
      </c>
      <c r="M105">
        <v>5057.5048829999996</v>
      </c>
      <c r="N105">
        <v>4997.2041019999997</v>
      </c>
      <c r="O105">
        <v>4932.3168949999999</v>
      </c>
      <c r="P105">
        <v>4873.4492190000001</v>
      </c>
      <c r="Q105">
        <v>4817.8413090000004</v>
      </c>
      <c r="R105">
        <v>4772.8662109999996</v>
      </c>
      <c r="S105">
        <v>4734.9516599999997</v>
      </c>
      <c r="T105">
        <v>4700.1743159999996</v>
      </c>
      <c r="U105">
        <v>4662.7070309999999</v>
      </c>
      <c r="V105">
        <v>4629.8315430000002</v>
      </c>
      <c r="W105">
        <v>4598.7304690000001</v>
      </c>
      <c r="X105">
        <v>4572.5097660000001</v>
      </c>
      <c r="Y105">
        <v>4546.7172849999997</v>
      </c>
      <c r="Z105">
        <v>4522.0385740000002</v>
      </c>
      <c r="AA105">
        <v>4502.5307620000003</v>
      </c>
      <c r="AB105">
        <v>4482.2827150000003</v>
      </c>
      <c r="AC105">
        <v>4479.6157229999999</v>
      </c>
      <c r="AD105">
        <v>4478.7768550000001</v>
      </c>
      <c r="AE105">
        <v>4475.8027339999999</v>
      </c>
      <c r="AF105">
        <v>4467.5708009999998</v>
      </c>
      <c r="AG105" s="20">
        <v>-6.0000000000000001E-3</v>
      </c>
    </row>
    <row r="106" spans="1:33">
      <c r="A106" t="s">
        <v>154</v>
      </c>
      <c r="B106" t="s">
        <v>2641</v>
      </c>
      <c r="C106" t="s">
        <v>2640</v>
      </c>
      <c r="D106" t="s">
        <v>177</v>
      </c>
      <c r="F106">
        <v>634.32690400000001</v>
      </c>
      <c r="G106">
        <v>650.87048300000004</v>
      </c>
      <c r="H106">
        <v>662.39166299999999</v>
      </c>
      <c r="I106">
        <v>671.808899</v>
      </c>
      <c r="J106">
        <v>676.77789299999995</v>
      </c>
      <c r="K106">
        <v>680.24054000000001</v>
      </c>
      <c r="L106">
        <v>681.32904099999996</v>
      </c>
      <c r="M106">
        <v>678.65319799999997</v>
      </c>
      <c r="N106">
        <v>673.30505400000004</v>
      </c>
      <c r="O106">
        <v>665.24871800000005</v>
      </c>
      <c r="P106">
        <v>656.16290300000003</v>
      </c>
      <c r="Q106">
        <v>645.64355499999999</v>
      </c>
      <c r="R106">
        <v>634.93084699999997</v>
      </c>
      <c r="S106">
        <v>624.06329300000004</v>
      </c>
      <c r="T106">
        <v>611.81030299999998</v>
      </c>
      <c r="U106">
        <v>598.16156000000001</v>
      </c>
      <c r="V106">
        <v>584.89434800000004</v>
      </c>
      <c r="W106">
        <v>570.99713099999997</v>
      </c>
      <c r="X106">
        <v>556.887024</v>
      </c>
      <c r="Y106">
        <v>542.06732199999999</v>
      </c>
      <c r="Z106">
        <v>527.87664800000005</v>
      </c>
      <c r="AA106">
        <v>515.07910200000003</v>
      </c>
      <c r="AB106">
        <v>502.932526</v>
      </c>
      <c r="AC106">
        <v>492.81231700000001</v>
      </c>
      <c r="AD106">
        <v>482.85266100000001</v>
      </c>
      <c r="AE106">
        <v>472.94921900000003</v>
      </c>
      <c r="AF106">
        <v>463.078644</v>
      </c>
      <c r="AG106" s="20">
        <v>-1.2E-2</v>
      </c>
    </row>
    <row r="107" spans="1:33">
      <c r="A107" t="s">
        <v>149</v>
      </c>
      <c r="B107" t="s">
        <v>2639</v>
      </c>
      <c r="C107" t="s">
        <v>2638</v>
      </c>
      <c r="D107" t="s">
        <v>177</v>
      </c>
      <c r="F107">
        <v>1.63686</v>
      </c>
      <c r="G107">
        <v>1.8039179999999999</v>
      </c>
      <c r="H107">
        <v>1.9553450000000001</v>
      </c>
      <c r="I107">
        <v>2.095329</v>
      </c>
      <c r="J107">
        <v>2.202966</v>
      </c>
      <c r="K107">
        <v>2.2743500000000001</v>
      </c>
      <c r="L107">
        <v>2.341685</v>
      </c>
      <c r="M107">
        <v>2.3793389999999999</v>
      </c>
      <c r="N107">
        <v>2.4041060000000001</v>
      </c>
      <c r="O107">
        <v>2.4123800000000002</v>
      </c>
      <c r="P107">
        <v>2.4138890000000002</v>
      </c>
      <c r="Q107">
        <v>2.405564</v>
      </c>
      <c r="R107">
        <v>2.3955739999999999</v>
      </c>
      <c r="S107">
        <v>2.3836390000000001</v>
      </c>
      <c r="T107">
        <v>2.3738160000000001</v>
      </c>
      <c r="U107">
        <v>2.3633479999999998</v>
      </c>
      <c r="V107">
        <v>2.356134</v>
      </c>
      <c r="W107">
        <v>2.346463</v>
      </c>
      <c r="X107">
        <v>2.3374450000000002</v>
      </c>
      <c r="Y107">
        <v>2.3282379999999998</v>
      </c>
      <c r="Z107">
        <v>2.3202970000000001</v>
      </c>
      <c r="AA107">
        <v>2.3174630000000001</v>
      </c>
      <c r="AB107">
        <v>2.3153820000000001</v>
      </c>
      <c r="AC107">
        <v>2.3233009999999998</v>
      </c>
      <c r="AD107">
        <v>2.327607</v>
      </c>
      <c r="AE107">
        <v>2.3246549999999999</v>
      </c>
      <c r="AF107">
        <v>2.3222160000000001</v>
      </c>
      <c r="AG107" s="20">
        <v>1.4E-2</v>
      </c>
    </row>
    <row r="108" spans="1:33">
      <c r="A108" t="s">
        <v>148</v>
      </c>
      <c r="B108" t="s">
        <v>2637</v>
      </c>
      <c r="C108" t="s">
        <v>2636</v>
      </c>
      <c r="D108" t="s">
        <v>177</v>
      </c>
      <c r="F108">
        <v>55.106678000000002</v>
      </c>
      <c r="G108">
        <v>60.266609000000003</v>
      </c>
      <c r="H108">
        <v>64.839827999999997</v>
      </c>
      <c r="I108">
        <v>68.349625000000003</v>
      </c>
      <c r="J108">
        <v>70.525550999999993</v>
      </c>
      <c r="K108">
        <v>72.469818000000004</v>
      </c>
      <c r="L108">
        <v>73.923186999999999</v>
      </c>
      <c r="M108">
        <v>74.768676999999997</v>
      </c>
      <c r="N108">
        <v>75.424942000000001</v>
      </c>
      <c r="O108">
        <v>75.820374000000001</v>
      </c>
      <c r="P108">
        <v>76.349898999999994</v>
      </c>
      <c r="Q108">
        <v>77.040145999999993</v>
      </c>
      <c r="R108">
        <v>77.877289000000005</v>
      </c>
      <c r="S108">
        <v>79.043137000000002</v>
      </c>
      <c r="T108">
        <v>80.450867000000002</v>
      </c>
      <c r="U108">
        <v>82.033752000000007</v>
      </c>
      <c r="V108">
        <v>84.148926000000003</v>
      </c>
      <c r="W108">
        <v>86.843956000000006</v>
      </c>
      <c r="X108">
        <v>89.839279000000005</v>
      </c>
      <c r="Y108">
        <v>92.977126999999996</v>
      </c>
      <c r="Z108">
        <v>96.314864999999998</v>
      </c>
      <c r="AA108">
        <v>100.060028</v>
      </c>
      <c r="AB108">
        <v>104.28434799999999</v>
      </c>
      <c r="AC108">
        <v>109.626869</v>
      </c>
      <c r="AD108">
        <v>115.90033</v>
      </c>
      <c r="AE108">
        <v>122.995186</v>
      </c>
      <c r="AF108">
        <v>131.064224</v>
      </c>
      <c r="AG108" s="20">
        <v>3.4000000000000002E-2</v>
      </c>
    </row>
    <row r="109" spans="1:33">
      <c r="A109" t="s">
        <v>203</v>
      </c>
      <c r="B109" t="s">
        <v>2635</v>
      </c>
      <c r="C109" t="s">
        <v>2634</v>
      </c>
      <c r="D109" t="s">
        <v>177</v>
      </c>
      <c r="F109">
        <v>49.749854999999997</v>
      </c>
      <c r="G109">
        <v>45.266762</v>
      </c>
      <c r="H109">
        <v>40.649368000000003</v>
      </c>
      <c r="I109">
        <v>36.352798</v>
      </c>
      <c r="J109">
        <v>32.544384000000001</v>
      </c>
      <c r="K109">
        <v>29.355906000000001</v>
      </c>
      <c r="L109">
        <v>26.545546999999999</v>
      </c>
      <c r="M109">
        <v>24.041105000000002</v>
      </c>
      <c r="N109">
        <v>21.797552</v>
      </c>
      <c r="O109">
        <v>19.719795000000001</v>
      </c>
      <c r="P109">
        <v>17.844048000000001</v>
      </c>
      <c r="Q109">
        <v>16.154398</v>
      </c>
      <c r="R109">
        <v>14.596711000000001</v>
      </c>
      <c r="S109">
        <v>13.156967</v>
      </c>
      <c r="T109">
        <v>11.823331</v>
      </c>
      <c r="U109">
        <v>10.605062999999999</v>
      </c>
      <c r="V109">
        <v>9.5238669999999992</v>
      </c>
      <c r="W109">
        <v>8.5670750000000009</v>
      </c>
      <c r="X109">
        <v>7.72227</v>
      </c>
      <c r="Y109">
        <v>6.9687770000000002</v>
      </c>
      <c r="Z109">
        <v>6.2437959999999997</v>
      </c>
      <c r="AA109">
        <v>5.5619810000000003</v>
      </c>
      <c r="AB109">
        <v>4.9072649999999998</v>
      </c>
      <c r="AC109">
        <v>4.3119829999999997</v>
      </c>
      <c r="AD109">
        <v>3.677794</v>
      </c>
      <c r="AE109">
        <v>3.0516730000000001</v>
      </c>
      <c r="AF109">
        <v>2.441856</v>
      </c>
      <c r="AG109" s="20">
        <v>-0.109</v>
      </c>
    </row>
    <row r="110" spans="1:33">
      <c r="A110" t="s">
        <v>204</v>
      </c>
      <c r="B110" t="s">
        <v>2633</v>
      </c>
      <c r="C110" t="s">
        <v>2632</v>
      </c>
      <c r="D110" t="s">
        <v>177</v>
      </c>
      <c r="F110">
        <v>2.2528419999999998</v>
      </c>
      <c r="G110">
        <v>2.9876170000000002</v>
      </c>
      <c r="H110">
        <v>3.663386</v>
      </c>
      <c r="I110">
        <v>4.270626</v>
      </c>
      <c r="J110">
        <v>4.7761940000000003</v>
      </c>
      <c r="K110">
        <v>5.2050029999999996</v>
      </c>
      <c r="L110">
        <v>5.5863839999999998</v>
      </c>
      <c r="M110">
        <v>6.0544630000000002</v>
      </c>
      <c r="N110">
        <v>6.6641269999999997</v>
      </c>
      <c r="O110">
        <v>7.2101389999999999</v>
      </c>
      <c r="P110">
        <v>7.9647639999999997</v>
      </c>
      <c r="Q110">
        <v>9.0889410000000002</v>
      </c>
      <c r="R110">
        <v>10.635733</v>
      </c>
      <c r="S110">
        <v>12.518767</v>
      </c>
      <c r="T110">
        <v>14.774114000000001</v>
      </c>
      <c r="U110">
        <v>17.410596999999999</v>
      </c>
      <c r="V110">
        <v>20.494534000000002</v>
      </c>
      <c r="W110">
        <v>24.229378000000001</v>
      </c>
      <c r="X110">
        <v>28.478767000000001</v>
      </c>
      <c r="Y110">
        <v>33.13467</v>
      </c>
      <c r="Z110">
        <v>37.831429</v>
      </c>
      <c r="AA110">
        <v>42.741287</v>
      </c>
      <c r="AB110">
        <v>47.793205</v>
      </c>
      <c r="AC110">
        <v>53.246014000000002</v>
      </c>
      <c r="AD110">
        <v>58.841552999999998</v>
      </c>
      <c r="AE110">
        <v>64.441185000000004</v>
      </c>
      <c r="AF110">
        <v>70.016105999999994</v>
      </c>
      <c r="AG110" s="20">
        <v>0.14099999999999999</v>
      </c>
    </row>
    <row r="111" spans="1:33">
      <c r="A111" t="s">
        <v>206</v>
      </c>
      <c r="B111" t="s">
        <v>2631</v>
      </c>
      <c r="C111" t="s">
        <v>2630</v>
      </c>
      <c r="D111" t="s">
        <v>177</v>
      </c>
      <c r="F111">
        <v>0</v>
      </c>
      <c r="G111">
        <v>0</v>
      </c>
      <c r="H111">
        <v>4.9972999999999997E-2</v>
      </c>
      <c r="I111">
        <v>0.12850700000000001</v>
      </c>
      <c r="J111">
        <v>0.227355</v>
      </c>
      <c r="K111">
        <v>0.34510600000000002</v>
      </c>
      <c r="L111">
        <v>0.47567100000000001</v>
      </c>
      <c r="M111">
        <v>0.61984499999999998</v>
      </c>
      <c r="N111">
        <v>0.77710699999999999</v>
      </c>
      <c r="O111">
        <v>0.72332300000000005</v>
      </c>
      <c r="P111">
        <v>0.67445299999999997</v>
      </c>
      <c r="Q111">
        <v>0.63134599999999996</v>
      </c>
      <c r="R111">
        <v>0.59302100000000002</v>
      </c>
      <c r="S111">
        <v>0.56109699999999996</v>
      </c>
      <c r="T111">
        <v>0.53418500000000002</v>
      </c>
      <c r="U111">
        <v>0.51141899999999996</v>
      </c>
      <c r="V111">
        <v>0.48934100000000003</v>
      </c>
      <c r="W111">
        <v>0.46598600000000001</v>
      </c>
      <c r="X111">
        <v>0.44024999999999997</v>
      </c>
      <c r="Y111">
        <v>0.41190199999999999</v>
      </c>
      <c r="Z111">
        <v>0.38275100000000001</v>
      </c>
      <c r="AA111">
        <v>0.35326600000000002</v>
      </c>
      <c r="AB111">
        <v>0.32239400000000001</v>
      </c>
      <c r="AC111">
        <v>0.28986200000000001</v>
      </c>
      <c r="AD111">
        <v>0.26128499999999999</v>
      </c>
      <c r="AE111">
        <v>0.236961</v>
      </c>
      <c r="AF111">
        <v>0.216391</v>
      </c>
      <c r="AG111" t="s">
        <v>15</v>
      </c>
    </row>
    <row r="112" spans="1:33">
      <c r="A112" t="s">
        <v>205</v>
      </c>
      <c r="B112" t="s">
        <v>2629</v>
      </c>
      <c r="C112" t="s">
        <v>2628</v>
      </c>
      <c r="D112" t="s">
        <v>177</v>
      </c>
      <c r="F112">
        <v>0</v>
      </c>
      <c r="G112">
        <v>0.115331</v>
      </c>
      <c r="H112">
        <v>0.231573</v>
      </c>
      <c r="I112">
        <v>0.27211000000000002</v>
      </c>
      <c r="J112">
        <v>0.25937199999999999</v>
      </c>
      <c r="K112">
        <v>0.23771500000000001</v>
      </c>
      <c r="L112">
        <v>0.21748300000000001</v>
      </c>
      <c r="M112">
        <v>0.19966</v>
      </c>
      <c r="N112">
        <v>0.18464700000000001</v>
      </c>
      <c r="O112">
        <v>0.17038800000000001</v>
      </c>
      <c r="P112">
        <v>0.157113</v>
      </c>
      <c r="Q112">
        <v>0.144426</v>
      </c>
      <c r="R112">
        <v>0.133132</v>
      </c>
      <c r="S112">
        <v>0.12199</v>
      </c>
      <c r="T112">
        <v>0.11172899999999999</v>
      </c>
      <c r="U112">
        <v>0.10259</v>
      </c>
      <c r="V112">
        <v>9.4766000000000003E-2</v>
      </c>
      <c r="W112">
        <v>8.7656999999999999E-2</v>
      </c>
      <c r="X112">
        <v>8.0437999999999996E-2</v>
      </c>
      <c r="Y112">
        <v>7.3296E-2</v>
      </c>
      <c r="Z112">
        <v>6.6423999999999997E-2</v>
      </c>
      <c r="AA112">
        <v>6.1006999999999999E-2</v>
      </c>
      <c r="AB112">
        <v>5.67E-2</v>
      </c>
      <c r="AC112">
        <v>5.3085E-2</v>
      </c>
      <c r="AD112">
        <v>4.9660999999999997E-2</v>
      </c>
      <c r="AE112">
        <v>4.6268999999999998E-2</v>
      </c>
      <c r="AF112">
        <v>4.3032000000000001E-2</v>
      </c>
      <c r="AG112" t="s">
        <v>15</v>
      </c>
    </row>
    <row r="113" spans="1:33">
      <c r="A113" t="s">
        <v>207</v>
      </c>
      <c r="B113" t="s">
        <v>2627</v>
      </c>
      <c r="C113" t="s">
        <v>2626</v>
      </c>
      <c r="D113" t="s">
        <v>177</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t="s">
        <v>15</v>
      </c>
    </row>
    <row r="114" spans="1:33">
      <c r="A114" t="s">
        <v>1668</v>
      </c>
      <c r="B114" t="s">
        <v>2625</v>
      </c>
      <c r="C114" t="s">
        <v>2624</v>
      </c>
      <c r="D114" t="s">
        <v>177</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t="s">
        <v>15</v>
      </c>
    </row>
    <row r="115" spans="1:33">
      <c r="A115" t="s">
        <v>1665</v>
      </c>
      <c r="B115" t="s">
        <v>2623</v>
      </c>
      <c r="C115" t="s">
        <v>2622</v>
      </c>
      <c r="D115" t="s">
        <v>177</v>
      </c>
      <c r="F115">
        <v>0</v>
      </c>
      <c r="G115">
        <v>1.7782450000000001</v>
      </c>
      <c r="H115">
        <v>4.4268890000000001</v>
      </c>
      <c r="I115">
        <v>7.9077299999999999</v>
      </c>
      <c r="J115">
        <v>16.650454</v>
      </c>
      <c r="K115">
        <v>31.569614000000001</v>
      </c>
      <c r="L115">
        <v>52.609603999999997</v>
      </c>
      <c r="M115">
        <v>79.233017000000004</v>
      </c>
      <c r="N115">
        <v>111.403603</v>
      </c>
      <c r="O115">
        <v>147.695572</v>
      </c>
      <c r="P115">
        <v>186.81852699999999</v>
      </c>
      <c r="Q115">
        <v>227.513092</v>
      </c>
      <c r="R115">
        <v>269.02273600000001</v>
      </c>
      <c r="S115">
        <v>310.82708700000001</v>
      </c>
      <c r="T115">
        <v>353.50161700000001</v>
      </c>
      <c r="U115">
        <v>396.58743299999998</v>
      </c>
      <c r="V115">
        <v>438.75372299999998</v>
      </c>
      <c r="W115">
        <v>478.78259300000002</v>
      </c>
      <c r="X115">
        <v>516.66064500000005</v>
      </c>
      <c r="Y115">
        <v>551.88549799999998</v>
      </c>
      <c r="Z115">
        <v>584.66101100000003</v>
      </c>
      <c r="AA115">
        <v>615.79736300000002</v>
      </c>
      <c r="AB115">
        <v>644.87817399999994</v>
      </c>
      <c r="AC115">
        <v>674.08685300000002</v>
      </c>
      <c r="AD115">
        <v>701.07702600000005</v>
      </c>
      <c r="AE115">
        <v>725.72454800000003</v>
      </c>
      <c r="AF115">
        <v>747.80249000000003</v>
      </c>
      <c r="AG115" t="s">
        <v>15</v>
      </c>
    </row>
    <row r="116" spans="1:33">
      <c r="A116" t="s">
        <v>1662</v>
      </c>
      <c r="B116" t="s">
        <v>2621</v>
      </c>
      <c r="C116" t="s">
        <v>2620</v>
      </c>
      <c r="D116" t="s">
        <v>177</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15</v>
      </c>
    </row>
    <row r="117" spans="1:33">
      <c r="A117" t="s">
        <v>80</v>
      </c>
      <c r="B117" t="s">
        <v>2619</v>
      </c>
      <c r="C117" t="s">
        <v>2618</v>
      </c>
      <c r="D117" t="s">
        <v>177</v>
      </c>
      <c r="F117">
        <v>6005.1274409999996</v>
      </c>
      <c r="G117">
        <v>6058.6044920000004</v>
      </c>
      <c r="H117">
        <v>6062.5385740000002</v>
      </c>
      <c r="I117">
        <v>6052.2592770000001</v>
      </c>
      <c r="J117">
        <v>6018.6591799999997</v>
      </c>
      <c r="K117">
        <v>5988.8334960000002</v>
      </c>
      <c r="L117">
        <v>5960.1040039999998</v>
      </c>
      <c r="M117">
        <v>5923.4521480000003</v>
      </c>
      <c r="N117">
        <v>5889.1645509999998</v>
      </c>
      <c r="O117">
        <v>5851.3164059999999</v>
      </c>
      <c r="P117">
        <v>5821.8344729999999</v>
      </c>
      <c r="Q117">
        <v>5796.4619140000004</v>
      </c>
      <c r="R117">
        <v>5783.0546880000002</v>
      </c>
      <c r="S117">
        <v>5777.6264650000003</v>
      </c>
      <c r="T117">
        <v>5775.5551759999998</v>
      </c>
      <c r="U117">
        <v>5770.4799800000001</v>
      </c>
      <c r="V117">
        <v>5770.5864259999998</v>
      </c>
      <c r="W117">
        <v>5771.0493159999996</v>
      </c>
      <c r="X117">
        <v>5774.9580079999996</v>
      </c>
      <c r="Y117">
        <v>5776.5678710000002</v>
      </c>
      <c r="Z117">
        <v>5777.7348629999997</v>
      </c>
      <c r="AA117">
        <v>5784.5034180000002</v>
      </c>
      <c r="AB117">
        <v>5789.7714839999999</v>
      </c>
      <c r="AC117">
        <v>5816.3671880000002</v>
      </c>
      <c r="AD117">
        <v>5843.7641599999997</v>
      </c>
      <c r="AE117">
        <v>5867.5698240000002</v>
      </c>
      <c r="AF117">
        <v>5884.5581050000001</v>
      </c>
      <c r="AG117" s="20">
        <v>-1E-3</v>
      </c>
    </row>
    <row r="118" spans="1:33">
      <c r="A118" t="s">
        <v>230</v>
      </c>
    </row>
    <row r="119" spans="1:33">
      <c r="A119" t="s">
        <v>219</v>
      </c>
    </row>
    <row r="120" spans="1:33">
      <c r="A120" t="s">
        <v>168</v>
      </c>
      <c r="B120" t="s">
        <v>2617</v>
      </c>
      <c r="C120" t="s">
        <v>2616</v>
      </c>
      <c r="D120" t="s">
        <v>231</v>
      </c>
      <c r="F120">
        <v>13.922707000000001</v>
      </c>
      <c r="G120">
        <v>13.995139999999999</v>
      </c>
      <c r="H120">
        <v>14.083459</v>
      </c>
      <c r="I120">
        <v>14.181444000000001</v>
      </c>
      <c r="J120">
        <v>14.293834</v>
      </c>
      <c r="K120">
        <v>14.38857</v>
      </c>
      <c r="L120">
        <v>14.476728</v>
      </c>
      <c r="M120">
        <v>14.555897</v>
      </c>
      <c r="N120">
        <v>14.630239</v>
      </c>
      <c r="O120">
        <v>14.699897999999999</v>
      </c>
      <c r="P120">
        <v>14.765326</v>
      </c>
      <c r="Q120">
        <v>14.825015</v>
      </c>
      <c r="R120">
        <v>14.879754999999999</v>
      </c>
      <c r="S120">
        <v>14.931191999999999</v>
      </c>
      <c r="T120">
        <v>14.984135999999999</v>
      </c>
      <c r="U120">
        <v>15.034584000000001</v>
      </c>
      <c r="V120">
        <v>15.082407999999999</v>
      </c>
      <c r="W120">
        <v>15.126908</v>
      </c>
      <c r="X120">
        <v>15.167199</v>
      </c>
      <c r="Y120">
        <v>15.202306999999999</v>
      </c>
      <c r="Z120">
        <v>15.240062</v>
      </c>
      <c r="AA120">
        <v>15.278491000000001</v>
      </c>
      <c r="AB120">
        <v>15.314698</v>
      </c>
      <c r="AC120">
        <v>15.350427</v>
      </c>
      <c r="AD120">
        <v>15.386863</v>
      </c>
      <c r="AE120">
        <v>15.426907999999999</v>
      </c>
      <c r="AF120">
        <v>15.474148</v>
      </c>
      <c r="AG120" s="20">
        <v>4.0000000000000001E-3</v>
      </c>
    </row>
    <row r="121" spans="1:33">
      <c r="A121" t="s">
        <v>154</v>
      </c>
      <c r="B121" t="s">
        <v>2615</v>
      </c>
      <c r="C121" t="s">
        <v>2614</v>
      </c>
      <c r="D121" t="s">
        <v>232</v>
      </c>
      <c r="F121">
        <v>11.270543999999999</v>
      </c>
      <c r="G121">
        <v>11.409352999999999</v>
      </c>
      <c r="H121">
        <v>11.538529</v>
      </c>
      <c r="I121">
        <v>11.656753</v>
      </c>
      <c r="J121">
        <v>11.771490999999999</v>
      </c>
      <c r="K121">
        <v>11.863529</v>
      </c>
      <c r="L121">
        <v>11.945356</v>
      </c>
      <c r="M121">
        <v>12.01674</v>
      </c>
      <c r="N121">
        <v>12.080651</v>
      </c>
      <c r="O121">
        <v>12.137786999999999</v>
      </c>
      <c r="P121">
        <v>12.189059</v>
      </c>
      <c r="Q121">
        <v>12.235332</v>
      </c>
      <c r="R121">
        <v>12.2768</v>
      </c>
      <c r="S121">
        <v>12.314057999999999</v>
      </c>
      <c r="T121">
        <v>12.349204</v>
      </c>
      <c r="U121">
        <v>12.382721</v>
      </c>
      <c r="V121">
        <v>12.413944000000001</v>
      </c>
      <c r="W121">
        <v>12.444386</v>
      </c>
      <c r="X121">
        <v>12.473788000000001</v>
      </c>
      <c r="Y121">
        <v>12.501901</v>
      </c>
      <c r="Z121">
        <v>12.530419999999999</v>
      </c>
      <c r="AA121">
        <v>12.558555999999999</v>
      </c>
      <c r="AB121">
        <v>12.586591</v>
      </c>
      <c r="AC121">
        <v>12.615855</v>
      </c>
      <c r="AD121">
        <v>12.647904</v>
      </c>
      <c r="AE121">
        <v>12.682796</v>
      </c>
      <c r="AF121">
        <v>12.720029</v>
      </c>
      <c r="AG121" s="20">
        <v>5.0000000000000001E-3</v>
      </c>
    </row>
    <row r="122" spans="1:33">
      <c r="A122" t="s">
        <v>149</v>
      </c>
      <c r="B122" t="s">
        <v>2613</v>
      </c>
      <c r="C122" t="s">
        <v>2612</v>
      </c>
      <c r="D122" t="s">
        <v>232</v>
      </c>
      <c r="F122">
        <v>9.2423020000000005</v>
      </c>
      <c r="G122">
        <v>9.4532989999999995</v>
      </c>
      <c r="H122">
        <v>9.6632979999999993</v>
      </c>
      <c r="I122">
        <v>9.8595740000000003</v>
      </c>
      <c r="J122">
        <v>10.033324</v>
      </c>
      <c r="K122">
        <v>10.184858</v>
      </c>
      <c r="L122">
        <v>10.326045000000001</v>
      </c>
      <c r="M122">
        <v>10.45519</v>
      </c>
      <c r="N122">
        <v>10.576914</v>
      </c>
      <c r="O122">
        <v>10.765653</v>
      </c>
      <c r="P122">
        <v>10.988288000000001</v>
      </c>
      <c r="Q122">
        <v>11.18052</v>
      </c>
      <c r="R122">
        <v>11.338896</v>
      </c>
      <c r="S122">
        <v>11.467409999999999</v>
      </c>
      <c r="T122">
        <v>11.571596</v>
      </c>
      <c r="U122">
        <v>11.657355000000001</v>
      </c>
      <c r="V122">
        <v>11.728928</v>
      </c>
      <c r="W122">
        <v>11.789823999999999</v>
      </c>
      <c r="X122">
        <v>11.842496000000001</v>
      </c>
      <c r="Y122">
        <v>11.888781</v>
      </c>
      <c r="Z122">
        <v>11.930044000000001</v>
      </c>
      <c r="AA122">
        <v>11.967499</v>
      </c>
      <c r="AB122">
        <v>12.001614999999999</v>
      </c>
      <c r="AC122">
        <v>12.032393000000001</v>
      </c>
      <c r="AD122">
        <v>12.060304</v>
      </c>
      <c r="AE122">
        <v>12.085634000000001</v>
      </c>
      <c r="AF122">
        <v>12.108743</v>
      </c>
      <c r="AG122" s="20">
        <v>0.01</v>
      </c>
    </row>
    <row r="123" spans="1:33">
      <c r="A123" t="s">
        <v>148</v>
      </c>
      <c r="B123" t="s">
        <v>2611</v>
      </c>
      <c r="C123" t="s">
        <v>2610</v>
      </c>
      <c r="D123" t="s">
        <v>232</v>
      </c>
      <c r="F123">
        <v>10.79466</v>
      </c>
      <c r="G123">
        <v>10.920845</v>
      </c>
      <c r="H123">
        <v>10.982545999999999</v>
      </c>
      <c r="I123">
        <v>11.040056</v>
      </c>
      <c r="J123">
        <v>11.1477</v>
      </c>
      <c r="K123">
        <v>11.218605</v>
      </c>
      <c r="L123">
        <v>11.282717</v>
      </c>
      <c r="M123">
        <v>11.33933</v>
      </c>
      <c r="N123">
        <v>11.394833</v>
      </c>
      <c r="O123">
        <v>11.443618000000001</v>
      </c>
      <c r="P123">
        <v>11.49808</v>
      </c>
      <c r="Q123">
        <v>11.559828</v>
      </c>
      <c r="R123">
        <v>11.62152</v>
      </c>
      <c r="S123">
        <v>11.682252</v>
      </c>
      <c r="T123">
        <v>11.742834</v>
      </c>
      <c r="U123">
        <v>11.794235</v>
      </c>
      <c r="V123">
        <v>11.839415000000001</v>
      </c>
      <c r="W123">
        <v>11.878601</v>
      </c>
      <c r="X123">
        <v>11.910233</v>
      </c>
      <c r="Y123">
        <v>11.934759</v>
      </c>
      <c r="Z123">
        <v>11.953211</v>
      </c>
      <c r="AA123">
        <v>11.967457</v>
      </c>
      <c r="AB123">
        <v>11.978687000000001</v>
      </c>
      <c r="AC123">
        <v>11.987667999999999</v>
      </c>
      <c r="AD123">
        <v>11.994937999999999</v>
      </c>
      <c r="AE123">
        <v>12.000684</v>
      </c>
      <c r="AF123">
        <v>12.005663</v>
      </c>
      <c r="AG123" s="20">
        <v>4.0000000000000001E-3</v>
      </c>
    </row>
    <row r="124" spans="1:33">
      <c r="A124" t="s">
        <v>203</v>
      </c>
      <c r="B124" t="s">
        <v>2609</v>
      </c>
      <c r="C124" t="s">
        <v>2608</v>
      </c>
      <c r="D124" t="s">
        <v>232</v>
      </c>
      <c r="F124">
        <v>10.010496</v>
      </c>
      <c r="G124">
        <v>10.00788</v>
      </c>
      <c r="H124">
        <v>10.005171000000001</v>
      </c>
      <c r="I124">
        <v>10.003261999999999</v>
      </c>
      <c r="J124">
        <v>10.001704999999999</v>
      </c>
      <c r="K124">
        <v>10.001531</v>
      </c>
      <c r="L124">
        <v>10.001868999999999</v>
      </c>
      <c r="M124">
        <v>10.002848999999999</v>
      </c>
      <c r="N124">
        <v>10.00376</v>
      </c>
      <c r="O124">
        <v>10.002958</v>
      </c>
      <c r="P124">
        <v>10.000252</v>
      </c>
      <c r="Q124">
        <v>9.9956479999999992</v>
      </c>
      <c r="R124">
        <v>9.9909009999999991</v>
      </c>
      <c r="S124">
        <v>9.9880270000000007</v>
      </c>
      <c r="T124">
        <v>9.9886970000000002</v>
      </c>
      <c r="U124">
        <v>9.9905819999999999</v>
      </c>
      <c r="V124">
        <v>9.9933890000000005</v>
      </c>
      <c r="W124">
        <v>9.9956650000000007</v>
      </c>
      <c r="X124">
        <v>9.9976199999999995</v>
      </c>
      <c r="Y124">
        <v>9.9996279999999995</v>
      </c>
      <c r="Z124">
        <v>10.001576</v>
      </c>
      <c r="AA124">
        <v>9.9996310000000008</v>
      </c>
      <c r="AB124">
        <v>9.9868240000000004</v>
      </c>
      <c r="AC124">
        <v>9.9634610000000006</v>
      </c>
      <c r="AD124">
        <v>9.9343210000000006</v>
      </c>
      <c r="AE124">
        <v>9.9217340000000007</v>
      </c>
      <c r="AF124">
        <v>9.9377790000000008</v>
      </c>
      <c r="AG124" s="20">
        <v>0</v>
      </c>
    </row>
    <row r="125" spans="1:33">
      <c r="A125" t="s">
        <v>204</v>
      </c>
      <c r="B125" t="s">
        <v>2607</v>
      </c>
      <c r="C125" t="s">
        <v>2606</v>
      </c>
      <c r="D125" t="s">
        <v>231</v>
      </c>
      <c r="F125">
        <v>41.381866000000002</v>
      </c>
      <c r="G125">
        <v>41.703876000000001</v>
      </c>
      <c r="H125">
        <v>41.883159999999997</v>
      </c>
      <c r="I125">
        <v>41.993983999999998</v>
      </c>
      <c r="J125">
        <v>42.076790000000003</v>
      </c>
      <c r="K125">
        <v>42.135531999999998</v>
      </c>
      <c r="L125">
        <v>42.180328000000003</v>
      </c>
      <c r="M125">
        <v>42.241095999999999</v>
      </c>
      <c r="N125">
        <v>42.292721</v>
      </c>
      <c r="O125">
        <v>42.319889000000003</v>
      </c>
      <c r="P125">
        <v>42.341545000000004</v>
      </c>
      <c r="Q125">
        <v>42.357627999999998</v>
      </c>
      <c r="R125">
        <v>42.367283</v>
      </c>
      <c r="S125">
        <v>42.372826000000003</v>
      </c>
      <c r="T125">
        <v>42.375796999999999</v>
      </c>
      <c r="U125">
        <v>42.377429999999997</v>
      </c>
      <c r="V125">
        <v>42.378261999999999</v>
      </c>
      <c r="W125">
        <v>42.378647000000001</v>
      </c>
      <c r="X125">
        <v>42.378807000000002</v>
      </c>
      <c r="Y125">
        <v>42.378898999999997</v>
      </c>
      <c r="Z125">
        <v>42.378914000000002</v>
      </c>
      <c r="AA125">
        <v>42.378886999999999</v>
      </c>
      <c r="AB125">
        <v>42.380459000000002</v>
      </c>
      <c r="AC125">
        <v>42.38456</v>
      </c>
      <c r="AD125">
        <v>42.392181000000001</v>
      </c>
      <c r="AE125">
        <v>42.407435999999997</v>
      </c>
      <c r="AF125">
        <v>42.430264000000001</v>
      </c>
      <c r="AG125" s="20">
        <v>1E-3</v>
      </c>
    </row>
    <row r="126" spans="1:33">
      <c r="A126" t="s">
        <v>206</v>
      </c>
      <c r="B126" t="s">
        <v>2605</v>
      </c>
      <c r="C126" t="s">
        <v>2604</v>
      </c>
      <c r="D126" t="s">
        <v>231</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t="s">
        <v>15</v>
      </c>
    </row>
    <row r="127" spans="1:33">
      <c r="A127" t="s">
        <v>205</v>
      </c>
      <c r="B127" t="s">
        <v>2603</v>
      </c>
      <c r="C127" t="s">
        <v>2602</v>
      </c>
      <c r="D127" t="s">
        <v>232</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t="s">
        <v>15</v>
      </c>
    </row>
    <row r="128" spans="1:33">
      <c r="A128" t="s">
        <v>207</v>
      </c>
      <c r="B128" t="s">
        <v>2601</v>
      </c>
      <c r="C128" t="s">
        <v>2600</v>
      </c>
      <c r="D128" t="s">
        <v>231</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t="s">
        <v>15</v>
      </c>
    </row>
    <row r="129" spans="1:33">
      <c r="A129" t="s">
        <v>1668</v>
      </c>
      <c r="B129" t="s">
        <v>2599</v>
      </c>
      <c r="C129" t="s">
        <v>2598</v>
      </c>
      <c r="D129" t="s">
        <v>231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t="s">
        <v>15</v>
      </c>
    </row>
    <row r="130" spans="1:33">
      <c r="A130" t="s">
        <v>1665</v>
      </c>
      <c r="B130" t="s">
        <v>2597</v>
      </c>
      <c r="C130" t="s">
        <v>2596</v>
      </c>
      <c r="D130" t="s">
        <v>232</v>
      </c>
      <c r="F130">
        <v>0</v>
      </c>
      <c r="G130">
        <v>14.326266</v>
      </c>
      <c r="H130">
        <v>14.330572999999999</v>
      </c>
      <c r="I130">
        <v>14.341824000000001</v>
      </c>
      <c r="J130">
        <v>14.40915</v>
      </c>
      <c r="K130">
        <v>14.392595999999999</v>
      </c>
      <c r="L130">
        <v>14.412682999999999</v>
      </c>
      <c r="M130">
        <v>14.456479</v>
      </c>
      <c r="N130">
        <v>14.518309</v>
      </c>
      <c r="O130">
        <v>14.599339000000001</v>
      </c>
      <c r="P130">
        <v>14.700199</v>
      </c>
      <c r="Q130">
        <v>14.795714</v>
      </c>
      <c r="R130">
        <v>14.882458</v>
      </c>
      <c r="S130">
        <v>14.958017999999999</v>
      </c>
      <c r="T130">
        <v>15.022192</v>
      </c>
      <c r="U130">
        <v>15.074443</v>
      </c>
      <c r="V130">
        <v>15.115707</v>
      </c>
      <c r="W130">
        <v>15.148602</v>
      </c>
      <c r="X130">
        <v>15.175196</v>
      </c>
      <c r="Y130">
        <v>15.196916</v>
      </c>
      <c r="Z130">
        <v>15.214817999999999</v>
      </c>
      <c r="AA130">
        <v>15.229673</v>
      </c>
      <c r="AB130">
        <v>15.241925</v>
      </c>
      <c r="AC130">
        <v>15.251994</v>
      </c>
      <c r="AD130">
        <v>15.260142</v>
      </c>
      <c r="AE130">
        <v>15.266747000000001</v>
      </c>
      <c r="AF130">
        <v>15.272197999999999</v>
      </c>
      <c r="AG130" t="s">
        <v>15</v>
      </c>
    </row>
    <row r="131" spans="1:33">
      <c r="A131" t="s">
        <v>1662</v>
      </c>
      <c r="B131" t="s">
        <v>2595</v>
      </c>
      <c r="C131" t="s">
        <v>2594</v>
      </c>
      <c r="D131" t="s">
        <v>231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t="s">
        <v>15</v>
      </c>
    </row>
    <row r="132" spans="1:33">
      <c r="A132" t="s">
        <v>233</v>
      </c>
      <c r="B132" t="s">
        <v>2593</v>
      </c>
      <c r="C132" t="s">
        <v>2592</v>
      </c>
      <c r="F132">
        <v>12.831079000000001</v>
      </c>
      <c r="G132">
        <v>12.901629</v>
      </c>
      <c r="H132">
        <v>12.979244</v>
      </c>
      <c r="I132">
        <v>13.060256000000001</v>
      </c>
      <c r="J132">
        <v>13.160561</v>
      </c>
      <c r="K132">
        <v>13.250387</v>
      </c>
      <c r="L132">
        <v>13.341866</v>
      </c>
      <c r="M132">
        <v>13.437830999999999</v>
      </c>
      <c r="N132">
        <v>13.541937000000001</v>
      </c>
      <c r="O132">
        <v>13.647505000000001</v>
      </c>
      <c r="P132">
        <v>13.762563</v>
      </c>
      <c r="Q132">
        <v>13.886763</v>
      </c>
      <c r="R132">
        <v>14.018940000000001</v>
      </c>
      <c r="S132">
        <v>14.155526999999999</v>
      </c>
      <c r="T132">
        <v>14.300395</v>
      </c>
      <c r="U132">
        <v>14.452030000000001</v>
      </c>
      <c r="V132">
        <v>14.607469</v>
      </c>
      <c r="W132">
        <v>14.773649000000001</v>
      </c>
      <c r="X132">
        <v>14.947186</v>
      </c>
      <c r="Y132">
        <v>15.126486999999999</v>
      </c>
      <c r="Z132">
        <v>15.302503</v>
      </c>
      <c r="AA132">
        <v>15.47659</v>
      </c>
      <c r="AB132">
        <v>15.647549</v>
      </c>
      <c r="AC132">
        <v>15.819523999999999</v>
      </c>
      <c r="AD132">
        <v>15.992418000000001</v>
      </c>
      <c r="AE132">
        <v>16.163097</v>
      </c>
      <c r="AF132">
        <v>16.331121</v>
      </c>
      <c r="AG132" s="20">
        <v>8.9999999999999993E-3</v>
      </c>
    </row>
    <row r="133" spans="1:33">
      <c r="A133" t="s">
        <v>222</v>
      </c>
    </row>
    <row r="134" spans="1:33">
      <c r="A134" t="s">
        <v>168</v>
      </c>
      <c r="B134" t="s">
        <v>2591</v>
      </c>
      <c r="C134" t="s">
        <v>2590</v>
      </c>
      <c r="D134" t="s">
        <v>231</v>
      </c>
      <c r="F134">
        <v>8.9978890000000007</v>
      </c>
      <c r="G134">
        <v>9.0829520000000006</v>
      </c>
      <c r="H134">
        <v>9.1856989999999996</v>
      </c>
      <c r="I134">
        <v>9.302251</v>
      </c>
      <c r="J134">
        <v>9.4243500000000004</v>
      </c>
      <c r="K134">
        <v>9.5493419999999993</v>
      </c>
      <c r="L134">
        <v>9.6778139999999997</v>
      </c>
      <c r="M134">
        <v>9.8073920000000001</v>
      </c>
      <c r="N134">
        <v>9.9367000000000001</v>
      </c>
      <c r="O134">
        <v>10.064192</v>
      </c>
      <c r="P134">
        <v>10.185987000000001</v>
      </c>
      <c r="Q134">
        <v>10.298703</v>
      </c>
      <c r="R134">
        <v>10.397989000000001</v>
      </c>
      <c r="S134">
        <v>10.485415</v>
      </c>
      <c r="T134">
        <v>10.563262</v>
      </c>
      <c r="U134">
        <v>10.632419000000001</v>
      </c>
      <c r="V134">
        <v>10.694361000000001</v>
      </c>
      <c r="W134">
        <v>10.750007999999999</v>
      </c>
      <c r="X134">
        <v>10.79853</v>
      </c>
      <c r="Y134">
        <v>10.838488</v>
      </c>
      <c r="Z134">
        <v>10.87189</v>
      </c>
      <c r="AA134">
        <v>10.900912</v>
      </c>
      <c r="AB134">
        <v>10.927300000000001</v>
      </c>
      <c r="AC134">
        <v>10.951186</v>
      </c>
      <c r="AD134">
        <v>10.973481</v>
      </c>
      <c r="AE134">
        <v>10.994838</v>
      </c>
      <c r="AF134">
        <v>11.015133000000001</v>
      </c>
      <c r="AG134" s="20">
        <v>8.0000000000000002E-3</v>
      </c>
    </row>
    <row r="135" spans="1:33">
      <c r="A135" t="s">
        <v>154</v>
      </c>
      <c r="B135" t="s">
        <v>2589</v>
      </c>
      <c r="C135" t="s">
        <v>2588</v>
      </c>
      <c r="D135" t="s">
        <v>232</v>
      </c>
      <c r="F135">
        <v>8.592568</v>
      </c>
      <c r="G135">
        <v>8.606071</v>
      </c>
      <c r="H135">
        <v>8.6407279999999993</v>
      </c>
      <c r="I135">
        <v>8.6937289999999994</v>
      </c>
      <c r="J135">
        <v>8.7579480000000007</v>
      </c>
      <c r="K135">
        <v>8.8303630000000002</v>
      </c>
      <c r="L135">
        <v>8.9090279999999993</v>
      </c>
      <c r="M135">
        <v>8.9910139999999998</v>
      </c>
      <c r="N135">
        <v>9.0732940000000006</v>
      </c>
      <c r="O135">
        <v>9.1533490000000004</v>
      </c>
      <c r="P135">
        <v>9.2273899999999998</v>
      </c>
      <c r="Q135">
        <v>9.2924640000000007</v>
      </c>
      <c r="R135">
        <v>9.3458290000000002</v>
      </c>
      <c r="S135">
        <v>9.3894179999999992</v>
      </c>
      <c r="T135">
        <v>9.426107</v>
      </c>
      <c r="U135">
        <v>9.4564690000000002</v>
      </c>
      <c r="V135">
        <v>9.4821089999999995</v>
      </c>
      <c r="W135">
        <v>9.5037509999999994</v>
      </c>
      <c r="X135">
        <v>9.5213079999999994</v>
      </c>
      <c r="Y135">
        <v>9.5352370000000004</v>
      </c>
      <c r="Z135">
        <v>9.5466929999999994</v>
      </c>
      <c r="AA135">
        <v>9.5570179999999993</v>
      </c>
      <c r="AB135">
        <v>9.5671199999999992</v>
      </c>
      <c r="AC135">
        <v>9.5762730000000005</v>
      </c>
      <c r="AD135">
        <v>9.5845059999999993</v>
      </c>
      <c r="AE135">
        <v>9.5920339999999999</v>
      </c>
      <c r="AF135">
        <v>9.5997579999999996</v>
      </c>
      <c r="AG135" s="20">
        <v>4.0000000000000001E-3</v>
      </c>
    </row>
    <row r="136" spans="1:33">
      <c r="A136" t="s">
        <v>149</v>
      </c>
      <c r="B136" t="s">
        <v>2587</v>
      </c>
      <c r="C136" t="s">
        <v>2586</v>
      </c>
      <c r="D136" t="s">
        <v>232</v>
      </c>
      <c r="F136">
        <v>6.8220650000000003</v>
      </c>
      <c r="G136">
        <v>6.8356219999999999</v>
      </c>
      <c r="H136">
        <v>6.8474570000000003</v>
      </c>
      <c r="I136">
        <v>6.8590809999999998</v>
      </c>
      <c r="J136">
        <v>6.8706709999999998</v>
      </c>
      <c r="K136">
        <v>6.8888879999999997</v>
      </c>
      <c r="L136">
        <v>6.9028039999999997</v>
      </c>
      <c r="M136">
        <v>6.9194360000000001</v>
      </c>
      <c r="N136">
        <v>6.9374929999999999</v>
      </c>
      <c r="O136">
        <v>6.9537370000000003</v>
      </c>
      <c r="P136">
        <v>6.9632969999999998</v>
      </c>
      <c r="Q136">
        <v>6.9714309999999999</v>
      </c>
      <c r="R136">
        <v>6.9840410000000004</v>
      </c>
      <c r="S136">
        <v>6.9995570000000003</v>
      </c>
      <c r="T136">
        <v>7.0186469999999996</v>
      </c>
      <c r="U136">
        <v>7.0403880000000001</v>
      </c>
      <c r="V136">
        <v>7.0628229999999999</v>
      </c>
      <c r="W136">
        <v>7.0873840000000001</v>
      </c>
      <c r="X136">
        <v>7.1132809999999997</v>
      </c>
      <c r="Y136">
        <v>7.1400220000000001</v>
      </c>
      <c r="Z136">
        <v>7.1690750000000003</v>
      </c>
      <c r="AA136">
        <v>7.192005</v>
      </c>
      <c r="AB136">
        <v>7.2187939999999999</v>
      </c>
      <c r="AC136">
        <v>7.2469020000000004</v>
      </c>
      <c r="AD136">
        <v>7.3173399999999997</v>
      </c>
      <c r="AE136">
        <v>7.4649669999999997</v>
      </c>
      <c r="AF136">
        <v>7.6597530000000003</v>
      </c>
      <c r="AG136" s="20">
        <v>4.0000000000000001E-3</v>
      </c>
    </row>
    <row r="137" spans="1:33">
      <c r="A137" t="s">
        <v>148</v>
      </c>
      <c r="B137" t="s">
        <v>2585</v>
      </c>
      <c r="C137" t="s">
        <v>2584</v>
      </c>
      <c r="D137" t="s">
        <v>232</v>
      </c>
      <c r="F137">
        <v>6.9587450000000004</v>
      </c>
      <c r="G137">
        <v>7.1005240000000001</v>
      </c>
      <c r="H137">
        <v>7.2395759999999996</v>
      </c>
      <c r="I137">
        <v>7.3705959999999999</v>
      </c>
      <c r="J137">
        <v>7.4949719999999997</v>
      </c>
      <c r="K137">
        <v>7.6142539999999999</v>
      </c>
      <c r="L137">
        <v>7.7296529999999999</v>
      </c>
      <c r="M137">
        <v>7.8412980000000001</v>
      </c>
      <c r="N137">
        <v>7.9508369999999999</v>
      </c>
      <c r="O137">
        <v>8.0574860000000008</v>
      </c>
      <c r="P137">
        <v>8.1595089999999999</v>
      </c>
      <c r="Q137">
        <v>8.2554759999999998</v>
      </c>
      <c r="R137">
        <v>8.3427430000000005</v>
      </c>
      <c r="S137">
        <v>8.4244380000000003</v>
      </c>
      <c r="T137">
        <v>8.4999819999999993</v>
      </c>
      <c r="U137">
        <v>8.5670479999999998</v>
      </c>
      <c r="V137">
        <v>8.6249350000000007</v>
      </c>
      <c r="W137">
        <v>8.6754809999999996</v>
      </c>
      <c r="X137">
        <v>8.7235139999999998</v>
      </c>
      <c r="Y137">
        <v>8.7679089999999995</v>
      </c>
      <c r="Z137">
        <v>8.8069520000000008</v>
      </c>
      <c r="AA137">
        <v>8.8404869999999995</v>
      </c>
      <c r="AB137">
        <v>8.8708639999999992</v>
      </c>
      <c r="AC137">
        <v>8.8994520000000001</v>
      </c>
      <c r="AD137">
        <v>8.9278849999999998</v>
      </c>
      <c r="AE137">
        <v>8.9568460000000005</v>
      </c>
      <c r="AF137">
        <v>8.9833010000000009</v>
      </c>
      <c r="AG137" s="20">
        <v>0.01</v>
      </c>
    </row>
    <row r="138" spans="1:33">
      <c r="A138" t="s">
        <v>203</v>
      </c>
      <c r="B138" t="s">
        <v>2583</v>
      </c>
      <c r="C138" t="s">
        <v>2582</v>
      </c>
      <c r="D138" t="s">
        <v>234</v>
      </c>
      <c r="F138">
        <v>7.796983</v>
      </c>
      <c r="G138">
        <v>7.7971940000000002</v>
      </c>
      <c r="H138">
        <v>7.7987250000000001</v>
      </c>
      <c r="I138">
        <v>7.801488</v>
      </c>
      <c r="J138">
        <v>7.8042069999999999</v>
      </c>
      <c r="K138">
        <v>7.8062139999999998</v>
      </c>
      <c r="L138">
        <v>7.8079090000000004</v>
      </c>
      <c r="M138">
        <v>7.8093599999999999</v>
      </c>
      <c r="N138">
        <v>7.8103420000000003</v>
      </c>
      <c r="O138">
        <v>7.8079689999999999</v>
      </c>
      <c r="P138">
        <v>7.8039969999999999</v>
      </c>
      <c r="Q138">
        <v>7.8007169999999997</v>
      </c>
      <c r="R138">
        <v>7.797841</v>
      </c>
      <c r="S138">
        <v>7.7953469999999996</v>
      </c>
      <c r="T138">
        <v>7.7935889999999999</v>
      </c>
      <c r="U138">
        <v>7.7924810000000004</v>
      </c>
      <c r="V138">
        <v>7.7928889999999997</v>
      </c>
      <c r="W138">
        <v>7.7937029999999998</v>
      </c>
      <c r="X138">
        <v>7.79474</v>
      </c>
      <c r="Y138">
        <v>7.7960089999999997</v>
      </c>
      <c r="Z138">
        <v>7.7985680000000004</v>
      </c>
      <c r="AA138">
        <v>7.8054160000000001</v>
      </c>
      <c r="AB138">
        <v>7.8220879999999999</v>
      </c>
      <c r="AC138">
        <v>7.8419610000000004</v>
      </c>
      <c r="AD138">
        <v>7.8639159999999997</v>
      </c>
      <c r="AE138">
        <v>7.8818760000000001</v>
      </c>
      <c r="AF138">
        <v>7.8981960000000004</v>
      </c>
      <c r="AG138" s="20">
        <v>0</v>
      </c>
    </row>
    <row r="139" spans="1:33">
      <c r="A139" t="s">
        <v>204</v>
      </c>
      <c r="B139" t="s">
        <v>2581</v>
      </c>
      <c r="C139" t="s">
        <v>2580</v>
      </c>
      <c r="D139" t="s">
        <v>232</v>
      </c>
      <c r="F139">
        <v>24.166793999999999</v>
      </c>
      <c r="G139">
        <v>23.488609</v>
      </c>
      <c r="H139">
        <v>22.970822999999999</v>
      </c>
      <c r="I139">
        <v>22.584382999999999</v>
      </c>
      <c r="J139">
        <v>22.309833999999999</v>
      </c>
      <c r="K139">
        <v>22.112442000000001</v>
      </c>
      <c r="L139">
        <v>21.974169</v>
      </c>
      <c r="M139">
        <v>21.859919000000001</v>
      </c>
      <c r="N139">
        <v>21.779983999999999</v>
      </c>
      <c r="O139">
        <v>21.717737</v>
      </c>
      <c r="P139">
        <v>21.666831999999999</v>
      </c>
      <c r="Q139">
        <v>21.623701000000001</v>
      </c>
      <c r="R139">
        <v>21.584246</v>
      </c>
      <c r="S139">
        <v>21.556746</v>
      </c>
      <c r="T139">
        <v>21.530912000000001</v>
      </c>
      <c r="U139">
        <v>21.508230000000001</v>
      </c>
      <c r="V139">
        <v>21.486397</v>
      </c>
      <c r="W139">
        <v>21.472149000000002</v>
      </c>
      <c r="X139">
        <v>21.463833000000001</v>
      </c>
      <c r="Y139">
        <v>21.454124</v>
      </c>
      <c r="Z139">
        <v>21.444941</v>
      </c>
      <c r="AA139">
        <v>21.435572000000001</v>
      </c>
      <c r="AB139">
        <v>21.425909000000001</v>
      </c>
      <c r="AC139">
        <v>21.417406</v>
      </c>
      <c r="AD139">
        <v>21.411480000000001</v>
      </c>
      <c r="AE139">
        <v>21.406433</v>
      </c>
      <c r="AF139">
        <v>21.400034000000002</v>
      </c>
      <c r="AG139" s="20">
        <v>-5.0000000000000001E-3</v>
      </c>
    </row>
    <row r="140" spans="1:33">
      <c r="A140" t="s">
        <v>206</v>
      </c>
      <c r="B140" t="s">
        <v>2579</v>
      </c>
      <c r="C140" t="s">
        <v>2578</v>
      </c>
      <c r="D140" t="s">
        <v>232</v>
      </c>
      <c r="F140">
        <v>0</v>
      </c>
      <c r="G140">
        <v>0</v>
      </c>
      <c r="H140">
        <v>10.021416</v>
      </c>
      <c r="I140">
        <v>10.148141000000001</v>
      </c>
      <c r="J140">
        <v>10.257020000000001</v>
      </c>
      <c r="K140">
        <v>10.35416</v>
      </c>
      <c r="L140">
        <v>10.452347</v>
      </c>
      <c r="M140">
        <v>10.558968</v>
      </c>
      <c r="N140">
        <v>10.672829</v>
      </c>
      <c r="O140">
        <v>10.673995</v>
      </c>
      <c r="P140">
        <v>10.674879000000001</v>
      </c>
      <c r="Q140">
        <v>10.674975999999999</v>
      </c>
      <c r="R140">
        <v>10.675637</v>
      </c>
      <c r="S140">
        <v>10.676446</v>
      </c>
      <c r="T140">
        <v>10.677424999999999</v>
      </c>
      <c r="U140">
        <v>10.678618</v>
      </c>
      <c r="V140">
        <v>10.678158</v>
      </c>
      <c r="W140">
        <v>10.677065000000001</v>
      </c>
      <c r="X140">
        <v>10.675454999999999</v>
      </c>
      <c r="Y140">
        <v>10.674443</v>
      </c>
      <c r="Z140">
        <v>10.674431999999999</v>
      </c>
      <c r="AA140">
        <v>10.676520999999999</v>
      </c>
      <c r="AB140">
        <v>10.680699000000001</v>
      </c>
      <c r="AC140">
        <v>10.681051</v>
      </c>
      <c r="AD140">
        <v>10.679695000000001</v>
      </c>
      <c r="AE140">
        <v>10.677787</v>
      </c>
      <c r="AF140">
        <v>10.675386</v>
      </c>
      <c r="AG140" t="s">
        <v>15</v>
      </c>
    </row>
    <row r="141" spans="1:33">
      <c r="A141" t="s">
        <v>205</v>
      </c>
      <c r="B141" t="s">
        <v>2577</v>
      </c>
      <c r="C141" t="s">
        <v>2576</v>
      </c>
      <c r="D141" t="s">
        <v>232</v>
      </c>
      <c r="F141">
        <v>0</v>
      </c>
      <c r="G141">
        <v>9.2793500000000009</v>
      </c>
      <c r="H141">
        <v>9.3903090000000002</v>
      </c>
      <c r="I141">
        <v>9.4275889999999993</v>
      </c>
      <c r="J141">
        <v>9.4380749999999995</v>
      </c>
      <c r="K141">
        <v>9.4384440000000005</v>
      </c>
      <c r="L141">
        <v>9.4383389999999991</v>
      </c>
      <c r="M141">
        <v>9.4377980000000008</v>
      </c>
      <c r="N141">
        <v>9.4372070000000008</v>
      </c>
      <c r="O141">
        <v>9.4371589999999994</v>
      </c>
      <c r="P141">
        <v>9.4370309999999993</v>
      </c>
      <c r="Q141">
        <v>9.4372480000000003</v>
      </c>
      <c r="R141">
        <v>9.4374789999999997</v>
      </c>
      <c r="S141">
        <v>9.4374090000000006</v>
      </c>
      <c r="T141">
        <v>9.4373679999999993</v>
      </c>
      <c r="U141">
        <v>9.4368029999999994</v>
      </c>
      <c r="V141">
        <v>9.4368730000000003</v>
      </c>
      <c r="W141">
        <v>9.4382909999999995</v>
      </c>
      <c r="X141">
        <v>9.4389240000000001</v>
      </c>
      <c r="Y141">
        <v>9.4395220000000002</v>
      </c>
      <c r="Z141">
        <v>9.4401240000000008</v>
      </c>
      <c r="AA141">
        <v>9.4384189999999997</v>
      </c>
      <c r="AB141">
        <v>9.4378630000000001</v>
      </c>
      <c r="AC141">
        <v>9.4376599999999993</v>
      </c>
      <c r="AD141">
        <v>9.4378349999999998</v>
      </c>
      <c r="AE141">
        <v>9.4380550000000003</v>
      </c>
      <c r="AF141">
        <v>9.4382800000000007</v>
      </c>
      <c r="AG141" t="s">
        <v>15</v>
      </c>
    </row>
    <row r="142" spans="1:33">
      <c r="A142" t="s">
        <v>207</v>
      </c>
      <c r="B142" t="s">
        <v>2575</v>
      </c>
      <c r="C142" t="s">
        <v>2574</v>
      </c>
      <c r="D142" t="s">
        <v>232</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15</v>
      </c>
    </row>
    <row r="143" spans="1:33">
      <c r="A143" t="s">
        <v>1668</v>
      </c>
      <c r="B143" t="s">
        <v>2573</v>
      </c>
      <c r="C143" t="s">
        <v>2572</v>
      </c>
      <c r="D143" t="s">
        <v>231</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t="s">
        <v>15</v>
      </c>
    </row>
    <row r="144" spans="1:33">
      <c r="A144" t="s">
        <v>1665</v>
      </c>
      <c r="B144" t="s">
        <v>2571</v>
      </c>
      <c r="C144" t="s">
        <v>2570</v>
      </c>
      <c r="D144" t="s">
        <v>232</v>
      </c>
      <c r="F144">
        <v>0</v>
      </c>
      <c r="G144">
        <v>9.8621339999999993</v>
      </c>
      <c r="H144">
        <v>9.8833859999999998</v>
      </c>
      <c r="I144">
        <v>9.8984020000000008</v>
      </c>
      <c r="J144">
        <v>9.914415</v>
      </c>
      <c r="K144">
        <v>9.9336549999999999</v>
      </c>
      <c r="L144">
        <v>9.9669659999999993</v>
      </c>
      <c r="M144">
        <v>10.016080000000001</v>
      </c>
      <c r="N144">
        <v>10.069900000000001</v>
      </c>
      <c r="O144">
        <v>10.138522999999999</v>
      </c>
      <c r="P144">
        <v>10.213169000000001</v>
      </c>
      <c r="Q144">
        <v>10.27599</v>
      </c>
      <c r="R144">
        <v>10.324953000000001</v>
      </c>
      <c r="S144">
        <v>10.362147</v>
      </c>
      <c r="T144">
        <v>10.390623</v>
      </c>
      <c r="U144">
        <v>10.412682999999999</v>
      </c>
      <c r="V144">
        <v>10.429790000000001</v>
      </c>
      <c r="W144">
        <v>10.442456999999999</v>
      </c>
      <c r="X144">
        <v>10.452116999999999</v>
      </c>
      <c r="Y144">
        <v>10.459664</v>
      </c>
      <c r="Z144">
        <v>10.465630000000001</v>
      </c>
      <c r="AA144">
        <v>10.470389000000001</v>
      </c>
      <c r="AB144">
        <v>10.474275</v>
      </c>
      <c r="AC144">
        <v>10.47749</v>
      </c>
      <c r="AD144">
        <v>10.480141</v>
      </c>
      <c r="AE144">
        <v>10.482335000000001</v>
      </c>
      <c r="AF144">
        <v>10.484144000000001</v>
      </c>
      <c r="AG144" t="s">
        <v>15</v>
      </c>
    </row>
    <row r="145" spans="1:33">
      <c r="A145" t="s">
        <v>1662</v>
      </c>
      <c r="B145" t="s">
        <v>2569</v>
      </c>
      <c r="C145" t="s">
        <v>2568</v>
      </c>
      <c r="D145" t="s">
        <v>231</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15</v>
      </c>
    </row>
    <row r="146" spans="1:33">
      <c r="A146" t="s">
        <v>235</v>
      </c>
      <c r="B146" t="s">
        <v>2567</v>
      </c>
      <c r="C146" t="s">
        <v>2566</v>
      </c>
      <c r="F146">
        <v>8.8135969999999997</v>
      </c>
      <c r="G146">
        <v>8.8656690000000005</v>
      </c>
      <c r="H146">
        <v>8.9361870000000003</v>
      </c>
      <c r="I146">
        <v>9.0218129999999999</v>
      </c>
      <c r="J146">
        <v>9.1149059999999995</v>
      </c>
      <c r="K146">
        <v>9.2129379999999994</v>
      </c>
      <c r="L146">
        <v>9.3155249999999992</v>
      </c>
      <c r="M146">
        <v>9.4202680000000001</v>
      </c>
      <c r="N146">
        <v>9.5250190000000003</v>
      </c>
      <c r="O146">
        <v>9.6281189999999999</v>
      </c>
      <c r="P146">
        <v>9.7260120000000008</v>
      </c>
      <c r="Q146">
        <v>9.8152310000000007</v>
      </c>
      <c r="R146">
        <v>9.8922919999999994</v>
      </c>
      <c r="S146">
        <v>9.9582700000000006</v>
      </c>
      <c r="T146">
        <v>10.015612000000001</v>
      </c>
      <c r="U146">
        <v>10.064689</v>
      </c>
      <c r="V146">
        <v>10.107037</v>
      </c>
      <c r="W146">
        <v>10.143312</v>
      </c>
      <c r="X146">
        <v>10.173615</v>
      </c>
      <c r="Y146">
        <v>10.198003</v>
      </c>
      <c r="Z146">
        <v>10.217998</v>
      </c>
      <c r="AA146">
        <v>10.235155000000001</v>
      </c>
      <c r="AB146">
        <v>10.250697000000001</v>
      </c>
      <c r="AC146">
        <v>10.264521999999999</v>
      </c>
      <c r="AD146">
        <v>10.276980999999999</v>
      </c>
      <c r="AE146">
        <v>10.288339000000001</v>
      </c>
      <c r="AF146">
        <v>10.299118999999999</v>
      </c>
      <c r="AG146" s="20">
        <v>6.0000000000000001E-3</v>
      </c>
    </row>
    <row r="147" spans="1:33">
      <c r="A147" t="s">
        <v>224</v>
      </c>
    </row>
    <row r="148" spans="1:33">
      <c r="A148" t="s">
        <v>168</v>
      </c>
      <c r="B148" t="s">
        <v>2565</v>
      </c>
      <c r="C148" t="s">
        <v>2564</v>
      </c>
      <c r="D148" t="s">
        <v>231</v>
      </c>
      <c r="F148">
        <v>6.4481590000000004</v>
      </c>
      <c r="G148">
        <v>6.5237150000000002</v>
      </c>
      <c r="H148">
        <v>6.610277</v>
      </c>
      <c r="I148">
        <v>6.7069049999999999</v>
      </c>
      <c r="J148">
        <v>6.8064679999999997</v>
      </c>
      <c r="K148">
        <v>6.9066099999999997</v>
      </c>
      <c r="L148">
        <v>7.0061400000000003</v>
      </c>
      <c r="M148">
        <v>7.1038860000000001</v>
      </c>
      <c r="N148">
        <v>7.1993840000000002</v>
      </c>
      <c r="O148">
        <v>7.2923330000000002</v>
      </c>
      <c r="P148">
        <v>7.3804069999999999</v>
      </c>
      <c r="Q148">
        <v>7.4618279999999997</v>
      </c>
      <c r="R148">
        <v>7.5358000000000001</v>
      </c>
      <c r="S148">
        <v>7.6030470000000001</v>
      </c>
      <c r="T148">
        <v>7.664059</v>
      </c>
      <c r="U148">
        <v>7.7193630000000004</v>
      </c>
      <c r="V148">
        <v>7.769641</v>
      </c>
      <c r="W148">
        <v>7.8135589999999997</v>
      </c>
      <c r="X148">
        <v>7.8512329999999997</v>
      </c>
      <c r="Y148">
        <v>7.8831619999999996</v>
      </c>
      <c r="Z148">
        <v>7.910139</v>
      </c>
      <c r="AA148">
        <v>7.9335370000000003</v>
      </c>
      <c r="AB148">
        <v>7.9543119999999998</v>
      </c>
      <c r="AC148">
        <v>7.9732010000000004</v>
      </c>
      <c r="AD148">
        <v>7.990386</v>
      </c>
      <c r="AE148">
        <v>8.0064489999999999</v>
      </c>
      <c r="AF148">
        <v>8.0207669999999993</v>
      </c>
      <c r="AG148" s="20">
        <v>8.0000000000000002E-3</v>
      </c>
    </row>
    <row r="149" spans="1:33">
      <c r="A149" t="s">
        <v>154</v>
      </c>
      <c r="B149" t="s">
        <v>2563</v>
      </c>
      <c r="C149" t="s">
        <v>2562</v>
      </c>
      <c r="D149" t="s">
        <v>232</v>
      </c>
      <c r="F149">
        <v>5.0604979999999999</v>
      </c>
      <c r="G149">
        <v>5.0774359999999996</v>
      </c>
      <c r="H149">
        <v>5.0991439999999999</v>
      </c>
      <c r="I149">
        <v>5.1250900000000001</v>
      </c>
      <c r="J149">
        <v>5.1534420000000001</v>
      </c>
      <c r="K149">
        <v>5.1845939999999997</v>
      </c>
      <c r="L149">
        <v>5.2184819999999998</v>
      </c>
      <c r="M149">
        <v>5.2552859999999999</v>
      </c>
      <c r="N149">
        <v>5.2975779999999997</v>
      </c>
      <c r="O149">
        <v>5.3497630000000003</v>
      </c>
      <c r="P149">
        <v>5.4074600000000004</v>
      </c>
      <c r="Q149">
        <v>5.4704280000000001</v>
      </c>
      <c r="R149">
        <v>5.5354279999999996</v>
      </c>
      <c r="S149">
        <v>5.6057940000000004</v>
      </c>
      <c r="T149">
        <v>5.680758</v>
      </c>
      <c r="U149">
        <v>5.7590899999999996</v>
      </c>
      <c r="V149">
        <v>5.8335530000000002</v>
      </c>
      <c r="W149">
        <v>5.9079370000000004</v>
      </c>
      <c r="X149">
        <v>5.9863949999999999</v>
      </c>
      <c r="Y149">
        <v>6.0574680000000001</v>
      </c>
      <c r="Z149">
        <v>6.1193</v>
      </c>
      <c r="AA149">
        <v>6.1728969999999999</v>
      </c>
      <c r="AB149">
        <v>6.2207470000000002</v>
      </c>
      <c r="AC149">
        <v>6.2629130000000002</v>
      </c>
      <c r="AD149">
        <v>6.3015109999999996</v>
      </c>
      <c r="AE149">
        <v>6.3367149999999999</v>
      </c>
      <c r="AF149">
        <v>6.3716860000000004</v>
      </c>
      <c r="AG149" s="20">
        <v>8.9999999999999993E-3</v>
      </c>
    </row>
    <row r="150" spans="1:33">
      <c r="A150" t="s">
        <v>149</v>
      </c>
      <c r="B150" t="s">
        <v>2561</v>
      </c>
      <c r="C150" t="s">
        <v>2560</v>
      </c>
      <c r="D150" t="s">
        <v>232</v>
      </c>
      <c r="F150">
        <v>5.1770810000000003</v>
      </c>
      <c r="G150">
        <v>5.2519499999999999</v>
      </c>
      <c r="H150">
        <v>5.3134009999999998</v>
      </c>
      <c r="I150">
        <v>5.3660629999999996</v>
      </c>
      <c r="J150">
        <v>5.4125629999999996</v>
      </c>
      <c r="K150">
        <v>5.4564050000000002</v>
      </c>
      <c r="L150">
        <v>5.5025110000000002</v>
      </c>
      <c r="M150">
        <v>5.553839</v>
      </c>
      <c r="N150">
        <v>5.6110850000000001</v>
      </c>
      <c r="O150">
        <v>5.6749489999999998</v>
      </c>
      <c r="P150">
        <v>5.7430880000000002</v>
      </c>
      <c r="Q150">
        <v>5.815677</v>
      </c>
      <c r="R150">
        <v>5.8909649999999996</v>
      </c>
      <c r="S150">
        <v>5.9667110000000001</v>
      </c>
      <c r="T150">
        <v>6.0391219999999999</v>
      </c>
      <c r="U150">
        <v>6.1066419999999999</v>
      </c>
      <c r="V150">
        <v>6.168126</v>
      </c>
      <c r="W150">
        <v>6.2248260000000002</v>
      </c>
      <c r="X150">
        <v>6.2762650000000004</v>
      </c>
      <c r="Y150">
        <v>6.3219269999999996</v>
      </c>
      <c r="Z150">
        <v>6.3612109999999999</v>
      </c>
      <c r="AA150">
        <v>6.3945879999999997</v>
      </c>
      <c r="AB150">
        <v>6.4228620000000003</v>
      </c>
      <c r="AC150">
        <v>6.4477200000000003</v>
      </c>
      <c r="AD150">
        <v>6.471025</v>
      </c>
      <c r="AE150">
        <v>6.4940899999999999</v>
      </c>
      <c r="AF150">
        <v>6.5145</v>
      </c>
      <c r="AG150" s="20">
        <v>8.9999999999999993E-3</v>
      </c>
    </row>
    <row r="151" spans="1:33">
      <c r="A151" t="s">
        <v>148</v>
      </c>
      <c r="B151" t="s">
        <v>2559</v>
      </c>
      <c r="C151" t="s">
        <v>2558</v>
      </c>
      <c r="D151" t="s">
        <v>231</v>
      </c>
      <c r="F151">
        <v>5.8177469999999998</v>
      </c>
      <c r="G151">
        <v>5.8252810000000004</v>
      </c>
      <c r="H151">
        <v>5.8505969999999996</v>
      </c>
      <c r="I151">
        <v>5.8820009999999998</v>
      </c>
      <c r="J151">
        <v>5.923349</v>
      </c>
      <c r="K151">
        <v>5.9725099999999998</v>
      </c>
      <c r="L151">
        <v>6.0274619999999999</v>
      </c>
      <c r="M151">
        <v>6.0861039999999997</v>
      </c>
      <c r="N151">
        <v>6.1471739999999997</v>
      </c>
      <c r="O151">
        <v>6.2090630000000004</v>
      </c>
      <c r="P151">
        <v>6.2704079999999998</v>
      </c>
      <c r="Q151">
        <v>6.3303279999999997</v>
      </c>
      <c r="R151">
        <v>6.3855779999999998</v>
      </c>
      <c r="S151">
        <v>6.4388249999999996</v>
      </c>
      <c r="T151">
        <v>6.4865199999999996</v>
      </c>
      <c r="U151">
        <v>6.5314629999999996</v>
      </c>
      <c r="V151">
        <v>6.5754039999999998</v>
      </c>
      <c r="W151">
        <v>6.6179860000000001</v>
      </c>
      <c r="X151">
        <v>6.6568529999999999</v>
      </c>
      <c r="Y151">
        <v>6.6910489999999996</v>
      </c>
      <c r="Z151">
        <v>6.7246829999999997</v>
      </c>
      <c r="AA151">
        <v>6.7557660000000004</v>
      </c>
      <c r="AB151">
        <v>6.7887440000000003</v>
      </c>
      <c r="AC151">
        <v>6.8248379999999997</v>
      </c>
      <c r="AD151">
        <v>6.8676399999999997</v>
      </c>
      <c r="AE151">
        <v>6.9122810000000001</v>
      </c>
      <c r="AF151">
        <v>6.9615030000000004</v>
      </c>
      <c r="AG151" s="20">
        <v>7.0000000000000001E-3</v>
      </c>
    </row>
    <row r="152" spans="1:33">
      <c r="A152" t="s">
        <v>203</v>
      </c>
      <c r="B152" t="s">
        <v>2557</v>
      </c>
      <c r="C152" t="s">
        <v>2556</v>
      </c>
      <c r="D152" t="s">
        <v>232</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t="s">
        <v>15</v>
      </c>
    </row>
    <row r="153" spans="1:33">
      <c r="A153" t="s">
        <v>204</v>
      </c>
      <c r="B153" t="s">
        <v>2555</v>
      </c>
      <c r="C153" t="s">
        <v>2554</v>
      </c>
      <c r="D153" t="s">
        <v>231</v>
      </c>
      <c r="F153">
        <v>13.988659</v>
      </c>
      <c r="G153">
        <v>13.883277</v>
      </c>
      <c r="H153">
        <v>13.850619999999999</v>
      </c>
      <c r="I153">
        <v>13.859565999999999</v>
      </c>
      <c r="J153">
        <v>13.895028999999999</v>
      </c>
      <c r="K153">
        <v>13.954997000000001</v>
      </c>
      <c r="L153">
        <v>14.030798000000001</v>
      </c>
      <c r="M153">
        <v>14.115463999999999</v>
      </c>
      <c r="N153">
        <v>14.211738</v>
      </c>
      <c r="O153">
        <v>14.318835999999999</v>
      </c>
      <c r="P153">
        <v>14.423564000000001</v>
      </c>
      <c r="Q153">
        <v>14.524480000000001</v>
      </c>
      <c r="R153">
        <v>14.620310999999999</v>
      </c>
      <c r="S153">
        <v>14.710813999999999</v>
      </c>
      <c r="T153">
        <v>14.79519</v>
      </c>
      <c r="U153">
        <v>14.872324000000001</v>
      </c>
      <c r="V153">
        <v>14.941452999999999</v>
      </c>
      <c r="W153">
        <v>15.002162</v>
      </c>
      <c r="X153">
        <v>15.054307</v>
      </c>
      <c r="Y153">
        <v>15.098464999999999</v>
      </c>
      <c r="Z153">
        <v>15.13503</v>
      </c>
      <c r="AA153">
        <v>15.16474</v>
      </c>
      <c r="AB153">
        <v>15.188535</v>
      </c>
      <c r="AC153">
        <v>15.207722</v>
      </c>
      <c r="AD153">
        <v>15.223267</v>
      </c>
      <c r="AE153">
        <v>15.235799</v>
      </c>
      <c r="AF153">
        <v>15.245944</v>
      </c>
      <c r="AG153" s="20">
        <v>3.0000000000000001E-3</v>
      </c>
    </row>
    <row r="154" spans="1:33">
      <c r="A154" t="s">
        <v>206</v>
      </c>
      <c r="B154" t="s">
        <v>2553</v>
      </c>
      <c r="C154" t="s">
        <v>2552</v>
      </c>
      <c r="D154" t="s">
        <v>231</v>
      </c>
      <c r="F154">
        <v>0</v>
      </c>
      <c r="G154">
        <v>0</v>
      </c>
      <c r="H154">
        <v>8.8917629999999992</v>
      </c>
      <c r="I154">
        <v>9.0109379999999994</v>
      </c>
      <c r="J154">
        <v>9.0930579999999992</v>
      </c>
      <c r="K154">
        <v>9.1704240000000006</v>
      </c>
      <c r="L154">
        <v>9.2546510000000008</v>
      </c>
      <c r="M154">
        <v>9.3515370000000004</v>
      </c>
      <c r="N154">
        <v>9.4650669999999995</v>
      </c>
      <c r="O154">
        <v>9.4638760000000008</v>
      </c>
      <c r="P154">
        <v>9.4589940000000006</v>
      </c>
      <c r="Q154">
        <v>9.4530069999999995</v>
      </c>
      <c r="R154">
        <v>9.4444230000000005</v>
      </c>
      <c r="S154">
        <v>9.438231</v>
      </c>
      <c r="T154">
        <v>9.4353920000000002</v>
      </c>
      <c r="U154">
        <v>9.4374330000000004</v>
      </c>
      <c r="V154">
        <v>9.4385729999999999</v>
      </c>
      <c r="W154">
        <v>9.443244</v>
      </c>
      <c r="X154">
        <v>9.4517179999999996</v>
      </c>
      <c r="Y154">
        <v>9.4627800000000004</v>
      </c>
      <c r="Z154">
        <v>9.4740059999999993</v>
      </c>
      <c r="AA154">
        <v>9.4837299999999995</v>
      </c>
      <c r="AB154">
        <v>9.4882910000000003</v>
      </c>
      <c r="AC154">
        <v>9.4838109999999993</v>
      </c>
      <c r="AD154">
        <v>9.4798200000000001</v>
      </c>
      <c r="AE154">
        <v>9.4780770000000008</v>
      </c>
      <c r="AF154">
        <v>9.4804750000000002</v>
      </c>
      <c r="AG154" t="s">
        <v>15</v>
      </c>
    </row>
    <row r="155" spans="1:33">
      <c r="A155" t="s">
        <v>205</v>
      </c>
      <c r="B155" t="s">
        <v>2551</v>
      </c>
      <c r="C155" t="s">
        <v>2550</v>
      </c>
      <c r="D155" t="s">
        <v>232</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15</v>
      </c>
    </row>
    <row r="156" spans="1:33">
      <c r="A156" t="s">
        <v>207</v>
      </c>
      <c r="B156" t="s">
        <v>2549</v>
      </c>
      <c r="C156" t="s">
        <v>2548</v>
      </c>
      <c r="D156" t="s">
        <v>231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t="s">
        <v>15</v>
      </c>
    </row>
    <row r="157" spans="1:33">
      <c r="A157" t="s">
        <v>1668</v>
      </c>
      <c r="B157" t="s">
        <v>2547</v>
      </c>
      <c r="C157" t="s">
        <v>2546</v>
      </c>
      <c r="D157" t="s">
        <v>231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t="s">
        <v>15</v>
      </c>
    </row>
    <row r="158" spans="1:33">
      <c r="A158" t="s">
        <v>1665</v>
      </c>
      <c r="B158" t="s">
        <v>2545</v>
      </c>
      <c r="C158" t="s">
        <v>2544</v>
      </c>
      <c r="D158" t="s">
        <v>232</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t="s">
        <v>15</v>
      </c>
    </row>
    <row r="159" spans="1:33">
      <c r="A159" t="s">
        <v>1662</v>
      </c>
      <c r="B159" t="s">
        <v>2543</v>
      </c>
      <c r="C159" t="s">
        <v>2542</v>
      </c>
      <c r="D159" t="s">
        <v>231</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t="s">
        <v>15</v>
      </c>
    </row>
    <row r="160" spans="1:33">
      <c r="A160" t="s">
        <v>236</v>
      </c>
      <c r="B160" t="s">
        <v>2541</v>
      </c>
      <c r="C160" t="s">
        <v>2540</v>
      </c>
      <c r="F160">
        <v>6.4419060000000004</v>
      </c>
      <c r="G160">
        <v>6.517417</v>
      </c>
      <c r="H160">
        <v>6.6038949999999996</v>
      </c>
      <c r="I160">
        <v>6.7003839999999997</v>
      </c>
      <c r="J160">
        <v>6.799779</v>
      </c>
      <c r="K160">
        <v>6.8997419999999998</v>
      </c>
      <c r="L160">
        <v>6.9991070000000004</v>
      </c>
      <c r="M160">
        <v>7.096711</v>
      </c>
      <c r="N160">
        <v>7.1920929999999998</v>
      </c>
      <c r="O160">
        <v>7.2848660000000001</v>
      </c>
      <c r="P160">
        <v>7.3727790000000004</v>
      </c>
      <c r="Q160">
        <v>7.4540790000000001</v>
      </c>
      <c r="R160">
        <v>7.527946</v>
      </c>
      <c r="S160">
        <v>7.5950939999999996</v>
      </c>
      <c r="T160">
        <v>7.6560100000000002</v>
      </c>
      <c r="U160">
        <v>7.7111929999999997</v>
      </c>
      <c r="V160">
        <v>7.761298</v>
      </c>
      <c r="W160">
        <v>7.8050090000000001</v>
      </c>
      <c r="X160">
        <v>7.8424889999999996</v>
      </c>
      <c r="Y160">
        <v>7.8742320000000001</v>
      </c>
      <c r="Z160">
        <v>7.901008</v>
      </c>
      <c r="AA160">
        <v>7.9241510000000002</v>
      </c>
      <c r="AB160">
        <v>7.9446289999999999</v>
      </c>
      <c r="AC160">
        <v>7.9631720000000001</v>
      </c>
      <c r="AD160">
        <v>7.9799680000000004</v>
      </c>
      <c r="AE160">
        <v>7.9955740000000004</v>
      </c>
      <c r="AF160">
        <v>8.0093580000000006</v>
      </c>
      <c r="AG160" s="20">
        <v>8.0000000000000002E-3</v>
      </c>
    </row>
    <row r="161" spans="1:33">
      <c r="A161" t="s">
        <v>237</v>
      </c>
      <c r="B161" t="s">
        <v>2539</v>
      </c>
      <c r="C161" t="s">
        <v>2538</v>
      </c>
      <c r="F161">
        <v>7.7570209999999999</v>
      </c>
      <c r="G161">
        <v>7.8260290000000001</v>
      </c>
      <c r="H161">
        <v>7.9062919999999997</v>
      </c>
      <c r="I161">
        <v>7.9960300000000002</v>
      </c>
      <c r="J161">
        <v>8.0947870000000002</v>
      </c>
      <c r="K161">
        <v>8.1991739999999993</v>
      </c>
      <c r="L161">
        <v>8.3074709999999996</v>
      </c>
      <c r="M161">
        <v>8.4176070000000003</v>
      </c>
      <c r="N161">
        <v>8.5283189999999998</v>
      </c>
      <c r="O161">
        <v>8.6380090000000003</v>
      </c>
      <c r="P161">
        <v>8.7450670000000006</v>
      </c>
      <c r="Q161">
        <v>8.8470680000000002</v>
      </c>
      <c r="R161">
        <v>8.9420520000000003</v>
      </c>
      <c r="S161">
        <v>9.0299519999999998</v>
      </c>
      <c r="T161">
        <v>9.1127310000000001</v>
      </c>
      <c r="U161">
        <v>9.1914829999999998</v>
      </c>
      <c r="V161">
        <v>9.2668909999999993</v>
      </c>
      <c r="W161">
        <v>9.3372069999999994</v>
      </c>
      <c r="X161">
        <v>9.4020569999999992</v>
      </c>
      <c r="Y161">
        <v>9.4613689999999995</v>
      </c>
      <c r="Z161">
        <v>9.5162099999999992</v>
      </c>
      <c r="AA161">
        <v>9.5691070000000007</v>
      </c>
      <c r="AB161">
        <v>9.6208849999999995</v>
      </c>
      <c r="AC161">
        <v>9.6705679999999994</v>
      </c>
      <c r="AD161">
        <v>9.7169779999999992</v>
      </c>
      <c r="AE161">
        <v>9.7613669999999999</v>
      </c>
      <c r="AF161">
        <v>9.8045439999999999</v>
      </c>
      <c r="AG161" s="20">
        <v>8.9999999999999993E-3</v>
      </c>
    </row>
    <row r="162" spans="1:33">
      <c r="A162" t="s">
        <v>238</v>
      </c>
    </row>
    <row r="163" spans="1:33">
      <c r="A163" t="s">
        <v>219</v>
      </c>
    </row>
    <row r="164" spans="1:33" s="137" customFormat="1">
      <c r="A164" s="137" t="s">
        <v>168</v>
      </c>
      <c r="B164" s="137" t="s">
        <v>2537</v>
      </c>
      <c r="C164" s="137" t="s">
        <v>2536</v>
      </c>
      <c r="D164" s="137" t="s">
        <v>200</v>
      </c>
      <c r="F164" s="137">
        <v>3.3905850000000002</v>
      </c>
      <c r="G164" s="137">
        <v>3.486351</v>
      </c>
      <c r="H164" s="137">
        <v>3.5834139999999999</v>
      </c>
      <c r="I164" s="137">
        <v>3.6768480000000001</v>
      </c>
      <c r="J164" s="137">
        <v>3.7508810000000001</v>
      </c>
      <c r="K164" s="137">
        <v>3.8030469999999998</v>
      </c>
      <c r="L164" s="137">
        <v>3.834028</v>
      </c>
      <c r="M164" s="137">
        <v>3.8420770000000002</v>
      </c>
      <c r="N164" s="137">
        <v>3.8310469999999999</v>
      </c>
      <c r="O164" s="137">
        <v>3.8013629999999998</v>
      </c>
      <c r="P164" s="137">
        <v>3.7583890000000002</v>
      </c>
      <c r="Q164" s="137">
        <v>3.7012700000000001</v>
      </c>
      <c r="R164" s="137">
        <v>3.6357650000000001</v>
      </c>
      <c r="S164" s="137">
        <v>3.5635560000000002</v>
      </c>
      <c r="T164" s="137">
        <v>3.482507</v>
      </c>
      <c r="U164" s="137">
        <v>3.3883709999999998</v>
      </c>
      <c r="V164" s="137">
        <v>3.2845849999999999</v>
      </c>
      <c r="W164" s="137">
        <v>3.1761979999999999</v>
      </c>
      <c r="X164" s="137">
        <v>3.0619679999999998</v>
      </c>
      <c r="Y164" s="137">
        <v>2.9523220000000001</v>
      </c>
      <c r="Z164" s="137">
        <v>2.8473959999999998</v>
      </c>
      <c r="AA164" s="137">
        <v>2.7389570000000001</v>
      </c>
      <c r="AB164" s="137">
        <v>2.6264699999999999</v>
      </c>
      <c r="AC164" s="137">
        <v>2.51606</v>
      </c>
      <c r="AD164" s="137">
        <v>2.4064749999999999</v>
      </c>
      <c r="AE164" s="137">
        <v>2.2915329999999998</v>
      </c>
      <c r="AF164" s="137">
        <v>2.1755209999999998</v>
      </c>
      <c r="AG164" s="138">
        <v>-1.7000000000000001E-2</v>
      </c>
    </row>
    <row r="165" spans="1:33" s="135" customFormat="1">
      <c r="A165" s="135" t="s">
        <v>154</v>
      </c>
      <c r="B165" s="135" t="s">
        <v>2535</v>
      </c>
      <c r="C165" s="135" t="s">
        <v>2534</v>
      </c>
      <c r="D165" s="135" t="s">
        <v>200</v>
      </c>
      <c r="F165" s="135">
        <v>1.4982899999999999</v>
      </c>
      <c r="G165" s="135">
        <v>1.5895760000000001</v>
      </c>
      <c r="H165" s="135">
        <v>1.693641</v>
      </c>
      <c r="I165" s="135">
        <v>1.804721</v>
      </c>
      <c r="J165" s="135">
        <v>1.9074690000000001</v>
      </c>
      <c r="K165" s="135">
        <v>1.997787</v>
      </c>
      <c r="L165" s="135">
        <v>2.0758009999999998</v>
      </c>
      <c r="M165" s="135">
        <v>2.1368490000000002</v>
      </c>
      <c r="N165" s="135">
        <v>2.1833619999999998</v>
      </c>
      <c r="O165" s="135">
        <v>2.2201759999999999</v>
      </c>
      <c r="P165" s="135">
        <v>2.2482600000000001</v>
      </c>
      <c r="Q165" s="135">
        <v>2.265781</v>
      </c>
      <c r="R165" s="135">
        <v>2.2771539999999999</v>
      </c>
      <c r="S165" s="135">
        <v>2.2832889999999999</v>
      </c>
      <c r="T165" s="135">
        <v>2.2795169999999998</v>
      </c>
      <c r="U165" s="135">
        <v>2.2650090000000001</v>
      </c>
      <c r="V165" s="135">
        <v>2.2445900000000001</v>
      </c>
      <c r="W165" s="135">
        <v>2.218207</v>
      </c>
      <c r="X165" s="135">
        <v>2.1835680000000002</v>
      </c>
      <c r="Y165" s="135">
        <v>2.143459</v>
      </c>
      <c r="Z165" s="135">
        <v>2.1011060000000001</v>
      </c>
      <c r="AA165" s="135">
        <v>2.056289</v>
      </c>
      <c r="AB165" s="135">
        <v>2.0091060000000001</v>
      </c>
      <c r="AC165" s="135">
        <v>1.960016</v>
      </c>
      <c r="AD165" s="135">
        <v>1.908291</v>
      </c>
      <c r="AE165" s="135">
        <v>1.853021</v>
      </c>
      <c r="AF165" s="135">
        <v>1.796217</v>
      </c>
      <c r="AG165" s="136">
        <v>7.0000000000000001E-3</v>
      </c>
    </row>
    <row r="166" spans="1:33">
      <c r="A166" t="s">
        <v>149</v>
      </c>
      <c r="B166" t="s">
        <v>2533</v>
      </c>
      <c r="C166" t="s">
        <v>2532</v>
      </c>
      <c r="D166" t="s">
        <v>200</v>
      </c>
      <c r="F166">
        <v>1.06E-4</v>
      </c>
      <c r="G166">
        <v>1.03E-4</v>
      </c>
      <c r="H166">
        <v>1E-4</v>
      </c>
      <c r="I166">
        <v>9.7E-5</v>
      </c>
      <c r="J166">
        <v>9.5000000000000005E-5</v>
      </c>
      <c r="K166">
        <v>9.2999999999999997E-5</v>
      </c>
      <c r="L166">
        <v>9.2E-5</v>
      </c>
      <c r="M166">
        <v>9.1000000000000003E-5</v>
      </c>
      <c r="N166">
        <v>9.0000000000000006E-5</v>
      </c>
      <c r="O166">
        <v>9.0000000000000006E-5</v>
      </c>
      <c r="P166">
        <v>8.2000000000000001E-5</v>
      </c>
      <c r="Q166">
        <v>7.1000000000000005E-5</v>
      </c>
      <c r="R166">
        <v>6.4999999999999994E-5</v>
      </c>
      <c r="S166">
        <v>6.0999999999999999E-5</v>
      </c>
      <c r="T166">
        <v>6.0000000000000002E-5</v>
      </c>
      <c r="U166">
        <v>6.0000000000000002E-5</v>
      </c>
      <c r="V166">
        <v>6.0000000000000002E-5</v>
      </c>
      <c r="W166">
        <v>6.2000000000000003E-5</v>
      </c>
      <c r="X166">
        <v>6.3999999999999997E-5</v>
      </c>
      <c r="Y166">
        <v>6.6000000000000005E-5</v>
      </c>
      <c r="Z166">
        <v>6.7999999999999999E-5</v>
      </c>
      <c r="AA166">
        <v>6.9999999999999994E-5</v>
      </c>
      <c r="AB166">
        <v>7.2000000000000002E-5</v>
      </c>
      <c r="AC166">
        <v>7.4999999999999993E-5</v>
      </c>
      <c r="AD166">
        <v>7.7000000000000001E-5</v>
      </c>
      <c r="AE166">
        <v>7.8999999999999996E-5</v>
      </c>
      <c r="AF166">
        <v>8.1000000000000004E-5</v>
      </c>
      <c r="AG166" s="20">
        <v>-1.0999999999999999E-2</v>
      </c>
    </row>
    <row r="167" spans="1:33" s="133" customFormat="1">
      <c r="A167" s="133" t="s">
        <v>148</v>
      </c>
      <c r="B167" s="133" t="s">
        <v>2531</v>
      </c>
      <c r="C167" s="133" t="s">
        <v>2530</v>
      </c>
      <c r="D167" s="133" t="s">
        <v>200</v>
      </c>
      <c r="F167" s="133">
        <v>2.6129999999999999E-3</v>
      </c>
      <c r="G167" s="133">
        <v>5.9820000000000003E-3</v>
      </c>
      <c r="H167" s="133">
        <v>9.7140000000000004E-3</v>
      </c>
      <c r="I167" s="133">
        <v>1.3611E-2</v>
      </c>
      <c r="J167" s="133">
        <v>1.6615000000000001E-2</v>
      </c>
      <c r="K167" s="133">
        <v>1.9800000000000002E-2</v>
      </c>
      <c r="L167" s="133">
        <v>2.2692E-2</v>
      </c>
      <c r="M167" s="133">
        <v>2.5092E-2</v>
      </c>
      <c r="N167" s="133">
        <v>2.7334000000000001E-2</v>
      </c>
      <c r="O167" s="133">
        <v>2.9357000000000001E-2</v>
      </c>
      <c r="P167" s="133">
        <v>3.1753000000000003E-2</v>
      </c>
      <c r="Q167" s="133">
        <v>3.4562000000000002E-2</v>
      </c>
      <c r="R167" s="133">
        <v>3.7726999999999997E-2</v>
      </c>
      <c r="S167" s="133">
        <v>4.1474999999999998E-2</v>
      </c>
      <c r="T167" s="133">
        <v>4.6141000000000001E-2</v>
      </c>
      <c r="U167" s="133">
        <v>5.135E-2</v>
      </c>
      <c r="V167" s="133">
        <v>5.7452000000000003E-2</v>
      </c>
      <c r="W167" s="133">
        <v>6.4610000000000001E-2</v>
      </c>
      <c r="X167" s="133">
        <v>7.2647000000000003E-2</v>
      </c>
      <c r="Y167" s="133">
        <v>8.1342999999999999E-2</v>
      </c>
      <c r="Z167" s="133">
        <v>9.06E-2</v>
      </c>
      <c r="AA167" s="133">
        <v>0.10058300000000001</v>
      </c>
      <c r="AB167" s="133">
        <v>0.11129600000000001</v>
      </c>
      <c r="AC167" s="133">
        <v>0.122808</v>
      </c>
      <c r="AD167" s="133">
        <v>0.134797</v>
      </c>
      <c r="AE167" s="133">
        <v>0.14738200000000001</v>
      </c>
      <c r="AF167" s="133">
        <v>0.16040199999999999</v>
      </c>
      <c r="AG167" s="134">
        <v>0.17199999999999999</v>
      </c>
    </row>
    <row r="168" spans="1:33" s="135" customFormat="1">
      <c r="A168" s="135" t="s">
        <v>203</v>
      </c>
      <c r="B168" s="135" t="s">
        <v>2529</v>
      </c>
      <c r="C168" s="135" t="s">
        <v>2528</v>
      </c>
      <c r="D168" s="135" t="s">
        <v>200</v>
      </c>
      <c r="F168" s="135">
        <v>0.21093400000000001</v>
      </c>
      <c r="G168" s="135">
        <v>0.20787800000000001</v>
      </c>
      <c r="H168" s="135">
        <v>0.20425199999999999</v>
      </c>
      <c r="I168" s="135">
        <v>0.199938</v>
      </c>
      <c r="J168" s="135">
        <v>0.194773</v>
      </c>
      <c r="K168" s="135">
        <v>0.18897900000000001</v>
      </c>
      <c r="L168" s="135">
        <v>0.182667</v>
      </c>
      <c r="M168" s="135">
        <v>0.17594399999999999</v>
      </c>
      <c r="N168" s="135">
        <v>0.16902500000000001</v>
      </c>
      <c r="O168" s="135">
        <v>0.161879</v>
      </c>
      <c r="P168" s="135">
        <v>0.15459100000000001</v>
      </c>
      <c r="Q168" s="135">
        <v>0.147121</v>
      </c>
      <c r="R168" s="135">
        <v>0.139652</v>
      </c>
      <c r="S168" s="135">
        <v>0.132075</v>
      </c>
      <c r="T168" s="135">
        <v>0.12452299999999999</v>
      </c>
      <c r="U168" s="135">
        <v>0.117046</v>
      </c>
      <c r="V168" s="135">
        <v>0.109762</v>
      </c>
      <c r="W168" s="135">
        <v>0.102717</v>
      </c>
      <c r="X168" s="135">
        <v>9.6032000000000006E-2</v>
      </c>
      <c r="Y168" s="135">
        <v>8.9762999999999996E-2</v>
      </c>
      <c r="Z168" s="135">
        <v>8.3586999999999995E-2</v>
      </c>
      <c r="AA168" s="135">
        <v>7.6545000000000002E-2</v>
      </c>
      <c r="AB168" s="135">
        <v>6.9138000000000005E-2</v>
      </c>
      <c r="AC168" s="135">
        <v>6.1460000000000001E-2</v>
      </c>
      <c r="AD168" s="135">
        <v>5.4272000000000001E-2</v>
      </c>
      <c r="AE168" s="135">
        <v>4.5946000000000001E-2</v>
      </c>
      <c r="AF168" s="135">
        <v>3.7659999999999999E-2</v>
      </c>
      <c r="AG168" s="136">
        <v>-6.4000000000000001E-2</v>
      </c>
    </row>
    <row r="169" spans="1:33" s="126" customFormat="1">
      <c r="A169" s="126" t="s">
        <v>204</v>
      </c>
      <c r="B169" s="126" t="s">
        <v>2527</v>
      </c>
      <c r="C169" s="126" t="s">
        <v>2526</v>
      </c>
      <c r="D169" s="126" t="s">
        <v>200</v>
      </c>
      <c r="F169" s="126">
        <v>3.3530000000000001E-3</v>
      </c>
      <c r="G169" s="126">
        <v>4.712E-3</v>
      </c>
      <c r="H169" s="126">
        <v>6.1380000000000002E-3</v>
      </c>
      <c r="I169" s="126">
        <v>7.5929999999999999E-3</v>
      </c>
      <c r="J169" s="126">
        <v>9.0279999999999996E-3</v>
      </c>
      <c r="K169" s="126">
        <v>1.0449999999999999E-2</v>
      </c>
      <c r="L169" s="126">
        <v>1.2096000000000001E-2</v>
      </c>
      <c r="M169" s="126">
        <v>1.6115999999999998E-2</v>
      </c>
      <c r="N169" s="126">
        <v>2.3144000000000001E-2</v>
      </c>
      <c r="O169" s="126">
        <v>3.0137000000000001E-2</v>
      </c>
      <c r="P169" s="126">
        <v>4.1231999999999998E-2</v>
      </c>
      <c r="Q169" s="126">
        <v>5.9050999999999999E-2</v>
      </c>
      <c r="R169" s="126">
        <v>8.4289000000000003E-2</v>
      </c>
      <c r="S169" s="126">
        <v>0.11565400000000001</v>
      </c>
      <c r="T169" s="126">
        <v>0.153889</v>
      </c>
      <c r="U169" s="126">
        <v>0.199877</v>
      </c>
      <c r="V169" s="126">
        <v>0.25327300000000003</v>
      </c>
      <c r="W169" s="126">
        <v>0.31786300000000001</v>
      </c>
      <c r="X169" s="126">
        <v>0.39220500000000003</v>
      </c>
      <c r="Y169" s="126">
        <v>0.475219</v>
      </c>
      <c r="Z169" s="126">
        <v>0.56319900000000001</v>
      </c>
      <c r="AA169" s="126">
        <v>0.65591299999999997</v>
      </c>
      <c r="AB169" s="126">
        <v>0.75208399999999997</v>
      </c>
      <c r="AC169" s="126">
        <v>0.85373900000000003</v>
      </c>
      <c r="AD169" s="126">
        <v>0.95974700000000002</v>
      </c>
      <c r="AE169" s="126">
        <v>1.069048</v>
      </c>
      <c r="AF169" s="126">
        <v>1.181</v>
      </c>
      <c r="AG169" s="127">
        <v>0.253</v>
      </c>
    </row>
    <row r="170" spans="1:33">
      <c r="A170" t="s">
        <v>206</v>
      </c>
      <c r="B170" t="s">
        <v>2525</v>
      </c>
      <c r="C170" t="s">
        <v>2524</v>
      </c>
      <c r="D170" t="s">
        <v>200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15</v>
      </c>
    </row>
    <row r="171" spans="1:33">
      <c r="A171" t="s">
        <v>205</v>
      </c>
      <c r="B171" t="s">
        <v>2523</v>
      </c>
      <c r="C171" t="s">
        <v>2522</v>
      </c>
      <c r="D171" t="s">
        <v>200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t="s">
        <v>15</v>
      </c>
    </row>
    <row r="172" spans="1:33">
      <c r="A172" t="s">
        <v>207</v>
      </c>
      <c r="B172" t="s">
        <v>2521</v>
      </c>
      <c r="C172" t="s">
        <v>2520</v>
      </c>
      <c r="D172" t="s">
        <v>200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15</v>
      </c>
    </row>
    <row r="173" spans="1:33">
      <c r="A173" t="s">
        <v>1668</v>
      </c>
      <c r="B173" t="s">
        <v>2519</v>
      </c>
      <c r="C173" t="s">
        <v>2518</v>
      </c>
      <c r="D173" t="s">
        <v>200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t="s">
        <v>15</v>
      </c>
    </row>
    <row r="174" spans="1:33">
      <c r="A174" t="s">
        <v>1665</v>
      </c>
      <c r="B174" t="s">
        <v>2517</v>
      </c>
      <c r="C174" t="s">
        <v>2516</v>
      </c>
      <c r="D174" t="s">
        <v>200</v>
      </c>
      <c r="F174">
        <v>0</v>
      </c>
      <c r="G174">
        <v>2.0379999999999999E-3</v>
      </c>
      <c r="H174">
        <v>5.3639999999999998E-3</v>
      </c>
      <c r="I174">
        <v>1.0276E-2</v>
      </c>
      <c r="J174">
        <v>3.6535999999999999E-2</v>
      </c>
      <c r="K174">
        <v>9.0727000000000002E-2</v>
      </c>
      <c r="L174">
        <v>0.174703</v>
      </c>
      <c r="M174">
        <v>0.28721799999999997</v>
      </c>
      <c r="N174">
        <v>0.42857600000000001</v>
      </c>
      <c r="O174">
        <v>0.59094800000000003</v>
      </c>
      <c r="P174">
        <v>0.77014400000000005</v>
      </c>
      <c r="Q174">
        <v>0.96182400000000001</v>
      </c>
      <c r="R174">
        <v>1.160407</v>
      </c>
      <c r="S174">
        <v>1.36402</v>
      </c>
      <c r="T174">
        <v>1.5784469999999999</v>
      </c>
      <c r="U174">
        <v>1.805226</v>
      </c>
      <c r="V174">
        <v>2.0337710000000002</v>
      </c>
      <c r="W174">
        <v>2.2612679999999998</v>
      </c>
      <c r="X174">
        <v>2.488102</v>
      </c>
      <c r="Y174">
        <v>2.7142050000000002</v>
      </c>
      <c r="Z174">
        <v>2.9380959999999998</v>
      </c>
      <c r="AA174">
        <v>3.1570019999999999</v>
      </c>
      <c r="AB174">
        <v>3.3707229999999999</v>
      </c>
      <c r="AC174">
        <v>3.578576</v>
      </c>
      <c r="AD174">
        <v>3.7794880000000002</v>
      </c>
      <c r="AE174">
        <v>3.9730300000000001</v>
      </c>
      <c r="AF174">
        <v>4.1586670000000003</v>
      </c>
      <c r="AG174" t="s">
        <v>15</v>
      </c>
    </row>
    <row r="175" spans="1:33">
      <c r="A175" t="s">
        <v>1662</v>
      </c>
      <c r="B175" t="s">
        <v>2515</v>
      </c>
      <c r="C175" t="s">
        <v>2514</v>
      </c>
      <c r="D175" t="s">
        <v>200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t="s">
        <v>15</v>
      </c>
    </row>
    <row r="176" spans="1:33">
      <c r="A176" t="s">
        <v>221</v>
      </c>
      <c r="B176" t="s">
        <v>2513</v>
      </c>
      <c r="C176" t="s">
        <v>2512</v>
      </c>
      <c r="D176" t="s">
        <v>200</v>
      </c>
      <c r="F176">
        <v>5.1058789999999998</v>
      </c>
      <c r="G176">
        <v>5.29664</v>
      </c>
      <c r="H176">
        <v>5.5026190000000001</v>
      </c>
      <c r="I176">
        <v>5.7130809999999999</v>
      </c>
      <c r="J176">
        <v>5.9153969999999996</v>
      </c>
      <c r="K176">
        <v>6.110881</v>
      </c>
      <c r="L176">
        <v>6.302073</v>
      </c>
      <c r="M176">
        <v>6.4833819999999998</v>
      </c>
      <c r="N176">
        <v>6.6625709999999998</v>
      </c>
      <c r="O176">
        <v>6.8339429999999997</v>
      </c>
      <c r="P176">
        <v>7.0044469999999999</v>
      </c>
      <c r="Q176">
        <v>7.1696759999999999</v>
      </c>
      <c r="R176">
        <v>7.3350530000000003</v>
      </c>
      <c r="S176">
        <v>7.500127</v>
      </c>
      <c r="T176">
        <v>7.6650790000000004</v>
      </c>
      <c r="U176">
        <v>7.8269320000000002</v>
      </c>
      <c r="V176">
        <v>7.9834909999999999</v>
      </c>
      <c r="W176">
        <v>8.1409230000000008</v>
      </c>
      <c r="X176">
        <v>8.2945799999999998</v>
      </c>
      <c r="Y176">
        <v>8.4563760000000006</v>
      </c>
      <c r="Z176">
        <v>8.6240450000000006</v>
      </c>
      <c r="AA176">
        <v>8.7853530000000006</v>
      </c>
      <c r="AB176">
        <v>8.9388819999999996</v>
      </c>
      <c r="AC176">
        <v>9.092746</v>
      </c>
      <c r="AD176">
        <v>9.24315</v>
      </c>
      <c r="AE176">
        <v>9.3800469999999994</v>
      </c>
      <c r="AF176">
        <v>9.5095489999999998</v>
      </c>
      <c r="AG176" s="20">
        <v>2.4E-2</v>
      </c>
    </row>
    <row r="177" spans="1:33">
      <c r="A177" t="s">
        <v>222</v>
      </c>
    </row>
    <row r="178" spans="1:33" s="137" customFormat="1">
      <c r="A178" s="137" t="s">
        <v>168</v>
      </c>
      <c r="B178" s="137" t="s">
        <v>2511</v>
      </c>
      <c r="C178" s="137" t="s">
        <v>2510</v>
      </c>
      <c r="D178" s="137" t="s">
        <v>200</v>
      </c>
      <c r="F178" s="137">
        <v>2.3430569999999999</v>
      </c>
      <c r="G178" s="137">
        <v>2.3601730000000001</v>
      </c>
      <c r="H178" s="137">
        <v>2.383213</v>
      </c>
      <c r="I178" s="137">
        <v>2.4088270000000001</v>
      </c>
      <c r="J178" s="137">
        <v>2.4287920000000001</v>
      </c>
      <c r="K178" s="137">
        <v>2.438984</v>
      </c>
      <c r="L178" s="137">
        <v>2.4438149999999998</v>
      </c>
      <c r="M178" s="137">
        <v>2.4413939999999998</v>
      </c>
      <c r="N178" s="137">
        <v>2.4343599999999999</v>
      </c>
      <c r="O178" s="137">
        <v>2.418981</v>
      </c>
      <c r="P178" s="137">
        <v>2.3954230000000001</v>
      </c>
      <c r="Q178" s="137">
        <v>2.3676149999999998</v>
      </c>
      <c r="R178" s="137">
        <v>2.3380269999999999</v>
      </c>
      <c r="S178" s="137">
        <v>2.3065199999999999</v>
      </c>
      <c r="T178" s="137">
        <v>2.2718259999999999</v>
      </c>
      <c r="U178" s="137">
        <v>2.2329409999999998</v>
      </c>
      <c r="V178" s="137">
        <v>2.1898680000000001</v>
      </c>
      <c r="W178" s="137">
        <v>2.1439339999999998</v>
      </c>
      <c r="X178" s="137">
        <v>2.0985369999999999</v>
      </c>
      <c r="Y178" s="137">
        <v>2.059526</v>
      </c>
      <c r="Z178" s="137">
        <v>2.0253060000000001</v>
      </c>
      <c r="AA178" s="137">
        <v>1.9918910000000001</v>
      </c>
      <c r="AB178" s="137">
        <v>1.9569749999999999</v>
      </c>
      <c r="AC178" s="137">
        <v>1.9238310000000001</v>
      </c>
      <c r="AD178" s="137">
        <v>1.892142</v>
      </c>
      <c r="AE178" s="137">
        <v>1.859585</v>
      </c>
      <c r="AF178" s="137">
        <v>1.825566</v>
      </c>
      <c r="AG178" s="138">
        <v>-0.01</v>
      </c>
    </row>
    <row r="179" spans="1:33" s="135" customFormat="1">
      <c r="A179" s="135" t="s">
        <v>154</v>
      </c>
      <c r="B179" s="135" t="s">
        <v>2509</v>
      </c>
      <c r="C179" s="135" t="s">
        <v>2508</v>
      </c>
      <c r="D179" s="135" t="s">
        <v>200</v>
      </c>
      <c r="F179" s="135">
        <v>1.585955</v>
      </c>
      <c r="G179" s="135">
        <v>1.6031569999999999</v>
      </c>
      <c r="H179" s="135">
        <v>1.6305590000000001</v>
      </c>
      <c r="I179" s="135">
        <v>1.665565</v>
      </c>
      <c r="J179" s="135">
        <v>1.6999679999999999</v>
      </c>
      <c r="K179" s="135">
        <v>1.7294670000000001</v>
      </c>
      <c r="L179" s="135">
        <v>1.756974</v>
      </c>
      <c r="M179" s="135">
        <v>1.779245</v>
      </c>
      <c r="N179" s="135">
        <v>1.8013349999999999</v>
      </c>
      <c r="O179" s="135">
        <v>1.81704</v>
      </c>
      <c r="P179" s="135">
        <v>1.8287150000000001</v>
      </c>
      <c r="Q179" s="135">
        <v>1.838938</v>
      </c>
      <c r="R179" s="135">
        <v>1.8455870000000001</v>
      </c>
      <c r="S179" s="135">
        <v>1.8517380000000001</v>
      </c>
      <c r="T179" s="135">
        <v>1.852997</v>
      </c>
      <c r="U179" s="135">
        <v>1.8526800000000001</v>
      </c>
      <c r="V179" s="135">
        <v>1.8467750000000001</v>
      </c>
      <c r="W179" s="135">
        <v>1.8396710000000001</v>
      </c>
      <c r="X179" s="135">
        <v>1.8324419999999999</v>
      </c>
      <c r="Y179" s="135">
        <v>1.8273280000000001</v>
      </c>
      <c r="Z179" s="135">
        <v>1.8227979999999999</v>
      </c>
      <c r="AA179" s="135">
        <v>1.815434</v>
      </c>
      <c r="AB179" s="135">
        <v>1.805024</v>
      </c>
      <c r="AC179" s="135">
        <v>1.7930740000000001</v>
      </c>
      <c r="AD179" s="135">
        <v>1.7802450000000001</v>
      </c>
      <c r="AE179" s="135">
        <v>1.7660819999999999</v>
      </c>
      <c r="AF179" s="135">
        <v>1.7487239999999999</v>
      </c>
      <c r="AG179" s="136">
        <v>4.0000000000000001E-3</v>
      </c>
    </row>
    <row r="180" spans="1:33">
      <c r="A180" t="s">
        <v>149</v>
      </c>
      <c r="B180" t="s">
        <v>2507</v>
      </c>
      <c r="C180" t="s">
        <v>2506</v>
      </c>
      <c r="D180" t="s">
        <v>200</v>
      </c>
      <c r="F180">
        <v>2.1900000000000001E-3</v>
      </c>
      <c r="G180">
        <v>2.039E-3</v>
      </c>
      <c r="H180">
        <v>1.923E-3</v>
      </c>
      <c r="I180">
        <v>1.818E-3</v>
      </c>
      <c r="J180">
        <v>1.725E-3</v>
      </c>
      <c r="K180">
        <v>1.531E-3</v>
      </c>
      <c r="L180">
        <v>1.441E-3</v>
      </c>
      <c r="M180">
        <v>1.346E-3</v>
      </c>
      <c r="N180">
        <v>1.2639999999999999E-3</v>
      </c>
      <c r="O180">
        <v>1.2030000000000001E-3</v>
      </c>
      <c r="P180">
        <v>1.1180000000000001E-3</v>
      </c>
      <c r="Q180">
        <v>1.0169999999999999E-3</v>
      </c>
      <c r="R180">
        <v>9.3400000000000004E-4</v>
      </c>
      <c r="S180">
        <v>8.6700000000000004E-4</v>
      </c>
      <c r="T180">
        <v>8.0699999999999999E-4</v>
      </c>
      <c r="U180">
        <v>7.5299999999999998E-4</v>
      </c>
      <c r="V180">
        <v>7.0799999999999997E-4</v>
      </c>
      <c r="W180">
        <v>6.6399999999999999E-4</v>
      </c>
      <c r="X180">
        <v>6.2299999999999996E-4</v>
      </c>
      <c r="Y180">
        <v>5.8500000000000002E-4</v>
      </c>
      <c r="Z180">
        <v>5.4699999999999996E-4</v>
      </c>
      <c r="AA180">
        <v>5.2099999999999998E-4</v>
      </c>
      <c r="AB180">
        <v>4.9200000000000003E-4</v>
      </c>
      <c r="AC180">
        <v>4.6500000000000003E-4</v>
      </c>
      <c r="AD180">
        <v>4.4000000000000002E-4</v>
      </c>
      <c r="AE180">
        <v>3.3799999999999998E-4</v>
      </c>
      <c r="AF180">
        <v>2.5099999999999998E-4</v>
      </c>
      <c r="AG180" s="20">
        <v>-0.08</v>
      </c>
    </row>
    <row r="181" spans="1:33" s="133" customFormat="1">
      <c r="A181" s="133" t="s">
        <v>148</v>
      </c>
      <c r="B181" s="133" t="s">
        <v>2505</v>
      </c>
      <c r="C181" s="133" t="s">
        <v>2504</v>
      </c>
      <c r="D181" s="133" t="s">
        <v>200</v>
      </c>
      <c r="F181" s="133">
        <v>8.0219999999999996E-3</v>
      </c>
      <c r="G181" s="133">
        <v>1.0805E-2</v>
      </c>
      <c r="H181" s="133">
        <v>1.3792E-2</v>
      </c>
      <c r="I181" s="133">
        <v>1.6891E-2</v>
      </c>
      <c r="J181" s="133">
        <v>1.9911999999999999E-2</v>
      </c>
      <c r="K181" s="133">
        <v>2.2794999999999999E-2</v>
      </c>
      <c r="L181" s="133">
        <v>2.5595E-2</v>
      </c>
      <c r="M181" s="133">
        <v>2.8303999999999999E-2</v>
      </c>
      <c r="N181" s="133">
        <v>3.0956000000000001E-2</v>
      </c>
      <c r="O181" s="133">
        <v>3.3620999999999998E-2</v>
      </c>
      <c r="P181" s="133">
        <v>3.6246E-2</v>
      </c>
      <c r="Q181" s="133">
        <v>3.8836000000000002E-2</v>
      </c>
      <c r="R181" s="133">
        <v>4.1377999999999998E-2</v>
      </c>
      <c r="S181" s="133">
        <v>4.3868999999999998E-2</v>
      </c>
      <c r="T181" s="133">
        <v>4.6358000000000003E-2</v>
      </c>
      <c r="U181" s="133">
        <v>4.8814999999999997E-2</v>
      </c>
      <c r="V181" s="133">
        <v>5.1213000000000002E-2</v>
      </c>
      <c r="W181" s="133">
        <v>5.3511000000000003E-2</v>
      </c>
      <c r="X181" s="133">
        <v>5.5780999999999997E-2</v>
      </c>
      <c r="Y181" s="133">
        <v>5.7986000000000003E-2</v>
      </c>
      <c r="Z181" s="133">
        <v>6.0061999999999997E-2</v>
      </c>
      <c r="AA181" s="133">
        <v>6.2019999999999999E-2</v>
      </c>
      <c r="AB181" s="133">
        <v>6.3844999999999999E-2</v>
      </c>
      <c r="AC181" s="133">
        <v>6.5603999999999996E-2</v>
      </c>
      <c r="AD181" s="133">
        <v>6.7313999999999999E-2</v>
      </c>
      <c r="AE181" s="133">
        <v>6.9006999999999999E-2</v>
      </c>
      <c r="AF181" s="133">
        <v>7.059E-2</v>
      </c>
      <c r="AG181" s="134">
        <v>8.6999999999999994E-2</v>
      </c>
    </row>
    <row r="182" spans="1:33" s="135" customFormat="1">
      <c r="A182" s="135" t="s">
        <v>203</v>
      </c>
      <c r="B182" s="135" t="s">
        <v>2503</v>
      </c>
      <c r="C182" s="135" t="s">
        <v>2502</v>
      </c>
      <c r="D182" s="135" t="s">
        <v>200</v>
      </c>
      <c r="F182" s="135">
        <v>3.0175E-2</v>
      </c>
      <c r="G182" s="135">
        <v>2.9818000000000001E-2</v>
      </c>
      <c r="H182" s="135">
        <v>2.9425E-2</v>
      </c>
      <c r="I182" s="135">
        <v>2.8955999999999999E-2</v>
      </c>
      <c r="J182" s="135">
        <v>2.8405E-2</v>
      </c>
      <c r="K182" s="135">
        <v>2.7910999999999998E-2</v>
      </c>
      <c r="L182" s="135">
        <v>2.7310000000000001E-2</v>
      </c>
      <c r="M182" s="135">
        <v>2.6641000000000001E-2</v>
      </c>
      <c r="N182" s="135">
        <v>2.5982000000000002E-2</v>
      </c>
      <c r="O182" s="135">
        <v>2.5176E-2</v>
      </c>
      <c r="P182" s="135">
        <v>2.4344999999999999E-2</v>
      </c>
      <c r="Q182" s="135">
        <v>2.3564000000000002E-2</v>
      </c>
      <c r="R182" s="135">
        <v>2.2744E-2</v>
      </c>
      <c r="S182" s="135">
        <v>2.1894E-2</v>
      </c>
      <c r="T182" s="135">
        <v>2.1017999999999998E-2</v>
      </c>
      <c r="U182" s="135">
        <v>2.0091999999999999E-2</v>
      </c>
      <c r="V182" s="135">
        <v>1.9136E-2</v>
      </c>
      <c r="W182" s="135">
        <v>1.8169999999999999E-2</v>
      </c>
      <c r="X182" s="135">
        <v>1.7172E-2</v>
      </c>
      <c r="Y182" s="135">
        <v>1.6177E-2</v>
      </c>
      <c r="Z182" s="135">
        <v>1.5131E-2</v>
      </c>
      <c r="AA182" s="135">
        <v>1.4052E-2</v>
      </c>
      <c r="AB182" s="135">
        <v>1.2877E-2</v>
      </c>
      <c r="AC182" s="135">
        <v>1.1648E-2</v>
      </c>
      <c r="AD182" s="135">
        <v>1.0281E-2</v>
      </c>
      <c r="AE182" s="135">
        <v>8.9499999999999996E-3</v>
      </c>
      <c r="AF182" s="135">
        <v>7.6639999999999998E-3</v>
      </c>
      <c r="AG182" s="136">
        <v>-5.0999999999999997E-2</v>
      </c>
    </row>
    <row r="183" spans="1:33" s="126" customFormat="1">
      <c r="A183" s="126" t="s">
        <v>204</v>
      </c>
      <c r="B183" s="126" t="s">
        <v>2501</v>
      </c>
      <c r="C183" s="126" t="s">
        <v>2500</v>
      </c>
      <c r="D183" s="126" t="s">
        <v>200</v>
      </c>
      <c r="F183" s="126">
        <v>8.1800000000000004E-4</v>
      </c>
      <c r="G183" s="126">
        <v>9.2199999999999997E-4</v>
      </c>
      <c r="H183" s="126">
        <v>1.0300000000000001E-3</v>
      </c>
      <c r="I183" s="126">
        <v>1.145E-3</v>
      </c>
      <c r="J183" s="126">
        <v>1.2539999999999999E-3</v>
      </c>
      <c r="K183" s="126">
        <v>1.353E-3</v>
      </c>
      <c r="L183" s="126">
        <v>1.4519999999999999E-3</v>
      </c>
      <c r="M183" s="126">
        <v>1.5399999999999999E-3</v>
      </c>
      <c r="N183" s="126">
        <v>1.6329999999999999E-3</v>
      </c>
      <c r="O183" s="126">
        <v>1.725E-3</v>
      </c>
      <c r="P183" s="126">
        <v>1.815E-3</v>
      </c>
      <c r="Q183" s="126">
        <v>1.9009999999999999E-3</v>
      </c>
      <c r="R183" s="126">
        <v>1.9840000000000001E-3</v>
      </c>
      <c r="S183" s="126">
        <v>2.0669999999999998E-3</v>
      </c>
      <c r="T183" s="126">
        <v>2.1459999999999999E-3</v>
      </c>
      <c r="U183" s="126">
        <v>2.2209999999999999E-3</v>
      </c>
      <c r="V183" s="126">
        <v>2.2910000000000001E-3</v>
      </c>
      <c r="W183" s="126">
        <v>2.3570000000000002E-3</v>
      </c>
      <c r="X183" s="126">
        <v>2.4199999999999998E-3</v>
      </c>
      <c r="Y183" s="126">
        <v>2.4789999999999999E-3</v>
      </c>
      <c r="Z183" s="126">
        <v>2.5300000000000001E-3</v>
      </c>
      <c r="AA183" s="126">
        <v>2.5769999999999999E-3</v>
      </c>
      <c r="AB183" s="126">
        <v>2.6159999999999998E-3</v>
      </c>
      <c r="AC183" s="126">
        <v>2.6519999999999998E-3</v>
      </c>
      <c r="AD183" s="126">
        <v>2.6909999999999998E-3</v>
      </c>
      <c r="AE183" s="126">
        <v>2.7290000000000001E-3</v>
      </c>
      <c r="AF183" s="126">
        <v>2.761E-3</v>
      </c>
      <c r="AG183" s="127">
        <v>4.8000000000000001E-2</v>
      </c>
    </row>
    <row r="184" spans="1:33">
      <c r="A184" t="s">
        <v>206</v>
      </c>
      <c r="B184" t="s">
        <v>2499</v>
      </c>
      <c r="C184" t="s">
        <v>2498</v>
      </c>
      <c r="D184" t="s">
        <v>200</v>
      </c>
      <c r="F184">
        <v>0</v>
      </c>
      <c r="G184">
        <v>0</v>
      </c>
      <c r="H184">
        <v>1.22E-4</v>
      </c>
      <c r="I184">
        <v>3.1500000000000001E-4</v>
      </c>
      <c r="J184">
        <v>6.2699999999999995E-4</v>
      </c>
      <c r="K184">
        <v>1.0369999999999999E-3</v>
      </c>
      <c r="L184">
        <v>1.516E-3</v>
      </c>
      <c r="M184">
        <v>2.0600000000000002E-3</v>
      </c>
      <c r="N184">
        <v>2.637E-3</v>
      </c>
      <c r="O184">
        <v>2.6210000000000001E-3</v>
      </c>
      <c r="P184">
        <v>2.601E-3</v>
      </c>
      <c r="Q184">
        <v>2.578E-3</v>
      </c>
      <c r="R184">
        <v>2.5579999999999999E-3</v>
      </c>
      <c r="S184">
        <v>2.5379999999999999E-3</v>
      </c>
      <c r="T184">
        <v>2.5170000000000001E-3</v>
      </c>
      <c r="U184">
        <v>2.4940000000000001E-3</v>
      </c>
      <c r="V184">
        <v>2.4729999999999999E-3</v>
      </c>
      <c r="W184">
        <v>2.4559999999999998E-3</v>
      </c>
      <c r="X184">
        <v>2.441E-3</v>
      </c>
      <c r="Y184">
        <v>2.4320000000000001E-3</v>
      </c>
      <c r="Z184">
        <v>2.4260000000000002E-3</v>
      </c>
      <c r="AA184">
        <v>2.421E-3</v>
      </c>
      <c r="AB184">
        <v>2.4139999999999999E-3</v>
      </c>
      <c r="AC184">
        <v>2.3779999999999999E-3</v>
      </c>
      <c r="AD184">
        <v>2.3280000000000002E-3</v>
      </c>
      <c r="AE184">
        <v>2.2699999999999999E-3</v>
      </c>
      <c r="AF184">
        <v>2.2000000000000001E-3</v>
      </c>
      <c r="AG184" t="s">
        <v>15</v>
      </c>
    </row>
    <row r="185" spans="1:33">
      <c r="A185" t="s">
        <v>205</v>
      </c>
      <c r="B185" t="s">
        <v>2497</v>
      </c>
      <c r="C185" t="s">
        <v>2496</v>
      </c>
      <c r="D185" t="s">
        <v>200</v>
      </c>
      <c r="F185">
        <v>0</v>
      </c>
      <c r="G185">
        <v>5.62E-4</v>
      </c>
      <c r="H185">
        <v>1.2110000000000001E-3</v>
      </c>
      <c r="I185">
        <v>1.542E-3</v>
      </c>
      <c r="J185">
        <v>1.609E-3</v>
      </c>
      <c r="K185">
        <v>1.609E-3</v>
      </c>
      <c r="L185">
        <v>1.598E-3</v>
      </c>
      <c r="M185">
        <v>1.588E-3</v>
      </c>
      <c r="N185">
        <v>1.586E-3</v>
      </c>
      <c r="O185">
        <v>1.5809999999999999E-3</v>
      </c>
      <c r="P185">
        <v>1.572E-3</v>
      </c>
      <c r="Q185">
        <v>1.5590000000000001E-3</v>
      </c>
      <c r="R185">
        <v>1.5499999999999999E-3</v>
      </c>
      <c r="S185">
        <v>1.5319999999999999E-3</v>
      </c>
      <c r="T185">
        <v>1.5139999999999999E-3</v>
      </c>
      <c r="U185">
        <v>1.5020000000000001E-3</v>
      </c>
      <c r="V185">
        <v>1.4970000000000001E-3</v>
      </c>
      <c r="W185">
        <v>1.493E-3</v>
      </c>
      <c r="X185">
        <v>1.477E-3</v>
      </c>
      <c r="Y185">
        <v>1.454E-3</v>
      </c>
      <c r="Z185">
        <v>1.4220000000000001E-3</v>
      </c>
      <c r="AA185">
        <v>1.387E-3</v>
      </c>
      <c r="AB185">
        <v>1.3420000000000001E-3</v>
      </c>
      <c r="AC185">
        <v>1.289E-3</v>
      </c>
      <c r="AD185">
        <v>1.232E-3</v>
      </c>
      <c r="AE185">
        <v>1.17E-3</v>
      </c>
      <c r="AF185">
        <v>1.1050000000000001E-3</v>
      </c>
      <c r="AG185" t="s">
        <v>15</v>
      </c>
    </row>
    <row r="186" spans="1:33">
      <c r="A186" t="s">
        <v>207</v>
      </c>
      <c r="B186" t="s">
        <v>2495</v>
      </c>
      <c r="C186" t="s">
        <v>2494</v>
      </c>
      <c r="D186" t="s">
        <v>200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15</v>
      </c>
    </row>
    <row r="187" spans="1:33">
      <c r="A187" t="s">
        <v>1668</v>
      </c>
      <c r="B187" t="s">
        <v>2493</v>
      </c>
      <c r="C187" t="s">
        <v>2492</v>
      </c>
      <c r="D187" t="s">
        <v>200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t="s">
        <v>15</v>
      </c>
    </row>
    <row r="188" spans="1:33">
      <c r="A188" t="s">
        <v>1665</v>
      </c>
      <c r="B188" t="s">
        <v>2491</v>
      </c>
      <c r="C188" t="s">
        <v>2490</v>
      </c>
      <c r="D188" t="s">
        <v>200</v>
      </c>
      <c r="F188">
        <v>0</v>
      </c>
      <c r="G188">
        <v>1.714E-3</v>
      </c>
      <c r="H188">
        <v>4.0610000000000004E-3</v>
      </c>
      <c r="I188">
        <v>7.2750000000000002E-3</v>
      </c>
      <c r="J188">
        <v>1.1434E-2</v>
      </c>
      <c r="K188">
        <v>1.6846E-2</v>
      </c>
      <c r="L188">
        <v>2.4177000000000001E-2</v>
      </c>
      <c r="M188">
        <v>3.4250000000000003E-2</v>
      </c>
      <c r="N188">
        <v>4.8252999999999997E-2</v>
      </c>
      <c r="O188">
        <v>6.7613000000000006E-2</v>
      </c>
      <c r="P188">
        <v>9.3364000000000003E-2</v>
      </c>
      <c r="Q188">
        <v>0.12609000000000001</v>
      </c>
      <c r="R188">
        <v>0.16609399999999999</v>
      </c>
      <c r="S188">
        <v>0.212897</v>
      </c>
      <c r="T188">
        <v>0.26521899999999998</v>
      </c>
      <c r="U188">
        <v>0.32117800000000002</v>
      </c>
      <c r="V188">
        <v>0.37935200000000002</v>
      </c>
      <c r="W188">
        <v>0.43880200000000003</v>
      </c>
      <c r="X188">
        <v>0.49908999999999998</v>
      </c>
      <c r="Y188">
        <v>0.55974599999999997</v>
      </c>
      <c r="Z188">
        <v>0.61965000000000003</v>
      </c>
      <c r="AA188">
        <v>0.67806999999999995</v>
      </c>
      <c r="AB188">
        <v>0.73476300000000005</v>
      </c>
      <c r="AC188">
        <v>0.79071899999999995</v>
      </c>
      <c r="AD188">
        <v>0.84615200000000002</v>
      </c>
      <c r="AE188">
        <v>0.90025699999999997</v>
      </c>
      <c r="AF188">
        <v>0.95221999999999996</v>
      </c>
      <c r="AG188" t="s">
        <v>15</v>
      </c>
    </row>
    <row r="189" spans="1:33">
      <c r="A189" t="s">
        <v>1662</v>
      </c>
      <c r="B189" t="s">
        <v>2489</v>
      </c>
      <c r="C189" t="s">
        <v>2488</v>
      </c>
      <c r="D189" t="s">
        <v>200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15</v>
      </c>
    </row>
    <row r="190" spans="1:33">
      <c r="A190" t="s">
        <v>223</v>
      </c>
      <c r="B190" t="s">
        <v>2487</v>
      </c>
      <c r="C190" t="s">
        <v>2486</v>
      </c>
      <c r="D190" t="s">
        <v>200</v>
      </c>
      <c r="F190">
        <v>3.970215</v>
      </c>
      <c r="G190">
        <v>4.0091910000000004</v>
      </c>
      <c r="H190">
        <v>4.0653360000000003</v>
      </c>
      <c r="I190">
        <v>4.1323340000000002</v>
      </c>
      <c r="J190">
        <v>4.1937249999999997</v>
      </c>
      <c r="K190">
        <v>4.2415349999999998</v>
      </c>
      <c r="L190">
        <v>4.2838779999999996</v>
      </c>
      <c r="M190">
        <v>4.3163669999999996</v>
      </c>
      <c r="N190">
        <v>4.348007</v>
      </c>
      <c r="O190">
        <v>4.369561</v>
      </c>
      <c r="P190">
        <v>4.3852000000000002</v>
      </c>
      <c r="Q190">
        <v>4.4020970000000004</v>
      </c>
      <c r="R190">
        <v>4.4208569999999998</v>
      </c>
      <c r="S190">
        <v>4.4439219999999997</v>
      </c>
      <c r="T190">
        <v>4.4644000000000004</v>
      </c>
      <c r="U190">
        <v>4.4826800000000002</v>
      </c>
      <c r="V190">
        <v>4.4933120000000004</v>
      </c>
      <c r="W190">
        <v>4.5010579999999996</v>
      </c>
      <c r="X190">
        <v>4.5099869999999997</v>
      </c>
      <c r="Y190">
        <v>4.527717</v>
      </c>
      <c r="Z190">
        <v>4.5498729999999998</v>
      </c>
      <c r="AA190">
        <v>4.5683740000000004</v>
      </c>
      <c r="AB190">
        <v>4.5803440000000002</v>
      </c>
      <c r="AC190">
        <v>4.5916600000000001</v>
      </c>
      <c r="AD190">
        <v>4.6028260000000003</v>
      </c>
      <c r="AE190">
        <v>4.6103870000000002</v>
      </c>
      <c r="AF190">
        <v>4.6110850000000001</v>
      </c>
      <c r="AG190" s="20">
        <v>6.0000000000000001E-3</v>
      </c>
    </row>
    <row r="191" spans="1:33">
      <c r="A191" t="s">
        <v>224</v>
      </c>
    </row>
    <row r="192" spans="1:33">
      <c r="A192" t="s">
        <v>168</v>
      </c>
      <c r="B192" t="s">
        <v>2485</v>
      </c>
      <c r="C192" t="s">
        <v>2484</v>
      </c>
      <c r="D192" t="s">
        <v>200</v>
      </c>
      <c r="F192">
        <v>5.4532230000000004</v>
      </c>
      <c r="G192">
        <v>5.54474</v>
      </c>
      <c r="H192">
        <v>5.6681350000000004</v>
      </c>
      <c r="I192">
        <v>5.8111879999999996</v>
      </c>
      <c r="J192">
        <v>5.9438380000000004</v>
      </c>
      <c r="K192">
        <v>6.0549759999999999</v>
      </c>
      <c r="L192">
        <v>6.1551280000000004</v>
      </c>
      <c r="M192">
        <v>6.2453989999999999</v>
      </c>
      <c r="N192">
        <v>6.3268560000000003</v>
      </c>
      <c r="O192">
        <v>6.4006259999999999</v>
      </c>
      <c r="P192">
        <v>6.4616090000000002</v>
      </c>
      <c r="Q192">
        <v>6.5220029999999998</v>
      </c>
      <c r="R192">
        <v>6.5889709999999999</v>
      </c>
      <c r="S192">
        <v>6.6581659999999996</v>
      </c>
      <c r="T192">
        <v>6.7268949999999998</v>
      </c>
      <c r="U192">
        <v>6.785615</v>
      </c>
      <c r="V192">
        <v>6.8349149999999996</v>
      </c>
      <c r="W192">
        <v>6.8703469999999998</v>
      </c>
      <c r="X192">
        <v>6.9170680000000004</v>
      </c>
      <c r="Y192">
        <v>6.9704490000000003</v>
      </c>
      <c r="Z192">
        <v>7.0275299999999996</v>
      </c>
      <c r="AA192">
        <v>7.0818209999999997</v>
      </c>
      <c r="AB192">
        <v>7.1251420000000003</v>
      </c>
      <c r="AC192">
        <v>7.1636379999999997</v>
      </c>
      <c r="AD192">
        <v>7.1999880000000003</v>
      </c>
      <c r="AE192">
        <v>7.227563</v>
      </c>
      <c r="AF192">
        <v>7.2418500000000003</v>
      </c>
      <c r="AG192" s="20">
        <v>1.0999999999999999E-2</v>
      </c>
    </row>
    <row r="193" spans="1:33">
      <c r="A193" t="s">
        <v>154</v>
      </c>
      <c r="B193" t="s">
        <v>2483</v>
      </c>
      <c r="C193" t="s">
        <v>2482</v>
      </c>
      <c r="D193" t="s">
        <v>200</v>
      </c>
      <c r="F193">
        <v>3.8136000000000003E-2</v>
      </c>
      <c r="G193">
        <v>3.1983999999999999E-2</v>
      </c>
      <c r="H193">
        <v>2.7276000000000002E-2</v>
      </c>
      <c r="I193">
        <v>2.3623000000000002E-2</v>
      </c>
      <c r="J193">
        <v>2.0743000000000001E-2</v>
      </c>
      <c r="K193">
        <v>1.8360999999999999E-2</v>
      </c>
      <c r="L193">
        <v>1.6451E-2</v>
      </c>
      <c r="M193">
        <v>1.4766E-2</v>
      </c>
      <c r="N193">
        <v>1.3356E-2</v>
      </c>
      <c r="O193">
        <v>1.2163999999999999E-2</v>
      </c>
      <c r="P193">
        <v>1.123E-2</v>
      </c>
      <c r="Q193">
        <v>1.0534E-2</v>
      </c>
      <c r="R193">
        <v>9.9780000000000008E-3</v>
      </c>
      <c r="S193">
        <v>9.5230000000000002E-3</v>
      </c>
      <c r="T193">
        <v>9.1430000000000001E-3</v>
      </c>
      <c r="U193">
        <v>8.8090000000000009E-3</v>
      </c>
      <c r="V193">
        <v>8.4720000000000004E-3</v>
      </c>
      <c r="W193">
        <v>8.2249999999999997E-3</v>
      </c>
      <c r="X193">
        <v>7.9209999999999992E-3</v>
      </c>
      <c r="Y193">
        <v>7.6280000000000002E-3</v>
      </c>
      <c r="Z193">
        <v>7.4219999999999998E-3</v>
      </c>
      <c r="AA193">
        <v>7.2960000000000004E-3</v>
      </c>
      <c r="AB193">
        <v>7.2110000000000004E-3</v>
      </c>
      <c r="AC193">
        <v>7.1520000000000004E-3</v>
      </c>
      <c r="AD193">
        <v>7.1180000000000002E-3</v>
      </c>
      <c r="AE193">
        <v>7.0850000000000002E-3</v>
      </c>
      <c r="AF193">
        <v>7.051E-3</v>
      </c>
      <c r="AG193" s="20">
        <v>-6.3E-2</v>
      </c>
    </row>
    <row r="194" spans="1:33">
      <c r="A194" t="s">
        <v>149</v>
      </c>
      <c r="B194" t="s">
        <v>2481</v>
      </c>
      <c r="C194" t="s">
        <v>2480</v>
      </c>
      <c r="D194" t="s">
        <v>200</v>
      </c>
      <c r="F194">
        <v>3.0569999999999998E-3</v>
      </c>
      <c r="G194">
        <v>3.0070000000000001E-3</v>
      </c>
      <c r="H194">
        <v>3.0309999999999998E-3</v>
      </c>
      <c r="I194">
        <v>3.107E-3</v>
      </c>
      <c r="J194">
        <v>3.1909999999999998E-3</v>
      </c>
      <c r="K194">
        <v>3.241E-3</v>
      </c>
      <c r="L194">
        <v>3.297E-3</v>
      </c>
      <c r="M194">
        <v>3.3300000000000001E-3</v>
      </c>
      <c r="N194">
        <v>3.346E-3</v>
      </c>
      <c r="O194">
        <v>3.3730000000000001E-3</v>
      </c>
      <c r="P194">
        <v>3.4280000000000001E-3</v>
      </c>
      <c r="Q194">
        <v>3.4710000000000001E-3</v>
      </c>
      <c r="R194">
        <v>3.5140000000000002E-3</v>
      </c>
      <c r="S194">
        <v>3.5530000000000002E-3</v>
      </c>
      <c r="T194">
        <v>3.6020000000000002E-3</v>
      </c>
      <c r="U194">
        <v>3.6579999999999998E-3</v>
      </c>
      <c r="V194">
        <v>3.715E-3</v>
      </c>
      <c r="W194">
        <v>3.7629999999999999E-3</v>
      </c>
      <c r="X194">
        <v>3.8070000000000001E-3</v>
      </c>
      <c r="Y194">
        <v>3.8449999999999999E-3</v>
      </c>
      <c r="Z194">
        <v>3.8839999999999999E-3</v>
      </c>
      <c r="AA194">
        <v>3.9179999999999996E-3</v>
      </c>
      <c r="AB194">
        <v>3.9500000000000004E-3</v>
      </c>
      <c r="AC194">
        <v>3.98E-3</v>
      </c>
      <c r="AD194">
        <v>4.0140000000000002E-3</v>
      </c>
      <c r="AE194">
        <v>4.0249999999999999E-3</v>
      </c>
      <c r="AF194">
        <v>4.0070000000000001E-3</v>
      </c>
      <c r="AG194" s="20">
        <v>0.01</v>
      </c>
    </row>
    <row r="195" spans="1:33" s="126" customFormat="1">
      <c r="A195" s="126" t="s">
        <v>148</v>
      </c>
      <c r="B195" s="126" t="s">
        <v>2479</v>
      </c>
      <c r="C195" s="126" t="s">
        <v>2478</v>
      </c>
      <c r="D195" s="126" t="s">
        <v>200</v>
      </c>
      <c r="F195" s="126">
        <v>5.7391999999999999E-2</v>
      </c>
      <c r="G195" s="126">
        <v>6.1581999999999998E-2</v>
      </c>
      <c r="H195" s="126">
        <v>6.6053000000000001E-2</v>
      </c>
      <c r="I195" s="126">
        <v>7.0393999999999998E-2</v>
      </c>
      <c r="J195" s="126">
        <v>7.4439000000000005E-2</v>
      </c>
      <c r="K195" s="126">
        <v>7.8131999999999993E-2</v>
      </c>
      <c r="L195" s="126">
        <v>8.1558000000000005E-2</v>
      </c>
      <c r="M195" s="126">
        <v>8.4717000000000001E-2</v>
      </c>
      <c r="N195" s="126">
        <v>8.7696999999999997E-2</v>
      </c>
      <c r="O195" s="126">
        <v>9.0575000000000003E-2</v>
      </c>
      <c r="P195" s="126">
        <v>9.3313999999999994E-2</v>
      </c>
      <c r="Q195" s="126">
        <v>9.5942E-2</v>
      </c>
      <c r="R195" s="126">
        <v>9.8466999999999999E-2</v>
      </c>
      <c r="S195" s="126">
        <v>0.10101300000000001</v>
      </c>
      <c r="T195" s="126">
        <v>0.103474</v>
      </c>
      <c r="U195" s="126">
        <v>0.10592500000000001</v>
      </c>
      <c r="V195" s="126">
        <v>0.108441</v>
      </c>
      <c r="W195" s="126">
        <v>0.11104899999999999</v>
      </c>
      <c r="X195" s="126">
        <v>0.11365</v>
      </c>
      <c r="Y195" s="126">
        <v>0.11616600000000001</v>
      </c>
      <c r="Z195" s="126">
        <v>0.118715</v>
      </c>
      <c r="AA195" s="126">
        <v>0.12114999999999999</v>
      </c>
      <c r="AB195" s="126">
        <v>0.12349</v>
      </c>
      <c r="AC195" s="126">
        <v>0.12600500000000001</v>
      </c>
      <c r="AD195" s="126">
        <v>0.12883</v>
      </c>
      <c r="AE195" s="126">
        <v>0.13184399999999999</v>
      </c>
      <c r="AF195" s="126">
        <v>0.13523499999999999</v>
      </c>
      <c r="AG195" s="127">
        <v>3.4000000000000002E-2</v>
      </c>
    </row>
    <row r="196" spans="1:33">
      <c r="A196" t="s">
        <v>203</v>
      </c>
      <c r="B196" t="s">
        <v>2477</v>
      </c>
      <c r="C196" t="s">
        <v>2476</v>
      </c>
      <c r="D196" t="s">
        <v>200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t="s">
        <v>15</v>
      </c>
    </row>
    <row r="197" spans="1:33" s="126" customFormat="1">
      <c r="A197" s="126" t="s">
        <v>204</v>
      </c>
      <c r="B197" s="126" t="s">
        <v>2475</v>
      </c>
      <c r="C197" s="126" t="s">
        <v>2474</v>
      </c>
      <c r="D197" s="126" t="s">
        <v>200</v>
      </c>
      <c r="F197" s="126">
        <v>2.114E-3</v>
      </c>
      <c r="G197" s="126">
        <v>2.921E-3</v>
      </c>
      <c r="H197" s="126">
        <v>3.8010000000000001E-3</v>
      </c>
      <c r="I197" s="126">
        <v>4.7330000000000002E-3</v>
      </c>
      <c r="J197" s="126">
        <v>5.6499999999999996E-3</v>
      </c>
      <c r="K197" s="126">
        <v>6.5319999999999996E-3</v>
      </c>
      <c r="L197" s="126">
        <v>7.3819999999999997E-3</v>
      </c>
      <c r="M197" s="126">
        <v>8.1930000000000006E-3</v>
      </c>
      <c r="N197" s="126">
        <v>8.9680000000000003E-3</v>
      </c>
      <c r="O197" s="126">
        <v>9.7109999999999991E-3</v>
      </c>
      <c r="P197" s="126">
        <v>1.0414E-2</v>
      </c>
      <c r="Q197" s="126">
        <v>1.1073E-2</v>
      </c>
      <c r="R197" s="126">
        <v>1.1696E-2</v>
      </c>
      <c r="S197" s="126">
        <v>1.2281E-2</v>
      </c>
      <c r="T197" s="126">
        <v>1.2834E-2</v>
      </c>
      <c r="U197" s="126">
        <v>1.3354E-2</v>
      </c>
      <c r="V197" s="126">
        <v>1.3842E-2</v>
      </c>
      <c r="W197" s="126">
        <v>1.4302E-2</v>
      </c>
      <c r="X197" s="126">
        <v>1.4742E-2</v>
      </c>
      <c r="Y197" s="126">
        <v>1.5167E-2</v>
      </c>
      <c r="Z197" s="126">
        <v>1.5570000000000001E-2</v>
      </c>
      <c r="AA197" s="126">
        <v>1.5951E-2</v>
      </c>
      <c r="AB197" s="126">
        <v>1.6309000000000001E-2</v>
      </c>
      <c r="AC197" s="126">
        <v>1.6659E-2</v>
      </c>
      <c r="AD197" s="126">
        <v>1.7006E-2</v>
      </c>
      <c r="AE197" s="126">
        <v>1.7343000000000001E-2</v>
      </c>
      <c r="AF197" s="126">
        <v>1.7661E-2</v>
      </c>
      <c r="AG197" s="127">
        <v>8.5000000000000006E-2</v>
      </c>
    </row>
    <row r="198" spans="1:33">
      <c r="A198" t="s">
        <v>206</v>
      </c>
      <c r="B198" t="s">
        <v>2473</v>
      </c>
      <c r="C198" t="s">
        <v>2472</v>
      </c>
      <c r="D198" t="s">
        <v>200</v>
      </c>
      <c r="F198">
        <v>0</v>
      </c>
      <c r="G198">
        <v>0</v>
      </c>
      <c r="H198">
        <v>1.22E-4</v>
      </c>
      <c r="I198">
        <v>3.5199999999999999E-4</v>
      </c>
      <c r="J198">
        <v>6.2E-4</v>
      </c>
      <c r="K198">
        <v>9.41E-4</v>
      </c>
      <c r="L198">
        <v>1.3209999999999999E-3</v>
      </c>
      <c r="M198">
        <v>1.7750000000000001E-3</v>
      </c>
      <c r="N198">
        <v>2.336E-3</v>
      </c>
      <c r="O198">
        <v>2.3189999999999999E-3</v>
      </c>
      <c r="P198">
        <v>2.313E-3</v>
      </c>
      <c r="Q198">
        <v>2.33E-3</v>
      </c>
      <c r="R198">
        <v>2.3609999999999998E-3</v>
      </c>
      <c r="S198">
        <v>2.4290000000000002E-3</v>
      </c>
      <c r="T198">
        <v>2.5279999999999999E-3</v>
      </c>
      <c r="U198">
        <v>2.6589999999999999E-3</v>
      </c>
      <c r="V198">
        <v>2.7859999999999998E-3</v>
      </c>
      <c r="W198">
        <v>2.8890000000000001E-3</v>
      </c>
      <c r="X198">
        <v>2.9499999999999999E-3</v>
      </c>
      <c r="Y198">
        <v>2.9640000000000001E-3</v>
      </c>
      <c r="Z198">
        <v>2.9450000000000001E-3</v>
      </c>
      <c r="AA198">
        <v>2.8879999999999999E-3</v>
      </c>
      <c r="AB198">
        <v>2.7810000000000001E-3</v>
      </c>
      <c r="AC198">
        <v>2.6259999999999999E-3</v>
      </c>
      <c r="AD198">
        <v>2.4940000000000001E-3</v>
      </c>
      <c r="AE198">
        <v>2.3879999999999999E-3</v>
      </c>
      <c r="AF198">
        <v>2.3059999999999999E-3</v>
      </c>
      <c r="AG198" t="s">
        <v>15</v>
      </c>
    </row>
    <row r="199" spans="1:33">
      <c r="A199" t="s">
        <v>205</v>
      </c>
      <c r="B199" t="s">
        <v>2471</v>
      </c>
      <c r="C199" t="s">
        <v>2470</v>
      </c>
      <c r="D199" t="s">
        <v>200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t="s">
        <v>15</v>
      </c>
    </row>
    <row r="200" spans="1:33">
      <c r="A200" t="s">
        <v>207</v>
      </c>
      <c r="B200" t="s">
        <v>2469</v>
      </c>
      <c r="C200" t="s">
        <v>2468</v>
      </c>
      <c r="D200" t="s">
        <v>200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t="s">
        <v>15</v>
      </c>
    </row>
    <row r="201" spans="1:33">
      <c r="A201" t="s">
        <v>1668</v>
      </c>
      <c r="B201" t="s">
        <v>2467</v>
      </c>
      <c r="C201" t="s">
        <v>2466</v>
      </c>
      <c r="D201" t="s">
        <v>200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t="s">
        <v>15</v>
      </c>
    </row>
    <row r="202" spans="1:33">
      <c r="A202" t="s">
        <v>1665</v>
      </c>
      <c r="B202" t="s">
        <v>2465</v>
      </c>
      <c r="C202" t="s">
        <v>2464</v>
      </c>
      <c r="D202" t="s">
        <v>200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t="s">
        <v>15</v>
      </c>
    </row>
    <row r="203" spans="1:33">
      <c r="A203" t="s">
        <v>1662</v>
      </c>
      <c r="B203" t="s">
        <v>2463</v>
      </c>
      <c r="C203" t="s">
        <v>2462</v>
      </c>
      <c r="D203" t="s">
        <v>200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t="s">
        <v>15</v>
      </c>
    </row>
    <row r="204" spans="1:33">
      <c r="A204" t="s">
        <v>225</v>
      </c>
      <c r="B204" t="s">
        <v>2461</v>
      </c>
      <c r="C204" t="s">
        <v>2460</v>
      </c>
      <c r="D204" t="s">
        <v>200</v>
      </c>
      <c r="F204">
        <v>5.5539240000000003</v>
      </c>
      <c r="G204">
        <v>5.6442329999999998</v>
      </c>
      <c r="H204">
        <v>5.7684139999999999</v>
      </c>
      <c r="I204">
        <v>5.9133979999999999</v>
      </c>
      <c r="J204">
        <v>6.0484790000000004</v>
      </c>
      <c r="K204">
        <v>6.1621829999999997</v>
      </c>
      <c r="L204">
        <v>6.2651370000000002</v>
      </c>
      <c r="M204">
        <v>6.3581779999999997</v>
      </c>
      <c r="N204">
        <v>6.4425569999999999</v>
      </c>
      <c r="O204">
        <v>6.5187679999999997</v>
      </c>
      <c r="P204">
        <v>6.5823070000000001</v>
      </c>
      <c r="Q204">
        <v>6.6453530000000001</v>
      </c>
      <c r="R204">
        <v>6.7149859999999997</v>
      </c>
      <c r="S204">
        <v>6.7869659999999996</v>
      </c>
      <c r="T204">
        <v>6.8584779999999999</v>
      </c>
      <c r="U204">
        <v>6.9200189999999999</v>
      </c>
      <c r="V204">
        <v>6.9721710000000003</v>
      </c>
      <c r="W204">
        <v>7.01058</v>
      </c>
      <c r="X204">
        <v>7.0601390000000004</v>
      </c>
      <c r="Y204">
        <v>7.1162190000000001</v>
      </c>
      <c r="Z204">
        <v>7.1760700000000002</v>
      </c>
      <c r="AA204">
        <v>7.2330199999999998</v>
      </c>
      <c r="AB204">
        <v>7.2788839999999997</v>
      </c>
      <c r="AC204">
        <v>7.3200570000000003</v>
      </c>
      <c r="AD204">
        <v>7.3594530000000002</v>
      </c>
      <c r="AE204">
        <v>7.390244</v>
      </c>
      <c r="AF204">
        <v>7.408112</v>
      </c>
      <c r="AG204" s="20">
        <v>1.0999999999999999E-2</v>
      </c>
    </row>
    <row r="205" spans="1:33">
      <c r="A205" t="s">
        <v>71</v>
      </c>
      <c r="B205" t="s">
        <v>2459</v>
      </c>
      <c r="C205" t="s">
        <v>2458</v>
      </c>
      <c r="D205" t="s">
        <v>200</v>
      </c>
      <c r="F205">
        <v>14.630017</v>
      </c>
      <c r="G205">
        <v>14.950063999999999</v>
      </c>
      <c r="H205">
        <v>15.336373999999999</v>
      </c>
      <c r="I205">
        <v>15.758817000000001</v>
      </c>
      <c r="J205">
        <v>16.157616000000001</v>
      </c>
      <c r="K205">
        <v>16.514610000000001</v>
      </c>
      <c r="L205">
        <v>16.851102999999998</v>
      </c>
      <c r="M205">
        <v>17.157919</v>
      </c>
      <c r="N205">
        <v>17.453142</v>
      </c>
      <c r="O205">
        <v>17.722261</v>
      </c>
      <c r="P205">
        <v>17.971948999999999</v>
      </c>
      <c r="Q205">
        <v>18.217116999999998</v>
      </c>
      <c r="R205">
        <v>18.470904999999998</v>
      </c>
      <c r="S205">
        <v>18.730982000000001</v>
      </c>
      <c r="T205">
        <v>18.987928</v>
      </c>
      <c r="U205">
        <v>19.229583999999999</v>
      </c>
      <c r="V205">
        <v>19.448927000000001</v>
      </c>
      <c r="W205">
        <v>19.6525</v>
      </c>
      <c r="X205">
        <v>19.864656</v>
      </c>
      <c r="Y205">
        <v>20.100263999999999</v>
      </c>
      <c r="Z205">
        <v>20.349910999999999</v>
      </c>
      <c r="AA205">
        <v>20.586701999999999</v>
      </c>
      <c r="AB205">
        <v>20.79805</v>
      </c>
      <c r="AC205">
        <v>21.004408000000002</v>
      </c>
      <c r="AD205">
        <v>21.205359999999999</v>
      </c>
      <c r="AE205">
        <v>21.380649999999999</v>
      </c>
      <c r="AF205">
        <v>21.528708000000002</v>
      </c>
      <c r="AG205" s="20">
        <v>1.4999999999999999E-2</v>
      </c>
    </row>
    <row r="206" spans="1:33">
      <c r="A206" t="s">
        <v>25</v>
      </c>
    </row>
    <row r="207" spans="1:33">
      <c r="A207" t="s">
        <v>230</v>
      </c>
    </row>
    <row r="208" spans="1:33">
      <c r="A208" t="s">
        <v>219</v>
      </c>
    </row>
    <row r="209" spans="1:33">
      <c r="A209" t="s">
        <v>168</v>
      </c>
      <c r="B209" t="s">
        <v>2457</v>
      </c>
      <c r="C209" t="s">
        <v>2456</v>
      </c>
      <c r="D209" t="s">
        <v>231</v>
      </c>
      <c r="F209">
        <v>14.400703999999999</v>
      </c>
      <c r="G209">
        <v>14.660596</v>
      </c>
      <c r="H209">
        <v>14.909394000000001</v>
      </c>
      <c r="I209">
        <v>15.148808000000001</v>
      </c>
      <c r="J209">
        <v>15.587316</v>
      </c>
      <c r="K209">
        <v>15.569564</v>
      </c>
      <c r="L209">
        <v>15.706894999999999</v>
      </c>
      <c r="M209">
        <v>15.808894</v>
      </c>
      <c r="N209">
        <v>15.874243</v>
      </c>
      <c r="O209">
        <v>15.908842999999999</v>
      </c>
      <c r="P209">
        <v>15.928421</v>
      </c>
      <c r="Q209">
        <v>15.940676</v>
      </c>
      <c r="R209">
        <v>15.931882999999999</v>
      </c>
      <c r="S209">
        <v>15.918108999999999</v>
      </c>
      <c r="T209">
        <v>15.923935</v>
      </c>
      <c r="U209">
        <v>15.946382</v>
      </c>
      <c r="V209">
        <v>15.949452000000001</v>
      </c>
      <c r="W209">
        <v>15.974583000000001</v>
      </c>
      <c r="X209">
        <v>16.011904000000001</v>
      </c>
      <c r="Y209">
        <v>16.067564000000001</v>
      </c>
      <c r="Z209">
        <v>16.092542999999999</v>
      </c>
      <c r="AA209">
        <v>16.10285</v>
      </c>
      <c r="AB209">
        <v>16.070187000000001</v>
      </c>
      <c r="AC209">
        <v>16.117353000000001</v>
      </c>
      <c r="AD209">
        <v>16.17164</v>
      </c>
      <c r="AE209">
        <v>16.204170000000001</v>
      </c>
      <c r="AF209">
        <v>16.214468</v>
      </c>
      <c r="AG209" s="20">
        <v>5.0000000000000001E-3</v>
      </c>
    </row>
    <row r="210" spans="1:33">
      <c r="A210" t="s">
        <v>154</v>
      </c>
      <c r="B210" t="s">
        <v>2455</v>
      </c>
      <c r="C210" t="s">
        <v>2454</v>
      </c>
      <c r="D210" t="s">
        <v>232</v>
      </c>
      <c r="F210">
        <v>12.031425</v>
      </c>
      <c r="G210">
        <v>12.120165999999999</v>
      </c>
      <c r="H210">
        <v>12.218216999999999</v>
      </c>
      <c r="I210">
        <v>12.314306</v>
      </c>
      <c r="J210">
        <v>12.519958000000001</v>
      </c>
      <c r="K210">
        <v>12.526904</v>
      </c>
      <c r="L210">
        <v>12.614868</v>
      </c>
      <c r="M210">
        <v>12.696854999999999</v>
      </c>
      <c r="N210">
        <v>12.776363</v>
      </c>
      <c r="O210">
        <v>12.810620999999999</v>
      </c>
      <c r="P210">
        <v>12.829993999999999</v>
      </c>
      <c r="Q210">
        <v>12.839169999999999</v>
      </c>
      <c r="R210">
        <v>12.820976</v>
      </c>
      <c r="S210">
        <v>12.785634999999999</v>
      </c>
      <c r="T210">
        <v>12.802814</v>
      </c>
      <c r="U210">
        <v>12.846814</v>
      </c>
      <c r="V210">
        <v>12.852778000000001</v>
      </c>
      <c r="W210">
        <v>12.900325</v>
      </c>
      <c r="X210">
        <v>12.970843</v>
      </c>
      <c r="Y210">
        <v>13.073732</v>
      </c>
      <c r="Z210">
        <v>13.11858</v>
      </c>
      <c r="AA210">
        <v>13.137976999999999</v>
      </c>
      <c r="AB210">
        <v>13.165692999999999</v>
      </c>
      <c r="AC210">
        <v>13.248922</v>
      </c>
      <c r="AD210">
        <v>13.34107</v>
      </c>
      <c r="AE210">
        <v>13.395440000000001</v>
      </c>
      <c r="AF210">
        <v>13.397116</v>
      </c>
      <c r="AG210" s="20">
        <v>4.0000000000000001E-3</v>
      </c>
    </row>
    <row r="211" spans="1:33">
      <c r="A211" t="s">
        <v>149</v>
      </c>
      <c r="B211" t="s">
        <v>2453</v>
      </c>
      <c r="C211" t="s">
        <v>2452</v>
      </c>
      <c r="D211" t="s">
        <v>232</v>
      </c>
      <c r="F211">
        <v>11.1304</v>
      </c>
      <c r="G211">
        <v>11.18446</v>
      </c>
      <c r="H211">
        <v>11.218819999999999</v>
      </c>
      <c r="I211">
        <v>11.255887</v>
      </c>
      <c r="J211">
        <v>11.412219</v>
      </c>
      <c r="K211">
        <v>11.400475999999999</v>
      </c>
      <c r="L211">
        <v>11.479112000000001</v>
      </c>
      <c r="M211">
        <v>11.570024</v>
      </c>
      <c r="N211">
        <v>11.661617</v>
      </c>
      <c r="O211">
        <v>11.750628000000001</v>
      </c>
      <c r="P211">
        <v>11.847393</v>
      </c>
      <c r="Q211">
        <v>11.933859</v>
      </c>
      <c r="R211">
        <v>12.002807000000001</v>
      </c>
      <c r="S211">
        <v>12.054949000000001</v>
      </c>
      <c r="T211">
        <v>12.095764000000001</v>
      </c>
      <c r="U211">
        <v>12.138782000000001</v>
      </c>
      <c r="V211">
        <v>12.178782</v>
      </c>
      <c r="W211">
        <v>12.217374</v>
      </c>
      <c r="X211">
        <v>12.250284000000001</v>
      </c>
      <c r="Y211">
        <v>12.276258</v>
      </c>
      <c r="Z211">
        <v>12.298315000000001</v>
      </c>
      <c r="AA211">
        <v>12.314526000000001</v>
      </c>
      <c r="AB211">
        <v>12.324564000000001</v>
      </c>
      <c r="AC211">
        <v>12.324909</v>
      </c>
      <c r="AD211">
        <v>12.324966999999999</v>
      </c>
      <c r="AE211">
        <v>12.326323</v>
      </c>
      <c r="AF211">
        <v>12.328670000000001</v>
      </c>
      <c r="AG211" s="20">
        <v>4.0000000000000001E-3</v>
      </c>
    </row>
    <row r="212" spans="1:33">
      <c r="A212" t="s">
        <v>148</v>
      </c>
      <c r="B212" t="s">
        <v>2451</v>
      </c>
      <c r="C212" t="s">
        <v>2450</v>
      </c>
      <c r="D212" t="s">
        <v>232</v>
      </c>
      <c r="F212">
        <v>10.947818</v>
      </c>
      <c r="G212">
        <v>10.990493000000001</v>
      </c>
      <c r="H212">
        <v>11.056637</v>
      </c>
      <c r="I212">
        <v>11.142770000000001</v>
      </c>
      <c r="J212">
        <v>11.533828</v>
      </c>
      <c r="K212">
        <v>11.485296999999999</v>
      </c>
      <c r="L212">
        <v>11.616588999999999</v>
      </c>
      <c r="M212">
        <v>11.763449</v>
      </c>
      <c r="N212">
        <v>11.902488999999999</v>
      </c>
      <c r="O212">
        <v>12.032113000000001</v>
      </c>
      <c r="P212">
        <v>12.096603999999999</v>
      </c>
      <c r="Q212">
        <v>12.130247000000001</v>
      </c>
      <c r="R212">
        <v>12.148973</v>
      </c>
      <c r="S212">
        <v>12.149476</v>
      </c>
      <c r="T212">
        <v>12.133198999999999</v>
      </c>
      <c r="U212">
        <v>12.114938</v>
      </c>
      <c r="V212">
        <v>12.096787000000001</v>
      </c>
      <c r="W212">
        <v>12.080774999999999</v>
      </c>
      <c r="X212">
        <v>12.068275999999999</v>
      </c>
      <c r="Y212">
        <v>12.056754</v>
      </c>
      <c r="Z212">
        <v>12.050371</v>
      </c>
      <c r="AA212">
        <v>12.042301</v>
      </c>
      <c r="AB212">
        <v>12.03565</v>
      </c>
      <c r="AC212">
        <v>12.029597000000001</v>
      </c>
      <c r="AD212">
        <v>12.026527</v>
      </c>
      <c r="AE212">
        <v>12.023883</v>
      </c>
      <c r="AF212">
        <v>12.026020000000001</v>
      </c>
      <c r="AG212" s="20">
        <v>4.0000000000000001E-3</v>
      </c>
    </row>
    <row r="213" spans="1:33">
      <c r="A213" t="s">
        <v>203</v>
      </c>
      <c r="B213" t="s">
        <v>2449</v>
      </c>
      <c r="C213" t="s">
        <v>2448</v>
      </c>
      <c r="D213" t="s">
        <v>232</v>
      </c>
      <c r="F213">
        <v>11.410875000000001</v>
      </c>
      <c r="G213">
        <v>11.497379</v>
      </c>
      <c r="H213">
        <v>11.591085</v>
      </c>
      <c r="I213">
        <v>11.68336</v>
      </c>
      <c r="J213">
        <v>11.866866999999999</v>
      </c>
      <c r="K213">
        <v>11.851042</v>
      </c>
      <c r="L213">
        <v>11.905309000000001</v>
      </c>
      <c r="M213">
        <v>11.944247000000001</v>
      </c>
      <c r="N213">
        <v>11.971857</v>
      </c>
      <c r="O213">
        <v>11.984635000000001</v>
      </c>
      <c r="P213">
        <v>11.987278</v>
      </c>
      <c r="Q213">
        <v>11.987494</v>
      </c>
      <c r="R213">
        <v>11.984787000000001</v>
      </c>
      <c r="S213">
        <v>11.975884000000001</v>
      </c>
      <c r="T213">
        <v>11.981134000000001</v>
      </c>
      <c r="U213">
        <v>11.985151</v>
      </c>
      <c r="V213">
        <v>11.989549</v>
      </c>
      <c r="W213">
        <v>11.995281</v>
      </c>
      <c r="X213">
        <v>12.000392</v>
      </c>
      <c r="Y213">
        <v>12.00244</v>
      </c>
      <c r="Z213">
        <v>12.002852000000001</v>
      </c>
      <c r="AA213">
        <v>12.003465</v>
      </c>
      <c r="AB213">
        <v>12.005936</v>
      </c>
      <c r="AC213">
        <v>12.007431</v>
      </c>
      <c r="AD213">
        <v>12.006736999999999</v>
      </c>
      <c r="AE213">
        <v>12.007421000000001</v>
      </c>
      <c r="AF213">
        <v>12.009321</v>
      </c>
      <c r="AG213" s="20">
        <v>2E-3</v>
      </c>
    </row>
    <row r="214" spans="1:33">
      <c r="A214" t="s">
        <v>204</v>
      </c>
      <c r="B214" t="s">
        <v>2447</v>
      </c>
      <c r="C214" t="s">
        <v>2446</v>
      </c>
      <c r="D214" t="s">
        <v>231</v>
      </c>
      <c r="F214">
        <v>42.360385999999998</v>
      </c>
      <c r="G214">
        <v>42.360390000000002</v>
      </c>
      <c r="H214">
        <v>42.360385999999998</v>
      </c>
      <c r="I214">
        <v>42.360385999999998</v>
      </c>
      <c r="J214">
        <v>42.416671999999998</v>
      </c>
      <c r="K214">
        <v>42.410789000000001</v>
      </c>
      <c r="L214">
        <v>42.405189999999997</v>
      </c>
      <c r="M214">
        <v>42.400252999999999</v>
      </c>
      <c r="N214">
        <v>42.396197999999998</v>
      </c>
      <c r="O214">
        <v>42.392837999999998</v>
      </c>
      <c r="P214">
        <v>42.389648000000001</v>
      </c>
      <c r="Q214">
        <v>42.387165000000003</v>
      </c>
      <c r="R214">
        <v>42.385235000000002</v>
      </c>
      <c r="S214">
        <v>42.383716999999997</v>
      </c>
      <c r="T214">
        <v>42.382415999999999</v>
      </c>
      <c r="U214">
        <v>42.381301999999998</v>
      </c>
      <c r="V214">
        <v>42.380360000000003</v>
      </c>
      <c r="W214">
        <v>42.379612000000002</v>
      </c>
      <c r="X214">
        <v>42.379097000000002</v>
      </c>
      <c r="Y214">
        <v>42.378754000000001</v>
      </c>
      <c r="Z214">
        <v>42.378543999999998</v>
      </c>
      <c r="AA214">
        <v>42.378436999999998</v>
      </c>
      <c r="AB214">
        <v>42.387768000000001</v>
      </c>
      <c r="AC214">
        <v>42.405109000000003</v>
      </c>
      <c r="AD214">
        <v>42.432685999999997</v>
      </c>
      <c r="AE214">
        <v>42.494225</v>
      </c>
      <c r="AF214">
        <v>42.567383</v>
      </c>
      <c r="AG214" s="20">
        <v>0</v>
      </c>
    </row>
    <row r="215" spans="1:33">
      <c r="A215" t="s">
        <v>206</v>
      </c>
      <c r="B215" t="s">
        <v>2445</v>
      </c>
      <c r="C215" t="s">
        <v>2444</v>
      </c>
      <c r="D215" t="s">
        <v>231</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t="s">
        <v>15</v>
      </c>
    </row>
    <row r="216" spans="1:33">
      <c r="A216" t="s">
        <v>205</v>
      </c>
      <c r="B216" t="s">
        <v>2443</v>
      </c>
      <c r="C216" t="s">
        <v>2442</v>
      </c>
      <c r="D216" t="s">
        <v>232</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t="s">
        <v>15</v>
      </c>
    </row>
    <row r="217" spans="1:33">
      <c r="A217" t="s">
        <v>207</v>
      </c>
      <c r="B217" t="s">
        <v>2441</v>
      </c>
      <c r="C217" t="s">
        <v>2440</v>
      </c>
      <c r="D217" t="s">
        <v>231</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t="s">
        <v>15</v>
      </c>
    </row>
    <row r="218" spans="1:33">
      <c r="A218" t="s">
        <v>1668</v>
      </c>
      <c r="B218" t="s">
        <v>2439</v>
      </c>
      <c r="C218" t="s">
        <v>2438</v>
      </c>
      <c r="D218" t="s">
        <v>231</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t="s">
        <v>15</v>
      </c>
    </row>
    <row r="219" spans="1:33">
      <c r="A219" t="s">
        <v>1665</v>
      </c>
      <c r="B219" t="s">
        <v>2437</v>
      </c>
      <c r="C219" t="s">
        <v>2436</v>
      </c>
      <c r="D219" t="s">
        <v>232</v>
      </c>
      <c r="F219">
        <v>0</v>
      </c>
      <c r="G219">
        <v>14.326266</v>
      </c>
      <c r="H219">
        <v>14.333030000000001</v>
      </c>
      <c r="I219">
        <v>14.353346999999999</v>
      </c>
      <c r="J219">
        <v>14.447293999999999</v>
      </c>
      <c r="K219">
        <v>14.378346000000001</v>
      </c>
      <c r="L219">
        <v>14.436540000000001</v>
      </c>
      <c r="M219">
        <v>14.524727</v>
      </c>
      <c r="N219">
        <v>14.638783</v>
      </c>
      <c r="O219">
        <v>14.794591</v>
      </c>
      <c r="P219">
        <v>14.996159</v>
      </c>
      <c r="Q219">
        <v>15.127234</v>
      </c>
      <c r="R219">
        <v>15.234635000000001</v>
      </c>
      <c r="S219">
        <v>15.307149000000001</v>
      </c>
      <c r="T219">
        <v>15.344830999999999</v>
      </c>
      <c r="U219">
        <v>15.355515</v>
      </c>
      <c r="V219">
        <v>15.359513</v>
      </c>
      <c r="W219">
        <v>15.360636</v>
      </c>
      <c r="X219">
        <v>15.358568</v>
      </c>
      <c r="Y219">
        <v>15.354512</v>
      </c>
      <c r="Z219">
        <v>15.350286000000001</v>
      </c>
      <c r="AA219">
        <v>15.346555</v>
      </c>
      <c r="AB219">
        <v>15.341411000000001</v>
      </c>
      <c r="AC219">
        <v>15.336034</v>
      </c>
      <c r="AD219">
        <v>15.330036</v>
      </c>
      <c r="AE219">
        <v>15.324598</v>
      </c>
      <c r="AF219">
        <v>15.319876000000001</v>
      </c>
      <c r="AG219" t="s">
        <v>15</v>
      </c>
    </row>
    <row r="220" spans="1:33">
      <c r="A220" t="s">
        <v>1662</v>
      </c>
      <c r="B220" t="s">
        <v>2435</v>
      </c>
      <c r="C220" t="s">
        <v>2434</v>
      </c>
      <c r="D220" t="s">
        <v>231</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t="s">
        <v>15</v>
      </c>
    </row>
    <row r="221" spans="1:33">
      <c r="A221" t="s">
        <v>233</v>
      </c>
      <c r="B221" t="s">
        <v>2433</v>
      </c>
      <c r="C221" t="s">
        <v>2432</v>
      </c>
      <c r="F221">
        <v>13.24691</v>
      </c>
      <c r="G221">
        <v>13.387729</v>
      </c>
      <c r="H221">
        <v>13.526486</v>
      </c>
      <c r="I221">
        <v>13.658398</v>
      </c>
      <c r="J221">
        <v>13.988308</v>
      </c>
      <c r="K221">
        <v>13.992438999999999</v>
      </c>
      <c r="L221">
        <v>14.126111999999999</v>
      </c>
      <c r="M221">
        <v>14.305666</v>
      </c>
      <c r="N221">
        <v>14.499096</v>
      </c>
      <c r="O221">
        <v>14.622809999999999</v>
      </c>
      <c r="P221">
        <v>14.85224</v>
      </c>
      <c r="Q221">
        <v>15.099515999999999</v>
      </c>
      <c r="R221">
        <v>15.341229999999999</v>
      </c>
      <c r="S221">
        <v>15.5327</v>
      </c>
      <c r="T221">
        <v>15.755352999999999</v>
      </c>
      <c r="U221">
        <v>15.990437</v>
      </c>
      <c r="V221">
        <v>16.206022000000001</v>
      </c>
      <c r="W221">
        <v>16.530912000000001</v>
      </c>
      <c r="X221">
        <v>16.825386000000002</v>
      </c>
      <c r="Y221">
        <v>17.108689999999999</v>
      </c>
      <c r="Z221">
        <v>17.222024999999999</v>
      </c>
      <c r="AA221">
        <v>17.366146000000001</v>
      </c>
      <c r="AB221">
        <v>17.496670000000002</v>
      </c>
      <c r="AC221">
        <v>17.688658</v>
      </c>
      <c r="AD221">
        <v>17.867958000000002</v>
      </c>
      <c r="AE221">
        <v>17.986695999999998</v>
      </c>
      <c r="AF221">
        <v>18.089565</v>
      </c>
      <c r="AG221" s="20">
        <v>1.2E-2</v>
      </c>
    </row>
    <row r="222" spans="1:33">
      <c r="A222" t="s">
        <v>222</v>
      </c>
    </row>
    <row r="223" spans="1:33">
      <c r="A223" t="s">
        <v>168</v>
      </c>
      <c r="B223" t="s">
        <v>2431</v>
      </c>
      <c r="C223" t="s">
        <v>2430</v>
      </c>
      <c r="D223" t="s">
        <v>231</v>
      </c>
      <c r="F223">
        <v>9.7849989999999991</v>
      </c>
      <c r="G223">
        <v>10.026484999999999</v>
      </c>
      <c r="H223">
        <v>10.297043</v>
      </c>
      <c r="I223">
        <v>10.544124</v>
      </c>
      <c r="J223">
        <v>10.791912999999999</v>
      </c>
      <c r="K223">
        <v>11.033872000000001</v>
      </c>
      <c r="L223">
        <v>11.261635</v>
      </c>
      <c r="M223">
        <v>11.455491</v>
      </c>
      <c r="N223">
        <v>11.601601</v>
      </c>
      <c r="O223">
        <v>11.682551</v>
      </c>
      <c r="P223">
        <v>11.723087</v>
      </c>
      <c r="Q223">
        <v>11.713308</v>
      </c>
      <c r="R223">
        <v>11.615100999999999</v>
      </c>
      <c r="S223">
        <v>11.513228</v>
      </c>
      <c r="T223">
        <v>11.43233</v>
      </c>
      <c r="U223">
        <v>11.366671999999999</v>
      </c>
      <c r="V223">
        <v>11.317329000000001</v>
      </c>
      <c r="W223">
        <v>11.281013</v>
      </c>
      <c r="X223">
        <v>11.255193999999999</v>
      </c>
      <c r="Y223">
        <v>11.238102</v>
      </c>
      <c r="Z223">
        <v>11.227041</v>
      </c>
      <c r="AA223">
        <v>11.220007000000001</v>
      </c>
      <c r="AB223">
        <v>11.215096000000001</v>
      </c>
      <c r="AC223">
        <v>11.211975000000001</v>
      </c>
      <c r="AD223">
        <v>11.209434999999999</v>
      </c>
      <c r="AE223">
        <v>11.207504</v>
      </c>
      <c r="AF223">
        <v>11.206441999999999</v>
      </c>
      <c r="AG223" s="20">
        <v>5.0000000000000001E-3</v>
      </c>
    </row>
    <row r="224" spans="1:33">
      <c r="A224" t="s">
        <v>154</v>
      </c>
      <c r="B224" t="s">
        <v>2429</v>
      </c>
      <c r="C224" t="s">
        <v>2428</v>
      </c>
      <c r="D224" t="s">
        <v>232</v>
      </c>
      <c r="F224">
        <v>8.4680619999999998</v>
      </c>
      <c r="G224">
        <v>8.6707540000000005</v>
      </c>
      <c r="H224">
        <v>8.8990670000000005</v>
      </c>
      <c r="I224">
        <v>9.1109399999999994</v>
      </c>
      <c r="J224">
        <v>9.3181930000000008</v>
      </c>
      <c r="K224">
        <v>9.5216189999999994</v>
      </c>
      <c r="L224">
        <v>9.7092709999999993</v>
      </c>
      <c r="M224">
        <v>9.8688789999999997</v>
      </c>
      <c r="N224">
        <v>9.989236</v>
      </c>
      <c r="O224">
        <v>10.056124000000001</v>
      </c>
      <c r="P224">
        <v>10.090163</v>
      </c>
      <c r="Q224">
        <v>10.084135</v>
      </c>
      <c r="R224">
        <v>10.00173</v>
      </c>
      <c r="S224">
        <v>9.9210449999999994</v>
      </c>
      <c r="T224">
        <v>9.849278</v>
      </c>
      <c r="U224">
        <v>9.7908279999999994</v>
      </c>
      <c r="V224">
        <v>9.7466910000000002</v>
      </c>
      <c r="W224">
        <v>9.7147670000000002</v>
      </c>
      <c r="X224">
        <v>9.6919889999999995</v>
      </c>
      <c r="Y224">
        <v>9.6765349999999994</v>
      </c>
      <c r="Z224">
        <v>9.6673709999999993</v>
      </c>
      <c r="AA224">
        <v>9.6616359999999997</v>
      </c>
      <c r="AB224">
        <v>9.6577310000000001</v>
      </c>
      <c r="AC224">
        <v>9.6552410000000002</v>
      </c>
      <c r="AD224">
        <v>9.653378</v>
      </c>
      <c r="AE224">
        <v>9.6519560000000002</v>
      </c>
      <c r="AF224">
        <v>9.6513120000000008</v>
      </c>
      <c r="AG224" s="20">
        <v>5.0000000000000001E-3</v>
      </c>
    </row>
    <row r="225" spans="1:33">
      <c r="A225" t="s">
        <v>149</v>
      </c>
      <c r="B225" t="s">
        <v>2427</v>
      </c>
      <c r="C225" t="s">
        <v>2426</v>
      </c>
      <c r="D225" t="s">
        <v>232</v>
      </c>
      <c r="F225">
        <v>7.468928</v>
      </c>
      <c r="G225">
        <v>7.6975340000000001</v>
      </c>
      <c r="H225">
        <v>7.835801</v>
      </c>
      <c r="I225">
        <v>7.9895449999999997</v>
      </c>
      <c r="J225">
        <v>8.1724920000000001</v>
      </c>
      <c r="K225">
        <v>8.3751320000000007</v>
      </c>
      <c r="L225">
        <v>8.5944050000000001</v>
      </c>
      <c r="M225">
        <v>8.8283649999999998</v>
      </c>
      <c r="N225">
        <v>9.0630760000000006</v>
      </c>
      <c r="O225">
        <v>9.2916950000000007</v>
      </c>
      <c r="P225">
        <v>9.4915249999999993</v>
      </c>
      <c r="Q225">
        <v>9.6633849999999999</v>
      </c>
      <c r="R225">
        <v>9.8078500000000002</v>
      </c>
      <c r="S225">
        <v>9.9150539999999996</v>
      </c>
      <c r="T225">
        <v>9.9733809999999998</v>
      </c>
      <c r="U225">
        <v>10.013802</v>
      </c>
      <c r="V225">
        <v>10.013801000000001</v>
      </c>
      <c r="W225">
        <v>10.013802</v>
      </c>
      <c r="X225">
        <v>10.013802</v>
      </c>
      <c r="Y225">
        <v>10.013801000000001</v>
      </c>
      <c r="Z225">
        <v>10.013802</v>
      </c>
      <c r="AA225">
        <v>10.013802</v>
      </c>
      <c r="AB225">
        <v>10.013802</v>
      </c>
      <c r="AC225">
        <v>10.013802</v>
      </c>
      <c r="AD225">
        <v>10.017586</v>
      </c>
      <c r="AE225">
        <v>10.022081</v>
      </c>
      <c r="AF225">
        <v>10.025565</v>
      </c>
      <c r="AG225" s="20">
        <v>1.0999999999999999E-2</v>
      </c>
    </row>
    <row r="226" spans="1:33">
      <c r="A226" t="s">
        <v>148</v>
      </c>
      <c r="B226" t="s">
        <v>2425</v>
      </c>
      <c r="C226" t="s">
        <v>2424</v>
      </c>
      <c r="D226" t="s">
        <v>232</v>
      </c>
      <c r="F226">
        <v>7.2163789999999999</v>
      </c>
      <c r="G226">
        <v>7.416461</v>
      </c>
      <c r="H226">
        <v>7.6319780000000002</v>
      </c>
      <c r="I226">
        <v>7.825393</v>
      </c>
      <c r="J226">
        <v>8.0266669999999998</v>
      </c>
      <c r="K226">
        <v>8.235671</v>
      </c>
      <c r="L226">
        <v>8.4316169999999993</v>
      </c>
      <c r="M226">
        <v>8.6047229999999999</v>
      </c>
      <c r="N226">
        <v>8.7581489999999995</v>
      </c>
      <c r="O226">
        <v>8.8879529999999995</v>
      </c>
      <c r="P226">
        <v>8.9932660000000002</v>
      </c>
      <c r="Q226">
        <v>9.0730699999999995</v>
      </c>
      <c r="R226">
        <v>9.1100340000000006</v>
      </c>
      <c r="S226">
        <v>9.1353430000000007</v>
      </c>
      <c r="T226">
        <v>9.155996</v>
      </c>
      <c r="U226">
        <v>9.1489290000000008</v>
      </c>
      <c r="V226">
        <v>9.1335929999999994</v>
      </c>
      <c r="W226">
        <v>9.1254559999999998</v>
      </c>
      <c r="X226">
        <v>9.1447719999999997</v>
      </c>
      <c r="Y226">
        <v>9.1544419999999995</v>
      </c>
      <c r="Z226">
        <v>9.1553930000000001</v>
      </c>
      <c r="AA226">
        <v>9.1520589999999995</v>
      </c>
      <c r="AB226">
        <v>9.1620259999999991</v>
      </c>
      <c r="AC226">
        <v>9.1698070000000005</v>
      </c>
      <c r="AD226">
        <v>9.1916449999999994</v>
      </c>
      <c r="AE226">
        <v>9.2168109999999999</v>
      </c>
      <c r="AF226">
        <v>9.2265280000000001</v>
      </c>
      <c r="AG226" s="20">
        <v>8.9999999999999993E-3</v>
      </c>
    </row>
    <row r="227" spans="1:33">
      <c r="A227" t="s">
        <v>203</v>
      </c>
      <c r="B227" t="s">
        <v>2423</v>
      </c>
      <c r="C227" t="s">
        <v>2422</v>
      </c>
      <c r="D227" t="s">
        <v>234</v>
      </c>
      <c r="F227">
        <v>8.0342880000000001</v>
      </c>
      <c r="G227">
        <v>8.2322190000000006</v>
      </c>
      <c r="H227">
        <v>8.4505730000000003</v>
      </c>
      <c r="I227">
        <v>8.6575150000000001</v>
      </c>
      <c r="J227">
        <v>8.8608019999999996</v>
      </c>
      <c r="K227">
        <v>9.0625509999999991</v>
      </c>
      <c r="L227">
        <v>9.2542179999999998</v>
      </c>
      <c r="M227">
        <v>9.4266679999999994</v>
      </c>
      <c r="N227">
        <v>9.5723140000000004</v>
      </c>
      <c r="O227">
        <v>9.6850860000000001</v>
      </c>
      <c r="P227">
        <v>9.7758880000000001</v>
      </c>
      <c r="Q227">
        <v>9.8407579999999992</v>
      </c>
      <c r="R227">
        <v>9.8381159999999994</v>
      </c>
      <c r="S227">
        <v>9.8358609999999995</v>
      </c>
      <c r="T227">
        <v>9.8339459999999992</v>
      </c>
      <c r="U227">
        <v>9.8322900000000004</v>
      </c>
      <c r="V227">
        <v>9.8308420000000005</v>
      </c>
      <c r="W227">
        <v>9.8295639999999995</v>
      </c>
      <c r="X227">
        <v>9.8284210000000005</v>
      </c>
      <c r="Y227">
        <v>9.8273869999999999</v>
      </c>
      <c r="Z227">
        <v>9.8272980000000008</v>
      </c>
      <c r="AA227">
        <v>9.8272980000000008</v>
      </c>
      <c r="AB227">
        <v>9.8272980000000008</v>
      </c>
      <c r="AC227">
        <v>9.8272980000000008</v>
      </c>
      <c r="AD227">
        <v>9.8272980000000008</v>
      </c>
      <c r="AE227">
        <v>9.827299</v>
      </c>
      <c r="AF227">
        <v>9.8272980000000008</v>
      </c>
      <c r="AG227" s="20">
        <v>8.0000000000000002E-3</v>
      </c>
    </row>
    <row r="228" spans="1:33">
      <c r="A228" t="s">
        <v>204</v>
      </c>
      <c r="B228" t="s">
        <v>2421</v>
      </c>
      <c r="C228" t="s">
        <v>2420</v>
      </c>
      <c r="D228" t="s">
        <v>232</v>
      </c>
      <c r="F228">
        <v>20.468603000000002</v>
      </c>
      <c r="G228">
        <v>20.532591</v>
      </c>
      <c r="H228">
        <v>20.616028</v>
      </c>
      <c r="I228">
        <v>20.719861999999999</v>
      </c>
      <c r="J228">
        <v>20.841422999999999</v>
      </c>
      <c r="K228">
        <v>20.971781</v>
      </c>
      <c r="L228">
        <v>21.093063000000001</v>
      </c>
      <c r="M228">
        <v>21.147656999999999</v>
      </c>
      <c r="N228">
        <v>21.195461000000002</v>
      </c>
      <c r="O228">
        <v>21.235396999999999</v>
      </c>
      <c r="P228">
        <v>21.265718</v>
      </c>
      <c r="Q228">
        <v>21.284417999999999</v>
      </c>
      <c r="R228">
        <v>21.296794999999999</v>
      </c>
      <c r="S228">
        <v>21.296386999999999</v>
      </c>
      <c r="T228">
        <v>21.296099000000002</v>
      </c>
      <c r="U228">
        <v>21.295897</v>
      </c>
      <c r="V228">
        <v>21.295755</v>
      </c>
      <c r="W228">
        <v>21.295658</v>
      </c>
      <c r="X228">
        <v>21.295591000000002</v>
      </c>
      <c r="Y228">
        <v>21.295546000000002</v>
      </c>
      <c r="Z228">
        <v>21.295513</v>
      </c>
      <c r="AA228">
        <v>21.295490000000001</v>
      </c>
      <c r="AB228">
        <v>21.295477000000002</v>
      </c>
      <c r="AC228">
        <v>21.295466999999999</v>
      </c>
      <c r="AD228">
        <v>21.295462000000001</v>
      </c>
      <c r="AE228">
        <v>21.295456000000001</v>
      </c>
      <c r="AF228">
        <v>21.295452000000001</v>
      </c>
      <c r="AG228" s="20">
        <v>2E-3</v>
      </c>
    </row>
    <row r="229" spans="1:33">
      <c r="A229" t="s">
        <v>206</v>
      </c>
      <c r="B229" t="s">
        <v>2419</v>
      </c>
      <c r="C229" t="s">
        <v>2418</v>
      </c>
      <c r="D229" t="s">
        <v>232</v>
      </c>
      <c r="F229">
        <v>0</v>
      </c>
      <c r="G229">
        <v>0</v>
      </c>
      <c r="H229">
        <v>10.021416</v>
      </c>
      <c r="I229">
        <v>10.224057</v>
      </c>
      <c r="J229">
        <v>10.358897000000001</v>
      </c>
      <c r="K229">
        <v>10.486587999999999</v>
      </c>
      <c r="L229">
        <v>10.638026</v>
      </c>
      <c r="M229">
        <v>10.812464</v>
      </c>
      <c r="N229">
        <v>11.011009</v>
      </c>
      <c r="O229">
        <v>11.011009</v>
      </c>
      <c r="P229">
        <v>11.011009</v>
      </c>
      <c r="Q229">
        <v>11.011009</v>
      </c>
      <c r="R229">
        <v>11.011009</v>
      </c>
      <c r="S229">
        <v>11.011009</v>
      </c>
      <c r="T229">
        <v>11.011009</v>
      </c>
      <c r="U229">
        <v>11.011009</v>
      </c>
      <c r="V229">
        <v>11.011009</v>
      </c>
      <c r="W229">
        <v>11.011009</v>
      </c>
      <c r="X229">
        <v>11.011009</v>
      </c>
      <c r="Y229">
        <v>11.011009</v>
      </c>
      <c r="Z229">
        <v>11.011009</v>
      </c>
      <c r="AA229">
        <v>11.011009</v>
      </c>
      <c r="AB229">
        <v>11.011009</v>
      </c>
      <c r="AC229">
        <v>11.011009</v>
      </c>
      <c r="AD229">
        <v>11.011009</v>
      </c>
      <c r="AE229">
        <v>11.011009</v>
      </c>
      <c r="AF229">
        <v>11.011009</v>
      </c>
      <c r="AG229" t="s">
        <v>15</v>
      </c>
    </row>
    <row r="230" spans="1:33">
      <c r="A230" t="s">
        <v>205</v>
      </c>
      <c r="B230" t="s">
        <v>2417</v>
      </c>
      <c r="C230" t="s">
        <v>2416</v>
      </c>
      <c r="D230" t="s">
        <v>232</v>
      </c>
      <c r="F230">
        <v>0</v>
      </c>
      <c r="G230">
        <v>9.2793500000000009</v>
      </c>
      <c r="H230">
        <v>9.4812709999999996</v>
      </c>
      <c r="I230">
        <v>9.5533289999999997</v>
      </c>
      <c r="J230">
        <v>9.6466309999999993</v>
      </c>
      <c r="K230">
        <v>9.6466309999999993</v>
      </c>
      <c r="L230">
        <v>9.6466309999999993</v>
      </c>
      <c r="M230">
        <v>9.6466309999999993</v>
      </c>
      <c r="N230">
        <v>9.6466309999999993</v>
      </c>
      <c r="O230">
        <v>9.6466309999999993</v>
      </c>
      <c r="P230">
        <v>9.6466309999999993</v>
      </c>
      <c r="Q230">
        <v>9.6466309999999993</v>
      </c>
      <c r="R230">
        <v>9.6466309999999993</v>
      </c>
      <c r="S230">
        <v>9.6466309999999993</v>
      </c>
      <c r="T230">
        <v>9.6466309999999993</v>
      </c>
      <c r="U230">
        <v>9.6466309999999993</v>
      </c>
      <c r="V230">
        <v>9.6466309999999993</v>
      </c>
      <c r="W230">
        <v>9.6466309999999993</v>
      </c>
      <c r="X230">
        <v>9.6466309999999993</v>
      </c>
      <c r="Y230">
        <v>9.6466309999999993</v>
      </c>
      <c r="Z230">
        <v>9.6466309999999993</v>
      </c>
      <c r="AA230">
        <v>9.6466309999999993</v>
      </c>
      <c r="AB230">
        <v>9.6466309999999993</v>
      </c>
      <c r="AC230">
        <v>9.6466309999999993</v>
      </c>
      <c r="AD230">
        <v>9.6466309999999993</v>
      </c>
      <c r="AE230">
        <v>9.6466309999999993</v>
      </c>
      <c r="AF230">
        <v>9.6466309999999993</v>
      </c>
      <c r="AG230" t="s">
        <v>15</v>
      </c>
    </row>
    <row r="231" spans="1:33">
      <c r="A231" t="s">
        <v>207</v>
      </c>
      <c r="B231" t="s">
        <v>2415</v>
      </c>
      <c r="C231" t="s">
        <v>2414</v>
      </c>
      <c r="D231" t="s">
        <v>232</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15</v>
      </c>
    </row>
    <row r="232" spans="1:33">
      <c r="A232" t="s">
        <v>1668</v>
      </c>
      <c r="B232" t="s">
        <v>2413</v>
      </c>
      <c r="C232" t="s">
        <v>2412</v>
      </c>
      <c r="D232" t="s">
        <v>231</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t="s">
        <v>15</v>
      </c>
    </row>
    <row r="233" spans="1:33">
      <c r="A233" t="s">
        <v>1665</v>
      </c>
      <c r="B233" t="s">
        <v>2411</v>
      </c>
      <c r="C233" t="s">
        <v>2410</v>
      </c>
      <c r="D233" t="s">
        <v>232</v>
      </c>
      <c r="F233">
        <v>0</v>
      </c>
      <c r="G233">
        <v>9.8621339999999993</v>
      </c>
      <c r="H233">
        <v>9.8967150000000004</v>
      </c>
      <c r="I233">
        <v>9.9150019999999994</v>
      </c>
      <c r="J233">
        <v>9.9396450000000005</v>
      </c>
      <c r="K233">
        <v>9.9715810000000005</v>
      </c>
      <c r="L233">
        <v>10.039865000000001</v>
      </c>
      <c r="M233">
        <v>10.128325</v>
      </c>
      <c r="N233">
        <v>10.193020000000001</v>
      </c>
      <c r="O233">
        <v>10.295206</v>
      </c>
      <c r="P233">
        <v>10.388249999999999</v>
      </c>
      <c r="Q233">
        <v>10.430880999999999</v>
      </c>
      <c r="R233">
        <v>10.45384</v>
      </c>
      <c r="S233">
        <v>10.468995</v>
      </c>
      <c r="T233">
        <v>10.481465999999999</v>
      </c>
      <c r="U233">
        <v>10.491256999999999</v>
      </c>
      <c r="V233">
        <v>10.497921</v>
      </c>
      <c r="W233">
        <v>10.497920000000001</v>
      </c>
      <c r="X233">
        <v>10.497921</v>
      </c>
      <c r="Y233">
        <v>10.497921</v>
      </c>
      <c r="Z233">
        <v>10.497921</v>
      </c>
      <c r="AA233">
        <v>10.497921</v>
      </c>
      <c r="AB233">
        <v>10.497921</v>
      </c>
      <c r="AC233">
        <v>10.497921</v>
      </c>
      <c r="AD233">
        <v>10.497921</v>
      </c>
      <c r="AE233">
        <v>10.497921</v>
      </c>
      <c r="AF233">
        <v>10.497921</v>
      </c>
      <c r="AG233" t="s">
        <v>15</v>
      </c>
    </row>
    <row r="234" spans="1:33">
      <c r="A234" t="s">
        <v>1662</v>
      </c>
      <c r="B234" t="s">
        <v>2409</v>
      </c>
      <c r="C234" t="s">
        <v>2408</v>
      </c>
      <c r="D234" t="s">
        <v>231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15</v>
      </c>
    </row>
    <row r="235" spans="1:33">
      <c r="A235" t="s">
        <v>235</v>
      </c>
      <c r="B235" t="s">
        <v>2407</v>
      </c>
      <c r="C235" t="s">
        <v>2406</v>
      </c>
      <c r="F235">
        <v>9.1279810000000001</v>
      </c>
      <c r="G235">
        <v>9.3468029999999995</v>
      </c>
      <c r="H235">
        <v>9.5876459999999994</v>
      </c>
      <c r="I235">
        <v>9.8079889999999992</v>
      </c>
      <c r="J235">
        <v>10.023955000000001</v>
      </c>
      <c r="K235">
        <v>10.233446000000001</v>
      </c>
      <c r="L235">
        <v>10.426334000000001</v>
      </c>
      <c r="M235">
        <v>10.585993999999999</v>
      </c>
      <c r="N235">
        <v>10.698321999999999</v>
      </c>
      <c r="O235">
        <v>10.756053</v>
      </c>
      <c r="P235">
        <v>10.781209</v>
      </c>
      <c r="Q235">
        <v>10.763572999999999</v>
      </c>
      <c r="R235">
        <v>10.683064</v>
      </c>
      <c r="S235">
        <v>10.608274</v>
      </c>
      <c r="T235">
        <v>10.550203</v>
      </c>
      <c r="U235">
        <v>10.505644999999999</v>
      </c>
      <c r="V235">
        <v>10.473542999999999</v>
      </c>
      <c r="W235">
        <v>10.449609000000001</v>
      </c>
      <c r="X235">
        <v>10.432373</v>
      </c>
      <c r="Y235">
        <v>10.420355000000001</v>
      </c>
      <c r="Z235">
        <v>10.412753</v>
      </c>
      <c r="AA235">
        <v>10.407598</v>
      </c>
      <c r="AB235">
        <v>10.404016</v>
      </c>
      <c r="AC235">
        <v>10.400836</v>
      </c>
      <c r="AD235">
        <v>10.39828</v>
      </c>
      <c r="AE235">
        <v>10.395341999999999</v>
      </c>
      <c r="AF235">
        <v>10.393948</v>
      </c>
      <c r="AG235" s="20">
        <v>5.0000000000000001E-3</v>
      </c>
    </row>
    <row r="236" spans="1:33">
      <c r="A236" t="s">
        <v>224</v>
      </c>
    </row>
    <row r="237" spans="1:33">
      <c r="A237" t="s">
        <v>168</v>
      </c>
      <c r="B237" t="s">
        <v>2405</v>
      </c>
      <c r="C237" t="s">
        <v>2404</v>
      </c>
      <c r="D237" t="s">
        <v>231</v>
      </c>
      <c r="F237">
        <v>6.8624530000000004</v>
      </c>
      <c r="G237">
        <v>7.0176189999999998</v>
      </c>
      <c r="H237">
        <v>7.1843830000000004</v>
      </c>
      <c r="I237">
        <v>7.3522480000000003</v>
      </c>
      <c r="J237">
        <v>7.5117200000000004</v>
      </c>
      <c r="K237">
        <v>7.6655379999999997</v>
      </c>
      <c r="L237">
        <v>7.7929139999999997</v>
      </c>
      <c r="M237">
        <v>7.9047320000000001</v>
      </c>
      <c r="N237">
        <v>7.9926409999999999</v>
      </c>
      <c r="O237">
        <v>8.0601009999999995</v>
      </c>
      <c r="P237">
        <v>8.1108750000000001</v>
      </c>
      <c r="Q237">
        <v>8.1426850000000002</v>
      </c>
      <c r="R237">
        <v>8.1450519999999997</v>
      </c>
      <c r="S237">
        <v>8.1467080000000003</v>
      </c>
      <c r="T237">
        <v>8.1442990000000002</v>
      </c>
      <c r="U237">
        <v>8.1463560000000008</v>
      </c>
      <c r="V237">
        <v>8.1463929999999998</v>
      </c>
      <c r="W237">
        <v>8.1463429999999999</v>
      </c>
      <c r="X237">
        <v>8.1464379999999998</v>
      </c>
      <c r="Y237">
        <v>8.1440920000000006</v>
      </c>
      <c r="Z237">
        <v>8.1438550000000003</v>
      </c>
      <c r="AA237">
        <v>8.1438740000000003</v>
      </c>
      <c r="AB237">
        <v>8.1432500000000001</v>
      </c>
      <c r="AC237">
        <v>8.1429019999999994</v>
      </c>
      <c r="AD237">
        <v>8.1380999999999997</v>
      </c>
      <c r="AE237">
        <v>8.1375489999999999</v>
      </c>
      <c r="AF237">
        <v>8.1374619999999993</v>
      </c>
      <c r="AG237" s="20">
        <v>7.0000000000000001E-3</v>
      </c>
    </row>
    <row r="238" spans="1:33">
      <c r="A238" t="s">
        <v>154</v>
      </c>
      <c r="B238" t="s">
        <v>2403</v>
      </c>
      <c r="C238" t="s">
        <v>2402</v>
      </c>
      <c r="D238" t="s">
        <v>232</v>
      </c>
      <c r="F238">
        <v>5.5283899999999999</v>
      </c>
      <c r="G238">
        <v>5.6677540000000004</v>
      </c>
      <c r="H238">
        <v>5.8193339999999996</v>
      </c>
      <c r="I238">
        <v>5.9614390000000004</v>
      </c>
      <c r="J238">
        <v>6.0965199999999999</v>
      </c>
      <c r="K238">
        <v>6.2297969999999996</v>
      </c>
      <c r="L238">
        <v>6.3555460000000004</v>
      </c>
      <c r="M238">
        <v>6.4679209999999996</v>
      </c>
      <c r="N238">
        <v>6.5620820000000002</v>
      </c>
      <c r="O238">
        <v>6.6345039999999997</v>
      </c>
      <c r="P238">
        <v>6.6923459999999997</v>
      </c>
      <c r="Q238">
        <v>6.7331079999999996</v>
      </c>
      <c r="R238">
        <v>6.7294159999999996</v>
      </c>
      <c r="S238">
        <v>6.7262579999999996</v>
      </c>
      <c r="T238">
        <v>6.723573</v>
      </c>
      <c r="U238">
        <v>6.7212490000000003</v>
      </c>
      <c r="V238">
        <v>6.7192170000000004</v>
      </c>
      <c r="W238">
        <v>6.7174230000000001</v>
      </c>
      <c r="X238">
        <v>6.7158129999999998</v>
      </c>
      <c r="Y238">
        <v>6.7143459999999999</v>
      </c>
      <c r="Z238">
        <v>6.7129890000000003</v>
      </c>
      <c r="AA238">
        <v>6.7117690000000003</v>
      </c>
      <c r="AB238">
        <v>6.7106870000000001</v>
      </c>
      <c r="AC238">
        <v>6.7097610000000003</v>
      </c>
      <c r="AD238">
        <v>6.7089619999999996</v>
      </c>
      <c r="AE238">
        <v>6.7082750000000004</v>
      </c>
      <c r="AF238">
        <v>6.7077359999999997</v>
      </c>
      <c r="AG238" s="20">
        <v>7.0000000000000001E-3</v>
      </c>
    </row>
    <row r="239" spans="1:33">
      <c r="A239" t="s">
        <v>149</v>
      </c>
      <c r="B239" t="s">
        <v>2401</v>
      </c>
      <c r="C239" t="s">
        <v>2400</v>
      </c>
      <c r="D239" t="s">
        <v>232</v>
      </c>
      <c r="F239">
        <v>5.4372439999999997</v>
      </c>
      <c r="G239">
        <v>5.5245800000000003</v>
      </c>
      <c r="H239">
        <v>5.5677580000000004</v>
      </c>
      <c r="I239">
        <v>5.6220689999999998</v>
      </c>
      <c r="J239">
        <v>5.6845129999999999</v>
      </c>
      <c r="K239">
        <v>5.7616360000000002</v>
      </c>
      <c r="L239">
        <v>5.8562839999999996</v>
      </c>
      <c r="M239">
        <v>5.9682110000000002</v>
      </c>
      <c r="N239">
        <v>6.0886110000000002</v>
      </c>
      <c r="O239">
        <v>6.2060690000000003</v>
      </c>
      <c r="P239">
        <v>6.3273029999999997</v>
      </c>
      <c r="Q239">
        <v>6.4255699999999996</v>
      </c>
      <c r="R239">
        <v>6.5132250000000003</v>
      </c>
      <c r="S239">
        <v>6.5731999999999999</v>
      </c>
      <c r="T239">
        <v>6.6169479999999998</v>
      </c>
      <c r="U239">
        <v>6.6467029999999996</v>
      </c>
      <c r="V239">
        <v>6.659745</v>
      </c>
      <c r="W239">
        <v>6.6698519999999997</v>
      </c>
      <c r="X239">
        <v>6.6757249999999999</v>
      </c>
      <c r="Y239">
        <v>6.675643</v>
      </c>
      <c r="Z239">
        <v>6.6756099999999998</v>
      </c>
      <c r="AA239">
        <v>6.6746559999999997</v>
      </c>
      <c r="AB239">
        <v>6.6771929999999999</v>
      </c>
      <c r="AC239">
        <v>6.6810499999999999</v>
      </c>
      <c r="AD239">
        <v>6.6854810000000002</v>
      </c>
      <c r="AE239">
        <v>6.6909190000000001</v>
      </c>
      <c r="AF239">
        <v>6.6984519999999996</v>
      </c>
      <c r="AG239" s="20">
        <v>8.0000000000000002E-3</v>
      </c>
    </row>
    <row r="240" spans="1:33">
      <c r="A240" t="s">
        <v>148</v>
      </c>
      <c r="B240" t="s">
        <v>2399</v>
      </c>
      <c r="C240" t="s">
        <v>2398</v>
      </c>
      <c r="D240" t="s">
        <v>231</v>
      </c>
      <c r="F240">
        <v>5.6899410000000001</v>
      </c>
      <c r="G240">
        <v>5.8690319999999998</v>
      </c>
      <c r="H240">
        <v>6.0111840000000001</v>
      </c>
      <c r="I240">
        <v>6.1010439999999999</v>
      </c>
      <c r="J240">
        <v>6.2319899999999997</v>
      </c>
      <c r="K240">
        <v>6.36381</v>
      </c>
      <c r="L240">
        <v>6.480442</v>
      </c>
      <c r="M240">
        <v>6.5830200000000003</v>
      </c>
      <c r="N240">
        <v>6.6688960000000002</v>
      </c>
      <c r="O240">
        <v>6.7348330000000001</v>
      </c>
      <c r="P240">
        <v>6.7896280000000004</v>
      </c>
      <c r="Q240">
        <v>6.8331369999999998</v>
      </c>
      <c r="R240">
        <v>6.8360130000000003</v>
      </c>
      <c r="S240">
        <v>6.8514400000000002</v>
      </c>
      <c r="T240">
        <v>6.8495600000000003</v>
      </c>
      <c r="U240">
        <v>6.8668829999999996</v>
      </c>
      <c r="V240">
        <v>6.8978650000000004</v>
      </c>
      <c r="W240">
        <v>6.922809</v>
      </c>
      <c r="X240">
        <v>6.9350180000000003</v>
      </c>
      <c r="Y240">
        <v>6.9377930000000001</v>
      </c>
      <c r="Z240">
        <v>6.9690779999999997</v>
      </c>
      <c r="AA240">
        <v>6.9773649999999998</v>
      </c>
      <c r="AB240">
        <v>7.0204279999999999</v>
      </c>
      <c r="AC240">
        <v>7.0619449999999997</v>
      </c>
      <c r="AD240">
        <v>7.1275449999999996</v>
      </c>
      <c r="AE240">
        <v>7.1666280000000002</v>
      </c>
      <c r="AF240">
        <v>7.2303740000000003</v>
      </c>
      <c r="AG240" s="20">
        <v>8.9999999999999993E-3</v>
      </c>
    </row>
    <row r="241" spans="1:33">
      <c r="A241" t="s">
        <v>203</v>
      </c>
      <c r="B241" t="s">
        <v>2397</v>
      </c>
      <c r="C241" t="s">
        <v>2396</v>
      </c>
      <c r="D241" t="s">
        <v>232</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t="s">
        <v>15</v>
      </c>
    </row>
    <row r="242" spans="1:33">
      <c r="A242" t="s">
        <v>204</v>
      </c>
      <c r="B242" t="s">
        <v>2395</v>
      </c>
      <c r="C242" t="s">
        <v>2394</v>
      </c>
      <c r="D242" t="s">
        <v>231</v>
      </c>
      <c r="F242">
        <v>13.553058</v>
      </c>
      <c r="G242">
        <v>13.654142999999999</v>
      </c>
      <c r="H242">
        <v>13.78584</v>
      </c>
      <c r="I242">
        <v>13.926949</v>
      </c>
      <c r="J242">
        <v>14.084097</v>
      </c>
      <c r="K242">
        <v>14.299403999999999</v>
      </c>
      <c r="L242">
        <v>14.499537999999999</v>
      </c>
      <c r="M242">
        <v>14.670741</v>
      </c>
      <c r="N242">
        <v>14.874043</v>
      </c>
      <c r="O242">
        <v>15.077652</v>
      </c>
      <c r="P242">
        <v>15.165792</v>
      </c>
      <c r="Q242">
        <v>15.2387</v>
      </c>
      <c r="R242">
        <v>15.287716</v>
      </c>
      <c r="S242">
        <v>15.326226999999999</v>
      </c>
      <c r="T242">
        <v>15.354395</v>
      </c>
      <c r="U242">
        <v>15.370070999999999</v>
      </c>
      <c r="V242">
        <v>15.375595000000001</v>
      </c>
      <c r="W242">
        <v>15.377668999999999</v>
      </c>
      <c r="X242">
        <v>15.379139</v>
      </c>
      <c r="Y242">
        <v>15.380027</v>
      </c>
      <c r="Z242">
        <v>15.380454</v>
      </c>
      <c r="AA242">
        <v>15.380836</v>
      </c>
      <c r="AB242">
        <v>15.380919</v>
      </c>
      <c r="AC242">
        <v>15.380917</v>
      </c>
      <c r="AD242">
        <v>15.380915</v>
      </c>
      <c r="AE242">
        <v>15.380915</v>
      </c>
      <c r="AF242">
        <v>15.380915999999999</v>
      </c>
      <c r="AG242" s="20">
        <v>5.0000000000000001E-3</v>
      </c>
    </row>
    <row r="243" spans="1:33">
      <c r="A243" t="s">
        <v>206</v>
      </c>
      <c r="B243" t="s">
        <v>2393</v>
      </c>
      <c r="C243" t="s">
        <v>2392</v>
      </c>
      <c r="D243" t="s">
        <v>231</v>
      </c>
      <c r="F243">
        <v>0</v>
      </c>
      <c r="G243">
        <v>0</v>
      </c>
      <c r="H243">
        <v>8.8917629999999992</v>
      </c>
      <c r="I243">
        <v>9.0715620000000001</v>
      </c>
      <c r="J243">
        <v>9.1912020000000005</v>
      </c>
      <c r="K243">
        <v>9.3044989999999999</v>
      </c>
      <c r="L243">
        <v>9.4388670000000001</v>
      </c>
      <c r="M243">
        <v>9.5936409999999999</v>
      </c>
      <c r="N243">
        <v>9.7698049999999999</v>
      </c>
      <c r="O243">
        <v>9.7698049999999999</v>
      </c>
      <c r="P243">
        <v>9.7698049999999999</v>
      </c>
      <c r="Q243">
        <v>9.7698049999999999</v>
      </c>
      <c r="R243">
        <v>9.7698049999999999</v>
      </c>
      <c r="S243">
        <v>9.7698049999999999</v>
      </c>
      <c r="T243">
        <v>9.7698049999999999</v>
      </c>
      <c r="U243">
        <v>9.7698049999999999</v>
      </c>
      <c r="V243">
        <v>9.7698049999999999</v>
      </c>
      <c r="W243">
        <v>9.7698049999999999</v>
      </c>
      <c r="X243">
        <v>9.7698049999999999</v>
      </c>
      <c r="Y243">
        <v>9.7698049999999999</v>
      </c>
      <c r="Z243">
        <v>9.7698049999999999</v>
      </c>
      <c r="AA243">
        <v>9.7698049999999999</v>
      </c>
      <c r="AB243">
        <v>9.7698049999999999</v>
      </c>
      <c r="AC243">
        <v>9.7698049999999999</v>
      </c>
      <c r="AD243">
        <v>9.7698049999999999</v>
      </c>
      <c r="AE243">
        <v>9.7698049999999999</v>
      </c>
      <c r="AF243">
        <v>9.7698049999999999</v>
      </c>
      <c r="AG243" t="s">
        <v>15</v>
      </c>
    </row>
    <row r="244" spans="1:33">
      <c r="A244" t="s">
        <v>205</v>
      </c>
      <c r="B244" t="s">
        <v>2391</v>
      </c>
      <c r="C244" t="s">
        <v>2390</v>
      </c>
      <c r="D244" t="s">
        <v>232</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t="s">
        <v>15</v>
      </c>
    </row>
    <row r="245" spans="1:33">
      <c r="A245" t="s">
        <v>207</v>
      </c>
      <c r="B245" t="s">
        <v>2389</v>
      </c>
      <c r="C245" t="s">
        <v>2388</v>
      </c>
      <c r="D245" t="s">
        <v>231</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t="s">
        <v>15</v>
      </c>
    </row>
    <row r="246" spans="1:33">
      <c r="A246" t="s">
        <v>1668</v>
      </c>
      <c r="B246" t="s">
        <v>2387</v>
      </c>
      <c r="C246" t="s">
        <v>2386</v>
      </c>
      <c r="D246" t="s">
        <v>231</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t="s">
        <v>15</v>
      </c>
    </row>
    <row r="247" spans="1:33">
      <c r="A247" t="s">
        <v>1665</v>
      </c>
      <c r="B247" t="s">
        <v>2385</v>
      </c>
      <c r="C247" t="s">
        <v>2384</v>
      </c>
      <c r="D247" t="s">
        <v>232</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t="s">
        <v>15</v>
      </c>
    </row>
    <row r="248" spans="1:33">
      <c r="A248" t="s">
        <v>1662</v>
      </c>
      <c r="B248" t="s">
        <v>2383</v>
      </c>
      <c r="C248" t="s">
        <v>2382</v>
      </c>
      <c r="D248" t="s">
        <v>231</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t="s">
        <v>15</v>
      </c>
    </row>
    <row r="249" spans="1:33">
      <c r="A249" t="s">
        <v>236</v>
      </c>
      <c r="B249" t="s">
        <v>2381</v>
      </c>
      <c r="C249" t="s">
        <v>2380</v>
      </c>
      <c r="F249">
        <v>6.8548869999999997</v>
      </c>
      <c r="G249">
        <v>7.008928</v>
      </c>
      <c r="H249">
        <v>7.1755069999999996</v>
      </c>
      <c r="I249">
        <v>7.3440310000000002</v>
      </c>
      <c r="J249">
        <v>7.5033560000000001</v>
      </c>
      <c r="K249">
        <v>7.6570200000000002</v>
      </c>
      <c r="L249">
        <v>7.7844319999999998</v>
      </c>
      <c r="M249">
        <v>7.8963190000000001</v>
      </c>
      <c r="N249">
        <v>7.9844039999999996</v>
      </c>
      <c r="O249">
        <v>8.0514679999999998</v>
      </c>
      <c r="P249">
        <v>8.1022870000000005</v>
      </c>
      <c r="Q249">
        <v>8.1342009999999991</v>
      </c>
      <c r="R249">
        <v>8.1366180000000004</v>
      </c>
      <c r="S249">
        <v>8.1379459999999995</v>
      </c>
      <c r="T249">
        <v>8.1357149999999994</v>
      </c>
      <c r="U249">
        <v>8.1375189999999993</v>
      </c>
      <c r="V249">
        <v>8.1371649999999995</v>
      </c>
      <c r="W249">
        <v>8.1364129999999992</v>
      </c>
      <c r="X249">
        <v>8.1363679999999992</v>
      </c>
      <c r="Y249">
        <v>8.1339330000000007</v>
      </c>
      <c r="Z249">
        <v>8.1331659999999992</v>
      </c>
      <c r="AA249">
        <v>8.1322799999999997</v>
      </c>
      <c r="AB249">
        <v>8.1308959999999999</v>
      </c>
      <c r="AC249">
        <v>8.1295079999999995</v>
      </c>
      <c r="AD249">
        <v>8.123742</v>
      </c>
      <c r="AE249">
        <v>8.1220119999999998</v>
      </c>
      <c r="AF249">
        <v>8.1205160000000003</v>
      </c>
      <c r="AG249" s="20">
        <v>7.0000000000000001E-3</v>
      </c>
    </row>
    <row r="250" spans="1:33">
      <c r="A250" t="s">
        <v>237</v>
      </c>
      <c r="B250" t="s">
        <v>2379</v>
      </c>
      <c r="C250" t="s">
        <v>2378</v>
      </c>
      <c r="F250">
        <v>7.7845329999999997</v>
      </c>
      <c r="G250">
        <v>8.1700400000000002</v>
      </c>
      <c r="H250">
        <v>8.3375160000000008</v>
      </c>
      <c r="I250">
        <v>8.4989089999999994</v>
      </c>
      <c r="J250">
        <v>8.694566</v>
      </c>
      <c r="K250">
        <v>8.8765870000000007</v>
      </c>
      <c r="L250">
        <v>9.0367379999999997</v>
      </c>
      <c r="M250">
        <v>9.1778119999999994</v>
      </c>
      <c r="N250">
        <v>9.2946340000000003</v>
      </c>
      <c r="O250">
        <v>9.3798370000000002</v>
      </c>
      <c r="P250">
        <v>9.462923</v>
      </c>
      <c r="Q250">
        <v>9.5250459999999997</v>
      </c>
      <c r="R250">
        <v>9.545712</v>
      </c>
      <c r="S250">
        <v>9.5580890000000007</v>
      </c>
      <c r="T250">
        <v>9.5769409999999997</v>
      </c>
      <c r="U250">
        <v>9.6088719999999999</v>
      </c>
      <c r="V250">
        <v>9.6380960000000009</v>
      </c>
      <c r="W250">
        <v>9.6714420000000008</v>
      </c>
      <c r="X250">
        <v>9.6972349999999992</v>
      </c>
      <c r="Y250">
        <v>9.7202509999999993</v>
      </c>
      <c r="Z250">
        <v>9.7451000000000008</v>
      </c>
      <c r="AA250">
        <v>9.7827490000000008</v>
      </c>
      <c r="AB250">
        <v>9.8186359999999997</v>
      </c>
      <c r="AC250">
        <v>9.8371399999999998</v>
      </c>
      <c r="AD250">
        <v>9.8385599999999993</v>
      </c>
      <c r="AE250">
        <v>9.8505929999999999</v>
      </c>
      <c r="AF250">
        <v>9.8773979999999995</v>
      </c>
      <c r="AG250" s="20">
        <v>8.9999999999999993E-3</v>
      </c>
    </row>
    <row r="251" spans="1:33">
      <c r="A251" t="s">
        <v>239</v>
      </c>
    </row>
    <row r="252" spans="1:33">
      <c r="A252" t="s">
        <v>219</v>
      </c>
    </row>
    <row r="253" spans="1:33">
      <c r="A253" t="s">
        <v>168</v>
      </c>
      <c r="B253" t="s">
        <v>2377</v>
      </c>
      <c r="C253" t="s">
        <v>2376</v>
      </c>
      <c r="D253" t="s">
        <v>202</v>
      </c>
      <c r="F253">
        <v>119.36211400000001</v>
      </c>
      <c r="G253">
        <v>168.04504399999999</v>
      </c>
      <c r="H253">
        <v>172.93017599999999</v>
      </c>
      <c r="I253">
        <v>173.02984599999999</v>
      </c>
      <c r="J253">
        <v>157.32209800000001</v>
      </c>
      <c r="K253">
        <v>139.67721599999999</v>
      </c>
      <c r="L253">
        <v>122.53037999999999</v>
      </c>
      <c r="M253">
        <v>104.252419</v>
      </c>
      <c r="N253">
        <v>88.038826</v>
      </c>
      <c r="O253">
        <v>79.593902999999997</v>
      </c>
      <c r="P253">
        <v>71.125832000000003</v>
      </c>
      <c r="Q253">
        <v>62.814281000000001</v>
      </c>
      <c r="R253">
        <v>56.953330999999999</v>
      </c>
      <c r="S253">
        <v>52.718108999999998</v>
      </c>
      <c r="T253">
        <v>45.731597999999998</v>
      </c>
      <c r="U253">
        <v>38.088886000000002</v>
      </c>
      <c r="V253">
        <v>34.851616</v>
      </c>
      <c r="W253">
        <v>30.140041</v>
      </c>
      <c r="X253">
        <v>25.780429999999999</v>
      </c>
      <c r="Y253">
        <v>21.591252999999998</v>
      </c>
      <c r="Z253">
        <v>19.974440000000001</v>
      </c>
      <c r="AA253">
        <v>19.347550999999999</v>
      </c>
      <c r="AB253">
        <v>18.670155999999999</v>
      </c>
      <c r="AC253">
        <v>16.993980000000001</v>
      </c>
      <c r="AD253">
        <v>15.383893</v>
      </c>
      <c r="AE253">
        <v>14.574971</v>
      </c>
      <c r="AF253">
        <v>14.517200000000001</v>
      </c>
      <c r="AG253" s="20">
        <v>-7.8E-2</v>
      </c>
    </row>
    <row r="254" spans="1:33">
      <c r="A254" t="s">
        <v>154</v>
      </c>
      <c r="B254" t="s">
        <v>2375</v>
      </c>
      <c r="C254" t="s">
        <v>2374</v>
      </c>
      <c r="D254" t="s">
        <v>202</v>
      </c>
      <c r="F254">
        <v>96.207825</v>
      </c>
      <c r="G254">
        <v>140.926468</v>
      </c>
      <c r="H254">
        <v>150.30540500000001</v>
      </c>
      <c r="I254">
        <v>155.36149599999999</v>
      </c>
      <c r="J254">
        <v>145.78999300000001</v>
      </c>
      <c r="K254">
        <v>133.32659899999999</v>
      </c>
      <c r="L254">
        <v>120.12693</v>
      </c>
      <c r="M254">
        <v>104.729378</v>
      </c>
      <c r="N254">
        <v>90.536331000000004</v>
      </c>
      <c r="O254">
        <v>83.471191000000005</v>
      </c>
      <c r="P254">
        <v>75.916870000000003</v>
      </c>
      <c r="Q254">
        <v>68.160194000000004</v>
      </c>
      <c r="R254">
        <v>62.740749000000001</v>
      </c>
      <c r="S254">
        <v>58.886211000000003</v>
      </c>
      <c r="T254">
        <v>51.738425999999997</v>
      </c>
      <c r="U254">
        <v>43.728943000000001</v>
      </c>
      <c r="V254">
        <v>40.399540000000002</v>
      </c>
      <c r="W254">
        <v>35.366146000000001</v>
      </c>
      <c r="X254">
        <v>30.567242</v>
      </c>
      <c r="Y254">
        <v>25.960905</v>
      </c>
      <c r="Z254">
        <v>24.193511999999998</v>
      </c>
      <c r="AA254">
        <v>23.534416</v>
      </c>
      <c r="AB254">
        <v>22.799233999999998</v>
      </c>
      <c r="AC254">
        <v>20.943881999999999</v>
      </c>
      <c r="AD254">
        <v>19.132334</v>
      </c>
      <c r="AE254">
        <v>18.236712000000001</v>
      </c>
      <c r="AF254">
        <v>18.209972</v>
      </c>
      <c r="AG254" s="20">
        <v>-6.2E-2</v>
      </c>
    </row>
    <row r="255" spans="1:33">
      <c r="A255" t="s">
        <v>149</v>
      </c>
      <c r="B255" t="s">
        <v>2373</v>
      </c>
      <c r="C255" t="s">
        <v>2372</v>
      </c>
      <c r="D255" t="s">
        <v>202</v>
      </c>
      <c r="F255">
        <v>2.1840000000000002E-3</v>
      </c>
      <c r="G255">
        <v>3.1580000000000002E-3</v>
      </c>
      <c r="H255">
        <v>3.3180000000000002E-3</v>
      </c>
      <c r="I255">
        <v>3.3869999999999998E-3</v>
      </c>
      <c r="J255">
        <v>3.339E-3</v>
      </c>
      <c r="K255">
        <v>3.3189999999999999E-3</v>
      </c>
      <c r="L255">
        <v>3.3140000000000001E-3</v>
      </c>
      <c r="M255">
        <v>3.2829999999999999E-3</v>
      </c>
      <c r="N255">
        <v>3.297E-3</v>
      </c>
      <c r="O255">
        <v>3.3509999999999998E-3</v>
      </c>
      <c r="P255">
        <v>3.4060000000000002E-3</v>
      </c>
      <c r="Q255">
        <v>3.4459999999999998E-3</v>
      </c>
      <c r="R255">
        <v>3.4849999999999998E-3</v>
      </c>
      <c r="S255">
        <v>3.5249999999999999E-3</v>
      </c>
      <c r="T255">
        <v>3.5739999999999999E-3</v>
      </c>
      <c r="U255">
        <v>3.5969999999999999E-3</v>
      </c>
      <c r="V255">
        <v>3.5799999999999998E-3</v>
      </c>
      <c r="W255">
        <v>3.5400000000000002E-3</v>
      </c>
      <c r="X255">
        <v>3.49E-3</v>
      </c>
      <c r="Y255">
        <v>3.4650000000000002E-3</v>
      </c>
      <c r="Z255">
        <v>3.4420000000000002E-3</v>
      </c>
      <c r="AA255">
        <v>3.4429999999999999E-3</v>
      </c>
      <c r="AB255">
        <v>3.444E-3</v>
      </c>
      <c r="AC255">
        <v>3.46E-3</v>
      </c>
      <c r="AD255">
        <v>3.4650000000000002E-3</v>
      </c>
      <c r="AE255">
        <v>3.46E-3</v>
      </c>
      <c r="AF255">
        <v>3.4520000000000002E-3</v>
      </c>
      <c r="AG255" s="20">
        <v>1.7999999999999999E-2</v>
      </c>
    </row>
    <row r="256" spans="1:33">
      <c r="A256" t="s">
        <v>148</v>
      </c>
      <c r="B256" t="s">
        <v>2371</v>
      </c>
      <c r="C256" t="s">
        <v>2370</v>
      </c>
      <c r="D256" t="s">
        <v>202</v>
      </c>
      <c r="F256">
        <v>1.8444510000000001</v>
      </c>
      <c r="G256">
        <v>3.3833199999999999</v>
      </c>
      <c r="H256">
        <v>3.7551990000000002</v>
      </c>
      <c r="I256">
        <v>3.9225240000000001</v>
      </c>
      <c r="J256">
        <v>3.0337079999999998</v>
      </c>
      <c r="K256">
        <v>3.2252130000000001</v>
      </c>
      <c r="L256">
        <v>2.9592960000000001</v>
      </c>
      <c r="M256">
        <v>2.4964080000000002</v>
      </c>
      <c r="N256">
        <v>2.3470780000000002</v>
      </c>
      <c r="O256">
        <v>2.1422949999999998</v>
      </c>
      <c r="P256">
        <v>2.5325519999999999</v>
      </c>
      <c r="Q256">
        <v>2.9827849999999998</v>
      </c>
      <c r="R256">
        <v>3.393907</v>
      </c>
      <c r="S256">
        <v>4.0493690000000004</v>
      </c>
      <c r="T256">
        <v>5.0462020000000001</v>
      </c>
      <c r="U256">
        <v>5.6631039999999997</v>
      </c>
      <c r="V256">
        <v>6.637721</v>
      </c>
      <c r="W256">
        <v>7.7824429999999998</v>
      </c>
      <c r="X256">
        <v>8.7570530000000009</v>
      </c>
      <c r="Y256">
        <v>9.5117189999999994</v>
      </c>
      <c r="Z256">
        <v>10.158861999999999</v>
      </c>
      <c r="AA256">
        <v>10.974225000000001</v>
      </c>
      <c r="AB256">
        <v>11.79744</v>
      </c>
      <c r="AC256">
        <v>12.722552</v>
      </c>
      <c r="AD256">
        <v>13.328785</v>
      </c>
      <c r="AE256">
        <v>14.058415999999999</v>
      </c>
      <c r="AF256">
        <v>14.624667000000001</v>
      </c>
      <c r="AG256" s="20">
        <v>8.3000000000000004E-2</v>
      </c>
    </row>
    <row r="257" spans="1:33">
      <c r="A257" t="s">
        <v>203</v>
      </c>
      <c r="B257" t="s">
        <v>2369</v>
      </c>
      <c r="C257" t="s">
        <v>2368</v>
      </c>
      <c r="D257" t="s">
        <v>202</v>
      </c>
      <c r="F257">
        <v>2.1840000000000002E-3</v>
      </c>
      <c r="G257">
        <v>3.1580000000000002E-3</v>
      </c>
      <c r="H257">
        <v>3.3180000000000002E-3</v>
      </c>
      <c r="I257">
        <v>3.3869999999999998E-3</v>
      </c>
      <c r="J257">
        <v>3.339E-3</v>
      </c>
      <c r="K257">
        <v>3.3189999999999999E-3</v>
      </c>
      <c r="L257">
        <v>3.3140000000000001E-3</v>
      </c>
      <c r="M257">
        <v>3.2829999999999999E-3</v>
      </c>
      <c r="N257">
        <v>3.297E-3</v>
      </c>
      <c r="O257">
        <v>3.3509999999999998E-3</v>
      </c>
      <c r="P257">
        <v>3.4060000000000002E-3</v>
      </c>
      <c r="Q257">
        <v>3.4459999999999998E-3</v>
      </c>
      <c r="R257">
        <v>3.4849999999999998E-3</v>
      </c>
      <c r="S257">
        <v>3.5249999999999999E-3</v>
      </c>
      <c r="T257">
        <v>3.5739999999999999E-3</v>
      </c>
      <c r="U257">
        <v>3.5969999999999999E-3</v>
      </c>
      <c r="V257">
        <v>3.5799999999999998E-3</v>
      </c>
      <c r="W257">
        <v>3.5400000000000002E-3</v>
      </c>
      <c r="X257">
        <v>3.49E-3</v>
      </c>
      <c r="Y257">
        <v>3.4650000000000002E-3</v>
      </c>
      <c r="Z257">
        <v>3.4420000000000002E-3</v>
      </c>
      <c r="AA257">
        <v>3.4429999999999999E-3</v>
      </c>
      <c r="AB257">
        <v>3.444E-3</v>
      </c>
      <c r="AC257">
        <v>3.46E-3</v>
      </c>
      <c r="AD257">
        <v>3.4650000000000002E-3</v>
      </c>
      <c r="AE257">
        <v>3.46E-3</v>
      </c>
      <c r="AF257">
        <v>3.4520000000000002E-3</v>
      </c>
      <c r="AG257" s="20">
        <v>1.7999999999999999E-2</v>
      </c>
    </row>
    <row r="258" spans="1:33">
      <c r="A258" t="s">
        <v>204</v>
      </c>
      <c r="B258" t="s">
        <v>2367</v>
      </c>
      <c r="C258" t="s">
        <v>2366</v>
      </c>
      <c r="D258" t="s">
        <v>202</v>
      </c>
      <c r="F258">
        <v>0.94423100000000004</v>
      </c>
      <c r="G258">
        <v>1.365408</v>
      </c>
      <c r="H258">
        <v>1.4345939999999999</v>
      </c>
      <c r="I258">
        <v>1.464623</v>
      </c>
      <c r="J258">
        <v>1.4437329999999999</v>
      </c>
      <c r="K258">
        <v>1.4353499999999999</v>
      </c>
      <c r="L258">
        <v>1.650101</v>
      </c>
      <c r="M258">
        <v>4.0234750000000004</v>
      </c>
      <c r="N258">
        <v>7.0397679999999996</v>
      </c>
      <c r="O258">
        <v>7.0255640000000001</v>
      </c>
      <c r="P258">
        <v>11.163259999999999</v>
      </c>
      <c r="Q258">
        <v>17.926338000000001</v>
      </c>
      <c r="R258">
        <v>25.431442000000001</v>
      </c>
      <c r="S258">
        <v>31.65118</v>
      </c>
      <c r="T258">
        <v>38.719349000000001</v>
      </c>
      <c r="U258">
        <v>46.610855000000001</v>
      </c>
      <c r="V258">
        <v>54.171871000000003</v>
      </c>
      <c r="W258">
        <v>65.451530000000005</v>
      </c>
      <c r="X258">
        <v>75.256614999999996</v>
      </c>
      <c r="Y258">
        <v>83.868813000000003</v>
      </c>
      <c r="Z258">
        <v>88.847701999999998</v>
      </c>
      <c r="AA258">
        <v>93.758324000000002</v>
      </c>
      <c r="AB258">
        <v>97.673721</v>
      </c>
      <c r="AC258">
        <v>103.783997</v>
      </c>
      <c r="AD258">
        <v>109.08074999999999</v>
      </c>
      <c r="AE258">
        <v>113.297623</v>
      </c>
      <c r="AF258">
        <v>116.983017</v>
      </c>
      <c r="AG258" s="20">
        <v>0.20399999999999999</v>
      </c>
    </row>
    <row r="259" spans="1:33">
      <c r="A259" t="s">
        <v>206</v>
      </c>
      <c r="B259" t="s">
        <v>2365</v>
      </c>
      <c r="C259" t="s">
        <v>2364</v>
      </c>
      <c r="D259" t="s">
        <v>202</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t="s">
        <v>15</v>
      </c>
    </row>
    <row r="260" spans="1:33">
      <c r="A260" t="s">
        <v>205</v>
      </c>
      <c r="B260" t="s">
        <v>2363</v>
      </c>
      <c r="C260" t="s">
        <v>2362</v>
      </c>
      <c r="D260" t="s">
        <v>202</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t="s">
        <v>15</v>
      </c>
    </row>
    <row r="261" spans="1:33">
      <c r="A261" t="s">
        <v>207</v>
      </c>
      <c r="B261" t="s">
        <v>2361</v>
      </c>
      <c r="C261" t="s">
        <v>2360</v>
      </c>
      <c r="D261" t="s">
        <v>202</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t="s">
        <v>15</v>
      </c>
    </row>
    <row r="262" spans="1:33">
      <c r="A262" t="s">
        <v>1668</v>
      </c>
      <c r="B262" t="s">
        <v>2359</v>
      </c>
      <c r="C262" t="s">
        <v>2358</v>
      </c>
      <c r="D262" t="s">
        <v>202</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t="s">
        <v>15</v>
      </c>
    </row>
    <row r="263" spans="1:33">
      <c r="A263" t="s">
        <v>1665</v>
      </c>
      <c r="B263" t="s">
        <v>2357</v>
      </c>
      <c r="C263" t="s">
        <v>2356</v>
      </c>
      <c r="D263" t="s">
        <v>202</v>
      </c>
      <c r="F263">
        <v>0</v>
      </c>
      <c r="G263">
        <v>2.0379999999999998</v>
      </c>
      <c r="H263">
        <v>3.3325499999999999</v>
      </c>
      <c r="I263">
        <v>4.9237310000000001</v>
      </c>
      <c r="J263">
        <v>26.281714999999998</v>
      </c>
      <c r="K263">
        <v>54.287185999999998</v>
      </c>
      <c r="L263">
        <v>84.201340000000002</v>
      </c>
      <c r="M263">
        <v>112.861259</v>
      </c>
      <c r="N263">
        <v>141.79293799999999</v>
      </c>
      <c r="O263">
        <v>162.911743</v>
      </c>
      <c r="P263">
        <v>179.93774400000001</v>
      </c>
      <c r="Q263">
        <v>192.76023900000001</v>
      </c>
      <c r="R263">
        <v>199.99612400000001</v>
      </c>
      <c r="S263">
        <v>205.27304100000001</v>
      </c>
      <c r="T263">
        <v>216.36737099999999</v>
      </c>
      <c r="U263">
        <v>229.177155</v>
      </c>
      <c r="V263">
        <v>231.776825</v>
      </c>
      <c r="W263">
        <v>232.09574900000001</v>
      </c>
      <c r="X263">
        <v>233.31234699999999</v>
      </c>
      <c r="Y263">
        <v>235.00767500000001</v>
      </c>
      <c r="Z263">
        <v>235.77676400000001</v>
      </c>
      <c r="AA263">
        <v>234.52491800000001</v>
      </c>
      <c r="AB263">
        <v>233.47456399999999</v>
      </c>
      <c r="AC263">
        <v>232.177063</v>
      </c>
      <c r="AD263">
        <v>230.277771</v>
      </c>
      <c r="AE263">
        <v>228.13374300000001</v>
      </c>
      <c r="AF263">
        <v>225.89794900000001</v>
      </c>
      <c r="AG263" t="s">
        <v>15</v>
      </c>
    </row>
    <row r="264" spans="1:33">
      <c r="A264" t="s">
        <v>1662</v>
      </c>
      <c r="B264" t="s">
        <v>2355</v>
      </c>
      <c r="C264" t="s">
        <v>2354</v>
      </c>
      <c r="D264" t="s">
        <v>202</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15</v>
      </c>
    </row>
    <row r="265" spans="1:33">
      <c r="A265" t="s">
        <v>221</v>
      </c>
      <c r="B265" t="s">
        <v>2353</v>
      </c>
      <c r="C265" t="s">
        <v>2352</v>
      </c>
      <c r="D265" t="s">
        <v>202</v>
      </c>
      <c r="F265">
        <v>218.36299099999999</v>
      </c>
      <c r="G265">
        <v>315.76449600000001</v>
      </c>
      <c r="H265">
        <v>331.76449600000001</v>
      </c>
      <c r="I265">
        <v>338.70901500000002</v>
      </c>
      <c r="J265">
        <v>333.87792999999999</v>
      </c>
      <c r="K265">
        <v>331.958191</v>
      </c>
      <c r="L265">
        <v>331.47467</v>
      </c>
      <c r="M265">
        <v>328.36953699999998</v>
      </c>
      <c r="N265">
        <v>329.76156600000002</v>
      </c>
      <c r="O265">
        <v>335.15133700000001</v>
      </c>
      <c r="P265">
        <v>340.68307499999997</v>
      </c>
      <c r="Q265">
        <v>344.650757</v>
      </c>
      <c r="R265">
        <v>348.52252199999998</v>
      </c>
      <c r="S265">
        <v>352.58496100000002</v>
      </c>
      <c r="T265">
        <v>357.61010700000003</v>
      </c>
      <c r="U265">
        <v>363.27615400000002</v>
      </c>
      <c r="V265">
        <v>367.84466600000002</v>
      </c>
      <c r="W265">
        <v>370.84301799999997</v>
      </c>
      <c r="X265">
        <v>373.680725</v>
      </c>
      <c r="Y265">
        <v>375.94732699999997</v>
      </c>
      <c r="Z265">
        <v>378.958191</v>
      </c>
      <c r="AA265">
        <v>382.14627100000001</v>
      </c>
      <c r="AB265">
        <v>384.421967</v>
      </c>
      <c r="AC265">
        <v>386.62838699999998</v>
      </c>
      <c r="AD265">
        <v>387.21048000000002</v>
      </c>
      <c r="AE265">
        <v>388.30838</v>
      </c>
      <c r="AF265">
        <v>390.23971599999999</v>
      </c>
      <c r="AG265" s="20">
        <v>2.3E-2</v>
      </c>
    </row>
    <row r="266" spans="1:33">
      <c r="A266" t="s">
        <v>222</v>
      </c>
    </row>
    <row r="267" spans="1:33">
      <c r="A267" t="s">
        <v>168</v>
      </c>
      <c r="B267" t="s">
        <v>2351</v>
      </c>
      <c r="C267" t="s">
        <v>2350</v>
      </c>
      <c r="D267" t="s">
        <v>202</v>
      </c>
      <c r="F267">
        <v>98.313300999999996</v>
      </c>
      <c r="G267">
        <v>97.836608999999996</v>
      </c>
      <c r="H267">
        <v>103.452797</v>
      </c>
      <c r="I267">
        <v>107.243362</v>
      </c>
      <c r="J267">
        <v>103.19278</v>
      </c>
      <c r="K267">
        <v>97.216232000000005</v>
      </c>
      <c r="L267">
        <v>92.846428000000003</v>
      </c>
      <c r="M267">
        <v>88.334923000000003</v>
      </c>
      <c r="N267">
        <v>84.694091999999998</v>
      </c>
      <c r="O267">
        <v>82.005225999999993</v>
      </c>
      <c r="P267">
        <v>78.010101000000006</v>
      </c>
      <c r="Q267">
        <v>73.601714999999999</v>
      </c>
      <c r="R267">
        <v>69.995048999999995</v>
      </c>
      <c r="S267">
        <v>66.991837000000004</v>
      </c>
      <c r="T267">
        <v>64.365700000000004</v>
      </c>
      <c r="U267">
        <v>61.897514000000001</v>
      </c>
      <c r="V267">
        <v>59.811084999999999</v>
      </c>
      <c r="W267">
        <v>58.321438000000001</v>
      </c>
      <c r="X267">
        <v>57.454478999999999</v>
      </c>
      <c r="Y267">
        <v>56.892189000000002</v>
      </c>
      <c r="Z267">
        <v>55.89143</v>
      </c>
      <c r="AA267">
        <v>54.660702000000001</v>
      </c>
      <c r="AB267">
        <v>53.547351999999997</v>
      </c>
      <c r="AC267">
        <v>53.545704000000001</v>
      </c>
      <c r="AD267">
        <v>53.922440000000002</v>
      </c>
      <c r="AE267">
        <v>53.735672000000001</v>
      </c>
      <c r="AF267">
        <v>53.022548999999998</v>
      </c>
      <c r="AG267" s="20">
        <v>-2.3E-2</v>
      </c>
    </row>
    <row r="268" spans="1:33">
      <c r="A268" t="s">
        <v>154</v>
      </c>
      <c r="B268" t="s">
        <v>2349</v>
      </c>
      <c r="C268" t="s">
        <v>2348</v>
      </c>
      <c r="D268" t="s">
        <v>202</v>
      </c>
      <c r="F268">
        <v>76.054267999999993</v>
      </c>
      <c r="G268">
        <v>77.454300000000003</v>
      </c>
      <c r="H268">
        <v>83.635658000000006</v>
      </c>
      <c r="I268">
        <v>88.378853000000007</v>
      </c>
      <c r="J268">
        <v>86.513474000000002</v>
      </c>
      <c r="K268">
        <v>82.790276000000006</v>
      </c>
      <c r="L268">
        <v>80.210464000000002</v>
      </c>
      <c r="M268">
        <v>77.315155000000004</v>
      </c>
      <c r="N268">
        <v>75.013228999999995</v>
      </c>
      <c r="O268">
        <v>73.405411000000001</v>
      </c>
      <c r="P268">
        <v>70.518044000000003</v>
      </c>
      <c r="Q268">
        <v>67.130249000000006</v>
      </c>
      <c r="R268">
        <v>64.362808000000001</v>
      </c>
      <c r="S268">
        <v>62.059382999999997</v>
      </c>
      <c r="T268">
        <v>60.030147999999997</v>
      </c>
      <c r="U268">
        <v>58.084083999999997</v>
      </c>
      <c r="V268">
        <v>56.441662000000001</v>
      </c>
      <c r="W268">
        <v>55.317905000000003</v>
      </c>
      <c r="X268">
        <v>54.749245000000002</v>
      </c>
      <c r="Y268">
        <v>54.443297999999999</v>
      </c>
      <c r="Z268">
        <v>53.692692000000001</v>
      </c>
      <c r="AA268">
        <v>52.695610000000002</v>
      </c>
      <c r="AB268">
        <v>51.788212000000001</v>
      </c>
      <c r="AC268">
        <v>51.938023000000001</v>
      </c>
      <c r="AD268">
        <v>52.443145999999999</v>
      </c>
      <c r="AE268">
        <v>52.388401000000002</v>
      </c>
      <c r="AF268">
        <v>51.808399000000001</v>
      </c>
      <c r="AG268" s="20">
        <v>-1.4999999999999999E-2</v>
      </c>
    </row>
    <row r="269" spans="1:33">
      <c r="A269" t="s">
        <v>149</v>
      </c>
      <c r="B269" t="s">
        <v>2347</v>
      </c>
      <c r="C269" t="s">
        <v>2346</v>
      </c>
      <c r="D269" t="s">
        <v>202</v>
      </c>
      <c r="F269">
        <v>1.7719999999999999E-3</v>
      </c>
      <c r="G269">
        <v>1.805E-3</v>
      </c>
      <c r="H269">
        <v>1.934E-3</v>
      </c>
      <c r="I269">
        <v>2.0270000000000002E-3</v>
      </c>
      <c r="J269">
        <v>1.9750000000000002E-3</v>
      </c>
      <c r="K269">
        <v>1.89E-3</v>
      </c>
      <c r="L269">
        <v>1.8389999999999999E-3</v>
      </c>
      <c r="M269">
        <v>1.7930000000000001E-3</v>
      </c>
      <c r="N269">
        <v>1.7730000000000001E-3</v>
      </c>
      <c r="O269">
        <v>1.779E-3</v>
      </c>
      <c r="P269">
        <v>1.774E-3</v>
      </c>
      <c r="Q269">
        <v>1.7669999999999999E-3</v>
      </c>
      <c r="R269">
        <v>1.7769999999999999E-3</v>
      </c>
      <c r="S269">
        <v>1.794E-3</v>
      </c>
      <c r="T269">
        <v>1.805E-3</v>
      </c>
      <c r="U269">
        <v>1.802E-3</v>
      </c>
      <c r="V269">
        <v>1.7899999999999999E-3</v>
      </c>
      <c r="W269">
        <v>1.7799999999999999E-3</v>
      </c>
      <c r="X269">
        <v>1.7799999999999999E-3</v>
      </c>
      <c r="Y269">
        <v>1.7799999999999999E-3</v>
      </c>
      <c r="Z269">
        <v>1.761E-3</v>
      </c>
      <c r="AA269">
        <v>1.7309999999999999E-3</v>
      </c>
      <c r="AB269">
        <v>1.7030000000000001E-3</v>
      </c>
      <c r="AC269">
        <v>1.7080000000000001E-3</v>
      </c>
      <c r="AD269">
        <v>1.7240000000000001E-3</v>
      </c>
      <c r="AE269">
        <v>1.7229999999999999E-3</v>
      </c>
      <c r="AF269">
        <v>1.7030000000000001E-3</v>
      </c>
      <c r="AG269" s="20">
        <v>-2E-3</v>
      </c>
    </row>
    <row r="270" spans="1:33">
      <c r="A270" t="s">
        <v>148</v>
      </c>
      <c r="B270" t="s">
        <v>2345</v>
      </c>
      <c r="C270" t="s">
        <v>2344</v>
      </c>
      <c r="D270" t="s">
        <v>202</v>
      </c>
      <c r="F270">
        <v>2.734982</v>
      </c>
      <c r="G270">
        <v>2.8151139999999999</v>
      </c>
      <c r="H270">
        <v>3.0271919999999999</v>
      </c>
      <c r="I270">
        <v>3.1629010000000002</v>
      </c>
      <c r="J270">
        <v>3.1006689999999999</v>
      </c>
      <c r="K270">
        <v>2.9745460000000001</v>
      </c>
      <c r="L270">
        <v>2.8916620000000002</v>
      </c>
      <c r="M270">
        <v>2.818619</v>
      </c>
      <c r="N270">
        <v>2.7908780000000002</v>
      </c>
      <c r="O270">
        <v>2.8054260000000002</v>
      </c>
      <c r="P270">
        <v>2.799328</v>
      </c>
      <c r="Q270">
        <v>2.78904</v>
      </c>
      <c r="R270">
        <v>2.7893089999999998</v>
      </c>
      <c r="S270">
        <v>2.8199649999999998</v>
      </c>
      <c r="T270">
        <v>2.852411</v>
      </c>
      <c r="U270">
        <v>2.859318</v>
      </c>
      <c r="V270">
        <v>2.8380749999999999</v>
      </c>
      <c r="W270">
        <v>2.8099569999999998</v>
      </c>
      <c r="X270">
        <v>2.8388279999999999</v>
      </c>
      <c r="Y270">
        <v>2.87378</v>
      </c>
      <c r="Z270">
        <v>2.8516379999999999</v>
      </c>
      <c r="AA270">
        <v>2.8105190000000002</v>
      </c>
      <c r="AB270">
        <v>2.7745690000000001</v>
      </c>
      <c r="AC270">
        <v>2.8271250000000001</v>
      </c>
      <c r="AD270">
        <v>2.8986519999999998</v>
      </c>
      <c r="AE270">
        <v>2.9838719999999999</v>
      </c>
      <c r="AF270">
        <v>2.9742109999999999</v>
      </c>
      <c r="AG270" s="20">
        <v>3.0000000000000001E-3</v>
      </c>
    </row>
    <row r="271" spans="1:33">
      <c r="A271" t="s">
        <v>203</v>
      </c>
      <c r="B271" t="s">
        <v>2343</v>
      </c>
      <c r="C271" t="s">
        <v>2342</v>
      </c>
      <c r="D271" t="s">
        <v>202</v>
      </c>
      <c r="F271">
        <v>1.7719999999999999E-3</v>
      </c>
      <c r="G271">
        <v>1.805E-3</v>
      </c>
      <c r="H271">
        <v>1.934E-3</v>
      </c>
      <c r="I271">
        <v>2.0270000000000002E-3</v>
      </c>
      <c r="J271">
        <v>1.9750000000000002E-3</v>
      </c>
      <c r="K271">
        <v>1.89E-3</v>
      </c>
      <c r="L271">
        <v>1.8389999999999999E-3</v>
      </c>
      <c r="M271">
        <v>1.7930000000000001E-3</v>
      </c>
      <c r="N271">
        <v>1.7730000000000001E-3</v>
      </c>
      <c r="O271">
        <v>1.779E-3</v>
      </c>
      <c r="P271">
        <v>1.774E-3</v>
      </c>
      <c r="Q271">
        <v>1.7669999999999999E-3</v>
      </c>
      <c r="R271">
        <v>1.7769999999999999E-3</v>
      </c>
      <c r="S271">
        <v>1.794E-3</v>
      </c>
      <c r="T271">
        <v>1.805E-3</v>
      </c>
      <c r="U271">
        <v>1.802E-3</v>
      </c>
      <c r="V271">
        <v>1.7899999999999999E-3</v>
      </c>
      <c r="W271">
        <v>1.7799999999999999E-3</v>
      </c>
      <c r="X271">
        <v>1.7799999999999999E-3</v>
      </c>
      <c r="Y271">
        <v>1.7799999999999999E-3</v>
      </c>
      <c r="Z271">
        <v>1.761E-3</v>
      </c>
      <c r="AA271">
        <v>1.7309999999999999E-3</v>
      </c>
      <c r="AB271">
        <v>1.7030000000000001E-3</v>
      </c>
      <c r="AC271">
        <v>1.7080000000000001E-3</v>
      </c>
      <c r="AD271">
        <v>1.7240000000000001E-3</v>
      </c>
      <c r="AE271">
        <v>1.7229999999999999E-3</v>
      </c>
      <c r="AF271">
        <v>1.7030000000000001E-3</v>
      </c>
      <c r="AG271" s="20">
        <v>-2E-3</v>
      </c>
    </row>
    <row r="272" spans="1:33">
      <c r="A272" t="s">
        <v>204</v>
      </c>
      <c r="B272" t="s">
        <v>2341</v>
      </c>
      <c r="C272" t="s">
        <v>2340</v>
      </c>
      <c r="D272" t="s">
        <v>202</v>
      </c>
      <c r="F272">
        <v>0.113667</v>
      </c>
      <c r="G272">
        <v>0.115771</v>
      </c>
      <c r="H272">
        <v>0.12402299999999999</v>
      </c>
      <c r="I272">
        <v>0.12998299999999999</v>
      </c>
      <c r="J272">
        <v>0.126668</v>
      </c>
      <c r="K272">
        <v>0.121198</v>
      </c>
      <c r="L272">
        <v>0.117975</v>
      </c>
      <c r="M272">
        <v>0.114995</v>
      </c>
      <c r="N272">
        <v>0.113729</v>
      </c>
      <c r="O272">
        <v>0.11407299999999999</v>
      </c>
      <c r="P272">
        <v>0.113798</v>
      </c>
      <c r="Q272">
        <v>0.113326</v>
      </c>
      <c r="R272">
        <v>0.113995</v>
      </c>
      <c r="S272">
        <v>0.115079</v>
      </c>
      <c r="T272">
        <v>0.115797</v>
      </c>
      <c r="U272">
        <v>0.115552</v>
      </c>
      <c r="V272">
        <v>0.1148</v>
      </c>
      <c r="W272">
        <v>0.11419799999999999</v>
      </c>
      <c r="X272">
        <v>0.114139</v>
      </c>
      <c r="Y272">
        <v>0.114187</v>
      </c>
      <c r="Z272">
        <v>0.11297699999999999</v>
      </c>
      <c r="AA272">
        <v>0.111053</v>
      </c>
      <c r="AB272">
        <v>0.10920299999999999</v>
      </c>
      <c r="AC272">
        <v>0.10954899999999999</v>
      </c>
      <c r="AD272">
        <v>0.11060499999999999</v>
      </c>
      <c r="AE272">
        <v>0.110504</v>
      </c>
      <c r="AF272">
        <v>0.109221</v>
      </c>
      <c r="AG272" s="20">
        <v>-2E-3</v>
      </c>
    </row>
    <row r="273" spans="1:33">
      <c r="A273" t="s">
        <v>206</v>
      </c>
      <c r="B273" t="s">
        <v>2339</v>
      </c>
      <c r="C273" t="s">
        <v>2338</v>
      </c>
      <c r="D273" t="s">
        <v>202</v>
      </c>
      <c r="F273">
        <v>0</v>
      </c>
      <c r="G273">
        <v>0</v>
      </c>
      <c r="H273">
        <v>0.122118</v>
      </c>
      <c r="I273">
        <v>0.193159</v>
      </c>
      <c r="J273">
        <v>0.31195200000000001</v>
      </c>
      <c r="K273">
        <v>0.412692</v>
      </c>
      <c r="L273">
        <v>0.48345900000000003</v>
      </c>
      <c r="M273">
        <v>0.55136799999999997</v>
      </c>
      <c r="N273">
        <v>0.58849499999999999</v>
      </c>
      <c r="O273">
        <v>0</v>
      </c>
      <c r="P273">
        <v>0</v>
      </c>
      <c r="Q273">
        <v>0</v>
      </c>
      <c r="R273">
        <v>0</v>
      </c>
      <c r="S273">
        <v>0</v>
      </c>
      <c r="T273">
        <v>0</v>
      </c>
      <c r="U273">
        <v>0</v>
      </c>
      <c r="V273">
        <v>0</v>
      </c>
      <c r="W273">
        <v>0</v>
      </c>
      <c r="X273">
        <v>0</v>
      </c>
      <c r="Y273">
        <v>0</v>
      </c>
      <c r="Z273">
        <v>0</v>
      </c>
      <c r="AA273">
        <v>0</v>
      </c>
      <c r="AB273">
        <v>0</v>
      </c>
      <c r="AC273">
        <v>0</v>
      </c>
      <c r="AD273">
        <v>0</v>
      </c>
      <c r="AE273">
        <v>0</v>
      </c>
      <c r="AF273">
        <v>0</v>
      </c>
      <c r="AG273" t="s">
        <v>15</v>
      </c>
    </row>
    <row r="274" spans="1:33">
      <c r="A274" t="s">
        <v>205</v>
      </c>
      <c r="B274" t="s">
        <v>2337</v>
      </c>
      <c r="C274" t="s">
        <v>2336</v>
      </c>
      <c r="D274" t="s">
        <v>202</v>
      </c>
      <c r="F274">
        <v>0</v>
      </c>
      <c r="G274">
        <v>0.56174199999999996</v>
      </c>
      <c r="H274">
        <v>0.65029199999999998</v>
      </c>
      <c r="I274">
        <v>0.331312</v>
      </c>
      <c r="J274">
        <v>6.5602999999999995E-2</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t="s">
        <v>15</v>
      </c>
    </row>
    <row r="275" spans="1:33">
      <c r="A275" t="s">
        <v>207</v>
      </c>
      <c r="B275" t="s">
        <v>2335</v>
      </c>
      <c r="C275" t="s">
        <v>2334</v>
      </c>
      <c r="D275" t="s">
        <v>202</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15</v>
      </c>
    </row>
    <row r="276" spans="1:33">
      <c r="A276" t="s">
        <v>1668</v>
      </c>
      <c r="B276" t="s">
        <v>2333</v>
      </c>
      <c r="C276" t="s">
        <v>2332</v>
      </c>
      <c r="D276" t="s">
        <v>202</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t="s">
        <v>15</v>
      </c>
    </row>
    <row r="277" spans="1:33">
      <c r="A277" t="s">
        <v>1665</v>
      </c>
      <c r="B277" t="s">
        <v>2331</v>
      </c>
      <c r="C277" t="s">
        <v>2330</v>
      </c>
      <c r="D277" t="s">
        <v>202</v>
      </c>
      <c r="F277">
        <v>0</v>
      </c>
      <c r="G277">
        <v>1.7135560000000001</v>
      </c>
      <c r="H277">
        <v>2.350819</v>
      </c>
      <c r="I277">
        <v>3.2148279999999998</v>
      </c>
      <c r="J277">
        <v>4.1746100000000004</v>
      </c>
      <c r="K277">
        <v>5.4425470000000002</v>
      </c>
      <c r="L277">
        <v>7.3824759999999996</v>
      </c>
      <c r="M277">
        <v>10.151320999999999</v>
      </c>
      <c r="N277">
        <v>14.112121999999999</v>
      </c>
      <c r="O277">
        <v>19.519396</v>
      </c>
      <c r="P277">
        <v>25.979019000000001</v>
      </c>
      <c r="Q277">
        <v>33.050400000000003</v>
      </c>
      <c r="R277">
        <v>40.467086999999999</v>
      </c>
      <c r="S277">
        <v>47.431865999999999</v>
      </c>
      <c r="T277">
        <v>53.173378</v>
      </c>
      <c r="U277">
        <v>57.198608</v>
      </c>
      <c r="V277">
        <v>59.776516000000001</v>
      </c>
      <c r="W277">
        <v>61.481461000000003</v>
      </c>
      <c r="X277">
        <v>62.795741999999997</v>
      </c>
      <c r="Y277">
        <v>63.703178000000001</v>
      </c>
      <c r="Z277">
        <v>63.591166999999999</v>
      </c>
      <c r="AA277">
        <v>62.862864999999999</v>
      </c>
      <c r="AB277">
        <v>62.037998000000002</v>
      </c>
      <c r="AC277">
        <v>62.375670999999997</v>
      </c>
      <c r="AD277">
        <v>63.0672</v>
      </c>
      <c r="AE277">
        <v>63.067070000000001</v>
      </c>
      <c r="AF277">
        <v>62.370319000000002</v>
      </c>
      <c r="AG277" t="s">
        <v>15</v>
      </c>
    </row>
    <row r="278" spans="1:33">
      <c r="A278" t="s">
        <v>1662</v>
      </c>
      <c r="B278" t="s">
        <v>2329</v>
      </c>
      <c r="C278" t="s">
        <v>2328</v>
      </c>
      <c r="D278" t="s">
        <v>202</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15</v>
      </c>
    </row>
    <row r="279" spans="1:33">
      <c r="A279" t="s">
        <v>223</v>
      </c>
      <c r="B279" t="s">
        <v>2327</v>
      </c>
      <c r="C279" t="s">
        <v>2326</v>
      </c>
      <c r="D279" t="s">
        <v>202</v>
      </c>
      <c r="F279">
        <v>177.219742</v>
      </c>
      <c r="G279">
        <v>180.500732</v>
      </c>
      <c r="H279">
        <v>193.36677599999999</v>
      </c>
      <c r="I279">
        <v>202.658447</v>
      </c>
      <c r="J279">
        <v>197.48968500000001</v>
      </c>
      <c r="K279">
        <v>188.96127300000001</v>
      </c>
      <c r="L279">
        <v>183.93614199999999</v>
      </c>
      <c r="M279">
        <v>179.28994800000001</v>
      </c>
      <c r="N279">
        <v>177.31608600000001</v>
      </c>
      <c r="O279">
        <v>177.85307299999999</v>
      </c>
      <c r="P279">
        <v>177.42384300000001</v>
      </c>
      <c r="Q279">
        <v>176.68826300000001</v>
      </c>
      <c r="R279">
        <v>177.73182700000001</v>
      </c>
      <c r="S279">
        <v>179.42169200000001</v>
      </c>
      <c r="T279">
        <v>180.54106100000001</v>
      </c>
      <c r="U279">
        <v>180.158661</v>
      </c>
      <c r="V279">
        <v>178.98571799999999</v>
      </c>
      <c r="W279">
        <v>178.04853800000001</v>
      </c>
      <c r="X279">
        <v>177.955994</v>
      </c>
      <c r="Y279">
        <v>178.03021200000001</v>
      </c>
      <c r="Z279">
        <v>176.14343299999999</v>
      </c>
      <c r="AA279">
        <v>173.144226</v>
      </c>
      <c r="AB279">
        <v>170.26071200000001</v>
      </c>
      <c r="AC279">
        <v>170.79948400000001</v>
      </c>
      <c r="AD279">
        <v>172.44551100000001</v>
      </c>
      <c r="AE279">
        <v>172.288971</v>
      </c>
      <c r="AF279">
        <v>170.28810100000001</v>
      </c>
      <c r="AG279" s="20">
        <v>-2E-3</v>
      </c>
    </row>
    <row r="280" spans="1:33">
      <c r="A280" t="s">
        <v>224</v>
      </c>
    </row>
    <row r="281" spans="1:33">
      <c r="A281" t="s">
        <v>168</v>
      </c>
      <c r="B281" t="s">
        <v>2325</v>
      </c>
      <c r="C281" t="s">
        <v>2324</v>
      </c>
      <c r="D281" t="s">
        <v>202</v>
      </c>
      <c r="F281">
        <v>307.59622200000001</v>
      </c>
      <c r="G281">
        <v>313.02185100000003</v>
      </c>
      <c r="H281">
        <v>335.22216800000001</v>
      </c>
      <c r="I281">
        <v>351.56460600000003</v>
      </c>
      <c r="J281">
        <v>342.586029</v>
      </c>
      <c r="K281">
        <v>327.72351099999997</v>
      </c>
      <c r="L281">
        <v>318.936554</v>
      </c>
      <c r="M281">
        <v>310.78518700000001</v>
      </c>
      <c r="N281">
        <v>307.22323599999999</v>
      </c>
      <c r="O281">
        <v>308.72027600000001</v>
      </c>
      <c r="P281">
        <v>307.94979899999998</v>
      </c>
      <c r="Q281">
        <v>306.63226300000002</v>
      </c>
      <c r="R281">
        <v>308.43292200000002</v>
      </c>
      <c r="S281">
        <v>311.27868699999999</v>
      </c>
      <c r="T281">
        <v>313.22674599999999</v>
      </c>
      <c r="U281">
        <v>312.47369400000002</v>
      </c>
      <c r="V281">
        <v>310.26293900000002</v>
      </c>
      <c r="W281">
        <v>308.45281999999997</v>
      </c>
      <c r="X281">
        <v>308.23263500000002</v>
      </c>
      <c r="Y281">
        <v>308.30825800000002</v>
      </c>
      <c r="Z281">
        <v>304.84274299999998</v>
      </c>
      <c r="AA281">
        <v>299.50528000000003</v>
      </c>
      <c r="AB281">
        <v>294.25860599999999</v>
      </c>
      <c r="AC281">
        <v>294.85919200000001</v>
      </c>
      <c r="AD281">
        <v>297.13476600000001</v>
      </c>
      <c r="AE281">
        <v>296.41198700000001</v>
      </c>
      <c r="AF281">
        <v>292.27603099999999</v>
      </c>
      <c r="AG281" s="20">
        <v>-2E-3</v>
      </c>
    </row>
    <row r="282" spans="1:33">
      <c r="A282" t="s">
        <v>154</v>
      </c>
      <c r="B282" t="s">
        <v>2323</v>
      </c>
      <c r="C282" t="s">
        <v>2322</v>
      </c>
      <c r="D282" t="s">
        <v>202</v>
      </c>
      <c r="F282">
        <v>0.164275</v>
      </c>
      <c r="G282">
        <v>0.16734399999999999</v>
      </c>
      <c r="H282">
        <v>0.17882999999999999</v>
      </c>
      <c r="I282">
        <v>0.18709799999999999</v>
      </c>
      <c r="J282">
        <v>0.18209800000000001</v>
      </c>
      <c r="K282">
        <v>0.173901</v>
      </c>
      <c r="L282">
        <v>0.16891500000000001</v>
      </c>
      <c r="M282">
        <v>0.16417200000000001</v>
      </c>
      <c r="N282">
        <v>0.16173799999999999</v>
      </c>
      <c r="O282">
        <v>0.16499900000000001</v>
      </c>
      <c r="P282">
        <v>0.164607</v>
      </c>
      <c r="Q282">
        <v>0.16392899999999999</v>
      </c>
      <c r="R282">
        <v>0.16490099999999999</v>
      </c>
      <c r="S282">
        <v>0.16647300000000001</v>
      </c>
      <c r="T282">
        <v>0.167514</v>
      </c>
      <c r="U282">
        <v>0.16716200000000001</v>
      </c>
      <c r="V282">
        <v>0.166076</v>
      </c>
      <c r="W282">
        <v>0.16520799999999999</v>
      </c>
      <c r="X282">
        <v>0.16512299999999999</v>
      </c>
      <c r="Y282">
        <v>0.16519300000000001</v>
      </c>
      <c r="Z282">
        <v>0.16344400000000001</v>
      </c>
      <c r="AA282">
        <v>0.160662</v>
      </c>
      <c r="AB282">
        <v>0.15798699999999999</v>
      </c>
      <c r="AC282">
        <v>0.15848699999999999</v>
      </c>
      <c r="AD282">
        <v>0.16001499999999999</v>
      </c>
      <c r="AE282">
        <v>0.15987000000000001</v>
      </c>
      <c r="AF282">
        <v>0.15801000000000001</v>
      </c>
      <c r="AG282" s="20">
        <v>-1E-3</v>
      </c>
    </row>
    <row r="283" spans="1:33">
      <c r="A283" t="s">
        <v>149</v>
      </c>
      <c r="B283" t="s">
        <v>2321</v>
      </c>
      <c r="C283" t="s">
        <v>2320</v>
      </c>
      <c r="D283" t="s">
        <v>202</v>
      </c>
      <c r="F283">
        <v>0.15823000000000001</v>
      </c>
      <c r="G283">
        <v>0.161159</v>
      </c>
      <c r="H283">
        <v>0.17264699999999999</v>
      </c>
      <c r="I283">
        <v>0.18094299999999999</v>
      </c>
      <c r="J283">
        <v>0.17632800000000001</v>
      </c>
      <c r="K283">
        <v>0.168714</v>
      </c>
      <c r="L283">
        <v>0.16422700000000001</v>
      </c>
      <c r="M283">
        <v>0.160079</v>
      </c>
      <c r="N283">
        <v>0.15831600000000001</v>
      </c>
      <c r="O283">
        <v>0.15879699999999999</v>
      </c>
      <c r="P283">
        <v>0.158414</v>
      </c>
      <c r="Q283">
        <v>0.15775800000000001</v>
      </c>
      <c r="R283">
        <v>0.158689</v>
      </c>
      <c r="S283">
        <v>0.16019800000000001</v>
      </c>
      <c r="T283">
        <v>0.16119800000000001</v>
      </c>
      <c r="U283">
        <v>0.160856</v>
      </c>
      <c r="V283">
        <v>0.15980900000000001</v>
      </c>
      <c r="W283">
        <v>0.158972</v>
      </c>
      <c r="X283">
        <v>0.158889</v>
      </c>
      <c r="Y283">
        <v>0.15895599999999999</v>
      </c>
      <c r="Z283">
        <v>0.15727099999999999</v>
      </c>
      <c r="AA283">
        <v>0.15459300000000001</v>
      </c>
      <c r="AB283">
        <v>0.15201799999999999</v>
      </c>
      <c r="AC283">
        <v>0.152499</v>
      </c>
      <c r="AD283">
        <v>0.15396799999999999</v>
      </c>
      <c r="AE283">
        <v>0.15382799999999999</v>
      </c>
      <c r="AF283">
        <v>0.15203900000000001</v>
      </c>
      <c r="AG283" s="20">
        <v>-2E-3</v>
      </c>
    </row>
    <row r="284" spans="1:33">
      <c r="A284" t="s">
        <v>148</v>
      </c>
      <c r="B284" t="s">
        <v>2319</v>
      </c>
      <c r="C284" t="s">
        <v>2318</v>
      </c>
      <c r="D284" t="s">
        <v>202</v>
      </c>
      <c r="F284">
        <v>4.9517290000000003</v>
      </c>
      <c r="G284">
        <v>5.312443</v>
      </c>
      <c r="H284">
        <v>5.6818520000000001</v>
      </c>
      <c r="I284">
        <v>5.6170330000000002</v>
      </c>
      <c r="J284">
        <v>5.4386429999999999</v>
      </c>
      <c r="K284">
        <v>5.203786</v>
      </c>
      <c r="L284">
        <v>5.0673890000000004</v>
      </c>
      <c r="M284">
        <v>4.9440660000000003</v>
      </c>
      <c r="N284">
        <v>4.9118769999999996</v>
      </c>
      <c r="O284">
        <v>4.9445069999999998</v>
      </c>
      <c r="P284">
        <v>4.9579420000000001</v>
      </c>
      <c r="Q284">
        <v>4.9781510000000004</v>
      </c>
      <c r="R284">
        <v>5.0178739999999999</v>
      </c>
      <c r="S284">
        <v>5.1524660000000004</v>
      </c>
      <c r="T284">
        <v>5.1785119999999996</v>
      </c>
      <c r="U284">
        <v>5.2572320000000001</v>
      </c>
      <c r="V284">
        <v>5.3993229999999999</v>
      </c>
      <c r="W284">
        <v>5.556578</v>
      </c>
      <c r="X284">
        <v>5.6135780000000004</v>
      </c>
      <c r="Y284">
        <v>5.6688020000000003</v>
      </c>
      <c r="Z284">
        <v>5.8067770000000003</v>
      </c>
      <c r="AA284">
        <v>5.8547640000000003</v>
      </c>
      <c r="AB284">
        <v>6.0161300000000004</v>
      </c>
      <c r="AC284">
        <v>6.3656329999999999</v>
      </c>
      <c r="AD284">
        <v>6.993036</v>
      </c>
      <c r="AE284">
        <v>7.4397250000000001</v>
      </c>
      <c r="AF284">
        <v>8.0469609999999996</v>
      </c>
      <c r="AG284" s="20">
        <v>1.9E-2</v>
      </c>
    </row>
    <row r="285" spans="1:33">
      <c r="A285" t="s">
        <v>203</v>
      </c>
      <c r="B285" t="s">
        <v>2317</v>
      </c>
      <c r="C285" t="s">
        <v>2316</v>
      </c>
      <c r="D285" t="s">
        <v>202</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t="s">
        <v>15</v>
      </c>
    </row>
    <row r="286" spans="1:33">
      <c r="A286" t="s">
        <v>204</v>
      </c>
      <c r="B286" t="s">
        <v>2315</v>
      </c>
      <c r="C286" t="s">
        <v>2314</v>
      </c>
      <c r="D286" t="s">
        <v>202</v>
      </c>
      <c r="F286">
        <v>0.73615900000000001</v>
      </c>
      <c r="G286">
        <v>0.74978900000000004</v>
      </c>
      <c r="H286">
        <v>0.80323500000000003</v>
      </c>
      <c r="I286">
        <v>0.84183300000000005</v>
      </c>
      <c r="J286">
        <v>0.82036399999999998</v>
      </c>
      <c r="K286">
        <v>0.78493800000000002</v>
      </c>
      <c r="L286">
        <v>0.76406399999999997</v>
      </c>
      <c r="M286">
        <v>0.74476500000000001</v>
      </c>
      <c r="N286">
        <v>0.73656500000000003</v>
      </c>
      <c r="O286">
        <v>0.73880100000000004</v>
      </c>
      <c r="P286">
        <v>0.73701899999999998</v>
      </c>
      <c r="Q286">
        <v>0.73396300000000003</v>
      </c>
      <c r="R286">
        <v>0.73829800000000001</v>
      </c>
      <c r="S286">
        <v>0.74531800000000004</v>
      </c>
      <c r="T286">
        <v>0.74996799999999997</v>
      </c>
      <c r="U286">
        <v>0.74838000000000005</v>
      </c>
      <c r="V286">
        <v>0.74350700000000003</v>
      </c>
      <c r="W286">
        <v>0.73961399999999999</v>
      </c>
      <c r="X286">
        <v>0.73922500000000002</v>
      </c>
      <c r="Y286">
        <v>0.73953599999999997</v>
      </c>
      <c r="Z286">
        <v>0.73169799999999996</v>
      </c>
      <c r="AA286">
        <v>0.71923599999999999</v>
      </c>
      <c r="AB286">
        <v>0.70725899999999997</v>
      </c>
      <c r="AC286">
        <v>0.70949399999999996</v>
      </c>
      <c r="AD286">
        <v>0.71632700000000005</v>
      </c>
      <c r="AE286">
        <v>0.71567499999999995</v>
      </c>
      <c r="AF286">
        <v>0.70735400000000004</v>
      </c>
      <c r="AG286" s="20">
        <v>-2E-3</v>
      </c>
    </row>
    <row r="287" spans="1:33">
      <c r="A287" t="s">
        <v>206</v>
      </c>
      <c r="B287" t="s">
        <v>2313</v>
      </c>
      <c r="C287" t="s">
        <v>2312</v>
      </c>
      <c r="D287" t="s">
        <v>202</v>
      </c>
      <c r="F287">
        <v>0</v>
      </c>
      <c r="G287">
        <v>0</v>
      </c>
      <c r="H287">
        <v>0.121547</v>
      </c>
      <c r="I287">
        <v>0.23117199999999999</v>
      </c>
      <c r="J287">
        <v>0.2727</v>
      </c>
      <c r="K287">
        <v>0.32945400000000002</v>
      </c>
      <c r="L287">
        <v>0.39071099999999997</v>
      </c>
      <c r="M287">
        <v>0.47172500000000001</v>
      </c>
      <c r="N287">
        <v>0.58538199999999996</v>
      </c>
      <c r="O287">
        <v>0</v>
      </c>
      <c r="P287">
        <v>0</v>
      </c>
      <c r="Q287">
        <v>0</v>
      </c>
      <c r="R287">
        <v>0</v>
      </c>
      <c r="S287">
        <v>0</v>
      </c>
      <c r="T287">
        <v>0</v>
      </c>
      <c r="U287">
        <v>0</v>
      </c>
      <c r="V287">
        <v>0</v>
      </c>
      <c r="W287">
        <v>0</v>
      </c>
      <c r="X287">
        <v>0</v>
      </c>
      <c r="Y287">
        <v>0</v>
      </c>
      <c r="Z287">
        <v>0</v>
      </c>
      <c r="AA287">
        <v>0</v>
      </c>
      <c r="AB287">
        <v>0</v>
      </c>
      <c r="AC287">
        <v>0</v>
      </c>
      <c r="AD287">
        <v>0</v>
      </c>
      <c r="AE287">
        <v>0</v>
      </c>
      <c r="AF287">
        <v>0</v>
      </c>
      <c r="AG287" t="s">
        <v>15</v>
      </c>
    </row>
    <row r="288" spans="1:33">
      <c r="A288" t="s">
        <v>205</v>
      </c>
      <c r="B288" t="s">
        <v>2311</v>
      </c>
      <c r="C288" t="s">
        <v>2310</v>
      </c>
      <c r="D288" t="s">
        <v>202</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c r="AE288">
        <v>0</v>
      </c>
      <c r="AF288">
        <v>0</v>
      </c>
      <c r="AG288" t="s">
        <v>15</v>
      </c>
    </row>
    <row r="289" spans="1:33">
      <c r="A289" t="s">
        <v>207</v>
      </c>
      <c r="B289" t="s">
        <v>2309</v>
      </c>
      <c r="C289" t="s">
        <v>2308</v>
      </c>
      <c r="D289" t="s">
        <v>202</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c r="AE289">
        <v>0</v>
      </c>
      <c r="AF289">
        <v>0</v>
      </c>
      <c r="AG289" t="s">
        <v>15</v>
      </c>
    </row>
    <row r="290" spans="1:33">
      <c r="A290" t="s">
        <v>1668</v>
      </c>
      <c r="B290" t="s">
        <v>2307</v>
      </c>
      <c r="C290" t="s">
        <v>2306</v>
      </c>
      <c r="D290" t="s">
        <v>202</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15</v>
      </c>
    </row>
    <row r="291" spans="1:33">
      <c r="A291" t="s">
        <v>1665</v>
      </c>
      <c r="B291" t="s">
        <v>2305</v>
      </c>
      <c r="C291" t="s">
        <v>2304</v>
      </c>
      <c r="D291" t="s">
        <v>202</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15</v>
      </c>
    </row>
    <row r="292" spans="1:33">
      <c r="A292" t="s">
        <v>1662</v>
      </c>
      <c r="B292" t="s">
        <v>2303</v>
      </c>
      <c r="C292" t="s">
        <v>2302</v>
      </c>
      <c r="D292" t="s">
        <v>202</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15</v>
      </c>
    </row>
    <row r="293" spans="1:33">
      <c r="A293" t="s">
        <v>225</v>
      </c>
      <c r="B293" t="s">
        <v>2301</v>
      </c>
      <c r="C293" t="s">
        <v>2300</v>
      </c>
      <c r="D293" t="s">
        <v>202</v>
      </c>
      <c r="F293">
        <v>313.60665899999998</v>
      </c>
      <c r="G293">
        <v>319.41256700000002</v>
      </c>
      <c r="H293">
        <v>342.18023699999998</v>
      </c>
      <c r="I293">
        <v>358.62271099999998</v>
      </c>
      <c r="J293">
        <v>349.476135</v>
      </c>
      <c r="K293">
        <v>334.38430799999998</v>
      </c>
      <c r="L293">
        <v>325.49188199999998</v>
      </c>
      <c r="M293">
        <v>317.27001999999999</v>
      </c>
      <c r="N293">
        <v>313.77713</v>
      </c>
      <c r="O293">
        <v>314.72732500000001</v>
      </c>
      <c r="P293">
        <v>313.967804</v>
      </c>
      <c r="Q293">
        <v>312.66604599999999</v>
      </c>
      <c r="R293">
        <v>314.51275600000002</v>
      </c>
      <c r="S293">
        <v>317.50311299999998</v>
      </c>
      <c r="T293">
        <v>319.483948</v>
      </c>
      <c r="U293">
        <v>318.80731200000002</v>
      </c>
      <c r="V293">
        <v>316.731628</v>
      </c>
      <c r="W293">
        <v>315.07318099999998</v>
      </c>
      <c r="X293">
        <v>314.909424</v>
      </c>
      <c r="Y293">
        <v>315.04077100000001</v>
      </c>
      <c r="Z293">
        <v>311.70193499999999</v>
      </c>
      <c r="AA293">
        <v>306.39459199999999</v>
      </c>
      <c r="AB293">
        <v>301.29199199999999</v>
      </c>
      <c r="AC293">
        <v>302.245361</v>
      </c>
      <c r="AD293">
        <v>305.15811200000002</v>
      </c>
      <c r="AE293">
        <v>304.88110399999999</v>
      </c>
      <c r="AF293">
        <v>301.34033199999999</v>
      </c>
      <c r="AG293" s="20">
        <v>-2E-3</v>
      </c>
    </row>
    <row r="294" spans="1:33">
      <c r="A294" t="s">
        <v>240</v>
      </c>
      <c r="B294" t="s">
        <v>2299</v>
      </c>
      <c r="C294" t="s">
        <v>2298</v>
      </c>
      <c r="D294" t="s">
        <v>202</v>
      </c>
      <c r="F294">
        <v>709.18963599999995</v>
      </c>
      <c r="G294">
        <v>815.67779499999995</v>
      </c>
      <c r="H294">
        <v>867.31158400000004</v>
      </c>
      <c r="I294">
        <v>899.99011199999995</v>
      </c>
      <c r="J294">
        <v>880.84381099999996</v>
      </c>
      <c r="K294">
        <v>855.30389400000001</v>
      </c>
      <c r="L294">
        <v>840.902649</v>
      </c>
      <c r="M294">
        <v>824.92938200000003</v>
      </c>
      <c r="N294">
        <v>820.85467500000004</v>
      </c>
      <c r="O294">
        <v>827.73187299999995</v>
      </c>
      <c r="P294">
        <v>832.07470699999999</v>
      </c>
      <c r="Q294">
        <v>834.00494400000002</v>
      </c>
      <c r="R294">
        <v>840.76702899999998</v>
      </c>
      <c r="S294">
        <v>849.50982699999997</v>
      </c>
      <c r="T294">
        <v>857.63500999999997</v>
      </c>
      <c r="U294">
        <v>862.24194299999999</v>
      </c>
      <c r="V294">
        <v>863.56207300000005</v>
      </c>
      <c r="W294">
        <v>863.96466099999998</v>
      </c>
      <c r="X294">
        <v>866.54614300000003</v>
      </c>
      <c r="Y294">
        <v>869.01824999999997</v>
      </c>
      <c r="Z294">
        <v>866.80364999999995</v>
      </c>
      <c r="AA294">
        <v>861.68536400000005</v>
      </c>
      <c r="AB294">
        <v>855.97473100000002</v>
      </c>
      <c r="AC294">
        <v>859.67327899999998</v>
      </c>
      <c r="AD294">
        <v>864.81408699999997</v>
      </c>
      <c r="AE294">
        <v>865.47839399999998</v>
      </c>
      <c r="AF294">
        <v>861.86840800000004</v>
      </c>
      <c r="AG294" s="20">
        <v>8.0000000000000002E-3</v>
      </c>
    </row>
    <row r="295" spans="1:33">
      <c r="A295" t="s">
        <v>24</v>
      </c>
    </row>
    <row r="296" spans="1:33">
      <c r="A296" t="s">
        <v>241</v>
      </c>
      <c r="B296" t="s">
        <v>2297</v>
      </c>
      <c r="C296" t="s">
        <v>2296</v>
      </c>
      <c r="D296" t="s">
        <v>242</v>
      </c>
      <c r="F296">
        <v>1464.855225</v>
      </c>
      <c r="G296">
        <v>1498.5776370000001</v>
      </c>
      <c r="H296">
        <v>1462.373169</v>
      </c>
      <c r="I296">
        <v>1413.733154</v>
      </c>
      <c r="J296">
        <v>1414.115112</v>
      </c>
      <c r="K296">
        <v>1410.565186</v>
      </c>
      <c r="L296">
        <v>1369.7414550000001</v>
      </c>
      <c r="M296">
        <v>1370.1805420000001</v>
      </c>
      <c r="N296">
        <v>1305.8111570000001</v>
      </c>
      <c r="O296">
        <v>1312.2113039999999</v>
      </c>
      <c r="P296">
        <v>1299.8524170000001</v>
      </c>
      <c r="Q296">
        <v>1300.4210210000001</v>
      </c>
      <c r="R296">
        <v>1305.7510990000001</v>
      </c>
      <c r="S296">
        <v>1312.3923339999999</v>
      </c>
      <c r="T296">
        <v>1330.286621</v>
      </c>
      <c r="U296">
        <v>1321.974976</v>
      </c>
      <c r="V296">
        <v>1328.3294679999999</v>
      </c>
      <c r="W296">
        <v>1330.294678</v>
      </c>
      <c r="X296">
        <v>1337.347534</v>
      </c>
      <c r="Y296">
        <v>1345.204712</v>
      </c>
      <c r="Z296">
        <v>1349.7685550000001</v>
      </c>
      <c r="AA296">
        <v>1354.558716</v>
      </c>
      <c r="AB296">
        <v>1355.6860349999999</v>
      </c>
      <c r="AC296">
        <v>1370.355591</v>
      </c>
      <c r="AD296">
        <v>1382.527466</v>
      </c>
      <c r="AE296">
        <v>1392.701904</v>
      </c>
      <c r="AF296">
        <v>1397.21228</v>
      </c>
      <c r="AG296" s="20">
        <v>-2E-3</v>
      </c>
    </row>
    <row r="297" spans="1:33">
      <c r="A297" t="s">
        <v>243</v>
      </c>
      <c r="B297" t="s">
        <v>2295</v>
      </c>
      <c r="C297" t="s">
        <v>2294</v>
      </c>
      <c r="D297" t="s">
        <v>2185</v>
      </c>
      <c r="F297">
        <v>3.3734500000000001</v>
      </c>
      <c r="G297">
        <v>3.3770099999999998</v>
      </c>
      <c r="H297">
        <v>3.3805740000000002</v>
      </c>
      <c r="I297">
        <v>3.3841420000000002</v>
      </c>
      <c r="J297">
        <v>3.3877130000000002</v>
      </c>
      <c r="K297">
        <v>3.391289</v>
      </c>
      <c r="L297">
        <v>3.3948680000000002</v>
      </c>
      <c r="M297">
        <v>3.3984510000000001</v>
      </c>
      <c r="N297">
        <v>3.402037</v>
      </c>
      <c r="O297">
        <v>3.4056280000000001</v>
      </c>
      <c r="P297">
        <v>3.4092220000000002</v>
      </c>
      <c r="Q297">
        <v>3.41282</v>
      </c>
      <c r="R297">
        <v>3.4164219999999998</v>
      </c>
      <c r="S297">
        <v>3.4200270000000002</v>
      </c>
      <c r="T297">
        <v>3.4236369999999998</v>
      </c>
      <c r="U297">
        <v>3.4272499999999999</v>
      </c>
      <c r="V297">
        <v>3.4308670000000001</v>
      </c>
      <c r="W297">
        <v>3.434488</v>
      </c>
      <c r="X297">
        <v>3.438113</v>
      </c>
      <c r="Y297">
        <v>3.4417409999999999</v>
      </c>
      <c r="Z297">
        <v>3.445373</v>
      </c>
      <c r="AA297">
        <v>3.4490099999999999</v>
      </c>
      <c r="AB297">
        <v>3.4526490000000001</v>
      </c>
      <c r="AC297">
        <v>3.4562930000000001</v>
      </c>
      <c r="AD297">
        <v>3.4599410000000002</v>
      </c>
      <c r="AE297">
        <v>3.4635929999999999</v>
      </c>
      <c r="AF297">
        <v>3.4672480000000001</v>
      </c>
      <c r="AG297" s="20">
        <v>1E-3</v>
      </c>
    </row>
    <row r="298" spans="1:33">
      <c r="A298" t="s">
        <v>244</v>
      </c>
    </row>
    <row r="299" spans="1:33">
      <c r="A299" t="s">
        <v>147</v>
      </c>
      <c r="B299" t="s">
        <v>2293</v>
      </c>
      <c r="C299" t="s">
        <v>2292</v>
      </c>
      <c r="D299" t="s">
        <v>177</v>
      </c>
      <c r="F299">
        <v>434.230682</v>
      </c>
      <c r="G299">
        <v>443.75869799999998</v>
      </c>
      <c r="H299">
        <v>432.581299</v>
      </c>
      <c r="I299">
        <v>417.75234999999998</v>
      </c>
      <c r="J299">
        <v>417.42465199999998</v>
      </c>
      <c r="K299">
        <v>415.93777499999999</v>
      </c>
      <c r="L299">
        <v>403.47412100000003</v>
      </c>
      <c r="M299">
        <v>403.17804000000001</v>
      </c>
      <c r="N299">
        <v>383.83212300000002</v>
      </c>
      <c r="O299">
        <v>385.30667099999999</v>
      </c>
      <c r="P299">
        <v>381.27539100000001</v>
      </c>
      <c r="Q299">
        <v>381.04003899999998</v>
      </c>
      <c r="R299">
        <v>382.19842499999999</v>
      </c>
      <c r="S299">
        <v>383.73739599999999</v>
      </c>
      <c r="T299">
        <v>388.55950899999999</v>
      </c>
      <c r="U299">
        <v>385.72473100000002</v>
      </c>
      <c r="V299">
        <v>387.17019699999997</v>
      </c>
      <c r="W299">
        <v>387.33422899999999</v>
      </c>
      <c r="X299">
        <v>388.97726399999999</v>
      </c>
      <c r="Y299">
        <v>390.85006700000002</v>
      </c>
      <c r="Z299">
        <v>391.76263399999999</v>
      </c>
      <c r="AA299">
        <v>392.73843399999998</v>
      </c>
      <c r="AB299">
        <v>392.65093999999999</v>
      </c>
      <c r="AC299">
        <v>396.48129299999999</v>
      </c>
      <c r="AD299">
        <v>399.58117700000003</v>
      </c>
      <c r="AE299">
        <v>402.097534</v>
      </c>
      <c r="AF299">
        <v>402.97448700000001</v>
      </c>
      <c r="AG299" s="20">
        <v>-3.0000000000000001E-3</v>
      </c>
    </row>
    <row r="300" spans="1:33">
      <c r="A300" t="s">
        <v>156</v>
      </c>
      <c r="B300" t="s">
        <v>2291</v>
      </c>
      <c r="C300" t="s">
        <v>2290</v>
      </c>
      <c r="D300" t="s">
        <v>177</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t="s">
        <v>15</v>
      </c>
    </row>
    <row r="301" spans="1:33">
      <c r="A301" t="s">
        <v>157</v>
      </c>
      <c r="B301" t="s">
        <v>2289</v>
      </c>
      <c r="C301" t="s">
        <v>2288</v>
      </c>
      <c r="D301" t="s">
        <v>177</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t="s">
        <v>15</v>
      </c>
    </row>
    <row r="302" spans="1:33">
      <c r="A302" t="s">
        <v>158</v>
      </c>
      <c r="B302" t="s">
        <v>2287</v>
      </c>
      <c r="C302" t="s">
        <v>2286</v>
      </c>
      <c r="D302" t="s">
        <v>177</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t="s">
        <v>15</v>
      </c>
    </row>
    <row r="303" spans="1:33">
      <c r="A303" t="s">
        <v>23</v>
      </c>
    </row>
    <row r="304" spans="1:33">
      <c r="A304" t="s">
        <v>245</v>
      </c>
      <c r="B304" t="s">
        <v>2285</v>
      </c>
      <c r="C304" t="s">
        <v>2284</v>
      </c>
      <c r="D304" t="s">
        <v>242</v>
      </c>
      <c r="F304">
        <v>458.773346</v>
      </c>
      <c r="G304">
        <v>464.892853</v>
      </c>
      <c r="H304">
        <v>462.96167000000003</v>
      </c>
      <c r="I304">
        <v>460.98571800000002</v>
      </c>
      <c r="J304">
        <v>459.37042200000002</v>
      </c>
      <c r="K304">
        <v>457.35058600000002</v>
      </c>
      <c r="L304">
        <v>454.85974099999999</v>
      </c>
      <c r="M304">
        <v>451.94982900000002</v>
      </c>
      <c r="N304">
        <v>448.29049700000002</v>
      </c>
      <c r="O304">
        <v>446.236603</v>
      </c>
      <c r="P304">
        <v>444.57028200000002</v>
      </c>
      <c r="Q304">
        <v>442.67672700000003</v>
      </c>
      <c r="R304">
        <v>440.63128699999999</v>
      </c>
      <c r="S304">
        <v>439.09964000000002</v>
      </c>
      <c r="T304">
        <v>437.71414199999998</v>
      </c>
      <c r="U304">
        <v>435.98474099999999</v>
      </c>
      <c r="V304">
        <v>434.76898199999999</v>
      </c>
      <c r="W304">
        <v>433.49096700000001</v>
      </c>
      <c r="X304">
        <v>432.22720299999997</v>
      </c>
      <c r="Y304">
        <v>430.67340100000001</v>
      </c>
      <c r="Z304">
        <v>428.801331</v>
      </c>
      <c r="AA304">
        <v>427.06716899999998</v>
      </c>
      <c r="AB304">
        <v>425.27600100000001</v>
      </c>
      <c r="AC304">
        <v>424.65441900000002</v>
      </c>
      <c r="AD304">
        <v>423.51385499999998</v>
      </c>
      <c r="AE304">
        <v>422.14224200000001</v>
      </c>
      <c r="AF304">
        <v>420.62109400000003</v>
      </c>
      <c r="AG304" s="20">
        <v>-3.0000000000000001E-3</v>
      </c>
    </row>
    <row r="305" spans="1:33">
      <c r="A305" t="s">
        <v>243</v>
      </c>
      <c r="B305" t="s">
        <v>2283</v>
      </c>
      <c r="C305" t="s">
        <v>2282</v>
      </c>
      <c r="D305" t="s">
        <v>2185</v>
      </c>
      <c r="F305">
        <v>4.8577789999999998</v>
      </c>
      <c r="G305">
        <v>4.876665</v>
      </c>
      <c r="H305">
        <v>4.8956239999999998</v>
      </c>
      <c r="I305">
        <v>4.9146570000000001</v>
      </c>
      <c r="J305">
        <v>4.933764</v>
      </c>
      <c r="K305">
        <v>4.9529449999999997</v>
      </c>
      <c r="L305">
        <v>4.9722</v>
      </c>
      <c r="M305">
        <v>4.9915310000000002</v>
      </c>
      <c r="N305">
        <v>5.0109370000000002</v>
      </c>
      <c r="O305">
        <v>5.0304180000000001</v>
      </c>
      <c r="P305">
        <v>5.0499749999999999</v>
      </c>
      <c r="Q305">
        <v>5.0696079999999997</v>
      </c>
      <c r="R305">
        <v>5.0893170000000003</v>
      </c>
      <c r="S305">
        <v>5.1091030000000002</v>
      </c>
      <c r="T305">
        <v>5.1289660000000001</v>
      </c>
      <c r="U305">
        <v>5.1489060000000002</v>
      </c>
      <c r="V305">
        <v>5.1689230000000004</v>
      </c>
      <c r="W305">
        <v>5.189019</v>
      </c>
      <c r="X305">
        <v>5.2091919999999998</v>
      </c>
      <c r="Y305">
        <v>5.2294450000000001</v>
      </c>
      <c r="Z305">
        <v>5.2497749999999996</v>
      </c>
      <c r="AA305">
        <v>5.2701849999999997</v>
      </c>
      <c r="AB305">
        <v>5.2906740000000001</v>
      </c>
      <c r="AC305">
        <v>5.3112430000000002</v>
      </c>
      <c r="AD305">
        <v>5.3318919999999999</v>
      </c>
      <c r="AE305">
        <v>5.3526210000000001</v>
      </c>
      <c r="AF305">
        <v>5.3734299999999999</v>
      </c>
      <c r="AG305" s="20">
        <v>4.0000000000000001E-3</v>
      </c>
    </row>
    <row r="306" spans="1:33">
      <c r="A306" t="s">
        <v>244</v>
      </c>
    </row>
    <row r="307" spans="1:33">
      <c r="A307" t="s">
        <v>147</v>
      </c>
      <c r="B307" t="s">
        <v>2281</v>
      </c>
      <c r="C307" t="s">
        <v>1983</v>
      </c>
      <c r="D307" t="s">
        <v>177</v>
      </c>
      <c r="F307">
        <v>92.332252999999994</v>
      </c>
      <c r="G307">
        <v>93.278983999999994</v>
      </c>
      <c r="H307">
        <v>92.539314000000005</v>
      </c>
      <c r="I307">
        <v>91.795044000000004</v>
      </c>
      <c r="J307">
        <v>91.125641000000002</v>
      </c>
      <c r="K307">
        <v>90.379990000000006</v>
      </c>
      <c r="L307">
        <v>89.546463000000003</v>
      </c>
      <c r="M307">
        <v>88.635925</v>
      </c>
      <c r="N307">
        <v>87.584746999999993</v>
      </c>
      <c r="O307">
        <v>86.852417000000003</v>
      </c>
      <c r="P307">
        <v>86.199318000000005</v>
      </c>
      <c r="Q307">
        <v>85.505904999999998</v>
      </c>
      <c r="R307">
        <v>84.786452999999995</v>
      </c>
      <c r="S307">
        <v>84.170158000000001</v>
      </c>
      <c r="T307">
        <v>83.586044000000001</v>
      </c>
      <c r="U307">
        <v>82.940169999999995</v>
      </c>
      <c r="V307">
        <v>82.351212000000004</v>
      </c>
      <c r="W307">
        <v>81.693588000000005</v>
      </c>
      <c r="X307">
        <v>81.036438000000004</v>
      </c>
      <c r="Y307">
        <v>80.322616999999994</v>
      </c>
      <c r="Z307">
        <v>79.547393999999997</v>
      </c>
      <c r="AA307">
        <v>78.795531999999994</v>
      </c>
      <c r="AB307">
        <v>78.030472000000003</v>
      </c>
      <c r="AC307">
        <v>77.475707999999997</v>
      </c>
      <c r="AD307">
        <v>76.820853999999997</v>
      </c>
      <c r="AE307">
        <v>76.119011</v>
      </c>
      <c r="AF307">
        <v>75.385009999999994</v>
      </c>
      <c r="AG307" s="20">
        <v>-8.0000000000000002E-3</v>
      </c>
    </row>
    <row r="308" spans="1:33">
      <c r="A308" t="s">
        <v>156</v>
      </c>
      <c r="B308" t="s">
        <v>2280</v>
      </c>
      <c r="C308" t="s">
        <v>1981</v>
      </c>
      <c r="D308" t="s">
        <v>177</v>
      </c>
      <c r="F308">
        <v>1.3822049999999999</v>
      </c>
      <c r="G308">
        <v>1.2632559999999999</v>
      </c>
      <c r="H308">
        <v>1.198018</v>
      </c>
      <c r="I308">
        <v>1.1309709999999999</v>
      </c>
      <c r="J308">
        <v>1.0674129999999999</v>
      </c>
      <c r="K308">
        <v>1.0042279999999999</v>
      </c>
      <c r="L308">
        <v>0.937581</v>
      </c>
      <c r="M308">
        <v>0.868587</v>
      </c>
      <c r="N308">
        <v>0.80069400000000002</v>
      </c>
      <c r="O308">
        <v>0.73563800000000001</v>
      </c>
      <c r="P308">
        <v>0.673956</v>
      </c>
      <c r="Q308">
        <v>0.61449699999999996</v>
      </c>
      <c r="R308">
        <v>0.56326799999999999</v>
      </c>
      <c r="S308">
        <v>0.50884700000000005</v>
      </c>
      <c r="T308">
        <v>0.44785000000000003</v>
      </c>
      <c r="U308">
        <v>0.38284099999999999</v>
      </c>
      <c r="V308">
        <v>0.32558700000000002</v>
      </c>
      <c r="W308">
        <v>0.32329599999999997</v>
      </c>
      <c r="X308">
        <v>0.321021</v>
      </c>
      <c r="Y308">
        <v>0.31855600000000001</v>
      </c>
      <c r="Z308">
        <v>0.31585600000000003</v>
      </c>
      <c r="AA308">
        <v>0.31325799999999998</v>
      </c>
      <c r="AB308">
        <v>0.310612</v>
      </c>
      <c r="AC308">
        <v>0.30888199999999999</v>
      </c>
      <c r="AD308">
        <v>0.306782</v>
      </c>
      <c r="AE308">
        <v>0.30452499999999999</v>
      </c>
      <c r="AF308">
        <v>0.302176</v>
      </c>
      <c r="AG308" s="20">
        <v>-5.7000000000000002E-2</v>
      </c>
    </row>
    <row r="309" spans="1:33">
      <c r="A309" t="s">
        <v>157</v>
      </c>
      <c r="B309" t="s">
        <v>2279</v>
      </c>
      <c r="C309" t="s">
        <v>1979</v>
      </c>
      <c r="D309" t="s">
        <v>177</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t="s">
        <v>15</v>
      </c>
    </row>
    <row r="310" spans="1:33">
      <c r="A310" t="s">
        <v>158</v>
      </c>
      <c r="B310" t="s">
        <v>2278</v>
      </c>
      <c r="C310" t="s">
        <v>1977</v>
      </c>
      <c r="D310" t="s">
        <v>177</v>
      </c>
      <c r="F310">
        <v>0.72651399999999999</v>
      </c>
      <c r="G310">
        <v>0.78784500000000002</v>
      </c>
      <c r="H310">
        <v>0.82910799999999996</v>
      </c>
      <c r="I310">
        <v>0.87214700000000001</v>
      </c>
      <c r="J310">
        <v>0.91445100000000001</v>
      </c>
      <c r="K310">
        <v>0.95491099999999995</v>
      </c>
      <c r="L310">
        <v>0.99653099999999994</v>
      </c>
      <c r="M310">
        <v>1.038818</v>
      </c>
      <c r="N310">
        <v>1.0769789999999999</v>
      </c>
      <c r="O310">
        <v>1.119599</v>
      </c>
      <c r="P310">
        <v>1.1608780000000001</v>
      </c>
      <c r="Q310">
        <v>1.199308</v>
      </c>
      <c r="R310">
        <v>1.229924</v>
      </c>
      <c r="S310">
        <v>1.2655670000000001</v>
      </c>
      <c r="T310">
        <v>1.3077129999999999</v>
      </c>
      <c r="U310">
        <v>1.352198</v>
      </c>
      <c r="V310">
        <v>1.4353050000000001</v>
      </c>
      <c r="W310">
        <v>1.5231779999999999</v>
      </c>
      <c r="X310">
        <v>1.616471</v>
      </c>
      <c r="Y310">
        <v>1.7143079999999999</v>
      </c>
      <c r="Z310">
        <v>1.8166960000000001</v>
      </c>
      <c r="AA310">
        <v>1.9257839999999999</v>
      </c>
      <c r="AB310">
        <v>2.0411160000000002</v>
      </c>
      <c r="AC310">
        <v>2.1692900000000002</v>
      </c>
      <c r="AD310">
        <v>2.3026849999999999</v>
      </c>
      <c r="AE310">
        <v>2.44293</v>
      </c>
      <c r="AF310">
        <v>2.590767</v>
      </c>
      <c r="AG310" s="20">
        <v>0.05</v>
      </c>
    </row>
    <row r="311" spans="1:33">
      <c r="A311" t="s">
        <v>22</v>
      </c>
    </row>
    <row r="312" spans="1:33">
      <c r="A312" t="s">
        <v>246</v>
      </c>
      <c r="B312" t="s">
        <v>2277</v>
      </c>
      <c r="C312" t="s">
        <v>2276</v>
      </c>
      <c r="D312" t="s">
        <v>247</v>
      </c>
      <c r="F312">
        <v>6023.5166019999997</v>
      </c>
      <c r="G312">
        <v>6248.9067379999997</v>
      </c>
      <c r="H312">
        <v>6421.529297</v>
      </c>
      <c r="I312">
        <v>6659.548828</v>
      </c>
      <c r="J312">
        <v>6864.0795900000003</v>
      </c>
      <c r="K312">
        <v>7079.498047</v>
      </c>
      <c r="L312">
        <v>7297.4252930000002</v>
      </c>
      <c r="M312">
        <v>7503.923828</v>
      </c>
      <c r="N312">
        <v>7740.4560549999997</v>
      </c>
      <c r="O312">
        <v>7974.0815430000002</v>
      </c>
      <c r="P312">
        <v>8222.6484380000002</v>
      </c>
      <c r="Q312">
        <v>8411.9707030000009</v>
      </c>
      <c r="R312">
        <v>8574.0878909999992</v>
      </c>
      <c r="S312">
        <v>8726.2421880000002</v>
      </c>
      <c r="T312">
        <v>8864.3476559999999</v>
      </c>
      <c r="U312">
        <v>9003.0683590000008</v>
      </c>
      <c r="V312">
        <v>9128.03125</v>
      </c>
      <c r="W312">
        <v>9252.5576170000004</v>
      </c>
      <c r="X312">
        <v>9379.8408199999994</v>
      </c>
      <c r="Y312">
        <v>9504.1064449999994</v>
      </c>
      <c r="Z312">
        <v>9625.9179690000001</v>
      </c>
      <c r="AA312">
        <v>9740.8447269999997</v>
      </c>
      <c r="AB312">
        <v>9833.2382809999999</v>
      </c>
      <c r="AC312">
        <v>9964.6669920000004</v>
      </c>
      <c r="AD312">
        <v>10123.741211</v>
      </c>
      <c r="AE312">
        <v>10282.939453000001</v>
      </c>
      <c r="AF312">
        <v>10434.558594</v>
      </c>
      <c r="AG312" s="20">
        <v>2.1000000000000001E-2</v>
      </c>
    </row>
    <row r="313" spans="1:33">
      <c r="A313" t="s">
        <v>248</v>
      </c>
      <c r="B313" t="s">
        <v>2275</v>
      </c>
      <c r="C313" t="s">
        <v>2274</v>
      </c>
      <c r="D313" t="s">
        <v>247</v>
      </c>
      <c r="F313">
        <v>1938.3862300000001</v>
      </c>
      <c r="G313">
        <v>2014.6479489999999</v>
      </c>
      <c r="H313">
        <v>2075.9914549999999</v>
      </c>
      <c r="I313">
        <v>2166.7897950000001</v>
      </c>
      <c r="J313">
        <v>2249.5659179999998</v>
      </c>
      <c r="K313">
        <v>2329.5798340000001</v>
      </c>
      <c r="L313">
        <v>2404.4145509999998</v>
      </c>
      <c r="M313">
        <v>2470.181885</v>
      </c>
      <c r="N313">
        <v>2540.5629880000001</v>
      </c>
      <c r="O313">
        <v>2603.9204100000002</v>
      </c>
      <c r="P313">
        <v>2673.7998050000001</v>
      </c>
      <c r="Q313">
        <v>2730.7907709999999</v>
      </c>
      <c r="R313">
        <v>2779.3188479999999</v>
      </c>
      <c r="S313">
        <v>2825.1267090000001</v>
      </c>
      <c r="T313">
        <v>2876.078857</v>
      </c>
      <c r="U313">
        <v>2928.6367190000001</v>
      </c>
      <c r="V313">
        <v>2981.3789059999999</v>
      </c>
      <c r="W313">
        <v>3039.28125</v>
      </c>
      <c r="X313">
        <v>3096.5607909999999</v>
      </c>
      <c r="Y313">
        <v>3154.7770999999998</v>
      </c>
      <c r="Z313">
        <v>3209.8603520000001</v>
      </c>
      <c r="AA313">
        <v>3262.2211910000001</v>
      </c>
      <c r="AB313">
        <v>3305.1987300000001</v>
      </c>
      <c r="AC313">
        <v>3359.7014159999999</v>
      </c>
      <c r="AD313">
        <v>3411.3432619999999</v>
      </c>
      <c r="AE313">
        <v>3458.4096679999998</v>
      </c>
      <c r="AF313">
        <v>3501.953857</v>
      </c>
      <c r="AG313" s="20">
        <v>2.3E-2</v>
      </c>
    </row>
    <row r="314" spans="1:33">
      <c r="A314" t="s">
        <v>249</v>
      </c>
      <c r="B314" t="s">
        <v>2273</v>
      </c>
      <c r="C314" t="s">
        <v>2272</v>
      </c>
      <c r="D314" t="s">
        <v>247</v>
      </c>
      <c r="F314">
        <v>4085.1303710000002</v>
      </c>
      <c r="G314">
        <v>4234.2587890000004</v>
      </c>
      <c r="H314">
        <v>4345.5380859999996</v>
      </c>
      <c r="I314">
        <v>4492.7587890000004</v>
      </c>
      <c r="J314">
        <v>4614.513672</v>
      </c>
      <c r="K314">
        <v>4749.9179690000001</v>
      </c>
      <c r="L314">
        <v>4893.0107420000004</v>
      </c>
      <c r="M314">
        <v>5033.7421880000002</v>
      </c>
      <c r="N314">
        <v>5199.8930659999996</v>
      </c>
      <c r="O314">
        <v>5370.1611329999996</v>
      </c>
      <c r="P314">
        <v>5548.8481449999999</v>
      </c>
      <c r="Q314">
        <v>5681.1801759999998</v>
      </c>
      <c r="R314">
        <v>5794.7695309999999</v>
      </c>
      <c r="S314">
        <v>5901.1157229999999</v>
      </c>
      <c r="T314">
        <v>5988.2690430000002</v>
      </c>
      <c r="U314">
        <v>6074.4321289999998</v>
      </c>
      <c r="V314">
        <v>6146.6523440000001</v>
      </c>
      <c r="W314">
        <v>6213.2763670000004</v>
      </c>
      <c r="X314">
        <v>6283.2802730000003</v>
      </c>
      <c r="Y314">
        <v>6349.3295900000003</v>
      </c>
      <c r="Z314">
        <v>6416.0571289999998</v>
      </c>
      <c r="AA314">
        <v>6478.6235349999997</v>
      </c>
      <c r="AB314">
        <v>6528.0390619999998</v>
      </c>
      <c r="AC314">
        <v>6604.9653319999998</v>
      </c>
      <c r="AD314">
        <v>6712.3979490000002</v>
      </c>
      <c r="AE314">
        <v>6824.5302730000003</v>
      </c>
      <c r="AF314">
        <v>6932.6049800000001</v>
      </c>
      <c r="AG314" s="20">
        <v>2.1000000000000001E-2</v>
      </c>
    </row>
    <row r="315" spans="1:33">
      <c r="A315" t="s">
        <v>244</v>
      </c>
    </row>
    <row r="316" spans="1:33">
      <c r="A316" t="s">
        <v>147</v>
      </c>
      <c r="B316" t="s">
        <v>2271</v>
      </c>
      <c r="C316" t="s">
        <v>1973</v>
      </c>
      <c r="D316" t="s">
        <v>177</v>
      </c>
      <c r="F316">
        <v>195.74534600000001</v>
      </c>
      <c r="G316">
        <v>212.661835</v>
      </c>
      <c r="H316">
        <v>224.314606</v>
      </c>
      <c r="I316">
        <v>228.064087</v>
      </c>
      <c r="J316">
        <v>233.18679800000001</v>
      </c>
      <c r="K316">
        <v>235.61990399999999</v>
      </c>
      <c r="L316">
        <v>238.52423099999999</v>
      </c>
      <c r="M316">
        <v>242.35704000000001</v>
      </c>
      <c r="N316">
        <v>248.63774100000001</v>
      </c>
      <c r="O316">
        <v>254.948486</v>
      </c>
      <c r="P316">
        <v>261.07586700000002</v>
      </c>
      <c r="Q316">
        <v>263.98260499999998</v>
      </c>
      <c r="R316">
        <v>266.61132800000001</v>
      </c>
      <c r="S316">
        <v>268.03750600000001</v>
      </c>
      <c r="T316">
        <v>270.21701000000002</v>
      </c>
      <c r="U316">
        <v>272.002228</v>
      </c>
      <c r="V316">
        <v>273.95889299999999</v>
      </c>
      <c r="W316">
        <v>276.39965799999999</v>
      </c>
      <c r="X316">
        <v>278.885986</v>
      </c>
      <c r="Y316">
        <v>280.99075299999998</v>
      </c>
      <c r="Z316">
        <v>283.009094</v>
      </c>
      <c r="AA316">
        <v>284.52014200000002</v>
      </c>
      <c r="AB316">
        <v>284.75753800000001</v>
      </c>
      <c r="AC316">
        <v>286.24276700000001</v>
      </c>
      <c r="AD316">
        <v>288.10394300000002</v>
      </c>
      <c r="AE316">
        <v>290.23345899999998</v>
      </c>
      <c r="AF316">
        <v>292.11120599999998</v>
      </c>
      <c r="AG316" s="20">
        <v>1.6E-2</v>
      </c>
    </row>
    <row r="317" spans="1:33">
      <c r="A317" t="s">
        <v>156</v>
      </c>
      <c r="B317" t="s">
        <v>2270</v>
      </c>
      <c r="C317" t="s">
        <v>1971</v>
      </c>
      <c r="D317" t="s">
        <v>177</v>
      </c>
      <c r="F317">
        <v>550.43896500000005</v>
      </c>
      <c r="G317">
        <v>514.18347200000005</v>
      </c>
      <c r="H317">
        <v>510.80633499999999</v>
      </c>
      <c r="I317">
        <v>520.583618</v>
      </c>
      <c r="J317">
        <v>526.08252000000005</v>
      </c>
      <c r="K317">
        <v>535.16064500000005</v>
      </c>
      <c r="L317">
        <v>543.52642800000001</v>
      </c>
      <c r="M317">
        <v>549.77069100000006</v>
      </c>
      <c r="N317">
        <v>554.768372</v>
      </c>
      <c r="O317">
        <v>559.316101</v>
      </c>
      <c r="P317">
        <v>564.45159899999999</v>
      </c>
      <c r="Q317">
        <v>570.71923800000002</v>
      </c>
      <c r="R317">
        <v>575.59594700000002</v>
      </c>
      <c r="S317">
        <v>581.43194600000004</v>
      </c>
      <c r="T317">
        <v>585.571777</v>
      </c>
      <c r="U317">
        <v>590.16540499999996</v>
      </c>
      <c r="V317">
        <v>593.91705300000001</v>
      </c>
      <c r="W317">
        <v>597.12823500000002</v>
      </c>
      <c r="X317">
        <v>600.45532200000002</v>
      </c>
      <c r="Y317">
        <v>603.99230999999997</v>
      </c>
      <c r="Z317">
        <v>607.38354500000003</v>
      </c>
      <c r="AA317">
        <v>610.92431599999998</v>
      </c>
      <c r="AB317">
        <v>615.06170699999996</v>
      </c>
      <c r="AC317">
        <v>619.51269500000001</v>
      </c>
      <c r="AD317">
        <v>624.67334000000005</v>
      </c>
      <c r="AE317">
        <v>629.26171899999997</v>
      </c>
      <c r="AF317">
        <v>633.68322799999999</v>
      </c>
      <c r="AG317" s="20">
        <v>5.0000000000000001E-3</v>
      </c>
    </row>
    <row r="318" spans="1:33">
      <c r="A318" t="s">
        <v>157</v>
      </c>
      <c r="B318" t="s">
        <v>2269</v>
      </c>
      <c r="C318" t="s">
        <v>1969</v>
      </c>
      <c r="D318" t="s">
        <v>177</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t="s">
        <v>15</v>
      </c>
    </row>
    <row r="319" spans="1:33">
      <c r="A319" t="s">
        <v>158</v>
      </c>
      <c r="B319" t="s">
        <v>2268</v>
      </c>
      <c r="C319" t="s">
        <v>1967</v>
      </c>
      <c r="D319" t="s">
        <v>177</v>
      </c>
      <c r="F319">
        <v>5.9348320000000001</v>
      </c>
      <c r="G319">
        <v>6.5364779999999998</v>
      </c>
      <c r="H319">
        <v>6.6340339999999998</v>
      </c>
      <c r="I319">
        <v>6.6726179999999999</v>
      </c>
      <c r="J319">
        <v>7.0259280000000004</v>
      </c>
      <c r="K319">
        <v>7.4154460000000002</v>
      </c>
      <c r="L319">
        <v>7.8749640000000003</v>
      </c>
      <c r="M319">
        <v>8.4281520000000008</v>
      </c>
      <c r="N319">
        <v>8.7182600000000008</v>
      </c>
      <c r="O319">
        <v>9.0221319999999992</v>
      </c>
      <c r="P319">
        <v>9.4022459999999999</v>
      </c>
      <c r="Q319">
        <v>9.4618070000000003</v>
      </c>
      <c r="R319">
        <v>9.6343019999999999</v>
      </c>
      <c r="S319">
        <v>9.8146550000000001</v>
      </c>
      <c r="T319">
        <v>10.029487</v>
      </c>
      <c r="U319">
        <v>10.238963999999999</v>
      </c>
      <c r="V319">
        <v>10.386210999999999</v>
      </c>
      <c r="W319">
        <v>10.461117</v>
      </c>
      <c r="X319">
        <v>10.493995</v>
      </c>
      <c r="Y319">
        <v>10.588778</v>
      </c>
      <c r="Z319">
        <v>10.700267999999999</v>
      </c>
      <c r="AA319">
        <v>10.871041999999999</v>
      </c>
      <c r="AB319">
        <v>10.939361999999999</v>
      </c>
      <c r="AC319">
        <v>11.028162999999999</v>
      </c>
      <c r="AD319">
        <v>11.141788</v>
      </c>
      <c r="AE319">
        <v>11.308977000000001</v>
      </c>
      <c r="AF319">
        <v>11.478370999999999</v>
      </c>
      <c r="AG319" s="20">
        <v>2.5999999999999999E-2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57F7-D96D-4B3F-B184-A749972EBA8C}">
  <dimension ref="A1:AG119"/>
  <sheetViews>
    <sheetView workbookViewId="0"/>
  </sheetViews>
  <sheetFormatPr defaultRowHeight="15"/>
  <cols>
    <col min="1" max="1" width="30.5703125" customWidth="1"/>
  </cols>
  <sheetData>
    <row r="1" spans="1:33">
      <c r="A1" t="s">
        <v>2267</v>
      </c>
    </row>
    <row r="2" spans="1:33">
      <c r="A2" t="s">
        <v>2266</v>
      </c>
    </row>
    <row r="3" spans="1:33">
      <c r="A3" t="s">
        <v>2265</v>
      </c>
    </row>
    <row r="4" spans="1:33">
      <c r="A4" t="s">
        <v>173</v>
      </c>
    </row>
    <row r="5" spans="1:33">
      <c r="B5" t="s">
        <v>174</v>
      </c>
      <c r="C5" t="s">
        <v>175</v>
      </c>
      <c r="D5" t="s">
        <v>176</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1158</v>
      </c>
    </row>
    <row r="6" spans="1:33">
      <c r="A6" t="s">
        <v>77</v>
      </c>
    </row>
    <row r="7" spans="1:33">
      <c r="A7" t="s">
        <v>76</v>
      </c>
    </row>
    <row r="8" spans="1:33">
      <c r="A8" t="s">
        <v>2264</v>
      </c>
    </row>
    <row r="9" spans="1:33">
      <c r="A9" t="s">
        <v>2263</v>
      </c>
      <c r="B9" t="s">
        <v>2262</v>
      </c>
      <c r="C9" t="s">
        <v>2261</v>
      </c>
      <c r="D9" t="s">
        <v>2255</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20">
        <v>4.0000000000000001E-3</v>
      </c>
    </row>
    <row r="10" spans="1:33">
      <c r="A10" t="s">
        <v>152</v>
      </c>
      <c r="B10" t="s">
        <v>2260</v>
      </c>
      <c r="C10" t="s">
        <v>2259</v>
      </c>
      <c r="D10" t="s">
        <v>2255</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20">
        <v>-8.0000000000000002E-3</v>
      </c>
    </row>
    <row r="11" spans="1:33">
      <c r="A11" t="s">
        <v>2258</v>
      </c>
      <c r="B11" t="s">
        <v>2257</v>
      </c>
      <c r="C11" t="s">
        <v>2256</v>
      </c>
      <c r="D11" t="s">
        <v>2255</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20">
        <v>8.9999999999999993E-3</v>
      </c>
    </row>
    <row r="12" spans="1:33">
      <c r="A12" t="s">
        <v>2254</v>
      </c>
    </row>
    <row r="13" spans="1:33">
      <c r="A13" t="s">
        <v>85</v>
      </c>
      <c r="B13" t="s">
        <v>2253</v>
      </c>
      <c r="C13" t="s">
        <v>2252</v>
      </c>
      <c r="D13" t="s">
        <v>2248</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20">
        <v>2E-3</v>
      </c>
    </row>
    <row r="14" spans="1:33">
      <c r="A14" t="s">
        <v>2251</v>
      </c>
      <c r="B14" t="s">
        <v>2250</v>
      </c>
      <c r="C14" t="s">
        <v>2249</v>
      </c>
      <c r="D14" t="s">
        <v>2248</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20">
        <v>0.02</v>
      </c>
    </row>
    <row r="15" spans="1:33">
      <c r="A15" t="s">
        <v>2247</v>
      </c>
    </row>
    <row r="16" spans="1:33">
      <c r="A16" t="s">
        <v>68</v>
      </c>
      <c r="B16" t="s">
        <v>2246</v>
      </c>
      <c r="C16" t="s">
        <v>2245</v>
      </c>
      <c r="D16" t="s">
        <v>2244</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20">
        <v>1.7999999999999999E-2</v>
      </c>
    </row>
    <row r="17" spans="1:33">
      <c r="A17" t="s">
        <v>2243</v>
      </c>
    </row>
    <row r="18" spans="1:33">
      <c r="A18" t="s">
        <v>58</v>
      </c>
      <c r="B18" t="s">
        <v>2242</v>
      </c>
      <c r="C18" t="s">
        <v>2241</v>
      </c>
      <c r="D18" t="s">
        <v>2238</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20">
        <v>-2E-3</v>
      </c>
    </row>
    <row r="19" spans="1:33">
      <c r="A19" t="s">
        <v>23</v>
      </c>
      <c r="B19" t="s">
        <v>2240</v>
      </c>
      <c r="C19" t="s">
        <v>2239</v>
      </c>
      <c r="D19" t="s">
        <v>2238</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20">
        <v>-3.0000000000000001E-3</v>
      </c>
    </row>
    <row r="20" spans="1:33">
      <c r="A20" t="s">
        <v>75</v>
      </c>
    </row>
    <row r="21" spans="1:33">
      <c r="A21" t="s">
        <v>2237</v>
      </c>
    </row>
    <row r="22" spans="1:33">
      <c r="A22" t="s">
        <v>2236</v>
      </c>
      <c r="B22" t="s">
        <v>2235</v>
      </c>
      <c r="C22" t="s">
        <v>2234</v>
      </c>
      <c r="D22" t="s">
        <v>234</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20">
        <v>7.0000000000000001E-3</v>
      </c>
    </row>
    <row r="23" spans="1:33">
      <c r="A23" t="s">
        <v>2212</v>
      </c>
      <c r="B23" t="s">
        <v>2233</v>
      </c>
      <c r="C23" t="s">
        <v>2232</v>
      </c>
      <c r="D23" t="s">
        <v>234</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20">
        <v>7.0000000000000001E-3</v>
      </c>
    </row>
    <row r="24" spans="1:33">
      <c r="A24" t="s">
        <v>2209</v>
      </c>
      <c r="B24" t="s">
        <v>2231</v>
      </c>
      <c r="C24" t="s">
        <v>2230</v>
      </c>
      <c r="D24" t="s">
        <v>234</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20">
        <v>7.0000000000000001E-3</v>
      </c>
    </row>
    <row r="25" spans="1:33">
      <c r="A25" t="s">
        <v>2229</v>
      </c>
      <c r="B25" t="s">
        <v>2228</v>
      </c>
      <c r="C25" t="s">
        <v>2227</v>
      </c>
      <c r="D25" t="s">
        <v>234</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20">
        <v>1.2E-2</v>
      </c>
    </row>
    <row r="26" spans="1:33">
      <c r="A26" t="s">
        <v>2212</v>
      </c>
      <c r="B26" t="s">
        <v>2226</v>
      </c>
      <c r="C26" t="s">
        <v>2225</v>
      </c>
      <c r="D26" t="s">
        <v>234</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20">
        <v>1.7000000000000001E-2</v>
      </c>
    </row>
    <row r="27" spans="1:33">
      <c r="A27" t="s">
        <v>2209</v>
      </c>
      <c r="B27" t="s">
        <v>2224</v>
      </c>
      <c r="C27" t="s">
        <v>2223</v>
      </c>
      <c r="D27" t="s">
        <v>234</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20">
        <v>8.9999999999999993E-3</v>
      </c>
    </row>
    <row r="28" spans="1:33">
      <c r="A28" t="s">
        <v>2222</v>
      </c>
      <c r="B28" t="s">
        <v>2221</v>
      </c>
      <c r="C28" t="s">
        <v>2220</v>
      </c>
      <c r="D28" t="s">
        <v>234</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20">
        <v>1.2E-2</v>
      </c>
    </row>
    <row r="29" spans="1:33">
      <c r="A29" t="s">
        <v>2212</v>
      </c>
      <c r="B29" t="s">
        <v>2219</v>
      </c>
      <c r="C29" t="s">
        <v>2218</v>
      </c>
      <c r="D29" t="s">
        <v>234</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20">
        <v>1.7999999999999999E-2</v>
      </c>
    </row>
    <row r="30" spans="1:33">
      <c r="A30" t="s">
        <v>2209</v>
      </c>
      <c r="B30" t="s">
        <v>2217</v>
      </c>
      <c r="C30" t="s">
        <v>2216</v>
      </c>
      <c r="D30" t="s">
        <v>234</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20">
        <v>8.9999999999999993E-3</v>
      </c>
    </row>
    <row r="31" spans="1:33">
      <c r="A31" t="s">
        <v>2215</v>
      </c>
      <c r="B31" t="s">
        <v>2214</v>
      </c>
      <c r="C31" t="s">
        <v>2213</v>
      </c>
      <c r="D31" t="s">
        <v>234</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20">
        <v>1.2E-2</v>
      </c>
    </row>
    <row r="32" spans="1:33">
      <c r="A32" t="s">
        <v>2212</v>
      </c>
      <c r="B32" t="s">
        <v>2211</v>
      </c>
      <c r="C32" t="s">
        <v>2210</v>
      </c>
      <c r="D32" t="s">
        <v>234</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20">
        <v>1.7999999999999999E-2</v>
      </c>
    </row>
    <row r="33" spans="1:33">
      <c r="A33" t="s">
        <v>2209</v>
      </c>
      <c r="B33" t="s">
        <v>2208</v>
      </c>
      <c r="C33" t="s">
        <v>2207</v>
      </c>
      <c r="D33" t="s">
        <v>234</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20">
        <v>8.9999999999999993E-3</v>
      </c>
    </row>
    <row r="34" spans="1:33">
      <c r="A34" t="s">
        <v>2206</v>
      </c>
      <c r="B34" t="s">
        <v>2205</v>
      </c>
      <c r="C34" t="s">
        <v>2204</v>
      </c>
      <c r="D34" t="s">
        <v>234</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20">
        <v>1.4999999999999999E-2</v>
      </c>
    </row>
    <row r="35" spans="1:33">
      <c r="A35" t="s">
        <v>2203</v>
      </c>
      <c r="B35" t="s">
        <v>2202</v>
      </c>
      <c r="C35" t="s">
        <v>2201</v>
      </c>
      <c r="D35" t="s">
        <v>234</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20">
        <v>8.9999999999999993E-3</v>
      </c>
    </row>
    <row r="36" spans="1:33">
      <c r="A36" t="s">
        <v>2200</v>
      </c>
      <c r="B36" t="s">
        <v>2199</v>
      </c>
      <c r="C36" t="s">
        <v>2198</v>
      </c>
      <c r="D36" t="s">
        <v>234</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20">
        <v>7.0000000000000001E-3</v>
      </c>
    </row>
    <row r="37" spans="1:33">
      <c r="A37" t="s">
        <v>2197</v>
      </c>
      <c r="B37" t="s">
        <v>2196</v>
      </c>
      <c r="C37" t="s">
        <v>2195</v>
      </c>
      <c r="D37" t="s">
        <v>234</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20">
        <v>8.9999999999999993E-3</v>
      </c>
    </row>
    <row r="38" spans="1:33">
      <c r="A38" t="s">
        <v>2194</v>
      </c>
    </row>
    <row r="39" spans="1:33">
      <c r="A39" t="s">
        <v>2193</v>
      </c>
      <c r="B39" t="s">
        <v>2192</v>
      </c>
      <c r="C39" t="s">
        <v>2191</v>
      </c>
      <c r="D39" t="s">
        <v>1205</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20">
        <v>8.0000000000000002E-3</v>
      </c>
    </row>
    <row r="40" spans="1:33">
      <c r="A40" t="s">
        <v>2190</v>
      </c>
    </row>
    <row r="41" spans="1:33">
      <c r="A41" t="s">
        <v>58</v>
      </c>
      <c r="B41" t="s">
        <v>2189</v>
      </c>
      <c r="C41" t="s">
        <v>2188</v>
      </c>
      <c r="D41" t="s">
        <v>2185</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20">
        <v>1E-3</v>
      </c>
    </row>
    <row r="42" spans="1:33">
      <c r="A42" t="s">
        <v>23</v>
      </c>
      <c r="B42" t="s">
        <v>2187</v>
      </c>
      <c r="C42" t="s">
        <v>2186</v>
      </c>
      <c r="D42" t="s">
        <v>2185</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20">
        <v>4.0000000000000001E-3</v>
      </c>
    </row>
    <row r="43" spans="1:33">
      <c r="A43" t="s">
        <v>74</v>
      </c>
    </row>
    <row r="44" spans="1:33">
      <c r="A44" t="s">
        <v>2184</v>
      </c>
    </row>
    <row r="45" spans="1:33">
      <c r="A45" t="s">
        <v>2108</v>
      </c>
      <c r="B45" t="s">
        <v>2166</v>
      </c>
      <c r="C45" t="s">
        <v>2183</v>
      </c>
      <c r="D45" t="s">
        <v>2168</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20">
        <v>-8.0000000000000002E-3</v>
      </c>
    </row>
    <row r="46" spans="1:33">
      <c r="A46" t="s">
        <v>152</v>
      </c>
      <c r="B46" t="s">
        <v>2164</v>
      </c>
      <c r="C46" t="s">
        <v>2182</v>
      </c>
      <c r="D46" t="s">
        <v>2168</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20">
        <v>-1.4999999999999999E-2</v>
      </c>
    </row>
    <row r="47" spans="1:33">
      <c r="A47" t="s">
        <v>85</v>
      </c>
      <c r="B47" t="s">
        <v>2162</v>
      </c>
      <c r="C47" t="s">
        <v>2181</v>
      </c>
      <c r="D47" t="s">
        <v>2168</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20">
        <v>-5.0000000000000001E-3</v>
      </c>
    </row>
    <row r="48" spans="1:33">
      <c r="A48" t="s">
        <v>153</v>
      </c>
      <c r="B48" t="s">
        <v>2160</v>
      </c>
      <c r="C48" t="s">
        <v>2180</v>
      </c>
      <c r="D48" t="s">
        <v>2168</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20">
        <v>-1E-3</v>
      </c>
    </row>
    <row r="49" spans="1:33">
      <c r="A49" t="s">
        <v>58</v>
      </c>
      <c r="B49" t="s">
        <v>2158</v>
      </c>
      <c r="C49" t="s">
        <v>2179</v>
      </c>
      <c r="D49" t="s">
        <v>2168</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20">
        <v>1.0999999999999999E-2</v>
      </c>
    </row>
    <row r="50" spans="1:33">
      <c r="A50" t="s">
        <v>58</v>
      </c>
      <c r="B50" t="s">
        <v>2156</v>
      </c>
      <c r="C50" t="s">
        <v>2178</v>
      </c>
      <c r="D50" t="s">
        <v>2168</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20">
        <v>-3.0000000000000001E-3</v>
      </c>
    </row>
    <row r="51" spans="1:33">
      <c r="A51" t="s">
        <v>2152</v>
      </c>
      <c r="B51" t="s">
        <v>2154</v>
      </c>
      <c r="C51" t="s">
        <v>2177</v>
      </c>
      <c r="D51" t="s">
        <v>2168</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20">
        <v>-7.0000000000000001E-3</v>
      </c>
    </row>
    <row r="52" spans="1:33">
      <c r="A52" t="s">
        <v>2152</v>
      </c>
      <c r="B52" t="s">
        <v>2151</v>
      </c>
      <c r="C52" t="s">
        <v>2176</v>
      </c>
      <c r="D52" t="s">
        <v>2168</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20">
        <v>8.9999999999999993E-3</v>
      </c>
    </row>
    <row r="53" spans="1:33">
      <c r="A53" t="s">
        <v>83</v>
      </c>
      <c r="B53" t="s">
        <v>2149</v>
      </c>
      <c r="C53" t="s">
        <v>2175</v>
      </c>
      <c r="D53" t="s">
        <v>2168</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20">
        <v>-5.0000000000000001E-3</v>
      </c>
    </row>
    <row r="54" spans="1:33">
      <c r="A54" t="s">
        <v>68</v>
      </c>
      <c r="B54" t="s">
        <v>2147</v>
      </c>
      <c r="C54" t="s">
        <v>2174</v>
      </c>
      <c r="D54" t="s">
        <v>2168</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20">
        <v>8.9999999999999993E-3</v>
      </c>
    </row>
    <row r="55" spans="1:33">
      <c r="A55" t="s">
        <v>86</v>
      </c>
      <c r="B55" t="s">
        <v>2145</v>
      </c>
      <c r="C55" t="s">
        <v>2173</v>
      </c>
      <c r="D55" t="s">
        <v>2168</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20">
        <v>2E-3</v>
      </c>
    </row>
    <row r="56" spans="1:33">
      <c r="A56" t="s">
        <v>82</v>
      </c>
      <c r="B56" t="s">
        <v>2143</v>
      </c>
      <c r="C56" t="s">
        <v>2172</v>
      </c>
      <c r="D56" t="s">
        <v>2168</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20">
        <v>0</v>
      </c>
    </row>
    <row r="57" spans="1:33">
      <c r="A57" t="s">
        <v>2141</v>
      </c>
      <c r="B57" t="s">
        <v>2140</v>
      </c>
      <c r="C57" t="s">
        <v>2171</v>
      </c>
      <c r="D57" t="s">
        <v>2168</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20">
        <v>-4.0000000000000001E-3</v>
      </c>
    </row>
    <row r="58" spans="1:33">
      <c r="A58" t="s">
        <v>691</v>
      </c>
      <c r="B58" t="s">
        <v>2138</v>
      </c>
      <c r="C58" t="s">
        <v>2170</v>
      </c>
      <c r="D58" t="s">
        <v>2168</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20">
        <v>3.6999999999999998E-2</v>
      </c>
    </row>
    <row r="59" spans="1:33">
      <c r="A59" t="s">
        <v>2136</v>
      </c>
      <c r="B59" t="s">
        <v>2135</v>
      </c>
      <c r="C59" t="s">
        <v>2169</v>
      </c>
      <c r="D59" t="s">
        <v>2168</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20">
        <v>-3.0000000000000001E-3</v>
      </c>
    </row>
    <row r="60" spans="1:33">
      <c r="A60" t="s">
        <v>2167</v>
      </c>
    </row>
    <row r="61" spans="1:33">
      <c r="A61" t="s">
        <v>2108</v>
      </c>
      <c r="B61" t="s">
        <v>2166</v>
      </c>
      <c r="C61" t="s">
        <v>2165</v>
      </c>
      <c r="D61" t="s">
        <v>2133</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20">
        <v>-8.9999999999999993E-3</v>
      </c>
    </row>
    <row r="62" spans="1:33">
      <c r="A62" t="s">
        <v>152</v>
      </c>
      <c r="B62" t="s">
        <v>2164</v>
      </c>
      <c r="C62" t="s">
        <v>2163</v>
      </c>
      <c r="D62" t="s">
        <v>2133</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20">
        <v>-1.4E-2</v>
      </c>
    </row>
    <row r="63" spans="1:33">
      <c r="A63" t="s">
        <v>85</v>
      </c>
      <c r="B63" t="s">
        <v>2162</v>
      </c>
      <c r="C63" t="s">
        <v>2161</v>
      </c>
      <c r="D63" t="s">
        <v>2133</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20">
        <v>-5.0000000000000001E-3</v>
      </c>
    </row>
    <row r="64" spans="1:33">
      <c r="A64" t="s">
        <v>153</v>
      </c>
      <c r="B64" t="s">
        <v>2160</v>
      </c>
      <c r="C64" t="s">
        <v>2159</v>
      </c>
      <c r="D64" t="s">
        <v>2133</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20">
        <v>-1E-3</v>
      </c>
    </row>
    <row r="65" spans="1:33">
      <c r="A65" t="s">
        <v>58</v>
      </c>
      <c r="B65" t="s">
        <v>2158</v>
      </c>
      <c r="C65" t="s">
        <v>2157</v>
      </c>
      <c r="D65" t="s">
        <v>2133</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20">
        <v>1.0999999999999999E-2</v>
      </c>
    </row>
    <row r="66" spans="1:33">
      <c r="A66" t="s">
        <v>58</v>
      </c>
      <c r="B66" t="s">
        <v>2156</v>
      </c>
      <c r="C66" t="s">
        <v>2155</v>
      </c>
      <c r="D66" t="s">
        <v>2133</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20">
        <v>-3.0000000000000001E-3</v>
      </c>
    </row>
    <row r="67" spans="1:33">
      <c r="A67" t="s">
        <v>2152</v>
      </c>
      <c r="B67" t="s">
        <v>2154</v>
      </c>
      <c r="C67" t="s">
        <v>2153</v>
      </c>
      <c r="D67" t="s">
        <v>2133</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20">
        <v>-7.0000000000000001E-3</v>
      </c>
    </row>
    <row r="68" spans="1:33">
      <c r="A68" t="s">
        <v>2152</v>
      </c>
      <c r="B68" t="s">
        <v>2151</v>
      </c>
      <c r="C68" t="s">
        <v>2150</v>
      </c>
      <c r="D68" t="s">
        <v>2133</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20">
        <v>8.9999999999999993E-3</v>
      </c>
    </row>
    <row r="69" spans="1:33">
      <c r="A69" t="s">
        <v>83</v>
      </c>
      <c r="B69" t="s">
        <v>2149</v>
      </c>
      <c r="C69" t="s">
        <v>2148</v>
      </c>
      <c r="D69" t="s">
        <v>2133</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20">
        <v>-5.0000000000000001E-3</v>
      </c>
    </row>
    <row r="70" spans="1:33">
      <c r="A70" t="s">
        <v>68</v>
      </c>
      <c r="B70" t="s">
        <v>2147</v>
      </c>
      <c r="C70" t="s">
        <v>2146</v>
      </c>
      <c r="D70" t="s">
        <v>2133</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20">
        <v>8.9999999999999993E-3</v>
      </c>
    </row>
    <row r="71" spans="1:33">
      <c r="A71" t="s">
        <v>86</v>
      </c>
      <c r="B71" t="s">
        <v>2145</v>
      </c>
      <c r="C71" t="s">
        <v>2144</v>
      </c>
      <c r="D71" t="s">
        <v>2133</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20">
        <v>2E-3</v>
      </c>
    </row>
    <row r="72" spans="1:33">
      <c r="A72" t="s">
        <v>82</v>
      </c>
      <c r="B72" t="s">
        <v>2143</v>
      </c>
      <c r="C72" t="s">
        <v>2142</v>
      </c>
      <c r="D72" t="s">
        <v>2133</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20">
        <v>0</v>
      </c>
    </row>
    <row r="73" spans="1:33">
      <c r="A73" t="s">
        <v>2141</v>
      </c>
      <c r="B73" t="s">
        <v>2140</v>
      </c>
      <c r="C73" t="s">
        <v>2139</v>
      </c>
      <c r="D73" t="s">
        <v>2133</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20">
        <v>-4.0000000000000001E-3</v>
      </c>
    </row>
    <row r="74" spans="1:33">
      <c r="A74" t="s">
        <v>691</v>
      </c>
      <c r="B74" t="s">
        <v>2138</v>
      </c>
      <c r="C74" t="s">
        <v>2137</v>
      </c>
      <c r="D74" t="s">
        <v>2133</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20">
        <v>3.6999999999999998E-2</v>
      </c>
    </row>
    <row r="75" spans="1:33">
      <c r="A75" t="s">
        <v>2136</v>
      </c>
      <c r="B75" t="s">
        <v>2135</v>
      </c>
      <c r="C75" t="s">
        <v>2134</v>
      </c>
      <c r="D75" t="s">
        <v>2133</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20">
        <v>-3.0000000000000001E-3</v>
      </c>
    </row>
    <row r="76" spans="1:33">
      <c r="A76" t="s">
        <v>2132</v>
      </c>
    </row>
    <row r="77" spans="1:33">
      <c r="A77" t="s">
        <v>2108</v>
      </c>
    </row>
    <row r="78" spans="1:33">
      <c r="A78" t="s">
        <v>2131</v>
      </c>
      <c r="B78" t="s">
        <v>2130</v>
      </c>
      <c r="C78" t="s">
        <v>2126</v>
      </c>
      <c r="D78" t="s">
        <v>2125</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20">
        <v>-1.9E-2</v>
      </c>
    </row>
    <row r="79" spans="1:33">
      <c r="A79" t="s">
        <v>2129</v>
      </c>
      <c r="B79" t="s">
        <v>2128</v>
      </c>
      <c r="C79" t="s">
        <v>2126</v>
      </c>
      <c r="D79" t="s">
        <v>2125</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20">
        <v>-2.3E-2</v>
      </c>
    </row>
    <row r="80" spans="1:33">
      <c r="A80" t="s">
        <v>2116</v>
      </c>
      <c r="B80" t="s">
        <v>2127</v>
      </c>
      <c r="C80" t="s">
        <v>2126</v>
      </c>
      <c r="D80" t="s">
        <v>2125</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20">
        <v>-2.3E-2</v>
      </c>
    </row>
    <row r="81" spans="1:33">
      <c r="A81" t="s">
        <v>153</v>
      </c>
    </row>
    <row r="82" spans="1:33">
      <c r="A82" t="s">
        <v>2124</v>
      </c>
      <c r="B82" t="s">
        <v>2123</v>
      </c>
      <c r="C82" t="s">
        <v>2114</v>
      </c>
      <c r="D82" t="s">
        <v>2113</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20">
        <v>-2.3E-2</v>
      </c>
    </row>
    <row r="83" spans="1:33">
      <c r="A83" t="s">
        <v>2122</v>
      </c>
      <c r="B83" t="s">
        <v>2121</v>
      </c>
      <c r="C83" t="s">
        <v>2114</v>
      </c>
      <c r="D83" t="s">
        <v>2113</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20">
        <v>-2.3E-2</v>
      </c>
    </row>
    <row r="84" spans="1:33">
      <c r="A84" t="s">
        <v>2120</v>
      </c>
      <c r="B84" t="s">
        <v>2119</v>
      </c>
      <c r="C84" t="s">
        <v>2114</v>
      </c>
      <c r="D84" t="s">
        <v>2113</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20">
        <v>-2.3E-2</v>
      </c>
    </row>
    <row r="85" spans="1:33">
      <c r="A85" t="s">
        <v>2118</v>
      </c>
      <c r="B85" t="s">
        <v>2117</v>
      </c>
      <c r="C85" t="s">
        <v>2114</v>
      </c>
      <c r="D85" t="s">
        <v>2113</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20">
        <v>-2.3E-2</v>
      </c>
    </row>
    <row r="86" spans="1:33">
      <c r="A86" t="s">
        <v>2116</v>
      </c>
      <c r="B86" t="s">
        <v>2115</v>
      </c>
      <c r="C86" t="s">
        <v>2114</v>
      </c>
      <c r="D86" t="s">
        <v>2113</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20">
        <v>-2.3E-2</v>
      </c>
    </row>
    <row r="87" spans="1:33">
      <c r="A87" t="s">
        <v>2112</v>
      </c>
    </row>
    <row r="88" spans="1:33">
      <c r="A88" t="s">
        <v>2111</v>
      </c>
      <c r="B88" t="s">
        <v>2110</v>
      </c>
      <c r="C88" t="s">
        <v>2109</v>
      </c>
      <c r="D88" t="s">
        <v>2082</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20">
        <v>-4.0000000000000001E-3</v>
      </c>
    </row>
    <row r="89" spans="1:33">
      <c r="A89" t="s">
        <v>2108</v>
      </c>
      <c r="B89" t="s">
        <v>2107</v>
      </c>
      <c r="C89" t="s">
        <v>2100</v>
      </c>
      <c r="D89" t="s">
        <v>2082</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20">
        <v>-5.0000000000000001E-3</v>
      </c>
    </row>
    <row r="90" spans="1:33">
      <c r="A90" t="s">
        <v>2106</v>
      </c>
      <c r="B90" t="s">
        <v>2105</v>
      </c>
      <c r="C90" t="s">
        <v>2100</v>
      </c>
      <c r="D90" t="s">
        <v>2082</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20">
        <v>-5.0000000000000001E-3</v>
      </c>
    </row>
    <row r="91" spans="1:33">
      <c r="A91" t="s">
        <v>2104</v>
      </c>
      <c r="B91" t="s">
        <v>2103</v>
      </c>
      <c r="C91" t="s">
        <v>2100</v>
      </c>
      <c r="D91" t="s">
        <v>2082</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20">
        <v>-0.01</v>
      </c>
    </row>
    <row r="92" spans="1:33">
      <c r="A92" t="s">
        <v>2102</v>
      </c>
      <c r="B92" t="s">
        <v>2101</v>
      </c>
      <c r="C92" t="s">
        <v>2100</v>
      </c>
      <c r="D92" t="s">
        <v>2082</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20">
        <v>-0.01</v>
      </c>
    </row>
    <row r="93" spans="1:33">
      <c r="A93" t="s">
        <v>63</v>
      </c>
      <c r="B93" t="s">
        <v>2099</v>
      </c>
      <c r="C93" t="s">
        <v>2092</v>
      </c>
      <c r="D93" t="s">
        <v>2082</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20">
        <v>-8.0000000000000002E-3</v>
      </c>
    </row>
    <row r="94" spans="1:33">
      <c r="A94" t="s">
        <v>2098</v>
      </c>
      <c r="B94" t="s">
        <v>2097</v>
      </c>
      <c r="C94" t="s">
        <v>2092</v>
      </c>
      <c r="D94" t="s">
        <v>2082</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20">
        <v>-8.9999999999999993E-3</v>
      </c>
    </row>
    <row r="95" spans="1:33">
      <c r="A95" t="s">
        <v>2096</v>
      </c>
      <c r="B95" t="s">
        <v>2095</v>
      </c>
      <c r="C95" t="s">
        <v>2092</v>
      </c>
      <c r="D95" t="s">
        <v>2082</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20">
        <v>-8.0000000000000002E-3</v>
      </c>
    </row>
    <row r="96" spans="1:33">
      <c r="A96" t="s">
        <v>2094</v>
      </c>
      <c r="B96" t="s">
        <v>2093</v>
      </c>
      <c r="C96" t="s">
        <v>2092</v>
      </c>
      <c r="D96" t="s">
        <v>2082</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20">
        <v>-4.0000000000000001E-3</v>
      </c>
    </row>
    <row r="97" spans="1:33">
      <c r="A97" t="s">
        <v>2091</v>
      </c>
      <c r="B97" t="s">
        <v>2090</v>
      </c>
      <c r="C97" t="s">
        <v>2087</v>
      </c>
      <c r="D97" t="s">
        <v>2082</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20">
        <v>-1.6E-2</v>
      </c>
    </row>
    <row r="98" spans="1:33">
      <c r="A98" t="s">
        <v>2059</v>
      </c>
      <c r="B98" t="s">
        <v>2089</v>
      </c>
      <c r="C98" t="s">
        <v>2087</v>
      </c>
      <c r="D98" t="s">
        <v>2082</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20">
        <v>-4.0000000000000001E-3</v>
      </c>
    </row>
    <row r="99" spans="1:33">
      <c r="A99" t="s">
        <v>2062</v>
      </c>
      <c r="B99" t="s">
        <v>2088</v>
      </c>
      <c r="C99" t="s">
        <v>2087</v>
      </c>
      <c r="D99" t="s">
        <v>2082</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20">
        <v>-3.0000000000000001E-3</v>
      </c>
    </row>
    <row r="100" spans="1:33">
      <c r="A100" t="s">
        <v>2086</v>
      </c>
    </row>
    <row r="101" spans="1:33">
      <c r="A101" t="s">
        <v>2059</v>
      </c>
      <c r="B101" t="s">
        <v>2085</v>
      </c>
      <c r="C101" t="s">
        <v>2083</v>
      </c>
      <c r="D101" t="s">
        <v>2082</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20">
        <v>-4.0000000000000001E-3</v>
      </c>
    </row>
    <row r="102" spans="1:33">
      <c r="A102" t="s">
        <v>2062</v>
      </c>
      <c r="B102" t="s">
        <v>2084</v>
      </c>
      <c r="C102" t="s">
        <v>2083</v>
      </c>
      <c r="D102" t="s">
        <v>2082</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20">
        <v>-3.0000000000000001E-3</v>
      </c>
    </row>
    <row r="103" spans="1:33">
      <c r="A103" t="s">
        <v>2081</v>
      </c>
      <c r="B103" t="s">
        <v>2080</v>
      </c>
      <c r="C103" t="s">
        <v>2079</v>
      </c>
      <c r="D103" t="s">
        <v>2078</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20">
        <v>1E-3</v>
      </c>
    </row>
    <row r="104" spans="1:33">
      <c r="A104" t="s">
        <v>2077</v>
      </c>
    </row>
    <row r="105" spans="1:33">
      <c r="A105" t="s">
        <v>157</v>
      </c>
    </row>
    <row r="106" spans="1:33">
      <c r="A106" t="s">
        <v>153</v>
      </c>
      <c r="B106" t="s">
        <v>2076</v>
      </c>
      <c r="C106" t="s">
        <v>2075</v>
      </c>
      <c r="D106" t="s">
        <v>2047</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20">
        <v>3.0000000000000001E-3</v>
      </c>
    </row>
    <row r="107" spans="1:33">
      <c r="A107" t="s">
        <v>2062</v>
      </c>
      <c r="B107" t="s">
        <v>2074</v>
      </c>
      <c r="C107" t="s">
        <v>2073</v>
      </c>
      <c r="D107" t="s">
        <v>2047</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20">
        <v>1E-3</v>
      </c>
    </row>
    <row r="108" spans="1:33">
      <c r="A108" t="s">
        <v>2059</v>
      </c>
      <c r="B108" t="s">
        <v>2072</v>
      </c>
      <c r="C108" t="s">
        <v>2071</v>
      </c>
      <c r="D108" t="s">
        <v>2047</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20">
        <v>1E-3</v>
      </c>
    </row>
    <row r="109" spans="1:33">
      <c r="A109" t="s">
        <v>2054</v>
      </c>
      <c r="B109" t="s">
        <v>2070</v>
      </c>
      <c r="C109" t="s">
        <v>2069</v>
      </c>
      <c r="D109" t="s">
        <v>2047</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15</v>
      </c>
    </row>
    <row r="110" spans="1:33">
      <c r="A110" t="s">
        <v>1609</v>
      </c>
      <c r="B110" t="s">
        <v>2068</v>
      </c>
      <c r="C110" t="s">
        <v>2067</v>
      </c>
      <c r="D110" t="s">
        <v>2047</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20">
        <v>4.0000000000000001E-3</v>
      </c>
    </row>
    <row r="111" spans="1:33">
      <c r="A111" t="s">
        <v>1574</v>
      </c>
      <c r="B111" t="s">
        <v>2066</v>
      </c>
      <c r="C111" t="s">
        <v>2065</v>
      </c>
      <c r="D111" t="s">
        <v>2047</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20">
        <v>4.0000000000000001E-3</v>
      </c>
    </row>
    <row r="112" spans="1:33">
      <c r="A112" t="s">
        <v>158</v>
      </c>
    </row>
    <row r="113" spans="1:33">
      <c r="A113" t="s">
        <v>153</v>
      </c>
      <c r="B113" t="s">
        <v>2064</v>
      </c>
      <c r="C113" t="s">
        <v>2063</v>
      </c>
      <c r="D113" t="s">
        <v>2047</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20">
        <v>2E-3</v>
      </c>
    </row>
    <row r="114" spans="1:33">
      <c r="A114" t="s">
        <v>2062</v>
      </c>
      <c r="B114" t="s">
        <v>2061</v>
      </c>
      <c r="C114" t="s">
        <v>2060</v>
      </c>
      <c r="D114" t="s">
        <v>2047</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20">
        <v>3.0000000000000001E-3</v>
      </c>
    </row>
    <row r="115" spans="1:33">
      <c r="A115" t="s">
        <v>2059</v>
      </c>
      <c r="B115" t="s">
        <v>2058</v>
      </c>
      <c r="C115" t="s">
        <v>2057</v>
      </c>
      <c r="D115" t="s">
        <v>2047</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20">
        <v>3.0000000000000001E-3</v>
      </c>
    </row>
    <row r="116" spans="1:33">
      <c r="A116" t="s">
        <v>155</v>
      </c>
      <c r="B116" t="s">
        <v>2056</v>
      </c>
      <c r="C116" t="s">
        <v>2055</v>
      </c>
      <c r="D116" t="s">
        <v>2047</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20">
        <v>8.9999999999999993E-3</v>
      </c>
    </row>
    <row r="117" spans="1:33">
      <c r="A117" t="s">
        <v>2054</v>
      </c>
      <c r="B117" t="s">
        <v>2053</v>
      </c>
      <c r="C117" t="s">
        <v>2052</v>
      </c>
      <c r="D117" t="s">
        <v>2047</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20">
        <v>8.9999999999999993E-3</v>
      </c>
    </row>
    <row r="118" spans="1:33">
      <c r="A118" t="s">
        <v>1609</v>
      </c>
      <c r="B118" t="s">
        <v>2051</v>
      </c>
      <c r="C118" t="s">
        <v>2050</v>
      </c>
      <c r="D118" t="s">
        <v>2047</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20">
        <v>6.0000000000000001E-3</v>
      </c>
    </row>
    <row r="119" spans="1:33">
      <c r="A119" t="s">
        <v>1574</v>
      </c>
      <c r="B119" t="s">
        <v>2049</v>
      </c>
      <c r="C119" t="s">
        <v>2048</v>
      </c>
      <c r="D119" t="s">
        <v>2047</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20">
        <v>8.9999999999999993E-3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CEC4A-3B67-41FB-AC5C-2B55588E7543}">
  <dimension ref="A1:AE230"/>
  <sheetViews>
    <sheetView workbookViewId="0"/>
  </sheetViews>
  <sheetFormatPr defaultRowHeight="15"/>
  <cols>
    <col min="1" max="1" width="30.42578125" customWidth="1"/>
    <col min="2" max="2" width="96.7109375" bestFit="1" customWidth="1"/>
  </cols>
  <sheetData>
    <row r="1" spans="1:31">
      <c r="A1" t="s">
        <v>209</v>
      </c>
    </row>
    <row r="2" spans="1:31">
      <c r="A2" t="s">
        <v>3250</v>
      </c>
    </row>
    <row r="3" spans="1:31">
      <c r="A3" t="s">
        <v>3249</v>
      </c>
    </row>
    <row r="4" spans="1:31">
      <c r="A4" t="s">
        <v>173</v>
      </c>
    </row>
    <row r="5" spans="1:31">
      <c r="B5" t="s">
        <v>174</v>
      </c>
      <c r="C5" t="s">
        <v>175</v>
      </c>
      <c r="D5" t="s">
        <v>176</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3248</v>
      </c>
    </row>
    <row r="6" spans="1:31">
      <c r="A6" t="s">
        <v>18</v>
      </c>
    </row>
    <row r="7" spans="1:31">
      <c r="A7" t="s">
        <v>210</v>
      </c>
      <c r="B7" t="s">
        <v>3247</v>
      </c>
      <c r="C7" t="s">
        <v>3246</v>
      </c>
      <c r="D7" t="s">
        <v>176</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s="20">
        <v>1.6E-2</v>
      </c>
    </row>
    <row r="8" spans="1:31">
      <c r="A8" t="s">
        <v>211</v>
      </c>
      <c r="B8" t="s">
        <v>3245</v>
      </c>
      <c r="C8" t="s">
        <v>3244</v>
      </c>
      <c r="D8" t="s">
        <v>176</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s="20">
        <v>1.6E-2</v>
      </c>
    </row>
    <row r="9" spans="1:31">
      <c r="A9" t="s">
        <v>212</v>
      </c>
      <c r="B9" t="s">
        <v>3243</v>
      </c>
      <c r="C9" t="s">
        <v>3242</v>
      </c>
      <c r="D9" t="s">
        <v>176</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s="20">
        <v>1.7000000000000001E-2</v>
      </c>
    </row>
    <row r="10" spans="1:31">
      <c r="A10" t="s">
        <v>213</v>
      </c>
      <c r="B10" t="s">
        <v>3241</v>
      </c>
      <c r="C10" t="s">
        <v>3240</v>
      </c>
      <c r="D10" t="s">
        <v>176</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s="20">
        <v>1.4999999999999999E-2</v>
      </c>
    </row>
    <row r="11" spans="1:31">
      <c r="A11" t="s">
        <v>214</v>
      </c>
      <c r="B11" t="s">
        <v>3239</v>
      </c>
      <c r="C11" t="s">
        <v>3238</v>
      </c>
      <c r="D11" t="s">
        <v>176</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s="20">
        <v>1.7000000000000001E-2</v>
      </c>
    </row>
    <row r="12" spans="1:31">
      <c r="A12" t="s">
        <v>211</v>
      </c>
      <c r="B12" t="s">
        <v>3237</v>
      </c>
      <c r="C12" t="s">
        <v>3236</v>
      </c>
      <c r="D12" t="s">
        <v>176</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s="20">
        <v>1.7999999999999999E-2</v>
      </c>
    </row>
    <row r="13" spans="1:31">
      <c r="A13" t="s">
        <v>212</v>
      </c>
      <c r="B13" t="s">
        <v>3235</v>
      </c>
      <c r="C13" t="s">
        <v>3234</v>
      </c>
      <c r="D13" t="s">
        <v>176</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s="20">
        <v>2.1999999999999999E-2</v>
      </c>
    </row>
    <row r="14" spans="1:31">
      <c r="A14" t="s">
        <v>213</v>
      </c>
      <c r="B14" t="s">
        <v>3233</v>
      </c>
      <c r="C14" t="s">
        <v>3232</v>
      </c>
      <c r="D14" t="s">
        <v>176</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s="20">
        <v>1.4999999999999999E-2</v>
      </c>
    </row>
    <row r="15" spans="1:31">
      <c r="A15" t="s">
        <v>745</v>
      </c>
      <c r="B15" t="s">
        <v>3231</v>
      </c>
      <c r="C15" t="s">
        <v>3230</v>
      </c>
      <c r="D15" t="s">
        <v>176</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s="20">
        <v>3.1E-2</v>
      </c>
    </row>
    <row r="16" spans="1:31">
      <c r="A16" t="s">
        <v>211</v>
      </c>
      <c r="B16" t="s">
        <v>3229</v>
      </c>
      <c r="C16" t="s">
        <v>3228</v>
      </c>
      <c r="D16" t="s">
        <v>176</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s="20">
        <v>3.1E-2</v>
      </c>
    </row>
    <row r="17" spans="1:31">
      <c r="A17" t="s">
        <v>212</v>
      </c>
      <c r="B17" t="s">
        <v>3227</v>
      </c>
      <c r="C17" t="s">
        <v>3226</v>
      </c>
      <c r="D17" t="s">
        <v>176</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s="20">
        <v>2.9000000000000001E-2</v>
      </c>
    </row>
    <row r="18" spans="1:31">
      <c r="A18" t="s">
        <v>213</v>
      </c>
      <c r="B18" t="s">
        <v>3225</v>
      </c>
      <c r="C18" t="s">
        <v>3224</v>
      </c>
      <c r="D18" t="s">
        <v>176</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s="20">
        <v>3.1E-2</v>
      </c>
    </row>
    <row r="19" spans="1:31">
      <c r="A19" t="s">
        <v>742</v>
      </c>
      <c r="B19" t="s">
        <v>3223</v>
      </c>
      <c r="C19" t="s">
        <v>3222</v>
      </c>
      <c r="D19" t="s">
        <v>176</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s="20">
        <v>1.9E-2</v>
      </c>
    </row>
    <row r="20" spans="1:31">
      <c r="A20" t="s">
        <v>211</v>
      </c>
      <c r="B20" t="s">
        <v>3221</v>
      </c>
      <c r="C20" t="s">
        <v>3220</v>
      </c>
      <c r="D20" t="s">
        <v>176</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s="20">
        <v>1.9E-2</v>
      </c>
    </row>
    <row r="21" spans="1:31">
      <c r="A21" t="s">
        <v>212</v>
      </c>
      <c r="B21" t="s">
        <v>3219</v>
      </c>
      <c r="C21" t="s">
        <v>3218</v>
      </c>
      <c r="D21" t="s">
        <v>176</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s="20">
        <v>1.7999999999999999E-2</v>
      </c>
    </row>
    <row r="22" spans="1:31">
      <c r="A22" t="s">
        <v>213</v>
      </c>
      <c r="B22" t="s">
        <v>3217</v>
      </c>
      <c r="C22" t="s">
        <v>3216</v>
      </c>
      <c r="D22" t="s">
        <v>176</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s="20">
        <v>1.9E-2</v>
      </c>
    </row>
    <row r="23" spans="1:31">
      <c r="A23" t="s">
        <v>739</v>
      </c>
      <c r="B23" t="s">
        <v>3215</v>
      </c>
      <c r="C23" t="s">
        <v>3214</v>
      </c>
      <c r="D23" t="s">
        <v>176</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s="20">
        <v>2E-3</v>
      </c>
    </row>
    <row r="24" spans="1:31">
      <c r="A24" t="s">
        <v>211</v>
      </c>
      <c r="B24" t="s">
        <v>3213</v>
      </c>
      <c r="C24" t="s">
        <v>3212</v>
      </c>
      <c r="D24" t="s">
        <v>176</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s="20">
        <v>4.0000000000000001E-3</v>
      </c>
    </row>
    <row r="25" spans="1:31">
      <c r="A25" t="s">
        <v>212</v>
      </c>
      <c r="B25" t="s">
        <v>3211</v>
      </c>
      <c r="C25" t="s">
        <v>3210</v>
      </c>
      <c r="D25" t="s">
        <v>176</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s="20">
        <v>0</v>
      </c>
    </row>
    <row r="26" spans="1:31">
      <c r="A26" t="s">
        <v>213</v>
      </c>
      <c r="B26" t="s">
        <v>3209</v>
      </c>
      <c r="C26" t="s">
        <v>3208</v>
      </c>
      <c r="D26" t="s">
        <v>176</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s="20">
        <v>5.0000000000000001E-3</v>
      </c>
    </row>
    <row r="27" spans="1:31">
      <c r="A27" t="s">
        <v>736</v>
      </c>
      <c r="B27" t="s">
        <v>3207</v>
      </c>
      <c r="C27" t="s">
        <v>3206</v>
      </c>
      <c r="D27" t="s">
        <v>176</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s="20">
        <v>2.1999999999999999E-2</v>
      </c>
    </row>
    <row r="28" spans="1:31">
      <c r="A28" t="s">
        <v>211</v>
      </c>
      <c r="B28" t="s">
        <v>3205</v>
      </c>
      <c r="C28" t="s">
        <v>3204</v>
      </c>
      <c r="D28" t="s">
        <v>176</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s="20">
        <v>2.1999999999999999E-2</v>
      </c>
    </row>
    <row r="29" spans="1:31">
      <c r="A29" t="s">
        <v>212</v>
      </c>
      <c r="B29" t="s">
        <v>3203</v>
      </c>
      <c r="C29" t="s">
        <v>3202</v>
      </c>
      <c r="D29" t="s">
        <v>176</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s="20">
        <v>2.5000000000000001E-2</v>
      </c>
    </row>
    <row r="30" spans="1:31">
      <c r="A30" t="s">
        <v>213</v>
      </c>
      <c r="B30" t="s">
        <v>3201</v>
      </c>
      <c r="C30" t="s">
        <v>3200</v>
      </c>
      <c r="D30" t="s">
        <v>176</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s="20">
        <v>2.1000000000000001E-2</v>
      </c>
    </row>
    <row r="31" spans="1:31">
      <c r="A31" t="s">
        <v>733</v>
      </c>
      <c r="B31" t="s">
        <v>3199</v>
      </c>
      <c r="C31" t="s">
        <v>3198</v>
      </c>
      <c r="D31" t="s">
        <v>176</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s="20">
        <v>2.5000000000000001E-2</v>
      </c>
    </row>
    <row r="32" spans="1:31">
      <c r="A32" t="s">
        <v>211</v>
      </c>
      <c r="B32" t="s">
        <v>3197</v>
      </c>
      <c r="C32" t="s">
        <v>3196</v>
      </c>
      <c r="D32" t="s">
        <v>176</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s="20">
        <v>2.1999999999999999E-2</v>
      </c>
    </row>
    <row r="33" spans="1:31">
      <c r="A33" t="s">
        <v>212</v>
      </c>
      <c r="B33" t="s">
        <v>3195</v>
      </c>
      <c r="C33" t="s">
        <v>3194</v>
      </c>
      <c r="D33" t="s">
        <v>176</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s="20">
        <v>2.7E-2</v>
      </c>
    </row>
    <row r="34" spans="1:31">
      <c r="A34" t="s">
        <v>213</v>
      </c>
      <c r="B34" t="s">
        <v>3193</v>
      </c>
      <c r="C34" t="s">
        <v>3192</v>
      </c>
      <c r="D34" t="s">
        <v>176</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s="20">
        <v>1.7999999999999999E-2</v>
      </c>
    </row>
    <row r="35" spans="1:31">
      <c r="A35" t="s">
        <v>730</v>
      </c>
      <c r="B35" t="s">
        <v>3191</v>
      </c>
      <c r="C35" t="s">
        <v>3190</v>
      </c>
      <c r="D35" t="s">
        <v>176</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s="20">
        <v>0.02</v>
      </c>
    </row>
    <row r="36" spans="1:31">
      <c r="A36" t="s">
        <v>211</v>
      </c>
      <c r="B36" t="s">
        <v>3189</v>
      </c>
      <c r="C36" t="s">
        <v>3188</v>
      </c>
      <c r="D36" t="s">
        <v>176</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s="20">
        <v>1.9E-2</v>
      </c>
    </row>
    <row r="37" spans="1:31">
      <c r="A37" t="s">
        <v>212</v>
      </c>
      <c r="B37" t="s">
        <v>3187</v>
      </c>
      <c r="C37" t="s">
        <v>3186</v>
      </c>
      <c r="D37" t="s">
        <v>176</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s="20">
        <v>2.8000000000000001E-2</v>
      </c>
    </row>
    <row r="38" spans="1:31">
      <c r="A38" t="s">
        <v>213</v>
      </c>
      <c r="B38" t="s">
        <v>3185</v>
      </c>
      <c r="C38" t="s">
        <v>3184</v>
      </c>
      <c r="D38" t="s">
        <v>176</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s="20">
        <v>1.4999999999999999E-2</v>
      </c>
    </row>
    <row r="39" spans="1:31">
      <c r="A39" t="s">
        <v>727</v>
      </c>
      <c r="B39" t="s">
        <v>3183</v>
      </c>
      <c r="C39" t="s">
        <v>3182</v>
      </c>
      <c r="D39" t="s">
        <v>176</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s="20">
        <v>2.5999999999999999E-2</v>
      </c>
    </row>
    <row r="40" spans="1:31">
      <c r="A40" t="s">
        <v>211</v>
      </c>
      <c r="B40" t="s">
        <v>3181</v>
      </c>
      <c r="C40" t="s">
        <v>3180</v>
      </c>
      <c r="D40" t="s">
        <v>176</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s="20">
        <v>2.9000000000000001E-2</v>
      </c>
    </row>
    <row r="41" spans="1:31">
      <c r="A41" t="s">
        <v>212</v>
      </c>
      <c r="B41" t="s">
        <v>3179</v>
      </c>
      <c r="C41" t="s">
        <v>3178</v>
      </c>
      <c r="D41" t="s">
        <v>176</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s="20">
        <v>1.7999999999999999E-2</v>
      </c>
    </row>
    <row r="42" spans="1:31">
      <c r="A42" t="s">
        <v>213</v>
      </c>
      <c r="B42" t="s">
        <v>3177</v>
      </c>
      <c r="C42" t="s">
        <v>3176</v>
      </c>
      <c r="D42" t="s">
        <v>176</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s="20">
        <v>2.1999999999999999E-2</v>
      </c>
    </row>
    <row r="43" spans="1:31">
      <c r="A43" t="s">
        <v>216</v>
      </c>
      <c r="B43" t="s">
        <v>3175</v>
      </c>
      <c r="C43" t="s">
        <v>3174</v>
      </c>
      <c r="D43" t="s">
        <v>176</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s="20">
        <v>4.2000000000000003E-2</v>
      </c>
    </row>
    <row r="44" spans="1:31">
      <c r="A44" t="s">
        <v>211</v>
      </c>
      <c r="B44" t="s">
        <v>3173</v>
      </c>
      <c r="C44" t="s">
        <v>3172</v>
      </c>
      <c r="D44" t="s">
        <v>176</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s="20">
        <v>4.2000000000000003E-2</v>
      </c>
    </row>
    <row r="45" spans="1:31">
      <c r="A45" t="s">
        <v>212</v>
      </c>
      <c r="B45" t="s">
        <v>3171</v>
      </c>
      <c r="C45" t="s">
        <v>3170</v>
      </c>
      <c r="D45" t="s">
        <v>176</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s="20">
        <v>0.04</v>
      </c>
    </row>
    <row r="46" spans="1:31">
      <c r="A46" t="s">
        <v>213</v>
      </c>
      <c r="B46" t="s">
        <v>3169</v>
      </c>
      <c r="C46" t="s">
        <v>3168</v>
      </c>
      <c r="D46" t="s">
        <v>176</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s="20">
        <v>0.04</v>
      </c>
    </row>
    <row r="47" spans="1:31">
      <c r="A47" t="s">
        <v>722</v>
      </c>
      <c r="B47" t="s">
        <v>3167</v>
      </c>
      <c r="C47" t="s">
        <v>3166</v>
      </c>
      <c r="D47" t="s">
        <v>176</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s="20">
        <v>5.5E-2</v>
      </c>
    </row>
    <row r="48" spans="1:31">
      <c r="A48" t="s">
        <v>211</v>
      </c>
      <c r="B48" t="s">
        <v>3165</v>
      </c>
      <c r="C48" t="s">
        <v>3164</v>
      </c>
      <c r="D48" t="s">
        <v>176</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s="20">
        <v>5.6000000000000001E-2</v>
      </c>
    </row>
    <row r="49" spans="1:31">
      <c r="A49" t="s">
        <v>212</v>
      </c>
      <c r="B49" t="s">
        <v>3163</v>
      </c>
      <c r="C49" t="s">
        <v>3162</v>
      </c>
      <c r="D49" t="s">
        <v>176</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s="20">
        <v>4.8000000000000001E-2</v>
      </c>
    </row>
    <row r="50" spans="1:31">
      <c r="A50" t="s">
        <v>213</v>
      </c>
      <c r="B50" t="s">
        <v>3161</v>
      </c>
      <c r="C50" t="s">
        <v>3160</v>
      </c>
      <c r="D50" t="s">
        <v>176</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s="20">
        <v>5.6000000000000001E-2</v>
      </c>
    </row>
    <row r="51" spans="1:31">
      <c r="A51" t="s">
        <v>719</v>
      </c>
      <c r="B51" t="s">
        <v>3159</v>
      </c>
      <c r="C51" t="s">
        <v>3158</v>
      </c>
      <c r="D51" t="s">
        <v>176</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s="20">
        <v>3.7999999999999999E-2</v>
      </c>
    </row>
    <row r="52" spans="1:31">
      <c r="A52" t="s">
        <v>211</v>
      </c>
      <c r="B52" t="s">
        <v>3157</v>
      </c>
      <c r="C52" t="s">
        <v>3156</v>
      </c>
      <c r="D52" t="s">
        <v>176</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s="20">
        <v>3.9E-2</v>
      </c>
    </row>
    <row r="53" spans="1:31">
      <c r="A53" t="s">
        <v>212</v>
      </c>
      <c r="B53" t="s">
        <v>3155</v>
      </c>
      <c r="C53" t="s">
        <v>3154</v>
      </c>
      <c r="D53" t="s">
        <v>176</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s="20">
        <v>3.4000000000000002E-2</v>
      </c>
    </row>
    <row r="54" spans="1:31">
      <c r="A54" t="s">
        <v>213</v>
      </c>
      <c r="B54" t="s">
        <v>3153</v>
      </c>
      <c r="C54" t="s">
        <v>3152</v>
      </c>
      <c r="D54" t="s">
        <v>176</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s="20">
        <v>3.9E-2</v>
      </c>
    </row>
    <row r="55" spans="1:31">
      <c r="A55" t="s">
        <v>716</v>
      </c>
      <c r="B55" t="s">
        <v>3151</v>
      </c>
      <c r="C55" t="s">
        <v>3150</v>
      </c>
      <c r="D55" t="s">
        <v>176</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s="20">
        <v>3.5999999999999997E-2</v>
      </c>
    </row>
    <row r="56" spans="1:31">
      <c r="A56" t="s">
        <v>211</v>
      </c>
      <c r="B56" t="s">
        <v>3149</v>
      </c>
      <c r="C56" t="s">
        <v>3148</v>
      </c>
      <c r="D56" t="s">
        <v>176</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s="20">
        <v>3.6999999999999998E-2</v>
      </c>
    </row>
    <row r="57" spans="1:31">
      <c r="A57" t="s">
        <v>212</v>
      </c>
      <c r="B57" t="s">
        <v>3147</v>
      </c>
      <c r="C57" t="s">
        <v>3146</v>
      </c>
      <c r="D57" t="s">
        <v>176</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s="20">
        <v>3.5999999999999997E-2</v>
      </c>
    </row>
    <row r="58" spans="1:31">
      <c r="A58" t="s">
        <v>213</v>
      </c>
      <c r="B58" t="s">
        <v>3145</v>
      </c>
      <c r="C58" t="s">
        <v>3144</v>
      </c>
      <c r="D58" t="s">
        <v>176</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s="20">
        <v>3.2000000000000001E-2</v>
      </c>
    </row>
    <row r="59" spans="1:31">
      <c r="A59" t="s">
        <v>215</v>
      </c>
      <c r="B59" t="s">
        <v>3143</v>
      </c>
      <c r="C59" t="s">
        <v>3142</v>
      </c>
      <c r="D59" t="s">
        <v>176</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s="20">
        <v>3.9E-2</v>
      </c>
    </row>
    <row r="60" spans="1:31">
      <c r="A60" t="s">
        <v>211</v>
      </c>
      <c r="B60" t="s">
        <v>3141</v>
      </c>
      <c r="C60" t="s">
        <v>3140</v>
      </c>
      <c r="D60" t="s">
        <v>176</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s="20">
        <v>3.7999999999999999E-2</v>
      </c>
    </row>
    <row r="61" spans="1:31">
      <c r="A61" t="s">
        <v>212</v>
      </c>
      <c r="B61" t="s">
        <v>3139</v>
      </c>
      <c r="C61" t="s">
        <v>3138</v>
      </c>
      <c r="D61" t="s">
        <v>176</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s="20">
        <v>3.7999999999999999E-2</v>
      </c>
    </row>
    <row r="62" spans="1:31">
      <c r="A62" t="s">
        <v>213</v>
      </c>
      <c r="B62" t="s">
        <v>3137</v>
      </c>
      <c r="C62" t="s">
        <v>3136</v>
      </c>
      <c r="D62" t="s">
        <v>176</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s="20">
        <v>3.9E-2</v>
      </c>
    </row>
    <row r="63" spans="1:31">
      <c r="A63" t="s">
        <v>711</v>
      </c>
      <c r="B63" t="s">
        <v>3135</v>
      </c>
      <c r="C63" t="s">
        <v>3134</v>
      </c>
      <c r="D63" t="s">
        <v>176</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s="20">
        <v>1.4999999999999999E-2</v>
      </c>
    </row>
    <row r="64" spans="1:31">
      <c r="A64" t="s">
        <v>211</v>
      </c>
      <c r="B64" t="s">
        <v>3133</v>
      </c>
      <c r="C64" t="s">
        <v>3132</v>
      </c>
      <c r="D64" t="s">
        <v>176</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s="20">
        <v>1.4999999999999999E-2</v>
      </c>
    </row>
    <row r="65" spans="1:31">
      <c r="A65" t="s">
        <v>212</v>
      </c>
      <c r="B65" t="s">
        <v>3131</v>
      </c>
      <c r="C65" t="s">
        <v>3130</v>
      </c>
      <c r="D65" t="s">
        <v>176</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s="20">
        <v>1.6E-2</v>
      </c>
    </row>
    <row r="66" spans="1:31">
      <c r="A66" t="s">
        <v>213</v>
      </c>
      <c r="B66" t="s">
        <v>3129</v>
      </c>
      <c r="C66" t="s">
        <v>3128</v>
      </c>
      <c r="D66" t="s">
        <v>176</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s="20">
        <v>1.4999999999999999E-2</v>
      </c>
    </row>
    <row r="67" spans="1:31">
      <c r="A67" t="s">
        <v>708</v>
      </c>
      <c r="B67" t="s">
        <v>3127</v>
      </c>
      <c r="C67" t="s">
        <v>3126</v>
      </c>
      <c r="D67" t="s">
        <v>176</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s="20">
        <v>2.5000000000000001E-2</v>
      </c>
    </row>
    <row r="68" spans="1:31">
      <c r="A68" t="s">
        <v>211</v>
      </c>
      <c r="B68" t="s">
        <v>3125</v>
      </c>
      <c r="C68" t="s">
        <v>3124</v>
      </c>
      <c r="D68" t="s">
        <v>176</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s="20">
        <v>2.5000000000000001E-2</v>
      </c>
    </row>
    <row r="69" spans="1:31">
      <c r="A69" t="s">
        <v>212</v>
      </c>
      <c r="B69" t="s">
        <v>3123</v>
      </c>
      <c r="C69" t="s">
        <v>3122</v>
      </c>
      <c r="D69" t="s">
        <v>176</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s="20">
        <v>2.7E-2</v>
      </c>
    </row>
    <row r="70" spans="1:31">
      <c r="A70" t="s">
        <v>213</v>
      </c>
      <c r="B70" t="s">
        <v>3121</v>
      </c>
      <c r="C70" t="s">
        <v>3120</v>
      </c>
      <c r="D70" t="s">
        <v>176</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s="20">
        <v>2.3E-2</v>
      </c>
    </row>
    <row r="71" spans="1:31">
      <c r="A71" t="s">
        <v>13</v>
      </c>
      <c r="B71" t="s">
        <v>3119</v>
      </c>
      <c r="C71" t="s">
        <v>3118</v>
      </c>
      <c r="D71" t="s">
        <v>176</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s="20">
        <v>2.8000000000000001E-2</v>
      </c>
    </row>
    <row r="72" spans="1:31">
      <c r="A72" t="s">
        <v>211</v>
      </c>
      <c r="B72" t="s">
        <v>3117</v>
      </c>
      <c r="C72" t="s">
        <v>3116</v>
      </c>
      <c r="D72" t="s">
        <v>176</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s="20">
        <v>2.9000000000000001E-2</v>
      </c>
    </row>
    <row r="73" spans="1:31">
      <c r="A73" t="s">
        <v>212</v>
      </c>
      <c r="B73" t="s">
        <v>3115</v>
      </c>
      <c r="C73" t="s">
        <v>3114</v>
      </c>
      <c r="D73" t="s">
        <v>176</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s="20">
        <v>2.7E-2</v>
      </c>
    </row>
    <row r="74" spans="1:31">
      <c r="A74" t="s">
        <v>213</v>
      </c>
      <c r="B74" t="s">
        <v>3113</v>
      </c>
      <c r="C74" t="s">
        <v>3112</v>
      </c>
      <c r="D74" t="s">
        <v>176</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s="20">
        <v>2.4E-2</v>
      </c>
    </row>
    <row r="75" spans="1:31">
      <c r="A75" t="s">
        <v>17</v>
      </c>
    </row>
    <row r="76" spans="1:31">
      <c r="A76" t="s">
        <v>210</v>
      </c>
      <c r="B76" t="s">
        <v>3111</v>
      </c>
      <c r="C76" t="s">
        <v>3110</v>
      </c>
      <c r="D76" t="s">
        <v>176</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s="20">
        <v>1.7000000000000001E-2</v>
      </c>
    </row>
    <row r="77" spans="1:31">
      <c r="A77" t="s">
        <v>211</v>
      </c>
      <c r="B77" t="s">
        <v>3109</v>
      </c>
      <c r="C77" t="s">
        <v>3108</v>
      </c>
      <c r="D77" t="s">
        <v>176</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s="20">
        <v>1.7000000000000001E-2</v>
      </c>
    </row>
    <row r="78" spans="1:31">
      <c r="A78" t="s">
        <v>212</v>
      </c>
      <c r="B78" t="s">
        <v>3107</v>
      </c>
      <c r="C78" t="s">
        <v>3106</v>
      </c>
      <c r="D78" t="s">
        <v>176</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s="20">
        <v>1.9E-2</v>
      </c>
    </row>
    <row r="79" spans="1:31">
      <c r="A79" t="s">
        <v>213</v>
      </c>
      <c r="B79" t="s">
        <v>3105</v>
      </c>
      <c r="C79" t="s">
        <v>3104</v>
      </c>
      <c r="D79" t="s">
        <v>176</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s="20">
        <v>1.6E-2</v>
      </c>
    </row>
    <row r="80" spans="1:31">
      <c r="A80" t="s">
        <v>214</v>
      </c>
      <c r="B80" t="s">
        <v>3103</v>
      </c>
      <c r="C80" t="s">
        <v>3102</v>
      </c>
      <c r="D80" t="s">
        <v>176</v>
      </c>
      <c r="E80">
        <v>891.78436299999998</v>
      </c>
      <c r="F80">
        <v>910.15338099999997</v>
      </c>
      <c r="G80">
        <v>928.56018100000006</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s="20">
        <v>0.02</v>
      </c>
    </row>
    <row r="81" spans="1:31">
      <c r="A81" t="s">
        <v>211</v>
      </c>
      <c r="B81" t="s">
        <v>3101</v>
      </c>
      <c r="C81" t="s">
        <v>3100</v>
      </c>
      <c r="D81" t="s">
        <v>176</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s="20">
        <v>1.9E-2</v>
      </c>
    </row>
    <row r="82" spans="1:31">
      <c r="A82" t="s">
        <v>212</v>
      </c>
      <c r="B82" t="s">
        <v>3099</v>
      </c>
      <c r="C82" t="s">
        <v>3098</v>
      </c>
      <c r="D82" t="s">
        <v>176</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s="20">
        <v>2.4E-2</v>
      </c>
    </row>
    <row r="83" spans="1:31">
      <c r="A83" t="s">
        <v>213</v>
      </c>
      <c r="B83" t="s">
        <v>3097</v>
      </c>
      <c r="C83" t="s">
        <v>3096</v>
      </c>
      <c r="D83" t="s">
        <v>176</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s="20">
        <v>0.02</v>
      </c>
    </row>
    <row r="84" spans="1:31">
      <c r="A84" t="s">
        <v>745</v>
      </c>
      <c r="B84" t="s">
        <v>3095</v>
      </c>
      <c r="C84" t="s">
        <v>3094</v>
      </c>
      <c r="D84" t="s">
        <v>176</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717.48205600000006</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s="20">
        <v>3.3000000000000002E-2</v>
      </c>
    </row>
    <row r="85" spans="1:31">
      <c r="A85" t="s">
        <v>211</v>
      </c>
      <c r="B85" t="s">
        <v>3093</v>
      </c>
      <c r="C85" t="s">
        <v>3092</v>
      </c>
      <c r="D85" t="s">
        <v>176</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s="20">
        <v>3.2000000000000001E-2</v>
      </c>
    </row>
    <row r="86" spans="1:31">
      <c r="A86" t="s">
        <v>212</v>
      </c>
      <c r="B86" t="s">
        <v>3091</v>
      </c>
      <c r="C86" t="s">
        <v>3090</v>
      </c>
      <c r="D86" t="s">
        <v>176</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s="20">
        <v>0.03</v>
      </c>
    </row>
    <row r="87" spans="1:31">
      <c r="A87" t="s">
        <v>213</v>
      </c>
      <c r="B87" t="s">
        <v>3089</v>
      </c>
      <c r="C87" t="s">
        <v>3088</v>
      </c>
      <c r="D87" t="s">
        <v>176</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s="20">
        <v>3.4000000000000002E-2</v>
      </c>
    </row>
    <row r="88" spans="1:31">
      <c r="A88" t="s">
        <v>742</v>
      </c>
      <c r="B88" t="s">
        <v>3087</v>
      </c>
      <c r="C88" t="s">
        <v>3086</v>
      </c>
      <c r="D88" t="s">
        <v>176</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s="20">
        <v>0.02</v>
      </c>
    </row>
    <row r="89" spans="1:31">
      <c r="A89" t="s">
        <v>211</v>
      </c>
      <c r="B89" t="s">
        <v>3085</v>
      </c>
      <c r="C89" t="s">
        <v>3084</v>
      </c>
      <c r="D89" t="s">
        <v>176</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s="20">
        <v>0.02</v>
      </c>
    </row>
    <row r="90" spans="1:31">
      <c r="A90" t="s">
        <v>212</v>
      </c>
      <c r="B90" t="s">
        <v>3083</v>
      </c>
      <c r="C90" t="s">
        <v>3082</v>
      </c>
      <c r="D90" t="s">
        <v>176</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s="20">
        <v>1.7999999999999999E-2</v>
      </c>
    </row>
    <row r="91" spans="1:31">
      <c r="A91" t="s">
        <v>213</v>
      </c>
      <c r="B91" t="s">
        <v>3081</v>
      </c>
      <c r="C91" t="s">
        <v>3080</v>
      </c>
      <c r="D91" t="s">
        <v>176</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s="20">
        <v>0.02</v>
      </c>
    </row>
    <row r="92" spans="1:31">
      <c r="A92" t="s">
        <v>739</v>
      </c>
      <c r="B92" t="s">
        <v>3079</v>
      </c>
      <c r="C92" t="s">
        <v>3078</v>
      </c>
      <c r="D92" t="s">
        <v>176</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s="20">
        <v>2E-3</v>
      </c>
    </row>
    <row r="93" spans="1:31">
      <c r="A93" t="s">
        <v>211</v>
      </c>
      <c r="B93" t="s">
        <v>3077</v>
      </c>
      <c r="C93" t="s">
        <v>3076</v>
      </c>
      <c r="D93" t="s">
        <v>176</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s="20">
        <v>4.0000000000000001E-3</v>
      </c>
    </row>
    <row r="94" spans="1:31">
      <c r="A94" t="s">
        <v>212</v>
      </c>
      <c r="B94" t="s">
        <v>3075</v>
      </c>
      <c r="C94" t="s">
        <v>3074</v>
      </c>
      <c r="D94" t="s">
        <v>176</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s="20">
        <v>0</v>
      </c>
    </row>
    <row r="95" spans="1:31">
      <c r="A95" t="s">
        <v>213</v>
      </c>
      <c r="B95" t="s">
        <v>3073</v>
      </c>
      <c r="C95" t="s">
        <v>3072</v>
      </c>
      <c r="D95" t="s">
        <v>176</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s="20">
        <v>5.0000000000000001E-3</v>
      </c>
    </row>
    <row r="96" spans="1:31">
      <c r="A96" t="s">
        <v>736</v>
      </c>
      <c r="B96" t="s">
        <v>3071</v>
      </c>
      <c r="C96" t="s">
        <v>3070</v>
      </c>
      <c r="D96" t="s">
        <v>176</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s="20">
        <v>2.4E-2</v>
      </c>
    </row>
    <row r="97" spans="1:31">
      <c r="A97" t="s">
        <v>211</v>
      </c>
      <c r="B97" t="s">
        <v>3069</v>
      </c>
      <c r="C97" t="s">
        <v>3068</v>
      </c>
      <c r="D97" t="s">
        <v>176</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s="20">
        <v>2.3E-2</v>
      </c>
    </row>
    <row r="98" spans="1:31">
      <c r="A98" t="s">
        <v>212</v>
      </c>
      <c r="B98" t="s">
        <v>3067</v>
      </c>
      <c r="C98" t="s">
        <v>3066</v>
      </c>
      <c r="D98" t="s">
        <v>176</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s="20">
        <v>2.7E-2</v>
      </c>
    </row>
    <row r="99" spans="1:31">
      <c r="A99" t="s">
        <v>213</v>
      </c>
      <c r="B99" t="s">
        <v>3065</v>
      </c>
      <c r="C99" t="s">
        <v>3064</v>
      </c>
      <c r="D99" t="s">
        <v>176</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s="20">
        <v>2.3E-2</v>
      </c>
    </row>
    <row r="100" spans="1:31">
      <c r="A100" t="s">
        <v>733</v>
      </c>
      <c r="B100" t="s">
        <v>3063</v>
      </c>
      <c r="C100" t="s">
        <v>3062</v>
      </c>
      <c r="D100" t="s">
        <v>176</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s="20">
        <v>2.5999999999999999E-2</v>
      </c>
    </row>
    <row r="101" spans="1:31">
      <c r="A101" t="s">
        <v>211</v>
      </c>
      <c r="B101" t="s">
        <v>3061</v>
      </c>
      <c r="C101" t="s">
        <v>3060</v>
      </c>
      <c r="D101" t="s">
        <v>176</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s="20">
        <v>2.3E-2</v>
      </c>
    </row>
    <row r="102" spans="1:31">
      <c r="A102" t="s">
        <v>212</v>
      </c>
      <c r="B102" t="s">
        <v>3059</v>
      </c>
      <c r="C102" t="s">
        <v>3058</v>
      </c>
      <c r="D102" t="s">
        <v>176</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s="20">
        <v>0.03</v>
      </c>
    </row>
    <row r="103" spans="1:31">
      <c r="A103" t="s">
        <v>213</v>
      </c>
      <c r="B103" t="s">
        <v>3057</v>
      </c>
      <c r="C103" t="s">
        <v>3056</v>
      </c>
      <c r="D103" t="s">
        <v>176</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s="20">
        <v>1.9E-2</v>
      </c>
    </row>
    <row r="104" spans="1:31">
      <c r="A104" t="s">
        <v>730</v>
      </c>
      <c r="B104" t="s">
        <v>3055</v>
      </c>
      <c r="C104" t="s">
        <v>3054</v>
      </c>
      <c r="D104" t="s">
        <v>176</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s="20">
        <v>2.1000000000000001E-2</v>
      </c>
    </row>
    <row r="105" spans="1:31">
      <c r="A105" t="s">
        <v>211</v>
      </c>
      <c r="B105" t="s">
        <v>3053</v>
      </c>
      <c r="C105" t="s">
        <v>3052</v>
      </c>
      <c r="D105" t="s">
        <v>176</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s="20">
        <v>0.02</v>
      </c>
    </row>
    <row r="106" spans="1:31">
      <c r="A106" t="s">
        <v>212</v>
      </c>
      <c r="B106" t="s">
        <v>3051</v>
      </c>
      <c r="C106" t="s">
        <v>3050</v>
      </c>
      <c r="D106" t="s">
        <v>176</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s="20">
        <v>3.1E-2</v>
      </c>
    </row>
    <row r="107" spans="1:31">
      <c r="A107" t="s">
        <v>213</v>
      </c>
      <c r="B107" t="s">
        <v>3049</v>
      </c>
      <c r="C107" t="s">
        <v>3048</v>
      </c>
      <c r="D107" t="s">
        <v>176</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s="20">
        <v>1.6E-2</v>
      </c>
    </row>
    <row r="108" spans="1:31">
      <c r="A108" t="s">
        <v>727</v>
      </c>
      <c r="B108" t="s">
        <v>3047</v>
      </c>
      <c r="C108" t="s">
        <v>3046</v>
      </c>
      <c r="D108" t="s">
        <v>176</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s="20">
        <v>3.2000000000000001E-2</v>
      </c>
    </row>
    <row r="109" spans="1:31">
      <c r="A109" t="s">
        <v>211</v>
      </c>
      <c r="B109" t="s">
        <v>3045</v>
      </c>
      <c r="C109" t="s">
        <v>3044</v>
      </c>
      <c r="D109" t="s">
        <v>176</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s="20">
        <v>3.3000000000000002E-2</v>
      </c>
    </row>
    <row r="110" spans="1:31">
      <c r="A110" t="s">
        <v>212</v>
      </c>
      <c r="B110" t="s">
        <v>3043</v>
      </c>
      <c r="C110" t="s">
        <v>3042</v>
      </c>
      <c r="D110" t="s">
        <v>176</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s="20">
        <v>3.3000000000000002E-2</v>
      </c>
    </row>
    <row r="111" spans="1:31">
      <c r="A111" t="s">
        <v>213</v>
      </c>
      <c r="B111" t="s">
        <v>3041</v>
      </c>
      <c r="C111" t="s">
        <v>3040</v>
      </c>
      <c r="D111" t="s">
        <v>176</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s="20">
        <v>3.2000000000000001E-2</v>
      </c>
    </row>
    <row r="112" spans="1:31">
      <c r="A112" t="s">
        <v>216</v>
      </c>
      <c r="B112" t="s">
        <v>3039</v>
      </c>
      <c r="C112" t="s">
        <v>3038</v>
      </c>
      <c r="D112" t="s">
        <v>176</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s="20">
        <v>4.2999999999999997E-2</v>
      </c>
    </row>
    <row r="113" spans="1:31">
      <c r="A113" t="s">
        <v>211</v>
      </c>
      <c r="B113" t="s">
        <v>3037</v>
      </c>
      <c r="C113" t="s">
        <v>3036</v>
      </c>
      <c r="D113" t="s">
        <v>176</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s="20">
        <v>4.2999999999999997E-2</v>
      </c>
    </row>
    <row r="114" spans="1:31">
      <c r="A114" t="s">
        <v>212</v>
      </c>
      <c r="B114" t="s">
        <v>3035</v>
      </c>
      <c r="C114" t="s">
        <v>3034</v>
      </c>
      <c r="D114" t="s">
        <v>176</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s="20">
        <v>4.2999999999999997E-2</v>
      </c>
    </row>
    <row r="115" spans="1:31">
      <c r="A115" t="s">
        <v>213</v>
      </c>
      <c r="B115" t="s">
        <v>3033</v>
      </c>
      <c r="C115" t="s">
        <v>3032</v>
      </c>
      <c r="D115" t="s">
        <v>176</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s="20">
        <v>4.2999999999999997E-2</v>
      </c>
    </row>
    <row r="116" spans="1:31">
      <c r="A116" t="s">
        <v>722</v>
      </c>
      <c r="B116" t="s">
        <v>3031</v>
      </c>
      <c r="C116" t="s">
        <v>3030</v>
      </c>
      <c r="D116" t="s">
        <v>176</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s="20">
        <v>5.7000000000000002E-2</v>
      </c>
    </row>
    <row r="117" spans="1:31">
      <c r="A117" t="s">
        <v>211</v>
      </c>
      <c r="B117" t="s">
        <v>3029</v>
      </c>
      <c r="C117" t="s">
        <v>3028</v>
      </c>
      <c r="D117" t="s">
        <v>176</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s="20">
        <v>5.7000000000000002E-2</v>
      </c>
    </row>
    <row r="118" spans="1:31">
      <c r="A118" t="s">
        <v>212</v>
      </c>
      <c r="B118" t="s">
        <v>3027</v>
      </c>
      <c r="C118" t="s">
        <v>3026</v>
      </c>
      <c r="D118" t="s">
        <v>176</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s="20">
        <v>5.1999999999999998E-2</v>
      </c>
    </row>
    <row r="119" spans="1:31">
      <c r="A119" t="s">
        <v>213</v>
      </c>
      <c r="B119" t="s">
        <v>3025</v>
      </c>
      <c r="C119" t="s">
        <v>3024</v>
      </c>
      <c r="D119" t="s">
        <v>176</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s="20">
        <v>5.8999999999999997E-2</v>
      </c>
    </row>
    <row r="120" spans="1:31">
      <c r="A120" t="s">
        <v>719</v>
      </c>
      <c r="B120" t="s">
        <v>3023</v>
      </c>
      <c r="C120" t="s">
        <v>3022</v>
      </c>
      <c r="D120" t="s">
        <v>176</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s="20">
        <v>0.04</v>
      </c>
    </row>
    <row r="121" spans="1:31">
      <c r="A121" t="s">
        <v>211</v>
      </c>
      <c r="B121" t="s">
        <v>3021</v>
      </c>
      <c r="C121" t="s">
        <v>3020</v>
      </c>
      <c r="D121" t="s">
        <v>176</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s="20">
        <v>4.1000000000000002E-2</v>
      </c>
    </row>
    <row r="122" spans="1:31">
      <c r="A122" t="s">
        <v>212</v>
      </c>
      <c r="B122" t="s">
        <v>3019</v>
      </c>
      <c r="C122" t="s">
        <v>3018</v>
      </c>
      <c r="D122" t="s">
        <v>176</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s="20">
        <v>3.5999999999999997E-2</v>
      </c>
    </row>
    <row r="123" spans="1:31">
      <c r="A123" t="s">
        <v>213</v>
      </c>
      <c r="B123" t="s">
        <v>3017</v>
      </c>
      <c r="C123" t="s">
        <v>3016</v>
      </c>
      <c r="D123" t="s">
        <v>176</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953.40393100000006</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s="20">
        <v>4.2000000000000003E-2</v>
      </c>
    </row>
    <row r="124" spans="1:31">
      <c r="A124" t="s">
        <v>716</v>
      </c>
      <c r="B124" t="s">
        <v>3015</v>
      </c>
      <c r="C124" t="s">
        <v>3014</v>
      </c>
      <c r="D124" t="s">
        <v>176</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s="20">
        <v>3.7999999999999999E-2</v>
      </c>
    </row>
    <row r="125" spans="1:31">
      <c r="A125" t="s">
        <v>211</v>
      </c>
      <c r="B125" t="s">
        <v>3013</v>
      </c>
      <c r="C125" t="s">
        <v>3012</v>
      </c>
      <c r="D125" t="s">
        <v>176</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s="20">
        <v>3.7999999999999999E-2</v>
      </c>
    </row>
    <row r="126" spans="1:31">
      <c r="A126" t="s">
        <v>212</v>
      </c>
      <c r="B126" t="s">
        <v>3011</v>
      </c>
      <c r="C126" t="s">
        <v>3010</v>
      </c>
      <c r="D126" t="s">
        <v>176</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s="20">
        <v>3.9E-2</v>
      </c>
    </row>
    <row r="127" spans="1:31">
      <c r="A127" t="s">
        <v>213</v>
      </c>
      <c r="B127" t="s">
        <v>3009</v>
      </c>
      <c r="C127" t="s">
        <v>3008</v>
      </c>
      <c r="D127" t="s">
        <v>176</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s="20">
        <v>3.5000000000000003E-2</v>
      </c>
    </row>
    <row r="128" spans="1:31">
      <c r="A128" t="s">
        <v>215</v>
      </c>
      <c r="B128" t="s">
        <v>3007</v>
      </c>
      <c r="C128" t="s">
        <v>3006</v>
      </c>
      <c r="D128" t="s">
        <v>176</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s="20">
        <v>4.1000000000000002E-2</v>
      </c>
    </row>
    <row r="129" spans="1:31">
      <c r="A129" t="s">
        <v>211</v>
      </c>
      <c r="B129" t="s">
        <v>3005</v>
      </c>
      <c r="C129" t="s">
        <v>3004</v>
      </c>
      <c r="D129" t="s">
        <v>176</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s="20">
        <v>4.1000000000000002E-2</v>
      </c>
    </row>
    <row r="130" spans="1:31">
      <c r="A130" t="s">
        <v>212</v>
      </c>
      <c r="B130" t="s">
        <v>3003</v>
      </c>
      <c r="C130" t="s">
        <v>3002</v>
      </c>
      <c r="D130" t="s">
        <v>176</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s="20">
        <v>3.9E-2</v>
      </c>
    </row>
    <row r="131" spans="1:31">
      <c r="A131" t="s">
        <v>213</v>
      </c>
      <c r="B131" t="s">
        <v>3001</v>
      </c>
      <c r="C131" t="s">
        <v>3000</v>
      </c>
      <c r="D131" t="s">
        <v>176</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s="20">
        <v>4.2000000000000003E-2</v>
      </c>
    </row>
    <row r="132" spans="1:31">
      <c r="A132" t="s">
        <v>711</v>
      </c>
      <c r="B132" t="s">
        <v>2999</v>
      </c>
      <c r="C132" t="s">
        <v>2998</v>
      </c>
      <c r="D132" t="s">
        <v>176</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s="20">
        <v>1.6E-2</v>
      </c>
    </row>
    <row r="133" spans="1:31">
      <c r="A133" t="s">
        <v>211</v>
      </c>
      <c r="B133" t="s">
        <v>2997</v>
      </c>
      <c r="C133" t="s">
        <v>2996</v>
      </c>
      <c r="D133" t="s">
        <v>176</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s="20">
        <v>1.6E-2</v>
      </c>
    </row>
    <row r="134" spans="1:31">
      <c r="A134" t="s">
        <v>212</v>
      </c>
      <c r="B134" t="s">
        <v>2995</v>
      </c>
      <c r="C134" t="s">
        <v>2994</v>
      </c>
      <c r="D134" t="s">
        <v>176</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s="20">
        <v>1.7999999999999999E-2</v>
      </c>
    </row>
    <row r="135" spans="1:31">
      <c r="A135" t="s">
        <v>213</v>
      </c>
      <c r="B135" t="s">
        <v>2993</v>
      </c>
      <c r="C135" t="s">
        <v>2992</v>
      </c>
      <c r="D135" t="s">
        <v>176</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s="20">
        <v>1.6E-2</v>
      </c>
    </row>
    <row r="136" spans="1:31">
      <c r="A136" t="s">
        <v>708</v>
      </c>
      <c r="B136" t="s">
        <v>2991</v>
      </c>
      <c r="C136" t="s">
        <v>2990</v>
      </c>
      <c r="D136" t="s">
        <v>176</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s="20">
        <v>2.5999999999999999E-2</v>
      </c>
    </row>
    <row r="137" spans="1:31">
      <c r="A137" t="s">
        <v>211</v>
      </c>
      <c r="B137" t="s">
        <v>2989</v>
      </c>
      <c r="C137" t="s">
        <v>2988</v>
      </c>
      <c r="D137" t="s">
        <v>176</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s="20">
        <v>2.5999999999999999E-2</v>
      </c>
    </row>
    <row r="138" spans="1:31">
      <c r="A138" t="s">
        <v>212</v>
      </c>
      <c r="B138" t="s">
        <v>2987</v>
      </c>
      <c r="C138" t="s">
        <v>2986</v>
      </c>
      <c r="D138" t="s">
        <v>176</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s="20">
        <v>2.9000000000000001E-2</v>
      </c>
    </row>
    <row r="139" spans="1:31">
      <c r="A139" t="s">
        <v>213</v>
      </c>
      <c r="B139" t="s">
        <v>2985</v>
      </c>
      <c r="C139" t="s">
        <v>2984</v>
      </c>
      <c r="D139" t="s">
        <v>176</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s="20">
        <v>2.5000000000000001E-2</v>
      </c>
    </row>
    <row r="140" spans="1:31">
      <c r="A140" t="s">
        <v>13</v>
      </c>
      <c r="B140" t="s">
        <v>2983</v>
      </c>
      <c r="C140" t="s">
        <v>2982</v>
      </c>
      <c r="D140" t="s">
        <v>176</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s="20">
        <v>2.9000000000000001E-2</v>
      </c>
    </row>
    <row r="141" spans="1:31">
      <c r="A141" t="s">
        <v>211</v>
      </c>
      <c r="B141" t="s">
        <v>2981</v>
      </c>
      <c r="C141" t="s">
        <v>2980</v>
      </c>
      <c r="D141" t="s">
        <v>176</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s="20">
        <v>0.03</v>
      </c>
    </row>
    <row r="142" spans="1:31">
      <c r="A142" t="s">
        <v>212</v>
      </c>
      <c r="B142" t="s">
        <v>2979</v>
      </c>
      <c r="C142" t="s">
        <v>2978</v>
      </c>
      <c r="D142" t="s">
        <v>176</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s="20">
        <v>0.03</v>
      </c>
    </row>
    <row r="143" spans="1:31">
      <c r="A143" t="s">
        <v>213</v>
      </c>
      <c r="B143" t="s">
        <v>2977</v>
      </c>
      <c r="C143" t="s">
        <v>2976</v>
      </c>
      <c r="D143" t="s">
        <v>176</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s="20">
        <v>2.5999999999999999E-2</v>
      </c>
    </row>
    <row r="144" spans="1:31">
      <c r="A144" t="s">
        <v>16</v>
      </c>
    </row>
    <row r="145" spans="1:31">
      <c r="A145" t="s">
        <v>210</v>
      </c>
      <c r="B145" t="s">
        <v>2975</v>
      </c>
      <c r="C145" t="s">
        <v>2974</v>
      </c>
      <c r="D145" t="s">
        <v>176</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s="20">
        <v>0</v>
      </c>
    </row>
    <row r="146" spans="1:31">
      <c r="A146" t="s">
        <v>211</v>
      </c>
      <c r="B146" t="s">
        <v>2973</v>
      </c>
      <c r="C146" t="s">
        <v>2972</v>
      </c>
      <c r="D146" t="s">
        <v>176</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s="20">
        <v>0</v>
      </c>
    </row>
    <row r="147" spans="1:31">
      <c r="A147" t="s">
        <v>212</v>
      </c>
      <c r="B147" t="s">
        <v>2971</v>
      </c>
      <c r="C147" t="s">
        <v>2970</v>
      </c>
      <c r="D147" t="s">
        <v>176</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s="20">
        <v>0</v>
      </c>
    </row>
    <row r="148" spans="1:31">
      <c r="A148" t="s">
        <v>213</v>
      </c>
      <c r="B148" t="s">
        <v>2969</v>
      </c>
      <c r="C148" t="s">
        <v>2968</v>
      </c>
      <c r="D148" t="s">
        <v>176</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s="20">
        <v>0</v>
      </c>
    </row>
    <row r="149" spans="1:31">
      <c r="A149" t="s">
        <v>214</v>
      </c>
      <c r="B149" t="s">
        <v>2967</v>
      </c>
      <c r="C149" t="s">
        <v>2966</v>
      </c>
      <c r="D149" t="s">
        <v>176</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s="20">
        <v>0</v>
      </c>
    </row>
    <row r="150" spans="1:31">
      <c r="A150" t="s">
        <v>211</v>
      </c>
      <c r="B150" t="s">
        <v>2965</v>
      </c>
      <c r="C150" t="s">
        <v>2964</v>
      </c>
      <c r="D150" t="s">
        <v>176</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s="20">
        <v>0</v>
      </c>
    </row>
    <row r="151" spans="1:31">
      <c r="A151" t="s">
        <v>212</v>
      </c>
      <c r="B151" t="s">
        <v>2963</v>
      </c>
      <c r="C151" t="s">
        <v>2962</v>
      </c>
      <c r="D151" t="s">
        <v>176</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s="20">
        <v>0</v>
      </c>
    </row>
    <row r="152" spans="1:31">
      <c r="A152" t="s">
        <v>213</v>
      </c>
      <c r="B152" t="s">
        <v>2961</v>
      </c>
      <c r="C152" t="s">
        <v>2960</v>
      </c>
      <c r="D152" t="s">
        <v>176</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s="20">
        <v>0</v>
      </c>
    </row>
    <row r="153" spans="1:31">
      <c r="A153" t="s">
        <v>745</v>
      </c>
      <c r="B153" t="s">
        <v>2959</v>
      </c>
      <c r="C153" t="s">
        <v>2958</v>
      </c>
      <c r="D153" t="s">
        <v>176</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s="20">
        <v>0</v>
      </c>
    </row>
    <row r="154" spans="1:31">
      <c r="A154" t="s">
        <v>211</v>
      </c>
      <c r="B154" t="s">
        <v>2957</v>
      </c>
      <c r="C154" t="s">
        <v>2956</v>
      </c>
      <c r="D154" t="s">
        <v>176</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s="20">
        <v>0</v>
      </c>
    </row>
    <row r="155" spans="1:31">
      <c r="A155" t="s">
        <v>212</v>
      </c>
      <c r="B155" t="s">
        <v>2955</v>
      </c>
      <c r="C155" t="s">
        <v>2954</v>
      </c>
      <c r="D155" t="s">
        <v>176</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15</v>
      </c>
    </row>
    <row r="156" spans="1:31">
      <c r="A156" t="s">
        <v>213</v>
      </c>
      <c r="B156" t="s">
        <v>2953</v>
      </c>
      <c r="C156" t="s">
        <v>2952</v>
      </c>
      <c r="D156" t="s">
        <v>176</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s="20">
        <v>0</v>
      </c>
    </row>
    <row r="157" spans="1:31">
      <c r="A157" t="s">
        <v>742</v>
      </c>
      <c r="B157" t="s">
        <v>2951</v>
      </c>
      <c r="C157" t="s">
        <v>2950</v>
      </c>
      <c r="D157" t="s">
        <v>176</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s="20">
        <v>0</v>
      </c>
    </row>
    <row r="158" spans="1:31">
      <c r="A158" t="s">
        <v>211</v>
      </c>
      <c r="B158" t="s">
        <v>2949</v>
      </c>
      <c r="C158" t="s">
        <v>2948</v>
      </c>
      <c r="D158" t="s">
        <v>176</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s="20">
        <v>0</v>
      </c>
    </row>
    <row r="159" spans="1:31">
      <c r="A159" t="s">
        <v>212</v>
      </c>
      <c r="B159" t="s">
        <v>2947</v>
      </c>
      <c r="C159" t="s">
        <v>2946</v>
      </c>
      <c r="D159" t="s">
        <v>176</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s="20">
        <v>0</v>
      </c>
    </row>
    <row r="160" spans="1:31">
      <c r="A160" t="s">
        <v>213</v>
      </c>
      <c r="B160" t="s">
        <v>2945</v>
      </c>
      <c r="C160" t="s">
        <v>2944</v>
      </c>
      <c r="D160" t="s">
        <v>176</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s="20">
        <v>0</v>
      </c>
    </row>
    <row r="161" spans="1:31">
      <c r="A161" t="s">
        <v>739</v>
      </c>
      <c r="B161" t="s">
        <v>2943</v>
      </c>
      <c r="C161" t="s">
        <v>2942</v>
      </c>
      <c r="D161" t="s">
        <v>176</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s="20">
        <v>0</v>
      </c>
    </row>
    <row r="162" spans="1:31">
      <c r="A162" t="s">
        <v>211</v>
      </c>
      <c r="B162" t="s">
        <v>2941</v>
      </c>
      <c r="C162" t="s">
        <v>2940</v>
      </c>
      <c r="D162" t="s">
        <v>176</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s="20">
        <v>0</v>
      </c>
    </row>
    <row r="163" spans="1:31">
      <c r="A163" t="s">
        <v>212</v>
      </c>
      <c r="B163" t="s">
        <v>2939</v>
      </c>
      <c r="C163" t="s">
        <v>2938</v>
      </c>
      <c r="D163" t="s">
        <v>176</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s="20">
        <v>0</v>
      </c>
    </row>
    <row r="164" spans="1:31">
      <c r="A164" t="s">
        <v>213</v>
      </c>
      <c r="B164" t="s">
        <v>2937</v>
      </c>
      <c r="C164" t="s">
        <v>2936</v>
      </c>
      <c r="D164" t="s">
        <v>176</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s="20">
        <v>0</v>
      </c>
    </row>
    <row r="165" spans="1:31">
      <c r="A165" t="s">
        <v>736</v>
      </c>
      <c r="B165" t="s">
        <v>2935</v>
      </c>
      <c r="C165" t="s">
        <v>2934</v>
      </c>
      <c r="D165" t="s">
        <v>176</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s="20">
        <v>0</v>
      </c>
    </row>
    <row r="166" spans="1:31">
      <c r="A166" t="s">
        <v>211</v>
      </c>
      <c r="B166" t="s">
        <v>2933</v>
      </c>
      <c r="C166" t="s">
        <v>2932</v>
      </c>
      <c r="D166" t="s">
        <v>176</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s="20">
        <v>0</v>
      </c>
    </row>
    <row r="167" spans="1:31">
      <c r="A167" t="s">
        <v>212</v>
      </c>
      <c r="B167" t="s">
        <v>2931</v>
      </c>
      <c r="C167" t="s">
        <v>2930</v>
      </c>
      <c r="D167" t="s">
        <v>176</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s="20">
        <v>0</v>
      </c>
    </row>
    <row r="168" spans="1:31">
      <c r="A168" t="s">
        <v>213</v>
      </c>
      <c r="B168" t="s">
        <v>2929</v>
      </c>
      <c r="C168" t="s">
        <v>2928</v>
      </c>
      <c r="D168" t="s">
        <v>176</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s="20">
        <v>0</v>
      </c>
    </row>
    <row r="169" spans="1:31">
      <c r="A169" t="s">
        <v>733</v>
      </c>
      <c r="B169" t="s">
        <v>2927</v>
      </c>
      <c r="C169" t="s">
        <v>2926</v>
      </c>
      <c r="D169" t="s">
        <v>176</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s="20">
        <v>0</v>
      </c>
    </row>
    <row r="170" spans="1:31">
      <c r="A170" t="s">
        <v>211</v>
      </c>
      <c r="B170" t="s">
        <v>2925</v>
      </c>
      <c r="C170" t="s">
        <v>2924</v>
      </c>
      <c r="D170" t="s">
        <v>176</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15</v>
      </c>
    </row>
    <row r="171" spans="1:31">
      <c r="A171" t="s">
        <v>212</v>
      </c>
      <c r="B171" t="s">
        <v>2923</v>
      </c>
      <c r="C171" t="s">
        <v>2922</v>
      </c>
      <c r="D171" t="s">
        <v>176</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s="20">
        <v>0</v>
      </c>
    </row>
    <row r="172" spans="1:31">
      <c r="A172" t="s">
        <v>213</v>
      </c>
      <c r="B172" t="s">
        <v>2921</v>
      </c>
      <c r="C172" t="s">
        <v>2920</v>
      </c>
      <c r="D172" t="s">
        <v>176</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15</v>
      </c>
    </row>
    <row r="173" spans="1:31">
      <c r="A173" t="s">
        <v>730</v>
      </c>
      <c r="B173" t="s">
        <v>2919</v>
      </c>
      <c r="C173" t="s">
        <v>2918</v>
      </c>
      <c r="D173" t="s">
        <v>176</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s="20">
        <v>0</v>
      </c>
    </row>
    <row r="174" spans="1:31">
      <c r="A174" t="s">
        <v>211</v>
      </c>
      <c r="B174" t="s">
        <v>2917</v>
      </c>
      <c r="C174" t="s">
        <v>2916</v>
      </c>
      <c r="D174" t="s">
        <v>176</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s="20">
        <v>0</v>
      </c>
    </row>
    <row r="175" spans="1:31">
      <c r="A175" t="s">
        <v>212</v>
      </c>
      <c r="B175" t="s">
        <v>2915</v>
      </c>
      <c r="C175" t="s">
        <v>2914</v>
      </c>
      <c r="D175" t="s">
        <v>176</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s="20">
        <v>0</v>
      </c>
    </row>
    <row r="176" spans="1:31">
      <c r="A176" t="s">
        <v>213</v>
      </c>
      <c r="B176" t="s">
        <v>2913</v>
      </c>
      <c r="C176" t="s">
        <v>2912</v>
      </c>
      <c r="D176" t="s">
        <v>176</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s="20">
        <v>0</v>
      </c>
    </row>
    <row r="177" spans="1:31">
      <c r="A177" t="s">
        <v>727</v>
      </c>
      <c r="B177" t="s">
        <v>2911</v>
      </c>
      <c r="C177" t="s">
        <v>2910</v>
      </c>
      <c r="D177" t="s">
        <v>176</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s="20">
        <v>0</v>
      </c>
    </row>
    <row r="178" spans="1:31">
      <c r="A178" t="s">
        <v>211</v>
      </c>
      <c r="B178" t="s">
        <v>2909</v>
      </c>
      <c r="C178" t="s">
        <v>2908</v>
      </c>
      <c r="D178" t="s">
        <v>176</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s="20">
        <v>0</v>
      </c>
    </row>
    <row r="179" spans="1:31">
      <c r="A179" t="s">
        <v>212</v>
      </c>
      <c r="B179" t="s">
        <v>2907</v>
      </c>
      <c r="C179" t="s">
        <v>2906</v>
      </c>
      <c r="D179" t="s">
        <v>176</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s="20">
        <v>0</v>
      </c>
    </row>
    <row r="180" spans="1:31">
      <c r="A180" t="s">
        <v>213</v>
      </c>
      <c r="B180" t="s">
        <v>2905</v>
      </c>
      <c r="C180" t="s">
        <v>2904</v>
      </c>
      <c r="D180" t="s">
        <v>176</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s="20">
        <v>0</v>
      </c>
    </row>
    <row r="181" spans="1:31">
      <c r="A181" t="s">
        <v>216</v>
      </c>
      <c r="B181" t="s">
        <v>2903</v>
      </c>
      <c r="C181" t="s">
        <v>2902</v>
      </c>
      <c r="D181" t="s">
        <v>176</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s="20">
        <v>0</v>
      </c>
    </row>
    <row r="182" spans="1:31">
      <c r="A182" t="s">
        <v>211</v>
      </c>
      <c r="B182" t="s">
        <v>2901</v>
      </c>
      <c r="C182" t="s">
        <v>2900</v>
      </c>
      <c r="D182" t="s">
        <v>176</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s="20">
        <v>0</v>
      </c>
    </row>
    <row r="183" spans="1:31">
      <c r="A183" t="s">
        <v>212</v>
      </c>
      <c r="B183" t="s">
        <v>2899</v>
      </c>
      <c r="C183" t="s">
        <v>2898</v>
      </c>
      <c r="D183" t="s">
        <v>176</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s="20">
        <v>0</v>
      </c>
    </row>
    <row r="184" spans="1:31">
      <c r="A184" t="s">
        <v>213</v>
      </c>
      <c r="B184" t="s">
        <v>2897</v>
      </c>
      <c r="C184" t="s">
        <v>2896</v>
      </c>
      <c r="D184" t="s">
        <v>176</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s="20">
        <v>0</v>
      </c>
    </row>
    <row r="185" spans="1:31">
      <c r="A185" t="s">
        <v>722</v>
      </c>
      <c r="B185" t="s">
        <v>2895</v>
      </c>
      <c r="C185" t="s">
        <v>2894</v>
      </c>
      <c r="D185" t="s">
        <v>176</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s="20">
        <v>0</v>
      </c>
    </row>
    <row r="186" spans="1:31">
      <c r="A186" t="s">
        <v>211</v>
      </c>
      <c r="B186" t="s">
        <v>2893</v>
      </c>
      <c r="C186" t="s">
        <v>2892</v>
      </c>
      <c r="D186" t="s">
        <v>176</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s="20">
        <v>0</v>
      </c>
    </row>
    <row r="187" spans="1:31">
      <c r="A187" t="s">
        <v>212</v>
      </c>
      <c r="B187" t="s">
        <v>2891</v>
      </c>
      <c r="C187" t="s">
        <v>2890</v>
      </c>
      <c r="D187" t="s">
        <v>176</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s="20">
        <v>0</v>
      </c>
    </row>
    <row r="188" spans="1:31">
      <c r="A188" t="s">
        <v>213</v>
      </c>
      <c r="B188" t="s">
        <v>2889</v>
      </c>
      <c r="C188" t="s">
        <v>2888</v>
      </c>
      <c r="D188" t="s">
        <v>176</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s="20">
        <v>0</v>
      </c>
    </row>
    <row r="189" spans="1:31">
      <c r="A189" t="s">
        <v>719</v>
      </c>
      <c r="B189" t="s">
        <v>2887</v>
      </c>
      <c r="C189" t="s">
        <v>2886</v>
      </c>
      <c r="D189" t="s">
        <v>176</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s="20">
        <v>0</v>
      </c>
    </row>
    <row r="190" spans="1:31">
      <c r="A190" t="s">
        <v>211</v>
      </c>
      <c r="B190" t="s">
        <v>2885</v>
      </c>
      <c r="C190" t="s">
        <v>2884</v>
      </c>
      <c r="D190" t="s">
        <v>176</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s="20">
        <v>0</v>
      </c>
    </row>
    <row r="191" spans="1:31">
      <c r="A191" t="s">
        <v>212</v>
      </c>
      <c r="B191" t="s">
        <v>2883</v>
      </c>
      <c r="C191" t="s">
        <v>2882</v>
      </c>
      <c r="D191" t="s">
        <v>176</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s="20">
        <v>0</v>
      </c>
    </row>
    <row r="192" spans="1:31">
      <c r="A192" t="s">
        <v>213</v>
      </c>
      <c r="B192" t="s">
        <v>2881</v>
      </c>
      <c r="C192" t="s">
        <v>2880</v>
      </c>
      <c r="D192" t="s">
        <v>176</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s="20">
        <v>0</v>
      </c>
    </row>
    <row r="193" spans="1:31">
      <c r="A193" t="s">
        <v>716</v>
      </c>
      <c r="B193" t="s">
        <v>2879</v>
      </c>
      <c r="C193" t="s">
        <v>2878</v>
      </c>
      <c r="D193" t="s">
        <v>176</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s="20">
        <v>0</v>
      </c>
    </row>
    <row r="194" spans="1:31">
      <c r="A194" t="s">
        <v>211</v>
      </c>
      <c r="B194" t="s">
        <v>2877</v>
      </c>
      <c r="C194" t="s">
        <v>2876</v>
      </c>
      <c r="D194" t="s">
        <v>176</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s="20">
        <v>0</v>
      </c>
    </row>
    <row r="195" spans="1:31">
      <c r="A195" t="s">
        <v>212</v>
      </c>
      <c r="B195" t="s">
        <v>2875</v>
      </c>
      <c r="C195" t="s">
        <v>2874</v>
      </c>
      <c r="D195" t="s">
        <v>176</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s="20">
        <v>0</v>
      </c>
    </row>
    <row r="196" spans="1:31">
      <c r="A196" t="s">
        <v>213</v>
      </c>
      <c r="B196" t="s">
        <v>2873</v>
      </c>
      <c r="C196" t="s">
        <v>2872</v>
      </c>
      <c r="D196" t="s">
        <v>176</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s="20">
        <v>0</v>
      </c>
    </row>
    <row r="197" spans="1:31">
      <c r="A197" t="s">
        <v>215</v>
      </c>
      <c r="B197" t="s">
        <v>2871</v>
      </c>
      <c r="C197" t="s">
        <v>2870</v>
      </c>
      <c r="D197" t="s">
        <v>176</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s="20">
        <v>0</v>
      </c>
    </row>
    <row r="198" spans="1:31">
      <c r="A198" t="s">
        <v>211</v>
      </c>
      <c r="B198" t="s">
        <v>2869</v>
      </c>
      <c r="C198" t="s">
        <v>2868</v>
      </c>
      <c r="D198" t="s">
        <v>176</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s="20">
        <v>0</v>
      </c>
    </row>
    <row r="199" spans="1:31">
      <c r="A199" t="s">
        <v>212</v>
      </c>
      <c r="B199" t="s">
        <v>2867</v>
      </c>
      <c r="C199" t="s">
        <v>2866</v>
      </c>
      <c r="D199" t="s">
        <v>176</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s="20">
        <v>0</v>
      </c>
    </row>
    <row r="200" spans="1:31">
      <c r="A200" t="s">
        <v>213</v>
      </c>
      <c r="B200" t="s">
        <v>2865</v>
      </c>
      <c r="C200" t="s">
        <v>2864</v>
      </c>
      <c r="D200" t="s">
        <v>176</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s="20">
        <v>0</v>
      </c>
    </row>
    <row r="201" spans="1:31">
      <c r="A201" t="s">
        <v>711</v>
      </c>
      <c r="B201" t="s">
        <v>2863</v>
      </c>
      <c r="C201" t="s">
        <v>2862</v>
      </c>
      <c r="D201" t="s">
        <v>176</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s="20">
        <v>0</v>
      </c>
    </row>
    <row r="202" spans="1:31">
      <c r="A202" t="s">
        <v>211</v>
      </c>
      <c r="B202" t="s">
        <v>2861</v>
      </c>
      <c r="C202" t="s">
        <v>2860</v>
      </c>
      <c r="D202" t="s">
        <v>176</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s="20">
        <v>0</v>
      </c>
    </row>
    <row r="203" spans="1:31">
      <c r="A203" t="s">
        <v>212</v>
      </c>
      <c r="B203" t="s">
        <v>2859</v>
      </c>
      <c r="C203" t="s">
        <v>2858</v>
      </c>
      <c r="D203" t="s">
        <v>176</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s="20">
        <v>0</v>
      </c>
    </row>
    <row r="204" spans="1:31">
      <c r="A204" t="s">
        <v>213</v>
      </c>
      <c r="B204" t="s">
        <v>2857</v>
      </c>
      <c r="C204" t="s">
        <v>2856</v>
      </c>
      <c r="D204" t="s">
        <v>176</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s="20">
        <v>0</v>
      </c>
    </row>
    <row r="205" spans="1:31">
      <c r="A205" t="s">
        <v>708</v>
      </c>
      <c r="B205" t="s">
        <v>2855</v>
      </c>
      <c r="C205" t="s">
        <v>2854</v>
      </c>
      <c r="D205" t="s">
        <v>176</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s="20">
        <v>0</v>
      </c>
    </row>
    <row r="206" spans="1:31">
      <c r="A206" t="s">
        <v>211</v>
      </c>
      <c r="B206" t="s">
        <v>2853</v>
      </c>
      <c r="C206" t="s">
        <v>2852</v>
      </c>
      <c r="D206" t="s">
        <v>176</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s="20">
        <v>0</v>
      </c>
    </row>
    <row r="207" spans="1:31">
      <c r="A207" t="s">
        <v>212</v>
      </c>
      <c r="B207" t="s">
        <v>2851</v>
      </c>
      <c r="C207" t="s">
        <v>2850</v>
      </c>
      <c r="D207" t="s">
        <v>176</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s="20">
        <v>0</v>
      </c>
    </row>
    <row r="208" spans="1:31">
      <c r="A208" t="s">
        <v>213</v>
      </c>
      <c r="B208" t="s">
        <v>2849</v>
      </c>
      <c r="C208" t="s">
        <v>2848</v>
      </c>
      <c r="D208" t="s">
        <v>176</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s="20">
        <v>0</v>
      </c>
    </row>
    <row r="209" spans="1:31">
      <c r="A209" t="s">
        <v>13</v>
      </c>
      <c r="B209" t="s">
        <v>2847</v>
      </c>
      <c r="C209" t="s">
        <v>2846</v>
      </c>
      <c r="D209" t="s">
        <v>176</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s="20">
        <v>0</v>
      </c>
    </row>
    <row r="210" spans="1:31">
      <c r="A210" t="s">
        <v>211</v>
      </c>
      <c r="B210" t="s">
        <v>2845</v>
      </c>
      <c r="C210" t="s">
        <v>2844</v>
      </c>
      <c r="D210" t="s">
        <v>176</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s="20">
        <v>0</v>
      </c>
    </row>
    <row r="211" spans="1:31">
      <c r="A211" t="s">
        <v>212</v>
      </c>
      <c r="B211" t="s">
        <v>2843</v>
      </c>
      <c r="C211" t="s">
        <v>2842</v>
      </c>
      <c r="D211" t="s">
        <v>176</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s="20">
        <v>0</v>
      </c>
    </row>
    <row r="212" spans="1:31">
      <c r="A212" t="s">
        <v>213</v>
      </c>
      <c r="B212" t="s">
        <v>2841</v>
      </c>
      <c r="C212" t="s">
        <v>2840</v>
      </c>
      <c r="D212" t="s">
        <v>176</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s="20">
        <v>0</v>
      </c>
    </row>
    <row r="213" spans="1:31">
      <c r="A213" t="s">
        <v>14</v>
      </c>
    </row>
    <row r="214" spans="1:31">
      <c r="A214" t="s">
        <v>210</v>
      </c>
      <c r="B214" t="s">
        <v>2839</v>
      </c>
      <c r="C214" t="s">
        <v>2838</v>
      </c>
      <c r="D214" t="s">
        <v>176</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s="20">
        <v>1.2999999999999999E-2</v>
      </c>
    </row>
    <row r="215" spans="1:31">
      <c r="A215" t="s">
        <v>214</v>
      </c>
      <c r="B215" t="s">
        <v>2837</v>
      </c>
      <c r="C215" t="s">
        <v>2836</v>
      </c>
      <c r="D215" t="s">
        <v>176</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s="20">
        <v>2E-3</v>
      </c>
    </row>
    <row r="216" spans="1:31">
      <c r="A216" t="s">
        <v>745</v>
      </c>
      <c r="B216" t="s">
        <v>2835</v>
      </c>
      <c r="C216" t="s">
        <v>2834</v>
      </c>
      <c r="D216" t="s">
        <v>176</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s="20">
        <v>1.9E-2</v>
      </c>
    </row>
    <row r="217" spans="1:31">
      <c r="A217" t="s">
        <v>742</v>
      </c>
      <c r="B217" t="s">
        <v>2833</v>
      </c>
      <c r="C217" t="s">
        <v>2832</v>
      </c>
      <c r="D217" t="s">
        <v>176</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s="20">
        <v>1.0999999999999999E-2</v>
      </c>
    </row>
    <row r="218" spans="1:31">
      <c r="A218" t="s">
        <v>739</v>
      </c>
      <c r="B218" t="s">
        <v>2831</v>
      </c>
      <c r="C218" t="s">
        <v>2830</v>
      </c>
      <c r="D218" t="s">
        <v>176</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s="20">
        <v>-4.0000000000000001E-3</v>
      </c>
    </row>
    <row r="219" spans="1:31">
      <c r="A219" t="s">
        <v>736</v>
      </c>
      <c r="B219" t="s">
        <v>2829</v>
      </c>
      <c r="C219" t="s">
        <v>2828</v>
      </c>
      <c r="D219" t="s">
        <v>176</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s="20">
        <v>-1.4999999999999999E-2</v>
      </c>
    </row>
    <row r="220" spans="1:31">
      <c r="A220" t="s">
        <v>733</v>
      </c>
      <c r="B220" t="s">
        <v>2827</v>
      </c>
      <c r="C220" t="s">
        <v>2826</v>
      </c>
      <c r="D220" t="s">
        <v>176</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s="20">
        <v>6.0000000000000001E-3</v>
      </c>
    </row>
    <row r="221" spans="1:31">
      <c r="A221" t="s">
        <v>730</v>
      </c>
      <c r="B221" t="s">
        <v>2825</v>
      </c>
      <c r="C221" t="s">
        <v>2824</v>
      </c>
      <c r="D221" t="s">
        <v>176</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s="20">
        <v>0.01</v>
      </c>
    </row>
    <row r="222" spans="1:31">
      <c r="A222" t="s">
        <v>727</v>
      </c>
      <c r="B222" t="s">
        <v>2823</v>
      </c>
      <c r="C222" t="s">
        <v>2822</v>
      </c>
      <c r="D222" t="s">
        <v>176</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s="20">
        <v>-4.0000000000000001E-3</v>
      </c>
    </row>
    <row r="223" spans="1:31">
      <c r="A223" t="s">
        <v>216</v>
      </c>
      <c r="B223" t="s">
        <v>2821</v>
      </c>
      <c r="C223" t="s">
        <v>2820</v>
      </c>
      <c r="D223" t="s">
        <v>176</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s="20">
        <v>0.02</v>
      </c>
    </row>
    <row r="224" spans="1:31">
      <c r="A224" t="s">
        <v>722</v>
      </c>
      <c r="B224" t="s">
        <v>2819</v>
      </c>
      <c r="C224" t="s">
        <v>2818</v>
      </c>
      <c r="D224" t="s">
        <v>176</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s="20">
        <v>2.7E-2</v>
      </c>
    </row>
    <row r="225" spans="1:31">
      <c r="A225" t="s">
        <v>719</v>
      </c>
      <c r="B225" t="s">
        <v>2817</v>
      </c>
      <c r="C225" t="s">
        <v>2816</v>
      </c>
      <c r="D225" t="s">
        <v>176</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s="20">
        <v>-3.0000000000000001E-3</v>
      </c>
    </row>
    <row r="226" spans="1:31">
      <c r="A226" t="s">
        <v>716</v>
      </c>
      <c r="B226" t="s">
        <v>2815</v>
      </c>
      <c r="C226" t="s">
        <v>2814</v>
      </c>
      <c r="D226" t="s">
        <v>176</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s="20">
        <v>-0.01</v>
      </c>
    </row>
    <row r="227" spans="1:31">
      <c r="A227" t="s">
        <v>215</v>
      </c>
      <c r="B227" t="s">
        <v>2813</v>
      </c>
      <c r="C227" t="s">
        <v>2812</v>
      </c>
      <c r="D227" t="s">
        <v>176</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s="20">
        <v>2.3E-2</v>
      </c>
    </row>
    <row r="228" spans="1:31">
      <c r="A228" t="s">
        <v>711</v>
      </c>
      <c r="B228" t="s">
        <v>2811</v>
      </c>
      <c r="C228" t="s">
        <v>2810</v>
      </c>
      <c r="D228" t="s">
        <v>176</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s="20">
        <v>4.0000000000000001E-3</v>
      </c>
    </row>
    <row r="229" spans="1:31">
      <c r="A229" t="s">
        <v>708</v>
      </c>
      <c r="B229" t="s">
        <v>2809</v>
      </c>
      <c r="C229" t="s">
        <v>2808</v>
      </c>
      <c r="D229" t="s">
        <v>176</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s="20">
        <v>2.1000000000000001E-2</v>
      </c>
    </row>
    <row r="230" spans="1:31">
      <c r="A230" t="s">
        <v>13</v>
      </c>
      <c r="B230" t="s">
        <v>2807</v>
      </c>
      <c r="C230" t="s">
        <v>2806</v>
      </c>
      <c r="D230" t="s">
        <v>176</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s="20">
        <v>1.0999999999999999E-2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9CA48-07D8-4DD3-90E0-41D56E1A59D8}">
  <dimension ref="A1:AE309"/>
  <sheetViews>
    <sheetView workbookViewId="0"/>
  </sheetViews>
  <sheetFormatPr defaultRowHeight="15"/>
  <cols>
    <col min="1" max="1" width="35.140625" customWidth="1"/>
    <col min="2" max="2" width="71.140625" customWidth="1"/>
  </cols>
  <sheetData>
    <row r="1" spans="1:31">
      <c r="A1" t="s">
        <v>217</v>
      </c>
    </row>
    <row r="2" spans="1:31">
      <c r="A2" t="s">
        <v>3876</v>
      </c>
    </row>
    <row r="3" spans="1:31">
      <c r="A3" t="s">
        <v>3875</v>
      </c>
    </row>
    <row r="4" spans="1:31">
      <c r="A4" t="s">
        <v>173</v>
      </c>
    </row>
    <row r="5" spans="1:31">
      <c r="B5" t="s">
        <v>174</v>
      </c>
      <c r="C5" t="s">
        <v>175</v>
      </c>
      <c r="D5" t="s">
        <v>176</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3248</v>
      </c>
    </row>
    <row r="6" spans="1:31">
      <c r="A6" t="s">
        <v>26</v>
      </c>
    </row>
    <row r="7" spans="1:31">
      <c r="A7" t="s">
        <v>218</v>
      </c>
    </row>
    <row r="8" spans="1:31">
      <c r="A8" t="s">
        <v>219</v>
      </c>
    </row>
    <row r="9" spans="1:31">
      <c r="A9" t="s">
        <v>168</v>
      </c>
      <c r="B9" t="s">
        <v>3874</v>
      </c>
      <c r="C9" t="s">
        <v>3873</v>
      </c>
      <c r="D9" t="s">
        <v>220</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s="20">
        <v>-2.1999999999999999E-2</v>
      </c>
    </row>
    <row r="10" spans="1:31">
      <c r="A10" t="s">
        <v>154</v>
      </c>
      <c r="B10" t="s">
        <v>3872</v>
      </c>
      <c r="C10" t="s">
        <v>3871</v>
      </c>
      <c r="D10" t="s">
        <v>220</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s="20">
        <v>7.0000000000000001E-3</v>
      </c>
    </row>
    <row r="11" spans="1:31">
      <c r="A11" t="s">
        <v>149</v>
      </c>
      <c r="B11" t="s">
        <v>3870</v>
      </c>
      <c r="C11" t="s">
        <v>3869</v>
      </c>
      <c r="D11" t="s">
        <v>220</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s="20">
        <v>2.5999999999999999E-2</v>
      </c>
    </row>
    <row r="12" spans="1:31">
      <c r="A12" t="s">
        <v>148</v>
      </c>
      <c r="B12" t="s">
        <v>3868</v>
      </c>
      <c r="C12" t="s">
        <v>3867</v>
      </c>
      <c r="D12" t="s">
        <v>220</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s="20">
        <v>9.7000000000000003E-2</v>
      </c>
    </row>
    <row r="13" spans="1:31">
      <c r="A13" t="s">
        <v>203</v>
      </c>
      <c r="B13" t="s">
        <v>3866</v>
      </c>
      <c r="C13" t="s">
        <v>3865</v>
      </c>
      <c r="D13" t="s">
        <v>220</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s="20">
        <v>-0.115</v>
      </c>
    </row>
    <row r="14" spans="1:31">
      <c r="A14" t="s">
        <v>204</v>
      </c>
      <c r="B14" t="s">
        <v>3864</v>
      </c>
      <c r="C14" t="s">
        <v>3863</v>
      </c>
      <c r="D14" t="s">
        <v>220</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s="20">
        <v>0.192</v>
      </c>
    </row>
    <row r="15" spans="1:31">
      <c r="A15" t="s">
        <v>206</v>
      </c>
      <c r="B15" t="s">
        <v>3862</v>
      </c>
      <c r="C15" t="s">
        <v>3861</v>
      </c>
      <c r="D15" t="s">
        <v>220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15</v>
      </c>
    </row>
    <row r="16" spans="1:31">
      <c r="A16" t="s">
        <v>205</v>
      </c>
      <c r="B16" t="s">
        <v>3860</v>
      </c>
      <c r="C16" t="s">
        <v>3859</v>
      </c>
      <c r="D16" t="s">
        <v>220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15</v>
      </c>
    </row>
    <row r="17" spans="1:31">
      <c r="A17" t="s">
        <v>207</v>
      </c>
      <c r="B17" t="s">
        <v>3858</v>
      </c>
      <c r="C17" t="s">
        <v>3857</v>
      </c>
      <c r="D17" t="s">
        <v>220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15</v>
      </c>
    </row>
    <row r="18" spans="1:31">
      <c r="A18" t="s">
        <v>1668</v>
      </c>
      <c r="B18" t="s">
        <v>3856</v>
      </c>
      <c r="C18" t="s">
        <v>3855</v>
      </c>
      <c r="D18" t="s">
        <v>220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15</v>
      </c>
    </row>
    <row r="19" spans="1:31">
      <c r="A19" t="s">
        <v>1665</v>
      </c>
      <c r="B19" t="s">
        <v>3854</v>
      </c>
      <c r="C19" t="s">
        <v>3853</v>
      </c>
      <c r="D19" t="s">
        <v>220</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s="20">
        <v>0.27300000000000002</v>
      </c>
    </row>
    <row r="20" spans="1:31">
      <c r="A20" t="s">
        <v>1662</v>
      </c>
      <c r="B20" t="s">
        <v>3852</v>
      </c>
      <c r="C20" t="s">
        <v>3851</v>
      </c>
      <c r="D20" t="s">
        <v>220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15</v>
      </c>
    </row>
    <row r="21" spans="1:31">
      <c r="A21" t="s">
        <v>221</v>
      </c>
      <c r="B21" t="s">
        <v>3850</v>
      </c>
      <c r="C21" t="s">
        <v>3849</v>
      </c>
      <c r="D21" t="s">
        <v>220</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s="20">
        <v>1.2999999999999999E-2</v>
      </c>
    </row>
    <row r="22" spans="1:31">
      <c r="A22" t="s">
        <v>222</v>
      </c>
    </row>
    <row r="23" spans="1:31">
      <c r="A23" t="s">
        <v>168</v>
      </c>
      <c r="B23" t="s">
        <v>3848</v>
      </c>
      <c r="C23" t="s">
        <v>3847</v>
      </c>
      <c r="D23" t="s">
        <v>220</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s="20">
        <v>-1.2E-2</v>
      </c>
    </row>
    <row r="24" spans="1:31">
      <c r="A24" t="s">
        <v>154</v>
      </c>
      <c r="B24" t="s">
        <v>3846</v>
      </c>
      <c r="C24" t="s">
        <v>3845</v>
      </c>
      <c r="D24" t="s">
        <v>220</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s="20">
        <v>1E-3</v>
      </c>
    </row>
    <row r="25" spans="1:31">
      <c r="A25" t="s">
        <v>149</v>
      </c>
      <c r="B25" t="s">
        <v>3844</v>
      </c>
      <c r="C25" t="s">
        <v>3843</v>
      </c>
      <c r="D25" t="s">
        <v>220</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s="20">
        <v>-0.1</v>
      </c>
    </row>
    <row r="26" spans="1:31">
      <c r="A26" t="s">
        <v>148</v>
      </c>
      <c r="B26" t="s">
        <v>3842</v>
      </c>
      <c r="C26" t="s">
        <v>3841</v>
      </c>
      <c r="D26" t="s">
        <v>220</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s="20">
        <v>3.9E-2</v>
      </c>
    </row>
    <row r="27" spans="1:31">
      <c r="A27" t="s">
        <v>203</v>
      </c>
      <c r="B27" t="s">
        <v>3840</v>
      </c>
      <c r="C27" t="s">
        <v>3839</v>
      </c>
      <c r="D27" t="s">
        <v>220</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s="20">
        <v>-9.5000000000000001E-2</v>
      </c>
    </row>
    <row r="28" spans="1:31">
      <c r="A28" t="s">
        <v>204</v>
      </c>
      <c r="B28" t="s">
        <v>3838</v>
      </c>
      <c r="C28" t="s">
        <v>3837</v>
      </c>
      <c r="D28" t="s">
        <v>220</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s="20">
        <v>4.3999999999999997E-2</v>
      </c>
    </row>
    <row r="29" spans="1:31">
      <c r="A29" t="s">
        <v>206</v>
      </c>
      <c r="B29" t="s">
        <v>3836</v>
      </c>
      <c r="C29" t="s">
        <v>3835</v>
      </c>
      <c r="D29" t="s">
        <v>220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15</v>
      </c>
    </row>
    <row r="30" spans="1:31">
      <c r="A30" t="s">
        <v>205</v>
      </c>
      <c r="B30" t="s">
        <v>3834</v>
      </c>
      <c r="C30" t="s">
        <v>3833</v>
      </c>
      <c r="D30" t="s">
        <v>220</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s="20">
        <v>-8.3000000000000004E-2</v>
      </c>
    </row>
    <row r="31" spans="1:31">
      <c r="A31" t="s">
        <v>207</v>
      </c>
      <c r="B31" t="s">
        <v>3832</v>
      </c>
      <c r="C31" t="s">
        <v>3831</v>
      </c>
      <c r="D31" t="s">
        <v>220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15</v>
      </c>
    </row>
    <row r="32" spans="1:31">
      <c r="A32" t="s">
        <v>1668</v>
      </c>
      <c r="B32" t="s">
        <v>3830</v>
      </c>
      <c r="C32" t="s">
        <v>3829</v>
      </c>
      <c r="D32" t="s">
        <v>220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15</v>
      </c>
    </row>
    <row r="33" spans="1:31">
      <c r="A33" t="s">
        <v>1665</v>
      </c>
      <c r="B33" t="s">
        <v>3828</v>
      </c>
      <c r="C33" t="s">
        <v>3827</v>
      </c>
      <c r="D33" t="s">
        <v>220</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s="20">
        <v>0.22800000000000001</v>
      </c>
    </row>
    <row r="34" spans="1:31">
      <c r="A34" t="s">
        <v>1662</v>
      </c>
      <c r="B34" t="s">
        <v>3826</v>
      </c>
      <c r="C34" t="s">
        <v>3825</v>
      </c>
      <c r="D34" t="s">
        <v>220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15</v>
      </c>
    </row>
    <row r="35" spans="1:31">
      <c r="A35" t="s">
        <v>223</v>
      </c>
      <c r="B35" t="s">
        <v>3824</v>
      </c>
      <c r="C35" t="s">
        <v>3823</v>
      </c>
      <c r="D35" t="s">
        <v>220</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s="20">
        <v>-1E-3</v>
      </c>
    </row>
    <row r="36" spans="1:31">
      <c r="A36" t="s">
        <v>224</v>
      </c>
    </row>
    <row r="37" spans="1:31">
      <c r="A37" t="s">
        <v>168</v>
      </c>
      <c r="B37" t="s">
        <v>3822</v>
      </c>
      <c r="C37" t="s">
        <v>3821</v>
      </c>
      <c r="D37" t="s">
        <v>220</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s="20">
        <v>8.0000000000000002E-3</v>
      </c>
    </row>
    <row r="38" spans="1:31">
      <c r="A38" t="s">
        <v>154</v>
      </c>
      <c r="B38" t="s">
        <v>3820</v>
      </c>
      <c r="C38" t="s">
        <v>3819</v>
      </c>
      <c r="D38" t="s">
        <v>220</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s="20">
        <v>-3.5999999999999997E-2</v>
      </c>
    </row>
    <row r="39" spans="1:31">
      <c r="A39" t="s">
        <v>149</v>
      </c>
      <c r="B39" t="s">
        <v>3818</v>
      </c>
      <c r="C39" t="s">
        <v>3817</v>
      </c>
      <c r="D39" t="s">
        <v>220</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s="20">
        <v>-9.2999999999999999E-2</v>
      </c>
    </row>
    <row r="40" spans="1:31">
      <c r="A40" t="s">
        <v>148</v>
      </c>
      <c r="B40" t="s">
        <v>3816</v>
      </c>
      <c r="C40" t="s">
        <v>3815</v>
      </c>
      <c r="D40" t="s">
        <v>220</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s="20">
        <v>4.4999999999999998E-2</v>
      </c>
    </row>
    <row r="41" spans="1:31">
      <c r="A41" t="s">
        <v>203</v>
      </c>
      <c r="B41" t="s">
        <v>3814</v>
      </c>
      <c r="C41" t="s">
        <v>3813</v>
      </c>
      <c r="D41" t="s">
        <v>220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15</v>
      </c>
    </row>
    <row r="42" spans="1:31">
      <c r="A42" t="s">
        <v>204</v>
      </c>
      <c r="B42" t="s">
        <v>3812</v>
      </c>
      <c r="C42" t="s">
        <v>3811</v>
      </c>
      <c r="D42" t="s">
        <v>220</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s="20">
        <v>0.05</v>
      </c>
    </row>
    <row r="43" spans="1:31">
      <c r="A43" t="s">
        <v>206</v>
      </c>
      <c r="B43" t="s">
        <v>3810</v>
      </c>
      <c r="C43" t="s">
        <v>3809</v>
      </c>
      <c r="D43" t="s">
        <v>220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15</v>
      </c>
    </row>
    <row r="44" spans="1:31">
      <c r="A44" t="s">
        <v>205</v>
      </c>
      <c r="B44" t="s">
        <v>3808</v>
      </c>
      <c r="C44" t="s">
        <v>3807</v>
      </c>
      <c r="D44" t="s">
        <v>220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15</v>
      </c>
    </row>
    <row r="45" spans="1:31">
      <c r="A45" t="s">
        <v>207</v>
      </c>
      <c r="B45" t="s">
        <v>3806</v>
      </c>
      <c r="C45" t="s">
        <v>3805</v>
      </c>
      <c r="D45" t="s">
        <v>220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15</v>
      </c>
    </row>
    <row r="46" spans="1:31">
      <c r="A46" t="s">
        <v>1668</v>
      </c>
      <c r="B46" t="s">
        <v>3804</v>
      </c>
      <c r="C46" t="s">
        <v>3803</v>
      </c>
      <c r="D46" t="s">
        <v>220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15</v>
      </c>
    </row>
    <row r="47" spans="1:31">
      <c r="A47" t="s">
        <v>1665</v>
      </c>
      <c r="B47" t="s">
        <v>3802</v>
      </c>
      <c r="C47" t="s">
        <v>3801</v>
      </c>
      <c r="D47" t="s">
        <v>220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15</v>
      </c>
    </row>
    <row r="48" spans="1:31">
      <c r="A48" t="s">
        <v>1662</v>
      </c>
      <c r="B48" t="s">
        <v>3800</v>
      </c>
      <c r="C48" t="s">
        <v>3799</v>
      </c>
      <c r="D48" t="s">
        <v>220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15</v>
      </c>
    </row>
    <row r="49" spans="1:31">
      <c r="A49" t="s">
        <v>225</v>
      </c>
      <c r="B49" t="s">
        <v>3798</v>
      </c>
      <c r="C49" t="s">
        <v>3797</v>
      </c>
      <c r="D49" t="s">
        <v>220</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s="20">
        <v>8.9999999999999993E-3</v>
      </c>
    </row>
    <row r="50" spans="1:31">
      <c r="A50" t="s">
        <v>226</v>
      </c>
      <c r="B50" t="s">
        <v>3796</v>
      </c>
      <c r="C50" t="s">
        <v>3795</v>
      </c>
      <c r="D50" t="s">
        <v>220</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s="20">
        <v>8.9999999999999993E-3</v>
      </c>
    </row>
    <row r="51" spans="1:31">
      <c r="A51" t="s">
        <v>227</v>
      </c>
    </row>
    <row r="52" spans="1:31">
      <c r="A52" t="s">
        <v>219</v>
      </c>
    </row>
    <row r="53" spans="1:31">
      <c r="A53" t="s">
        <v>168</v>
      </c>
      <c r="B53" t="s">
        <v>3794</v>
      </c>
      <c r="C53" t="s">
        <v>3793</v>
      </c>
      <c r="D53" t="s">
        <v>177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s="20">
        <v>-2.5000000000000001E-2</v>
      </c>
    </row>
    <row r="54" spans="1:31">
      <c r="A54" t="s">
        <v>154</v>
      </c>
      <c r="B54" t="s">
        <v>3792</v>
      </c>
      <c r="C54" t="s">
        <v>3791</v>
      </c>
      <c r="D54" t="s">
        <v>177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s="20">
        <v>5.0000000000000001E-3</v>
      </c>
    </row>
    <row r="55" spans="1:31">
      <c r="A55" t="s">
        <v>149</v>
      </c>
      <c r="B55" t="s">
        <v>3790</v>
      </c>
      <c r="C55" t="s">
        <v>3789</v>
      </c>
      <c r="D55" t="s">
        <v>177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s="20">
        <v>1.6E-2</v>
      </c>
    </row>
    <row r="56" spans="1:31">
      <c r="A56" t="s">
        <v>148</v>
      </c>
      <c r="B56" t="s">
        <v>3788</v>
      </c>
      <c r="C56" t="s">
        <v>3787</v>
      </c>
      <c r="D56" t="s">
        <v>177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s="20">
        <v>9.1999999999999998E-2</v>
      </c>
    </row>
    <row r="57" spans="1:31">
      <c r="A57" t="s">
        <v>203</v>
      </c>
      <c r="B57" t="s">
        <v>3786</v>
      </c>
      <c r="C57" t="s">
        <v>3785</v>
      </c>
      <c r="D57" t="s">
        <v>177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s="20">
        <v>-0.115</v>
      </c>
    </row>
    <row r="58" spans="1:31">
      <c r="A58" t="s">
        <v>204</v>
      </c>
      <c r="B58" t="s">
        <v>3784</v>
      </c>
      <c r="C58" t="s">
        <v>3783</v>
      </c>
      <c r="D58" t="s">
        <v>177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s="20">
        <v>0.189</v>
      </c>
    </row>
    <row r="59" spans="1:31">
      <c r="A59" t="s">
        <v>206</v>
      </c>
      <c r="B59" t="s">
        <v>3782</v>
      </c>
      <c r="C59" t="s">
        <v>3781</v>
      </c>
      <c r="D59" t="s">
        <v>177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15</v>
      </c>
    </row>
    <row r="60" spans="1:31">
      <c r="A60" t="s">
        <v>205</v>
      </c>
      <c r="B60" t="s">
        <v>3780</v>
      </c>
      <c r="C60" t="s">
        <v>3779</v>
      </c>
      <c r="D60" t="s">
        <v>177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15</v>
      </c>
    </row>
    <row r="61" spans="1:31">
      <c r="A61" t="s">
        <v>207</v>
      </c>
      <c r="B61" t="s">
        <v>3778</v>
      </c>
      <c r="C61" t="s">
        <v>3777</v>
      </c>
      <c r="D61" t="s">
        <v>177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15</v>
      </c>
    </row>
    <row r="62" spans="1:31">
      <c r="A62" t="s">
        <v>1668</v>
      </c>
      <c r="B62" t="s">
        <v>3776</v>
      </c>
      <c r="C62" t="s">
        <v>3775</v>
      </c>
      <c r="D62" t="s">
        <v>177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15</v>
      </c>
    </row>
    <row r="63" spans="1:31">
      <c r="A63" t="s">
        <v>1665</v>
      </c>
      <c r="B63" t="s">
        <v>3774</v>
      </c>
      <c r="C63" t="s">
        <v>3773</v>
      </c>
      <c r="D63" t="s">
        <v>177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s="20">
        <v>0.27100000000000002</v>
      </c>
    </row>
    <row r="64" spans="1:31">
      <c r="A64" t="s">
        <v>1662</v>
      </c>
      <c r="B64" t="s">
        <v>3772</v>
      </c>
      <c r="C64" t="s">
        <v>3771</v>
      </c>
      <c r="D64" t="s">
        <v>177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15</v>
      </c>
    </row>
    <row r="65" spans="1:31">
      <c r="A65" t="s">
        <v>221</v>
      </c>
      <c r="B65" t="s">
        <v>3770</v>
      </c>
      <c r="C65" t="s">
        <v>3769</v>
      </c>
      <c r="D65" t="s">
        <v>177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s="20">
        <v>6.0000000000000001E-3</v>
      </c>
    </row>
    <row r="66" spans="1:31">
      <c r="A66" t="s">
        <v>222</v>
      </c>
    </row>
    <row r="67" spans="1:31">
      <c r="A67" t="s">
        <v>168</v>
      </c>
      <c r="B67" t="s">
        <v>3768</v>
      </c>
      <c r="C67" t="s">
        <v>3767</v>
      </c>
      <c r="D67" t="s">
        <v>177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s="20">
        <v>-2.1000000000000001E-2</v>
      </c>
    </row>
    <row r="68" spans="1:31">
      <c r="A68" t="s">
        <v>154</v>
      </c>
      <c r="B68" t="s">
        <v>3766</v>
      </c>
      <c r="C68" t="s">
        <v>3765</v>
      </c>
      <c r="D68" t="s">
        <v>177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s="20">
        <v>-4.0000000000000001E-3</v>
      </c>
    </row>
    <row r="69" spans="1:31">
      <c r="A69" t="s">
        <v>149</v>
      </c>
      <c r="B69" t="s">
        <v>3764</v>
      </c>
      <c r="C69" t="s">
        <v>3763</v>
      </c>
      <c r="D69" t="s">
        <v>177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s="20">
        <v>-0.104</v>
      </c>
    </row>
    <row r="70" spans="1:31">
      <c r="A70" t="s">
        <v>148</v>
      </c>
      <c r="B70" t="s">
        <v>3762</v>
      </c>
      <c r="C70" t="s">
        <v>3761</v>
      </c>
      <c r="D70" t="s">
        <v>177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s="20">
        <v>2.8000000000000001E-2</v>
      </c>
    </row>
    <row r="71" spans="1:31">
      <c r="A71" t="s">
        <v>203</v>
      </c>
      <c r="B71" t="s">
        <v>3760</v>
      </c>
      <c r="C71" t="s">
        <v>3759</v>
      </c>
      <c r="D71" t="s">
        <v>177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s="20">
        <v>-9.5000000000000001E-2</v>
      </c>
    </row>
    <row r="72" spans="1:31">
      <c r="A72" t="s">
        <v>204</v>
      </c>
      <c r="B72" t="s">
        <v>3758</v>
      </c>
      <c r="C72" t="s">
        <v>3757</v>
      </c>
      <c r="D72" t="s">
        <v>177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s="20">
        <v>4.5999999999999999E-2</v>
      </c>
    </row>
    <row r="73" spans="1:31">
      <c r="A73" t="s">
        <v>206</v>
      </c>
      <c r="B73" t="s">
        <v>3756</v>
      </c>
      <c r="C73" t="s">
        <v>3755</v>
      </c>
      <c r="D73" t="s">
        <v>177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15</v>
      </c>
    </row>
    <row r="74" spans="1:31">
      <c r="A74" t="s">
        <v>205</v>
      </c>
      <c r="B74" t="s">
        <v>3754</v>
      </c>
      <c r="C74" t="s">
        <v>3753</v>
      </c>
      <c r="D74" t="s">
        <v>177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s="20">
        <v>-8.3000000000000004E-2</v>
      </c>
    </row>
    <row r="75" spans="1:31">
      <c r="A75" t="s">
        <v>207</v>
      </c>
      <c r="B75" t="s">
        <v>3752</v>
      </c>
      <c r="C75" t="s">
        <v>3751</v>
      </c>
      <c r="D75" t="s">
        <v>177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15</v>
      </c>
    </row>
    <row r="76" spans="1:31">
      <c r="A76" t="s">
        <v>1668</v>
      </c>
      <c r="B76" t="s">
        <v>3750</v>
      </c>
      <c r="C76" t="s">
        <v>3749</v>
      </c>
      <c r="D76" t="s">
        <v>177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15</v>
      </c>
    </row>
    <row r="77" spans="1:31">
      <c r="A77" t="s">
        <v>1665</v>
      </c>
      <c r="B77" t="s">
        <v>3748</v>
      </c>
      <c r="C77" t="s">
        <v>3747</v>
      </c>
      <c r="D77" t="s">
        <v>177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s="20">
        <v>0.22500000000000001</v>
      </c>
    </row>
    <row r="78" spans="1:31">
      <c r="A78" t="s">
        <v>1662</v>
      </c>
      <c r="B78" t="s">
        <v>3746</v>
      </c>
      <c r="C78" t="s">
        <v>3745</v>
      </c>
      <c r="D78" t="s">
        <v>177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15</v>
      </c>
    </row>
    <row r="79" spans="1:31">
      <c r="A79" t="s">
        <v>223</v>
      </c>
      <c r="B79" t="s">
        <v>3744</v>
      </c>
      <c r="C79" t="s">
        <v>3743</v>
      </c>
      <c r="D79" t="s">
        <v>177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s="20">
        <v>-8.9999999999999993E-3</v>
      </c>
    </row>
    <row r="80" spans="1:31">
      <c r="A80" t="s">
        <v>224</v>
      </c>
    </row>
    <row r="81" spans="1:31">
      <c r="A81" t="s">
        <v>168</v>
      </c>
      <c r="B81" t="s">
        <v>3742</v>
      </c>
      <c r="C81" t="s">
        <v>3741</v>
      </c>
      <c r="D81" t="s">
        <v>177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s="20">
        <v>0</v>
      </c>
    </row>
    <row r="82" spans="1:31">
      <c r="A82" t="s">
        <v>154</v>
      </c>
      <c r="B82" t="s">
        <v>3740</v>
      </c>
      <c r="C82" t="s">
        <v>3739</v>
      </c>
      <c r="D82" t="s">
        <v>177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s="20">
        <v>-4.3999999999999997E-2</v>
      </c>
    </row>
    <row r="83" spans="1:31">
      <c r="A83" t="s">
        <v>149</v>
      </c>
      <c r="B83" t="s">
        <v>3738</v>
      </c>
      <c r="C83" t="s">
        <v>3737</v>
      </c>
      <c r="D83" t="s">
        <v>177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s="20">
        <v>-9.2999999999999999E-2</v>
      </c>
    </row>
    <row r="84" spans="1:31">
      <c r="A84" t="s">
        <v>148</v>
      </c>
      <c r="B84" t="s">
        <v>3736</v>
      </c>
      <c r="C84" t="s">
        <v>3735</v>
      </c>
      <c r="D84" t="s">
        <v>177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s="20">
        <v>3.6999999999999998E-2</v>
      </c>
    </row>
    <row r="85" spans="1:31">
      <c r="A85" t="s">
        <v>203</v>
      </c>
      <c r="B85" t="s">
        <v>3734</v>
      </c>
      <c r="C85" t="s">
        <v>3733</v>
      </c>
      <c r="D85" t="s">
        <v>177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15</v>
      </c>
    </row>
    <row r="86" spans="1:31">
      <c r="A86" t="s">
        <v>204</v>
      </c>
      <c r="B86" t="s">
        <v>3732</v>
      </c>
      <c r="C86" t="s">
        <v>3731</v>
      </c>
      <c r="D86" t="s">
        <v>177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s="20">
        <v>4.4999999999999998E-2</v>
      </c>
    </row>
    <row r="87" spans="1:31">
      <c r="A87" t="s">
        <v>206</v>
      </c>
      <c r="B87" t="s">
        <v>3730</v>
      </c>
      <c r="C87" t="s">
        <v>3729</v>
      </c>
      <c r="D87" t="s">
        <v>177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15</v>
      </c>
    </row>
    <row r="88" spans="1:31">
      <c r="A88" t="s">
        <v>205</v>
      </c>
      <c r="B88" t="s">
        <v>3728</v>
      </c>
      <c r="C88" t="s">
        <v>3727</v>
      </c>
      <c r="D88" t="s">
        <v>177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15</v>
      </c>
    </row>
    <row r="89" spans="1:31">
      <c r="A89" t="s">
        <v>207</v>
      </c>
      <c r="B89" t="s">
        <v>3726</v>
      </c>
      <c r="C89" t="s">
        <v>3725</v>
      </c>
      <c r="D89" t="s">
        <v>177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15</v>
      </c>
    </row>
    <row r="90" spans="1:31">
      <c r="A90" t="s">
        <v>1668</v>
      </c>
      <c r="B90" t="s">
        <v>3724</v>
      </c>
      <c r="C90" t="s">
        <v>3723</v>
      </c>
      <c r="D90" t="s">
        <v>177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15</v>
      </c>
    </row>
    <row r="91" spans="1:31">
      <c r="A91" t="s">
        <v>1665</v>
      </c>
      <c r="B91" t="s">
        <v>3722</v>
      </c>
      <c r="C91" t="s">
        <v>3721</v>
      </c>
      <c r="D91" t="s">
        <v>177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15</v>
      </c>
    </row>
    <row r="92" spans="1:31">
      <c r="A92" t="s">
        <v>1662</v>
      </c>
      <c r="B92" t="s">
        <v>3720</v>
      </c>
      <c r="C92" t="s">
        <v>3719</v>
      </c>
      <c r="D92" t="s">
        <v>177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15</v>
      </c>
    </row>
    <row r="93" spans="1:31">
      <c r="A93" t="s">
        <v>225</v>
      </c>
      <c r="B93" t="s">
        <v>3718</v>
      </c>
      <c r="C93" t="s">
        <v>3717</v>
      </c>
      <c r="D93" t="s">
        <v>177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s="20">
        <v>1E-3</v>
      </c>
    </row>
    <row r="94" spans="1:31">
      <c r="A94" t="s">
        <v>219</v>
      </c>
      <c r="B94" t="s">
        <v>228</v>
      </c>
      <c r="C94" t="s">
        <v>229</v>
      </c>
    </row>
    <row r="95" spans="1:31">
      <c r="A95" t="s">
        <v>168</v>
      </c>
      <c r="B95" t="s">
        <v>3716</v>
      </c>
      <c r="C95" t="s">
        <v>3715</v>
      </c>
      <c r="D95" t="s">
        <v>177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s="20">
        <v>-4.0000000000000001E-3</v>
      </c>
    </row>
    <row r="96" spans="1:31">
      <c r="A96" t="s">
        <v>154</v>
      </c>
      <c r="B96" t="s">
        <v>3714</v>
      </c>
      <c r="C96" t="s">
        <v>3713</v>
      </c>
      <c r="D96" t="s">
        <v>177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s="20">
        <v>1E-3</v>
      </c>
    </row>
    <row r="97" spans="1:31">
      <c r="A97" t="s">
        <v>149</v>
      </c>
      <c r="B97" t="s">
        <v>3712</v>
      </c>
      <c r="C97" t="s">
        <v>3711</v>
      </c>
      <c r="D97" t="s">
        <v>177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s="20">
        <v>-9.1999999999999998E-2</v>
      </c>
    </row>
    <row r="98" spans="1:31">
      <c r="A98" t="s">
        <v>148</v>
      </c>
      <c r="B98" t="s">
        <v>3710</v>
      </c>
      <c r="C98" t="s">
        <v>3709</v>
      </c>
      <c r="D98" t="s">
        <v>177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s="20">
        <v>3.7999999999999999E-2</v>
      </c>
    </row>
    <row r="99" spans="1:31">
      <c r="A99" t="s">
        <v>203</v>
      </c>
      <c r="B99" t="s">
        <v>3708</v>
      </c>
      <c r="C99" t="s">
        <v>3707</v>
      </c>
      <c r="D99" t="s">
        <v>177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s="20">
        <v>-0.111</v>
      </c>
    </row>
    <row r="100" spans="1:31">
      <c r="A100" t="s">
        <v>204</v>
      </c>
      <c r="B100" t="s">
        <v>3706</v>
      </c>
      <c r="C100" t="s">
        <v>3705</v>
      </c>
      <c r="D100" t="s">
        <v>177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s="20">
        <v>0.123</v>
      </c>
    </row>
    <row r="101" spans="1:31">
      <c r="A101" t="s">
        <v>206</v>
      </c>
      <c r="B101" t="s">
        <v>3704</v>
      </c>
      <c r="C101" t="s">
        <v>3703</v>
      </c>
      <c r="D101" t="s">
        <v>177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15</v>
      </c>
    </row>
    <row r="102" spans="1:31">
      <c r="A102" t="s">
        <v>205</v>
      </c>
      <c r="B102" t="s">
        <v>3702</v>
      </c>
      <c r="C102" t="s">
        <v>3701</v>
      </c>
      <c r="D102" t="s">
        <v>177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s="20">
        <v>-8.3000000000000004E-2</v>
      </c>
    </row>
    <row r="103" spans="1:31">
      <c r="A103" t="s">
        <v>207</v>
      </c>
      <c r="B103" t="s">
        <v>3700</v>
      </c>
      <c r="C103" t="s">
        <v>3699</v>
      </c>
      <c r="D103" t="s">
        <v>177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15</v>
      </c>
    </row>
    <row r="104" spans="1:31">
      <c r="A104" t="s">
        <v>1668</v>
      </c>
      <c r="B104" t="s">
        <v>3698</v>
      </c>
      <c r="C104" t="s">
        <v>3697</v>
      </c>
      <c r="D104" t="s">
        <v>177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15</v>
      </c>
    </row>
    <row r="105" spans="1:31">
      <c r="A105" t="s">
        <v>1665</v>
      </c>
      <c r="B105" t="s">
        <v>3696</v>
      </c>
      <c r="C105" t="s">
        <v>3695</v>
      </c>
      <c r="D105" t="s">
        <v>177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s="20">
        <v>0.25700000000000001</v>
      </c>
    </row>
    <row r="106" spans="1:31">
      <c r="A106" t="s">
        <v>1662</v>
      </c>
      <c r="B106" t="s">
        <v>3694</v>
      </c>
      <c r="C106" t="s">
        <v>3693</v>
      </c>
      <c r="D106" t="s">
        <v>177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15</v>
      </c>
    </row>
    <row r="107" spans="1:31">
      <c r="A107" t="s">
        <v>80</v>
      </c>
      <c r="B107" t="s">
        <v>3692</v>
      </c>
      <c r="C107" t="s">
        <v>3691</v>
      </c>
      <c r="D107" t="s">
        <v>177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s="20">
        <v>0</v>
      </c>
    </row>
    <row r="108" spans="1:31">
      <c r="A108" t="s">
        <v>230</v>
      </c>
    </row>
    <row r="109" spans="1:31">
      <c r="A109" t="s">
        <v>219</v>
      </c>
    </row>
    <row r="110" spans="1:31">
      <c r="A110" t="s">
        <v>168</v>
      </c>
      <c r="B110" t="s">
        <v>3690</v>
      </c>
      <c r="C110" t="s">
        <v>3689</v>
      </c>
      <c r="D110" t="s">
        <v>231</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s="20">
        <v>3.0000000000000001E-3</v>
      </c>
    </row>
    <row r="111" spans="1:31">
      <c r="A111" t="s">
        <v>154</v>
      </c>
      <c r="B111" t="s">
        <v>3688</v>
      </c>
      <c r="C111" t="s">
        <v>3687</v>
      </c>
      <c r="D111" t="s">
        <v>232</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s="20">
        <v>2E-3</v>
      </c>
    </row>
    <row r="112" spans="1:31">
      <c r="A112" t="s">
        <v>149</v>
      </c>
      <c r="B112" t="s">
        <v>3686</v>
      </c>
      <c r="C112" t="s">
        <v>3685</v>
      </c>
      <c r="D112" t="s">
        <v>232</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s="20">
        <v>0.01</v>
      </c>
    </row>
    <row r="113" spans="1:31">
      <c r="A113" t="s">
        <v>148</v>
      </c>
      <c r="B113" t="s">
        <v>3684</v>
      </c>
      <c r="C113" t="s">
        <v>3683</v>
      </c>
      <c r="D113" t="s">
        <v>232</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s="20">
        <v>5.0000000000000001E-3</v>
      </c>
    </row>
    <row r="114" spans="1:31">
      <c r="A114" t="s">
        <v>203</v>
      </c>
      <c r="B114" t="s">
        <v>3682</v>
      </c>
      <c r="C114" t="s">
        <v>3681</v>
      </c>
      <c r="D114" t="s">
        <v>232</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s="20">
        <v>0</v>
      </c>
    </row>
    <row r="115" spans="1:31">
      <c r="A115" t="s">
        <v>204</v>
      </c>
      <c r="B115" t="s">
        <v>3680</v>
      </c>
      <c r="C115" t="s">
        <v>3679</v>
      </c>
      <c r="D115" t="s">
        <v>231</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s="20">
        <v>1E-3</v>
      </c>
    </row>
    <row r="116" spans="1:31">
      <c r="A116" t="s">
        <v>206</v>
      </c>
      <c r="B116" t="s">
        <v>3678</v>
      </c>
      <c r="C116" t="s">
        <v>3677</v>
      </c>
      <c r="D116" t="s">
        <v>231</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15</v>
      </c>
    </row>
    <row r="117" spans="1:31">
      <c r="A117" t="s">
        <v>205</v>
      </c>
      <c r="B117" t="s">
        <v>3676</v>
      </c>
      <c r="C117" t="s">
        <v>3675</v>
      </c>
      <c r="D117" t="s">
        <v>232</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15</v>
      </c>
    </row>
    <row r="118" spans="1:31">
      <c r="A118" t="s">
        <v>207</v>
      </c>
      <c r="B118" t="s">
        <v>3674</v>
      </c>
      <c r="C118" t="s">
        <v>3673</v>
      </c>
      <c r="D118" t="s">
        <v>231</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15</v>
      </c>
    </row>
    <row r="119" spans="1:31">
      <c r="A119" t="s">
        <v>1668</v>
      </c>
      <c r="B119" t="s">
        <v>3672</v>
      </c>
      <c r="C119" t="s">
        <v>3671</v>
      </c>
      <c r="D119" t="s">
        <v>231</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15</v>
      </c>
    </row>
    <row r="120" spans="1:31">
      <c r="A120" t="s">
        <v>1665</v>
      </c>
      <c r="B120" t="s">
        <v>3670</v>
      </c>
      <c r="C120" t="s">
        <v>3669</v>
      </c>
      <c r="D120" t="s">
        <v>232</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s="20">
        <v>1E-3</v>
      </c>
    </row>
    <row r="121" spans="1:31">
      <c r="A121" t="s">
        <v>1662</v>
      </c>
      <c r="B121" t="s">
        <v>3668</v>
      </c>
      <c r="C121" t="s">
        <v>3667</v>
      </c>
      <c r="D121" t="s">
        <v>231</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15</v>
      </c>
    </row>
    <row r="122" spans="1:31">
      <c r="A122" t="s">
        <v>233</v>
      </c>
      <c r="B122" t="s">
        <v>3666</v>
      </c>
      <c r="C122" t="s">
        <v>3665</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s="20">
        <v>6.0000000000000001E-3</v>
      </c>
    </row>
    <row r="123" spans="1:31">
      <c r="A123" t="s">
        <v>222</v>
      </c>
    </row>
    <row r="124" spans="1:31">
      <c r="A124" t="s">
        <v>168</v>
      </c>
      <c r="B124" t="s">
        <v>3664</v>
      </c>
      <c r="C124" t="s">
        <v>3663</v>
      </c>
      <c r="D124" t="s">
        <v>231</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s="20">
        <v>8.9999999999999993E-3</v>
      </c>
    </row>
    <row r="125" spans="1:31">
      <c r="A125" t="s">
        <v>154</v>
      </c>
      <c r="B125" t="s">
        <v>3662</v>
      </c>
      <c r="C125" t="s">
        <v>3661</v>
      </c>
      <c r="D125" t="s">
        <v>232</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s="20">
        <v>5.0000000000000001E-3</v>
      </c>
    </row>
    <row r="126" spans="1:31">
      <c r="A126" t="s">
        <v>149</v>
      </c>
      <c r="B126" t="s">
        <v>3660</v>
      </c>
      <c r="C126" t="s">
        <v>3659</v>
      </c>
      <c r="D126" t="s">
        <v>232</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s="20">
        <v>4.0000000000000001E-3</v>
      </c>
    </row>
    <row r="127" spans="1:31">
      <c r="A127" t="s">
        <v>148</v>
      </c>
      <c r="B127" t="s">
        <v>3658</v>
      </c>
      <c r="C127" t="s">
        <v>3657</v>
      </c>
      <c r="D127" t="s">
        <v>232</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s="20">
        <v>0.01</v>
      </c>
    </row>
    <row r="128" spans="1:31">
      <c r="A128" t="s">
        <v>203</v>
      </c>
      <c r="B128" t="s">
        <v>3656</v>
      </c>
      <c r="C128" t="s">
        <v>3655</v>
      </c>
      <c r="D128" t="s">
        <v>234</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s="20">
        <v>0</v>
      </c>
    </row>
    <row r="129" spans="1:31">
      <c r="A129" t="s">
        <v>204</v>
      </c>
      <c r="B129" t="s">
        <v>3654</v>
      </c>
      <c r="C129" t="s">
        <v>3653</v>
      </c>
      <c r="D129" t="s">
        <v>232</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s="20">
        <v>-3.0000000000000001E-3</v>
      </c>
    </row>
    <row r="130" spans="1:31">
      <c r="A130" t="s">
        <v>206</v>
      </c>
      <c r="B130" t="s">
        <v>3652</v>
      </c>
      <c r="C130" t="s">
        <v>3651</v>
      </c>
      <c r="D130" t="s">
        <v>232</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15</v>
      </c>
    </row>
    <row r="131" spans="1:31">
      <c r="A131" t="s">
        <v>205</v>
      </c>
      <c r="B131" t="s">
        <v>3650</v>
      </c>
      <c r="C131" t="s">
        <v>3649</v>
      </c>
      <c r="D131" t="s">
        <v>232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s="20">
        <v>0</v>
      </c>
    </row>
    <row r="132" spans="1:31">
      <c r="A132" t="s">
        <v>207</v>
      </c>
      <c r="B132" t="s">
        <v>3648</v>
      </c>
      <c r="C132" t="s">
        <v>3647</v>
      </c>
      <c r="D132" t="s">
        <v>232</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15</v>
      </c>
    </row>
    <row r="133" spans="1:31">
      <c r="A133" t="s">
        <v>1668</v>
      </c>
      <c r="B133" t="s">
        <v>3646</v>
      </c>
      <c r="C133" t="s">
        <v>3645</v>
      </c>
      <c r="D133" t="s">
        <v>231</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15</v>
      </c>
    </row>
    <row r="134" spans="1:31">
      <c r="A134" t="s">
        <v>1665</v>
      </c>
      <c r="B134" t="s">
        <v>3644</v>
      </c>
      <c r="C134" t="s">
        <v>3643</v>
      </c>
      <c r="D134" t="s">
        <v>232</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s="20">
        <v>3.0000000000000001E-3</v>
      </c>
    </row>
    <row r="135" spans="1:31">
      <c r="A135" t="s">
        <v>1662</v>
      </c>
      <c r="B135" t="s">
        <v>3642</v>
      </c>
      <c r="C135" t="s">
        <v>3641</v>
      </c>
      <c r="D135" t="s">
        <v>231</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15</v>
      </c>
    </row>
    <row r="136" spans="1:31">
      <c r="A136" t="s">
        <v>235</v>
      </c>
      <c r="B136" t="s">
        <v>3640</v>
      </c>
      <c r="C136" t="s">
        <v>3639</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s="20">
        <v>7.0000000000000001E-3</v>
      </c>
    </row>
    <row r="137" spans="1:31">
      <c r="A137" t="s">
        <v>224</v>
      </c>
    </row>
    <row r="138" spans="1:31">
      <c r="A138" t="s">
        <v>168</v>
      </c>
      <c r="B138" t="s">
        <v>3638</v>
      </c>
      <c r="C138" t="s">
        <v>3637</v>
      </c>
      <c r="D138" t="s">
        <v>231</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s="20">
        <v>8.0000000000000002E-3</v>
      </c>
    </row>
    <row r="139" spans="1:31">
      <c r="A139" t="s">
        <v>154</v>
      </c>
      <c r="B139" t="s">
        <v>3636</v>
      </c>
      <c r="C139" t="s">
        <v>3635</v>
      </c>
      <c r="D139" t="s">
        <v>232</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s="20">
        <v>8.9999999999999993E-3</v>
      </c>
    </row>
    <row r="140" spans="1:31">
      <c r="A140" t="s">
        <v>149</v>
      </c>
      <c r="B140" t="s">
        <v>3634</v>
      </c>
      <c r="C140" t="s">
        <v>3633</v>
      </c>
      <c r="D140" t="s">
        <v>232</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s="20">
        <v>0</v>
      </c>
    </row>
    <row r="141" spans="1:31">
      <c r="A141" t="s">
        <v>148</v>
      </c>
      <c r="B141" t="s">
        <v>3632</v>
      </c>
      <c r="C141" t="s">
        <v>3631</v>
      </c>
      <c r="D141" t="s">
        <v>231</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s="20">
        <v>8.0000000000000002E-3</v>
      </c>
    </row>
    <row r="142" spans="1:31">
      <c r="A142" t="s">
        <v>203</v>
      </c>
      <c r="B142" t="s">
        <v>3630</v>
      </c>
      <c r="C142" t="s">
        <v>3629</v>
      </c>
      <c r="D142" t="s">
        <v>232</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15</v>
      </c>
    </row>
    <row r="143" spans="1:31">
      <c r="A143" t="s">
        <v>204</v>
      </c>
      <c r="B143" t="s">
        <v>3628</v>
      </c>
      <c r="C143" t="s">
        <v>3627</v>
      </c>
      <c r="D143" t="s">
        <v>231</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s="20">
        <v>3.0000000000000001E-3</v>
      </c>
    </row>
    <row r="144" spans="1:31">
      <c r="A144" t="s">
        <v>206</v>
      </c>
      <c r="B144" t="s">
        <v>3626</v>
      </c>
      <c r="C144" t="s">
        <v>3625</v>
      </c>
      <c r="D144" t="s">
        <v>231</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15</v>
      </c>
    </row>
    <row r="145" spans="1:31">
      <c r="A145" t="s">
        <v>205</v>
      </c>
      <c r="B145" t="s">
        <v>3624</v>
      </c>
      <c r="C145" t="s">
        <v>3623</v>
      </c>
      <c r="D145" t="s">
        <v>232</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15</v>
      </c>
    </row>
    <row r="146" spans="1:31">
      <c r="A146" t="s">
        <v>207</v>
      </c>
      <c r="B146" t="s">
        <v>3622</v>
      </c>
      <c r="C146" t="s">
        <v>3621</v>
      </c>
      <c r="D146" t="s">
        <v>231</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15</v>
      </c>
    </row>
    <row r="147" spans="1:31">
      <c r="A147" t="s">
        <v>1668</v>
      </c>
      <c r="B147" t="s">
        <v>3620</v>
      </c>
      <c r="C147" t="s">
        <v>3619</v>
      </c>
      <c r="D147" t="s">
        <v>231</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15</v>
      </c>
    </row>
    <row r="148" spans="1:31">
      <c r="A148" t="s">
        <v>1665</v>
      </c>
      <c r="B148" t="s">
        <v>3618</v>
      </c>
      <c r="C148" t="s">
        <v>3617</v>
      </c>
      <c r="D148" t="s">
        <v>232</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15</v>
      </c>
    </row>
    <row r="149" spans="1:31">
      <c r="A149" t="s">
        <v>1662</v>
      </c>
      <c r="B149" t="s">
        <v>3616</v>
      </c>
      <c r="C149" t="s">
        <v>3615</v>
      </c>
      <c r="D149" t="s">
        <v>231</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15</v>
      </c>
    </row>
    <row r="150" spans="1:31">
      <c r="A150" t="s">
        <v>236</v>
      </c>
      <c r="B150" t="s">
        <v>3614</v>
      </c>
      <c r="C150" t="s">
        <v>3613</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s="20">
        <v>8.0000000000000002E-3</v>
      </c>
    </row>
    <row r="151" spans="1:31">
      <c r="A151" t="s">
        <v>237</v>
      </c>
      <c r="B151" t="s">
        <v>3612</v>
      </c>
      <c r="C151" t="s">
        <v>3611</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s="20">
        <v>8.0000000000000002E-3</v>
      </c>
    </row>
    <row r="152" spans="1:31">
      <c r="A152" t="s">
        <v>238</v>
      </c>
    </row>
    <row r="153" spans="1:31" s="140" customFormat="1">
      <c r="A153" s="140" t="s">
        <v>219</v>
      </c>
    </row>
    <row r="154" spans="1:31" s="140" customFormat="1">
      <c r="A154" s="140" t="s">
        <v>168</v>
      </c>
      <c r="B154" s="140" t="s">
        <v>3610</v>
      </c>
      <c r="C154" s="140" t="s">
        <v>3609</v>
      </c>
      <c r="D154" s="140" t="s">
        <v>200</v>
      </c>
      <c r="E154" s="140">
        <v>3.7537569999999998</v>
      </c>
      <c r="F154" s="140">
        <v>3.835683</v>
      </c>
      <c r="G154" s="140">
        <v>3.9179650000000001</v>
      </c>
      <c r="H154" s="140">
        <v>3.9963730000000002</v>
      </c>
      <c r="I154" s="140">
        <v>4.0713010000000001</v>
      </c>
      <c r="J154" s="140">
        <v>4.1429960000000001</v>
      </c>
      <c r="K154" s="140">
        <v>4.2088390000000002</v>
      </c>
      <c r="L154" s="140">
        <v>4.2684329999999999</v>
      </c>
      <c r="M154" s="140">
        <v>4.3136609999999997</v>
      </c>
      <c r="N154" s="140">
        <v>4.3476720000000002</v>
      </c>
      <c r="O154" s="140">
        <v>4.3677840000000003</v>
      </c>
      <c r="P154" s="140">
        <v>4.372344</v>
      </c>
      <c r="Q154" s="140">
        <v>4.3659679999999996</v>
      </c>
      <c r="R154" s="140">
        <v>4.3509070000000003</v>
      </c>
      <c r="S154" s="140">
        <v>4.3246659999999997</v>
      </c>
      <c r="T154" s="140">
        <v>4.2856860000000001</v>
      </c>
      <c r="U154" s="140">
        <v>4.2367140000000001</v>
      </c>
      <c r="V154" s="140">
        <v>4.1736630000000003</v>
      </c>
      <c r="W154" s="140">
        <v>4.1067650000000002</v>
      </c>
      <c r="X154" s="140">
        <v>4.0321230000000003</v>
      </c>
      <c r="Y154" s="140">
        <v>3.9420259999999998</v>
      </c>
      <c r="Z154" s="140">
        <v>3.84063</v>
      </c>
      <c r="AA154" s="140">
        <v>3.7352280000000002</v>
      </c>
      <c r="AB154" s="140">
        <v>3.625108</v>
      </c>
      <c r="AC154" s="140">
        <v>3.5072109999999999</v>
      </c>
      <c r="AD154" s="140">
        <v>3.3849469999999999</v>
      </c>
      <c r="AE154" s="141">
        <v>-4.0000000000000001E-3</v>
      </c>
    </row>
    <row r="155" spans="1:31" s="140" customFormat="1">
      <c r="A155" s="140" t="s">
        <v>154</v>
      </c>
      <c r="B155" s="140" t="s">
        <v>3608</v>
      </c>
      <c r="C155" s="140" t="s">
        <v>3607</v>
      </c>
      <c r="D155" s="140" t="s">
        <v>200</v>
      </c>
      <c r="E155" s="140">
        <v>1.7368110000000001</v>
      </c>
      <c r="F155" s="140">
        <v>1.8191759999999999</v>
      </c>
      <c r="G155" s="140">
        <v>1.913807</v>
      </c>
      <c r="H155" s="140">
        <v>2.014723</v>
      </c>
      <c r="I155" s="140">
        <v>2.1217980000000001</v>
      </c>
      <c r="J155" s="140">
        <v>2.2356319999999998</v>
      </c>
      <c r="K155" s="140">
        <v>2.3504710000000002</v>
      </c>
      <c r="L155" s="140">
        <v>2.4665979999999998</v>
      </c>
      <c r="M155" s="140">
        <v>2.5789080000000002</v>
      </c>
      <c r="N155" s="140">
        <v>2.6861519999999999</v>
      </c>
      <c r="O155" s="140">
        <v>2.7850570000000001</v>
      </c>
      <c r="P155" s="140">
        <v>2.8722349999999999</v>
      </c>
      <c r="Q155" s="140">
        <v>2.9514179999999999</v>
      </c>
      <c r="R155" s="140">
        <v>3.023469</v>
      </c>
      <c r="S155" s="140">
        <v>3.0886849999999999</v>
      </c>
      <c r="T155" s="140">
        <v>3.146547</v>
      </c>
      <c r="U155" s="140">
        <v>3.1942390000000001</v>
      </c>
      <c r="V155" s="140">
        <v>3.2263459999999999</v>
      </c>
      <c r="W155" s="140">
        <v>3.2464590000000002</v>
      </c>
      <c r="X155" s="140">
        <v>3.2486280000000001</v>
      </c>
      <c r="Y155" s="140">
        <v>3.2383359999999999</v>
      </c>
      <c r="Z155" s="140">
        <v>3.2161390000000001</v>
      </c>
      <c r="AA155" s="140">
        <v>3.1855039999999999</v>
      </c>
      <c r="AB155" s="140">
        <v>3.1438679999999999</v>
      </c>
      <c r="AC155" s="140">
        <v>3.0970080000000002</v>
      </c>
      <c r="AD155" s="140">
        <v>3.0447410000000001</v>
      </c>
      <c r="AE155" s="141">
        <v>2.3E-2</v>
      </c>
    </row>
    <row r="156" spans="1:31" s="140" customFormat="1">
      <c r="A156" s="140" t="s">
        <v>149</v>
      </c>
      <c r="B156" s="140" t="s">
        <v>3606</v>
      </c>
      <c r="C156" s="140" t="s">
        <v>3605</v>
      </c>
      <c r="D156" s="140" t="s">
        <v>200</v>
      </c>
      <c r="E156" s="140">
        <v>1.01E-4</v>
      </c>
      <c r="F156" s="140">
        <v>9.7E-5</v>
      </c>
      <c r="G156" s="140">
        <v>9.2999999999999997E-5</v>
      </c>
      <c r="H156" s="140">
        <v>9.1000000000000003E-5</v>
      </c>
      <c r="I156" s="140">
        <v>8.8999999999999995E-5</v>
      </c>
      <c r="J156" s="140">
        <v>8.7000000000000001E-5</v>
      </c>
      <c r="K156" s="140">
        <v>8.6000000000000003E-5</v>
      </c>
      <c r="L156" s="140">
        <v>8.6000000000000003E-5</v>
      </c>
      <c r="M156" s="140">
        <v>8.5000000000000006E-5</v>
      </c>
      <c r="N156" s="140">
        <v>7.7999999999999999E-5</v>
      </c>
      <c r="O156" s="140">
        <v>6.7999999999999999E-5</v>
      </c>
      <c r="P156" s="140">
        <v>6.3E-5</v>
      </c>
      <c r="Q156" s="140">
        <v>6.0000000000000002E-5</v>
      </c>
      <c r="R156" s="140">
        <v>5.8999999999999998E-5</v>
      </c>
      <c r="S156" s="140">
        <v>6.0000000000000002E-5</v>
      </c>
      <c r="T156" s="140">
        <v>6.0999999999999999E-5</v>
      </c>
      <c r="U156" s="140">
        <v>6.3E-5</v>
      </c>
      <c r="V156" s="140">
        <v>6.4999999999999994E-5</v>
      </c>
      <c r="W156" s="140">
        <v>6.7999999999999999E-5</v>
      </c>
      <c r="X156" s="140">
        <v>7.1000000000000005E-5</v>
      </c>
      <c r="Y156" s="140">
        <v>7.3999999999999996E-5</v>
      </c>
      <c r="Z156" s="140">
        <v>7.7000000000000001E-5</v>
      </c>
      <c r="AA156" s="140">
        <v>8.0000000000000007E-5</v>
      </c>
      <c r="AB156" s="140">
        <v>8.2000000000000001E-5</v>
      </c>
      <c r="AC156" s="140">
        <v>8.5000000000000006E-5</v>
      </c>
      <c r="AD156" s="140">
        <v>8.7999999999999998E-5</v>
      </c>
      <c r="AE156" s="141">
        <v>-6.0000000000000001E-3</v>
      </c>
    </row>
    <row r="157" spans="1:31" s="140" customFormat="1">
      <c r="A157" s="140" t="s">
        <v>148</v>
      </c>
      <c r="B157" s="140" t="s">
        <v>3604</v>
      </c>
      <c r="C157" s="140" t="s">
        <v>3603</v>
      </c>
      <c r="D157" s="140" t="s">
        <v>200</v>
      </c>
      <c r="E157" s="140">
        <v>3.4659999999999999E-3</v>
      </c>
      <c r="F157" s="140">
        <v>4.6589999999999999E-3</v>
      </c>
      <c r="G157" s="140">
        <v>4.8929999999999998E-3</v>
      </c>
      <c r="H157" s="140">
        <v>5.1120000000000002E-3</v>
      </c>
      <c r="I157" s="140">
        <v>5.3109999999999997E-3</v>
      </c>
      <c r="J157" s="140">
        <v>5.5290000000000001E-3</v>
      </c>
      <c r="K157" s="140">
        <v>5.7809999999999997E-3</v>
      </c>
      <c r="L157" s="140">
        <v>6.1120000000000002E-3</v>
      </c>
      <c r="M157" s="140">
        <v>6.5030000000000001E-3</v>
      </c>
      <c r="N157" s="140">
        <v>6.927E-3</v>
      </c>
      <c r="O157" s="140">
        <v>7.4549999999999998E-3</v>
      </c>
      <c r="P157" s="140">
        <v>8.0739999999999996E-3</v>
      </c>
      <c r="Q157" s="140">
        <v>9.0959999999999999E-3</v>
      </c>
      <c r="R157" s="140">
        <v>1.0227E-2</v>
      </c>
      <c r="S157" s="140">
        <v>1.1526E-2</v>
      </c>
      <c r="T157" s="140">
        <v>1.3391999999999999E-2</v>
      </c>
      <c r="U157" s="140">
        <v>1.5654999999999999E-2</v>
      </c>
      <c r="V157" s="140">
        <v>1.8696000000000001E-2</v>
      </c>
      <c r="W157" s="140">
        <v>2.2294999999999999E-2</v>
      </c>
      <c r="X157" s="140">
        <v>2.649E-2</v>
      </c>
      <c r="Y157" s="140">
        <v>3.1563000000000001E-2</v>
      </c>
      <c r="Z157" s="140">
        <v>3.7002E-2</v>
      </c>
      <c r="AA157" s="140">
        <v>4.3427E-2</v>
      </c>
      <c r="AB157" s="140">
        <v>5.0634999999999999E-2</v>
      </c>
      <c r="AC157" s="140">
        <v>5.8021000000000003E-2</v>
      </c>
      <c r="AD157" s="140">
        <v>6.6630999999999996E-2</v>
      </c>
      <c r="AE157" s="141">
        <v>0.126</v>
      </c>
    </row>
    <row r="158" spans="1:31" s="140" customFormat="1">
      <c r="A158" s="140" t="s">
        <v>203</v>
      </c>
      <c r="B158" s="140" t="s">
        <v>3602</v>
      </c>
      <c r="C158" s="140" t="s">
        <v>3601</v>
      </c>
      <c r="D158" s="140" t="s">
        <v>200</v>
      </c>
      <c r="E158" s="140">
        <v>0.20688100000000001</v>
      </c>
      <c r="F158" s="140">
        <v>0.20325299999999999</v>
      </c>
      <c r="G158" s="140">
        <v>0.19891700000000001</v>
      </c>
      <c r="H158" s="140">
        <v>0.193693</v>
      </c>
      <c r="I158" s="140">
        <v>0.187802</v>
      </c>
      <c r="J158" s="140">
        <v>0.18135599999999999</v>
      </c>
      <c r="K158" s="140">
        <v>0.17451800000000001</v>
      </c>
      <c r="L158" s="140">
        <v>0.16750499999999999</v>
      </c>
      <c r="M158" s="140">
        <v>0.16028800000000001</v>
      </c>
      <c r="N158" s="140">
        <v>0.15342</v>
      </c>
      <c r="O158" s="140">
        <v>0.146088</v>
      </c>
      <c r="P158" s="140">
        <v>0.138933</v>
      </c>
      <c r="Q158" s="140">
        <v>0.13139899999999999</v>
      </c>
      <c r="R158" s="140">
        <v>0.12435499999999999</v>
      </c>
      <c r="S158" s="140">
        <v>0.116871</v>
      </c>
      <c r="T158" s="140">
        <v>0.109835</v>
      </c>
      <c r="U158" s="140">
        <v>0.103297</v>
      </c>
      <c r="V158" s="140">
        <v>9.6893000000000007E-2</v>
      </c>
      <c r="W158" s="140">
        <v>9.1095999999999996E-2</v>
      </c>
      <c r="X158" s="140">
        <v>8.5285E-2</v>
      </c>
      <c r="Y158" s="140">
        <v>7.8014E-2</v>
      </c>
      <c r="Z158" s="140">
        <v>7.0412000000000002E-2</v>
      </c>
      <c r="AA158" s="140">
        <v>6.2622999999999998E-2</v>
      </c>
      <c r="AB158" s="140">
        <v>5.5251000000000001E-2</v>
      </c>
      <c r="AC158" s="140">
        <v>4.6946000000000002E-2</v>
      </c>
      <c r="AD158" s="140">
        <v>3.8714999999999999E-2</v>
      </c>
      <c r="AE158" s="141">
        <v>-6.5000000000000002E-2</v>
      </c>
    </row>
    <row r="159" spans="1:31" s="140" customFormat="1">
      <c r="A159" s="140" t="s">
        <v>204</v>
      </c>
      <c r="B159" s="140" t="s">
        <v>3600</v>
      </c>
      <c r="C159" s="140" t="s">
        <v>3599</v>
      </c>
      <c r="D159" s="140" t="s">
        <v>200</v>
      </c>
      <c r="E159" s="140">
        <v>8.5459999999999998E-3</v>
      </c>
      <c r="F159" s="140">
        <v>1.0415000000000001E-2</v>
      </c>
      <c r="G159" s="140">
        <v>1.2351000000000001E-2</v>
      </c>
      <c r="H159" s="140">
        <v>1.4288E-2</v>
      </c>
      <c r="I159" s="140">
        <v>1.6306999999999999E-2</v>
      </c>
      <c r="J159" s="140">
        <v>1.8408000000000001E-2</v>
      </c>
      <c r="K159" s="140">
        <v>2.0551E-2</v>
      </c>
      <c r="L159" s="140">
        <v>2.2764E-2</v>
      </c>
      <c r="M159" s="140">
        <v>2.5003000000000001E-2</v>
      </c>
      <c r="N159" s="140">
        <v>2.7272000000000001E-2</v>
      </c>
      <c r="O159" s="140">
        <v>2.9526E-2</v>
      </c>
      <c r="P159" s="140">
        <v>3.1724000000000002E-2</v>
      </c>
      <c r="Q159" s="140">
        <v>3.3896999999999997E-2</v>
      </c>
      <c r="R159" s="140">
        <v>3.6063999999999999E-2</v>
      </c>
      <c r="S159" s="140">
        <v>3.8191000000000003E-2</v>
      </c>
      <c r="T159" s="140">
        <v>4.4736999999999999E-2</v>
      </c>
      <c r="U159" s="140">
        <v>6.4108999999999999E-2</v>
      </c>
      <c r="V159" s="140">
        <v>0.103196</v>
      </c>
      <c r="W159" s="140">
        <v>0.16223499999999999</v>
      </c>
      <c r="X159" s="140">
        <v>0.245474</v>
      </c>
      <c r="Y159" s="140">
        <v>0.35137099999999999</v>
      </c>
      <c r="Z159" s="140">
        <v>0.47008299999999997</v>
      </c>
      <c r="AA159" s="140">
        <v>0.60047600000000001</v>
      </c>
      <c r="AB159" s="140">
        <v>0.74134699999999998</v>
      </c>
      <c r="AC159" s="140">
        <v>0.88834800000000003</v>
      </c>
      <c r="AD159" s="140">
        <v>1.0391729999999999</v>
      </c>
      <c r="AE159" s="141">
        <v>0.21199999999999999</v>
      </c>
    </row>
    <row r="160" spans="1:31" s="140" customFormat="1">
      <c r="A160" s="140" t="s">
        <v>206</v>
      </c>
      <c r="B160" s="140" t="s">
        <v>3598</v>
      </c>
      <c r="C160" s="140" t="s">
        <v>3597</v>
      </c>
      <c r="D160" s="140" t="s">
        <v>200</v>
      </c>
      <c r="E160" s="140">
        <v>0</v>
      </c>
      <c r="F160" s="140">
        <v>0</v>
      </c>
      <c r="G160" s="140">
        <v>0</v>
      </c>
      <c r="H160" s="140">
        <v>0</v>
      </c>
      <c r="I160" s="140">
        <v>0</v>
      </c>
      <c r="J160" s="140">
        <v>0</v>
      </c>
      <c r="K160" s="140">
        <v>0</v>
      </c>
      <c r="L160" s="140">
        <v>0</v>
      </c>
      <c r="M160" s="140">
        <v>0</v>
      </c>
      <c r="N160" s="140">
        <v>0</v>
      </c>
      <c r="O160" s="140">
        <v>0</v>
      </c>
      <c r="P160" s="140">
        <v>0</v>
      </c>
      <c r="Q160" s="140">
        <v>0</v>
      </c>
      <c r="R160" s="140">
        <v>0</v>
      </c>
      <c r="S160" s="140">
        <v>0</v>
      </c>
      <c r="T160" s="140">
        <v>0</v>
      </c>
      <c r="U160" s="140">
        <v>0</v>
      </c>
      <c r="V160" s="140">
        <v>0</v>
      </c>
      <c r="W160" s="140">
        <v>0</v>
      </c>
      <c r="X160" s="140">
        <v>0</v>
      </c>
      <c r="Y160" s="140">
        <v>0</v>
      </c>
      <c r="Z160" s="140">
        <v>0</v>
      </c>
      <c r="AA160" s="140">
        <v>0</v>
      </c>
      <c r="AB160" s="140">
        <v>0</v>
      </c>
      <c r="AC160" s="140">
        <v>0</v>
      </c>
      <c r="AD160" s="140">
        <v>0</v>
      </c>
      <c r="AE160" s="140" t="s">
        <v>15</v>
      </c>
    </row>
    <row r="161" spans="1:31" s="140" customFormat="1">
      <c r="A161" s="140" t="s">
        <v>205</v>
      </c>
      <c r="B161" s="140" t="s">
        <v>3596</v>
      </c>
      <c r="C161" s="140" t="s">
        <v>3595</v>
      </c>
      <c r="D161" s="140" t="s">
        <v>200</v>
      </c>
      <c r="E161" s="140">
        <v>0</v>
      </c>
      <c r="F161" s="140">
        <v>0</v>
      </c>
      <c r="G161" s="140">
        <v>0</v>
      </c>
      <c r="H161" s="140">
        <v>0</v>
      </c>
      <c r="I161" s="140">
        <v>0</v>
      </c>
      <c r="J161" s="140">
        <v>0</v>
      </c>
      <c r="K161" s="140">
        <v>0</v>
      </c>
      <c r="L161" s="140">
        <v>0</v>
      </c>
      <c r="M161" s="140">
        <v>0</v>
      </c>
      <c r="N161" s="140">
        <v>0</v>
      </c>
      <c r="O161" s="140">
        <v>0</v>
      </c>
      <c r="P161" s="140">
        <v>0</v>
      </c>
      <c r="Q161" s="140">
        <v>0</v>
      </c>
      <c r="R161" s="140">
        <v>0</v>
      </c>
      <c r="S161" s="140">
        <v>0</v>
      </c>
      <c r="T161" s="140">
        <v>0</v>
      </c>
      <c r="U161" s="140">
        <v>0</v>
      </c>
      <c r="V161" s="140">
        <v>0</v>
      </c>
      <c r="W161" s="140">
        <v>0</v>
      </c>
      <c r="X161" s="140">
        <v>0</v>
      </c>
      <c r="Y161" s="140">
        <v>0</v>
      </c>
      <c r="Z161" s="140">
        <v>0</v>
      </c>
      <c r="AA161" s="140">
        <v>0</v>
      </c>
      <c r="AB161" s="140">
        <v>0</v>
      </c>
      <c r="AC161" s="140">
        <v>0</v>
      </c>
      <c r="AD161" s="140">
        <v>0</v>
      </c>
      <c r="AE161" s="140" t="s">
        <v>15</v>
      </c>
    </row>
    <row r="162" spans="1:31" s="140" customFormat="1">
      <c r="A162" s="140" t="s">
        <v>207</v>
      </c>
      <c r="B162" s="140" t="s">
        <v>3594</v>
      </c>
      <c r="C162" s="140" t="s">
        <v>3593</v>
      </c>
      <c r="D162" s="140" t="s">
        <v>200</v>
      </c>
      <c r="E162" s="140">
        <v>0</v>
      </c>
      <c r="F162" s="140">
        <v>0</v>
      </c>
      <c r="G162" s="140">
        <v>0</v>
      </c>
      <c r="H162" s="140">
        <v>0</v>
      </c>
      <c r="I162" s="140">
        <v>0</v>
      </c>
      <c r="J162" s="140">
        <v>0</v>
      </c>
      <c r="K162" s="140">
        <v>0</v>
      </c>
      <c r="L162" s="140">
        <v>0</v>
      </c>
      <c r="M162" s="140">
        <v>0</v>
      </c>
      <c r="N162" s="140">
        <v>0</v>
      </c>
      <c r="O162" s="140">
        <v>0</v>
      </c>
      <c r="P162" s="140">
        <v>0</v>
      </c>
      <c r="Q162" s="140">
        <v>0</v>
      </c>
      <c r="R162" s="140">
        <v>0</v>
      </c>
      <c r="S162" s="140">
        <v>0</v>
      </c>
      <c r="T162" s="140">
        <v>0</v>
      </c>
      <c r="U162" s="140">
        <v>0</v>
      </c>
      <c r="V162" s="140">
        <v>0</v>
      </c>
      <c r="W162" s="140">
        <v>0</v>
      </c>
      <c r="X162" s="140">
        <v>0</v>
      </c>
      <c r="Y162" s="140">
        <v>0</v>
      </c>
      <c r="Z162" s="140">
        <v>0</v>
      </c>
      <c r="AA162" s="140">
        <v>0</v>
      </c>
      <c r="AB162" s="140">
        <v>0</v>
      </c>
      <c r="AC162" s="140">
        <v>0</v>
      </c>
      <c r="AD162" s="140">
        <v>0</v>
      </c>
      <c r="AE162" s="140" t="s">
        <v>15</v>
      </c>
    </row>
    <row r="163" spans="1:31" s="140" customFormat="1">
      <c r="A163" s="140" t="s">
        <v>1668</v>
      </c>
      <c r="B163" s="140" t="s">
        <v>3592</v>
      </c>
      <c r="C163" s="140" t="s">
        <v>3591</v>
      </c>
      <c r="D163" s="140" t="s">
        <v>200</v>
      </c>
      <c r="E163" s="140">
        <v>0</v>
      </c>
      <c r="F163" s="140">
        <v>0</v>
      </c>
      <c r="G163" s="140">
        <v>0</v>
      </c>
      <c r="H163" s="140">
        <v>0</v>
      </c>
      <c r="I163" s="140">
        <v>0</v>
      </c>
      <c r="J163" s="140">
        <v>0</v>
      </c>
      <c r="K163" s="140">
        <v>0</v>
      </c>
      <c r="L163" s="140">
        <v>0</v>
      </c>
      <c r="M163" s="140">
        <v>0</v>
      </c>
      <c r="N163" s="140">
        <v>0</v>
      </c>
      <c r="O163" s="140">
        <v>0</v>
      </c>
      <c r="P163" s="140">
        <v>0</v>
      </c>
      <c r="Q163" s="140">
        <v>0</v>
      </c>
      <c r="R163" s="140">
        <v>0</v>
      </c>
      <c r="S163" s="140">
        <v>0</v>
      </c>
      <c r="T163" s="140">
        <v>0</v>
      </c>
      <c r="U163" s="140">
        <v>0</v>
      </c>
      <c r="V163" s="140">
        <v>0</v>
      </c>
      <c r="W163" s="140">
        <v>0</v>
      </c>
      <c r="X163" s="140">
        <v>0</v>
      </c>
      <c r="Y163" s="140">
        <v>0</v>
      </c>
      <c r="Z163" s="140">
        <v>0</v>
      </c>
      <c r="AA163" s="140">
        <v>0</v>
      </c>
      <c r="AB163" s="140">
        <v>0</v>
      </c>
      <c r="AC163" s="140">
        <v>0</v>
      </c>
      <c r="AD163" s="140">
        <v>0</v>
      </c>
      <c r="AE163" s="140" t="s">
        <v>15</v>
      </c>
    </row>
    <row r="164" spans="1:31" s="140" customFormat="1">
      <c r="A164" s="140" t="s">
        <v>1665</v>
      </c>
      <c r="B164" s="140" t="s">
        <v>3590</v>
      </c>
      <c r="C164" s="140" t="s">
        <v>3589</v>
      </c>
      <c r="D164" s="140" t="s">
        <v>200</v>
      </c>
      <c r="E164" s="140">
        <v>2.0070000000000001E-3</v>
      </c>
      <c r="F164" s="140">
        <v>6.0210000000000003E-3</v>
      </c>
      <c r="G164" s="140">
        <v>1.1362000000000001E-2</v>
      </c>
      <c r="H164" s="140">
        <v>1.8501E-2</v>
      </c>
      <c r="I164" s="140">
        <v>2.8715000000000001E-2</v>
      </c>
      <c r="J164" s="140">
        <v>4.4956999999999997E-2</v>
      </c>
      <c r="K164" s="140">
        <v>6.7765000000000006E-2</v>
      </c>
      <c r="L164" s="140">
        <v>9.9580000000000002E-2</v>
      </c>
      <c r="M164" s="140">
        <v>0.144208</v>
      </c>
      <c r="N164" s="140">
        <v>0.20371600000000001</v>
      </c>
      <c r="O164" s="140">
        <v>0.28106300000000001</v>
      </c>
      <c r="P164" s="140">
        <v>0.38008700000000001</v>
      </c>
      <c r="Q164" s="140">
        <v>0.49675200000000003</v>
      </c>
      <c r="R164" s="140">
        <v>0.62812400000000002</v>
      </c>
      <c r="S164" s="140">
        <v>0.771038</v>
      </c>
      <c r="T164" s="140">
        <v>0.92185799999999996</v>
      </c>
      <c r="U164" s="140">
        <v>1.0775729999999999</v>
      </c>
      <c r="V164" s="140">
        <v>1.2362770000000001</v>
      </c>
      <c r="W164" s="140">
        <v>1.3968430000000001</v>
      </c>
      <c r="X164" s="140">
        <v>1.5585180000000001</v>
      </c>
      <c r="Y164" s="140">
        <v>1.720966</v>
      </c>
      <c r="Z164" s="140">
        <v>1.883111</v>
      </c>
      <c r="AA164" s="140">
        <v>2.044705</v>
      </c>
      <c r="AB164" s="140">
        <v>2.204297</v>
      </c>
      <c r="AC164" s="140">
        <v>2.3588309999999999</v>
      </c>
      <c r="AD164" s="140">
        <v>2.5073470000000002</v>
      </c>
      <c r="AE164" s="141">
        <v>0.33</v>
      </c>
    </row>
    <row r="165" spans="1:31" s="140" customFormat="1">
      <c r="A165" s="140" t="s">
        <v>1662</v>
      </c>
      <c r="B165" s="140" t="s">
        <v>3588</v>
      </c>
      <c r="C165" s="140" t="s">
        <v>3587</v>
      </c>
      <c r="D165" s="140" t="s">
        <v>200</v>
      </c>
      <c r="E165" s="140">
        <v>0</v>
      </c>
      <c r="F165" s="140">
        <v>0</v>
      </c>
      <c r="G165" s="140">
        <v>0</v>
      </c>
      <c r="H165" s="140">
        <v>0</v>
      </c>
      <c r="I165" s="140">
        <v>0</v>
      </c>
      <c r="J165" s="140">
        <v>0</v>
      </c>
      <c r="K165" s="140">
        <v>0</v>
      </c>
      <c r="L165" s="140">
        <v>0</v>
      </c>
      <c r="M165" s="140">
        <v>0</v>
      </c>
      <c r="N165" s="140">
        <v>0</v>
      </c>
      <c r="O165" s="140">
        <v>0</v>
      </c>
      <c r="P165" s="140">
        <v>0</v>
      </c>
      <c r="Q165" s="140">
        <v>0</v>
      </c>
      <c r="R165" s="140">
        <v>0</v>
      </c>
      <c r="S165" s="140">
        <v>0</v>
      </c>
      <c r="T165" s="140">
        <v>0</v>
      </c>
      <c r="U165" s="140">
        <v>0</v>
      </c>
      <c r="V165" s="140">
        <v>0</v>
      </c>
      <c r="W165" s="140">
        <v>0</v>
      </c>
      <c r="X165" s="140">
        <v>0</v>
      </c>
      <c r="Y165" s="140">
        <v>0</v>
      </c>
      <c r="Z165" s="140">
        <v>0</v>
      </c>
      <c r="AA165" s="140">
        <v>0</v>
      </c>
      <c r="AB165" s="140">
        <v>0</v>
      </c>
      <c r="AC165" s="140">
        <v>0</v>
      </c>
      <c r="AD165" s="140">
        <v>0</v>
      </c>
      <c r="AE165" s="140" t="s">
        <v>15</v>
      </c>
    </row>
    <row r="166" spans="1:31" s="140" customFormat="1">
      <c r="A166" s="140" t="s">
        <v>221</v>
      </c>
      <c r="B166" s="140" t="s">
        <v>3586</v>
      </c>
      <c r="C166" s="140" t="s">
        <v>3585</v>
      </c>
      <c r="D166" s="140" t="s">
        <v>200</v>
      </c>
      <c r="E166" s="140">
        <v>5.7115710000000002</v>
      </c>
      <c r="F166" s="140">
        <v>5.8793040000000003</v>
      </c>
      <c r="G166" s="140">
        <v>6.0593890000000004</v>
      </c>
      <c r="H166" s="140">
        <v>6.2427799999999998</v>
      </c>
      <c r="I166" s="140">
        <v>6.431324</v>
      </c>
      <c r="J166" s="140">
        <v>6.628965</v>
      </c>
      <c r="K166" s="140">
        <v>6.8280130000000003</v>
      </c>
      <c r="L166" s="140">
        <v>7.0310769999999998</v>
      </c>
      <c r="M166" s="140">
        <v>7.2286590000000004</v>
      </c>
      <c r="N166" s="140">
        <v>7.4252359999999999</v>
      </c>
      <c r="O166" s="140">
        <v>7.6170400000000003</v>
      </c>
      <c r="P166" s="140">
        <v>7.8034590000000001</v>
      </c>
      <c r="Q166" s="140">
        <v>7.9885890000000002</v>
      </c>
      <c r="R166" s="140">
        <v>8.1732069999999997</v>
      </c>
      <c r="S166" s="140">
        <v>8.3510360000000006</v>
      </c>
      <c r="T166" s="140">
        <v>8.5221140000000002</v>
      </c>
      <c r="U166" s="140">
        <v>8.6916510000000002</v>
      </c>
      <c r="V166" s="140">
        <v>8.8551350000000006</v>
      </c>
      <c r="W166" s="140">
        <v>9.02576</v>
      </c>
      <c r="X166" s="140">
        <v>9.1965900000000005</v>
      </c>
      <c r="Y166" s="140">
        <v>9.3623499999999993</v>
      </c>
      <c r="Z166" s="140">
        <v>9.5174509999999994</v>
      </c>
      <c r="AA166" s="140">
        <v>9.6720459999999999</v>
      </c>
      <c r="AB166" s="140">
        <v>9.8205880000000008</v>
      </c>
      <c r="AC166" s="140">
        <v>9.9564520000000005</v>
      </c>
      <c r="AD166" s="140">
        <v>10.08164</v>
      </c>
      <c r="AE166" s="141">
        <v>2.3E-2</v>
      </c>
    </row>
    <row r="167" spans="1:31" s="142" customFormat="1">
      <c r="A167" s="142" t="s">
        <v>222</v>
      </c>
    </row>
    <row r="168" spans="1:31" s="142" customFormat="1">
      <c r="A168" s="142" t="s">
        <v>168</v>
      </c>
      <c r="B168" s="142" t="s">
        <v>3584</v>
      </c>
      <c r="C168" s="142" t="s">
        <v>3583</v>
      </c>
      <c r="D168" s="142" t="s">
        <v>200</v>
      </c>
      <c r="E168" s="142">
        <v>2.4072119999999999</v>
      </c>
      <c r="F168" s="142">
        <v>2.417484</v>
      </c>
      <c r="G168" s="142">
        <v>2.4342429999999999</v>
      </c>
      <c r="H168" s="142">
        <v>2.4493640000000001</v>
      </c>
      <c r="I168" s="142">
        <v>2.4591560000000001</v>
      </c>
      <c r="J168" s="142">
        <v>2.4674930000000002</v>
      </c>
      <c r="K168" s="142">
        <v>2.4724020000000002</v>
      </c>
      <c r="L168" s="142">
        <v>2.4759090000000001</v>
      </c>
      <c r="M168" s="142">
        <v>2.4725380000000001</v>
      </c>
      <c r="N168" s="142">
        <v>2.462542</v>
      </c>
      <c r="O168" s="142">
        <v>2.4504760000000001</v>
      </c>
      <c r="P168" s="142">
        <v>2.4368289999999999</v>
      </c>
      <c r="Q168" s="142">
        <v>2.4207890000000001</v>
      </c>
      <c r="R168" s="142">
        <v>2.4010289999999999</v>
      </c>
      <c r="S168" s="142">
        <v>2.3771239999999998</v>
      </c>
      <c r="T168" s="142">
        <v>2.349577</v>
      </c>
      <c r="U168" s="142">
        <v>2.3196840000000001</v>
      </c>
      <c r="V168" s="142">
        <v>2.2902659999999999</v>
      </c>
      <c r="W168" s="142">
        <v>2.2680180000000001</v>
      </c>
      <c r="X168" s="142">
        <v>2.2516189999999998</v>
      </c>
      <c r="Y168" s="142">
        <v>2.2363930000000001</v>
      </c>
      <c r="Z168" s="142">
        <v>2.2191360000000002</v>
      </c>
      <c r="AA168" s="142">
        <v>2.2018749999999998</v>
      </c>
      <c r="AB168" s="142">
        <v>2.183691</v>
      </c>
      <c r="AC168" s="142">
        <v>2.1628780000000001</v>
      </c>
      <c r="AD168" s="142">
        <v>2.1399400000000002</v>
      </c>
      <c r="AE168" s="143">
        <v>-5.0000000000000001E-3</v>
      </c>
    </row>
    <row r="169" spans="1:31" s="142" customFormat="1">
      <c r="A169" s="142" t="s">
        <v>154</v>
      </c>
      <c r="B169" s="142" t="s">
        <v>3582</v>
      </c>
      <c r="C169" s="142" t="s">
        <v>3581</v>
      </c>
      <c r="D169" s="142" t="s">
        <v>200</v>
      </c>
      <c r="E169" s="142">
        <v>1.6153660000000001</v>
      </c>
      <c r="F169" s="142">
        <v>1.6238090000000001</v>
      </c>
      <c r="G169" s="142">
        <v>1.64422</v>
      </c>
      <c r="H169" s="142">
        <v>1.6684049999999999</v>
      </c>
      <c r="I169" s="142">
        <v>1.692431</v>
      </c>
      <c r="J169" s="142">
        <v>1.7185429999999999</v>
      </c>
      <c r="K169" s="142">
        <v>1.743052</v>
      </c>
      <c r="L169" s="142">
        <v>1.7709569999999999</v>
      </c>
      <c r="M169" s="142">
        <v>1.794359</v>
      </c>
      <c r="N169" s="142">
        <v>1.8161620000000001</v>
      </c>
      <c r="O169" s="142">
        <v>1.838679</v>
      </c>
      <c r="P169" s="142">
        <v>1.85806</v>
      </c>
      <c r="Q169" s="142">
        <v>1.876377</v>
      </c>
      <c r="R169" s="142">
        <v>1.890663</v>
      </c>
      <c r="S169" s="142">
        <v>1.903397</v>
      </c>
      <c r="T169" s="142">
        <v>1.911824</v>
      </c>
      <c r="U169" s="142">
        <v>1.9198379999999999</v>
      </c>
      <c r="V169" s="142">
        <v>1.928299</v>
      </c>
      <c r="W169" s="142">
        <v>1.9394819999999999</v>
      </c>
      <c r="X169" s="142">
        <v>1.952056</v>
      </c>
      <c r="Y169" s="142">
        <v>1.9627250000000001</v>
      </c>
      <c r="Z169" s="142">
        <v>1.9702329999999999</v>
      </c>
      <c r="AA169" s="142">
        <v>1.9749030000000001</v>
      </c>
      <c r="AB169" s="142">
        <v>1.976996</v>
      </c>
      <c r="AC169" s="142">
        <v>1.976707</v>
      </c>
      <c r="AD169" s="142">
        <v>1.9729950000000001</v>
      </c>
      <c r="AE169" s="143">
        <v>8.0000000000000002E-3</v>
      </c>
    </row>
    <row r="170" spans="1:31" s="142" customFormat="1">
      <c r="A170" s="142" t="s">
        <v>149</v>
      </c>
      <c r="B170" s="142" t="s">
        <v>3580</v>
      </c>
      <c r="C170" s="142" t="s">
        <v>3579</v>
      </c>
      <c r="D170" s="142" t="s">
        <v>200</v>
      </c>
      <c r="E170" s="142">
        <v>2.147E-3</v>
      </c>
      <c r="F170" s="142">
        <v>2.0049999999999998E-3</v>
      </c>
      <c r="G170" s="142">
        <v>1.8810000000000001E-3</v>
      </c>
      <c r="H170" s="142">
        <v>1.7750000000000001E-3</v>
      </c>
      <c r="I170" s="142">
        <v>1.5709999999999999E-3</v>
      </c>
      <c r="J170" s="142">
        <v>1.474E-3</v>
      </c>
      <c r="K170" s="142">
        <v>1.374E-3</v>
      </c>
      <c r="L170" s="142">
        <v>1.289E-3</v>
      </c>
      <c r="M170" s="142">
        <v>1.227E-3</v>
      </c>
      <c r="N170" s="142">
        <v>1.139E-3</v>
      </c>
      <c r="O170" s="142">
        <v>1.036E-3</v>
      </c>
      <c r="P170" s="142">
        <v>9.5100000000000002E-4</v>
      </c>
      <c r="Q170" s="142">
        <v>8.83E-4</v>
      </c>
      <c r="R170" s="142">
        <v>8.2200000000000003E-4</v>
      </c>
      <c r="S170" s="142">
        <v>7.6800000000000002E-4</v>
      </c>
      <c r="T170" s="142">
        <v>7.2199999999999999E-4</v>
      </c>
      <c r="U170" s="142">
        <v>6.7699999999999998E-4</v>
      </c>
      <c r="V170" s="142">
        <v>6.3599999999999996E-4</v>
      </c>
      <c r="W170" s="142">
        <v>5.9800000000000001E-4</v>
      </c>
      <c r="X170" s="142">
        <v>5.5800000000000001E-4</v>
      </c>
      <c r="Y170" s="142">
        <v>5.3300000000000005E-4</v>
      </c>
      <c r="Z170" s="142">
        <v>5.0299999999999997E-4</v>
      </c>
      <c r="AA170" s="142">
        <v>4.7600000000000002E-4</v>
      </c>
      <c r="AB170" s="142">
        <v>4.5100000000000001E-4</v>
      </c>
      <c r="AC170" s="142">
        <v>3.4499999999999998E-4</v>
      </c>
      <c r="AD170" s="142">
        <v>2.5599999999999999E-4</v>
      </c>
      <c r="AE170" s="143">
        <v>-8.2000000000000003E-2</v>
      </c>
    </row>
    <row r="171" spans="1:31" s="142" customFormat="1">
      <c r="A171" s="142" t="s">
        <v>148</v>
      </c>
      <c r="B171" s="142" t="s">
        <v>3578</v>
      </c>
      <c r="C171" s="142" t="s">
        <v>3577</v>
      </c>
      <c r="D171" s="142" t="s">
        <v>200</v>
      </c>
      <c r="E171" s="142">
        <v>8.1270000000000005E-3</v>
      </c>
      <c r="F171" s="142">
        <v>9.5809999999999992E-3</v>
      </c>
      <c r="G171" s="142">
        <v>1.1113E-2</v>
      </c>
      <c r="H171" s="142">
        <v>1.2629E-2</v>
      </c>
      <c r="I171" s="142">
        <v>1.4112E-2</v>
      </c>
      <c r="J171" s="142">
        <v>1.5606999999999999E-2</v>
      </c>
      <c r="K171" s="142">
        <v>1.7077999999999999E-2</v>
      </c>
      <c r="L171" s="142">
        <v>1.8551000000000002E-2</v>
      </c>
      <c r="M171" s="142">
        <v>2.0031E-2</v>
      </c>
      <c r="N171" s="142">
        <v>2.1465999999999999E-2</v>
      </c>
      <c r="O171" s="142">
        <v>2.2883000000000001E-2</v>
      </c>
      <c r="P171" s="142">
        <v>2.4239E-2</v>
      </c>
      <c r="Q171" s="142">
        <v>2.5495E-2</v>
      </c>
      <c r="R171" s="142">
        <v>2.6682999999999998E-2</v>
      </c>
      <c r="S171" s="142">
        <v>2.7831999999999999E-2</v>
      </c>
      <c r="T171" s="142">
        <v>2.8978E-2</v>
      </c>
      <c r="U171" s="142">
        <v>3.0072999999999999E-2</v>
      </c>
      <c r="V171" s="142">
        <v>3.1144000000000002E-2</v>
      </c>
      <c r="W171" s="142">
        <v>3.2160000000000001E-2</v>
      </c>
      <c r="X171" s="142">
        <v>3.3123E-2</v>
      </c>
      <c r="Y171" s="142">
        <v>3.4074E-2</v>
      </c>
      <c r="Z171" s="142">
        <v>3.4984000000000001E-2</v>
      </c>
      <c r="AA171" s="142">
        <v>3.5830000000000001E-2</v>
      </c>
      <c r="AB171" s="142">
        <v>3.6607000000000001E-2</v>
      </c>
      <c r="AC171" s="142">
        <v>3.7328E-2</v>
      </c>
      <c r="AD171" s="142">
        <v>3.8017000000000002E-2</v>
      </c>
      <c r="AE171" s="143">
        <v>6.4000000000000001E-2</v>
      </c>
    </row>
    <row r="172" spans="1:31" s="142" customFormat="1">
      <c r="A172" s="142" t="s">
        <v>203</v>
      </c>
      <c r="B172" s="142" t="s">
        <v>3576</v>
      </c>
      <c r="C172" s="142" t="s">
        <v>3575</v>
      </c>
      <c r="D172" s="142" t="s">
        <v>200</v>
      </c>
      <c r="E172" s="142">
        <v>2.9884000000000001E-2</v>
      </c>
      <c r="F172" s="142">
        <v>2.9522E-2</v>
      </c>
      <c r="G172" s="142">
        <v>2.9082E-2</v>
      </c>
      <c r="H172" s="142">
        <v>2.8558E-2</v>
      </c>
      <c r="I172" s="142">
        <v>2.809E-2</v>
      </c>
      <c r="J172" s="142">
        <v>2.7512999999999999E-2</v>
      </c>
      <c r="K172" s="142">
        <v>2.6866999999999999E-2</v>
      </c>
      <c r="L172" s="142">
        <v>2.6228000000000001E-2</v>
      </c>
      <c r="M172" s="142">
        <v>2.5440000000000001E-2</v>
      </c>
      <c r="N172" s="142">
        <v>2.4625999999999999E-2</v>
      </c>
      <c r="O172" s="142">
        <v>2.3859000000000002E-2</v>
      </c>
      <c r="P172" s="142">
        <v>2.3052E-2</v>
      </c>
      <c r="Q172" s="142">
        <v>2.2211999999999999E-2</v>
      </c>
      <c r="R172" s="142">
        <v>2.1343999999999998E-2</v>
      </c>
      <c r="S172" s="142">
        <v>2.0424000000000001E-2</v>
      </c>
      <c r="T172" s="142">
        <v>1.9472E-2</v>
      </c>
      <c r="U172" s="142">
        <v>1.8508E-2</v>
      </c>
      <c r="V172" s="142">
        <v>1.7510000000000001E-2</v>
      </c>
      <c r="W172" s="142">
        <v>1.6513E-2</v>
      </c>
      <c r="X172" s="142">
        <v>1.5466000000000001E-2</v>
      </c>
      <c r="Y172" s="142">
        <v>1.438E-2</v>
      </c>
      <c r="Z172" s="142">
        <v>1.3193E-2</v>
      </c>
      <c r="AA172" s="142">
        <v>1.1946E-2</v>
      </c>
      <c r="AB172" s="142">
        <v>1.0553E-2</v>
      </c>
      <c r="AC172" s="142">
        <v>9.1920000000000005E-3</v>
      </c>
      <c r="AD172" s="142">
        <v>7.8729999999999998E-3</v>
      </c>
      <c r="AE172" s="143">
        <v>-5.1999999999999998E-2</v>
      </c>
    </row>
    <row r="173" spans="1:31" s="142" customFormat="1">
      <c r="A173" s="142" t="s">
        <v>204</v>
      </c>
      <c r="B173" s="142" t="s">
        <v>3574</v>
      </c>
      <c r="C173" s="142" t="s">
        <v>3573</v>
      </c>
      <c r="D173" s="142" t="s">
        <v>200</v>
      </c>
      <c r="E173" s="142">
        <v>1.317E-3</v>
      </c>
      <c r="F173" s="142">
        <v>1.598E-3</v>
      </c>
      <c r="G173" s="142">
        <v>1.9009999999999999E-3</v>
      </c>
      <c r="H173" s="142">
        <v>2.202E-3</v>
      </c>
      <c r="I173" s="142">
        <v>2.4949999999999998E-3</v>
      </c>
      <c r="J173" s="142">
        <v>2.7899999999999999E-3</v>
      </c>
      <c r="K173" s="142">
        <v>3.0760000000000002E-3</v>
      </c>
      <c r="L173" s="142">
        <v>3.3709999999999999E-3</v>
      </c>
      <c r="M173" s="142">
        <v>3.6670000000000001E-3</v>
      </c>
      <c r="N173" s="142">
        <v>3.9620000000000002E-3</v>
      </c>
      <c r="O173" s="142">
        <v>4.2519999999999997E-3</v>
      </c>
      <c r="P173" s="142">
        <v>4.5259999999999996E-3</v>
      </c>
      <c r="Q173" s="142">
        <v>4.7889999999999999E-3</v>
      </c>
      <c r="R173" s="142">
        <v>5.0289999999999996E-3</v>
      </c>
      <c r="S173" s="142">
        <v>5.2630000000000003E-3</v>
      </c>
      <c r="T173" s="142">
        <v>5.4879999999999998E-3</v>
      </c>
      <c r="U173" s="142">
        <v>5.7070000000000003E-3</v>
      </c>
      <c r="V173" s="142">
        <v>5.9189999999999998E-3</v>
      </c>
      <c r="W173" s="142">
        <v>6.1260000000000004E-3</v>
      </c>
      <c r="X173" s="142">
        <v>6.3239999999999998E-3</v>
      </c>
      <c r="Y173" s="142">
        <v>6.5139999999999998E-3</v>
      </c>
      <c r="Z173" s="142">
        <v>6.6930000000000002E-3</v>
      </c>
      <c r="AA173" s="142">
        <v>6.8589999999999996E-3</v>
      </c>
      <c r="AB173" s="142">
        <v>7.0179999999999999E-3</v>
      </c>
      <c r="AC173" s="142">
        <v>7.1679999999999999E-3</v>
      </c>
      <c r="AD173" s="142">
        <v>7.3109999999999998E-3</v>
      </c>
      <c r="AE173" s="143">
        <v>7.0999999999999994E-2</v>
      </c>
    </row>
    <row r="174" spans="1:31" s="142" customFormat="1">
      <c r="A174" s="142" t="s">
        <v>206</v>
      </c>
      <c r="B174" s="142" t="s">
        <v>3572</v>
      </c>
      <c r="C174" s="142" t="s">
        <v>3571</v>
      </c>
      <c r="D174" s="142" t="s">
        <v>200</v>
      </c>
      <c r="E174" s="142">
        <v>0</v>
      </c>
      <c r="F174" s="142">
        <v>0</v>
      </c>
      <c r="G174" s="142">
        <v>0</v>
      </c>
      <c r="H174" s="142">
        <v>0</v>
      </c>
      <c r="I174" s="142">
        <v>0</v>
      </c>
      <c r="J174" s="142">
        <v>0</v>
      </c>
      <c r="K174" s="142">
        <v>0</v>
      </c>
      <c r="L174" s="142">
        <v>0</v>
      </c>
      <c r="M174" s="142">
        <v>0</v>
      </c>
      <c r="N174" s="142">
        <v>0</v>
      </c>
      <c r="O174" s="142">
        <v>0</v>
      </c>
      <c r="P174" s="142">
        <v>0</v>
      </c>
      <c r="Q174" s="142">
        <v>0</v>
      </c>
      <c r="R174" s="142">
        <v>0</v>
      </c>
      <c r="S174" s="142">
        <v>0</v>
      </c>
      <c r="T174" s="142">
        <v>0</v>
      </c>
      <c r="U174" s="142">
        <v>0</v>
      </c>
      <c r="V174" s="142">
        <v>0</v>
      </c>
      <c r="W174" s="142">
        <v>0</v>
      </c>
      <c r="X174" s="142">
        <v>0</v>
      </c>
      <c r="Y174" s="142">
        <v>0</v>
      </c>
      <c r="Z174" s="142">
        <v>0</v>
      </c>
      <c r="AA174" s="142">
        <v>0</v>
      </c>
      <c r="AB174" s="142">
        <v>0</v>
      </c>
      <c r="AC174" s="142">
        <v>0</v>
      </c>
      <c r="AD174" s="142">
        <v>0</v>
      </c>
      <c r="AE174" s="142" t="s">
        <v>15</v>
      </c>
    </row>
    <row r="175" spans="1:31" s="142" customFormat="1">
      <c r="A175" s="142" t="s">
        <v>205</v>
      </c>
      <c r="B175" s="142" t="s">
        <v>3570</v>
      </c>
      <c r="C175" s="142" t="s">
        <v>3569</v>
      </c>
      <c r="D175" s="142" t="s">
        <v>200</v>
      </c>
      <c r="E175" s="142">
        <v>5.0199999999999995E-4</v>
      </c>
      <c r="F175" s="142">
        <v>5.0100000000000003E-4</v>
      </c>
      <c r="G175" s="142">
        <v>5.0199999999999995E-4</v>
      </c>
      <c r="H175" s="142">
        <v>4.9899999999999999E-4</v>
      </c>
      <c r="I175" s="142">
        <v>4.9799999999999996E-4</v>
      </c>
      <c r="J175" s="142">
        <v>4.9600000000000002E-4</v>
      </c>
      <c r="K175" s="142">
        <v>4.9600000000000002E-4</v>
      </c>
      <c r="L175" s="142">
        <v>5.0000000000000001E-4</v>
      </c>
      <c r="M175" s="142">
        <v>4.9899999999999999E-4</v>
      </c>
      <c r="N175" s="142">
        <v>4.9700000000000005E-4</v>
      </c>
      <c r="O175" s="142">
        <v>4.8700000000000002E-4</v>
      </c>
      <c r="P175" s="142">
        <v>4.8200000000000001E-4</v>
      </c>
      <c r="Q175" s="142">
        <v>4.7800000000000002E-4</v>
      </c>
      <c r="R175" s="142">
        <v>4.7399999999999997E-4</v>
      </c>
      <c r="S175" s="142">
        <v>4.7199999999999998E-4</v>
      </c>
      <c r="T175" s="142">
        <v>4.6700000000000002E-4</v>
      </c>
      <c r="U175" s="142">
        <v>4.57E-4</v>
      </c>
      <c r="V175" s="142">
        <v>4.5100000000000001E-4</v>
      </c>
      <c r="W175" s="142">
        <v>4.4000000000000002E-4</v>
      </c>
      <c r="X175" s="142">
        <v>4.26E-4</v>
      </c>
      <c r="Y175" s="142">
        <v>4.1199999999999999E-4</v>
      </c>
      <c r="Z175" s="142">
        <v>3.9199999999999999E-4</v>
      </c>
      <c r="AA175" s="142">
        <v>3.7399999999999998E-4</v>
      </c>
      <c r="AB175" s="142">
        <v>3.5399999999999999E-4</v>
      </c>
      <c r="AC175" s="142">
        <v>3.3199999999999999E-4</v>
      </c>
      <c r="AD175" s="142">
        <v>3.1E-4</v>
      </c>
      <c r="AE175" s="143">
        <v>-1.9E-2</v>
      </c>
    </row>
    <row r="176" spans="1:31" s="142" customFormat="1">
      <c r="A176" s="142" t="s">
        <v>207</v>
      </c>
      <c r="B176" s="142" t="s">
        <v>3568</v>
      </c>
      <c r="C176" s="142" t="s">
        <v>3567</v>
      </c>
      <c r="D176" s="142" t="s">
        <v>200</v>
      </c>
      <c r="E176" s="142">
        <v>0</v>
      </c>
      <c r="F176" s="142">
        <v>0</v>
      </c>
      <c r="G176" s="142">
        <v>0</v>
      </c>
      <c r="H176" s="142">
        <v>0</v>
      </c>
      <c r="I176" s="142">
        <v>0</v>
      </c>
      <c r="J176" s="142">
        <v>0</v>
      </c>
      <c r="K176" s="142">
        <v>0</v>
      </c>
      <c r="L176" s="142">
        <v>0</v>
      </c>
      <c r="M176" s="142">
        <v>0</v>
      </c>
      <c r="N176" s="142">
        <v>0</v>
      </c>
      <c r="O176" s="142">
        <v>0</v>
      </c>
      <c r="P176" s="142">
        <v>0</v>
      </c>
      <c r="Q176" s="142">
        <v>0</v>
      </c>
      <c r="R176" s="142">
        <v>0</v>
      </c>
      <c r="S176" s="142">
        <v>0</v>
      </c>
      <c r="T176" s="142">
        <v>0</v>
      </c>
      <c r="U176" s="142">
        <v>0</v>
      </c>
      <c r="V176" s="142">
        <v>0</v>
      </c>
      <c r="W176" s="142">
        <v>0</v>
      </c>
      <c r="X176" s="142">
        <v>0</v>
      </c>
      <c r="Y176" s="142">
        <v>0</v>
      </c>
      <c r="Z176" s="142">
        <v>0</v>
      </c>
      <c r="AA176" s="142">
        <v>0</v>
      </c>
      <c r="AB176" s="142">
        <v>0</v>
      </c>
      <c r="AC176" s="142">
        <v>0</v>
      </c>
      <c r="AD176" s="142">
        <v>0</v>
      </c>
      <c r="AE176" s="142" t="s">
        <v>15</v>
      </c>
    </row>
    <row r="177" spans="1:31" s="142" customFormat="1">
      <c r="A177" s="142" t="s">
        <v>1668</v>
      </c>
      <c r="B177" s="142" t="s">
        <v>3566</v>
      </c>
      <c r="C177" s="142" t="s">
        <v>3565</v>
      </c>
      <c r="D177" s="142" t="s">
        <v>200</v>
      </c>
      <c r="E177" s="142">
        <v>0</v>
      </c>
      <c r="F177" s="142">
        <v>0</v>
      </c>
      <c r="G177" s="142">
        <v>0</v>
      </c>
      <c r="H177" s="142">
        <v>0</v>
      </c>
      <c r="I177" s="142">
        <v>0</v>
      </c>
      <c r="J177" s="142">
        <v>0</v>
      </c>
      <c r="K177" s="142">
        <v>0</v>
      </c>
      <c r="L177" s="142">
        <v>0</v>
      </c>
      <c r="M177" s="142">
        <v>0</v>
      </c>
      <c r="N177" s="142">
        <v>0</v>
      </c>
      <c r="O177" s="142">
        <v>0</v>
      </c>
      <c r="P177" s="142">
        <v>0</v>
      </c>
      <c r="Q177" s="142">
        <v>0</v>
      </c>
      <c r="R177" s="142">
        <v>0</v>
      </c>
      <c r="S177" s="142">
        <v>0</v>
      </c>
      <c r="T177" s="142">
        <v>0</v>
      </c>
      <c r="U177" s="142">
        <v>0</v>
      </c>
      <c r="V177" s="142">
        <v>0</v>
      </c>
      <c r="W177" s="142">
        <v>0</v>
      </c>
      <c r="X177" s="142">
        <v>0</v>
      </c>
      <c r="Y177" s="142">
        <v>0</v>
      </c>
      <c r="Z177" s="142">
        <v>0</v>
      </c>
      <c r="AA177" s="142">
        <v>0</v>
      </c>
      <c r="AB177" s="142">
        <v>0</v>
      </c>
      <c r="AC177" s="142">
        <v>0</v>
      </c>
      <c r="AD177" s="142">
        <v>0</v>
      </c>
      <c r="AE177" s="142" t="s">
        <v>15</v>
      </c>
    </row>
    <row r="178" spans="1:31" s="142" customFormat="1">
      <c r="A178" s="142" t="s">
        <v>1665</v>
      </c>
      <c r="B178" s="142" t="s">
        <v>3564</v>
      </c>
      <c r="C178" s="142" t="s">
        <v>3563</v>
      </c>
      <c r="D178" s="142" t="s">
        <v>200</v>
      </c>
      <c r="E178" s="142">
        <v>1.194E-3</v>
      </c>
      <c r="F178" s="142">
        <v>2.8029999999999999E-3</v>
      </c>
      <c r="G178" s="142">
        <v>4.934E-3</v>
      </c>
      <c r="H178" s="142">
        <v>7.5849999999999997E-3</v>
      </c>
      <c r="I178" s="142">
        <v>1.0914E-2</v>
      </c>
      <c r="J178" s="142">
        <v>1.5311999999999999E-2</v>
      </c>
      <c r="K178" s="142">
        <v>2.1284000000000001E-2</v>
      </c>
      <c r="L178" s="142">
        <v>2.9509000000000001E-2</v>
      </c>
      <c r="M178" s="142">
        <v>4.0731000000000003E-2</v>
      </c>
      <c r="N178" s="142">
        <v>5.5488999999999997E-2</v>
      </c>
      <c r="O178" s="142">
        <v>7.4186000000000002E-2</v>
      </c>
      <c r="P178" s="142">
        <v>9.6482999999999999E-2</v>
      </c>
      <c r="Q178" s="142">
        <v>0.12182999999999999</v>
      </c>
      <c r="R178" s="142">
        <v>0.14949899999999999</v>
      </c>
      <c r="S178" s="142">
        <v>0.17879200000000001</v>
      </c>
      <c r="T178" s="142">
        <v>0.2094</v>
      </c>
      <c r="U178" s="142">
        <v>0.240892</v>
      </c>
      <c r="V178" s="142">
        <v>0.27282699999999999</v>
      </c>
      <c r="W178" s="142">
        <v>0.30510500000000002</v>
      </c>
      <c r="X178" s="142">
        <v>0.33740399999999998</v>
      </c>
      <c r="Y178" s="142">
        <v>0.36941000000000002</v>
      </c>
      <c r="Z178" s="142">
        <v>0.40069399999999999</v>
      </c>
      <c r="AA178" s="142">
        <v>0.43091200000000002</v>
      </c>
      <c r="AB178" s="142">
        <v>0.45991799999999999</v>
      </c>
      <c r="AC178" s="142">
        <v>0.48773100000000003</v>
      </c>
      <c r="AD178" s="142">
        <v>0.51461500000000004</v>
      </c>
      <c r="AE178" s="143">
        <v>0.27500000000000002</v>
      </c>
    </row>
    <row r="179" spans="1:31" s="142" customFormat="1">
      <c r="A179" s="142" t="s">
        <v>1662</v>
      </c>
      <c r="B179" s="142" t="s">
        <v>3562</v>
      </c>
      <c r="C179" s="142" t="s">
        <v>3561</v>
      </c>
      <c r="D179" s="142" t="s">
        <v>200</v>
      </c>
      <c r="E179" s="142">
        <v>0</v>
      </c>
      <c r="F179" s="142">
        <v>0</v>
      </c>
      <c r="G179" s="142">
        <v>0</v>
      </c>
      <c r="H179" s="142">
        <v>0</v>
      </c>
      <c r="I179" s="142">
        <v>0</v>
      </c>
      <c r="J179" s="142">
        <v>0</v>
      </c>
      <c r="K179" s="142">
        <v>0</v>
      </c>
      <c r="L179" s="142">
        <v>0</v>
      </c>
      <c r="M179" s="142">
        <v>0</v>
      </c>
      <c r="N179" s="142">
        <v>0</v>
      </c>
      <c r="O179" s="142">
        <v>0</v>
      </c>
      <c r="P179" s="142">
        <v>0</v>
      </c>
      <c r="Q179" s="142">
        <v>0</v>
      </c>
      <c r="R179" s="142">
        <v>0</v>
      </c>
      <c r="S179" s="142">
        <v>0</v>
      </c>
      <c r="T179" s="142">
        <v>0</v>
      </c>
      <c r="U179" s="142">
        <v>0</v>
      </c>
      <c r="V179" s="142">
        <v>0</v>
      </c>
      <c r="W179" s="142">
        <v>0</v>
      </c>
      <c r="X179" s="142">
        <v>0</v>
      </c>
      <c r="Y179" s="142">
        <v>0</v>
      </c>
      <c r="Z179" s="142">
        <v>0</v>
      </c>
      <c r="AA179" s="142">
        <v>0</v>
      </c>
      <c r="AB179" s="142">
        <v>0</v>
      </c>
      <c r="AC179" s="142">
        <v>0</v>
      </c>
      <c r="AD179" s="142">
        <v>0</v>
      </c>
      <c r="AE179" s="142" t="s">
        <v>15</v>
      </c>
    </row>
    <row r="180" spans="1:31" s="142" customFormat="1">
      <c r="A180" s="142" t="s">
        <v>223</v>
      </c>
      <c r="B180" s="142" t="s">
        <v>3560</v>
      </c>
      <c r="C180" s="142" t="s">
        <v>3559</v>
      </c>
      <c r="D180" s="142" t="s">
        <v>200</v>
      </c>
      <c r="E180" s="142">
        <v>4.0657500000000004</v>
      </c>
      <c r="F180" s="142">
        <v>4.0873030000000004</v>
      </c>
      <c r="G180" s="142">
        <v>4.1278769999999998</v>
      </c>
      <c r="H180" s="142">
        <v>4.171017</v>
      </c>
      <c r="I180" s="142">
        <v>4.2092689999999999</v>
      </c>
      <c r="J180" s="142">
        <v>4.2492270000000003</v>
      </c>
      <c r="K180" s="142">
        <v>4.2856310000000004</v>
      </c>
      <c r="L180" s="142">
        <v>4.3263170000000004</v>
      </c>
      <c r="M180" s="142">
        <v>4.3584940000000003</v>
      </c>
      <c r="N180" s="142">
        <v>4.3858829999999998</v>
      </c>
      <c r="O180" s="142">
        <v>4.4158590000000002</v>
      </c>
      <c r="P180" s="142">
        <v>4.4446240000000001</v>
      </c>
      <c r="Q180" s="142">
        <v>4.472855</v>
      </c>
      <c r="R180" s="142">
        <v>4.4955429999999996</v>
      </c>
      <c r="S180" s="142">
        <v>4.5140710000000004</v>
      </c>
      <c r="T180" s="142">
        <v>4.5259270000000003</v>
      </c>
      <c r="U180" s="142">
        <v>4.5358349999999996</v>
      </c>
      <c r="V180" s="142">
        <v>4.5470509999999997</v>
      </c>
      <c r="W180" s="142">
        <v>4.568441</v>
      </c>
      <c r="X180" s="142">
        <v>4.5969749999999996</v>
      </c>
      <c r="Y180" s="142">
        <v>4.6244420000000002</v>
      </c>
      <c r="Z180" s="142">
        <v>4.6458279999999998</v>
      </c>
      <c r="AA180" s="142">
        <v>4.663176</v>
      </c>
      <c r="AB180" s="142">
        <v>4.6755880000000003</v>
      </c>
      <c r="AC180" s="142">
        <v>4.6816820000000003</v>
      </c>
      <c r="AD180" s="142">
        <v>4.6813149999999997</v>
      </c>
      <c r="AE180" s="143">
        <v>6.0000000000000001E-3</v>
      </c>
    </row>
    <row r="181" spans="1:31">
      <c r="A181" t="s">
        <v>224</v>
      </c>
    </row>
    <row r="182" spans="1:31">
      <c r="A182" t="s">
        <v>168</v>
      </c>
      <c r="B182" t="s">
        <v>3558</v>
      </c>
      <c r="C182" t="s">
        <v>3557</v>
      </c>
      <c r="D182" t="s">
        <v>200</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s="20">
        <v>1.2E-2</v>
      </c>
    </row>
    <row r="183" spans="1:31">
      <c r="A183" t="s">
        <v>154</v>
      </c>
      <c r="B183" t="s">
        <v>3556</v>
      </c>
      <c r="C183" t="s">
        <v>3555</v>
      </c>
      <c r="D183" t="s">
        <v>200</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s="20">
        <v>-5.0999999999999997E-2</v>
      </c>
    </row>
    <row r="184" spans="1:31">
      <c r="A184" t="s">
        <v>149</v>
      </c>
      <c r="B184" t="s">
        <v>3554</v>
      </c>
      <c r="C184" t="s">
        <v>3553</v>
      </c>
      <c r="D184" t="s">
        <v>200</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s="20">
        <v>-5.7000000000000002E-2</v>
      </c>
    </row>
    <row r="185" spans="1:31">
      <c r="A185" t="s">
        <v>148</v>
      </c>
      <c r="B185" t="s">
        <v>3552</v>
      </c>
      <c r="C185" t="s">
        <v>3551</v>
      </c>
      <c r="D185" t="s">
        <v>200</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s="20">
        <v>4.3999999999999997E-2</v>
      </c>
    </row>
    <row r="186" spans="1:31">
      <c r="A186" t="s">
        <v>203</v>
      </c>
      <c r="B186" t="s">
        <v>3550</v>
      </c>
      <c r="C186" t="s">
        <v>3549</v>
      </c>
      <c r="D186" t="s">
        <v>200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15</v>
      </c>
    </row>
    <row r="187" spans="1:31">
      <c r="A187" t="s">
        <v>204</v>
      </c>
      <c r="B187" t="s">
        <v>3548</v>
      </c>
      <c r="C187" t="s">
        <v>3547</v>
      </c>
      <c r="D187" t="s">
        <v>200</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s="20">
        <v>8.4000000000000005E-2</v>
      </c>
    </row>
    <row r="188" spans="1:31">
      <c r="A188" t="s">
        <v>206</v>
      </c>
      <c r="B188" t="s">
        <v>3546</v>
      </c>
      <c r="C188" t="s">
        <v>3545</v>
      </c>
      <c r="D188" t="s">
        <v>200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15</v>
      </c>
    </row>
    <row r="189" spans="1:31">
      <c r="A189" t="s">
        <v>205</v>
      </c>
      <c r="B189" t="s">
        <v>3544</v>
      </c>
      <c r="C189" t="s">
        <v>3543</v>
      </c>
      <c r="D189" t="s">
        <v>200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15</v>
      </c>
    </row>
    <row r="190" spans="1:31">
      <c r="A190" t="s">
        <v>207</v>
      </c>
      <c r="B190" t="s">
        <v>3542</v>
      </c>
      <c r="C190" t="s">
        <v>3541</v>
      </c>
      <c r="D190" t="s">
        <v>200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15</v>
      </c>
    </row>
    <row r="191" spans="1:31">
      <c r="A191" t="s">
        <v>1668</v>
      </c>
      <c r="B191" t="s">
        <v>3540</v>
      </c>
      <c r="C191" t="s">
        <v>3539</v>
      </c>
      <c r="D191" t="s">
        <v>200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15</v>
      </c>
    </row>
    <row r="192" spans="1:31">
      <c r="A192" t="s">
        <v>1665</v>
      </c>
      <c r="B192" t="s">
        <v>3538</v>
      </c>
      <c r="C192" t="s">
        <v>3537</v>
      </c>
      <c r="D192" t="s">
        <v>200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15</v>
      </c>
    </row>
    <row r="193" spans="1:31">
      <c r="A193" t="s">
        <v>1662</v>
      </c>
      <c r="B193" t="s">
        <v>3536</v>
      </c>
      <c r="C193" t="s">
        <v>3535</v>
      </c>
      <c r="D193" t="s">
        <v>200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15</v>
      </c>
    </row>
    <row r="194" spans="1:31">
      <c r="A194" t="s">
        <v>225</v>
      </c>
      <c r="B194" t="s">
        <v>3534</v>
      </c>
      <c r="C194" t="s">
        <v>3533</v>
      </c>
      <c r="D194" t="s">
        <v>200</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s="20">
        <v>1.2E-2</v>
      </c>
    </row>
    <row r="195" spans="1:31">
      <c r="A195" t="s">
        <v>71</v>
      </c>
      <c r="B195" t="s">
        <v>3532</v>
      </c>
      <c r="C195" t="s">
        <v>3531</v>
      </c>
      <c r="D195" t="s">
        <v>200</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s="20">
        <v>1.4999999999999999E-2</v>
      </c>
    </row>
    <row r="196" spans="1:31">
      <c r="A196" t="s">
        <v>25</v>
      </c>
    </row>
    <row r="197" spans="1:31">
      <c r="A197" t="s">
        <v>230</v>
      </c>
    </row>
    <row r="198" spans="1:31">
      <c r="A198" t="s">
        <v>219</v>
      </c>
    </row>
    <row r="199" spans="1:31">
      <c r="A199" t="s">
        <v>168</v>
      </c>
      <c r="B199" t="s">
        <v>3530</v>
      </c>
      <c r="C199" t="s">
        <v>3529</v>
      </c>
      <c r="D199" t="s">
        <v>231</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s="20">
        <v>3.0000000000000001E-3</v>
      </c>
    </row>
    <row r="200" spans="1:31">
      <c r="A200" t="s">
        <v>154</v>
      </c>
      <c r="B200" t="s">
        <v>3528</v>
      </c>
      <c r="C200" t="s">
        <v>3527</v>
      </c>
      <c r="D200" t="s">
        <v>232</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s="20">
        <v>2E-3</v>
      </c>
    </row>
    <row r="201" spans="1:31">
      <c r="A201" t="s">
        <v>149</v>
      </c>
      <c r="B201" t="s">
        <v>3526</v>
      </c>
      <c r="C201" t="s">
        <v>3525</v>
      </c>
      <c r="D201" t="s">
        <v>232</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s="20">
        <v>2E-3</v>
      </c>
    </row>
    <row r="202" spans="1:31">
      <c r="A202" t="s">
        <v>148</v>
      </c>
      <c r="B202" t="s">
        <v>3524</v>
      </c>
      <c r="C202" t="s">
        <v>3523</v>
      </c>
      <c r="D202" t="s">
        <v>232</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s="20">
        <v>5.0000000000000001E-3</v>
      </c>
    </row>
    <row r="203" spans="1:31">
      <c r="A203" t="s">
        <v>203</v>
      </c>
      <c r="B203" t="s">
        <v>3522</v>
      </c>
      <c r="C203" t="s">
        <v>3521</v>
      </c>
      <c r="D203" t="s">
        <v>232</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s="20">
        <v>2E-3</v>
      </c>
    </row>
    <row r="204" spans="1:31">
      <c r="A204" t="s">
        <v>204</v>
      </c>
      <c r="B204" t="s">
        <v>3520</v>
      </c>
      <c r="C204" t="s">
        <v>3519</v>
      </c>
      <c r="D204" t="s">
        <v>231</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s="20">
        <v>0</v>
      </c>
    </row>
    <row r="205" spans="1:31">
      <c r="A205" t="s">
        <v>206</v>
      </c>
      <c r="B205" t="s">
        <v>3518</v>
      </c>
      <c r="C205" t="s">
        <v>3517</v>
      </c>
      <c r="D205" t="s">
        <v>231</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15</v>
      </c>
    </row>
    <row r="206" spans="1:31">
      <c r="A206" t="s">
        <v>205</v>
      </c>
      <c r="B206" t="s">
        <v>3516</v>
      </c>
      <c r="C206" t="s">
        <v>3515</v>
      </c>
      <c r="D206" t="s">
        <v>232</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15</v>
      </c>
    </row>
    <row r="207" spans="1:31">
      <c r="A207" t="s">
        <v>207</v>
      </c>
      <c r="B207" t="s">
        <v>3514</v>
      </c>
      <c r="C207" t="s">
        <v>3513</v>
      </c>
      <c r="D207" t="s">
        <v>231</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15</v>
      </c>
    </row>
    <row r="208" spans="1:31">
      <c r="A208" t="s">
        <v>1668</v>
      </c>
      <c r="B208" t="s">
        <v>3512</v>
      </c>
      <c r="C208" t="s">
        <v>3511</v>
      </c>
      <c r="D208" t="s">
        <v>231</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15</v>
      </c>
    </row>
    <row r="209" spans="1:31">
      <c r="A209" t="s">
        <v>1665</v>
      </c>
      <c r="B209" t="s">
        <v>3510</v>
      </c>
      <c r="C209" t="s">
        <v>3509</v>
      </c>
      <c r="D209" t="s">
        <v>232</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s="20">
        <v>1E-3</v>
      </c>
    </row>
    <row r="210" spans="1:31">
      <c r="A210" t="s">
        <v>1662</v>
      </c>
      <c r="B210" t="s">
        <v>3508</v>
      </c>
      <c r="C210" t="s">
        <v>3507</v>
      </c>
      <c r="D210" t="s">
        <v>231</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15</v>
      </c>
    </row>
    <row r="211" spans="1:31">
      <c r="A211" t="s">
        <v>233</v>
      </c>
      <c r="B211" t="s">
        <v>3506</v>
      </c>
      <c r="C211" t="s">
        <v>3505</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s="20">
        <v>1.0999999999999999E-2</v>
      </c>
    </row>
    <row r="212" spans="1:31">
      <c r="A212" t="s">
        <v>222</v>
      </c>
    </row>
    <row r="213" spans="1:31">
      <c r="A213" t="s">
        <v>168</v>
      </c>
      <c r="B213" t="s">
        <v>3504</v>
      </c>
      <c r="C213" t="s">
        <v>3503</v>
      </c>
      <c r="D213" t="s">
        <v>231</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s="20">
        <v>6.0000000000000001E-3</v>
      </c>
    </row>
    <row r="214" spans="1:31">
      <c r="A214" t="s">
        <v>154</v>
      </c>
      <c r="B214" t="s">
        <v>3502</v>
      </c>
      <c r="C214" t="s">
        <v>3501</v>
      </c>
      <c r="D214" t="s">
        <v>232</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s="20">
        <v>6.0000000000000001E-3</v>
      </c>
    </row>
    <row r="215" spans="1:31">
      <c r="A215" t="s">
        <v>149</v>
      </c>
      <c r="B215" t="s">
        <v>3500</v>
      </c>
      <c r="C215" t="s">
        <v>3499</v>
      </c>
      <c r="D215" t="s">
        <v>232</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s="20">
        <v>1.2E-2</v>
      </c>
    </row>
    <row r="216" spans="1:31">
      <c r="A216" t="s">
        <v>148</v>
      </c>
      <c r="B216" t="s">
        <v>3498</v>
      </c>
      <c r="C216" t="s">
        <v>3497</v>
      </c>
      <c r="D216" t="s">
        <v>232</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s="20">
        <v>8.9999999999999993E-3</v>
      </c>
    </row>
    <row r="217" spans="1:31">
      <c r="A217" t="s">
        <v>203</v>
      </c>
      <c r="B217" t="s">
        <v>3496</v>
      </c>
      <c r="C217" t="s">
        <v>3495</v>
      </c>
      <c r="D217" t="s">
        <v>234</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s="20">
        <v>7.0000000000000001E-3</v>
      </c>
    </row>
    <row r="218" spans="1:31">
      <c r="A218" t="s">
        <v>204</v>
      </c>
      <c r="B218" t="s">
        <v>3494</v>
      </c>
      <c r="C218" t="s">
        <v>3493</v>
      </c>
      <c r="D218" t="s">
        <v>232</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s="20">
        <v>1E-3</v>
      </c>
    </row>
    <row r="219" spans="1:31">
      <c r="A219" t="s">
        <v>206</v>
      </c>
      <c r="B219" t="s">
        <v>3492</v>
      </c>
      <c r="C219" t="s">
        <v>3491</v>
      </c>
      <c r="D219" t="s">
        <v>232</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15</v>
      </c>
    </row>
    <row r="220" spans="1:31">
      <c r="A220" t="s">
        <v>205</v>
      </c>
      <c r="B220" t="s">
        <v>3490</v>
      </c>
      <c r="C220" t="s">
        <v>3489</v>
      </c>
      <c r="D220" t="s">
        <v>232</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s="20">
        <v>0</v>
      </c>
    </row>
    <row r="221" spans="1:31">
      <c r="A221" t="s">
        <v>207</v>
      </c>
      <c r="B221" t="s">
        <v>3488</v>
      </c>
      <c r="C221" t="s">
        <v>3487</v>
      </c>
      <c r="D221" t="s">
        <v>232</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15</v>
      </c>
    </row>
    <row r="222" spans="1:31">
      <c r="A222" t="s">
        <v>1668</v>
      </c>
      <c r="B222" t="s">
        <v>3486</v>
      </c>
      <c r="C222" t="s">
        <v>3485</v>
      </c>
      <c r="D222" t="s">
        <v>231</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15</v>
      </c>
    </row>
    <row r="223" spans="1:31">
      <c r="A223" t="s">
        <v>1665</v>
      </c>
      <c r="B223" t="s">
        <v>3484</v>
      </c>
      <c r="C223" t="s">
        <v>3483</v>
      </c>
      <c r="D223" t="s">
        <v>232</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s="20">
        <v>3.0000000000000001E-3</v>
      </c>
    </row>
    <row r="224" spans="1:31">
      <c r="A224" t="s">
        <v>1662</v>
      </c>
      <c r="B224" t="s">
        <v>3482</v>
      </c>
      <c r="C224" t="s">
        <v>3481</v>
      </c>
      <c r="D224" t="s">
        <v>231</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15</v>
      </c>
    </row>
    <row r="225" spans="1:31">
      <c r="A225" t="s">
        <v>235</v>
      </c>
      <c r="B225" t="s">
        <v>3480</v>
      </c>
      <c r="C225" t="s">
        <v>3479</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s="20">
        <v>6.0000000000000001E-3</v>
      </c>
    </row>
    <row r="226" spans="1:31">
      <c r="A226" t="s">
        <v>224</v>
      </c>
    </row>
    <row r="227" spans="1:31">
      <c r="A227" t="s">
        <v>168</v>
      </c>
      <c r="B227" t="s">
        <v>3478</v>
      </c>
      <c r="C227" t="s">
        <v>3477</v>
      </c>
      <c r="D227" t="s">
        <v>231</v>
      </c>
      <c r="E227">
        <v>6.9770060000000003</v>
      </c>
      <c r="F227">
        <v>7.1109780000000002</v>
      </c>
      <c r="G227">
        <v>7.2955300000000003</v>
      </c>
      <c r="H227">
        <v>7.4186639999999997</v>
      </c>
      <c r="I227">
        <v>7.4927789999999996</v>
      </c>
      <c r="J227">
        <v>7.5834159999999997</v>
      </c>
      <c r="K227">
        <v>7.6653849999999997</v>
      </c>
      <c r="L227">
        <v>7.9378399999999996</v>
      </c>
      <c r="M227">
        <v>8.0344110000000004</v>
      </c>
      <c r="N227">
        <v>8.0786079999999991</v>
      </c>
      <c r="O227">
        <v>8.1083540000000003</v>
      </c>
      <c r="P227">
        <v>8.1106020000000001</v>
      </c>
      <c r="Q227">
        <v>8.11252</v>
      </c>
      <c r="R227">
        <v>8.1118170000000003</v>
      </c>
      <c r="S227">
        <v>8.1111109999999993</v>
      </c>
      <c r="T227">
        <v>8.1083800000000004</v>
      </c>
      <c r="U227">
        <v>8.1065570000000005</v>
      </c>
      <c r="V227">
        <v>8.1034670000000002</v>
      </c>
      <c r="W227">
        <v>8.1017309999999991</v>
      </c>
      <c r="X227">
        <v>8.1001720000000006</v>
      </c>
      <c r="Y227">
        <v>8.096959</v>
      </c>
      <c r="Z227">
        <v>8.0953909999999993</v>
      </c>
      <c r="AA227">
        <v>8.0922509999999992</v>
      </c>
      <c r="AB227">
        <v>8.0913930000000001</v>
      </c>
      <c r="AC227">
        <v>8.0899479999999997</v>
      </c>
      <c r="AD227">
        <v>8.0880690000000008</v>
      </c>
      <c r="AE227" s="20">
        <v>6.0000000000000001E-3</v>
      </c>
    </row>
    <row r="228" spans="1:31">
      <c r="A228" t="s">
        <v>154</v>
      </c>
      <c r="B228" t="s">
        <v>3476</v>
      </c>
      <c r="C228" t="s">
        <v>3475</v>
      </c>
      <c r="D228" t="s">
        <v>232</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s="20">
        <v>7.0000000000000001E-3</v>
      </c>
    </row>
    <row r="229" spans="1:31">
      <c r="A229" t="s">
        <v>149</v>
      </c>
      <c r="B229" t="s">
        <v>3474</v>
      </c>
      <c r="C229" t="s">
        <v>3473</v>
      </c>
      <c r="D229" t="s">
        <v>232</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s="20">
        <v>0</v>
      </c>
    </row>
    <row r="230" spans="1:31">
      <c r="A230" t="s">
        <v>148</v>
      </c>
      <c r="B230" t="s">
        <v>3472</v>
      </c>
      <c r="C230" t="s">
        <v>3471</v>
      </c>
      <c r="D230" t="s">
        <v>231</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s="20">
        <v>0.01</v>
      </c>
    </row>
    <row r="231" spans="1:31">
      <c r="A231" t="s">
        <v>203</v>
      </c>
      <c r="B231" t="s">
        <v>3470</v>
      </c>
      <c r="C231" t="s">
        <v>3469</v>
      </c>
      <c r="D231" t="s">
        <v>232</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15</v>
      </c>
    </row>
    <row r="232" spans="1:31">
      <c r="A232" t="s">
        <v>204</v>
      </c>
      <c r="B232" t="s">
        <v>3468</v>
      </c>
      <c r="C232" t="s">
        <v>3467</v>
      </c>
      <c r="D232" t="s">
        <v>231</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s="20">
        <v>5.0000000000000001E-3</v>
      </c>
    </row>
    <row r="233" spans="1:31">
      <c r="A233" t="s">
        <v>206</v>
      </c>
      <c r="B233" t="s">
        <v>3466</v>
      </c>
      <c r="C233" t="s">
        <v>3465</v>
      </c>
      <c r="D233" t="s">
        <v>231</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15</v>
      </c>
    </row>
    <row r="234" spans="1:31">
      <c r="A234" t="s">
        <v>205</v>
      </c>
      <c r="B234" t="s">
        <v>3464</v>
      </c>
      <c r="C234" t="s">
        <v>3463</v>
      </c>
      <c r="D234" t="s">
        <v>232</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15</v>
      </c>
    </row>
    <row r="235" spans="1:31">
      <c r="A235" t="s">
        <v>207</v>
      </c>
      <c r="B235" t="s">
        <v>3462</v>
      </c>
      <c r="C235" t="s">
        <v>3461</v>
      </c>
      <c r="D235" t="s">
        <v>231</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15</v>
      </c>
    </row>
    <row r="236" spans="1:31">
      <c r="A236" t="s">
        <v>1668</v>
      </c>
      <c r="B236" t="s">
        <v>3460</v>
      </c>
      <c r="C236" t="s">
        <v>3459</v>
      </c>
      <c r="D236" t="s">
        <v>231</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15</v>
      </c>
    </row>
    <row r="237" spans="1:31">
      <c r="A237" t="s">
        <v>1665</v>
      </c>
      <c r="B237" t="s">
        <v>3458</v>
      </c>
      <c r="C237" t="s">
        <v>3457</v>
      </c>
      <c r="D237" t="s">
        <v>232</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15</v>
      </c>
    </row>
    <row r="238" spans="1:31">
      <c r="A238" t="s">
        <v>1662</v>
      </c>
      <c r="B238" t="s">
        <v>3456</v>
      </c>
      <c r="C238" t="s">
        <v>3455</v>
      </c>
      <c r="D238" t="s">
        <v>231</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15</v>
      </c>
    </row>
    <row r="239" spans="1:31">
      <c r="A239" t="s">
        <v>236</v>
      </c>
      <c r="B239" t="s">
        <v>3454</v>
      </c>
      <c r="C239" t="s">
        <v>3453</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s="20">
        <v>6.0000000000000001E-3</v>
      </c>
    </row>
    <row r="240" spans="1:31">
      <c r="A240" t="s">
        <v>237</v>
      </c>
      <c r="B240" t="s">
        <v>3452</v>
      </c>
      <c r="C240" t="s">
        <v>3451</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s="20">
        <v>8.0000000000000002E-3</v>
      </c>
    </row>
    <row r="241" spans="1:31">
      <c r="A241" t="s">
        <v>239</v>
      </c>
    </row>
    <row r="242" spans="1:31">
      <c r="A242" t="s">
        <v>219</v>
      </c>
    </row>
    <row r="243" spans="1:31">
      <c r="A243" t="s">
        <v>168</v>
      </c>
      <c r="B243" t="s">
        <v>3450</v>
      </c>
      <c r="C243" t="s">
        <v>3449</v>
      </c>
      <c r="D243" t="s">
        <v>202</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s="20">
        <v>-5.8000000000000003E-2</v>
      </c>
    </row>
    <row r="244" spans="1:31">
      <c r="A244" t="s">
        <v>154</v>
      </c>
      <c r="B244" t="s">
        <v>3448</v>
      </c>
      <c r="C244" t="s">
        <v>3447</v>
      </c>
      <c r="D244" t="s">
        <v>202</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s="20">
        <v>-4.1000000000000002E-2</v>
      </c>
    </row>
    <row r="245" spans="1:31">
      <c r="A245" t="s">
        <v>149</v>
      </c>
      <c r="B245" t="s">
        <v>3446</v>
      </c>
      <c r="C245" t="s">
        <v>3445</v>
      </c>
      <c r="D245" t="s">
        <v>202</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s="20">
        <v>1.0999999999999999E-2</v>
      </c>
    </row>
    <row r="246" spans="1:31">
      <c r="A246" t="s">
        <v>148</v>
      </c>
      <c r="B246" t="s">
        <v>3444</v>
      </c>
      <c r="C246" t="s">
        <v>3443</v>
      </c>
      <c r="D246" t="s">
        <v>202</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s="20">
        <v>4.9000000000000002E-2</v>
      </c>
    </row>
    <row r="247" spans="1:31">
      <c r="A247" t="s">
        <v>203</v>
      </c>
      <c r="B247" t="s">
        <v>3442</v>
      </c>
      <c r="C247" t="s">
        <v>3441</v>
      </c>
      <c r="D247" t="s">
        <v>202</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s="20">
        <v>1.0999999999999999E-2</v>
      </c>
    </row>
    <row r="248" spans="1:31">
      <c r="A248" t="s">
        <v>204</v>
      </c>
      <c r="B248" t="s">
        <v>3440</v>
      </c>
      <c r="C248" t="s">
        <v>3439</v>
      </c>
      <c r="D248" t="s">
        <v>202</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s="20">
        <v>0.192</v>
      </c>
    </row>
    <row r="249" spans="1:31">
      <c r="A249" t="s">
        <v>206</v>
      </c>
      <c r="B249" t="s">
        <v>3438</v>
      </c>
      <c r="C249" t="s">
        <v>3437</v>
      </c>
      <c r="D249" t="s">
        <v>202</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15</v>
      </c>
    </row>
    <row r="250" spans="1:31">
      <c r="A250" t="s">
        <v>205</v>
      </c>
      <c r="B250" t="s">
        <v>3436</v>
      </c>
      <c r="C250" t="s">
        <v>3435</v>
      </c>
      <c r="D250" t="s">
        <v>202</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15</v>
      </c>
    </row>
    <row r="251" spans="1:31">
      <c r="A251" t="s">
        <v>207</v>
      </c>
      <c r="B251" t="s">
        <v>3434</v>
      </c>
      <c r="C251" t="s">
        <v>3433</v>
      </c>
      <c r="D251" t="s">
        <v>202</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15</v>
      </c>
    </row>
    <row r="252" spans="1:31">
      <c r="A252" t="s">
        <v>1668</v>
      </c>
      <c r="B252" t="s">
        <v>3432</v>
      </c>
      <c r="C252" t="s">
        <v>3431</v>
      </c>
      <c r="D252" t="s">
        <v>202</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15</v>
      </c>
    </row>
    <row r="253" spans="1:31">
      <c r="A253" t="s">
        <v>1665</v>
      </c>
      <c r="B253" t="s">
        <v>3430</v>
      </c>
      <c r="C253" t="s">
        <v>3429</v>
      </c>
      <c r="D253" t="s">
        <v>202</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s="20">
        <v>0.19500000000000001</v>
      </c>
    </row>
    <row r="254" spans="1:31">
      <c r="A254" t="s">
        <v>1662</v>
      </c>
      <c r="B254" t="s">
        <v>3428</v>
      </c>
      <c r="C254" t="s">
        <v>3427</v>
      </c>
      <c r="D254" t="s">
        <v>202</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15</v>
      </c>
    </row>
    <row r="255" spans="1:31">
      <c r="A255" t="s">
        <v>221</v>
      </c>
      <c r="B255" t="s">
        <v>3426</v>
      </c>
      <c r="C255" t="s">
        <v>3425</v>
      </c>
      <c r="D255" t="s">
        <v>202</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s="20">
        <v>1.2E-2</v>
      </c>
    </row>
    <row r="256" spans="1:31">
      <c r="A256" t="s">
        <v>222</v>
      </c>
    </row>
    <row r="257" spans="1:31">
      <c r="A257" t="s">
        <v>168</v>
      </c>
      <c r="B257" t="s">
        <v>3424</v>
      </c>
      <c r="C257" t="s">
        <v>3423</v>
      </c>
      <c r="D257" t="s">
        <v>202</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s="20">
        <v>-1.0999999999999999E-2</v>
      </c>
    </row>
    <row r="258" spans="1:31">
      <c r="A258" t="s">
        <v>154</v>
      </c>
      <c r="B258" t="s">
        <v>3422</v>
      </c>
      <c r="C258" t="s">
        <v>3421</v>
      </c>
      <c r="D258" t="s">
        <v>202</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s="20">
        <v>-1E-3</v>
      </c>
    </row>
    <row r="259" spans="1:31">
      <c r="A259" t="s">
        <v>149</v>
      </c>
      <c r="B259" t="s">
        <v>3420</v>
      </c>
      <c r="C259" t="s">
        <v>3419</v>
      </c>
      <c r="D259" t="s">
        <v>202</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s="20">
        <v>2E-3</v>
      </c>
    </row>
    <row r="260" spans="1:31">
      <c r="A260" t="s">
        <v>148</v>
      </c>
      <c r="B260" t="s">
        <v>3418</v>
      </c>
      <c r="C260" t="s">
        <v>3417</v>
      </c>
      <c r="D260" t="s">
        <v>202</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s="20">
        <v>0</v>
      </c>
    </row>
    <row r="261" spans="1:31">
      <c r="A261" t="s">
        <v>203</v>
      </c>
      <c r="B261" t="s">
        <v>3416</v>
      </c>
      <c r="C261" t="s">
        <v>3415</v>
      </c>
      <c r="D261" t="s">
        <v>202</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s="20">
        <v>2E-3</v>
      </c>
    </row>
    <row r="262" spans="1:31">
      <c r="A262" t="s">
        <v>204</v>
      </c>
      <c r="B262" t="s">
        <v>3414</v>
      </c>
      <c r="C262" t="s">
        <v>3413</v>
      </c>
      <c r="D262" t="s">
        <v>202</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s="20">
        <v>2E-3</v>
      </c>
    </row>
    <row r="263" spans="1:31">
      <c r="A263" t="s">
        <v>206</v>
      </c>
      <c r="B263" t="s">
        <v>3412</v>
      </c>
      <c r="C263" t="s">
        <v>3411</v>
      </c>
      <c r="D263" t="s">
        <v>202</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15</v>
      </c>
    </row>
    <row r="264" spans="1:31">
      <c r="A264" t="s">
        <v>205</v>
      </c>
      <c r="B264" t="s">
        <v>3410</v>
      </c>
      <c r="C264" t="s">
        <v>3409</v>
      </c>
      <c r="D264" t="s">
        <v>202</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s="20">
        <v>-1</v>
      </c>
    </row>
    <row r="265" spans="1:31">
      <c r="A265" t="s">
        <v>207</v>
      </c>
      <c r="B265" t="s">
        <v>3408</v>
      </c>
      <c r="C265" t="s">
        <v>3407</v>
      </c>
      <c r="D265" t="s">
        <v>202</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15</v>
      </c>
    </row>
    <row r="266" spans="1:31">
      <c r="A266" t="s">
        <v>1668</v>
      </c>
      <c r="B266" t="s">
        <v>3406</v>
      </c>
      <c r="C266" t="s">
        <v>3405</v>
      </c>
      <c r="D266" t="s">
        <v>202</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15</v>
      </c>
    </row>
    <row r="267" spans="1:31">
      <c r="A267" t="s">
        <v>1665</v>
      </c>
      <c r="B267" t="s">
        <v>3404</v>
      </c>
      <c r="C267" t="s">
        <v>3403</v>
      </c>
      <c r="D267" t="s">
        <v>202</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s="20">
        <v>0.14099999999999999</v>
      </c>
    </row>
    <row r="268" spans="1:31">
      <c r="A268" t="s">
        <v>1662</v>
      </c>
      <c r="B268" t="s">
        <v>3402</v>
      </c>
      <c r="C268" t="s">
        <v>3401</v>
      </c>
      <c r="D268" t="s">
        <v>202</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15</v>
      </c>
    </row>
    <row r="269" spans="1:31">
      <c r="A269" t="s">
        <v>223</v>
      </c>
      <c r="B269" t="s">
        <v>3400</v>
      </c>
      <c r="C269" t="s">
        <v>3399</v>
      </c>
      <c r="D269" t="s">
        <v>202</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s="20">
        <v>2E-3</v>
      </c>
    </row>
    <row r="270" spans="1:31">
      <c r="A270" t="s">
        <v>224</v>
      </c>
    </row>
    <row r="271" spans="1:31">
      <c r="A271" t="s">
        <v>168</v>
      </c>
      <c r="B271" t="s">
        <v>3398</v>
      </c>
      <c r="C271" t="s">
        <v>3397</v>
      </c>
      <c r="D271" t="s">
        <v>202</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s="20">
        <v>1E-3</v>
      </c>
    </row>
    <row r="272" spans="1:31">
      <c r="A272" t="s">
        <v>154</v>
      </c>
      <c r="B272" t="s">
        <v>3396</v>
      </c>
      <c r="C272" t="s">
        <v>3395</v>
      </c>
      <c r="D272" t="s">
        <v>202</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s="20">
        <v>2E-3</v>
      </c>
    </row>
    <row r="273" spans="1:31">
      <c r="A273" t="s">
        <v>149</v>
      </c>
      <c r="B273" t="s">
        <v>3394</v>
      </c>
      <c r="C273" t="s">
        <v>3393</v>
      </c>
      <c r="D273" t="s">
        <v>202</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15</v>
      </c>
    </row>
    <row r="274" spans="1:31">
      <c r="A274" t="s">
        <v>148</v>
      </c>
      <c r="B274" t="s">
        <v>3392</v>
      </c>
      <c r="C274" t="s">
        <v>3391</v>
      </c>
      <c r="D274" t="s">
        <v>202</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s="20">
        <v>3.6999999999999998E-2</v>
      </c>
    </row>
    <row r="275" spans="1:31">
      <c r="A275" t="s">
        <v>203</v>
      </c>
      <c r="B275" t="s">
        <v>3390</v>
      </c>
      <c r="C275" t="s">
        <v>3389</v>
      </c>
      <c r="D275" t="s">
        <v>202</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15</v>
      </c>
    </row>
    <row r="276" spans="1:31">
      <c r="A276" t="s">
        <v>204</v>
      </c>
      <c r="B276" t="s">
        <v>3388</v>
      </c>
      <c r="C276" t="s">
        <v>3387</v>
      </c>
      <c r="D276" t="s">
        <v>202</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s="20">
        <v>2E-3</v>
      </c>
    </row>
    <row r="277" spans="1:31">
      <c r="A277" t="s">
        <v>206</v>
      </c>
      <c r="B277" t="s">
        <v>3386</v>
      </c>
      <c r="C277" t="s">
        <v>3385</v>
      </c>
      <c r="D277" t="s">
        <v>202</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15</v>
      </c>
    </row>
    <row r="278" spans="1:31">
      <c r="A278" t="s">
        <v>205</v>
      </c>
      <c r="B278" t="s">
        <v>3384</v>
      </c>
      <c r="C278" t="s">
        <v>3383</v>
      </c>
      <c r="D278" t="s">
        <v>202</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15</v>
      </c>
    </row>
    <row r="279" spans="1:31">
      <c r="A279" t="s">
        <v>207</v>
      </c>
      <c r="B279" t="s">
        <v>3382</v>
      </c>
      <c r="C279" t="s">
        <v>3381</v>
      </c>
      <c r="D279" t="s">
        <v>202</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15</v>
      </c>
    </row>
    <row r="280" spans="1:31">
      <c r="A280" t="s">
        <v>1668</v>
      </c>
      <c r="B280" t="s">
        <v>3380</v>
      </c>
      <c r="C280" t="s">
        <v>3379</v>
      </c>
      <c r="D280" t="s">
        <v>202</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15</v>
      </c>
    </row>
    <row r="281" spans="1:31">
      <c r="A281" t="s">
        <v>1665</v>
      </c>
      <c r="B281" t="s">
        <v>3378</v>
      </c>
      <c r="C281" t="s">
        <v>3377</v>
      </c>
      <c r="D281" t="s">
        <v>202</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15</v>
      </c>
    </row>
    <row r="282" spans="1:31">
      <c r="A282" t="s">
        <v>1662</v>
      </c>
      <c r="B282" t="s">
        <v>3376</v>
      </c>
      <c r="C282" t="s">
        <v>3375</v>
      </c>
      <c r="D282" t="s">
        <v>202</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15</v>
      </c>
    </row>
    <row r="283" spans="1:31">
      <c r="A283" t="s">
        <v>225</v>
      </c>
      <c r="B283" t="s">
        <v>3374</v>
      </c>
      <c r="C283" t="s">
        <v>3373</v>
      </c>
      <c r="D283" t="s">
        <v>202</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s="20">
        <v>2E-3</v>
      </c>
    </row>
    <row r="284" spans="1:31">
      <c r="A284" t="s">
        <v>240</v>
      </c>
      <c r="B284" t="s">
        <v>3372</v>
      </c>
      <c r="C284" t="s">
        <v>3371</v>
      </c>
      <c r="D284" t="s">
        <v>202</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s="20">
        <v>7.0000000000000001E-3</v>
      </c>
    </row>
    <row r="285" spans="1:31">
      <c r="A285" t="s">
        <v>24</v>
      </c>
    </row>
    <row r="286" spans="1:31">
      <c r="A286" t="s">
        <v>241</v>
      </c>
      <c r="B286" t="s">
        <v>3370</v>
      </c>
      <c r="C286" t="s">
        <v>3369</v>
      </c>
      <c r="D286" t="s">
        <v>242</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s="20">
        <v>0</v>
      </c>
    </row>
    <row r="287" spans="1:31">
      <c r="A287" t="s">
        <v>243</v>
      </c>
      <c r="B287" t="s">
        <v>3368</v>
      </c>
      <c r="C287" t="s">
        <v>3367</v>
      </c>
      <c r="D287" t="s">
        <v>2185</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s="20">
        <v>1E-3</v>
      </c>
    </row>
    <row r="288" spans="1:31">
      <c r="A288" t="s">
        <v>244</v>
      </c>
    </row>
    <row r="289" spans="1:31">
      <c r="A289" t="s">
        <v>147</v>
      </c>
      <c r="B289" t="s">
        <v>3366</v>
      </c>
      <c r="C289" t="s">
        <v>3365</v>
      </c>
      <c r="D289" t="s">
        <v>177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s="20">
        <v>-1E-3</v>
      </c>
    </row>
    <row r="290" spans="1:31">
      <c r="A290" t="s">
        <v>156</v>
      </c>
      <c r="B290" t="s">
        <v>3364</v>
      </c>
      <c r="C290" t="s">
        <v>3363</v>
      </c>
      <c r="D290" t="s">
        <v>177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15</v>
      </c>
    </row>
    <row r="291" spans="1:31">
      <c r="A291" t="s">
        <v>157</v>
      </c>
      <c r="B291" t="s">
        <v>3362</v>
      </c>
      <c r="C291" t="s">
        <v>3361</v>
      </c>
      <c r="D291" t="s">
        <v>177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15</v>
      </c>
    </row>
    <row r="292" spans="1:31">
      <c r="A292" t="s">
        <v>158</v>
      </c>
      <c r="B292" t="s">
        <v>3360</v>
      </c>
      <c r="C292" t="s">
        <v>3359</v>
      </c>
      <c r="D292" t="s">
        <v>177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15</v>
      </c>
    </row>
    <row r="293" spans="1:31">
      <c r="A293" t="s">
        <v>23</v>
      </c>
    </row>
    <row r="294" spans="1:31">
      <c r="A294" t="s">
        <v>245</v>
      </c>
      <c r="B294" t="s">
        <v>3358</v>
      </c>
      <c r="C294" t="s">
        <v>3357</v>
      </c>
      <c r="D294" t="s">
        <v>242</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s="20">
        <v>-2E-3</v>
      </c>
    </row>
    <row r="295" spans="1:31">
      <c r="A295" t="s">
        <v>243</v>
      </c>
      <c r="B295" t="s">
        <v>3356</v>
      </c>
      <c r="C295" t="s">
        <v>3355</v>
      </c>
      <c r="D295" t="s">
        <v>2185</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s="20">
        <v>4.0000000000000001E-3</v>
      </c>
    </row>
    <row r="296" spans="1:31">
      <c r="A296" t="s">
        <v>244</v>
      </c>
    </row>
    <row r="297" spans="1:31">
      <c r="A297" t="s">
        <v>147</v>
      </c>
      <c r="B297" t="s">
        <v>3354</v>
      </c>
      <c r="C297" t="s">
        <v>3353</v>
      </c>
      <c r="D297" t="s">
        <v>177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s="20">
        <v>-7.0000000000000001E-3</v>
      </c>
    </row>
    <row r="298" spans="1:31">
      <c r="A298" t="s">
        <v>156</v>
      </c>
      <c r="B298" t="s">
        <v>3352</v>
      </c>
      <c r="C298" t="s">
        <v>3351</v>
      </c>
      <c r="D298" t="s">
        <v>177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s="20">
        <v>-5.3999999999999999E-2</v>
      </c>
    </row>
    <row r="299" spans="1:31">
      <c r="A299" t="s">
        <v>157</v>
      </c>
      <c r="B299" t="s">
        <v>3350</v>
      </c>
      <c r="C299" t="s">
        <v>3349</v>
      </c>
      <c r="D299" t="s">
        <v>177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15</v>
      </c>
    </row>
    <row r="300" spans="1:31">
      <c r="A300" t="s">
        <v>158</v>
      </c>
      <c r="B300" t="s">
        <v>3348</v>
      </c>
      <c r="C300" t="s">
        <v>3347</v>
      </c>
      <c r="D300" t="s">
        <v>177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s="20">
        <v>5.0999999999999997E-2</v>
      </c>
    </row>
    <row r="301" spans="1:31">
      <c r="A301" t="s">
        <v>22</v>
      </c>
    </row>
    <row r="302" spans="1:31">
      <c r="A302" t="s">
        <v>246</v>
      </c>
      <c r="B302" t="s">
        <v>3346</v>
      </c>
      <c r="C302" t="s">
        <v>3345</v>
      </c>
      <c r="D302" t="s">
        <v>247</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s="20">
        <v>2.5000000000000001E-2</v>
      </c>
    </row>
    <row r="303" spans="1:31">
      <c r="A303" t="s">
        <v>248</v>
      </c>
      <c r="B303" t="s">
        <v>3344</v>
      </c>
      <c r="C303" t="s">
        <v>3343</v>
      </c>
      <c r="D303" t="s">
        <v>247</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s="20">
        <v>2.3E-2</v>
      </c>
    </row>
    <row r="304" spans="1:31">
      <c r="A304" t="s">
        <v>249</v>
      </c>
      <c r="B304" t="s">
        <v>3342</v>
      </c>
      <c r="C304" t="s">
        <v>3341</v>
      </c>
      <c r="D304" t="s">
        <v>247</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s="20">
        <v>2.7E-2</v>
      </c>
    </row>
    <row r="305" spans="1:31">
      <c r="A305" t="s">
        <v>244</v>
      </c>
    </row>
    <row r="306" spans="1:31">
      <c r="A306" t="s">
        <v>147</v>
      </c>
      <c r="B306" t="s">
        <v>3340</v>
      </c>
      <c r="C306" t="s">
        <v>3339</v>
      </c>
      <c r="D306" t="s">
        <v>177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s="20">
        <v>1.4999999999999999E-2</v>
      </c>
    </row>
    <row r="307" spans="1:31">
      <c r="A307" t="s">
        <v>156</v>
      </c>
      <c r="B307" t="s">
        <v>3338</v>
      </c>
      <c r="C307" t="s">
        <v>3337</v>
      </c>
      <c r="D307" t="s">
        <v>177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s="20">
        <v>0.01</v>
      </c>
    </row>
    <row r="308" spans="1:31">
      <c r="A308" t="s">
        <v>157</v>
      </c>
      <c r="B308" t="s">
        <v>3336</v>
      </c>
      <c r="C308" t="s">
        <v>3335</v>
      </c>
      <c r="D308" t="s">
        <v>177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15</v>
      </c>
    </row>
    <row r="309" spans="1:31">
      <c r="A309" t="s">
        <v>158</v>
      </c>
      <c r="B309" t="s">
        <v>3334</v>
      </c>
      <c r="C309" t="s">
        <v>3333</v>
      </c>
      <c r="D309" t="s">
        <v>177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s="20">
        <v>2.5000000000000001E-2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8919-3833-4B21-BCB7-22D382A49440}">
  <dimension ref="A1:AE51"/>
  <sheetViews>
    <sheetView workbookViewId="0"/>
  </sheetViews>
  <sheetFormatPr defaultRowHeight="15"/>
  <cols>
    <col min="1" max="1" width="24.7109375" customWidth="1"/>
    <col min="2" max="2" width="84.28515625" customWidth="1"/>
    <col min="4" max="4" width="10.140625" bestFit="1" customWidth="1"/>
  </cols>
  <sheetData>
    <row r="1" spans="1:31">
      <c r="A1" t="s">
        <v>201</v>
      </c>
    </row>
    <row r="2" spans="1:31">
      <c r="A2" t="s">
        <v>3332</v>
      </c>
    </row>
    <row r="3" spans="1:31">
      <c r="A3" t="s">
        <v>3331</v>
      </c>
    </row>
    <row r="4" spans="1:31">
      <c r="A4" t="s">
        <v>173</v>
      </c>
    </row>
    <row r="5" spans="1:31">
      <c r="B5" t="s">
        <v>174</v>
      </c>
      <c r="C5" t="s">
        <v>175</v>
      </c>
      <c r="D5" t="s">
        <v>176</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3248</v>
      </c>
    </row>
    <row r="6" spans="1:31">
      <c r="A6" t="s">
        <v>179</v>
      </c>
    </row>
    <row r="7" spans="1:31">
      <c r="A7" t="s">
        <v>180</v>
      </c>
    </row>
    <row r="8" spans="1:31">
      <c r="A8" t="s">
        <v>181</v>
      </c>
      <c r="B8" t="s">
        <v>3330</v>
      </c>
      <c r="C8" t="s">
        <v>3329</v>
      </c>
      <c r="D8" t="s">
        <v>202</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20">
        <v>-3.6999999999999998E-2</v>
      </c>
    </row>
    <row r="9" spans="1:31">
      <c r="A9" t="s">
        <v>182</v>
      </c>
      <c r="B9" t="s">
        <v>3328</v>
      </c>
      <c r="C9" t="s">
        <v>3327</v>
      </c>
      <c r="D9" t="s">
        <v>202</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20">
        <v>-0.11700000000000001</v>
      </c>
    </row>
    <row r="10" spans="1:31">
      <c r="A10" t="s">
        <v>183</v>
      </c>
      <c r="B10" t="s">
        <v>3326</v>
      </c>
      <c r="C10" t="s">
        <v>3325</v>
      </c>
      <c r="D10" t="s">
        <v>202</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20">
        <v>-3.6999999999999998E-2</v>
      </c>
    </row>
    <row r="11" spans="1:31">
      <c r="A11" t="s">
        <v>184</v>
      </c>
    </row>
    <row r="12" spans="1:31">
      <c r="A12" t="s">
        <v>185</v>
      </c>
      <c r="B12" t="s">
        <v>3324</v>
      </c>
      <c r="C12" t="s">
        <v>3323</v>
      </c>
      <c r="D12" t="s">
        <v>202</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20">
        <v>-0.113</v>
      </c>
    </row>
    <row r="13" spans="1:31">
      <c r="A13" t="s">
        <v>696</v>
      </c>
      <c r="B13" t="s">
        <v>3322</v>
      </c>
      <c r="C13" t="s">
        <v>3321</v>
      </c>
      <c r="D13" t="s">
        <v>202</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20">
        <v>1.7000000000000001E-2</v>
      </c>
    </row>
    <row r="14" spans="1:31">
      <c r="A14" t="s">
        <v>695</v>
      </c>
      <c r="B14" t="s">
        <v>3320</v>
      </c>
      <c r="C14" t="s">
        <v>3319</v>
      </c>
      <c r="D14" t="s">
        <v>202</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20">
        <v>5.3999999999999999E-2</v>
      </c>
    </row>
    <row r="15" spans="1:31">
      <c r="A15" t="s">
        <v>694</v>
      </c>
      <c r="B15" t="s">
        <v>3318</v>
      </c>
      <c r="C15" t="s">
        <v>3317</v>
      </c>
      <c r="D15" t="s">
        <v>202</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20">
        <v>6.2E-2</v>
      </c>
    </row>
    <row r="16" spans="1:31">
      <c r="A16" t="s">
        <v>693</v>
      </c>
      <c r="B16" t="s">
        <v>3316</v>
      </c>
      <c r="C16" t="s">
        <v>3315</v>
      </c>
      <c r="D16" t="s">
        <v>202</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20">
        <v>-3.2000000000000001E-2</v>
      </c>
    </row>
    <row r="17" spans="1:31">
      <c r="A17" t="s">
        <v>692</v>
      </c>
      <c r="B17" t="s">
        <v>3314</v>
      </c>
      <c r="C17" t="s">
        <v>3313</v>
      </c>
      <c r="D17" t="s">
        <v>202</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20">
        <v>0.01</v>
      </c>
    </row>
    <row r="18" spans="1:31">
      <c r="A18" t="s">
        <v>187</v>
      </c>
      <c r="B18" t="s">
        <v>3312</v>
      </c>
      <c r="C18" t="s">
        <v>3311</v>
      </c>
      <c r="D18" t="s">
        <v>202</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20">
        <v>2.3E-2</v>
      </c>
    </row>
    <row r="19" spans="1:31">
      <c r="A19" t="s">
        <v>193</v>
      </c>
      <c r="B19" t="s">
        <v>3310</v>
      </c>
      <c r="C19" t="s">
        <v>3309</v>
      </c>
      <c r="D19" t="s">
        <v>202</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20">
        <v>-0.113</v>
      </c>
    </row>
    <row r="20" spans="1:31">
      <c r="A20" t="s">
        <v>194</v>
      </c>
      <c r="B20" t="s">
        <v>3308</v>
      </c>
      <c r="C20" t="s">
        <v>3307</v>
      </c>
      <c r="D20" t="s">
        <v>202</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20">
        <v>3.3000000000000002E-2</v>
      </c>
    </row>
    <row r="21" spans="1:31">
      <c r="A21" t="s">
        <v>73</v>
      </c>
      <c r="B21" t="s">
        <v>3306</v>
      </c>
      <c r="C21" t="s">
        <v>3305</v>
      </c>
      <c r="D21" t="s">
        <v>202</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20">
        <v>-1.7000000000000001E-2</v>
      </c>
    </row>
    <row r="22" spans="1:31">
      <c r="A22" t="s">
        <v>195</v>
      </c>
    </row>
    <row r="23" spans="1:31">
      <c r="A23" t="s">
        <v>196</v>
      </c>
    </row>
    <row r="24" spans="1:31">
      <c r="A24" t="s">
        <v>181</v>
      </c>
      <c r="B24" t="s">
        <v>3304</v>
      </c>
      <c r="C24" t="s">
        <v>3303</v>
      </c>
      <c r="D24" t="s">
        <v>202</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20">
        <v>-5.0000000000000001E-3</v>
      </c>
    </row>
    <row r="25" spans="1:31">
      <c r="A25" t="s">
        <v>182</v>
      </c>
      <c r="B25" t="s">
        <v>3302</v>
      </c>
      <c r="C25" t="s">
        <v>3301</v>
      </c>
      <c r="D25" t="s">
        <v>202</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20">
        <v>2.1999999999999999E-2</v>
      </c>
    </row>
    <row r="26" spans="1:31">
      <c r="A26" t="s">
        <v>197</v>
      </c>
      <c r="B26" t="s">
        <v>3300</v>
      </c>
      <c r="C26" t="s">
        <v>3299</v>
      </c>
      <c r="D26" t="s">
        <v>202</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20">
        <v>-4.0000000000000001E-3</v>
      </c>
    </row>
    <row r="27" spans="1:31">
      <c r="A27" t="s">
        <v>198</v>
      </c>
    </row>
    <row r="28" spans="1:31">
      <c r="A28" t="s">
        <v>185</v>
      </c>
      <c r="B28" t="s">
        <v>3298</v>
      </c>
      <c r="C28" t="s">
        <v>3297</v>
      </c>
      <c r="D28" t="s">
        <v>202</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20">
        <v>-0.114</v>
      </c>
    </row>
    <row r="29" spans="1:31">
      <c r="A29" t="s">
        <v>696</v>
      </c>
      <c r="B29" t="s">
        <v>3296</v>
      </c>
      <c r="C29" t="s">
        <v>3295</v>
      </c>
      <c r="D29" t="s">
        <v>202</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20">
        <v>8.8999999999999996E-2</v>
      </c>
    </row>
    <row r="30" spans="1:31">
      <c r="A30" t="s">
        <v>695</v>
      </c>
      <c r="B30" t="s">
        <v>3294</v>
      </c>
      <c r="C30" t="s">
        <v>3293</v>
      </c>
      <c r="D30" t="s">
        <v>202</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20">
        <v>0.14199999999999999</v>
      </c>
    </row>
    <row r="31" spans="1:31">
      <c r="A31" t="s">
        <v>694</v>
      </c>
      <c r="B31" t="s">
        <v>3292</v>
      </c>
      <c r="C31" t="s">
        <v>3291</v>
      </c>
      <c r="D31" t="s">
        <v>202</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20">
        <v>0.113</v>
      </c>
    </row>
    <row r="32" spans="1:31">
      <c r="A32" t="s">
        <v>693</v>
      </c>
      <c r="B32" t="s">
        <v>3290</v>
      </c>
      <c r="C32" t="s">
        <v>3289</v>
      </c>
      <c r="D32" t="s">
        <v>202</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20">
        <v>3.5000000000000003E-2</v>
      </c>
    </row>
    <row r="33" spans="1:31">
      <c r="A33" t="s">
        <v>692</v>
      </c>
      <c r="B33" t="s">
        <v>3288</v>
      </c>
      <c r="C33" t="s">
        <v>3287</v>
      </c>
      <c r="D33" t="s">
        <v>202</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20">
        <v>6.5000000000000002E-2</v>
      </c>
    </row>
    <row r="34" spans="1:31">
      <c r="A34" t="s">
        <v>187</v>
      </c>
      <c r="B34" t="s">
        <v>3286</v>
      </c>
      <c r="C34" t="s">
        <v>3285</v>
      </c>
      <c r="D34" t="s">
        <v>202</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20">
        <v>7.3999999999999996E-2</v>
      </c>
    </row>
    <row r="35" spans="1:31">
      <c r="A35" t="s">
        <v>193</v>
      </c>
      <c r="B35" t="s">
        <v>3284</v>
      </c>
      <c r="C35" t="s">
        <v>3283</v>
      </c>
      <c r="D35" t="s">
        <v>202</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15</v>
      </c>
    </row>
    <row r="36" spans="1:31">
      <c r="A36" t="s">
        <v>199</v>
      </c>
      <c r="B36" t="s">
        <v>3282</v>
      </c>
      <c r="C36" t="s">
        <v>3281</v>
      </c>
      <c r="D36" t="s">
        <v>202</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20">
        <v>5.0999999999999997E-2</v>
      </c>
    </row>
    <row r="37" spans="1:31">
      <c r="A37" t="s">
        <v>72</v>
      </c>
      <c r="B37" t="s">
        <v>3280</v>
      </c>
      <c r="C37" t="s">
        <v>3279</v>
      </c>
      <c r="D37" t="s">
        <v>202</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20">
        <v>1.0999999999999999E-2</v>
      </c>
    </row>
    <row r="38" spans="1:31" s="142" customFormat="1">
      <c r="A38" s="142" t="s">
        <v>111</v>
      </c>
      <c r="B38" s="142" t="s">
        <v>3278</v>
      </c>
      <c r="C38" s="142" t="s">
        <v>3277</v>
      </c>
      <c r="D38" s="142" t="s">
        <v>202</v>
      </c>
      <c r="E38" s="142">
        <v>17559.984375</v>
      </c>
      <c r="F38" s="142">
        <v>17570.619140999999</v>
      </c>
      <c r="G38" s="142">
        <v>17600.339843999998</v>
      </c>
      <c r="H38" s="142">
        <v>17680.511718999998</v>
      </c>
      <c r="I38" s="142">
        <v>17822.367188</v>
      </c>
      <c r="J38" s="142">
        <v>18034.652343999998</v>
      </c>
      <c r="K38" s="142">
        <v>18261.419922000001</v>
      </c>
      <c r="L38" s="142">
        <v>18471.996093999998</v>
      </c>
      <c r="M38" s="142">
        <v>18673.152343999998</v>
      </c>
      <c r="N38" s="142">
        <v>18851.726562</v>
      </c>
      <c r="O38" s="142">
        <v>19014.779297000001</v>
      </c>
      <c r="P38" s="142">
        <v>19114.746093999998</v>
      </c>
      <c r="Q38" s="142">
        <v>19207.648438</v>
      </c>
      <c r="R38" s="142">
        <v>19296.066406000002</v>
      </c>
      <c r="S38" s="142">
        <v>19372.679688</v>
      </c>
      <c r="T38" s="142">
        <v>19431.636718999998</v>
      </c>
      <c r="U38" s="142">
        <v>19462.652343999998</v>
      </c>
      <c r="V38" s="142">
        <v>19468.34375</v>
      </c>
      <c r="W38" s="142">
        <v>19457.027343999998</v>
      </c>
      <c r="X38" s="142">
        <v>19433.998047000001</v>
      </c>
      <c r="Y38" s="142">
        <v>19405.318359000001</v>
      </c>
      <c r="Z38" s="142">
        <v>19363.583984000001</v>
      </c>
      <c r="AA38" s="142">
        <v>19314.960938</v>
      </c>
      <c r="AB38" s="142">
        <v>19249.597656000002</v>
      </c>
      <c r="AC38" s="142">
        <v>19167.365234000001</v>
      </c>
      <c r="AD38" s="142">
        <v>19054.21875</v>
      </c>
      <c r="AE38" s="143">
        <v>3.0000000000000001E-3</v>
      </c>
    </row>
    <row r="39" spans="1:31" s="142" customFormat="1">
      <c r="A39" s="142" t="s">
        <v>154</v>
      </c>
      <c r="B39" s="142" t="s">
        <v>3276</v>
      </c>
      <c r="C39" s="142" t="s">
        <v>3275</v>
      </c>
      <c r="D39" s="142" t="s">
        <v>202</v>
      </c>
      <c r="E39" s="142">
        <v>7882.263672</v>
      </c>
      <c r="F39" s="142">
        <v>7718.1157229999999</v>
      </c>
      <c r="G39" s="142">
        <v>7629.0815430000002</v>
      </c>
      <c r="H39" s="142">
        <v>7589.3720700000003</v>
      </c>
      <c r="I39" s="142">
        <v>7590.8134769999997</v>
      </c>
      <c r="J39" s="142">
        <v>7633.5</v>
      </c>
      <c r="K39" s="142">
        <v>7698.8798829999996</v>
      </c>
      <c r="L39" s="142">
        <v>7782.9262699999999</v>
      </c>
      <c r="M39" s="142">
        <v>7859.0766599999997</v>
      </c>
      <c r="N39" s="142">
        <v>7919.330078</v>
      </c>
      <c r="O39" s="142">
        <v>7952.2817379999997</v>
      </c>
      <c r="P39" s="142">
        <v>7956.8364259999998</v>
      </c>
      <c r="Q39" s="142">
        <v>7931.2661129999997</v>
      </c>
      <c r="R39" s="142">
        <v>7882.0209960000002</v>
      </c>
      <c r="S39" s="142">
        <v>7812.3657229999999</v>
      </c>
      <c r="T39" s="142">
        <v>7721.033203</v>
      </c>
      <c r="U39" s="142">
        <v>7608.1904299999997</v>
      </c>
      <c r="V39" s="142">
        <v>7477.1328119999998</v>
      </c>
      <c r="W39" s="142">
        <v>7346.2534180000002</v>
      </c>
      <c r="X39" s="142">
        <v>7216.3901370000003</v>
      </c>
      <c r="Y39" s="142">
        <v>7075.6992190000001</v>
      </c>
      <c r="Z39" s="142">
        <v>6920.3642579999996</v>
      </c>
      <c r="AA39" s="142">
        <v>6762.7626950000003</v>
      </c>
      <c r="AB39" s="142">
        <v>6594.4472660000001</v>
      </c>
      <c r="AC39" s="142">
        <v>6411.7973629999997</v>
      </c>
      <c r="AD39" s="142">
        <v>6213.7128910000001</v>
      </c>
      <c r="AE39" s="143">
        <v>-8.9999999999999993E-3</v>
      </c>
    </row>
    <row r="40" spans="1:31" s="142" customFormat="1">
      <c r="A40" s="142" t="s">
        <v>168</v>
      </c>
      <c r="B40" s="142" t="s">
        <v>3274</v>
      </c>
      <c r="C40" s="142" t="s">
        <v>3273</v>
      </c>
      <c r="D40" s="142" t="s">
        <v>202</v>
      </c>
      <c r="E40" s="142">
        <v>5002.9780270000001</v>
      </c>
      <c r="F40" s="142">
        <v>4920.6372069999998</v>
      </c>
      <c r="G40" s="142">
        <v>4838.4228519999997</v>
      </c>
      <c r="H40" s="142">
        <v>4754.9169920000004</v>
      </c>
      <c r="I40" s="142">
        <v>4667.830078</v>
      </c>
      <c r="J40" s="142">
        <v>4577.2856449999999</v>
      </c>
      <c r="K40" s="142">
        <v>4477.2270509999998</v>
      </c>
      <c r="L40" s="142">
        <v>4384.5673829999996</v>
      </c>
      <c r="M40" s="142">
        <v>4277.0864259999998</v>
      </c>
      <c r="N40" s="142">
        <v>4162.5893550000001</v>
      </c>
      <c r="O40" s="142">
        <v>4032.804443</v>
      </c>
      <c r="P40" s="142">
        <v>3892.8220209999999</v>
      </c>
      <c r="Q40" s="142">
        <v>3743.9099120000001</v>
      </c>
      <c r="R40" s="142">
        <v>3586.1232909999999</v>
      </c>
      <c r="S40" s="142">
        <v>3426.6826169999999</v>
      </c>
      <c r="T40" s="142">
        <v>3261.099365</v>
      </c>
      <c r="U40" s="142">
        <v>3103.415039</v>
      </c>
      <c r="V40" s="142">
        <v>2952.226318</v>
      </c>
      <c r="W40" s="142">
        <v>2821.366943</v>
      </c>
      <c r="X40" s="142">
        <v>2704.1667480000001</v>
      </c>
      <c r="Y40" s="142">
        <v>2587.6079100000002</v>
      </c>
      <c r="Z40" s="142">
        <v>2472.360107</v>
      </c>
      <c r="AA40" s="142">
        <v>2362.5249020000001</v>
      </c>
      <c r="AB40" s="142">
        <v>2255.0485840000001</v>
      </c>
      <c r="AC40" s="142">
        <v>2139.474365</v>
      </c>
      <c r="AD40" s="142">
        <v>2021.7506100000001</v>
      </c>
      <c r="AE40" s="143">
        <v>-3.5999999999999997E-2</v>
      </c>
    </row>
    <row r="41" spans="1:31" s="142" customFormat="1">
      <c r="A41" s="142" t="s">
        <v>149</v>
      </c>
      <c r="B41" s="142" t="s">
        <v>3272</v>
      </c>
      <c r="C41" s="142" t="s">
        <v>3271</v>
      </c>
      <c r="D41" s="142" t="s">
        <v>202</v>
      </c>
      <c r="E41" s="142">
        <v>2.9389999999999999E-2</v>
      </c>
      <c r="F41" s="142">
        <v>2.8049999999999999E-2</v>
      </c>
      <c r="G41" s="142">
        <v>2.8767000000000001E-2</v>
      </c>
      <c r="H41" s="142">
        <v>3.0852999999999998E-2</v>
      </c>
      <c r="I41" s="142">
        <v>3.3989999999999999E-2</v>
      </c>
      <c r="J41" s="142">
        <v>3.7803000000000003E-2</v>
      </c>
      <c r="K41" s="142">
        <v>4.2110000000000002E-2</v>
      </c>
      <c r="L41" s="142">
        <v>4.6904000000000001E-2</v>
      </c>
      <c r="M41" s="142">
        <v>5.1970000000000002E-2</v>
      </c>
      <c r="N41" s="142">
        <v>5.6926999999999998E-2</v>
      </c>
      <c r="O41" s="142">
        <v>6.1940000000000002E-2</v>
      </c>
      <c r="P41" s="142">
        <v>6.6980999999999999E-2</v>
      </c>
      <c r="Q41" s="142">
        <v>7.2059999999999999E-2</v>
      </c>
      <c r="R41" s="142">
        <v>7.7115000000000003E-2</v>
      </c>
      <c r="S41" s="142">
        <v>8.2075999999999996E-2</v>
      </c>
      <c r="T41" s="142">
        <v>8.6895E-2</v>
      </c>
      <c r="U41" s="142">
        <v>9.1471999999999998E-2</v>
      </c>
      <c r="V41" s="142">
        <v>9.579E-2</v>
      </c>
      <c r="W41" s="142">
        <v>9.9874000000000004E-2</v>
      </c>
      <c r="X41" s="142">
        <v>0.103683</v>
      </c>
      <c r="Y41" s="142">
        <v>0.10724599999999999</v>
      </c>
      <c r="Z41" s="142">
        <v>0.110537</v>
      </c>
      <c r="AA41" s="142">
        <v>0.113551</v>
      </c>
      <c r="AB41" s="142">
        <v>0.116289</v>
      </c>
      <c r="AC41" s="142">
        <v>0.11874800000000001</v>
      </c>
      <c r="AD41" s="142">
        <v>0.120917</v>
      </c>
      <c r="AE41" s="143">
        <v>5.8000000000000003E-2</v>
      </c>
    </row>
    <row r="42" spans="1:31" s="142" customFormat="1">
      <c r="A42" s="142" t="s">
        <v>148</v>
      </c>
      <c r="B42" s="142" t="s">
        <v>3270</v>
      </c>
      <c r="C42" s="142" t="s">
        <v>3269</v>
      </c>
      <c r="D42" s="142" t="s">
        <v>202</v>
      </c>
      <c r="E42" s="142">
        <v>14.123592</v>
      </c>
      <c r="F42" s="142">
        <v>17.557981000000002</v>
      </c>
      <c r="G42" s="142">
        <v>19.892175999999999</v>
      </c>
      <c r="H42" s="142">
        <v>21.965724999999999</v>
      </c>
      <c r="I42" s="142">
        <v>23.452375</v>
      </c>
      <c r="J42" s="142">
        <v>25.092058000000002</v>
      </c>
      <c r="K42" s="142">
        <v>26.851216999999998</v>
      </c>
      <c r="L42" s="142">
        <v>29.061223999999999</v>
      </c>
      <c r="M42" s="142">
        <v>31.537631999999999</v>
      </c>
      <c r="N42" s="142">
        <v>34.389294</v>
      </c>
      <c r="O42" s="142">
        <v>38.135089999999998</v>
      </c>
      <c r="P42" s="142">
        <v>42.418118</v>
      </c>
      <c r="Q42" s="142">
        <v>47.842067999999998</v>
      </c>
      <c r="R42" s="142">
        <v>54.623900999999996</v>
      </c>
      <c r="S42" s="142">
        <v>62.418179000000002</v>
      </c>
      <c r="T42" s="142">
        <v>72.016266000000002</v>
      </c>
      <c r="U42" s="142">
        <v>82.636161999999999</v>
      </c>
      <c r="V42" s="142">
        <v>94.554366999999999</v>
      </c>
      <c r="W42" s="142">
        <v>107.83039100000001</v>
      </c>
      <c r="X42" s="142">
        <v>122.378212</v>
      </c>
      <c r="Y42" s="142">
        <v>138.17295799999999</v>
      </c>
      <c r="Z42" s="142">
        <v>155.49026499999999</v>
      </c>
      <c r="AA42" s="142">
        <v>173.50885</v>
      </c>
      <c r="AB42" s="142">
        <v>192.23400899999999</v>
      </c>
      <c r="AC42" s="142">
        <v>211.13888499999999</v>
      </c>
      <c r="AD42" s="142">
        <v>230.721405</v>
      </c>
      <c r="AE42" s="143">
        <v>0.11799999999999999</v>
      </c>
    </row>
    <row r="43" spans="1:31" s="142" customFormat="1">
      <c r="A43" s="142" t="s">
        <v>203</v>
      </c>
      <c r="B43" s="142" t="s">
        <v>3268</v>
      </c>
      <c r="C43" s="142" t="s">
        <v>3267</v>
      </c>
      <c r="D43" s="142" t="s">
        <v>202</v>
      </c>
      <c r="E43" s="142">
        <v>1585.904663</v>
      </c>
      <c r="F43" s="142">
        <v>1550.989746</v>
      </c>
      <c r="G43" s="142">
        <v>1511.92688</v>
      </c>
      <c r="H43" s="142">
        <v>1469.2751459999999</v>
      </c>
      <c r="I43" s="142">
        <v>1421.6933590000001</v>
      </c>
      <c r="J43" s="142">
        <v>1369.3641359999999</v>
      </c>
      <c r="K43" s="142">
        <v>1312.347168</v>
      </c>
      <c r="L43" s="142">
        <v>1251.104126</v>
      </c>
      <c r="M43" s="142">
        <v>1187.103638</v>
      </c>
      <c r="N43" s="142">
        <v>1120.3492429999999</v>
      </c>
      <c r="O43" s="142">
        <v>1052.594971</v>
      </c>
      <c r="P43" s="142">
        <v>985.46447799999999</v>
      </c>
      <c r="Q43" s="142">
        <v>919.91101100000003</v>
      </c>
      <c r="R43" s="142">
        <v>856.78521699999999</v>
      </c>
      <c r="S43" s="142">
        <v>796.59527600000001</v>
      </c>
      <c r="T43" s="142">
        <v>740.64648399999999</v>
      </c>
      <c r="U43" s="142">
        <v>689.74896200000001</v>
      </c>
      <c r="V43" s="142">
        <v>644.09655799999996</v>
      </c>
      <c r="W43" s="142">
        <v>603.90698199999997</v>
      </c>
      <c r="X43" s="142">
        <v>562.473206</v>
      </c>
      <c r="Y43" s="142">
        <v>520.17755099999999</v>
      </c>
      <c r="Z43" s="142">
        <v>480.65725700000002</v>
      </c>
      <c r="AA43" s="142">
        <v>438.79760700000003</v>
      </c>
      <c r="AB43" s="142">
        <v>395.525848</v>
      </c>
      <c r="AC43" s="142">
        <v>348.95233200000001</v>
      </c>
      <c r="AD43" s="142">
        <v>302.43563799999998</v>
      </c>
      <c r="AE43" s="143">
        <v>-6.4000000000000001E-2</v>
      </c>
    </row>
    <row r="44" spans="1:31" s="142" customFormat="1">
      <c r="A44" s="142" t="s">
        <v>204</v>
      </c>
      <c r="B44" s="142" t="s">
        <v>3266</v>
      </c>
      <c r="C44" s="142" t="s">
        <v>3265</v>
      </c>
      <c r="D44" s="142" t="s">
        <v>202</v>
      </c>
      <c r="E44" s="142">
        <v>130.89210499999999</v>
      </c>
      <c r="F44" s="142">
        <v>184.41905199999999</v>
      </c>
      <c r="G44" s="142">
        <v>240.56279000000001</v>
      </c>
      <c r="H44" s="142">
        <v>297.98135400000001</v>
      </c>
      <c r="I44" s="142">
        <v>357.10168499999997</v>
      </c>
      <c r="J44" s="142">
        <v>418.34268200000002</v>
      </c>
      <c r="K44" s="142">
        <v>481.03695699999997</v>
      </c>
      <c r="L44" s="142">
        <v>544.87823500000002</v>
      </c>
      <c r="M44" s="142">
        <v>608.86669900000004</v>
      </c>
      <c r="N44" s="142">
        <v>672.64398200000005</v>
      </c>
      <c r="O44" s="142">
        <v>735.47906499999999</v>
      </c>
      <c r="P44" s="142">
        <v>796.13580300000001</v>
      </c>
      <c r="Q44" s="142">
        <v>855.44586200000003</v>
      </c>
      <c r="R44" s="142">
        <v>912.94464100000005</v>
      </c>
      <c r="S44" s="142">
        <v>968.20538299999998</v>
      </c>
      <c r="T44" s="142">
        <v>1024.2092290000001</v>
      </c>
      <c r="U44" s="142">
        <v>1077.5192870000001</v>
      </c>
      <c r="V44" s="142">
        <v>1124.5135499999999</v>
      </c>
      <c r="W44" s="142">
        <v>1169.1032709999999</v>
      </c>
      <c r="X44" s="142">
        <v>1212.96228</v>
      </c>
      <c r="Y44" s="142">
        <v>1256.3027340000001</v>
      </c>
      <c r="Z44" s="142">
        <v>1298.7155760000001</v>
      </c>
      <c r="AA44" s="142">
        <v>1340.112061</v>
      </c>
      <c r="AB44" s="142">
        <v>1380.203125</v>
      </c>
      <c r="AC44" s="142">
        <v>1420.7426760000001</v>
      </c>
      <c r="AD44" s="142">
        <v>1463.7196039999999</v>
      </c>
      <c r="AE44" s="143">
        <v>0.10100000000000001</v>
      </c>
    </row>
    <row r="45" spans="1:31" s="142" customFormat="1">
      <c r="A45" s="142" t="s">
        <v>205</v>
      </c>
      <c r="B45" s="142" t="s">
        <v>3264</v>
      </c>
      <c r="C45" s="142" t="s">
        <v>3263</v>
      </c>
      <c r="D45" s="142" t="s">
        <v>202</v>
      </c>
      <c r="E45" s="142">
        <v>0</v>
      </c>
      <c r="F45" s="142">
        <v>0</v>
      </c>
      <c r="G45" s="142">
        <v>0</v>
      </c>
      <c r="H45" s="142">
        <v>0</v>
      </c>
      <c r="I45" s="142">
        <v>0</v>
      </c>
      <c r="J45" s="142">
        <v>0</v>
      </c>
      <c r="K45" s="142">
        <v>0</v>
      </c>
      <c r="L45" s="142">
        <v>0</v>
      </c>
      <c r="M45" s="142">
        <v>0</v>
      </c>
      <c r="N45" s="142">
        <v>0</v>
      </c>
      <c r="O45" s="142">
        <v>0</v>
      </c>
      <c r="P45" s="142">
        <v>0</v>
      </c>
      <c r="Q45" s="142">
        <v>0</v>
      </c>
      <c r="R45" s="142">
        <v>0</v>
      </c>
      <c r="S45" s="142">
        <v>0</v>
      </c>
      <c r="T45" s="142">
        <v>0</v>
      </c>
      <c r="U45" s="142">
        <v>0</v>
      </c>
      <c r="V45" s="142">
        <v>0</v>
      </c>
      <c r="W45" s="142">
        <v>0</v>
      </c>
      <c r="X45" s="142">
        <v>0</v>
      </c>
      <c r="Y45" s="142">
        <v>0</v>
      </c>
      <c r="Z45" s="142">
        <v>0</v>
      </c>
      <c r="AA45" s="142">
        <v>0</v>
      </c>
      <c r="AB45" s="142">
        <v>0</v>
      </c>
      <c r="AC45" s="142">
        <v>0</v>
      </c>
      <c r="AD45" s="142">
        <v>0</v>
      </c>
      <c r="AE45" s="142" t="s">
        <v>15</v>
      </c>
    </row>
    <row r="46" spans="1:31" s="142" customFormat="1">
      <c r="A46" s="142" t="s">
        <v>206</v>
      </c>
      <c r="B46" s="142" t="s">
        <v>3262</v>
      </c>
      <c r="C46" s="142" t="s">
        <v>3261</v>
      </c>
      <c r="D46" s="142" t="s">
        <v>202</v>
      </c>
      <c r="E46" s="142">
        <v>0</v>
      </c>
      <c r="F46" s="142">
        <v>0</v>
      </c>
      <c r="G46" s="142">
        <v>0</v>
      </c>
      <c r="H46" s="142">
        <v>0</v>
      </c>
      <c r="I46" s="142">
        <v>0</v>
      </c>
      <c r="J46" s="142">
        <v>0</v>
      </c>
      <c r="K46" s="142">
        <v>0</v>
      </c>
      <c r="L46" s="142">
        <v>0</v>
      </c>
      <c r="M46" s="142">
        <v>0</v>
      </c>
      <c r="N46" s="142">
        <v>0</v>
      </c>
      <c r="O46" s="142">
        <v>0</v>
      </c>
      <c r="P46" s="142">
        <v>0</v>
      </c>
      <c r="Q46" s="142">
        <v>0</v>
      </c>
      <c r="R46" s="142">
        <v>0</v>
      </c>
      <c r="S46" s="142">
        <v>0</v>
      </c>
      <c r="T46" s="142">
        <v>0</v>
      </c>
      <c r="U46" s="142">
        <v>0</v>
      </c>
      <c r="V46" s="142">
        <v>0</v>
      </c>
      <c r="W46" s="142">
        <v>0</v>
      </c>
      <c r="X46" s="142">
        <v>0</v>
      </c>
      <c r="Y46" s="142">
        <v>0</v>
      </c>
      <c r="Z46" s="142">
        <v>0</v>
      </c>
      <c r="AA46" s="142">
        <v>0</v>
      </c>
      <c r="AB46" s="142">
        <v>0</v>
      </c>
      <c r="AC46" s="142">
        <v>0</v>
      </c>
      <c r="AD46" s="142">
        <v>0</v>
      </c>
      <c r="AE46" s="142" t="s">
        <v>15</v>
      </c>
    </row>
    <row r="47" spans="1:31" s="142" customFormat="1">
      <c r="A47" s="142" t="s">
        <v>207</v>
      </c>
      <c r="B47" s="142" t="s">
        <v>3260</v>
      </c>
      <c r="C47" s="142" t="s">
        <v>3259</v>
      </c>
      <c r="D47" s="142" t="s">
        <v>202</v>
      </c>
      <c r="E47" s="142">
        <v>0</v>
      </c>
      <c r="F47" s="142">
        <v>0</v>
      </c>
      <c r="G47" s="142">
        <v>0</v>
      </c>
      <c r="H47" s="142">
        <v>0</v>
      </c>
      <c r="I47" s="142">
        <v>0</v>
      </c>
      <c r="J47" s="142">
        <v>0</v>
      </c>
      <c r="K47" s="142">
        <v>0</v>
      </c>
      <c r="L47" s="142">
        <v>0</v>
      </c>
      <c r="M47" s="142">
        <v>0</v>
      </c>
      <c r="N47" s="142">
        <v>0</v>
      </c>
      <c r="O47" s="142">
        <v>0</v>
      </c>
      <c r="P47" s="142">
        <v>0</v>
      </c>
      <c r="Q47" s="142">
        <v>0</v>
      </c>
      <c r="R47" s="142">
        <v>0</v>
      </c>
      <c r="S47" s="142">
        <v>0</v>
      </c>
      <c r="T47" s="142">
        <v>0</v>
      </c>
      <c r="U47" s="142">
        <v>0</v>
      </c>
      <c r="V47" s="142">
        <v>0</v>
      </c>
      <c r="W47" s="142">
        <v>0</v>
      </c>
      <c r="X47" s="142">
        <v>0</v>
      </c>
      <c r="Y47" s="142">
        <v>0</v>
      </c>
      <c r="Z47" s="142">
        <v>0</v>
      </c>
      <c r="AA47" s="142">
        <v>0</v>
      </c>
      <c r="AB47" s="142">
        <v>0</v>
      </c>
      <c r="AC47" s="142">
        <v>0</v>
      </c>
      <c r="AD47" s="142">
        <v>0</v>
      </c>
      <c r="AE47" s="142" t="s">
        <v>15</v>
      </c>
    </row>
    <row r="48" spans="1:31" s="142" customFormat="1">
      <c r="A48" s="142" t="s">
        <v>1668</v>
      </c>
      <c r="B48" s="142" t="s">
        <v>3258</v>
      </c>
      <c r="C48" s="142" t="s">
        <v>3257</v>
      </c>
      <c r="D48" s="142" t="s">
        <v>202</v>
      </c>
      <c r="E48" s="142">
        <v>0</v>
      </c>
      <c r="F48" s="142">
        <v>0</v>
      </c>
      <c r="G48" s="142">
        <v>0</v>
      </c>
      <c r="H48" s="142">
        <v>0</v>
      </c>
      <c r="I48" s="142">
        <v>0</v>
      </c>
      <c r="J48" s="142">
        <v>0</v>
      </c>
      <c r="K48" s="142">
        <v>0</v>
      </c>
      <c r="L48" s="142">
        <v>0</v>
      </c>
      <c r="M48" s="142">
        <v>0</v>
      </c>
      <c r="N48" s="142">
        <v>0</v>
      </c>
      <c r="O48" s="142">
        <v>0</v>
      </c>
      <c r="P48" s="142">
        <v>0</v>
      </c>
      <c r="Q48" s="142">
        <v>0</v>
      </c>
      <c r="R48" s="142">
        <v>0</v>
      </c>
      <c r="S48" s="142">
        <v>0</v>
      </c>
      <c r="T48" s="142">
        <v>0</v>
      </c>
      <c r="U48" s="142">
        <v>0</v>
      </c>
      <c r="V48" s="142">
        <v>0</v>
      </c>
      <c r="W48" s="142">
        <v>0</v>
      </c>
      <c r="X48" s="142">
        <v>0</v>
      </c>
      <c r="Y48" s="142">
        <v>0</v>
      </c>
      <c r="Z48" s="142">
        <v>0</v>
      </c>
      <c r="AA48" s="142">
        <v>0</v>
      </c>
      <c r="AB48" s="142">
        <v>0</v>
      </c>
      <c r="AC48" s="142">
        <v>0</v>
      </c>
      <c r="AD48" s="142">
        <v>0</v>
      </c>
      <c r="AE48" s="142" t="s">
        <v>15</v>
      </c>
    </row>
    <row r="49" spans="1:31" s="142" customFormat="1">
      <c r="A49" s="142" t="s">
        <v>1665</v>
      </c>
      <c r="B49" s="142" t="s">
        <v>3256</v>
      </c>
      <c r="C49" s="142" t="s">
        <v>3255</v>
      </c>
      <c r="D49" s="142" t="s">
        <v>202</v>
      </c>
      <c r="E49" s="142">
        <v>1.9456169999999999</v>
      </c>
      <c r="F49" s="142">
        <v>5.2897660000000002</v>
      </c>
      <c r="G49" s="142">
        <v>10.007407000000001</v>
      </c>
      <c r="H49" s="142">
        <v>16.609016</v>
      </c>
      <c r="I49" s="142">
        <v>26.195983999999999</v>
      </c>
      <c r="J49" s="142">
        <v>41.144137999999998</v>
      </c>
      <c r="K49" s="142">
        <v>62.356422000000002</v>
      </c>
      <c r="L49" s="142">
        <v>95.123328999999998</v>
      </c>
      <c r="M49" s="142">
        <v>143.916382</v>
      </c>
      <c r="N49" s="142">
        <v>208.263474</v>
      </c>
      <c r="O49" s="142">
        <v>302.78372200000001</v>
      </c>
      <c r="P49" s="142">
        <v>423.18008400000002</v>
      </c>
      <c r="Q49" s="142">
        <v>572.72717299999999</v>
      </c>
      <c r="R49" s="142">
        <v>744.17895499999997</v>
      </c>
      <c r="S49" s="142">
        <v>939.29534899999999</v>
      </c>
      <c r="T49" s="142">
        <v>1154.361206</v>
      </c>
      <c r="U49" s="142">
        <v>1395.0466309999999</v>
      </c>
      <c r="V49" s="142">
        <v>1656.190186</v>
      </c>
      <c r="W49" s="142">
        <v>1923.7260739999999</v>
      </c>
      <c r="X49" s="142">
        <v>2200.1877439999998</v>
      </c>
      <c r="Y49" s="142">
        <v>2485.5327149999998</v>
      </c>
      <c r="Z49" s="142">
        <v>2771.07251</v>
      </c>
      <c r="AA49" s="142">
        <v>3051.8728030000002</v>
      </c>
      <c r="AB49" s="142">
        <v>3335.4335940000001</v>
      </c>
      <c r="AC49" s="142">
        <v>3618.0688479999999</v>
      </c>
      <c r="AD49" s="142">
        <v>3892.0656739999999</v>
      </c>
      <c r="AE49" s="143">
        <v>0.35499999999999998</v>
      </c>
    </row>
    <row r="50" spans="1:31" s="142" customFormat="1">
      <c r="A50" s="142" t="s">
        <v>1662</v>
      </c>
      <c r="B50" s="142" t="s">
        <v>3254</v>
      </c>
      <c r="C50" s="142" t="s">
        <v>3253</v>
      </c>
      <c r="D50" s="142" t="s">
        <v>202</v>
      </c>
      <c r="E50" s="142">
        <v>0</v>
      </c>
      <c r="F50" s="142">
        <v>0</v>
      </c>
      <c r="G50" s="142">
        <v>0</v>
      </c>
      <c r="H50" s="142">
        <v>0</v>
      </c>
      <c r="I50" s="142">
        <v>0</v>
      </c>
      <c r="J50" s="142">
        <v>0</v>
      </c>
      <c r="K50" s="142">
        <v>0</v>
      </c>
      <c r="L50" s="142">
        <v>0</v>
      </c>
      <c r="M50" s="142">
        <v>0</v>
      </c>
      <c r="N50" s="142">
        <v>0</v>
      </c>
      <c r="O50" s="142">
        <v>0</v>
      </c>
      <c r="P50" s="142">
        <v>0</v>
      </c>
      <c r="Q50" s="142">
        <v>0</v>
      </c>
      <c r="R50" s="142">
        <v>0</v>
      </c>
      <c r="S50" s="142">
        <v>0</v>
      </c>
      <c r="T50" s="142">
        <v>0</v>
      </c>
      <c r="U50" s="142">
        <v>0</v>
      </c>
      <c r="V50" s="142">
        <v>0</v>
      </c>
      <c r="W50" s="142">
        <v>0</v>
      </c>
      <c r="X50" s="142">
        <v>0</v>
      </c>
      <c r="Y50" s="142">
        <v>0</v>
      </c>
      <c r="Z50" s="142">
        <v>0</v>
      </c>
      <c r="AA50" s="142">
        <v>0</v>
      </c>
      <c r="AB50" s="142">
        <v>0</v>
      </c>
      <c r="AC50" s="142">
        <v>0</v>
      </c>
      <c r="AD50" s="142">
        <v>0</v>
      </c>
      <c r="AE50" s="142" t="s">
        <v>15</v>
      </c>
    </row>
    <row r="51" spans="1:31" s="142" customFormat="1">
      <c r="A51" s="142" t="s">
        <v>208</v>
      </c>
      <c r="B51" s="142" t="s">
        <v>3252</v>
      </c>
      <c r="C51" s="142" t="s">
        <v>3251</v>
      </c>
      <c r="D51" s="142" t="s">
        <v>202</v>
      </c>
      <c r="E51" s="142">
        <v>14618.137694999999</v>
      </c>
      <c r="F51" s="142">
        <v>14397.037109000001</v>
      </c>
      <c r="G51" s="142">
        <v>14249.921875</v>
      </c>
      <c r="H51" s="142">
        <v>14150.152344</v>
      </c>
      <c r="I51" s="142">
        <v>14087.121094</v>
      </c>
      <c r="J51" s="142">
        <v>14064.766602</v>
      </c>
      <c r="K51" s="142">
        <v>14058.741211</v>
      </c>
      <c r="L51" s="142">
        <v>14087.708008</v>
      </c>
      <c r="M51" s="142">
        <v>14107.638671999999</v>
      </c>
      <c r="N51" s="142">
        <v>14117.623046999999</v>
      </c>
      <c r="O51" s="142">
        <v>14114.140625</v>
      </c>
      <c r="P51" s="142">
        <v>14096.923828000001</v>
      </c>
      <c r="Q51" s="142">
        <v>14071.174805000001</v>
      </c>
      <c r="R51" s="142">
        <v>14036.753906</v>
      </c>
      <c r="S51" s="142">
        <v>14005.644531</v>
      </c>
      <c r="T51" s="142">
        <v>13973.453125</v>
      </c>
      <c r="U51" s="142">
        <v>13956.648438</v>
      </c>
      <c r="V51" s="142">
        <v>13948.810546999999</v>
      </c>
      <c r="W51" s="142">
        <v>13972.287109000001</v>
      </c>
      <c r="X51" s="142">
        <v>14018.661133</v>
      </c>
      <c r="Y51" s="142">
        <v>14063.599609000001</v>
      </c>
      <c r="Z51" s="142">
        <v>14098.770508</v>
      </c>
      <c r="AA51" s="142">
        <v>14129.692383</v>
      </c>
      <c r="AB51" s="142">
        <v>14153.008789</v>
      </c>
      <c r="AC51" s="142">
        <v>14150.292969</v>
      </c>
      <c r="AD51" s="142">
        <v>14124.527344</v>
      </c>
      <c r="AE51" s="143">
        <v>-1E-3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R98"/>
  <sheetViews>
    <sheetView workbookViewId="0"/>
  </sheetViews>
  <sheetFormatPr defaultColWidth="8.7109375" defaultRowHeight="12.75"/>
  <cols>
    <col min="1" max="1" width="34.5703125" style="7" customWidth="1"/>
    <col min="2" max="3" width="10.28515625" style="7" customWidth="1"/>
    <col min="4" max="19" width="10.85546875" style="7" bestFit="1" customWidth="1"/>
    <col min="20" max="20" width="10.85546875" style="16" bestFit="1" customWidth="1"/>
    <col min="21" max="42" width="10.85546875" style="7" bestFit="1" customWidth="1"/>
    <col min="43" max="16384" width="8.7109375" style="7"/>
  </cols>
  <sheetData>
    <row r="1" spans="1:42" ht="16.5" customHeight="1" thickBot="1">
      <c r="A1" s="105" t="s">
        <v>69</v>
      </c>
      <c r="B1" s="105"/>
      <c r="C1" s="105"/>
      <c r="D1" s="105"/>
      <c r="E1" s="105"/>
      <c r="F1" s="105"/>
      <c r="G1" s="105"/>
      <c r="H1" s="105"/>
      <c r="I1" s="105"/>
      <c r="J1" s="105"/>
      <c r="K1" s="105"/>
      <c r="L1" s="105"/>
      <c r="M1" s="105"/>
      <c r="N1" s="105"/>
      <c r="O1" s="105"/>
      <c r="P1" s="105"/>
      <c r="Q1" s="105"/>
      <c r="R1" s="105"/>
      <c r="S1" s="105"/>
      <c r="T1" s="105"/>
      <c r="U1" s="105"/>
      <c r="V1" s="105"/>
      <c r="W1" s="105"/>
      <c r="X1" s="105"/>
      <c r="Y1" s="105"/>
      <c r="Z1" s="105"/>
      <c r="AA1" s="105"/>
      <c r="AB1" s="105"/>
      <c r="AC1" s="105"/>
      <c r="AD1" s="105"/>
      <c r="AE1" s="105"/>
      <c r="AF1" s="105"/>
      <c r="AG1" s="105"/>
      <c r="AH1" s="105"/>
      <c r="AI1" s="105"/>
      <c r="AJ1" s="105"/>
      <c r="AK1" s="105"/>
      <c r="AL1" s="105"/>
      <c r="AM1" s="105"/>
      <c r="AN1" s="105"/>
      <c r="AO1" s="105"/>
      <c r="AP1" s="105"/>
    </row>
    <row r="2" spans="1:42" s="10" customFormat="1" ht="16.5" customHeight="1">
      <c r="A2" s="22"/>
      <c r="B2" s="23">
        <v>1960</v>
      </c>
      <c r="C2" s="23">
        <v>1965</v>
      </c>
      <c r="D2" s="23">
        <v>1970</v>
      </c>
      <c r="E2" s="23">
        <v>1975</v>
      </c>
      <c r="F2" s="23">
        <v>1980</v>
      </c>
      <c r="G2" s="23">
        <v>1985</v>
      </c>
      <c r="H2" s="23">
        <v>1990</v>
      </c>
      <c r="I2" s="23">
        <v>1991</v>
      </c>
      <c r="J2" s="23">
        <v>1992</v>
      </c>
      <c r="K2" s="23">
        <v>1993</v>
      </c>
      <c r="L2" s="23">
        <v>1994</v>
      </c>
      <c r="M2" s="23">
        <v>1995</v>
      </c>
      <c r="N2" s="23">
        <v>1996</v>
      </c>
      <c r="O2" s="23">
        <v>1997</v>
      </c>
      <c r="P2" s="23">
        <v>1998</v>
      </c>
      <c r="Q2" s="23">
        <v>1999</v>
      </c>
      <c r="R2" s="23">
        <v>2000</v>
      </c>
      <c r="S2" s="23">
        <v>2001</v>
      </c>
      <c r="T2" s="23">
        <v>2002</v>
      </c>
      <c r="U2" s="23">
        <v>2003</v>
      </c>
      <c r="V2" s="23">
        <v>2004</v>
      </c>
      <c r="W2" s="23">
        <v>2005</v>
      </c>
      <c r="X2" s="23">
        <v>2006</v>
      </c>
      <c r="Y2" s="23">
        <v>2007</v>
      </c>
      <c r="Z2" s="23">
        <v>2008</v>
      </c>
      <c r="AA2" s="23">
        <v>2009</v>
      </c>
      <c r="AB2" s="23">
        <v>2010</v>
      </c>
      <c r="AC2" s="23">
        <v>2011</v>
      </c>
      <c r="AD2" s="23">
        <v>2012</v>
      </c>
      <c r="AE2" s="23">
        <v>2013</v>
      </c>
      <c r="AF2" s="23">
        <v>2014</v>
      </c>
      <c r="AG2" s="23">
        <v>2015</v>
      </c>
      <c r="AH2" s="23">
        <v>2016</v>
      </c>
      <c r="AI2" s="23">
        <v>2017</v>
      </c>
      <c r="AJ2" s="23">
        <v>2018</v>
      </c>
      <c r="AK2" s="23">
        <v>2019</v>
      </c>
      <c r="AL2" s="23">
        <v>2020</v>
      </c>
      <c r="AM2" s="23">
        <v>2021</v>
      </c>
      <c r="AN2" s="23">
        <v>2022</v>
      </c>
      <c r="AO2" s="23">
        <v>2023</v>
      </c>
      <c r="AP2" s="24">
        <v>2024</v>
      </c>
    </row>
    <row r="3" spans="1:42" s="10" customFormat="1" ht="16.5" customHeight="1">
      <c r="A3" s="25" t="s">
        <v>68</v>
      </c>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row>
    <row r="4" spans="1:42" s="10" customFormat="1" ht="16.5" customHeight="1">
      <c r="A4" s="106" t="s">
        <v>67</v>
      </c>
      <c r="B4" s="37">
        <v>2135</v>
      </c>
      <c r="C4" s="37">
        <v>2125</v>
      </c>
      <c r="D4" s="37">
        <v>2679</v>
      </c>
      <c r="E4" s="37">
        <v>2495</v>
      </c>
      <c r="F4" s="37">
        <v>3808</v>
      </c>
      <c r="G4" s="37">
        <v>4678</v>
      </c>
      <c r="H4" s="37">
        <v>6083</v>
      </c>
      <c r="I4" s="37">
        <v>6054</v>
      </c>
      <c r="J4" s="37">
        <v>7320</v>
      </c>
      <c r="K4" s="37">
        <v>7297</v>
      </c>
      <c r="L4" s="37">
        <v>7370</v>
      </c>
      <c r="M4" s="37">
        <v>6865</v>
      </c>
      <c r="N4" s="37">
        <v>7077</v>
      </c>
      <c r="O4" s="37">
        <v>7043</v>
      </c>
      <c r="P4" s="37">
        <v>7451</v>
      </c>
      <c r="Q4" s="26">
        <v>7859</v>
      </c>
      <c r="R4" s="26">
        <v>7826</v>
      </c>
      <c r="S4" s="26">
        <v>7746</v>
      </c>
      <c r="T4" s="26">
        <v>7673</v>
      </c>
      <c r="U4" s="26">
        <v>7564</v>
      </c>
      <c r="V4" s="26">
        <v>7764</v>
      </c>
      <c r="W4" s="26">
        <v>7686</v>
      </c>
      <c r="X4" s="26">
        <v>7637</v>
      </c>
      <c r="Y4" s="26">
        <v>7732</v>
      </c>
      <c r="Z4" s="26">
        <v>7337</v>
      </c>
      <c r="AA4" s="26">
        <v>7169</v>
      </c>
      <c r="AB4" s="26">
        <v>7185</v>
      </c>
      <c r="AC4" s="26">
        <v>7167</v>
      </c>
      <c r="AD4" s="26">
        <v>6914</v>
      </c>
      <c r="AE4" s="26">
        <v>6740</v>
      </c>
      <c r="AF4" s="26">
        <v>6761</v>
      </c>
      <c r="AG4" s="26">
        <v>6876</v>
      </c>
      <c r="AH4" s="26">
        <v>7077</v>
      </c>
      <c r="AI4" s="26">
        <v>7196</v>
      </c>
      <c r="AJ4" s="26">
        <v>7475</v>
      </c>
      <c r="AK4" s="26">
        <v>7628</v>
      </c>
      <c r="AL4" s="26">
        <v>5884</v>
      </c>
      <c r="AM4" s="26">
        <v>5815</v>
      </c>
      <c r="AN4" s="26">
        <v>6852</v>
      </c>
      <c r="AO4" s="26">
        <v>7572</v>
      </c>
      <c r="AP4" s="26">
        <v>7387</v>
      </c>
    </row>
    <row r="5" spans="1:42" s="10" customFormat="1" ht="16.5" customHeight="1">
      <c r="A5" s="106" t="s">
        <v>66</v>
      </c>
      <c r="B5" s="37">
        <v>76549</v>
      </c>
      <c r="C5" s="37">
        <v>95442</v>
      </c>
      <c r="D5" s="37">
        <v>131743</v>
      </c>
      <c r="E5" s="37">
        <v>168475</v>
      </c>
      <c r="F5" s="37">
        <v>211045</v>
      </c>
      <c r="G5" s="37">
        <v>210654</v>
      </c>
      <c r="H5" s="37">
        <v>198000</v>
      </c>
      <c r="I5" s="37">
        <v>196874</v>
      </c>
      <c r="J5" s="37">
        <v>185650</v>
      </c>
      <c r="K5" s="37">
        <v>177120</v>
      </c>
      <c r="L5" s="37">
        <v>172935</v>
      </c>
      <c r="M5" s="37">
        <v>188089</v>
      </c>
      <c r="N5" s="37">
        <v>191129</v>
      </c>
      <c r="O5" s="37">
        <v>192414</v>
      </c>
      <c r="P5" s="37">
        <v>204710</v>
      </c>
      <c r="Q5" s="26">
        <v>219464</v>
      </c>
      <c r="R5" s="26">
        <v>217533</v>
      </c>
      <c r="S5" s="26">
        <v>211446</v>
      </c>
      <c r="T5" s="26">
        <v>211244</v>
      </c>
      <c r="U5" s="26">
        <v>209708</v>
      </c>
      <c r="V5" s="26">
        <v>219426</v>
      </c>
      <c r="W5" s="26">
        <v>224352</v>
      </c>
      <c r="X5" s="26">
        <v>221943</v>
      </c>
      <c r="Y5" s="26">
        <v>231607</v>
      </c>
      <c r="Z5" s="26">
        <v>228663</v>
      </c>
      <c r="AA5" s="26">
        <v>223877</v>
      </c>
      <c r="AB5" s="26">
        <v>223370</v>
      </c>
      <c r="AC5" s="26">
        <v>220453.22868848289</v>
      </c>
      <c r="AD5" s="26">
        <v>209033.99999999994</v>
      </c>
      <c r="AE5" s="26">
        <v>199927</v>
      </c>
      <c r="AF5" s="26">
        <v>204408</v>
      </c>
      <c r="AG5" s="26">
        <v>210031</v>
      </c>
      <c r="AH5" s="26">
        <v>211794</v>
      </c>
      <c r="AI5" s="26">
        <v>211757</v>
      </c>
      <c r="AJ5" s="26">
        <v>211749</v>
      </c>
      <c r="AK5" s="26">
        <v>210981</v>
      </c>
      <c r="AL5" s="26">
        <v>204140</v>
      </c>
      <c r="AM5" s="26">
        <v>209194</v>
      </c>
      <c r="AN5" s="26">
        <v>209540</v>
      </c>
      <c r="AO5" s="26">
        <v>214222</v>
      </c>
      <c r="AP5" s="26">
        <v>214940</v>
      </c>
    </row>
    <row r="6" spans="1:42" s="8" customFormat="1" ht="16.5" customHeight="1">
      <c r="A6" s="25" t="s">
        <v>65</v>
      </c>
      <c r="B6" s="38">
        <v>73857768</v>
      </c>
      <c r="C6" s="38">
        <v>90357667</v>
      </c>
      <c r="D6" s="38">
        <v>111242295</v>
      </c>
      <c r="E6" s="38">
        <v>137912779</v>
      </c>
      <c r="F6" s="38">
        <v>161490159</v>
      </c>
      <c r="G6" s="38">
        <v>177133282</v>
      </c>
      <c r="H6" s="38">
        <v>193057376</v>
      </c>
      <c r="I6" s="38">
        <v>192313834</v>
      </c>
      <c r="J6" s="38">
        <v>194427346</v>
      </c>
      <c r="K6" s="38">
        <v>198041338</v>
      </c>
      <c r="L6" s="38">
        <v>201801918</v>
      </c>
      <c r="M6" s="38">
        <v>205427212</v>
      </c>
      <c r="N6" s="38">
        <v>210441248.708</v>
      </c>
      <c r="O6" s="38">
        <v>211580033</v>
      </c>
      <c r="P6" s="38">
        <v>215496003</v>
      </c>
      <c r="Q6" s="28">
        <v>220461056</v>
      </c>
      <c r="R6" s="28">
        <v>225821241</v>
      </c>
      <c r="S6" s="28">
        <v>235331382</v>
      </c>
      <c r="T6" s="28">
        <v>234624135</v>
      </c>
      <c r="U6" s="28">
        <v>236760033</v>
      </c>
      <c r="V6" s="28">
        <v>243010549</v>
      </c>
      <c r="W6" s="28">
        <v>247421120</v>
      </c>
      <c r="X6" s="28">
        <v>250844644</v>
      </c>
      <c r="Y6" s="28">
        <v>254403081</v>
      </c>
      <c r="Z6" s="28">
        <v>255917664</v>
      </c>
      <c r="AA6" s="28">
        <v>254212611</v>
      </c>
      <c r="AB6" s="28">
        <v>250070048</v>
      </c>
      <c r="AC6" s="28">
        <v>253215681</v>
      </c>
      <c r="AD6" s="28">
        <v>253639386</v>
      </c>
      <c r="AE6" s="28">
        <v>255876822</v>
      </c>
      <c r="AF6" s="28">
        <v>260350938</v>
      </c>
      <c r="AG6" s="28">
        <v>263610219</v>
      </c>
      <c r="AH6" s="28">
        <v>268799083</v>
      </c>
      <c r="AI6" s="28">
        <v>272480899</v>
      </c>
      <c r="AJ6" s="28">
        <v>273602100</v>
      </c>
      <c r="AK6" s="28">
        <v>276491174</v>
      </c>
      <c r="AL6" s="28">
        <v>275936367</v>
      </c>
      <c r="AM6" s="28">
        <v>281185492</v>
      </c>
      <c r="AN6" s="28">
        <v>282174766</v>
      </c>
      <c r="AO6" s="28">
        <v>284614269</v>
      </c>
      <c r="AP6" s="28">
        <v>297525836</v>
      </c>
    </row>
    <row r="7" spans="1:42" s="10" customFormat="1" ht="16.5" customHeight="1">
      <c r="A7" s="106" t="s">
        <v>250</v>
      </c>
      <c r="B7" s="37">
        <v>61671390</v>
      </c>
      <c r="C7" s="37">
        <v>75257588</v>
      </c>
      <c r="D7" s="37">
        <v>92067655</v>
      </c>
      <c r="E7" s="37">
        <v>111670004</v>
      </c>
      <c r="F7" s="37">
        <v>127294783</v>
      </c>
      <c r="G7" s="37">
        <v>133329597</v>
      </c>
      <c r="H7" s="37">
        <v>137959958</v>
      </c>
      <c r="I7" s="37">
        <v>132476966</v>
      </c>
      <c r="J7" s="37">
        <v>130646266</v>
      </c>
      <c r="K7" s="37">
        <v>131305045</v>
      </c>
      <c r="L7" s="37">
        <v>133929661</v>
      </c>
      <c r="M7" s="37">
        <v>128386775</v>
      </c>
      <c r="N7" s="37">
        <v>129728341</v>
      </c>
      <c r="O7" s="37">
        <v>129748704</v>
      </c>
      <c r="P7" s="37">
        <v>131838538</v>
      </c>
      <c r="Q7" s="26">
        <v>132432044</v>
      </c>
      <c r="R7" s="26">
        <v>133621420</v>
      </c>
      <c r="S7" s="26">
        <v>137633467</v>
      </c>
      <c r="T7" s="26">
        <v>135920677</v>
      </c>
      <c r="U7" s="26">
        <v>135669897</v>
      </c>
      <c r="V7" s="26">
        <v>136430651</v>
      </c>
      <c r="W7" s="26">
        <v>136568083</v>
      </c>
      <c r="X7" s="26">
        <v>135399945</v>
      </c>
      <c r="Y7" s="26">
        <v>196491176</v>
      </c>
      <c r="Z7" s="26">
        <v>196762927</v>
      </c>
      <c r="AA7" s="26">
        <v>193979654</v>
      </c>
      <c r="AB7" s="26">
        <v>190202782</v>
      </c>
      <c r="AC7" s="26">
        <v>183522635</v>
      </c>
      <c r="AD7" s="26">
        <v>183171882</v>
      </c>
      <c r="AE7" s="26">
        <v>184497490</v>
      </c>
      <c r="AF7" s="26">
        <v>187554928</v>
      </c>
      <c r="AG7" s="26">
        <v>189618308</v>
      </c>
      <c r="AH7" s="26">
        <v>192774508</v>
      </c>
      <c r="AI7" s="26">
        <v>193672370</v>
      </c>
      <c r="AJ7" s="26">
        <v>192856211</v>
      </c>
      <c r="AK7" s="26">
        <v>194348815</v>
      </c>
      <c r="AL7" s="26">
        <v>194788825</v>
      </c>
      <c r="AM7" s="26">
        <v>196611629</v>
      </c>
      <c r="AN7" s="26">
        <v>196467427</v>
      </c>
      <c r="AO7" s="26">
        <v>197134299</v>
      </c>
      <c r="AP7" s="26">
        <v>205550881</v>
      </c>
    </row>
    <row r="8" spans="1:42" s="10" customFormat="1" ht="16.5" customHeight="1">
      <c r="A8" s="106" t="s">
        <v>251</v>
      </c>
      <c r="B8" s="37" t="s">
        <v>51</v>
      </c>
      <c r="C8" s="37" t="s">
        <v>51</v>
      </c>
      <c r="D8" s="37" t="s">
        <v>51</v>
      </c>
      <c r="E8" s="37" t="s">
        <v>51</v>
      </c>
      <c r="F8" s="37" t="s">
        <v>51</v>
      </c>
      <c r="G8" s="37" t="s">
        <v>51</v>
      </c>
      <c r="H8" s="37" t="s">
        <v>51</v>
      </c>
      <c r="I8" s="37" t="s">
        <v>51</v>
      </c>
      <c r="J8" s="37" t="s">
        <v>51</v>
      </c>
      <c r="K8" s="37" t="s">
        <v>51</v>
      </c>
      <c r="L8" s="37">
        <v>3756553</v>
      </c>
      <c r="M8" s="37">
        <v>3897191</v>
      </c>
      <c r="N8" s="37">
        <v>3871599</v>
      </c>
      <c r="O8" s="37">
        <v>3826373</v>
      </c>
      <c r="P8" s="37">
        <v>3879450</v>
      </c>
      <c r="Q8" s="26">
        <v>4152433</v>
      </c>
      <c r="R8" s="26">
        <v>4346068</v>
      </c>
      <c r="S8" s="26">
        <v>4903056</v>
      </c>
      <c r="T8" s="26">
        <v>5004156</v>
      </c>
      <c r="U8" s="26">
        <v>5370035</v>
      </c>
      <c r="V8" s="26">
        <v>5767934</v>
      </c>
      <c r="W8" s="26">
        <v>6227146</v>
      </c>
      <c r="X8" s="26">
        <v>6678958</v>
      </c>
      <c r="Y8" s="26">
        <v>7138476</v>
      </c>
      <c r="Z8" s="26">
        <v>7752926</v>
      </c>
      <c r="AA8" s="26">
        <v>7929724</v>
      </c>
      <c r="AB8" s="26">
        <v>8009503</v>
      </c>
      <c r="AC8" s="26">
        <v>8437502</v>
      </c>
      <c r="AD8" s="26">
        <v>8454939</v>
      </c>
      <c r="AE8" s="26">
        <v>8404687</v>
      </c>
      <c r="AF8" s="26">
        <v>8417718</v>
      </c>
      <c r="AG8" s="26">
        <v>8600936</v>
      </c>
      <c r="AH8" s="26">
        <v>8679380</v>
      </c>
      <c r="AI8" s="26">
        <v>8715204</v>
      </c>
      <c r="AJ8" s="26">
        <v>8666185</v>
      </c>
      <c r="AK8" s="26">
        <v>8596314</v>
      </c>
      <c r="AL8" s="26">
        <v>8347435</v>
      </c>
      <c r="AM8" s="26">
        <v>9424769</v>
      </c>
      <c r="AN8" s="26">
        <v>9186256</v>
      </c>
      <c r="AO8" s="26">
        <v>9516910</v>
      </c>
      <c r="AP8" s="26">
        <v>9261249</v>
      </c>
    </row>
    <row r="9" spans="1:42" s="10" customFormat="1" ht="16.5" customHeight="1">
      <c r="A9" s="106" t="s">
        <v>64</v>
      </c>
      <c r="B9" s="37" t="s">
        <v>51</v>
      </c>
      <c r="C9" s="37" t="s">
        <v>51</v>
      </c>
      <c r="D9" s="37">
        <v>14210591</v>
      </c>
      <c r="E9" s="37">
        <v>20418250</v>
      </c>
      <c r="F9" s="37">
        <v>27875934</v>
      </c>
      <c r="G9" s="37">
        <v>37213863</v>
      </c>
      <c r="H9" s="37">
        <v>48274555</v>
      </c>
      <c r="I9" s="37">
        <v>53033443</v>
      </c>
      <c r="J9" s="37">
        <v>57091143</v>
      </c>
      <c r="K9" s="37">
        <v>59993706</v>
      </c>
      <c r="L9" s="37">
        <v>57141967</v>
      </c>
      <c r="M9" s="37">
        <v>65738322</v>
      </c>
      <c r="N9" s="37">
        <v>69133912.708000004</v>
      </c>
      <c r="O9" s="37">
        <v>70224082</v>
      </c>
      <c r="P9" s="37">
        <v>71330205</v>
      </c>
      <c r="Q9" s="26">
        <v>75356376</v>
      </c>
      <c r="R9" s="26">
        <v>79084979</v>
      </c>
      <c r="S9" s="26">
        <v>84187636</v>
      </c>
      <c r="T9" s="26">
        <v>85011305</v>
      </c>
      <c r="U9" s="26">
        <v>87186663</v>
      </c>
      <c r="V9" s="26">
        <v>91845327</v>
      </c>
      <c r="W9" s="26">
        <v>95336839</v>
      </c>
      <c r="X9" s="26">
        <v>99124775</v>
      </c>
      <c r="Y9" s="26">
        <v>39186974</v>
      </c>
      <c r="Z9" s="26">
        <v>39685228</v>
      </c>
      <c r="AA9" s="26">
        <v>40488025</v>
      </c>
      <c r="AB9" s="26">
        <v>40241658</v>
      </c>
      <c r="AC9" s="26">
        <v>50318787</v>
      </c>
      <c r="AD9" s="26">
        <v>50588676</v>
      </c>
      <c r="AE9" s="26">
        <v>51512740</v>
      </c>
      <c r="AF9" s="26">
        <v>52600309</v>
      </c>
      <c r="AG9" s="26">
        <v>53298884</v>
      </c>
      <c r="AH9" s="26">
        <v>54870473</v>
      </c>
      <c r="AI9" s="26">
        <v>56880878</v>
      </c>
      <c r="AJ9" s="26">
        <v>57853642</v>
      </c>
      <c r="AK9" s="26">
        <v>59465369</v>
      </c>
      <c r="AL9" s="26">
        <v>58890431</v>
      </c>
      <c r="AM9" s="26">
        <v>60382963</v>
      </c>
      <c r="AN9" s="26">
        <v>61273790</v>
      </c>
      <c r="AO9" s="26">
        <v>62103995</v>
      </c>
      <c r="AP9" s="26">
        <v>65534861</v>
      </c>
    </row>
    <row r="10" spans="1:42" s="10" customFormat="1" ht="16.5" customHeight="1">
      <c r="A10" s="107" t="s">
        <v>291</v>
      </c>
      <c r="B10" s="37" t="s">
        <v>51</v>
      </c>
      <c r="C10" s="37">
        <v>13999285</v>
      </c>
      <c r="D10" s="37">
        <v>3681405</v>
      </c>
      <c r="E10" s="37">
        <v>4231622</v>
      </c>
      <c r="F10" s="37">
        <v>4373784</v>
      </c>
      <c r="G10" s="37">
        <v>4593071</v>
      </c>
      <c r="H10" s="37">
        <v>4486981</v>
      </c>
      <c r="I10" s="37">
        <v>4480815</v>
      </c>
      <c r="J10" s="37">
        <v>4369842</v>
      </c>
      <c r="K10" s="37">
        <v>4407850</v>
      </c>
      <c r="L10" s="37">
        <v>4724608</v>
      </c>
      <c r="M10" s="37">
        <v>5023670</v>
      </c>
      <c r="N10" s="37">
        <v>5266029</v>
      </c>
      <c r="O10" s="37">
        <v>5293358</v>
      </c>
      <c r="P10" s="37">
        <v>5734925</v>
      </c>
      <c r="Q10" s="26">
        <v>5762864</v>
      </c>
      <c r="R10" s="26">
        <v>5926030</v>
      </c>
      <c r="S10" s="26">
        <v>5703501</v>
      </c>
      <c r="T10" s="26">
        <v>5650619</v>
      </c>
      <c r="U10" s="26">
        <v>5848523</v>
      </c>
      <c r="V10" s="26">
        <v>6161028</v>
      </c>
      <c r="W10" s="26">
        <v>6395240</v>
      </c>
      <c r="X10" s="26">
        <v>6649337</v>
      </c>
      <c r="Y10" s="26">
        <v>8116672</v>
      </c>
      <c r="Z10" s="26">
        <v>8288046</v>
      </c>
      <c r="AA10" s="26">
        <v>8356097</v>
      </c>
      <c r="AB10" s="26">
        <v>8217189</v>
      </c>
      <c r="AC10" s="26">
        <v>7819055</v>
      </c>
      <c r="AD10" s="26">
        <v>8190286</v>
      </c>
      <c r="AE10" s="26">
        <v>8126007</v>
      </c>
      <c r="AF10" s="26">
        <v>8328759</v>
      </c>
      <c r="AG10" s="26">
        <v>8456302</v>
      </c>
      <c r="AH10" s="26">
        <v>8746518</v>
      </c>
      <c r="AI10" s="26">
        <v>9336998</v>
      </c>
      <c r="AJ10" s="26">
        <v>10327899</v>
      </c>
      <c r="AK10" s="26">
        <v>10160433</v>
      </c>
      <c r="AL10" s="26">
        <v>9908410</v>
      </c>
      <c r="AM10" s="26">
        <v>10687394</v>
      </c>
      <c r="AN10" s="26">
        <v>11049522</v>
      </c>
      <c r="AO10" s="26">
        <v>11567428</v>
      </c>
      <c r="AP10" s="26">
        <v>12599614</v>
      </c>
    </row>
    <row r="11" spans="1:42" s="10" customFormat="1" ht="16.5" customHeight="1">
      <c r="A11" s="106" t="s">
        <v>252</v>
      </c>
      <c r="B11" s="37">
        <v>11914249</v>
      </c>
      <c r="C11" s="37">
        <v>786510</v>
      </c>
      <c r="D11" s="37">
        <v>905082</v>
      </c>
      <c r="E11" s="37">
        <v>1130747</v>
      </c>
      <c r="F11" s="37">
        <v>1416869</v>
      </c>
      <c r="G11" s="37">
        <v>1403266</v>
      </c>
      <c r="H11" s="37">
        <v>1708895</v>
      </c>
      <c r="I11" s="37">
        <v>1691331</v>
      </c>
      <c r="J11" s="37">
        <v>1675363</v>
      </c>
      <c r="K11" s="37">
        <v>1680305</v>
      </c>
      <c r="L11" s="37">
        <v>1578706</v>
      </c>
      <c r="M11" s="37">
        <v>1695751</v>
      </c>
      <c r="N11" s="37">
        <v>1746586</v>
      </c>
      <c r="O11" s="37">
        <v>1789968</v>
      </c>
      <c r="P11" s="37">
        <v>1997345</v>
      </c>
      <c r="Q11" s="26">
        <v>2028562</v>
      </c>
      <c r="R11" s="26">
        <v>2096619</v>
      </c>
      <c r="S11" s="26">
        <v>2154174</v>
      </c>
      <c r="T11" s="26">
        <v>2276661</v>
      </c>
      <c r="U11" s="26">
        <v>1908365</v>
      </c>
      <c r="V11" s="26">
        <v>2010335</v>
      </c>
      <c r="W11" s="26">
        <v>2086759</v>
      </c>
      <c r="X11" s="26">
        <v>2169670</v>
      </c>
      <c r="Y11" s="26">
        <v>2635347</v>
      </c>
      <c r="Z11" s="26">
        <v>2585229</v>
      </c>
      <c r="AA11" s="26">
        <v>2617118</v>
      </c>
      <c r="AB11" s="26">
        <v>2552865</v>
      </c>
      <c r="AC11" s="26">
        <v>2451638</v>
      </c>
      <c r="AD11" s="26">
        <v>2469094</v>
      </c>
      <c r="AE11" s="26">
        <v>2471349</v>
      </c>
      <c r="AF11" s="26">
        <v>2577197</v>
      </c>
      <c r="AG11" s="26">
        <v>2746882</v>
      </c>
      <c r="AH11" s="26">
        <v>2752043</v>
      </c>
      <c r="AI11" s="26">
        <v>2892218</v>
      </c>
      <c r="AJ11" s="26">
        <v>2906011</v>
      </c>
      <c r="AK11" s="26">
        <v>2925210</v>
      </c>
      <c r="AL11" s="26">
        <v>2990962</v>
      </c>
      <c r="AM11" s="26">
        <v>3135181</v>
      </c>
      <c r="AN11" s="26">
        <v>3239716</v>
      </c>
      <c r="AO11" s="26">
        <v>3324112</v>
      </c>
      <c r="AP11" s="26">
        <v>3482896</v>
      </c>
    </row>
    <row r="12" spans="1:42" s="10" customFormat="1" ht="16.5" customHeight="1">
      <c r="A12" s="106" t="s">
        <v>63</v>
      </c>
      <c r="B12" s="37">
        <v>272129</v>
      </c>
      <c r="C12" s="37">
        <v>314284</v>
      </c>
      <c r="D12" s="37">
        <v>377562</v>
      </c>
      <c r="E12" s="37">
        <v>462156</v>
      </c>
      <c r="F12" s="37">
        <v>528789</v>
      </c>
      <c r="G12" s="37">
        <v>593485</v>
      </c>
      <c r="H12" s="37">
        <v>626987</v>
      </c>
      <c r="I12" s="37">
        <v>631279</v>
      </c>
      <c r="J12" s="37">
        <v>644732</v>
      </c>
      <c r="K12" s="37">
        <v>654432</v>
      </c>
      <c r="L12" s="37">
        <v>670423</v>
      </c>
      <c r="M12" s="37">
        <v>685503</v>
      </c>
      <c r="N12" s="37">
        <v>694781</v>
      </c>
      <c r="O12" s="37">
        <v>697548</v>
      </c>
      <c r="P12" s="37">
        <v>715540</v>
      </c>
      <c r="Q12" s="26">
        <v>728777</v>
      </c>
      <c r="R12" s="26">
        <v>746125</v>
      </c>
      <c r="S12" s="26">
        <v>749548</v>
      </c>
      <c r="T12" s="26">
        <v>760717</v>
      </c>
      <c r="U12" s="26">
        <v>776550</v>
      </c>
      <c r="V12" s="26">
        <v>795274</v>
      </c>
      <c r="W12" s="26">
        <v>807053</v>
      </c>
      <c r="X12" s="26">
        <v>821959</v>
      </c>
      <c r="Y12" s="26">
        <v>834436</v>
      </c>
      <c r="Z12" s="26">
        <v>843308</v>
      </c>
      <c r="AA12" s="26">
        <v>841993</v>
      </c>
      <c r="AB12" s="26">
        <v>846051</v>
      </c>
      <c r="AC12" s="26">
        <v>666064</v>
      </c>
      <c r="AD12" s="26">
        <v>764509</v>
      </c>
      <c r="AE12" s="26">
        <v>864549</v>
      </c>
      <c r="AF12" s="26">
        <v>872027</v>
      </c>
      <c r="AG12" s="26">
        <v>888907</v>
      </c>
      <c r="AH12" s="26">
        <v>976161</v>
      </c>
      <c r="AI12" s="26">
        <v>983231</v>
      </c>
      <c r="AJ12" s="26">
        <v>992152</v>
      </c>
      <c r="AK12" s="26">
        <v>995033</v>
      </c>
      <c r="AL12" s="26">
        <v>1010304</v>
      </c>
      <c r="AM12" s="26">
        <v>943556</v>
      </c>
      <c r="AN12" s="26">
        <v>958055</v>
      </c>
      <c r="AO12" s="26">
        <v>967525</v>
      </c>
      <c r="AP12" s="26">
        <v>1096335</v>
      </c>
    </row>
    <row r="13" spans="1:42" s="10" customFormat="1" ht="16.5" customHeight="1">
      <c r="A13" s="29" t="s">
        <v>253</v>
      </c>
      <c r="B13" s="37"/>
      <c r="C13" s="37"/>
      <c r="D13" s="37"/>
      <c r="E13" s="37"/>
      <c r="F13" s="37"/>
      <c r="G13" s="37"/>
      <c r="H13" s="37"/>
      <c r="I13" s="37"/>
      <c r="J13" s="37"/>
      <c r="K13" s="37"/>
      <c r="L13" s="37"/>
      <c r="M13" s="37"/>
      <c r="N13" s="37"/>
      <c r="O13" s="37"/>
      <c r="P13" s="37"/>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row>
    <row r="14" spans="1:42" s="10" customFormat="1" ht="16.5" customHeight="1">
      <c r="A14" s="106" t="s">
        <v>254</v>
      </c>
      <c r="B14" s="37">
        <v>49600</v>
      </c>
      <c r="C14" s="37">
        <v>49600</v>
      </c>
      <c r="D14" s="37">
        <v>49700</v>
      </c>
      <c r="E14" s="37">
        <v>50822</v>
      </c>
      <c r="F14" s="37">
        <v>59411</v>
      </c>
      <c r="G14" s="37">
        <v>64258</v>
      </c>
      <c r="H14" s="37">
        <v>58714</v>
      </c>
      <c r="I14" s="37">
        <v>60377</v>
      </c>
      <c r="J14" s="37">
        <v>63080</v>
      </c>
      <c r="K14" s="37">
        <v>64850</v>
      </c>
      <c r="L14" s="37">
        <v>68123</v>
      </c>
      <c r="M14" s="37">
        <v>67107</v>
      </c>
      <c r="N14" s="37">
        <v>53339</v>
      </c>
      <c r="O14" s="37">
        <v>54946</v>
      </c>
      <c r="P14" s="37">
        <v>55661</v>
      </c>
      <c r="Q14" s="26">
        <v>57352</v>
      </c>
      <c r="R14" s="26">
        <v>58578</v>
      </c>
      <c r="S14" s="26">
        <v>60256</v>
      </c>
      <c r="T14" s="26">
        <v>60719</v>
      </c>
      <c r="U14" s="26">
        <v>61659</v>
      </c>
      <c r="V14" s="26">
        <v>61318</v>
      </c>
      <c r="W14" s="26">
        <v>62284</v>
      </c>
      <c r="X14" s="26">
        <v>64025</v>
      </c>
      <c r="Y14" s="26">
        <v>63359</v>
      </c>
      <c r="Z14" s="26">
        <v>63151</v>
      </c>
      <c r="AA14" s="26">
        <v>63343</v>
      </c>
      <c r="AB14" s="26">
        <v>63108</v>
      </c>
      <c r="AC14" s="26">
        <v>61127</v>
      </c>
      <c r="AD14" s="26">
        <v>61245</v>
      </c>
      <c r="AE14" s="26">
        <v>66823</v>
      </c>
      <c r="AF14" s="26">
        <v>62449</v>
      </c>
      <c r="AG14" s="26">
        <v>63573</v>
      </c>
      <c r="AH14" s="26">
        <v>63270</v>
      </c>
      <c r="AI14" s="26">
        <v>63759</v>
      </c>
      <c r="AJ14" s="26">
        <v>63284</v>
      </c>
      <c r="AK14" s="26">
        <v>64000</v>
      </c>
      <c r="AL14" s="26">
        <v>63903</v>
      </c>
      <c r="AM14" s="26">
        <v>62836</v>
      </c>
      <c r="AN14" s="26">
        <v>62766</v>
      </c>
      <c r="AO14" s="26">
        <v>61131</v>
      </c>
      <c r="AP14" s="26">
        <v>60998</v>
      </c>
    </row>
    <row r="15" spans="1:42" s="10" customFormat="1" ht="16.5" customHeight="1">
      <c r="A15" s="106" t="s">
        <v>255</v>
      </c>
      <c r="B15" s="37">
        <v>2856</v>
      </c>
      <c r="C15" s="37">
        <v>1549</v>
      </c>
      <c r="D15" s="37">
        <v>1262</v>
      </c>
      <c r="E15" s="37">
        <v>1061</v>
      </c>
      <c r="F15" s="37">
        <v>1013</v>
      </c>
      <c r="G15" s="37">
        <v>717</v>
      </c>
      <c r="H15" s="37">
        <v>910</v>
      </c>
      <c r="I15" s="37">
        <v>1092</v>
      </c>
      <c r="J15" s="37">
        <v>1055</v>
      </c>
      <c r="K15" s="37">
        <v>1001</v>
      </c>
      <c r="L15" s="37">
        <v>1051</v>
      </c>
      <c r="M15" s="37">
        <v>1048</v>
      </c>
      <c r="N15" s="37">
        <v>1097</v>
      </c>
      <c r="O15" s="37">
        <v>1062</v>
      </c>
      <c r="P15" s="37">
        <v>1061</v>
      </c>
      <c r="Q15" s="26">
        <v>1160</v>
      </c>
      <c r="R15" s="26">
        <v>1306</v>
      </c>
      <c r="S15" s="26">
        <v>1359</v>
      </c>
      <c r="T15" s="26">
        <v>1448</v>
      </c>
      <c r="U15" s="26">
        <v>1482</v>
      </c>
      <c r="V15" s="26">
        <v>1622</v>
      </c>
      <c r="W15" s="26">
        <v>1645</v>
      </c>
      <c r="X15" s="26">
        <v>1801</v>
      </c>
      <c r="Y15" s="26">
        <v>1802</v>
      </c>
      <c r="Z15" s="26">
        <v>1948</v>
      </c>
      <c r="AA15" s="26">
        <v>2059</v>
      </c>
      <c r="AB15" s="26">
        <v>2096</v>
      </c>
      <c r="AC15" s="26">
        <v>2284</v>
      </c>
      <c r="AD15" s="26">
        <v>2348</v>
      </c>
      <c r="AE15" s="26">
        <v>2842</v>
      </c>
      <c r="AF15" s="26">
        <v>2444</v>
      </c>
      <c r="AG15" s="26">
        <v>2478</v>
      </c>
      <c r="AH15" s="26">
        <v>2553</v>
      </c>
      <c r="AI15" s="26">
        <v>2557</v>
      </c>
      <c r="AJ15" s="26">
        <v>2729</v>
      </c>
      <c r="AK15" s="26">
        <v>2811</v>
      </c>
      <c r="AL15" s="26">
        <v>2799</v>
      </c>
      <c r="AM15" s="26">
        <v>2859</v>
      </c>
      <c r="AN15" s="26">
        <v>2892</v>
      </c>
      <c r="AO15" s="26">
        <v>2964</v>
      </c>
      <c r="AP15" s="26">
        <v>3009</v>
      </c>
    </row>
    <row r="16" spans="1:42" s="10" customFormat="1" ht="16.5" customHeight="1">
      <c r="A16" s="108" t="s">
        <v>62</v>
      </c>
      <c r="B16" s="37">
        <v>9010</v>
      </c>
      <c r="C16" s="37">
        <v>9115</v>
      </c>
      <c r="D16" s="37">
        <v>9338</v>
      </c>
      <c r="E16" s="37">
        <v>9608</v>
      </c>
      <c r="F16" s="37">
        <v>9641</v>
      </c>
      <c r="G16" s="37">
        <v>9326</v>
      </c>
      <c r="H16" s="37">
        <v>10567</v>
      </c>
      <c r="I16" s="37">
        <v>10478</v>
      </c>
      <c r="J16" s="37">
        <v>10391</v>
      </c>
      <c r="K16" s="37">
        <v>10282</v>
      </c>
      <c r="L16" s="37">
        <v>10282</v>
      </c>
      <c r="M16" s="37">
        <v>10166</v>
      </c>
      <c r="N16" s="37">
        <v>10243</v>
      </c>
      <c r="O16" s="37">
        <v>10228</v>
      </c>
      <c r="P16" s="37">
        <v>10296</v>
      </c>
      <c r="Q16" s="26">
        <v>10362</v>
      </c>
      <c r="R16" s="26">
        <v>10311</v>
      </c>
      <c r="S16" s="26">
        <v>10718</v>
      </c>
      <c r="T16" s="26">
        <v>10849</v>
      </c>
      <c r="U16" s="26">
        <v>10754</v>
      </c>
      <c r="V16" s="26">
        <v>10858</v>
      </c>
      <c r="W16" s="26">
        <v>11110</v>
      </c>
      <c r="X16" s="26">
        <v>11052</v>
      </c>
      <c r="Y16" s="26">
        <v>11222</v>
      </c>
      <c r="Z16" s="26">
        <v>11377</v>
      </c>
      <c r="AA16" s="26">
        <v>11461</v>
      </c>
      <c r="AB16" s="26">
        <v>11510</v>
      </c>
      <c r="AC16" s="26">
        <v>14942</v>
      </c>
      <c r="AD16" s="26">
        <v>10469</v>
      </c>
      <c r="AE16" s="26">
        <v>10380</v>
      </c>
      <c r="AF16" s="26">
        <v>10551</v>
      </c>
      <c r="AG16" s="26">
        <v>10737</v>
      </c>
      <c r="AH16" s="26">
        <v>10775</v>
      </c>
      <c r="AI16" s="26">
        <v>10705</v>
      </c>
      <c r="AJ16" s="26">
        <v>10763</v>
      </c>
      <c r="AK16" s="26">
        <v>11198</v>
      </c>
      <c r="AL16" s="26">
        <v>11064</v>
      </c>
      <c r="AM16" s="26">
        <v>10942</v>
      </c>
      <c r="AN16" s="26">
        <v>10880</v>
      </c>
      <c r="AO16" s="26">
        <v>11069</v>
      </c>
      <c r="AP16" s="26">
        <v>11076</v>
      </c>
    </row>
    <row r="17" spans="1:44" s="10" customFormat="1" ht="16.5" customHeight="1">
      <c r="A17" s="106" t="s">
        <v>61</v>
      </c>
      <c r="B17" s="37">
        <v>3826</v>
      </c>
      <c r="C17" s="37">
        <v>1453</v>
      </c>
      <c r="D17" s="37">
        <v>1050</v>
      </c>
      <c r="E17" s="37">
        <v>703</v>
      </c>
      <c r="F17" s="37">
        <v>823</v>
      </c>
      <c r="G17" s="37">
        <v>676</v>
      </c>
      <c r="H17" s="37">
        <v>610</v>
      </c>
      <c r="I17" s="37">
        <v>551</v>
      </c>
      <c r="J17" s="37">
        <v>665</v>
      </c>
      <c r="K17" s="37">
        <v>635</v>
      </c>
      <c r="L17" s="37">
        <v>643</v>
      </c>
      <c r="M17" s="37">
        <v>695</v>
      </c>
      <c r="N17" s="37">
        <v>675</v>
      </c>
      <c r="O17" s="37">
        <v>655</v>
      </c>
      <c r="P17" s="37">
        <v>646</v>
      </c>
      <c r="Q17" s="26">
        <v>657</v>
      </c>
      <c r="R17" s="26">
        <v>652</v>
      </c>
      <c r="S17" s="26">
        <v>600</v>
      </c>
      <c r="T17" s="26">
        <v>616</v>
      </c>
      <c r="U17" s="26">
        <v>672</v>
      </c>
      <c r="V17" s="26">
        <v>597</v>
      </c>
      <c r="W17" s="26">
        <v>615</v>
      </c>
      <c r="X17" s="26">
        <v>609</v>
      </c>
      <c r="Y17" s="26">
        <v>559</v>
      </c>
      <c r="Z17" s="26">
        <v>590</v>
      </c>
      <c r="AA17" s="26">
        <v>531</v>
      </c>
      <c r="AB17" s="26">
        <v>571</v>
      </c>
      <c r="AC17" s="26">
        <v>479</v>
      </c>
      <c r="AD17" s="26">
        <v>570</v>
      </c>
      <c r="AE17" s="26">
        <v>560</v>
      </c>
      <c r="AF17" s="26">
        <v>537</v>
      </c>
      <c r="AG17" s="26">
        <v>611</v>
      </c>
      <c r="AH17" s="26">
        <v>601</v>
      </c>
      <c r="AI17" s="26">
        <v>539</v>
      </c>
      <c r="AJ17" s="26">
        <v>571</v>
      </c>
      <c r="AK17" s="26">
        <v>572</v>
      </c>
      <c r="AL17" s="26">
        <v>633</v>
      </c>
      <c r="AM17" s="26">
        <v>563</v>
      </c>
      <c r="AN17" s="26">
        <v>563</v>
      </c>
      <c r="AO17" s="26">
        <v>535</v>
      </c>
      <c r="AP17" s="26">
        <v>535</v>
      </c>
    </row>
    <row r="18" spans="1:44" s="10" customFormat="1" ht="16.5" customHeight="1">
      <c r="A18" s="106" t="s">
        <v>60</v>
      </c>
      <c r="B18" s="37" t="s">
        <v>292</v>
      </c>
      <c r="C18" s="37" t="s">
        <v>292</v>
      </c>
      <c r="D18" s="37" t="s">
        <v>292</v>
      </c>
      <c r="E18" s="37" t="s">
        <v>292</v>
      </c>
      <c r="F18" s="37">
        <v>4500</v>
      </c>
      <c r="G18" s="37">
        <v>4035</v>
      </c>
      <c r="H18" s="37">
        <v>4982</v>
      </c>
      <c r="I18" s="37">
        <v>5126</v>
      </c>
      <c r="J18" s="37">
        <v>5164</v>
      </c>
      <c r="K18" s="37">
        <v>4982</v>
      </c>
      <c r="L18" s="37">
        <v>5126</v>
      </c>
      <c r="M18" s="37">
        <v>5164</v>
      </c>
      <c r="N18" s="37">
        <v>5239</v>
      </c>
      <c r="O18" s="37">
        <v>5425</v>
      </c>
      <c r="P18" s="37">
        <v>5535</v>
      </c>
      <c r="Q18" s="27">
        <v>5549</v>
      </c>
      <c r="R18" s="27">
        <v>5497</v>
      </c>
      <c r="S18" s="27">
        <v>5528</v>
      </c>
      <c r="T18" s="27">
        <v>5631</v>
      </c>
      <c r="U18" s="27">
        <v>5866</v>
      </c>
      <c r="V18" s="27">
        <v>6130</v>
      </c>
      <c r="W18" s="27">
        <v>6290</v>
      </c>
      <c r="X18" s="27">
        <v>6300</v>
      </c>
      <c r="Y18" s="27">
        <v>6279</v>
      </c>
      <c r="Z18" s="27">
        <v>6494</v>
      </c>
      <c r="AA18" s="27">
        <v>6722</v>
      </c>
      <c r="AB18" s="27">
        <v>6768</v>
      </c>
      <c r="AC18" s="27">
        <v>6971</v>
      </c>
      <c r="AD18" s="27">
        <v>6938</v>
      </c>
      <c r="AE18" s="27">
        <v>7150</v>
      </c>
      <c r="AF18" s="27">
        <v>7177</v>
      </c>
      <c r="AG18" s="27">
        <v>7151</v>
      </c>
      <c r="AH18" s="27">
        <v>7190</v>
      </c>
      <c r="AI18" s="27">
        <v>7129</v>
      </c>
      <c r="AJ18" s="27">
        <v>7023</v>
      </c>
      <c r="AK18" s="27">
        <v>7144</v>
      </c>
      <c r="AL18" s="27">
        <v>7524</v>
      </c>
      <c r="AM18" s="27">
        <v>7545</v>
      </c>
      <c r="AN18" s="27">
        <v>7645</v>
      </c>
      <c r="AO18" s="27">
        <v>7603</v>
      </c>
      <c r="AP18" s="26">
        <v>7643</v>
      </c>
    </row>
    <row r="19" spans="1:44" s="10" customFormat="1" ht="16.5" customHeight="1">
      <c r="A19" s="106" t="s">
        <v>59</v>
      </c>
      <c r="B19" s="37" t="s">
        <v>292</v>
      </c>
      <c r="C19" s="37" t="s">
        <v>292</v>
      </c>
      <c r="D19" s="37" t="s">
        <v>292</v>
      </c>
      <c r="E19" s="37" t="s">
        <v>292</v>
      </c>
      <c r="F19" s="37" t="s">
        <v>292</v>
      </c>
      <c r="G19" s="37">
        <v>14490</v>
      </c>
      <c r="H19" s="37">
        <v>16471</v>
      </c>
      <c r="I19" s="37">
        <v>17879</v>
      </c>
      <c r="J19" s="37">
        <v>20695</v>
      </c>
      <c r="K19" s="37">
        <v>23527</v>
      </c>
      <c r="L19" s="37">
        <v>28729</v>
      </c>
      <c r="M19" s="37">
        <v>29352</v>
      </c>
      <c r="N19" s="37">
        <v>17738</v>
      </c>
      <c r="O19" s="37">
        <v>19820</v>
      </c>
      <c r="P19" s="37">
        <v>20042</v>
      </c>
      <c r="Q19" s="27">
        <v>20761</v>
      </c>
      <c r="R19" s="27">
        <v>22087</v>
      </c>
      <c r="S19" s="27">
        <v>24668</v>
      </c>
      <c r="T19" s="27">
        <v>24808</v>
      </c>
      <c r="U19" s="27">
        <v>25873</v>
      </c>
      <c r="V19" s="27">
        <v>26333</v>
      </c>
      <c r="W19" s="27">
        <v>28346</v>
      </c>
      <c r="X19" s="27">
        <v>29406</v>
      </c>
      <c r="Y19" s="27">
        <v>29433</v>
      </c>
      <c r="Z19" s="27">
        <v>30773</v>
      </c>
      <c r="AA19" s="27">
        <v>34266</v>
      </c>
      <c r="AB19" s="27">
        <v>32696</v>
      </c>
      <c r="AC19" s="27">
        <v>31846</v>
      </c>
      <c r="AD19" s="27">
        <v>31929</v>
      </c>
      <c r="AE19" s="27">
        <v>31433</v>
      </c>
      <c r="AF19" s="27">
        <v>31359</v>
      </c>
      <c r="AG19" s="27">
        <v>32490</v>
      </c>
      <c r="AH19" s="27">
        <v>33225</v>
      </c>
      <c r="AI19" s="27">
        <v>33012</v>
      </c>
      <c r="AJ19" s="27">
        <v>33253</v>
      </c>
      <c r="AK19" s="27">
        <v>34613</v>
      </c>
      <c r="AL19" s="27">
        <v>34633</v>
      </c>
      <c r="AM19" s="27">
        <v>31553</v>
      </c>
      <c r="AN19" s="27">
        <v>31777</v>
      </c>
      <c r="AO19" s="27">
        <v>32423</v>
      </c>
      <c r="AP19" s="26">
        <v>34458</v>
      </c>
    </row>
    <row r="20" spans="1:44" s="10" customFormat="1" ht="16.5" customHeight="1">
      <c r="A20" s="106" t="s">
        <v>256</v>
      </c>
      <c r="B20" s="37" t="s">
        <v>292</v>
      </c>
      <c r="C20" s="37" t="s">
        <v>292</v>
      </c>
      <c r="D20" s="37" t="s">
        <v>292</v>
      </c>
      <c r="E20" s="37" t="s">
        <v>292</v>
      </c>
      <c r="F20" s="37" t="s">
        <v>292</v>
      </c>
      <c r="G20" s="37">
        <v>867</v>
      </c>
      <c r="H20" s="37">
        <v>1176</v>
      </c>
      <c r="I20" s="37">
        <v>1568</v>
      </c>
      <c r="J20" s="37">
        <v>1821</v>
      </c>
      <c r="K20" s="37">
        <v>2268</v>
      </c>
      <c r="L20" s="37">
        <v>2462</v>
      </c>
      <c r="M20" s="37">
        <v>2809</v>
      </c>
      <c r="N20" s="37">
        <v>5344</v>
      </c>
      <c r="O20" s="37">
        <v>6245</v>
      </c>
      <c r="P20" s="37">
        <v>7105</v>
      </c>
      <c r="Q20" s="27">
        <v>7467</v>
      </c>
      <c r="R20" s="27">
        <v>7705</v>
      </c>
      <c r="S20" s="27">
        <v>8137</v>
      </c>
      <c r="T20" s="27">
        <v>8033</v>
      </c>
      <c r="U20" s="27">
        <v>8626</v>
      </c>
      <c r="V20" s="27">
        <v>10544</v>
      </c>
      <c r="W20" s="27">
        <v>11622</v>
      </c>
      <c r="X20" s="27">
        <v>12454</v>
      </c>
      <c r="Y20" s="27">
        <v>12953</v>
      </c>
      <c r="Z20" s="27">
        <v>14953</v>
      </c>
      <c r="AA20" s="27">
        <v>17766</v>
      </c>
      <c r="AB20" s="27">
        <v>18066</v>
      </c>
      <c r="AC20" s="27">
        <v>18965</v>
      </c>
      <c r="AD20" s="27">
        <v>16996</v>
      </c>
      <c r="AE20" s="27">
        <v>17793</v>
      </c>
      <c r="AF20" s="27">
        <v>17994</v>
      </c>
      <c r="AG20" s="27">
        <v>18601</v>
      </c>
      <c r="AH20" s="27">
        <v>17042</v>
      </c>
      <c r="AI20" s="27">
        <v>18104</v>
      </c>
      <c r="AJ20" s="27">
        <v>17803</v>
      </c>
      <c r="AK20" s="27">
        <v>17491</v>
      </c>
      <c r="AL20" s="27">
        <v>17511</v>
      </c>
      <c r="AM20" s="27">
        <v>13748</v>
      </c>
      <c r="AN20" s="27">
        <v>13451</v>
      </c>
      <c r="AO20" s="27">
        <v>14245</v>
      </c>
      <c r="AP20" s="26">
        <v>14147</v>
      </c>
    </row>
    <row r="21" spans="1:44" s="10" customFormat="1" ht="16.5" customHeight="1">
      <c r="A21" s="25" t="s">
        <v>58</v>
      </c>
      <c r="B21" s="37"/>
      <c r="C21" s="37"/>
      <c r="D21" s="37"/>
      <c r="E21" s="37"/>
      <c r="F21" s="37"/>
      <c r="G21" s="37"/>
      <c r="H21" s="37"/>
      <c r="I21" s="37"/>
      <c r="J21" s="37"/>
      <c r="K21" s="37"/>
      <c r="L21" s="37"/>
      <c r="M21" s="37"/>
      <c r="N21" s="37"/>
      <c r="O21" s="37"/>
      <c r="P21" s="37"/>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row>
    <row r="22" spans="1:44" s="10" customFormat="1" ht="16.5" customHeight="1">
      <c r="A22" s="106" t="s">
        <v>57</v>
      </c>
      <c r="B22" s="37">
        <v>1658292</v>
      </c>
      <c r="C22" s="37">
        <v>1478005</v>
      </c>
      <c r="D22" s="37">
        <v>1423921</v>
      </c>
      <c r="E22" s="37">
        <v>1359459</v>
      </c>
      <c r="F22" s="37">
        <v>1168114</v>
      </c>
      <c r="G22" s="37">
        <v>867070</v>
      </c>
      <c r="H22" s="37">
        <v>658902</v>
      </c>
      <c r="I22" s="37">
        <v>633489</v>
      </c>
      <c r="J22" s="37">
        <v>605189</v>
      </c>
      <c r="K22" s="37">
        <v>587033</v>
      </c>
      <c r="L22" s="37">
        <v>590930</v>
      </c>
      <c r="M22" s="37">
        <v>583486</v>
      </c>
      <c r="N22" s="37">
        <v>570865</v>
      </c>
      <c r="O22" s="37">
        <v>568493</v>
      </c>
      <c r="P22" s="37">
        <v>575604</v>
      </c>
      <c r="Q22" s="26">
        <v>579140</v>
      </c>
      <c r="R22" s="26">
        <v>560154</v>
      </c>
      <c r="S22" s="26">
        <v>499860</v>
      </c>
      <c r="T22" s="26">
        <v>477751</v>
      </c>
      <c r="U22" s="26">
        <v>467063</v>
      </c>
      <c r="V22" s="26">
        <v>473773</v>
      </c>
      <c r="W22" s="26">
        <v>474839</v>
      </c>
      <c r="X22" s="26">
        <v>475415</v>
      </c>
      <c r="Y22" s="26">
        <v>460172</v>
      </c>
      <c r="Z22" s="26">
        <v>450297</v>
      </c>
      <c r="AA22" s="26">
        <v>416180</v>
      </c>
      <c r="AB22" s="26">
        <v>397730</v>
      </c>
      <c r="AC22" s="26">
        <v>380699</v>
      </c>
      <c r="AD22" s="26">
        <v>380641</v>
      </c>
      <c r="AE22" s="26">
        <v>373838</v>
      </c>
      <c r="AF22" s="26">
        <v>371642</v>
      </c>
      <c r="AG22" s="26">
        <v>330996</v>
      </c>
      <c r="AH22" s="26">
        <v>315227</v>
      </c>
      <c r="AI22" s="26">
        <v>306268</v>
      </c>
      <c r="AJ22" s="26">
        <v>293742</v>
      </c>
      <c r="AK22" s="26">
        <v>270378</v>
      </c>
      <c r="AL22" s="26">
        <v>252400</v>
      </c>
      <c r="AM22" s="26">
        <v>243087</v>
      </c>
      <c r="AN22" s="26">
        <v>251997</v>
      </c>
      <c r="AO22" s="26">
        <v>258001</v>
      </c>
      <c r="AP22" s="26">
        <f>AO22</f>
        <v>258001</v>
      </c>
    </row>
    <row r="23" spans="1:44" s="10" customFormat="1" ht="16.5" customHeight="1">
      <c r="A23" s="106" t="s">
        <v>34</v>
      </c>
      <c r="B23" s="37">
        <v>29031</v>
      </c>
      <c r="C23" s="37">
        <v>27780</v>
      </c>
      <c r="D23" s="37">
        <v>27077</v>
      </c>
      <c r="E23" s="37">
        <v>27846</v>
      </c>
      <c r="F23" s="37">
        <v>28094</v>
      </c>
      <c r="G23" s="37">
        <v>22548</v>
      </c>
      <c r="H23" s="37">
        <v>18835</v>
      </c>
      <c r="I23" s="37">
        <v>18344</v>
      </c>
      <c r="J23" s="37">
        <v>18004</v>
      </c>
      <c r="K23" s="37">
        <v>18161</v>
      </c>
      <c r="L23" s="37">
        <v>18505</v>
      </c>
      <c r="M23" s="37">
        <v>18812</v>
      </c>
      <c r="N23" s="37">
        <v>19269</v>
      </c>
      <c r="O23" s="37">
        <v>19684</v>
      </c>
      <c r="P23" s="37">
        <v>20261</v>
      </c>
      <c r="Q23" s="26">
        <v>20256</v>
      </c>
      <c r="R23" s="26">
        <v>20028</v>
      </c>
      <c r="S23" s="26">
        <v>19745</v>
      </c>
      <c r="T23" s="26">
        <v>20506</v>
      </c>
      <c r="U23" s="26">
        <v>20774</v>
      </c>
      <c r="V23" s="26">
        <v>22015</v>
      </c>
      <c r="W23" s="26">
        <v>22779</v>
      </c>
      <c r="X23" s="26">
        <v>23732</v>
      </c>
      <c r="Y23" s="26">
        <v>24143</v>
      </c>
      <c r="Z23" s="26">
        <v>24003</v>
      </c>
      <c r="AA23" s="26">
        <v>24045</v>
      </c>
      <c r="AB23" s="26">
        <v>23893</v>
      </c>
      <c r="AC23" s="26">
        <v>24250</v>
      </c>
      <c r="AD23" s="26">
        <v>24707</v>
      </c>
      <c r="AE23" s="26">
        <v>25033</v>
      </c>
      <c r="AF23" s="26">
        <v>25916</v>
      </c>
      <c r="AG23" s="26">
        <v>26574</v>
      </c>
      <c r="AH23" s="26">
        <v>26716</v>
      </c>
      <c r="AI23" s="26">
        <v>26547</v>
      </c>
      <c r="AJ23" s="26">
        <v>26086</v>
      </c>
      <c r="AK23" s="26">
        <v>24597</v>
      </c>
      <c r="AL23" s="26">
        <v>23544</v>
      </c>
      <c r="AM23" s="26">
        <v>23264</v>
      </c>
      <c r="AN23" s="26">
        <v>23184</v>
      </c>
      <c r="AO23" s="26">
        <v>23156</v>
      </c>
      <c r="AP23" s="26">
        <f>INDEX('NTS 1-32'!$B$6:$K$6,MATCH(AP$2,'NTS 1-32'!$B$5:$K$5,0))</f>
        <v>22234</v>
      </c>
      <c r="AR23" s="10" t="s">
        <v>3956</v>
      </c>
    </row>
    <row r="24" spans="1:44" s="10" customFormat="1" ht="16.5" customHeight="1">
      <c r="A24" s="106" t="s">
        <v>56</v>
      </c>
      <c r="B24" s="37">
        <v>32104</v>
      </c>
      <c r="C24" s="37">
        <v>37164</v>
      </c>
      <c r="D24" s="37">
        <v>29787</v>
      </c>
      <c r="E24" s="37">
        <v>29407</v>
      </c>
      <c r="F24" s="37">
        <v>102161</v>
      </c>
      <c r="G24" s="37">
        <v>111086</v>
      </c>
      <c r="H24" s="37">
        <v>103527</v>
      </c>
      <c r="I24" s="37">
        <v>97492</v>
      </c>
      <c r="J24" s="37">
        <v>90064</v>
      </c>
      <c r="K24" s="37">
        <v>88513</v>
      </c>
      <c r="L24" s="37">
        <v>86120</v>
      </c>
      <c r="M24" s="37">
        <v>84724</v>
      </c>
      <c r="N24" s="37">
        <v>87364</v>
      </c>
      <c r="O24" s="37">
        <v>116108</v>
      </c>
      <c r="P24" s="37">
        <v>121659</v>
      </c>
      <c r="Q24" s="26">
        <v>126762</v>
      </c>
      <c r="R24" s="26">
        <v>132448</v>
      </c>
      <c r="S24" s="26">
        <v>125470</v>
      </c>
      <c r="T24" s="26">
        <v>130590</v>
      </c>
      <c r="U24" s="26">
        <v>124580</v>
      </c>
      <c r="V24" s="26">
        <v>120169</v>
      </c>
      <c r="W24" s="26">
        <v>120195</v>
      </c>
      <c r="X24" s="26">
        <v>120688</v>
      </c>
      <c r="Y24" s="26">
        <v>120463</v>
      </c>
      <c r="Z24" s="26">
        <v>109487</v>
      </c>
      <c r="AA24" s="26">
        <v>108233</v>
      </c>
      <c r="AB24" s="26">
        <v>101755</v>
      </c>
      <c r="AC24" s="26">
        <v>95972</v>
      </c>
      <c r="AD24" s="26">
        <v>92742</v>
      </c>
      <c r="AE24" s="26">
        <v>88122</v>
      </c>
      <c r="AF24" s="26" t="s">
        <v>292</v>
      </c>
      <c r="AG24" s="26" t="s">
        <v>292</v>
      </c>
      <c r="AH24" s="26" t="s">
        <v>292</v>
      </c>
      <c r="AI24" s="26" t="s">
        <v>292</v>
      </c>
      <c r="AJ24" s="26" t="s">
        <v>292</v>
      </c>
      <c r="AK24" s="26" t="s">
        <v>292</v>
      </c>
      <c r="AL24" s="26" t="s">
        <v>292</v>
      </c>
      <c r="AM24" s="26" t="s">
        <v>292</v>
      </c>
      <c r="AN24" s="26" t="s">
        <v>292</v>
      </c>
      <c r="AO24" s="26" t="s">
        <v>292</v>
      </c>
      <c r="AP24" s="27" t="s">
        <v>292</v>
      </c>
    </row>
    <row r="25" spans="1:44" s="10" customFormat="1" ht="16.5" customHeight="1">
      <c r="A25" s="106" t="s">
        <v>55</v>
      </c>
      <c r="B25" s="37">
        <v>275090</v>
      </c>
      <c r="C25" s="37">
        <v>285493</v>
      </c>
      <c r="D25" s="37">
        <v>330473</v>
      </c>
      <c r="E25" s="37">
        <v>334739</v>
      </c>
      <c r="F25" s="37">
        <v>440552</v>
      </c>
      <c r="G25" s="37">
        <v>443530</v>
      </c>
      <c r="H25" s="37">
        <v>449832</v>
      </c>
      <c r="I25" s="37">
        <v>458679</v>
      </c>
      <c r="J25" s="37">
        <v>477883</v>
      </c>
      <c r="K25" s="37">
        <v>497586</v>
      </c>
      <c r="L25" s="37">
        <v>515362</v>
      </c>
      <c r="M25" s="37">
        <v>550717</v>
      </c>
      <c r="N25" s="37">
        <v>582344</v>
      </c>
      <c r="O25" s="37">
        <v>585818</v>
      </c>
      <c r="P25" s="37">
        <v>618404</v>
      </c>
      <c r="Q25" s="26">
        <v>662934</v>
      </c>
      <c r="R25" s="26">
        <v>688194</v>
      </c>
      <c r="S25" s="26">
        <v>688806</v>
      </c>
      <c r="T25" s="26">
        <v>691329</v>
      </c>
      <c r="U25" s="26">
        <v>687337</v>
      </c>
      <c r="V25" s="26">
        <v>693978</v>
      </c>
      <c r="W25" s="26">
        <v>717211</v>
      </c>
      <c r="X25" s="26">
        <v>750404</v>
      </c>
      <c r="Y25" s="26">
        <v>805074</v>
      </c>
      <c r="Z25" s="26">
        <v>833188</v>
      </c>
      <c r="AA25" s="26">
        <v>839020</v>
      </c>
      <c r="AB25" s="26">
        <v>809544</v>
      </c>
      <c r="AC25" s="26">
        <v>806554</v>
      </c>
      <c r="AD25" s="26">
        <v>842802</v>
      </c>
      <c r="AE25" s="26">
        <v>873679</v>
      </c>
      <c r="AF25" s="26" t="s">
        <v>292</v>
      </c>
      <c r="AG25" s="26" t="s">
        <v>292</v>
      </c>
      <c r="AH25" s="26" t="s">
        <v>292</v>
      </c>
      <c r="AI25" s="26" t="s">
        <v>292</v>
      </c>
      <c r="AJ25" s="26" t="s">
        <v>292</v>
      </c>
      <c r="AK25" s="26" t="s">
        <v>292</v>
      </c>
      <c r="AL25" s="26" t="s">
        <v>292</v>
      </c>
      <c r="AM25" s="26" t="s">
        <v>292</v>
      </c>
      <c r="AN25" s="26" t="s">
        <v>292</v>
      </c>
      <c r="AO25" s="26" t="s">
        <v>292</v>
      </c>
      <c r="AP25" s="27" t="s">
        <v>292</v>
      </c>
    </row>
    <row r="26" spans="1:44" s="10" customFormat="1" ht="16.5" customHeight="1">
      <c r="A26" s="106" t="s">
        <v>54</v>
      </c>
      <c r="B26" s="37" t="s">
        <v>292</v>
      </c>
      <c r="C26" s="37" t="s">
        <v>292</v>
      </c>
      <c r="D26" s="37" t="s">
        <v>292</v>
      </c>
      <c r="E26" s="37">
        <v>1913</v>
      </c>
      <c r="F26" s="37">
        <v>2128</v>
      </c>
      <c r="G26" s="37">
        <v>1854</v>
      </c>
      <c r="H26" s="37">
        <v>1863</v>
      </c>
      <c r="I26" s="37">
        <v>1786</v>
      </c>
      <c r="J26" s="37">
        <v>1796</v>
      </c>
      <c r="K26" s="37">
        <v>1853</v>
      </c>
      <c r="L26" s="37">
        <v>1852</v>
      </c>
      <c r="M26" s="37">
        <v>1722</v>
      </c>
      <c r="N26" s="37">
        <v>1730</v>
      </c>
      <c r="O26" s="37">
        <v>1728</v>
      </c>
      <c r="P26" s="37">
        <v>1962</v>
      </c>
      <c r="Q26" s="27">
        <v>1992</v>
      </c>
      <c r="R26" s="27">
        <v>1894</v>
      </c>
      <c r="S26" s="27">
        <v>2084</v>
      </c>
      <c r="T26" s="27">
        <v>2896</v>
      </c>
      <c r="U26" s="27">
        <v>1623</v>
      </c>
      <c r="V26" s="27">
        <v>1211</v>
      </c>
      <c r="W26" s="27">
        <v>1186</v>
      </c>
      <c r="X26" s="27">
        <v>1191</v>
      </c>
      <c r="Y26" s="27">
        <v>1164</v>
      </c>
      <c r="Z26" s="27">
        <v>1177</v>
      </c>
      <c r="AA26" s="27">
        <v>1214</v>
      </c>
      <c r="AB26" s="27">
        <v>1274</v>
      </c>
      <c r="AC26" s="27">
        <v>1301</v>
      </c>
      <c r="AD26" s="27">
        <v>2090</v>
      </c>
      <c r="AE26" s="27">
        <v>1447</v>
      </c>
      <c r="AF26" s="27">
        <v>1419</v>
      </c>
      <c r="AG26" s="27">
        <v>1428</v>
      </c>
      <c r="AH26" s="27">
        <v>1402</v>
      </c>
      <c r="AI26" s="27">
        <v>1405</v>
      </c>
      <c r="AJ26" s="27">
        <v>1403</v>
      </c>
      <c r="AK26" s="27">
        <v>1415</v>
      </c>
      <c r="AL26" s="27">
        <v>1313</v>
      </c>
      <c r="AM26" s="27">
        <v>1443</v>
      </c>
      <c r="AN26" s="27">
        <v>1344</v>
      </c>
      <c r="AO26" s="27">
        <v>1353</v>
      </c>
      <c r="AP26" s="27" t="s">
        <v>51</v>
      </c>
    </row>
    <row r="27" spans="1:44" s="10" customFormat="1" ht="16.5" customHeight="1">
      <c r="A27" s="106" t="s">
        <v>53</v>
      </c>
      <c r="B27" s="37" t="s">
        <v>292</v>
      </c>
      <c r="C27" s="37" t="s">
        <v>292</v>
      </c>
      <c r="D27" s="37" t="s">
        <v>292</v>
      </c>
      <c r="E27" s="37">
        <v>355</v>
      </c>
      <c r="F27" s="37">
        <v>419</v>
      </c>
      <c r="G27" s="37">
        <v>291</v>
      </c>
      <c r="H27" s="37">
        <v>318</v>
      </c>
      <c r="I27" s="37">
        <v>316</v>
      </c>
      <c r="J27" s="37">
        <v>336</v>
      </c>
      <c r="K27" s="37">
        <v>360</v>
      </c>
      <c r="L27" s="37">
        <v>338</v>
      </c>
      <c r="M27" s="37">
        <v>313</v>
      </c>
      <c r="N27" s="37">
        <v>299</v>
      </c>
      <c r="O27" s="37">
        <v>332</v>
      </c>
      <c r="P27" s="37">
        <v>345</v>
      </c>
      <c r="Q27" s="27">
        <v>329</v>
      </c>
      <c r="R27" s="27">
        <v>378</v>
      </c>
      <c r="S27" s="27">
        <v>401</v>
      </c>
      <c r="T27" s="27">
        <v>372</v>
      </c>
      <c r="U27" s="27">
        <v>442</v>
      </c>
      <c r="V27" s="27">
        <v>276</v>
      </c>
      <c r="W27" s="27">
        <v>258</v>
      </c>
      <c r="X27" s="27">
        <v>319</v>
      </c>
      <c r="Y27" s="27">
        <v>270</v>
      </c>
      <c r="Z27" s="27">
        <v>278</v>
      </c>
      <c r="AA27" s="27">
        <v>274</v>
      </c>
      <c r="AB27" s="27">
        <v>282</v>
      </c>
      <c r="AC27" s="27">
        <v>287</v>
      </c>
      <c r="AD27" s="27">
        <v>485</v>
      </c>
      <c r="AE27" s="27">
        <v>418</v>
      </c>
      <c r="AF27" s="27">
        <v>428</v>
      </c>
      <c r="AG27" s="27">
        <v>423</v>
      </c>
      <c r="AH27" s="27">
        <v>434</v>
      </c>
      <c r="AI27" s="27">
        <v>419</v>
      </c>
      <c r="AJ27" s="27">
        <v>431</v>
      </c>
      <c r="AK27" s="27">
        <v>403</v>
      </c>
      <c r="AL27" s="27">
        <v>384</v>
      </c>
      <c r="AM27" s="27">
        <v>395</v>
      </c>
      <c r="AN27" s="27">
        <v>391</v>
      </c>
      <c r="AO27" s="27">
        <v>413</v>
      </c>
      <c r="AP27" s="27" t="s">
        <v>51</v>
      </c>
    </row>
    <row r="28" spans="1:44" s="10" customFormat="1" ht="16.5" customHeight="1">
      <c r="A28" s="25" t="s">
        <v>52</v>
      </c>
      <c r="B28" s="37"/>
      <c r="C28" s="37"/>
      <c r="D28" s="37"/>
      <c r="E28" s="37"/>
      <c r="F28" s="37"/>
      <c r="G28" s="37"/>
      <c r="H28" s="37"/>
      <c r="I28" s="37"/>
      <c r="J28" s="37"/>
      <c r="K28" s="37"/>
      <c r="L28" s="37"/>
      <c r="M28" s="37"/>
      <c r="N28" s="37"/>
      <c r="O28" s="37"/>
      <c r="P28" s="37"/>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row>
    <row r="29" spans="1:44" s="10" customFormat="1" ht="16.5" customHeight="1">
      <c r="A29" s="106" t="s">
        <v>257</v>
      </c>
      <c r="B29" s="37">
        <v>16777</v>
      </c>
      <c r="C29" s="37">
        <v>17033</v>
      </c>
      <c r="D29" s="37">
        <v>19377</v>
      </c>
      <c r="E29" s="37">
        <v>25515</v>
      </c>
      <c r="F29" s="37">
        <v>31662</v>
      </c>
      <c r="G29" s="37">
        <v>33597</v>
      </c>
      <c r="H29" s="37">
        <v>33597</v>
      </c>
      <c r="I29" s="37" t="s">
        <v>51</v>
      </c>
      <c r="J29" s="37">
        <v>30899</v>
      </c>
      <c r="K29" s="37">
        <v>30785</v>
      </c>
      <c r="L29" s="37">
        <v>30730</v>
      </c>
      <c r="M29" s="37">
        <v>27851</v>
      </c>
      <c r="N29" s="37">
        <v>28908</v>
      </c>
      <c r="O29" s="37">
        <v>33790</v>
      </c>
      <c r="P29" s="37">
        <v>33759</v>
      </c>
      <c r="Q29" s="30">
        <v>34448</v>
      </c>
      <c r="R29" s="26">
        <v>35008</v>
      </c>
      <c r="S29" s="26">
        <v>35036</v>
      </c>
      <c r="T29" s="26">
        <v>34681</v>
      </c>
      <c r="U29" s="26">
        <v>33780</v>
      </c>
      <c r="V29" s="26">
        <v>32989</v>
      </c>
      <c r="W29" s="26">
        <v>32380</v>
      </c>
      <c r="X29" s="26">
        <v>32889</v>
      </c>
      <c r="Y29" s="26">
        <v>33486</v>
      </c>
      <c r="Z29" s="26">
        <v>32932</v>
      </c>
      <c r="AA29" s="26">
        <v>31761</v>
      </c>
      <c r="AB29" s="26">
        <v>31906</v>
      </c>
      <c r="AC29" s="26">
        <v>32454</v>
      </c>
      <c r="AD29" s="26">
        <v>32880</v>
      </c>
      <c r="AE29" s="26">
        <v>32895</v>
      </c>
      <c r="AF29" s="26">
        <v>32275</v>
      </c>
      <c r="AG29" s="26">
        <v>32819</v>
      </c>
      <c r="AH29" s="26">
        <v>33472</v>
      </c>
      <c r="AI29" s="26">
        <v>33712</v>
      </c>
      <c r="AJ29" s="26">
        <v>33852</v>
      </c>
      <c r="AK29" s="26">
        <v>33600</v>
      </c>
      <c r="AL29" s="26">
        <v>34209</v>
      </c>
      <c r="AM29" s="26">
        <v>34802</v>
      </c>
      <c r="AN29" s="26">
        <v>35076</v>
      </c>
      <c r="AO29" s="26">
        <v>35255</v>
      </c>
      <c r="AP29" s="27" t="s">
        <v>51</v>
      </c>
    </row>
    <row r="30" spans="1:44" s="10" customFormat="1" ht="16.5" customHeight="1">
      <c r="A30" s="106" t="s">
        <v>258</v>
      </c>
      <c r="B30" s="37">
        <v>6543</v>
      </c>
      <c r="C30" s="37">
        <v>6083</v>
      </c>
      <c r="D30" s="37">
        <v>6455</v>
      </c>
      <c r="E30" s="37">
        <v>6144</v>
      </c>
      <c r="F30" s="37">
        <v>7126</v>
      </c>
      <c r="G30" s="37">
        <v>7522</v>
      </c>
      <c r="H30" s="37">
        <v>8236</v>
      </c>
      <c r="I30" s="37" t="s">
        <v>51</v>
      </c>
      <c r="J30" s="37">
        <v>8311</v>
      </c>
      <c r="K30" s="37">
        <v>8323</v>
      </c>
      <c r="L30" s="37">
        <v>8334</v>
      </c>
      <c r="M30" s="37">
        <v>9009</v>
      </c>
      <c r="N30" s="37">
        <v>9037</v>
      </c>
      <c r="O30" s="37">
        <v>9966</v>
      </c>
      <c r="P30" s="37">
        <v>9980</v>
      </c>
      <c r="Q30" s="30">
        <v>10279</v>
      </c>
      <c r="R30" s="26">
        <v>10410</v>
      </c>
      <c r="S30" s="26">
        <v>10449</v>
      </c>
      <c r="T30" s="26">
        <v>10437</v>
      </c>
      <c r="U30" s="26">
        <v>10470</v>
      </c>
      <c r="V30" s="26">
        <v>10367</v>
      </c>
      <c r="W30" s="26">
        <v>10497</v>
      </c>
      <c r="X30" s="26">
        <v>10587</v>
      </c>
      <c r="Y30" s="26">
        <v>10640</v>
      </c>
      <c r="Z30" s="26">
        <v>10786</v>
      </c>
      <c r="AA30" s="26">
        <v>10607</v>
      </c>
      <c r="AB30" s="26">
        <v>10775</v>
      </c>
      <c r="AC30" s="26">
        <v>10702</v>
      </c>
      <c r="AD30" s="26">
        <v>10673</v>
      </c>
      <c r="AE30" s="26">
        <v>10566</v>
      </c>
      <c r="AF30" s="26">
        <v>10187</v>
      </c>
      <c r="AG30" s="26">
        <v>10108</v>
      </c>
      <c r="AH30" s="26">
        <v>10068</v>
      </c>
      <c r="AI30" s="26">
        <v>10114</v>
      </c>
      <c r="AJ30" s="26">
        <v>10150</v>
      </c>
      <c r="AK30" s="26">
        <v>10152</v>
      </c>
      <c r="AL30" s="26">
        <v>10339</v>
      </c>
      <c r="AM30" s="26">
        <v>10473</v>
      </c>
      <c r="AN30" s="26">
        <v>10522</v>
      </c>
      <c r="AO30" s="26">
        <v>10518</v>
      </c>
      <c r="AP30" s="27" t="s">
        <v>51</v>
      </c>
    </row>
    <row r="31" spans="1:44" s="10" customFormat="1" ht="33" customHeight="1">
      <c r="A31" s="106" t="s">
        <v>259</v>
      </c>
      <c r="B31" s="37">
        <v>2926</v>
      </c>
      <c r="C31" s="37">
        <v>2376</v>
      </c>
      <c r="D31" s="37">
        <v>1579</v>
      </c>
      <c r="E31" s="37">
        <v>857</v>
      </c>
      <c r="F31" s="37">
        <v>864</v>
      </c>
      <c r="G31" s="37">
        <v>737</v>
      </c>
      <c r="H31" s="37">
        <v>636</v>
      </c>
      <c r="I31" s="37">
        <v>619</v>
      </c>
      <c r="J31" s="37">
        <v>603</v>
      </c>
      <c r="K31" s="37">
        <v>565</v>
      </c>
      <c r="L31" s="37">
        <v>543</v>
      </c>
      <c r="M31" s="37">
        <v>509</v>
      </c>
      <c r="N31" s="37">
        <v>495</v>
      </c>
      <c r="O31" s="37">
        <v>477</v>
      </c>
      <c r="P31" s="37">
        <v>470</v>
      </c>
      <c r="Q31" s="30">
        <v>463</v>
      </c>
      <c r="R31" s="31">
        <v>282</v>
      </c>
      <c r="S31" s="31">
        <v>274</v>
      </c>
      <c r="T31" s="31">
        <v>261</v>
      </c>
      <c r="U31" s="31">
        <v>246</v>
      </c>
      <c r="V31" s="31">
        <v>233</v>
      </c>
      <c r="W31" s="31">
        <v>231</v>
      </c>
      <c r="X31" s="31">
        <v>229</v>
      </c>
      <c r="Y31" s="31">
        <v>220</v>
      </c>
      <c r="Z31" s="31">
        <v>225</v>
      </c>
      <c r="AA31" s="31">
        <v>217</v>
      </c>
      <c r="AB31" s="31">
        <v>221</v>
      </c>
      <c r="AC31" s="31">
        <v>214</v>
      </c>
      <c r="AD31" s="31">
        <v>198</v>
      </c>
      <c r="AE31" s="31">
        <v>187</v>
      </c>
      <c r="AF31" s="31">
        <v>179</v>
      </c>
      <c r="AG31" s="31">
        <v>170</v>
      </c>
      <c r="AH31" s="31">
        <v>169</v>
      </c>
      <c r="AI31" s="31">
        <v>176</v>
      </c>
      <c r="AJ31" s="31">
        <v>182</v>
      </c>
      <c r="AK31" s="31">
        <v>182</v>
      </c>
      <c r="AL31" s="31">
        <v>185</v>
      </c>
      <c r="AM31" s="31">
        <v>183</v>
      </c>
      <c r="AN31" s="31">
        <v>178</v>
      </c>
      <c r="AO31" s="31">
        <v>177</v>
      </c>
      <c r="AP31" s="9">
        <v>185</v>
      </c>
    </row>
    <row r="32" spans="1:44" s="10" customFormat="1" ht="16.5" customHeight="1" thickBot="1">
      <c r="A32" s="109" t="s">
        <v>260</v>
      </c>
      <c r="B32" s="37">
        <v>2450484</v>
      </c>
      <c r="C32" s="37">
        <v>4138140</v>
      </c>
      <c r="D32" s="37">
        <v>5128345</v>
      </c>
      <c r="E32" s="37">
        <v>7303286</v>
      </c>
      <c r="F32" s="37">
        <v>8577857</v>
      </c>
      <c r="G32" s="37">
        <v>9589483</v>
      </c>
      <c r="H32" s="37">
        <v>10996253</v>
      </c>
      <c r="I32" s="37">
        <v>11068440</v>
      </c>
      <c r="J32" s="37">
        <v>11132386</v>
      </c>
      <c r="K32" s="37">
        <v>11282736</v>
      </c>
      <c r="L32" s="37">
        <v>11429585</v>
      </c>
      <c r="M32" s="37">
        <v>11734710</v>
      </c>
      <c r="N32" s="37">
        <v>11877938</v>
      </c>
      <c r="O32" s="37">
        <v>12312982</v>
      </c>
      <c r="P32" s="37">
        <v>12565930</v>
      </c>
      <c r="Q32" s="33">
        <v>12738271</v>
      </c>
      <c r="R32" s="32">
        <v>12782143</v>
      </c>
      <c r="S32" s="32">
        <v>12876346</v>
      </c>
      <c r="T32" s="32">
        <v>12854054</v>
      </c>
      <c r="U32" s="32">
        <v>12794616</v>
      </c>
      <c r="V32" s="32">
        <v>12781476</v>
      </c>
      <c r="W32" s="32">
        <v>12942414</v>
      </c>
      <c r="X32" s="32">
        <v>12746126</v>
      </c>
      <c r="Y32" s="32">
        <v>12875568</v>
      </c>
      <c r="Z32" s="32">
        <v>12692892</v>
      </c>
      <c r="AA32" s="32">
        <v>12721541</v>
      </c>
      <c r="AB32" s="32">
        <v>12438926</v>
      </c>
      <c r="AC32" s="32">
        <v>12173935</v>
      </c>
      <c r="AD32" s="32">
        <v>12101936</v>
      </c>
      <c r="AE32" s="32">
        <v>12013496</v>
      </c>
      <c r="AF32" s="32">
        <v>11804002</v>
      </c>
      <c r="AG32" s="32">
        <v>11867049</v>
      </c>
      <c r="AH32" s="32">
        <v>11861811</v>
      </c>
      <c r="AI32" s="32">
        <v>11961568</v>
      </c>
      <c r="AJ32" s="32">
        <v>11852969</v>
      </c>
      <c r="AK32" s="32">
        <v>11878542</v>
      </c>
      <c r="AL32" s="32">
        <v>11838188</v>
      </c>
      <c r="AM32" s="32">
        <v>11957886</v>
      </c>
      <c r="AN32" s="32">
        <v>11770383</v>
      </c>
      <c r="AO32" s="32">
        <v>11546512</v>
      </c>
      <c r="AP32" s="34">
        <v>11674073</v>
      </c>
    </row>
    <row r="33" spans="1:37" ht="12.75" customHeight="1">
      <c r="A33" s="115" t="s">
        <v>683</v>
      </c>
      <c r="B33" s="115"/>
      <c r="C33" s="115"/>
      <c r="D33" s="115"/>
      <c r="E33" s="115"/>
      <c r="F33" s="115"/>
      <c r="G33" s="115"/>
      <c r="H33" s="115"/>
      <c r="I33" s="115"/>
      <c r="J33" s="115"/>
      <c r="K33" s="115"/>
      <c r="L33" s="115"/>
      <c r="M33" s="115"/>
      <c r="N33" s="115"/>
      <c r="O33" s="115"/>
      <c r="P33" s="115"/>
      <c r="Q33" s="115"/>
      <c r="R33" s="115"/>
      <c r="S33" s="115"/>
      <c r="T33" s="115"/>
      <c r="U33" s="115"/>
      <c r="V33" s="115"/>
      <c r="W33" s="35"/>
      <c r="X33" s="35"/>
      <c r="Y33" s="35"/>
      <c r="Z33" s="35"/>
      <c r="AA33" s="35"/>
      <c r="AB33" s="35"/>
      <c r="AC33" s="35"/>
      <c r="AD33" s="11"/>
      <c r="AE33" s="12"/>
      <c r="AF33" s="11"/>
      <c r="AG33" s="11"/>
      <c r="AH33" s="11"/>
      <c r="AI33" s="11"/>
      <c r="AJ33" s="11"/>
      <c r="AK33" s="11"/>
    </row>
    <row r="34" spans="1:37" ht="12.75" customHeight="1">
      <c r="A34" s="110"/>
      <c r="B34" s="110"/>
      <c r="C34" s="110"/>
      <c r="D34" s="110"/>
      <c r="E34" s="110"/>
      <c r="F34" s="110"/>
      <c r="G34" s="110"/>
      <c r="H34" s="110"/>
      <c r="I34" s="110"/>
      <c r="J34" s="110"/>
      <c r="K34" s="110"/>
      <c r="L34" s="110"/>
      <c r="M34" s="110"/>
      <c r="N34" s="110"/>
      <c r="O34" s="110"/>
      <c r="P34" s="110"/>
      <c r="Q34" s="110"/>
      <c r="R34" s="110"/>
      <c r="S34" s="110"/>
      <c r="T34" s="110"/>
      <c r="U34" s="110"/>
      <c r="V34" s="110"/>
      <c r="W34" s="11"/>
      <c r="X34" s="11"/>
      <c r="Y34" s="11"/>
      <c r="Z34" s="11"/>
      <c r="AA34" s="11"/>
      <c r="AB34" s="11"/>
      <c r="AC34" s="11"/>
      <c r="AD34" s="11"/>
      <c r="AE34" s="11"/>
      <c r="AF34" s="11"/>
      <c r="AG34" s="11"/>
      <c r="AH34" s="11"/>
      <c r="AI34" s="11"/>
      <c r="AJ34" s="11"/>
      <c r="AK34" s="11"/>
    </row>
    <row r="35" spans="1:37" ht="12.75" customHeight="1">
      <c r="A35" s="111" t="s">
        <v>50</v>
      </c>
      <c r="B35" s="111"/>
      <c r="C35" s="111"/>
      <c r="D35" s="111"/>
      <c r="E35" s="111"/>
      <c r="F35" s="111"/>
      <c r="G35" s="111"/>
      <c r="H35" s="111"/>
      <c r="I35" s="111"/>
      <c r="J35" s="111"/>
      <c r="K35" s="111"/>
      <c r="L35" s="111"/>
      <c r="M35" s="111"/>
      <c r="N35" s="111"/>
      <c r="O35" s="111"/>
      <c r="P35" s="111"/>
      <c r="Q35" s="111"/>
      <c r="R35" s="111"/>
      <c r="S35" s="111"/>
      <c r="T35" s="111"/>
      <c r="U35" s="111"/>
      <c r="V35" s="111"/>
      <c r="W35" s="39"/>
      <c r="X35" s="39"/>
      <c r="Y35" s="39"/>
      <c r="Z35" s="39"/>
      <c r="AA35" s="39"/>
      <c r="AB35" s="39"/>
      <c r="AC35" s="39"/>
      <c r="AD35" s="39"/>
      <c r="AE35" s="39"/>
      <c r="AF35" s="39"/>
      <c r="AG35" s="39"/>
      <c r="AH35" s="39"/>
      <c r="AI35" s="39"/>
      <c r="AJ35" s="39"/>
      <c r="AK35" s="39"/>
    </row>
    <row r="36" spans="1:37" ht="25.5" customHeight="1">
      <c r="A36" s="112" t="s">
        <v>49</v>
      </c>
      <c r="B36" s="112"/>
      <c r="C36" s="112"/>
      <c r="D36" s="112"/>
      <c r="E36" s="112"/>
      <c r="F36" s="112"/>
      <c r="G36" s="112"/>
      <c r="H36" s="112"/>
      <c r="I36" s="112"/>
      <c r="J36" s="112"/>
      <c r="K36" s="112"/>
      <c r="L36" s="112"/>
      <c r="M36" s="112"/>
      <c r="N36" s="112"/>
      <c r="O36" s="112"/>
      <c r="P36" s="112"/>
      <c r="Q36" s="112"/>
      <c r="R36" s="112"/>
      <c r="S36" s="112"/>
      <c r="T36" s="112"/>
      <c r="U36" s="112"/>
      <c r="V36" s="112"/>
      <c r="W36" s="39"/>
      <c r="X36" s="39"/>
      <c r="Y36" s="39"/>
      <c r="Z36" s="39"/>
      <c r="AA36" s="39"/>
      <c r="AB36" s="39"/>
      <c r="AC36" s="39"/>
      <c r="AD36" s="39"/>
      <c r="AE36" s="39"/>
      <c r="AF36" s="39"/>
      <c r="AG36" s="39"/>
      <c r="AH36" s="39"/>
      <c r="AI36" s="39"/>
      <c r="AJ36" s="39"/>
      <c r="AK36" s="39"/>
    </row>
    <row r="37" spans="1:37" ht="38.25" customHeight="1">
      <c r="A37" s="113" t="s">
        <v>261</v>
      </c>
      <c r="B37" s="113"/>
      <c r="C37" s="113"/>
      <c r="D37" s="113"/>
      <c r="E37" s="113"/>
      <c r="F37" s="113"/>
      <c r="G37" s="113"/>
      <c r="H37" s="113"/>
      <c r="I37" s="113"/>
      <c r="J37" s="113"/>
      <c r="K37" s="113"/>
      <c r="L37" s="113"/>
      <c r="M37" s="113"/>
      <c r="N37" s="113"/>
      <c r="O37" s="113"/>
      <c r="P37" s="113"/>
      <c r="Q37" s="113"/>
      <c r="R37" s="113"/>
      <c r="S37" s="113"/>
      <c r="T37" s="113"/>
      <c r="U37" s="113"/>
      <c r="V37" s="113"/>
      <c r="W37" s="39"/>
      <c r="X37" s="39"/>
      <c r="Y37" s="39"/>
      <c r="Z37" s="39"/>
      <c r="AA37" s="39"/>
      <c r="AB37" s="39"/>
      <c r="AC37" s="39"/>
      <c r="AD37" s="39"/>
      <c r="AE37" s="39"/>
      <c r="AF37" s="39"/>
      <c r="AG37" s="39"/>
      <c r="AH37" s="39"/>
      <c r="AI37" s="39"/>
      <c r="AJ37" s="39"/>
      <c r="AK37" s="39"/>
    </row>
    <row r="38" spans="1:37" ht="12.75" customHeight="1">
      <c r="A38" s="112" t="s">
        <v>293</v>
      </c>
      <c r="B38" s="112"/>
      <c r="C38" s="112"/>
      <c r="D38" s="112"/>
      <c r="E38" s="112"/>
      <c r="F38" s="112"/>
      <c r="G38" s="112"/>
      <c r="H38" s="112"/>
      <c r="I38" s="112"/>
      <c r="J38" s="112"/>
      <c r="K38" s="112"/>
      <c r="L38" s="112"/>
      <c r="M38" s="112"/>
      <c r="N38" s="112"/>
      <c r="O38" s="112"/>
      <c r="P38" s="112"/>
      <c r="Q38" s="112"/>
      <c r="R38" s="112"/>
      <c r="S38" s="112"/>
      <c r="T38" s="112"/>
      <c r="U38" s="112"/>
      <c r="V38" s="112"/>
      <c r="W38" s="39"/>
      <c r="X38" s="39"/>
      <c r="Y38" s="39"/>
      <c r="Z38" s="39"/>
      <c r="AA38" s="39"/>
      <c r="AB38" s="39"/>
      <c r="AC38" s="39"/>
      <c r="AD38" s="39"/>
      <c r="AE38" s="39"/>
      <c r="AF38" s="39"/>
      <c r="AG38" s="39"/>
      <c r="AH38" s="39"/>
      <c r="AI38" s="39"/>
      <c r="AJ38" s="39"/>
      <c r="AK38" s="39"/>
    </row>
    <row r="39" spans="1:37" ht="12.75" customHeight="1">
      <c r="A39" s="112" t="s">
        <v>262</v>
      </c>
      <c r="B39" s="112"/>
      <c r="C39" s="112"/>
      <c r="D39" s="112"/>
      <c r="E39" s="112"/>
      <c r="F39" s="112"/>
      <c r="G39" s="112"/>
      <c r="H39" s="112"/>
      <c r="I39" s="112"/>
      <c r="J39" s="112"/>
      <c r="K39" s="112"/>
      <c r="L39" s="112"/>
      <c r="M39" s="112"/>
      <c r="N39" s="112"/>
      <c r="O39" s="112"/>
      <c r="P39" s="112"/>
      <c r="Q39" s="112"/>
      <c r="R39" s="112"/>
      <c r="S39" s="112"/>
      <c r="T39" s="112"/>
      <c r="U39" s="112"/>
      <c r="V39" s="112"/>
      <c r="W39" s="39"/>
      <c r="X39" s="39"/>
      <c r="Y39" s="39"/>
      <c r="Z39" s="39"/>
      <c r="AA39" s="39"/>
      <c r="AB39" s="39"/>
      <c r="AC39" s="39"/>
      <c r="AD39" s="39"/>
      <c r="AE39" s="39"/>
      <c r="AF39" s="39"/>
      <c r="AG39" s="39"/>
      <c r="AH39" s="39"/>
      <c r="AI39" s="39"/>
      <c r="AJ39" s="39"/>
      <c r="AK39" s="39"/>
    </row>
    <row r="40" spans="1:37" ht="12.75" customHeight="1">
      <c r="A40" s="112" t="s">
        <v>263</v>
      </c>
      <c r="B40" s="112"/>
      <c r="C40" s="112"/>
      <c r="D40" s="112"/>
      <c r="E40" s="112"/>
      <c r="F40" s="112"/>
      <c r="G40" s="112"/>
      <c r="H40" s="112"/>
      <c r="I40" s="112"/>
      <c r="J40" s="112"/>
      <c r="K40" s="112"/>
      <c r="L40" s="112"/>
      <c r="M40" s="112"/>
      <c r="N40" s="112"/>
      <c r="O40" s="112"/>
      <c r="P40" s="112"/>
      <c r="Q40" s="112"/>
      <c r="R40" s="112"/>
      <c r="S40" s="112"/>
      <c r="T40" s="112"/>
      <c r="U40" s="112"/>
      <c r="V40" s="112"/>
      <c r="W40" s="39"/>
      <c r="X40" s="39"/>
      <c r="Y40" s="39"/>
      <c r="Z40" s="39"/>
      <c r="AA40" s="39"/>
      <c r="AB40" s="39"/>
      <c r="AC40" s="39"/>
      <c r="AD40" s="39"/>
      <c r="AE40" s="39"/>
      <c r="AF40" s="39"/>
      <c r="AG40" s="39"/>
      <c r="AH40" s="39"/>
      <c r="AI40" s="39"/>
      <c r="AJ40" s="39"/>
      <c r="AK40" s="39"/>
    </row>
    <row r="41" spans="1:37" ht="12.75" customHeight="1">
      <c r="A41" s="112" t="s">
        <v>264</v>
      </c>
      <c r="B41" s="112"/>
      <c r="C41" s="112"/>
      <c r="D41" s="112"/>
      <c r="E41" s="112"/>
      <c r="F41" s="112"/>
      <c r="G41" s="112"/>
      <c r="H41" s="112"/>
      <c r="I41" s="112"/>
      <c r="J41" s="112"/>
      <c r="K41" s="112"/>
      <c r="L41" s="112"/>
      <c r="M41" s="112"/>
      <c r="N41" s="112"/>
      <c r="O41" s="112"/>
      <c r="P41" s="112"/>
      <c r="Q41" s="112"/>
      <c r="R41" s="112"/>
      <c r="S41" s="112"/>
      <c r="T41" s="112"/>
      <c r="U41" s="112"/>
      <c r="V41" s="112"/>
      <c r="W41" s="39"/>
      <c r="X41" s="39"/>
      <c r="Y41" s="39"/>
      <c r="Z41" s="39"/>
      <c r="AA41" s="39"/>
      <c r="AB41" s="39"/>
      <c r="AC41" s="39"/>
      <c r="AD41" s="39"/>
      <c r="AE41" s="39"/>
      <c r="AF41" s="39"/>
      <c r="AG41" s="39"/>
      <c r="AH41" s="39"/>
      <c r="AI41" s="39"/>
      <c r="AJ41" s="39"/>
      <c r="AK41" s="39"/>
    </row>
    <row r="42" spans="1:37" ht="12.75" customHeight="1">
      <c r="A42" s="112" t="s">
        <v>265</v>
      </c>
      <c r="B42" s="112"/>
      <c r="C42" s="112"/>
      <c r="D42" s="112"/>
      <c r="E42" s="112"/>
      <c r="F42" s="112"/>
      <c r="G42" s="112"/>
      <c r="H42" s="112"/>
      <c r="I42" s="112"/>
      <c r="J42" s="112"/>
      <c r="K42" s="112"/>
      <c r="L42" s="112"/>
      <c r="M42" s="112"/>
      <c r="N42" s="112"/>
      <c r="O42" s="112"/>
      <c r="P42" s="112"/>
      <c r="Q42" s="112"/>
      <c r="R42" s="112"/>
      <c r="S42" s="112"/>
      <c r="T42" s="112"/>
      <c r="U42" s="112"/>
      <c r="V42" s="112"/>
      <c r="W42" s="39"/>
      <c r="X42" s="39"/>
      <c r="Y42" s="39"/>
      <c r="Z42" s="39"/>
      <c r="AA42" s="39"/>
      <c r="AB42" s="39"/>
      <c r="AC42" s="39"/>
      <c r="AD42" s="39"/>
      <c r="AE42" s="39"/>
      <c r="AF42" s="39"/>
      <c r="AG42" s="39"/>
      <c r="AH42" s="39"/>
      <c r="AI42" s="39"/>
      <c r="AJ42" s="39"/>
      <c r="AK42" s="39"/>
    </row>
    <row r="43" spans="1:37" ht="12.75" customHeight="1">
      <c r="A43" s="112" t="s">
        <v>266</v>
      </c>
      <c r="B43" s="112"/>
      <c r="C43" s="112"/>
      <c r="D43" s="112"/>
      <c r="E43" s="112"/>
      <c r="F43" s="112"/>
      <c r="G43" s="112"/>
      <c r="H43" s="112"/>
      <c r="I43" s="112"/>
      <c r="J43" s="112"/>
      <c r="K43" s="112"/>
      <c r="L43" s="112"/>
      <c r="M43" s="112"/>
      <c r="N43" s="112"/>
      <c r="O43" s="112"/>
      <c r="P43" s="112"/>
      <c r="Q43" s="112"/>
      <c r="R43" s="112"/>
      <c r="S43" s="112"/>
      <c r="T43" s="112"/>
      <c r="U43" s="112"/>
      <c r="V43" s="112"/>
      <c r="W43" s="39"/>
      <c r="X43" s="39"/>
      <c r="Y43" s="39"/>
      <c r="Z43" s="39"/>
      <c r="AA43" s="39"/>
      <c r="AB43" s="39"/>
      <c r="AC43" s="39"/>
      <c r="AD43" s="39"/>
      <c r="AE43" s="39"/>
      <c r="AF43" s="39"/>
      <c r="AG43" s="39"/>
      <c r="AH43" s="39"/>
      <c r="AI43" s="39"/>
      <c r="AJ43" s="39"/>
      <c r="AK43" s="39"/>
    </row>
    <row r="44" spans="1:37" ht="12.75" customHeight="1">
      <c r="A44" s="113" t="s">
        <v>267</v>
      </c>
      <c r="B44" s="113"/>
      <c r="C44" s="113"/>
      <c r="D44" s="113"/>
      <c r="E44" s="113"/>
      <c r="F44" s="113"/>
      <c r="G44" s="113"/>
      <c r="H44" s="113"/>
      <c r="I44" s="113"/>
      <c r="J44" s="113"/>
      <c r="K44" s="113"/>
      <c r="L44" s="113"/>
      <c r="M44" s="113"/>
      <c r="N44" s="113"/>
      <c r="O44" s="113"/>
      <c r="P44" s="113"/>
      <c r="Q44" s="113"/>
      <c r="R44" s="113"/>
      <c r="S44" s="113"/>
      <c r="T44" s="113"/>
      <c r="U44" s="113"/>
      <c r="V44" s="113"/>
      <c r="W44" s="39"/>
      <c r="X44" s="39"/>
      <c r="Y44" s="39"/>
      <c r="Z44" s="39"/>
      <c r="AA44" s="39"/>
      <c r="AB44" s="39"/>
      <c r="AC44" s="39"/>
      <c r="AD44" s="39"/>
      <c r="AE44" s="39"/>
      <c r="AF44" s="39"/>
      <c r="AG44" s="39"/>
      <c r="AH44" s="39"/>
      <c r="AI44" s="39"/>
      <c r="AJ44" s="39"/>
      <c r="AK44" s="39"/>
    </row>
    <row r="45" spans="1:37" ht="12.75" customHeight="1">
      <c r="A45" s="112" t="s">
        <v>268</v>
      </c>
      <c r="B45" s="112"/>
      <c r="C45" s="112"/>
      <c r="D45" s="112"/>
      <c r="E45" s="112"/>
      <c r="F45" s="112"/>
      <c r="G45" s="112"/>
      <c r="H45" s="112"/>
      <c r="I45" s="112"/>
      <c r="J45" s="112"/>
      <c r="K45" s="112"/>
      <c r="L45" s="112"/>
      <c r="M45" s="112"/>
      <c r="N45" s="112"/>
      <c r="O45" s="112"/>
      <c r="P45" s="112"/>
      <c r="Q45" s="112"/>
      <c r="R45" s="112"/>
      <c r="S45" s="112"/>
      <c r="T45" s="112"/>
      <c r="U45" s="112"/>
      <c r="V45" s="112"/>
      <c r="W45" s="39"/>
      <c r="X45" s="39"/>
      <c r="Y45" s="39"/>
      <c r="Z45" s="39"/>
      <c r="AA45" s="39"/>
      <c r="AB45" s="39"/>
      <c r="AC45" s="39"/>
      <c r="AD45" s="39"/>
      <c r="AE45" s="39"/>
      <c r="AF45" s="39"/>
      <c r="AG45" s="39"/>
      <c r="AH45" s="39"/>
      <c r="AI45" s="39"/>
      <c r="AJ45" s="39"/>
      <c r="AK45" s="39"/>
    </row>
    <row r="46" spans="1:37" ht="12.75" customHeight="1">
      <c r="A46" s="112" t="s">
        <v>269</v>
      </c>
      <c r="B46" s="112"/>
      <c r="C46" s="112"/>
      <c r="D46" s="112"/>
      <c r="E46" s="112"/>
      <c r="F46" s="112"/>
      <c r="G46" s="112"/>
      <c r="H46" s="112"/>
      <c r="I46" s="112"/>
      <c r="J46" s="112"/>
      <c r="K46" s="112"/>
      <c r="L46" s="112"/>
      <c r="M46" s="112"/>
      <c r="N46" s="112"/>
      <c r="O46" s="112"/>
      <c r="P46" s="112"/>
      <c r="Q46" s="112"/>
      <c r="R46" s="112"/>
      <c r="S46" s="112"/>
      <c r="T46" s="112"/>
      <c r="U46" s="112"/>
      <c r="V46" s="112"/>
      <c r="W46" s="39"/>
      <c r="X46" s="39"/>
      <c r="Y46" s="39"/>
      <c r="Z46" s="39"/>
      <c r="AA46" s="39"/>
      <c r="AB46" s="39"/>
      <c r="AC46" s="39"/>
      <c r="AD46" s="39"/>
      <c r="AE46" s="39"/>
      <c r="AF46" s="39"/>
      <c r="AG46" s="39"/>
      <c r="AH46" s="39"/>
      <c r="AI46" s="39"/>
      <c r="AJ46" s="39"/>
      <c r="AK46" s="39"/>
    </row>
    <row r="47" spans="1:37" ht="12.75" customHeight="1">
      <c r="A47" s="112" t="s">
        <v>270</v>
      </c>
      <c r="B47" s="112"/>
      <c r="C47" s="112"/>
      <c r="D47" s="112"/>
      <c r="E47" s="112"/>
      <c r="F47" s="112"/>
      <c r="G47" s="112"/>
      <c r="H47" s="112"/>
      <c r="I47" s="112"/>
      <c r="J47" s="112"/>
      <c r="K47" s="112"/>
      <c r="L47" s="112"/>
      <c r="M47" s="112"/>
      <c r="N47" s="112"/>
      <c r="O47" s="112"/>
      <c r="P47" s="112"/>
      <c r="Q47" s="112"/>
      <c r="R47" s="112"/>
      <c r="S47" s="112"/>
      <c r="T47" s="112"/>
      <c r="U47" s="112"/>
      <c r="V47" s="112"/>
      <c r="W47" s="39"/>
      <c r="X47" s="39"/>
      <c r="Y47" s="39"/>
      <c r="Z47" s="39"/>
      <c r="AA47" s="39"/>
      <c r="AB47" s="39"/>
      <c r="AC47" s="39"/>
      <c r="AD47" s="39"/>
      <c r="AE47" s="39"/>
      <c r="AF47" s="39"/>
      <c r="AG47" s="39"/>
      <c r="AH47" s="39"/>
      <c r="AI47" s="39"/>
      <c r="AJ47" s="39"/>
      <c r="AK47" s="39"/>
    </row>
    <row r="48" spans="1:37" ht="25.5" customHeight="1">
      <c r="A48" s="112" t="s">
        <v>271</v>
      </c>
      <c r="B48" s="112"/>
      <c r="C48" s="112"/>
      <c r="D48" s="112"/>
      <c r="E48" s="112"/>
      <c r="F48" s="112"/>
      <c r="G48" s="112"/>
      <c r="H48" s="112"/>
      <c r="I48" s="112"/>
      <c r="J48" s="112"/>
      <c r="K48" s="112"/>
      <c r="L48" s="112"/>
      <c r="M48" s="112"/>
      <c r="N48" s="112"/>
      <c r="O48" s="112"/>
      <c r="P48" s="112"/>
      <c r="Q48" s="112"/>
      <c r="R48" s="112"/>
      <c r="S48" s="112"/>
      <c r="T48" s="112"/>
      <c r="U48" s="112"/>
      <c r="V48" s="112"/>
      <c r="W48" s="39"/>
      <c r="X48" s="39"/>
      <c r="Y48" s="39"/>
      <c r="Z48" s="39"/>
      <c r="AA48" s="39"/>
      <c r="AB48" s="39"/>
      <c r="AC48" s="39"/>
      <c r="AD48" s="39"/>
      <c r="AE48" s="39"/>
      <c r="AF48" s="39"/>
      <c r="AG48" s="39"/>
      <c r="AH48" s="39"/>
      <c r="AI48" s="39"/>
      <c r="AJ48" s="39"/>
      <c r="AK48" s="39"/>
    </row>
    <row r="49" spans="1:37" ht="12.75" customHeight="1">
      <c r="A49" s="112" t="s">
        <v>272</v>
      </c>
      <c r="B49" s="112"/>
      <c r="C49" s="112"/>
      <c r="D49" s="112"/>
      <c r="E49" s="112"/>
      <c r="F49" s="112"/>
      <c r="G49" s="112"/>
      <c r="H49" s="112"/>
      <c r="I49" s="112"/>
      <c r="J49" s="112"/>
      <c r="K49" s="112"/>
      <c r="L49" s="112"/>
      <c r="M49" s="112"/>
      <c r="N49" s="112"/>
      <c r="O49" s="112"/>
      <c r="P49" s="112"/>
      <c r="Q49" s="112"/>
      <c r="R49" s="112"/>
      <c r="S49" s="112"/>
      <c r="T49" s="112"/>
      <c r="U49" s="112"/>
      <c r="V49" s="112"/>
      <c r="W49" s="39"/>
      <c r="X49" s="39"/>
      <c r="Y49" s="39"/>
      <c r="Z49" s="39"/>
      <c r="AA49" s="39"/>
      <c r="AB49" s="39"/>
      <c r="AC49" s="39"/>
      <c r="AD49" s="39"/>
      <c r="AE49" s="39"/>
      <c r="AF49" s="39"/>
      <c r="AG49" s="39"/>
      <c r="AH49" s="39"/>
      <c r="AI49" s="39"/>
      <c r="AJ49" s="39"/>
      <c r="AK49" s="39"/>
    </row>
    <row r="50" spans="1:37" ht="12.75" customHeight="1">
      <c r="A50" s="112" t="s">
        <v>294</v>
      </c>
      <c r="B50" s="112"/>
      <c r="C50" s="112"/>
      <c r="D50" s="112"/>
      <c r="E50" s="112"/>
      <c r="F50" s="112"/>
      <c r="G50" s="112"/>
      <c r="H50" s="112"/>
      <c r="I50" s="112"/>
      <c r="J50" s="112"/>
      <c r="K50" s="112"/>
      <c r="L50" s="112"/>
      <c r="M50" s="112"/>
      <c r="N50" s="112"/>
      <c r="O50" s="112"/>
      <c r="P50" s="112"/>
      <c r="Q50" s="112"/>
      <c r="R50" s="112"/>
      <c r="S50" s="112"/>
      <c r="T50" s="112"/>
      <c r="U50" s="112"/>
      <c r="V50" s="112"/>
      <c r="W50" s="39"/>
      <c r="X50" s="39"/>
      <c r="Y50" s="39"/>
      <c r="Z50" s="39"/>
      <c r="AA50" s="39"/>
      <c r="AB50" s="39"/>
      <c r="AC50" s="39"/>
      <c r="AD50" s="39"/>
      <c r="AE50" s="39"/>
      <c r="AF50" s="39"/>
      <c r="AG50" s="39"/>
      <c r="AH50" s="39"/>
      <c r="AI50" s="39"/>
      <c r="AJ50" s="39"/>
      <c r="AK50" s="39"/>
    </row>
    <row r="51" spans="1:37" ht="12.75" customHeight="1">
      <c r="A51" s="112"/>
      <c r="B51" s="112"/>
      <c r="C51" s="112"/>
      <c r="D51" s="112"/>
      <c r="E51" s="112"/>
      <c r="F51" s="112"/>
      <c r="G51" s="112"/>
      <c r="H51" s="112"/>
      <c r="I51" s="112"/>
      <c r="J51" s="112"/>
      <c r="K51" s="112"/>
      <c r="L51" s="112"/>
      <c r="M51" s="112"/>
      <c r="N51" s="112"/>
      <c r="O51" s="112"/>
      <c r="P51" s="112"/>
      <c r="Q51" s="112"/>
      <c r="R51" s="112"/>
      <c r="S51" s="112"/>
      <c r="T51" s="112"/>
      <c r="U51" s="112"/>
      <c r="V51" s="112"/>
      <c r="W51" s="39"/>
      <c r="X51" s="39"/>
      <c r="Y51" s="39"/>
      <c r="Z51" s="39"/>
      <c r="AA51" s="39"/>
      <c r="AB51" s="39"/>
      <c r="AC51" s="39"/>
      <c r="AD51" s="39"/>
      <c r="AE51" s="39"/>
      <c r="AF51" s="39"/>
      <c r="AG51" s="39"/>
      <c r="AH51" s="39"/>
      <c r="AI51" s="39"/>
      <c r="AJ51" s="39"/>
      <c r="AK51" s="39"/>
    </row>
    <row r="52" spans="1:37" ht="12.75" customHeight="1">
      <c r="A52" s="114" t="s">
        <v>48</v>
      </c>
      <c r="B52" s="114"/>
      <c r="C52" s="114"/>
      <c r="D52" s="114"/>
      <c r="E52" s="114"/>
      <c r="F52" s="114"/>
      <c r="G52" s="114"/>
      <c r="H52" s="114"/>
      <c r="I52" s="114"/>
      <c r="J52" s="114"/>
      <c r="K52" s="114"/>
      <c r="L52" s="114"/>
      <c r="M52" s="114"/>
      <c r="N52" s="114"/>
      <c r="O52" s="114"/>
      <c r="P52" s="114"/>
      <c r="Q52" s="114"/>
      <c r="R52" s="114"/>
      <c r="S52" s="114"/>
      <c r="T52" s="114"/>
      <c r="U52" s="114"/>
      <c r="V52" s="114"/>
      <c r="W52" s="39"/>
      <c r="X52" s="39"/>
      <c r="Y52" s="39"/>
      <c r="Z52" s="39"/>
      <c r="AA52" s="39"/>
      <c r="AB52" s="39"/>
      <c r="AC52" s="39"/>
      <c r="AD52" s="39"/>
      <c r="AE52" s="39"/>
      <c r="AF52" s="39"/>
      <c r="AG52" s="39"/>
      <c r="AH52" s="39"/>
      <c r="AI52" s="39"/>
      <c r="AJ52" s="39"/>
      <c r="AK52" s="39"/>
    </row>
    <row r="53" spans="1:37" ht="12.75" customHeight="1">
      <c r="A53" s="12" t="s">
        <v>47</v>
      </c>
      <c r="B53" s="12"/>
      <c r="C53" s="12"/>
      <c r="D53" s="12"/>
      <c r="E53" s="12"/>
      <c r="F53" s="12"/>
      <c r="G53" s="12"/>
      <c r="H53" s="12"/>
      <c r="I53" s="12"/>
      <c r="J53" s="12"/>
      <c r="K53" s="12"/>
      <c r="L53" s="12"/>
      <c r="M53" s="12"/>
      <c r="N53" s="12"/>
      <c r="O53" s="12"/>
      <c r="P53" s="12"/>
      <c r="Q53" s="12"/>
      <c r="R53" s="12"/>
      <c r="S53" s="12"/>
      <c r="T53" s="12"/>
      <c r="U53" s="12"/>
      <c r="V53" s="12"/>
      <c r="W53" s="39"/>
      <c r="X53" s="39"/>
      <c r="Y53" s="39"/>
      <c r="Z53" s="39"/>
      <c r="AA53" s="39"/>
      <c r="AB53" s="39"/>
      <c r="AC53" s="39"/>
      <c r="AD53" s="39"/>
      <c r="AE53" s="39"/>
      <c r="AF53" s="39"/>
      <c r="AG53" s="39"/>
      <c r="AH53" s="39"/>
      <c r="AI53" s="39"/>
      <c r="AJ53" s="39"/>
      <c r="AK53" s="39"/>
    </row>
    <row r="54" spans="1:37" ht="38.25" customHeight="1">
      <c r="A54" s="116" t="s">
        <v>46</v>
      </c>
      <c r="B54" s="116"/>
      <c r="C54" s="116"/>
      <c r="D54" s="116"/>
      <c r="E54" s="116"/>
      <c r="F54" s="116"/>
      <c r="G54" s="116"/>
      <c r="H54" s="116"/>
      <c r="I54" s="116"/>
      <c r="J54" s="116"/>
      <c r="K54" s="116"/>
      <c r="L54" s="116"/>
      <c r="M54" s="116"/>
      <c r="N54" s="116"/>
      <c r="O54" s="116"/>
      <c r="P54" s="116"/>
      <c r="Q54" s="116"/>
      <c r="R54" s="116"/>
      <c r="S54" s="116"/>
      <c r="T54" s="116"/>
      <c r="U54" s="116"/>
      <c r="V54" s="116"/>
      <c r="W54" s="13"/>
      <c r="X54" s="13"/>
      <c r="Y54" s="13"/>
      <c r="Z54" s="13"/>
      <c r="AA54" s="13"/>
      <c r="AB54" s="13"/>
      <c r="AC54" s="13"/>
      <c r="AD54" s="13"/>
      <c r="AE54" s="13"/>
      <c r="AF54" s="13"/>
      <c r="AG54" s="13"/>
      <c r="AH54" s="13"/>
      <c r="AI54" s="13"/>
      <c r="AJ54" s="13"/>
      <c r="AK54" s="13"/>
    </row>
    <row r="55" spans="1:37" ht="12.75" customHeight="1">
      <c r="A55" s="12" t="s">
        <v>45</v>
      </c>
      <c r="B55" s="12"/>
      <c r="C55" s="12"/>
      <c r="D55" s="12"/>
      <c r="E55" s="12"/>
      <c r="F55" s="12"/>
      <c r="G55" s="12"/>
      <c r="H55" s="12"/>
      <c r="I55" s="12"/>
      <c r="J55" s="12"/>
      <c r="K55" s="12"/>
      <c r="L55" s="12"/>
      <c r="M55" s="12"/>
      <c r="N55" s="12"/>
      <c r="O55" s="12"/>
      <c r="P55" s="12"/>
      <c r="Q55" s="12"/>
      <c r="R55" s="12"/>
      <c r="S55" s="12"/>
      <c r="T55" s="12"/>
      <c r="U55" s="12"/>
      <c r="V55" s="12"/>
      <c r="W55" s="39"/>
      <c r="X55" s="39"/>
      <c r="Y55" s="39"/>
      <c r="Z55" s="39"/>
      <c r="AA55" s="39"/>
      <c r="AB55" s="39"/>
      <c r="AC55" s="39"/>
      <c r="AD55" s="39"/>
      <c r="AE55" s="39"/>
      <c r="AF55" s="39"/>
      <c r="AG55" s="39"/>
      <c r="AH55" s="39"/>
      <c r="AI55" s="39"/>
      <c r="AJ55" s="39"/>
      <c r="AK55" s="39"/>
    </row>
    <row r="56" spans="1:37" ht="12.75" customHeight="1">
      <c r="A56" s="12" t="s">
        <v>44</v>
      </c>
      <c r="B56" s="12"/>
      <c r="C56" s="12"/>
      <c r="D56" s="12"/>
      <c r="E56" s="12"/>
      <c r="F56" s="12"/>
      <c r="G56" s="12"/>
      <c r="H56" s="12"/>
      <c r="I56" s="12"/>
      <c r="J56" s="12"/>
      <c r="K56" s="12"/>
      <c r="L56" s="12"/>
      <c r="M56" s="12"/>
      <c r="N56" s="12"/>
      <c r="O56" s="12"/>
      <c r="P56" s="12"/>
      <c r="Q56" s="12"/>
      <c r="R56" s="12"/>
      <c r="S56" s="12"/>
      <c r="T56" s="12"/>
      <c r="U56" s="12"/>
      <c r="V56" s="12"/>
      <c r="W56" s="39"/>
      <c r="X56" s="39"/>
      <c r="Y56" s="39"/>
      <c r="Z56" s="39"/>
      <c r="AA56" s="39"/>
      <c r="AB56" s="39"/>
      <c r="AC56" s="39"/>
      <c r="AD56" s="39"/>
      <c r="AE56" s="39"/>
      <c r="AF56" s="39"/>
      <c r="AG56" s="39"/>
      <c r="AH56" s="39"/>
      <c r="AI56" s="39"/>
      <c r="AJ56" s="39"/>
      <c r="AK56" s="39"/>
    </row>
    <row r="57" spans="1:37" ht="12.75" customHeight="1">
      <c r="A57" s="12" t="s">
        <v>43</v>
      </c>
      <c r="B57" s="12"/>
      <c r="C57" s="12"/>
      <c r="D57" s="12"/>
      <c r="E57" s="12"/>
      <c r="F57" s="12"/>
      <c r="G57" s="12"/>
      <c r="H57" s="12"/>
      <c r="I57" s="12"/>
      <c r="J57" s="12"/>
      <c r="K57" s="12"/>
      <c r="L57" s="12"/>
      <c r="M57" s="12"/>
      <c r="N57" s="12"/>
      <c r="O57" s="12"/>
      <c r="P57" s="12"/>
      <c r="Q57" s="12"/>
      <c r="R57" s="12"/>
      <c r="S57" s="12"/>
      <c r="T57" s="12"/>
      <c r="U57" s="12"/>
      <c r="V57" s="12"/>
      <c r="W57" s="39"/>
      <c r="X57" s="39"/>
      <c r="Y57" s="39"/>
      <c r="Z57" s="39"/>
      <c r="AA57" s="39"/>
      <c r="AB57" s="39"/>
      <c r="AC57" s="39"/>
      <c r="AD57" s="39"/>
      <c r="AE57" s="39"/>
      <c r="AF57" s="39"/>
      <c r="AG57" s="39"/>
      <c r="AH57" s="39"/>
      <c r="AI57" s="39"/>
      <c r="AJ57" s="39"/>
      <c r="AK57" s="39"/>
    </row>
    <row r="58" spans="1:37" ht="12.75" customHeight="1">
      <c r="A58" s="12"/>
      <c r="B58" s="12"/>
      <c r="C58" s="12"/>
      <c r="D58" s="12"/>
      <c r="E58" s="12"/>
      <c r="F58" s="12"/>
      <c r="G58" s="12"/>
      <c r="H58" s="12"/>
      <c r="I58" s="12"/>
      <c r="J58" s="12"/>
      <c r="K58" s="12"/>
      <c r="L58" s="12"/>
      <c r="M58" s="12"/>
      <c r="N58" s="12"/>
      <c r="O58" s="12"/>
      <c r="P58" s="12"/>
      <c r="Q58" s="12"/>
      <c r="R58" s="12"/>
      <c r="S58" s="12"/>
      <c r="T58" s="12"/>
      <c r="U58" s="12"/>
      <c r="V58" s="12"/>
      <c r="W58" s="39"/>
      <c r="X58" s="39"/>
      <c r="Y58" s="39"/>
      <c r="Z58" s="39"/>
      <c r="AA58" s="39"/>
      <c r="AB58" s="39"/>
      <c r="AC58" s="39"/>
      <c r="AD58" s="39"/>
      <c r="AE58" s="39"/>
      <c r="AF58" s="39"/>
      <c r="AG58" s="39"/>
      <c r="AH58" s="39"/>
      <c r="AI58" s="39"/>
      <c r="AJ58" s="39"/>
      <c r="AK58" s="39"/>
    </row>
    <row r="59" spans="1:37" ht="12.75" customHeight="1">
      <c r="A59" s="117" t="s">
        <v>42</v>
      </c>
      <c r="B59" s="117"/>
      <c r="C59" s="117"/>
      <c r="D59" s="117"/>
      <c r="E59" s="117"/>
      <c r="F59" s="117"/>
      <c r="G59" s="117"/>
      <c r="H59" s="117"/>
      <c r="I59" s="117"/>
      <c r="J59" s="117"/>
      <c r="K59" s="117"/>
      <c r="L59" s="117"/>
      <c r="M59" s="117"/>
      <c r="N59" s="117"/>
      <c r="O59" s="117"/>
      <c r="P59" s="117"/>
      <c r="Q59" s="117"/>
      <c r="R59" s="117"/>
      <c r="S59" s="117"/>
      <c r="T59" s="117"/>
      <c r="U59" s="117"/>
      <c r="V59" s="117"/>
      <c r="W59" s="39"/>
      <c r="X59" s="39"/>
      <c r="Y59" s="39"/>
      <c r="Z59" s="39"/>
      <c r="AA59" s="39"/>
      <c r="AB59" s="39"/>
      <c r="AC59" s="39"/>
      <c r="AD59" s="39"/>
      <c r="AE59" s="39"/>
      <c r="AF59" s="39"/>
      <c r="AG59" s="39"/>
      <c r="AH59" s="39"/>
      <c r="AI59" s="39"/>
      <c r="AJ59" s="39"/>
      <c r="AK59" s="39"/>
    </row>
    <row r="60" spans="1:37" ht="12.75" customHeight="1">
      <c r="A60" s="117" t="s">
        <v>41</v>
      </c>
      <c r="B60" s="117"/>
      <c r="C60" s="117"/>
      <c r="D60" s="117"/>
      <c r="E60" s="117"/>
      <c r="F60" s="117"/>
      <c r="G60" s="117"/>
      <c r="H60" s="117"/>
      <c r="I60" s="117"/>
      <c r="J60" s="117"/>
      <c r="K60" s="117"/>
      <c r="L60" s="117"/>
      <c r="M60" s="117"/>
      <c r="N60" s="117"/>
      <c r="O60" s="117"/>
      <c r="P60" s="117"/>
      <c r="Q60" s="117"/>
      <c r="R60" s="117"/>
      <c r="S60" s="117"/>
      <c r="T60" s="117"/>
      <c r="U60" s="117"/>
      <c r="V60" s="117"/>
      <c r="W60" s="39"/>
      <c r="X60" s="39"/>
      <c r="Y60" s="39"/>
      <c r="Z60" s="39"/>
      <c r="AA60" s="39"/>
      <c r="AB60" s="39"/>
      <c r="AC60" s="39"/>
      <c r="AD60" s="39"/>
      <c r="AE60" s="39"/>
      <c r="AF60" s="39"/>
      <c r="AG60" s="39"/>
      <c r="AH60" s="39"/>
      <c r="AI60" s="39"/>
      <c r="AJ60" s="39"/>
      <c r="AK60" s="39"/>
    </row>
    <row r="61" spans="1:37" ht="12.75" customHeight="1">
      <c r="A61" s="118" t="s">
        <v>40</v>
      </c>
      <c r="B61" s="118"/>
      <c r="C61" s="118"/>
      <c r="D61" s="118"/>
      <c r="E61" s="118"/>
      <c r="F61" s="118"/>
      <c r="G61" s="118"/>
      <c r="H61" s="118"/>
      <c r="I61" s="118"/>
      <c r="J61" s="118"/>
      <c r="K61" s="118"/>
      <c r="L61" s="118"/>
      <c r="M61" s="118"/>
      <c r="N61" s="118"/>
      <c r="O61" s="118"/>
      <c r="P61" s="118"/>
      <c r="Q61" s="118"/>
      <c r="R61" s="118"/>
      <c r="S61" s="118"/>
      <c r="T61" s="118"/>
      <c r="U61" s="118"/>
      <c r="V61" s="118"/>
      <c r="W61" s="39"/>
      <c r="X61" s="39"/>
      <c r="Y61" s="39"/>
      <c r="Z61" s="39"/>
      <c r="AA61" s="39"/>
      <c r="AB61" s="39"/>
      <c r="AC61" s="39"/>
      <c r="AD61" s="39"/>
      <c r="AE61" s="39"/>
      <c r="AF61" s="39"/>
      <c r="AG61" s="39"/>
      <c r="AH61" s="39"/>
      <c r="AI61" s="39"/>
      <c r="AJ61" s="39"/>
      <c r="AK61" s="39"/>
    </row>
    <row r="62" spans="1:37" ht="12.75" customHeight="1">
      <c r="A62" s="119" t="s">
        <v>273</v>
      </c>
      <c r="B62" s="119"/>
      <c r="C62" s="119"/>
      <c r="D62" s="119"/>
      <c r="E62" s="119"/>
      <c r="F62" s="119"/>
      <c r="G62" s="119"/>
      <c r="H62" s="119"/>
      <c r="I62" s="119"/>
      <c r="J62" s="119"/>
      <c r="K62" s="119"/>
      <c r="L62" s="119"/>
      <c r="M62" s="119"/>
      <c r="N62" s="119"/>
      <c r="O62" s="119"/>
      <c r="P62" s="119"/>
      <c r="Q62" s="119"/>
      <c r="R62" s="119"/>
      <c r="S62" s="119"/>
      <c r="T62" s="119"/>
      <c r="U62" s="119"/>
      <c r="V62" s="119"/>
      <c r="W62" s="39"/>
      <c r="X62" s="39"/>
      <c r="Y62" s="39"/>
      <c r="Z62" s="39"/>
      <c r="AA62" s="39"/>
      <c r="AB62" s="39"/>
      <c r="AC62" s="39"/>
      <c r="AD62" s="39"/>
      <c r="AE62" s="39"/>
      <c r="AF62" s="39"/>
      <c r="AG62" s="39"/>
      <c r="AH62" s="39"/>
      <c r="AI62" s="39"/>
      <c r="AJ62" s="39"/>
      <c r="AK62" s="39"/>
    </row>
    <row r="63" spans="1:37" ht="12.75" customHeight="1">
      <c r="A63" s="119" t="s">
        <v>274</v>
      </c>
      <c r="B63" s="119"/>
      <c r="C63" s="119"/>
      <c r="D63" s="119"/>
      <c r="E63" s="119"/>
      <c r="F63" s="119"/>
      <c r="G63" s="119"/>
      <c r="H63" s="119"/>
      <c r="I63" s="119"/>
      <c r="J63" s="119"/>
      <c r="K63" s="119"/>
      <c r="L63" s="119"/>
      <c r="M63" s="119"/>
      <c r="N63" s="119"/>
      <c r="O63" s="119"/>
      <c r="P63" s="119"/>
      <c r="Q63" s="119"/>
      <c r="R63" s="119"/>
      <c r="S63" s="119"/>
      <c r="T63" s="119"/>
      <c r="U63" s="119"/>
      <c r="V63" s="119"/>
      <c r="W63" s="39"/>
      <c r="X63" s="39"/>
      <c r="Y63" s="39"/>
      <c r="Z63" s="39"/>
      <c r="AA63" s="39"/>
      <c r="AB63" s="39"/>
      <c r="AC63" s="39"/>
      <c r="AD63" s="39"/>
      <c r="AE63" s="39"/>
      <c r="AF63" s="39"/>
      <c r="AG63" s="39"/>
      <c r="AH63" s="39"/>
      <c r="AI63" s="39"/>
      <c r="AJ63" s="39"/>
      <c r="AK63" s="39"/>
    </row>
    <row r="64" spans="1:37" ht="12.75" customHeight="1">
      <c r="A64" s="119" t="s">
        <v>275</v>
      </c>
      <c r="B64" s="119"/>
      <c r="C64" s="119"/>
      <c r="D64" s="119"/>
      <c r="E64" s="119"/>
      <c r="F64" s="119"/>
      <c r="G64" s="119"/>
      <c r="H64" s="119"/>
      <c r="I64" s="119"/>
      <c r="J64" s="119"/>
      <c r="K64" s="119"/>
      <c r="L64" s="119"/>
      <c r="M64" s="119"/>
      <c r="N64" s="119"/>
      <c r="O64" s="119"/>
      <c r="P64" s="119"/>
      <c r="Q64" s="119"/>
      <c r="R64" s="119"/>
      <c r="S64" s="119"/>
      <c r="T64" s="119"/>
      <c r="U64" s="119"/>
      <c r="V64" s="119"/>
      <c r="W64" s="39"/>
      <c r="X64" s="39"/>
      <c r="Y64" s="39"/>
      <c r="Z64" s="39"/>
      <c r="AA64" s="39"/>
      <c r="AB64" s="39"/>
      <c r="AC64" s="39"/>
      <c r="AD64" s="39"/>
      <c r="AE64" s="39"/>
      <c r="AF64" s="39"/>
      <c r="AG64" s="39"/>
      <c r="AH64" s="39"/>
      <c r="AI64" s="39"/>
      <c r="AJ64" s="39"/>
      <c r="AK64" s="39"/>
    </row>
    <row r="65" spans="1:37" ht="12.75" customHeight="1">
      <c r="A65" s="119" t="s">
        <v>276</v>
      </c>
      <c r="B65" s="119"/>
      <c r="C65" s="119"/>
      <c r="D65" s="119"/>
      <c r="E65" s="119"/>
      <c r="F65" s="119"/>
      <c r="G65" s="119"/>
      <c r="H65" s="119"/>
      <c r="I65" s="119"/>
      <c r="J65" s="119"/>
      <c r="K65" s="119"/>
      <c r="L65" s="119"/>
      <c r="M65" s="119"/>
      <c r="N65" s="119"/>
      <c r="O65" s="119"/>
      <c r="P65" s="119"/>
      <c r="Q65" s="119"/>
      <c r="R65" s="119"/>
      <c r="S65" s="119"/>
      <c r="T65" s="119"/>
      <c r="U65" s="119"/>
      <c r="V65" s="119"/>
      <c r="W65" s="39"/>
      <c r="X65" s="39"/>
      <c r="Y65" s="39"/>
      <c r="Z65" s="39"/>
      <c r="AA65" s="39"/>
      <c r="AB65" s="39"/>
      <c r="AC65" s="39"/>
      <c r="AD65" s="39"/>
      <c r="AE65" s="39"/>
      <c r="AF65" s="39"/>
      <c r="AG65" s="39"/>
      <c r="AH65" s="39"/>
      <c r="AI65" s="39"/>
      <c r="AJ65" s="39"/>
      <c r="AK65" s="39"/>
    </row>
    <row r="66" spans="1:37" ht="12.75" customHeight="1">
      <c r="A66" s="119" t="s">
        <v>684</v>
      </c>
      <c r="B66" s="119"/>
      <c r="C66" s="119"/>
      <c r="D66" s="119"/>
      <c r="E66" s="119"/>
      <c r="F66" s="119"/>
      <c r="G66" s="119"/>
      <c r="H66" s="119"/>
      <c r="I66" s="119"/>
      <c r="J66" s="119"/>
      <c r="K66" s="119"/>
      <c r="L66" s="119"/>
      <c r="M66" s="119"/>
      <c r="N66" s="119"/>
      <c r="O66" s="119"/>
      <c r="P66" s="119"/>
      <c r="Q66" s="119"/>
      <c r="R66" s="119"/>
      <c r="S66" s="119"/>
      <c r="T66" s="119"/>
      <c r="U66" s="119"/>
      <c r="V66" s="119"/>
      <c r="W66" s="39"/>
      <c r="X66" s="39"/>
      <c r="Y66" s="39"/>
      <c r="Z66" s="39"/>
      <c r="AA66" s="39"/>
      <c r="AB66" s="39"/>
      <c r="AC66" s="39"/>
      <c r="AD66" s="39"/>
      <c r="AE66" s="39"/>
      <c r="AF66" s="39"/>
      <c r="AG66" s="39"/>
      <c r="AH66" s="39"/>
      <c r="AI66" s="39"/>
      <c r="AJ66" s="39"/>
      <c r="AK66" s="39"/>
    </row>
    <row r="67" spans="1:37" ht="12.75" customHeight="1">
      <c r="A67" s="118" t="s">
        <v>39</v>
      </c>
      <c r="B67" s="118"/>
      <c r="C67" s="118"/>
      <c r="D67" s="118"/>
      <c r="E67" s="118"/>
      <c r="F67" s="118"/>
      <c r="G67" s="118"/>
      <c r="H67" s="118"/>
      <c r="I67" s="118"/>
      <c r="J67" s="118"/>
      <c r="K67" s="118"/>
      <c r="L67" s="118"/>
      <c r="M67" s="118"/>
      <c r="N67" s="118"/>
      <c r="O67" s="118"/>
      <c r="P67" s="118"/>
      <c r="Q67" s="118"/>
      <c r="R67" s="118"/>
      <c r="S67" s="118"/>
      <c r="T67" s="118"/>
      <c r="U67" s="118"/>
      <c r="V67" s="118"/>
      <c r="W67" s="39"/>
      <c r="X67" s="39"/>
      <c r="Y67" s="39"/>
      <c r="Z67" s="39"/>
      <c r="AA67" s="39"/>
      <c r="AB67" s="39"/>
      <c r="AC67" s="39"/>
      <c r="AD67" s="39"/>
      <c r="AE67" s="39"/>
      <c r="AF67" s="39"/>
      <c r="AG67" s="39"/>
      <c r="AH67" s="39"/>
      <c r="AI67" s="39"/>
      <c r="AJ67" s="39"/>
      <c r="AK67" s="39"/>
    </row>
    <row r="68" spans="1:37" ht="12.75" customHeight="1">
      <c r="A68" s="119" t="s">
        <v>38</v>
      </c>
      <c r="B68" s="119"/>
      <c r="C68" s="119"/>
      <c r="D68" s="119"/>
      <c r="E68" s="119"/>
      <c r="F68" s="119"/>
      <c r="G68" s="119"/>
      <c r="H68" s="119"/>
      <c r="I68" s="119"/>
      <c r="J68" s="119"/>
      <c r="K68" s="119"/>
      <c r="L68" s="119"/>
      <c r="M68" s="119"/>
      <c r="N68" s="119"/>
      <c r="O68" s="119"/>
      <c r="P68" s="119"/>
      <c r="Q68" s="119"/>
      <c r="R68" s="119"/>
      <c r="S68" s="119"/>
      <c r="T68" s="119"/>
      <c r="U68" s="119"/>
      <c r="V68" s="119"/>
      <c r="W68" s="39"/>
      <c r="X68" s="39"/>
      <c r="Y68" s="39"/>
      <c r="Z68" s="39"/>
      <c r="AA68" s="39"/>
      <c r="AB68" s="39"/>
      <c r="AC68" s="39"/>
      <c r="AD68" s="39"/>
      <c r="AE68" s="39"/>
      <c r="AF68" s="39"/>
      <c r="AG68" s="39"/>
      <c r="AH68" s="39"/>
      <c r="AI68" s="39"/>
      <c r="AJ68" s="39"/>
      <c r="AK68" s="39"/>
    </row>
    <row r="69" spans="1:37" ht="12.75" customHeight="1">
      <c r="A69" s="119" t="s">
        <v>277</v>
      </c>
      <c r="B69" s="119"/>
      <c r="C69" s="119"/>
      <c r="D69" s="119"/>
      <c r="E69" s="119"/>
      <c r="F69" s="119"/>
      <c r="G69" s="119"/>
      <c r="H69" s="119"/>
      <c r="I69" s="119"/>
      <c r="J69" s="119"/>
      <c r="K69" s="119"/>
      <c r="L69" s="119"/>
      <c r="M69" s="119"/>
      <c r="N69" s="119"/>
      <c r="O69" s="119"/>
      <c r="P69" s="119"/>
      <c r="Q69" s="119"/>
      <c r="R69" s="119"/>
      <c r="S69" s="119"/>
      <c r="T69" s="119"/>
      <c r="U69" s="119"/>
      <c r="V69" s="119"/>
      <c r="W69" s="39"/>
      <c r="X69" s="39"/>
      <c r="Y69" s="39"/>
      <c r="Z69" s="39"/>
      <c r="AA69" s="39"/>
      <c r="AB69" s="39"/>
      <c r="AC69" s="39"/>
      <c r="AD69" s="39"/>
      <c r="AE69" s="39"/>
      <c r="AF69" s="39"/>
      <c r="AG69" s="39"/>
      <c r="AH69" s="39"/>
      <c r="AI69" s="39"/>
      <c r="AJ69" s="39"/>
      <c r="AK69" s="39"/>
    </row>
    <row r="70" spans="1:37" ht="12.75" customHeight="1">
      <c r="A70" s="119" t="s">
        <v>278</v>
      </c>
      <c r="B70" s="119"/>
      <c r="C70" s="119"/>
      <c r="D70" s="119"/>
      <c r="E70" s="119"/>
      <c r="F70" s="119"/>
      <c r="G70" s="119"/>
      <c r="H70" s="119"/>
      <c r="I70" s="119"/>
      <c r="J70" s="119"/>
      <c r="K70" s="119"/>
      <c r="L70" s="119"/>
      <c r="M70" s="119"/>
      <c r="N70" s="119"/>
      <c r="O70" s="119"/>
      <c r="P70" s="119"/>
      <c r="Q70" s="119"/>
      <c r="R70" s="119"/>
      <c r="S70" s="119"/>
      <c r="T70" s="119"/>
      <c r="U70" s="119"/>
      <c r="V70" s="119"/>
      <c r="W70" s="39"/>
      <c r="X70" s="39"/>
      <c r="Y70" s="39"/>
      <c r="Z70" s="39"/>
      <c r="AA70" s="39"/>
      <c r="AB70" s="39"/>
      <c r="AC70" s="39"/>
      <c r="AD70" s="39"/>
      <c r="AE70" s="39"/>
      <c r="AF70" s="39"/>
      <c r="AG70" s="39"/>
      <c r="AH70" s="39"/>
      <c r="AI70" s="39"/>
      <c r="AJ70" s="39"/>
      <c r="AK70" s="39"/>
    </row>
    <row r="71" spans="1:37" ht="12.75" customHeight="1">
      <c r="A71" s="119" t="s">
        <v>279</v>
      </c>
      <c r="B71" s="119"/>
      <c r="C71" s="119"/>
      <c r="D71" s="119"/>
      <c r="E71" s="119"/>
      <c r="F71" s="119"/>
      <c r="G71" s="119"/>
      <c r="H71" s="119"/>
      <c r="I71" s="119"/>
      <c r="J71" s="119"/>
      <c r="K71" s="119"/>
      <c r="L71" s="119"/>
      <c r="M71" s="119"/>
      <c r="N71" s="119"/>
      <c r="O71" s="119"/>
      <c r="P71" s="119"/>
      <c r="Q71" s="119"/>
      <c r="R71" s="119"/>
      <c r="S71" s="119"/>
      <c r="T71" s="119"/>
      <c r="U71" s="119"/>
      <c r="V71" s="119"/>
      <c r="W71" s="39"/>
      <c r="X71" s="39"/>
      <c r="Y71" s="39"/>
      <c r="Z71" s="39"/>
      <c r="AA71" s="39"/>
      <c r="AB71" s="39"/>
      <c r="AC71" s="39"/>
      <c r="AD71" s="39"/>
      <c r="AE71" s="39"/>
      <c r="AF71" s="39"/>
      <c r="AG71" s="39"/>
      <c r="AH71" s="39"/>
      <c r="AI71" s="39"/>
      <c r="AJ71" s="39"/>
      <c r="AK71" s="39"/>
    </row>
    <row r="72" spans="1:37" ht="12.75" customHeight="1">
      <c r="A72" s="119" t="s">
        <v>295</v>
      </c>
      <c r="B72" s="119"/>
      <c r="C72" s="119"/>
      <c r="D72" s="119"/>
      <c r="E72" s="119"/>
      <c r="F72" s="119"/>
      <c r="G72" s="119"/>
      <c r="H72" s="119"/>
      <c r="I72" s="119"/>
      <c r="J72" s="119"/>
      <c r="K72" s="119"/>
      <c r="L72" s="119"/>
      <c r="M72" s="119"/>
      <c r="N72" s="119"/>
      <c r="O72" s="119"/>
      <c r="P72" s="119"/>
      <c r="Q72" s="119"/>
      <c r="R72" s="119"/>
      <c r="S72" s="119"/>
      <c r="T72" s="119"/>
      <c r="U72" s="119"/>
      <c r="V72" s="119"/>
      <c r="W72" s="39"/>
      <c r="X72" s="39"/>
      <c r="Y72" s="39"/>
      <c r="Z72" s="39"/>
      <c r="AA72" s="39"/>
      <c r="AB72" s="39"/>
      <c r="AC72" s="39"/>
      <c r="AD72" s="39"/>
      <c r="AE72" s="39"/>
      <c r="AF72" s="39"/>
      <c r="AG72" s="39"/>
      <c r="AH72" s="39"/>
      <c r="AI72" s="39"/>
      <c r="AJ72" s="39"/>
      <c r="AK72" s="39"/>
    </row>
    <row r="73" spans="1:37" ht="12.75" customHeight="1">
      <c r="A73" s="119" t="s">
        <v>685</v>
      </c>
      <c r="B73" s="119"/>
      <c r="C73" s="119"/>
      <c r="D73" s="119"/>
      <c r="E73" s="119"/>
      <c r="F73" s="119"/>
      <c r="G73" s="119"/>
      <c r="H73" s="119"/>
      <c r="I73" s="119"/>
      <c r="J73" s="119"/>
      <c r="K73" s="119"/>
      <c r="L73" s="119"/>
      <c r="M73" s="119"/>
      <c r="N73" s="119"/>
      <c r="O73" s="119"/>
      <c r="P73" s="119"/>
      <c r="Q73" s="119"/>
      <c r="R73" s="119"/>
      <c r="S73" s="119"/>
      <c r="T73" s="119"/>
      <c r="U73" s="119"/>
      <c r="V73" s="119"/>
      <c r="W73" s="39"/>
      <c r="X73" s="39"/>
      <c r="Y73" s="39"/>
      <c r="Z73" s="39"/>
      <c r="AA73" s="39"/>
      <c r="AB73" s="39"/>
      <c r="AC73" s="39"/>
      <c r="AD73" s="39"/>
      <c r="AE73" s="39"/>
      <c r="AF73" s="39"/>
      <c r="AG73" s="39"/>
      <c r="AH73" s="39"/>
      <c r="AI73" s="39"/>
      <c r="AJ73" s="39"/>
      <c r="AK73" s="39"/>
    </row>
    <row r="74" spans="1:37" ht="12.75" customHeight="1">
      <c r="A74" s="120" t="s">
        <v>37</v>
      </c>
      <c r="B74" s="120"/>
      <c r="C74" s="120"/>
      <c r="D74" s="120"/>
      <c r="E74" s="120"/>
      <c r="F74" s="120"/>
      <c r="G74" s="120"/>
      <c r="H74" s="120"/>
      <c r="I74" s="120"/>
      <c r="J74" s="120"/>
      <c r="K74" s="120"/>
      <c r="L74" s="120"/>
      <c r="M74" s="120"/>
      <c r="N74" s="120"/>
      <c r="O74" s="120"/>
      <c r="P74" s="120"/>
      <c r="Q74" s="120"/>
      <c r="R74" s="120"/>
      <c r="S74" s="120"/>
      <c r="T74" s="120"/>
      <c r="U74" s="120"/>
      <c r="V74" s="120"/>
      <c r="W74" s="39"/>
      <c r="X74" s="39"/>
      <c r="Y74" s="39"/>
      <c r="Z74" s="39"/>
      <c r="AA74" s="39"/>
      <c r="AB74" s="39"/>
      <c r="AC74" s="39"/>
      <c r="AD74" s="39"/>
      <c r="AE74" s="39"/>
      <c r="AF74" s="39"/>
      <c r="AG74" s="39"/>
      <c r="AH74" s="39"/>
      <c r="AI74" s="39"/>
      <c r="AJ74" s="39"/>
      <c r="AK74" s="39"/>
    </row>
    <row r="75" spans="1:37" ht="12.75" customHeight="1">
      <c r="A75" s="12" t="s">
        <v>280</v>
      </c>
      <c r="B75" s="12"/>
      <c r="C75" s="12"/>
      <c r="D75" s="12"/>
      <c r="E75" s="12"/>
      <c r="F75" s="12"/>
      <c r="G75" s="12"/>
      <c r="H75" s="12"/>
      <c r="I75" s="12"/>
      <c r="J75" s="12"/>
      <c r="K75" s="12"/>
      <c r="L75" s="12"/>
      <c r="M75" s="12"/>
      <c r="N75" s="12"/>
      <c r="O75" s="12"/>
      <c r="P75" s="12"/>
      <c r="Q75" s="12"/>
      <c r="R75" s="12"/>
      <c r="S75" s="12"/>
      <c r="T75" s="12"/>
      <c r="U75" s="12"/>
      <c r="V75" s="12"/>
      <c r="W75" s="39"/>
      <c r="X75" s="39"/>
      <c r="Y75" s="39"/>
      <c r="Z75" s="39"/>
      <c r="AA75" s="39"/>
      <c r="AB75" s="39"/>
      <c r="AC75" s="39"/>
      <c r="AD75" s="39"/>
      <c r="AE75" s="39"/>
      <c r="AF75" s="39"/>
      <c r="AG75" s="39"/>
      <c r="AH75" s="39"/>
      <c r="AI75" s="39"/>
      <c r="AJ75" s="39"/>
      <c r="AK75" s="39"/>
    </row>
    <row r="76" spans="1:37" ht="12.75" customHeight="1">
      <c r="A76" s="119" t="s">
        <v>2804</v>
      </c>
      <c r="B76" s="119"/>
      <c r="C76" s="119"/>
      <c r="D76" s="119"/>
      <c r="E76" s="119"/>
      <c r="F76" s="119"/>
      <c r="G76" s="119"/>
      <c r="H76" s="119"/>
      <c r="I76" s="119"/>
      <c r="J76" s="119"/>
      <c r="K76" s="119"/>
      <c r="L76" s="119"/>
      <c r="M76" s="119"/>
      <c r="N76" s="119"/>
      <c r="O76" s="119"/>
      <c r="P76" s="119"/>
      <c r="Q76" s="119"/>
      <c r="R76" s="119"/>
      <c r="S76" s="119"/>
      <c r="T76" s="119"/>
      <c r="U76" s="119"/>
      <c r="V76" s="119"/>
      <c r="W76" s="39"/>
      <c r="X76" s="39"/>
      <c r="Y76" s="39"/>
      <c r="Z76" s="39"/>
      <c r="AA76" s="39"/>
      <c r="AB76" s="39"/>
      <c r="AC76" s="39"/>
      <c r="AD76" s="39"/>
      <c r="AE76" s="39"/>
      <c r="AF76" s="39"/>
      <c r="AG76" s="39"/>
      <c r="AH76" s="39"/>
      <c r="AI76" s="39"/>
      <c r="AJ76" s="39"/>
      <c r="AK76" s="39"/>
    </row>
    <row r="77" spans="1:37" ht="12.75" customHeight="1">
      <c r="A77" s="120" t="s">
        <v>36</v>
      </c>
      <c r="B77" s="120"/>
      <c r="C77" s="120"/>
      <c r="D77" s="120"/>
      <c r="E77" s="120"/>
      <c r="F77" s="120"/>
      <c r="G77" s="120"/>
      <c r="H77" s="120"/>
      <c r="I77" s="120"/>
      <c r="J77" s="120"/>
      <c r="K77" s="120"/>
      <c r="L77" s="120"/>
      <c r="M77" s="120"/>
      <c r="N77" s="120"/>
      <c r="O77" s="120"/>
      <c r="P77" s="120"/>
      <c r="Q77" s="120"/>
      <c r="R77" s="120"/>
      <c r="S77" s="120"/>
      <c r="T77" s="120"/>
      <c r="U77" s="120"/>
      <c r="V77" s="120"/>
      <c r="W77" s="39"/>
      <c r="X77" s="39"/>
      <c r="Y77" s="39"/>
      <c r="Z77" s="39"/>
      <c r="AA77" s="39"/>
      <c r="AB77" s="39"/>
      <c r="AC77" s="39"/>
      <c r="AD77" s="39"/>
      <c r="AE77" s="39"/>
      <c r="AF77" s="39"/>
      <c r="AG77" s="39"/>
      <c r="AH77" s="39"/>
      <c r="AI77" s="39"/>
      <c r="AJ77" s="39"/>
      <c r="AK77" s="39"/>
    </row>
    <row r="78" spans="1:37" ht="12.75" customHeight="1">
      <c r="A78" s="119" t="s">
        <v>281</v>
      </c>
      <c r="B78" s="119"/>
      <c r="C78" s="119"/>
      <c r="D78" s="119"/>
      <c r="E78" s="119"/>
      <c r="F78" s="119"/>
      <c r="G78" s="119"/>
      <c r="H78" s="119"/>
      <c r="I78" s="119"/>
      <c r="J78" s="119"/>
      <c r="K78" s="119"/>
      <c r="L78" s="119"/>
      <c r="M78" s="119"/>
      <c r="N78" s="119"/>
      <c r="O78" s="119"/>
      <c r="P78" s="119"/>
      <c r="Q78" s="119"/>
      <c r="R78" s="119"/>
      <c r="S78" s="119"/>
      <c r="T78" s="119"/>
      <c r="U78" s="119"/>
      <c r="V78" s="119"/>
      <c r="W78" s="39"/>
      <c r="X78" s="39"/>
      <c r="Y78" s="39"/>
      <c r="Z78" s="39"/>
      <c r="AA78" s="39"/>
      <c r="AB78" s="39"/>
      <c r="AC78" s="39"/>
      <c r="AD78" s="39"/>
      <c r="AE78" s="39"/>
      <c r="AF78" s="39"/>
      <c r="AG78" s="39"/>
      <c r="AH78" s="39"/>
      <c r="AI78" s="39"/>
      <c r="AJ78" s="39"/>
      <c r="AK78" s="39"/>
    </row>
    <row r="79" spans="1:37" ht="12.75" customHeight="1">
      <c r="A79" s="119" t="s">
        <v>282</v>
      </c>
      <c r="B79" s="119"/>
      <c r="C79" s="119"/>
      <c r="D79" s="119"/>
      <c r="E79" s="119"/>
      <c r="F79" s="119"/>
      <c r="G79" s="119"/>
      <c r="H79" s="119"/>
      <c r="I79" s="119"/>
      <c r="J79" s="119"/>
      <c r="K79" s="119"/>
      <c r="L79" s="119"/>
      <c r="M79" s="119"/>
      <c r="N79" s="119"/>
      <c r="O79" s="119"/>
      <c r="P79" s="119"/>
      <c r="Q79" s="119"/>
      <c r="R79" s="119"/>
      <c r="S79" s="119"/>
      <c r="T79" s="119"/>
      <c r="U79" s="119"/>
      <c r="V79" s="119"/>
      <c r="W79" s="39"/>
      <c r="X79" s="39"/>
      <c r="Y79" s="39"/>
      <c r="Z79" s="39"/>
      <c r="AA79" s="39"/>
      <c r="AB79" s="39"/>
      <c r="AC79" s="39"/>
      <c r="AD79" s="39"/>
      <c r="AE79" s="39"/>
      <c r="AF79" s="39"/>
      <c r="AG79" s="39"/>
      <c r="AH79" s="39"/>
      <c r="AI79" s="39"/>
      <c r="AJ79" s="39"/>
      <c r="AK79" s="39"/>
    </row>
    <row r="80" spans="1:37" ht="12.75" customHeight="1">
      <c r="A80" s="119" t="s">
        <v>686</v>
      </c>
      <c r="B80" s="119"/>
      <c r="C80" s="119"/>
      <c r="D80" s="119"/>
      <c r="E80" s="119"/>
      <c r="F80" s="119"/>
      <c r="G80" s="119"/>
      <c r="H80" s="119"/>
      <c r="I80" s="119"/>
      <c r="J80" s="119"/>
      <c r="K80" s="119"/>
      <c r="L80" s="119"/>
      <c r="M80" s="119"/>
      <c r="N80" s="119"/>
      <c r="O80" s="119"/>
      <c r="P80" s="119"/>
      <c r="Q80" s="119"/>
      <c r="R80" s="119"/>
      <c r="S80" s="119"/>
      <c r="T80" s="119"/>
      <c r="U80" s="119"/>
      <c r="V80" s="119"/>
      <c r="W80" s="39"/>
      <c r="X80" s="39"/>
      <c r="Y80" s="39"/>
      <c r="Z80" s="39"/>
      <c r="AA80" s="39"/>
      <c r="AB80" s="39"/>
      <c r="AC80" s="39"/>
      <c r="AD80" s="39"/>
      <c r="AE80" s="39"/>
      <c r="AF80" s="39"/>
      <c r="AG80" s="39"/>
      <c r="AH80" s="39"/>
      <c r="AI80" s="39"/>
      <c r="AJ80" s="39"/>
      <c r="AK80" s="39"/>
    </row>
    <row r="81" spans="1:37" ht="12.75" customHeight="1">
      <c r="A81" s="120" t="s">
        <v>35</v>
      </c>
      <c r="B81" s="120"/>
      <c r="C81" s="120"/>
      <c r="D81" s="120"/>
      <c r="E81" s="120"/>
      <c r="F81" s="120"/>
      <c r="G81" s="120"/>
      <c r="H81" s="120"/>
      <c r="I81" s="120"/>
      <c r="J81" s="120"/>
      <c r="K81" s="120"/>
      <c r="L81" s="120"/>
      <c r="M81" s="120"/>
      <c r="N81" s="120"/>
      <c r="O81" s="120"/>
      <c r="P81" s="120"/>
      <c r="Q81" s="120"/>
      <c r="R81" s="120"/>
      <c r="S81" s="120"/>
      <c r="T81" s="120"/>
      <c r="U81" s="120"/>
      <c r="V81" s="120"/>
      <c r="W81" s="39"/>
      <c r="X81" s="39"/>
      <c r="Y81" s="39"/>
      <c r="Z81" s="39"/>
      <c r="AA81" s="39"/>
      <c r="AB81" s="39"/>
      <c r="AC81" s="39"/>
      <c r="AD81" s="39"/>
      <c r="AE81" s="39"/>
      <c r="AF81" s="39"/>
      <c r="AG81" s="39"/>
      <c r="AH81" s="39"/>
      <c r="AI81" s="39"/>
      <c r="AJ81" s="39"/>
      <c r="AK81" s="39"/>
    </row>
    <row r="82" spans="1:37" ht="12.75" customHeight="1">
      <c r="A82" s="119" t="s">
        <v>296</v>
      </c>
      <c r="B82" s="119"/>
      <c r="C82" s="119"/>
      <c r="D82" s="119"/>
      <c r="E82" s="119"/>
      <c r="F82" s="119"/>
      <c r="G82" s="119"/>
      <c r="H82" s="119"/>
      <c r="I82" s="119"/>
      <c r="J82" s="119"/>
      <c r="K82" s="119"/>
      <c r="L82" s="119"/>
      <c r="M82" s="119"/>
      <c r="N82" s="119"/>
      <c r="O82" s="119"/>
      <c r="P82" s="119"/>
      <c r="Q82" s="119"/>
      <c r="R82" s="119"/>
      <c r="S82" s="119"/>
      <c r="T82" s="119"/>
      <c r="U82" s="119"/>
      <c r="V82" s="119"/>
      <c r="W82" s="39"/>
      <c r="X82" s="39"/>
      <c r="Y82" s="39"/>
      <c r="Z82" s="39"/>
      <c r="AA82" s="39"/>
      <c r="AB82" s="39"/>
      <c r="AC82" s="39"/>
      <c r="AD82" s="39"/>
      <c r="AE82" s="39"/>
      <c r="AF82" s="39"/>
      <c r="AG82" s="39"/>
      <c r="AH82" s="39"/>
      <c r="AI82" s="39"/>
      <c r="AJ82" s="39"/>
      <c r="AK82" s="39"/>
    </row>
    <row r="83" spans="1:37" ht="12.75" customHeight="1">
      <c r="A83" s="120" t="s">
        <v>33</v>
      </c>
      <c r="B83" s="120"/>
      <c r="C83" s="120"/>
      <c r="D83" s="120"/>
      <c r="E83" s="120"/>
      <c r="F83" s="120"/>
      <c r="G83" s="120"/>
      <c r="H83" s="120"/>
      <c r="I83" s="120"/>
      <c r="J83" s="120"/>
      <c r="K83" s="120"/>
      <c r="L83" s="120"/>
      <c r="M83" s="120"/>
      <c r="N83" s="120"/>
      <c r="O83" s="120"/>
      <c r="P83" s="120"/>
      <c r="Q83" s="120"/>
      <c r="R83" s="120"/>
      <c r="S83" s="120"/>
      <c r="T83" s="120"/>
      <c r="U83" s="120"/>
      <c r="V83" s="120"/>
      <c r="W83" s="39"/>
      <c r="X83" s="39"/>
      <c r="Y83" s="39"/>
      <c r="Z83" s="39"/>
      <c r="AA83" s="39"/>
      <c r="AB83" s="39"/>
      <c r="AC83" s="39"/>
      <c r="AD83" s="39"/>
      <c r="AE83" s="39"/>
      <c r="AF83" s="39"/>
      <c r="AG83" s="39"/>
      <c r="AH83" s="39"/>
      <c r="AI83" s="39"/>
      <c r="AJ83" s="39"/>
      <c r="AK83" s="39"/>
    </row>
    <row r="84" spans="1:37" ht="12.75" customHeight="1">
      <c r="A84" s="119" t="s">
        <v>32</v>
      </c>
      <c r="B84" s="119"/>
      <c r="C84" s="119"/>
      <c r="D84" s="119"/>
      <c r="E84" s="119"/>
      <c r="F84" s="119"/>
      <c r="G84" s="119"/>
      <c r="H84" s="119"/>
      <c r="I84" s="119"/>
      <c r="J84" s="119"/>
      <c r="K84" s="119"/>
      <c r="L84" s="119"/>
      <c r="M84" s="119"/>
      <c r="N84" s="119"/>
      <c r="O84" s="119"/>
      <c r="P84" s="119"/>
      <c r="Q84" s="119"/>
      <c r="R84" s="119"/>
      <c r="S84" s="119"/>
      <c r="T84" s="119"/>
      <c r="U84" s="119"/>
      <c r="V84" s="119"/>
      <c r="W84" s="39"/>
      <c r="X84" s="39"/>
      <c r="Y84" s="39"/>
      <c r="Z84" s="39"/>
      <c r="AA84" s="39"/>
      <c r="AB84" s="39"/>
      <c r="AC84" s="39"/>
      <c r="AD84" s="39"/>
      <c r="AE84" s="39"/>
      <c r="AF84" s="39"/>
      <c r="AG84" s="39"/>
      <c r="AH84" s="39"/>
      <c r="AI84" s="39"/>
      <c r="AJ84" s="39"/>
      <c r="AK84" s="39"/>
    </row>
    <row r="85" spans="1:37" ht="12.75" customHeight="1">
      <c r="A85" s="119" t="s">
        <v>283</v>
      </c>
      <c r="B85" s="119"/>
      <c r="C85" s="119"/>
      <c r="D85" s="119"/>
      <c r="E85" s="119"/>
      <c r="F85" s="119"/>
      <c r="G85" s="119"/>
      <c r="H85" s="119"/>
      <c r="I85" s="119"/>
      <c r="J85" s="119"/>
      <c r="K85" s="119"/>
      <c r="L85" s="119"/>
      <c r="M85" s="119"/>
      <c r="N85" s="119"/>
      <c r="O85" s="119"/>
      <c r="P85" s="119"/>
      <c r="Q85" s="119"/>
      <c r="R85" s="119"/>
      <c r="S85" s="119"/>
      <c r="T85" s="119"/>
      <c r="U85" s="119"/>
      <c r="V85" s="119"/>
      <c r="W85" s="39"/>
      <c r="X85" s="39"/>
      <c r="Y85" s="39"/>
      <c r="Z85" s="39"/>
      <c r="AA85" s="39"/>
      <c r="AB85" s="39"/>
      <c r="AC85" s="39"/>
      <c r="AD85" s="39"/>
      <c r="AE85" s="39"/>
      <c r="AF85" s="39"/>
      <c r="AG85" s="39"/>
      <c r="AH85" s="39"/>
      <c r="AI85" s="39"/>
      <c r="AJ85" s="39"/>
      <c r="AK85" s="39"/>
    </row>
    <row r="86" spans="1:37" ht="12.75" customHeight="1">
      <c r="A86" s="119" t="s">
        <v>687</v>
      </c>
      <c r="B86" s="119"/>
      <c r="C86" s="119"/>
      <c r="D86" s="119"/>
      <c r="E86" s="119"/>
      <c r="F86" s="119"/>
      <c r="G86" s="119"/>
      <c r="H86" s="119"/>
      <c r="I86" s="119"/>
      <c r="J86" s="119"/>
      <c r="K86" s="119"/>
      <c r="L86" s="119"/>
      <c r="M86" s="119"/>
      <c r="N86" s="119"/>
      <c r="O86" s="119"/>
      <c r="P86" s="119"/>
      <c r="Q86" s="119"/>
      <c r="R86" s="119"/>
      <c r="S86" s="119"/>
      <c r="T86" s="119"/>
      <c r="U86" s="119"/>
      <c r="V86" s="119"/>
      <c r="W86" s="39"/>
      <c r="X86" s="39"/>
      <c r="Y86" s="39"/>
      <c r="Z86" s="39"/>
      <c r="AA86" s="39"/>
      <c r="AB86" s="39"/>
      <c r="AC86" s="39"/>
      <c r="AD86" s="39"/>
      <c r="AE86" s="39"/>
      <c r="AF86" s="39"/>
      <c r="AG86" s="39"/>
      <c r="AH86" s="39"/>
      <c r="AI86" s="39"/>
      <c r="AJ86" s="39"/>
      <c r="AK86" s="39"/>
    </row>
    <row r="87" spans="1:37" ht="12.75" customHeight="1">
      <c r="A87" s="120" t="s">
        <v>31</v>
      </c>
      <c r="B87" s="120"/>
      <c r="C87" s="120"/>
      <c r="D87" s="120"/>
      <c r="E87" s="120"/>
      <c r="F87" s="120"/>
      <c r="G87" s="120"/>
      <c r="H87" s="120"/>
      <c r="I87" s="120"/>
      <c r="J87" s="120"/>
      <c r="K87" s="120"/>
      <c r="L87" s="120"/>
      <c r="M87" s="120"/>
      <c r="N87" s="120"/>
      <c r="O87" s="120"/>
      <c r="P87" s="120"/>
      <c r="Q87" s="120"/>
      <c r="R87" s="120"/>
      <c r="S87" s="120"/>
      <c r="T87" s="120"/>
      <c r="U87" s="120"/>
      <c r="V87" s="120"/>
      <c r="W87" s="39"/>
      <c r="X87" s="39"/>
      <c r="Y87" s="39"/>
      <c r="Z87" s="39"/>
      <c r="AA87" s="39"/>
      <c r="AB87" s="39"/>
      <c r="AC87" s="39"/>
      <c r="AD87" s="39"/>
      <c r="AE87" s="39"/>
      <c r="AF87" s="39"/>
      <c r="AG87" s="39"/>
      <c r="AH87" s="39"/>
      <c r="AI87" s="39"/>
      <c r="AJ87" s="39"/>
      <c r="AK87" s="39"/>
    </row>
    <row r="88" spans="1:37" ht="12.75" customHeight="1">
      <c r="A88" s="118" t="s">
        <v>30</v>
      </c>
      <c r="B88" s="118"/>
      <c r="C88" s="118"/>
      <c r="D88" s="118"/>
      <c r="E88" s="118"/>
      <c r="F88" s="118"/>
      <c r="G88" s="118"/>
      <c r="H88" s="118"/>
      <c r="I88" s="118"/>
      <c r="J88" s="118"/>
      <c r="K88" s="118"/>
      <c r="L88" s="118"/>
      <c r="M88" s="118"/>
      <c r="N88" s="118"/>
      <c r="O88" s="118"/>
      <c r="P88" s="118"/>
      <c r="Q88" s="118"/>
      <c r="R88" s="118"/>
      <c r="S88" s="118"/>
      <c r="T88" s="118"/>
      <c r="U88" s="118"/>
      <c r="V88" s="118"/>
      <c r="W88" s="39"/>
      <c r="X88" s="39"/>
      <c r="Y88" s="39"/>
      <c r="Z88" s="39"/>
      <c r="AA88" s="39"/>
      <c r="AB88" s="39"/>
      <c r="AC88" s="39"/>
      <c r="AD88" s="39"/>
      <c r="AE88" s="39"/>
      <c r="AF88" s="39"/>
      <c r="AG88" s="39"/>
      <c r="AH88" s="39"/>
      <c r="AI88" s="39"/>
      <c r="AJ88" s="39"/>
      <c r="AK88" s="39"/>
    </row>
    <row r="89" spans="1:37" ht="12.75" customHeight="1">
      <c r="A89" s="12" t="s">
        <v>284</v>
      </c>
      <c r="B89" s="12"/>
      <c r="C89" s="12"/>
      <c r="D89" s="12"/>
      <c r="E89" s="12"/>
      <c r="F89" s="12"/>
      <c r="G89" s="12"/>
      <c r="H89" s="12"/>
      <c r="I89" s="12"/>
      <c r="J89" s="12"/>
      <c r="K89" s="12"/>
      <c r="L89" s="12"/>
      <c r="M89" s="12"/>
      <c r="N89" s="12"/>
      <c r="O89" s="12"/>
      <c r="P89" s="12"/>
      <c r="Q89" s="12"/>
      <c r="R89" s="12"/>
      <c r="S89" s="12"/>
      <c r="T89" s="12"/>
      <c r="U89" s="12"/>
      <c r="V89" s="12"/>
      <c r="W89" s="39"/>
      <c r="X89" s="39"/>
      <c r="Y89" s="39"/>
      <c r="Z89" s="39"/>
      <c r="AA89" s="39"/>
      <c r="AB89" s="39"/>
      <c r="AC89" s="39"/>
      <c r="AD89" s="39"/>
      <c r="AE89" s="39"/>
      <c r="AF89" s="39"/>
      <c r="AG89" s="39"/>
      <c r="AH89" s="39"/>
      <c r="AI89" s="39"/>
      <c r="AJ89" s="39"/>
      <c r="AK89" s="39"/>
    </row>
    <row r="90" spans="1:37" ht="12.75" customHeight="1">
      <c r="A90" s="12" t="s">
        <v>688</v>
      </c>
      <c r="B90" s="12"/>
      <c r="C90" s="12"/>
      <c r="D90" s="12"/>
      <c r="E90" s="12"/>
      <c r="F90" s="12"/>
      <c r="G90" s="12"/>
      <c r="H90" s="12"/>
      <c r="I90" s="12"/>
      <c r="J90" s="12"/>
      <c r="K90" s="12"/>
      <c r="L90" s="12"/>
      <c r="M90" s="12"/>
      <c r="N90" s="12"/>
      <c r="O90" s="12"/>
      <c r="P90" s="12"/>
      <c r="Q90" s="12"/>
      <c r="R90" s="12"/>
      <c r="S90" s="12"/>
      <c r="T90" s="12"/>
      <c r="U90" s="12"/>
      <c r="V90" s="12"/>
      <c r="W90" s="39"/>
      <c r="X90" s="39"/>
      <c r="Y90" s="39"/>
      <c r="Z90" s="39"/>
      <c r="AA90" s="39"/>
      <c r="AB90" s="39"/>
      <c r="AC90" s="39"/>
      <c r="AD90" s="39"/>
      <c r="AE90" s="39"/>
      <c r="AF90" s="39"/>
      <c r="AG90" s="39"/>
      <c r="AH90" s="39"/>
      <c r="AI90" s="39"/>
      <c r="AJ90" s="39"/>
      <c r="AK90" s="39"/>
    </row>
    <row r="91" spans="1:37" ht="12.75" customHeight="1">
      <c r="A91" s="118" t="s">
        <v>29</v>
      </c>
      <c r="B91" s="118"/>
      <c r="C91" s="118"/>
      <c r="D91" s="118"/>
      <c r="E91" s="118"/>
      <c r="F91" s="118"/>
      <c r="G91" s="118"/>
      <c r="H91" s="118"/>
      <c r="I91" s="118"/>
      <c r="J91" s="118"/>
      <c r="K91" s="118"/>
      <c r="L91" s="118"/>
      <c r="M91" s="118"/>
      <c r="N91" s="118"/>
      <c r="O91" s="118"/>
      <c r="P91" s="118"/>
      <c r="Q91" s="118"/>
      <c r="R91" s="118"/>
      <c r="S91" s="118"/>
      <c r="T91" s="118"/>
      <c r="U91" s="118"/>
      <c r="V91" s="118"/>
      <c r="W91" s="39"/>
      <c r="X91" s="39"/>
      <c r="Y91" s="39"/>
      <c r="Z91" s="39"/>
      <c r="AA91" s="39"/>
      <c r="AB91" s="39"/>
      <c r="AC91" s="39"/>
      <c r="AD91" s="39"/>
      <c r="AE91" s="39"/>
      <c r="AF91" s="39"/>
      <c r="AG91" s="39"/>
      <c r="AH91" s="39"/>
      <c r="AI91" s="39"/>
      <c r="AJ91" s="39"/>
      <c r="AK91" s="39"/>
    </row>
    <row r="92" spans="1:37" ht="12.75" customHeight="1">
      <c r="A92" s="119" t="s">
        <v>285</v>
      </c>
      <c r="B92" s="119"/>
      <c r="C92" s="119"/>
      <c r="D92" s="119"/>
      <c r="E92" s="119"/>
      <c r="F92" s="119"/>
      <c r="G92" s="119"/>
      <c r="H92" s="119"/>
      <c r="I92" s="119"/>
      <c r="J92" s="119"/>
      <c r="K92" s="119"/>
      <c r="L92" s="119"/>
      <c r="M92" s="119"/>
      <c r="N92" s="119"/>
      <c r="O92" s="119"/>
      <c r="P92" s="119"/>
      <c r="Q92" s="119"/>
      <c r="R92" s="119"/>
      <c r="S92" s="119"/>
      <c r="T92" s="119"/>
      <c r="U92" s="119"/>
      <c r="V92" s="119"/>
      <c r="W92" s="39"/>
      <c r="X92" s="39"/>
      <c r="Y92" s="39"/>
      <c r="Z92" s="39"/>
      <c r="AA92" s="39"/>
      <c r="AB92" s="39"/>
      <c r="AC92" s="39"/>
      <c r="AD92" s="39"/>
      <c r="AE92" s="39"/>
      <c r="AF92" s="39"/>
      <c r="AG92" s="39"/>
      <c r="AH92" s="39"/>
      <c r="AI92" s="39"/>
      <c r="AJ92" s="39"/>
      <c r="AK92" s="39"/>
    </row>
    <row r="93" spans="1:37" ht="12.75" customHeight="1">
      <c r="A93" s="12" t="s">
        <v>297</v>
      </c>
      <c r="B93" s="12"/>
      <c r="C93" s="12"/>
      <c r="D93" s="12"/>
      <c r="E93" s="12"/>
      <c r="F93" s="12"/>
      <c r="G93" s="12"/>
      <c r="H93" s="12"/>
      <c r="I93" s="12"/>
      <c r="J93" s="12"/>
      <c r="K93" s="12"/>
      <c r="L93" s="12"/>
      <c r="M93" s="12"/>
      <c r="N93" s="12"/>
      <c r="O93" s="12"/>
      <c r="P93" s="12"/>
      <c r="Q93" s="12"/>
      <c r="R93" s="12"/>
      <c r="S93" s="12"/>
      <c r="T93" s="12"/>
      <c r="U93" s="12"/>
      <c r="V93" s="12"/>
      <c r="W93" s="39"/>
      <c r="X93" s="39"/>
      <c r="Y93" s="39"/>
      <c r="Z93" s="39"/>
      <c r="AA93" s="39"/>
      <c r="AB93" s="39"/>
      <c r="AC93" s="39"/>
      <c r="AD93" s="39"/>
      <c r="AE93" s="39"/>
      <c r="AF93" s="39"/>
      <c r="AG93" s="39"/>
      <c r="AH93" s="39"/>
      <c r="AI93" s="39"/>
      <c r="AJ93" s="39"/>
      <c r="AK93" s="39"/>
    </row>
    <row r="94" spans="1:37" ht="12.75" customHeight="1">
      <c r="A94" s="12" t="s">
        <v>689</v>
      </c>
      <c r="B94" s="12"/>
      <c r="C94" s="12"/>
      <c r="D94" s="12"/>
      <c r="E94" s="12"/>
      <c r="F94" s="12"/>
      <c r="G94" s="12"/>
      <c r="H94" s="12"/>
      <c r="I94" s="12"/>
      <c r="J94" s="12"/>
      <c r="K94" s="12"/>
      <c r="L94" s="12"/>
      <c r="M94" s="12"/>
      <c r="N94" s="12"/>
      <c r="O94" s="12"/>
      <c r="P94" s="12"/>
      <c r="Q94" s="12"/>
      <c r="R94" s="12"/>
      <c r="S94" s="12"/>
      <c r="T94" s="12"/>
      <c r="U94" s="12"/>
      <c r="V94" s="12"/>
      <c r="W94" s="39"/>
      <c r="X94" s="39"/>
      <c r="Y94" s="39"/>
      <c r="Z94" s="39"/>
      <c r="AA94" s="39"/>
      <c r="AB94" s="39"/>
      <c r="AC94" s="39"/>
      <c r="AD94" s="39"/>
      <c r="AE94" s="39"/>
      <c r="AF94" s="39"/>
      <c r="AG94" s="39"/>
      <c r="AH94" s="39"/>
      <c r="AI94" s="39"/>
      <c r="AJ94" s="39"/>
      <c r="AK94" s="39"/>
    </row>
    <row r="95" spans="1:37" ht="12.75" customHeight="1">
      <c r="A95" s="118" t="s">
        <v>28</v>
      </c>
      <c r="B95" s="118"/>
      <c r="C95" s="118"/>
      <c r="D95" s="118"/>
      <c r="E95" s="118"/>
      <c r="F95" s="118"/>
      <c r="G95" s="118"/>
      <c r="H95" s="118"/>
      <c r="I95" s="118"/>
      <c r="J95" s="118"/>
      <c r="K95" s="118"/>
      <c r="L95" s="118"/>
      <c r="M95" s="118"/>
      <c r="N95" s="118"/>
      <c r="O95" s="118"/>
      <c r="P95" s="118"/>
      <c r="Q95" s="118"/>
      <c r="R95" s="118"/>
      <c r="S95" s="118"/>
      <c r="T95" s="118"/>
      <c r="U95" s="118"/>
      <c r="V95" s="118"/>
      <c r="W95" s="39"/>
      <c r="X95" s="39"/>
      <c r="Y95" s="39"/>
      <c r="Z95" s="39"/>
      <c r="AA95" s="39"/>
      <c r="AB95" s="39"/>
      <c r="AC95" s="39"/>
      <c r="AD95" s="39"/>
      <c r="AE95" s="39"/>
      <c r="AF95" s="39"/>
      <c r="AG95" s="39"/>
      <c r="AH95" s="39"/>
      <c r="AI95" s="39"/>
      <c r="AJ95" s="39"/>
      <c r="AK95" s="39"/>
    </row>
    <row r="96" spans="1:37" ht="12.75" customHeight="1">
      <c r="A96" s="119" t="s">
        <v>690</v>
      </c>
      <c r="B96" s="119"/>
      <c r="C96" s="119"/>
      <c r="D96" s="119"/>
      <c r="E96" s="119"/>
      <c r="F96" s="119"/>
      <c r="G96" s="119"/>
      <c r="H96" s="119"/>
      <c r="I96" s="119"/>
      <c r="J96" s="119"/>
      <c r="K96" s="119"/>
      <c r="L96" s="119"/>
      <c r="M96" s="119"/>
      <c r="N96" s="119"/>
      <c r="O96" s="119"/>
      <c r="P96" s="119"/>
      <c r="Q96" s="119"/>
      <c r="R96" s="119"/>
      <c r="S96" s="119"/>
      <c r="T96" s="119"/>
      <c r="U96" s="119"/>
      <c r="V96" s="119"/>
      <c r="W96" s="39"/>
      <c r="X96" s="39"/>
      <c r="Y96" s="39"/>
      <c r="Z96" s="39"/>
      <c r="AA96" s="14"/>
      <c r="AB96" s="14"/>
      <c r="AC96" s="14"/>
      <c r="AD96" s="14"/>
      <c r="AE96" s="14"/>
      <c r="AF96" s="14"/>
      <c r="AG96" s="14"/>
      <c r="AH96" s="14"/>
      <c r="AI96" s="14"/>
      <c r="AJ96" s="14"/>
      <c r="AK96" s="14"/>
    </row>
    <row r="97" spans="1:37" ht="13.5">
      <c r="A97" s="12"/>
      <c r="B97" s="121"/>
      <c r="C97" s="121"/>
      <c r="D97" s="121"/>
      <c r="E97" s="122"/>
      <c r="F97" s="122"/>
      <c r="G97" s="122"/>
      <c r="H97" s="122"/>
      <c r="I97" s="122"/>
      <c r="J97" s="122"/>
      <c r="K97" s="122"/>
      <c r="L97" s="122"/>
      <c r="M97" s="122"/>
      <c r="N97" s="122"/>
      <c r="O97" s="122"/>
      <c r="P97" s="14"/>
      <c r="Q97" s="14"/>
      <c r="R97" s="14"/>
      <c r="S97" s="14"/>
      <c r="T97" s="123"/>
      <c r="U97" s="14"/>
      <c r="V97" s="14"/>
      <c r="W97" s="14"/>
      <c r="X97" s="14"/>
      <c r="Y97" s="14"/>
      <c r="Z97" s="14"/>
      <c r="AA97" s="15"/>
      <c r="AB97" s="15"/>
      <c r="AC97" s="15"/>
      <c r="AD97" s="15"/>
      <c r="AE97" s="15"/>
      <c r="AF97" s="15"/>
      <c r="AG97" s="15"/>
      <c r="AH97" s="15"/>
      <c r="AI97" s="15"/>
      <c r="AJ97" s="15"/>
      <c r="AK97" s="15"/>
    </row>
    <row r="98" spans="1:37" ht="13.5">
      <c r="A98" s="15"/>
      <c r="B98" s="15"/>
      <c r="C98" s="15"/>
      <c r="D98" s="15"/>
      <c r="E98" s="15"/>
      <c r="F98" s="15"/>
      <c r="G98" s="15"/>
      <c r="H98" s="15"/>
      <c r="I98" s="15"/>
      <c r="J98" s="15"/>
      <c r="K98" s="15"/>
      <c r="L98" s="15"/>
      <c r="M98" s="15"/>
      <c r="N98" s="15"/>
      <c r="O98" s="15"/>
      <c r="P98" s="15"/>
      <c r="Q98" s="15"/>
      <c r="R98" s="15"/>
      <c r="S98" s="15"/>
      <c r="T98" s="124"/>
      <c r="U98" s="15"/>
      <c r="V98" s="15"/>
      <c r="W98" s="15"/>
      <c r="X98" s="15"/>
      <c r="Y98" s="15"/>
      <c r="Z98" s="15"/>
    </row>
  </sheetData>
  <conditionalFormatting sqref="B2:AO32">
    <cfRule type="containsText" dxfId="6" priority="1" operator="containsText" text="false">
      <formula>NOT(ISERROR(SEARCH("false",B2)))</formula>
    </cfRule>
  </conditionalFormatting>
  <conditionalFormatting sqref="AP2">
    <cfRule type="containsText" dxfId="5" priority="2" operator="containsText" text="false">
      <formula>NOT(ISERROR(SEARCH("false",AP2)))</formula>
    </cfRule>
  </conditionalFormatting>
  <conditionalFormatting sqref="AP4:AP32">
    <cfRule type="containsText" dxfId="4" priority="3" operator="containsText" text="false">
      <formula>NOT(ISERROR(SEARCH("false",AP4)))</formula>
    </cfRule>
  </conditionalFormatting>
  <pageMargins left="0.25" right="0.25" top="0.75" bottom="0.75" header="0.3" footer="0.3"/>
  <pageSetup scale="35"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E02E8-0D71-4FC0-B0E8-C5B5C668B055}">
  <dimension ref="A1:K12"/>
  <sheetViews>
    <sheetView tabSelected="1" workbookViewId="0"/>
  </sheetViews>
  <sheetFormatPr defaultRowHeight="15"/>
  <sheetData>
    <row r="1" spans="1:11">
      <c r="A1" t="s">
        <v>3887</v>
      </c>
    </row>
    <row r="2" spans="1:11">
      <c r="A2" t="s">
        <v>3888</v>
      </c>
    </row>
    <row r="3" spans="1:11">
      <c r="A3" t="s">
        <v>3889</v>
      </c>
    </row>
    <row r="5" spans="1:11">
      <c r="A5" s="1" t="s">
        <v>3890</v>
      </c>
      <c r="B5" s="1">
        <v>2015</v>
      </c>
      <c r="C5" s="1">
        <v>2016</v>
      </c>
      <c r="D5" s="1">
        <v>2017</v>
      </c>
      <c r="E5" s="1">
        <v>2018</v>
      </c>
      <c r="F5" s="1">
        <v>2019</v>
      </c>
      <c r="G5" s="1">
        <v>2020</v>
      </c>
      <c r="H5" s="1">
        <v>2021</v>
      </c>
      <c r="I5" s="1">
        <v>2022</v>
      </c>
      <c r="J5" s="1">
        <v>2023</v>
      </c>
      <c r="K5" s="1">
        <v>2024</v>
      </c>
    </row>
    <row r="6" spans="1:11">
      <c r="A6" s="1" t="s">
        <v>2136</v>
      </c>
      <c r="B6" s="1">
        <v>26574</v>
      </c>
      <c r="C6" s="1">
        <v>26716</v>
      </c>
      <c r="D6" s="1">
        <v>26547</v>
      </c>
      <c r="E6" s="1">
        <v>26086</v>
      </c>
      <c r="F6" s="1">
        <v>24597</v>
      </c>
      <c r="G6" s="1">
        <v>23544</v>
      </c>
      <c r="H6" s="1">
        <v>23264</v>
      </c>
      <c r="I6" s="1">
        <v>23186</v>
      </c>
      <c r="J6" s="1">
        <v>23158</v>
      </c>
      <c r="K6" s="1">
        <v>22234</v>
      </c>
    </row>
    <row r="7" spans="1:11">
      <c r="A7" t="s">
        <v>3891</v>
      </c>
      <c r="B7">
        <v>14247</v>
      </c>
      <c r="C7">
        <v>13814</v>
      </c>
      <c r="D7">
        <v>13497</v>
      </c>
      <c r="E7">
        <v>13023</v>
      </c>
      <c r="F7">
        <v>11622</v>
      </c>
      <c r="G7">
        <v>10624</v>
      </c>
      <c r="H7">
        <v>10390</v>
      </c>
      <c r="I7">
        <v>10254</v>
      </c>
      <c r="J7">
        <v>10161</v>
      </c>
      <c r="K7">
        <v>9286</v>
      </c>
    </row>
    <row r="8" spans="1:11">
      <c r="A8" t="s">
        <v>3892</v>
      </c>
      <c r="B8">
        <v>4272</v>
      </c>
      <c r="C8">
        <v>4271</v>
      </c>
      <c r="D8">
        <v>4190</v>
      </c>
      <c r="E8">
        <v>4171</v>
      </c>
      <c r="F8">
        <v>4150</v>
      </c>
      <c r="G8">
        <v>4053</v>
      </c>
      <c r="H8">
        <v>4038</v>
      </c>
      <c r="I8">
        <v>4016</v>
      </c>
      <c r="J8">
        <v>3965</v>
      </c>
      <c r="K8">
        <v>3901</v>
      </c>
    </row>
    <row r="9" spans="1:11">
      <c r="A9" t="s">
        <v>3893</v>
      </c>
      <c r="B9">
        <v>4030</v>
      </c>
      <c r="C9">
        <v>4024</v>
      </c>
      <c r="D9">
        <v>4006</v>
      </c>
      <c r="E9">
        <v>3976</v>
      </c>
      <c r="F9">
        <v>3741</v>
      </c>
      <c r="G9">
        <v>3703</v>
      </c>
      <c r="H9">
        <v>3627</v>
      </c>
      <c r="I9">
        <v>3630</v>
      </c>
      <c r="J9">
        <v>3683</v>
      </c>
      <c r="K9">
        <v>3679</v>
      </c>
    </row>
    <row r="10" spans="1:11">
      <c r="A10" t="s">
        <v>3894</v>
      </c>
      <c r="B10">
        <v>3248</v>
      </c>
      <c r="C10">
        <v>3247</v>
      </c>
      <c r="D10">
        <v>3259</v>
      </c>
      <c r="E10">
        <v>3194</v>
      </c>
      <c r="F10">
        <v>3134</v>
      </c>
      <c r="G10">
        <v>3138</v>
      </c>
      <c r="H10">
        <v>3168</v>
      </c>
      <c r="I10">
        <v>3223</v>
      </c>
      <c r="J10">
        <v>3237</v>
      </c>
      <c r="K10">
        <v>3214</v>
      </c>
    </row>
    <row r="11" spans="1:11">
      <c r="A11" t="s">
        <v>3895</v>
      </c>
      <c r="B11">
        <v>777</v>
      </c>
      <c r="C11">
        <v>1360</v>
      </c>
      <c r="D11">
        <v>1595</v>
      </c>
      <c r="E11">
        <v>1722</v>
      </c>
      <c r="F11">
        <v>1950</v>
      </c>
      <c r="G11">
        <v>1921</v>
      </c>
      <c r="H11">
        <v>1936</v>
      </c>
      <c r="I11">
        <v>1947</v>
      </c>
      <c r="J11">
        <v>1936</v>
      </c>
      <c r="K11">
        <v>1930</v>
      </c>
    </row>
    <row r="12" spans="1:11">
      <c r="A12" t="s">
        <v>3896</v>
      </c>
      <c r="B12">
        <v>0</v>
      </c>
      <c r="C12">
        <v>0</v>
      </c>
      <c r="D12">
        <v>0</v>
      </c>
      <c r="E12">
        <v>0</v>
      </c>
      <c r="F12">
        <v>0</v>
      </c>
      <c r="G12">
        <v>105</v>
      </c>
      <c r="H12">
        <v>105</v>
      </c>
      <c r="I12">
        <v>116</v>
      </c>
      <c r="J12">
        <v>176</v>
      </c>
      <c r="K12">
        <v>224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1"/>
  <sheetViews>
    <sheetView workbookViewId="0"/>
  </sheetViews>
  <sheetFormatPr defaultRowHeight="15"/>
  <cols>
    <col min="1" max="1" width="26.85546875" customWidth="1"/>
    <col min="2" max="2" width="16.7109375" customWidth="1"/>
    <col min="3" max="3" width="12.5703125" customWidth="1"/>
    <col min="4" max="4" width="14.140625" customWidth="1"/>
    <col min="5" max="5" width="16.7109375" customWidth="1"/>
    <col min="6" max="6" width="16.28515625" customWidth="1"/>
    <col min="7" max="7" width="15.85546875" customWidth="1"/>
  </cols>
  <sheetData>
    <row r="1" spans="1:7">
      <c r="A1" s="1" t="s">
        <v>114</v>
      </c>
    </row>
    <row r="2" spans="1:7">
      <c r="A2" s="1"/>
    </row>
    <row r="3" spans="1:7" ht="45">
      <c r="A3" s="17" t="s">
        <v>115</v>
      </c>
      <c r="B3" s="17" t="s">
        <v>116</v>
      </c>
      <c r="C3" s="17" t="s">
        <v>117</v>
      </c>
      <c r="D3" s="17" t="s">
        <v>118</v>
      </c>
      <c r="E3" s="17" t="s">
        <v>119</v>
      </c>
      <c r="F3" s="17" t="s">
        <v>120</v>
      </c>
      <c r="G3" s="17" t="s">
        <v>121</v>
      </c>
    </row>
    <row r="4" spans="1:7">
      <c r="A4" t="s">
        <v>122</v>
      </c>
      <c r="B4" s="4">
        <v>21611</v>
      </c>
      <c r="C4" s="4">
        <v>244203</v>
      </c>
      <c r="D4" s="4">
        <v>3584</v>
      </c>
      <c r="E4">
        <v>11.3</v>
      </c>
      <c r="F4">
        <v>5.7</v>
      </c>
      <c r="G4">
        <v>2.4</v>
      </c>
    </row>
    <row r="5" spans="1:7">
      <c r="A5" t="s">
        <v>123</v>
      </c>
      <c r="B5" s="4">
        <v>10147</v>
      </c>
      <c r="C5" s="4">
        <v>121865</v>
      </c>
      <c r="D5" s="4">
        <v>2035</v>
      </c>
      <c r="E5">
        <v>12</v>
      </c>
      <c r="F5">
        <v>6</v>
      </c>
      <c r="G5">
        <v>2.7</v>
      </c>
    </row>
    <row r="6" spans="1:7">
      <c r="A6" t="s">
        <v>124</v>
      </c>
      <c r="B6">
        <v>735</v>
      </c>
      <c r="C6" s="4">
        <v>8137</v>
      </c>
      <c r="D6">
        <v>154</v>
      </c>
      <c r="E6">
        <v>11.1</v>
      </c>
      <c r="F6">
        <v>7.8</v>
      </c>
      <c r="G6">
        <v>2.4</v>
      </c>
    </row>
    <row r="7" spans="1:7">
      <c r="A7" t="s">
        <v>125</v>
      </c>
      <c r="B7">
        <v>854</v>
      </c>
      <c r="C7" s="4">
        <v>12694</v>
      </c>
      <c r="D7">
        <v>220</v>
      </c>
      <c r="E7">
        <v>14.9</v>
      </c>
      <c r="F7">
        <v>4.0999999999999996</v>
      </c>
      <c r="G7">
        <v>3.8</v>
      </c>
    </row>
    <row r="8" spans="1:7">
      <c r="A8" t="s">
        <v>126</v>
      </c>
      <c r="B8" s="4">
        <v>1704</v>
      </c>
      <c r="C8" s="4">
        <v>18728</v>
      </c>
      <c r="D8">
        <v>212</v>
      </c>
      <c r="E8">
        <v>11</v>
      </c>
      <c r="F8">
        <v>4.7</v>
      </c>
      <c r="G8">
        <v>2.2999999999999998</v>
      </c>
    </row>
    <row r="9" spans="1:7">
      <c r="A9" t="s">
        <v>127</v>
      </c>
      <c r="B9" s="4">
        <v>2508</v>
      </c>
      <c r="C9" s="4">
        <v>21580</v>
      </c>
      <c r="D9">
        <v>362</v>
      </c>
      <c r="E9">
        <v>8.6</v>
      </c>
      <c r="F9">
        <v>6.3</v>
      </c>
      <c r="G9">
        <v>2.2999999999999998</v>
      </c>
    </row>
    <row r="10" spans="1:7">
      <c r="A10" t="s">
        <v>128</v>
      </c>
      <c r="B10" s="4">
        <v>3916</v>
      </c>
      <c r="C10" s="4">
        <v>43741</v>
      </c>
      <c r="D10">
        <v>280</v>
      </c>
      <c r="E10">
        <v>11.2</v>
      </c>
      <c r="F10">
        <v>4.5999999999999996</v>
      </c>
      <c r="G10">
        <v>1.3</v>
      </c>
    </row>
    <row r="11" spans="1:7">
      <c r="A11" t="s">
        <v>129</v>
      </c>
      <c r="B11" s="4">
        <v>1747</v>
      </c>
      <c r="C11" s="4">
        <v>17458</v>
      </c>
      <c r="D11">
        <v>322</v>
      </c>
      <c r="E11">
        <v>10</v>
      </c>
      <c r="F11">
        <v>6.8</v>
      </c>
      <c r="G11">
        <v>2.4</v>
      </c>
    </row>
  </sheetData>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4"/>
  <sheetViews>
    <sheetView workbookViewId="0"/>
  </sheetViews>
  <sheetFormatPr defaultRowHeight="15"/>
  <cols>
    <col min="1" max="1" width="16.85546875" customWidth="1"/>
    <col min="2" max="2" width="24.42578125" customWidth="1"/>
    <col min="3" max="5" width="16.85546875" customWidth="1"/>
  </cols>
  <sheetData>
    <row r="1" spans="1:5">
      <c r="A1" s="1" t="s">
        <v>90</v>
      </c>
      <c r="B1" s="5" t="s">
        <v>91</v>
      </c>
      <c r="C1" s="5" t="s">
        <v>92</v>
      </c>
      <c r="D1" s="5" t="s">
        <v>93</v>
      </c>
      <c r="E1" s="5" t="s">
        <v>94</v>
      </c>
    </row>
    <row r="2" spans="1:5">
      <c r="A2" t="s">
        <v>95</v>
      </c>
      <c r="B2">
        <v>7</v>
      </c>
      <c r="C2">
        <v>95264</v>
      </c>
      <c r="D2">
        <v>163464</v>
      </c>
      <c r="E2">
        <v>67.599999999999994</v>
      </c>
    </row>
    <row r="3" spans="1:5">
      <c r="A3" t="s">
        <v>96</v>
      </c>
      <c r="B3">
        <v>21</v>
      </c>
      <c r="C3">
        <v>10355</v>
      </c>
      <c r="D3">
        <v>5507</v>
      </c>
      <c r="E3">
        <v>1.4</v>
      </c>
    </row>
    <row r="4" spans="1:5">
      <c r="A4" t="s">
        <v>97</v>
      </c>
      <c r="B4">
        <v>546</v>
      </c>
      <c r="C4">
        <v>32858</v>
      </c>
      <c r="D4">
        <v>12293</v>
      </c>
      <c r="E4">
        <v>2.6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G17"/>
  <sheetViews>
    <sheetView workbookViewId="0"/>
  </sheetViews>
  <sheetFormatPr defaultRowHeight="15"/>
  <cols>
    <col min="1" max="1" width="23.42578125" customWidth="1"/>
    <col min="2" max="2" width="38.42578125" customWidth="1"/>
  </cols>
  <sheetData>
    <row r="1" spans="1:33">
      <c r="A1">
        <v>10</v>
      </c>
      <c r="B1" t="s">
        <v>70</v>
      </c>
    </row>
    <row r="3" spans="1:33">
      <c r="A3">
        <v>300</v>
      </c>
      <c r="B3" t="s">
        <v>106</v>
      </c>
    </row>
    <row r="5" spans="1:33">
      <c r="A5">
        <f>B14/SUM(B14:B15)</f>
        <v>0.75216927859794647</v>
      </c>
      <c r="B5" t="s">
        <v>137</v>
      </c>
    </row>
    <row r="6" spans="1:33">
      <c r="A6">
        <f>1-A5</f>
        <v>0.24783072140205353</v>
      </c>
      <c r="B6" t="s">
        <v>138</v>
      </c>
    </row>
    <row r="8" spans="1:33">
      <c r="A8">
        <f>'AEO 2025 36'!F100/'AEO 2025 36'!F99</f>
        <v>0.80400075188931108</v>
      </c>
      <c r="B8" t="s">
        <v>140</v>
      </c>
    </row>
    <row r="9" spans="1:33">
      <c r="A9">
        <f>1-A8</f>
        <v>0.19599924811068892</v>
      </c>
      <c r="B9" t="s">
        <v>139</v>
      </c>
    </row>
    <row r="10" spans="1:33">
      <c r="A10" s="18"/>
    </row>
    <row r="11" spans="1:33">
      <c r="A11" t="s">
        <v>141</v>
      </c>
      <c r="B11" s="19">
        <v>0.32500000000000001</v>
      </c>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row>
    <row r="12" spans="1:33">
      <c r="A12" t="s">
        <v>142</v>
      </c>
      <c r="B12" s="19">
        <v>0.95</v>
      </c>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row>
    <row r="14" spans="1:33">
      <c r="A14" t="s">
        <v>143</v>
      </c>
      <c r="B14">
        <v>23772624250000</v>
      </c>
      <c r="C14">
        <v>24047863950000</v>
      </c>
      <c r="D14">
        <v>24311497500000</v>
      </c>
      <c r="E14">
        <v>24540287900000</v>
      </c>
      <c r="F14">
        <v>24755604450000</v>
      </c>
      <c r="G14">
        <v>25001480600000</v>
      </c>
      <c r="H14">
        <v>25237832050000</v>
      </c>
      <c r="I14">
        <v>25472413650000</v>
      </c>
      <c r="J14">
        <v>25707567150000</v>
      </c>
      <c r="K14">
        <v>25945570650000</v>
      </c>
      <c r="L14">
        <v>26183748950000</v>
      </c>
      <c r="M14">
        <v>26400119050000</v>
      </c>
      <c r="N14">
        <v>26621834800000</v>
      </c>
      <c r="O14">
        <v>26843989450000</v>
      </c>
      <c r="P14">
        <v>27059580550000.004</v>
      </c>
      <c r="Q14">
        <v>27266110550000</v>
      </c>
      <c r="R14">
        <v>27465376850000</v>
      </c>
      <c r="S14">
        <v>27656835100000</v>
      </c>
      <c r="T14">
        <v>27848192650000</v>
      </c>
      <c r="U14">
        <v>28027393050000</v>
      </c>
      <c r="V14">
        <v>28200800350000</v>
      </c>
      <c r="W14">
        <v>28377071900000</v>
      </c>
      <c r="X14">
        <v>28541799050000</v>
      </c>
      <c r="Y14">
        <v>28696612000000.004</v>
      </c>
      <c r="Z14">
        <v>28851625400000</v>
      </c>
      <c r="AA14">
        <v>29000824800000</v>
      </c>
      <c r="AB14">
        <v>29146531050000</v>
      </c>
      <c r="AC14">
        <v>29301301249999.996</v>
      </c>
      <c r="AD14">
        <v>29458844500000</v>
      </c>
      <c r="AE14">
        <v>29624205300000</v>
      </c>
      <c r="AF14">
        <v>29799374850000.004</v>
      </c>
      <c r="AG14">
        <v>29981629500000</v>
      </c>
    </row>
    <row r="15" spans="1:33">
      <c r="A15" t="s">
        <v>144</v>
      </c>
      <c r="B15">
        <v>7832793475000</v>
      </c>
      <c r="C15">
        <v>7976624175000</v>
      </c>
      <c r="D15">
        <v>8108632025000.002</v>
      </c>
      <c r="E15">
        <v>8220850950000</v>
      </c>
      <c r="F15">
        <v>8327773350000.002</v>
      </c>
      <c r="G15">
        <v>8456120400000</v>
      </c>
      <c r="H15">
        <v>8573548100000</v>
      </c>
      <c r="I15">
        <v>8689932549999.999</v>
      </c>
      <c r="J15">
        <v>8807058325000</v>
      </c>
      <c r="K15">
        <v>8929529375000.002</v>
      </c>
      <c r="L15">
        <v>9050899650000</v>
      </c>
      <c r="M15">
        <v>9140914250000</v>
      </c>
      <c r="N15">
        <v>9266734100000</v>
      </c>
      <c r="O15">
        <v>9393687550000</v>
      </c>
      <c r="P15">
        <v>9509812000000</v>
      </c>
      <c r="Q15">
        <v>9627574125000.002</v>
      </c>
      <c r="R15">
        <v>9747785775000</v>
      </c>
      <c r="S15">
        <v>9866314900000</v>
      </c>
      <c r="T15">
        <v>9992742825000</v>
      </c>
      <c r="U15">
        <v>10112273600000</v>
      </c>
      <c r="V15">
        <v>10232965600000</v>
      </c>
      <c r="W15">
        <v>10364983525000</v>
      </c>
      <c r="X15">
        <v>10493954250000</v>
      </c>
      <c r="Y15">
        <v>10615863375000</v>
      </c>
      <c r="Z15">
        <v>10746239075000</v>
      </c>
      <c r="AA15">
        <v>10875760675000</v>
      </c>
      <c r="AB15">
        <v>11001281525000</v>
      </c>
      <c r="AC15">
        <v>11133462925000</v>
      </c>
      <c r="AD15">
        <v>11252006350000</v>
      </c>
      <c r="AE15">
        <v>11366518150000.002</v>
      </c>
      <c r="AF15">
        <v>11475964175000</v>
      </c>
      <c r="AG15">
        <v>11576012825000</v>
      </c>
    </row>
    <row r="17" spans="1:2">
      <c r="A17" s="104">
        <f>'AEO 2025 47'!F31/SUM('AEO 2025 47'!F31,'AEO 2025 47'!F49)</f>
        <v>0.64135881669014094</v>
      </c>
      <c r="B17" t="s">
        <v>682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0A9EA-BD89-4953-A013-DBF0FA19A1D8}">
  <dimension ref="A1:AX71"/>
  <sheetViews>
    <sheetView workbookViewId="0"/>
  </sheetViews>
  <sheetFormatPr defaultRowHeight="15"/>
  <cols>
    <col min="14" max="14" width="9.140625" style="62"/>
    <col min="15" max="23" width="0" hidden="1" customWidth="1"/>
    <col min="24" max="24" width="11.42578125" style="62" customWidth="1"/>
    <col min="25" max="45" width="0" hidden="1" customWidth="1"/>
    <col min="46" max="46" width="13.5703125" style="62" customWidth="1"/>
  </cols>
  <sheetData>
    <row r="1" spans="1:50" ht="79.5">
      <c r="A1" s="42" t="s">
        <v>302</v>
      </c>
      <c r="B1" s="42" t="s">
        <v>303</v>
      </c>
      <c r="C1" s="42" t="s">
        <v>304</v>
      </c>
      <c r="D1" s="42" t="s">
        <v>305</v>
      </c>
      <c r="E1" s="42" t="s">
        <v>306</v>
      </c>
      <c r="F1" s="42" t="s">
        <v>307</v>
      </c>
      <c r="G1" s="42" t="s">
        <v>308</v>
      </c>
      <c r="H1" s="42" t="s">
        <v>309</v>
      </c>
      <c r="I1" s="42" t="s">
        <v>310</v>
      </c>
      <c r="J1" s="42" t="s">
        <v>311</v>
      </c>
      <c r="K1" s="42" t="s">
        <v>312</v>
      </c>
      <c r="L1" s="42" t="s">
        <v>313</v>
      </c>
      <c r="M1" s="42" t="s">
        <v>314</v>
      </c>
      <c r="N1" s="43" t="s">
        <v>315</v>
      </c>
      <c r="O1" s="42" t="s">
        <v>316</v>
      </c>
      <c r="P1" s="42" t="s">
        <v>317</v>
      </c>
      <c r="Q1" s="42" t="s">
        <v>318</v>
      </c>
      <c r="R1" s="42" t="s">
        <v>319</v>
      </c>
      <c r="S1" s="42" t="s">
        <v>320</v>
      </c>
      <c r="T1" s="42" t="s">
        <v>321</v>
      </c>
      <c r="U1" s="42" t="s">
        <v>322</v>
      </c>
      <c r="V1" s="42" t="s">
        <v>323</v>
      </c>
      <c r="W1" s="42" t="s">
        <v>324</v>
      </c>
      <c r="X1" s="44" t="s">
        <v>325</v>
      </c>
      <c r="Y1" s="42" t="s">
        <v>326</v>
      </c>
      <c r="Z1" s="42" t="s">
        <v>327</v>
      </c>
      <c r="AA1" s="42" t="s">
        <v>328</v>
      </c>
      <c r="AB1" s="42" t="s">
        <v>329</v>
      </c>
      <c r="AC1" s="45" t="s">
        <v>330</v>
      </c>
      <c r="AD1" s="46" t="s">
        <v>331</v>
      </c>
      <c r="AE1" s="45" t="s">
        <v>332</v>
      </c>
      <c r="AF1" s="46" t="s">
        <v>333</v>
      </c>
      <c r="AG1" s="45" t="s">
        <v>334</v>
      </c>
      <c r="AH1" s="46" t="s">
        <v>335</v>
      </c>
      <c r="AI1" s="45" t="s">
        <v>336</v>
      </c>
      <c r="AJ1" s="46" t="s">
        <v>337</v>
      </c>
      <c r="AK1" s="45" t="s">
        <v>338</v>
      </c>
      <c r="AL1" s="46" t="s">
        <v>339</v>
      </c>
      <c r="AM1" s="45" t="s">
        <v>340</v>
      </c>
      <c r="AN1" s="46" t="s">
        <v>341</v>
      </c>
      <c r="AO1" s="45" t="s">
        <v>342</v>
      </c>
      <c r="AP1" s="46" t="s">
        <v>343</v>
      </c>
      <c r="AQ1" s="45" t="s">
        <v>344</v>
      </c>
      <c r="AR1" s="46" t="s">
        <v>345</v>
      </c>
      <c r="AS1" s="45" t="s">
        <v>346</v>
      </c>
      <c r="AT1" s="47" t="s">
        <v>347</v>
      </c>
      <c r="AU1" s="48" t="s">
        <v>348</v>
      </c>
      <c r="AV1" s="49" t="s">
        <v>349</v>
      </c>
      <c r="AW1" s="48" t="s">
        <v>350</v>
      </c>
      <c r="AX1" s="42" t="s">
        <v>351</v>
      </c>
    </row>
    <row r="2" spans="1:50">
      <c r="A2" s="50" t="s">
        <v>352</v>
      </c>
      <c r="B2" s="50" t="s">
        <v>353</v>
      </c>
      <c r="C2" s="50" t="s">
        <v>354</v>
      </c>
      <c r="D2" s="51">
        <v>2008</v>
      </c>
      <c r="E2" s="52">
        <v>20008</v>
      </c>
      <c r="F2" s="50" t="s">
        <v>355</v>
      </c>
      <c r="G2" s="50" t="s">
        <v>356</v>
      </c>
      <c r="H2" s="53">
        <v>18351295</v>
      </c>
      <c r="I2" s="54">
        <v>10427</v>
      </c>
      <c r="J2" s="50" t="s">
        <v>357</v>
      </c>
      <c r="K2" s="50" t="s">
        <v>358</v>
      </c>
      <c r="L2" s="55">
        <v>5413</v>
      </c>
      <c r="M2" s="50"/>
      <c r="N2" s="56">
        <v>527</v>
      </c>
      <c r="O2" s="54"/>
      <c r="P2" s="57">
        <v>18.215599999999998</v>
      </c>
      <c r="Q2" s="54"/>
      <c r="R2" s="57">
        <v>4.2031999999999998</v>
      </c>
      <c r="S2" s="54"/>
      <c r="T2" s="57">
        <v>62.403700000000001</v>
      </c>
      <c r="U2" s="54"/>
      <c r="V2" s="53">
        <v>376401985</v>
      </c>
      <c r="W2" s="54"/>
      <c r="X2" s="58">
        <v>334949157</v>
      </c>
      <c r="Y2" s="54"/>
      <c r="Z2" s="53">
        <v>324782077</v>
      </c>
      <c r="AA2" s="54"/>
      <c r="AB2" s="53">
        <v>10167080</v>
      </c>
      <c r="AC2" s="54"/>
      <c r="AD2" s="53">
        <v>18782357</v>
      </c>
      <c r="AE2" s="54"/>
      <c r="AF2" s="53">
        <v>17829918</v>
      </c>
      <c r="AG2" s="54"/>
      <c r="AH2" s="53">
        <v>952439</v>
      </c>
      <c r="AI2" s="54"/>
      <c r="AJ2" s="53">
        <v>36770774</v>
      </c>
      <c r="AK2" s="54"/>
      <c r="AL2" s="53">
        <v>35625281</v>
      </c>
      <c r="AM2" s="54"/>
      <c r="AN2" s="53">
        <v>2060234</v>
      </c>
      <c r="AO2" s="54"/>
      <c r="AP2" s="59">
        <v>1955760</v>
      </c>
      <c r="AQ2" s="54"/>
      <c r="AR2" s="53">
        <v>1112653405</v>
      </c>
      <c r="AS2" s="54"/>
      <c r="AT2" s="58">
        <v>4676670633</v>
      </c>
      <c r="AU2" s="50"/>
      <c r="AV2" s="60">
        <v>493.68</v>
      </c>
      <c r="AW2" s="50" t="s">
        <v>19</v>
      </c>
      <c r="AX2" s="50" t="s">
        <v>359</v>
      </c>
    </row>
    <row r="3" spans="1:50">
      <c r="A3" s="50" t="s">
        <v>360</v>
      </c>
      <c r="B3" s="50" t="s">
        <v>361</v>
      </c>
      <c r="C3" s="50" t="s">
        <v>362</v>
      </c>
      <c r="D3" s="51">
        <v>2080</v>
      </c>
      <c r="E3" s="52">
        <v>20080</v>
      </c>
      <c r="F3" s="50" t="s">
        <v>363</v>
      </c>
      <c r="G3" s="50" t="s">
        <v>356</v>
      </c>
      <c r="H3" s="53">
        <v>18351295</v>
      </c>
      <c r="I3" s="54">
        <v>3646</v>
      </c>
      <c r="J3" s="50" t="s">
        <v>364</v>
      </c>
      <c r="K3" s="50" t="s">
        <v>365</v>
      </c>
      <c r="L3" s="55">
        <v>42</v>
      </c>
      <c r="M3" s="50"/>
      <c r="N3" s="56">
        <v>20</v>
      </c>
      <c r="O3" s="54"/>
      <c r="P3" s="57">
        <v>16.576499999999999</v>
      </c>
      <c r="Q3" s="54"/>
      <c r="R3" s="57">
        <v>3.7544</v>
      </c>
      <c r="S3" s="54"/>
      <c r="T3" s="57">
        <v>104.70910000000001</v>
      </c>
      <c r="U3" s="54"/>
      <c r="V3" s="53">
        <v>1809860</v>
      </c>
      <c r="W3" s="54"/>
      <c r="X3" s="58">
        <v>1929113</v>
      </c>
      <c r="Y3" s="54"/>
      <c r="Z3" s="53">
        <v>1893039</v>
      </c>
      <c r="AA3" s="54"/>
      <c r="AB3" s="53">
        <v>36074</v>
      </c>
      <c r="AC3" s="54"/>
      <c r="AD3" s="53">
        <v>115699</v>
      </c>
      <c r="AE3" s="54"/>
      <c r="AF3" s="53">
        <v>114200</v>
      </c>
      <c r="AG3" s="54"/>
      <c r="AH3" s="53">
        <v>1499</v>
      </c>
      <c r="AI3" s="54"/>
      <c r="AJ3" s="53">
        <v>1096779</v>
      </c>
      <c r="AK3" s="54"/>
      <c r="AL3" s="53">
        <v>1076347</v>
      </c>
      <c r="AM3" s="54"/>
      <c r="AN3" s="53">
        <v>64689</v>
      </c>
      <c r="AO3" s="54"/>
      <c r="AP3" s="59">
        <v>63804</v>
      </c>
      <c r="AQ3" s="54"/>
      <c r="AR3" s="53">
        <v>11957780</v>
      </c>
      <c r="AS3" s="54"/>
      <c r="AT3" s="58">
        <v>44894834</v>
      </c>
      <c r="AU3" s="50"/>
      <c r="AV3" s="60">
        <v>34.08</v>
      </c>
      <c r="AW3" s="50" t="s">
        <v>19</v>
      </c>
      <c r="AX3" s="50" t="s">
        <v>359</v>
      </c>
    </row>
    <row r="4" spans="1:50">
      <c r="A4" s="50" t="s">
        <v>360</v>
      </c>
      <c r="B4" s="50" t="s">
        <v>361</v>
      </c>
      <c r="C4" s="50" t="s">
        <v>362</v>
      </c>
      <c r="D4" s="51">
        <v>2080</v>
      </c>
      <c r="E4" s="52">
        <v>20080</v>
      </c>
      <c r="F4" s="50" t="s">
        <v>363</v>
      </c>
      <c r="G4" s="50" t="s">
        <v>356</v>
      </c>
      <c r="H4" s="53">
        <v>18351295</v>
      </c>
      <c r="I4" s="54">
        <v>3646</v>
      </c>
      <c r="J4" s="50" t="s">
        <v>364</v>
      </c>
      <c r="K4" s="50" t="s">
        <v>358</v>
      </c>
      <c r="L4" s="55">
        <v>15</v>
      </c>
      <c r="M4" s="50"/>
      <c r="N4" s="56">
        <v>15</v>
      </c>
      <c r="O4" s="54"/>
      <c r="P4" s="57">
        <v>9.3912999999999993</v>
      </c>
      <c r="Q4" s="54"/>
      <c r="R4" s="57">
        <v>2.2517</v>
      </c>
      <c r="S4" s="54"/>
      <c r="T4" s="57">
        <v>88.662099999999995</v>
      </c>
      <c r="U4" s="54"/>
      <c r="V4" s="53">
        <v>458806</v>
      </c>
      <c r="W4" s="54"/>
      <c r="X4" s="58">
        <v>481308</v>
      </c>
      <c r="Y4" s="54"/>
      <c r="Z4" s="53">
        <v>470004</v>
      </c>
      <c r="AA4" s="54"/>
      <c r="AB4" s="53">
        <v>11304</v>
      </c>
      <c r="AC4" s="54"/>
      <c r="AD4" s="53">
        <v>55608</v>
      </c>
      <c r="AE4" s="54"/>
      <c r="AF4" s="53">
        <v>50047</v>
      </c>
      <c r="AG4" s="54"/>
      <c r="AH4" s="53">
        <v>5561</v>
      </c>
      <c r="AI4" s="54"/>
      <c r="AJ4" s="53">
        <v>481308</v>
      </c>
      <c r="AK4" s="54"/>
      <c r="AL4" s="53">
        <v>470004</v>
      </c>
      <c r="AM4" s="54"/>
      <c r="AN4" s="53">
        <v>55608</v>
      </c>
      <c r="AO4" s="54"/>
      <c r="AP4" s="59">
        <v>50047</v>
      </c>
      <c r="AQ4" s="54"/>
      <c r="AR4" s="53">
        <v>4437270</v>
      </c>
      <c r="AS4" s="54"/>
      <c r="AT4" s="58">
        <v>9991369</v>
      </c>
      <c r="AU4" s="50"/>
      <c r="AV4" s="60">
        <v>12.42</v>
      </c>
      <c r="AW4" s="50" t="s">
        <v>19</v>
      </c>
      <c r="AX4" s="50" t="s">
        <v>359</v>
      </c>
    </row>
    <row r="5" spans="1:50">
      <c r="A5" s="50" t="s">
        <v>360</v>
      </c>
      <c r="B5" s="50" t="s">
        <v>361</v>
      </c>
      <c r="C5" s="50" t="s">
        <v>362</v>
      </c>
      <c r="D5" s="51">
        <v>2080</v>
      </c>
      <c r="E5" s="52">
        <v>20080</v>
      </c>
      <c r="F5" s="50" t="s">
        <v>363</v>
      </c>
      <c r="G5" s="50" t="s">
        <v>356</v>
      </c>
      <c r="H5" s="53">
        <v>18351295</v>
      </c>
      <c r="I5" s="54">
        <v>3646</v>
      </c>
      <c r="J5" s="50" t="s">
        <v>366</v>
      </c>
      <c r="K5" s="50" t="s">
        <v>358</v>
      </c>
      <c r="L5" s="55">
        <v>904</v>
      </c>
      <c r="M5" s="50"/>
      <c r="N5" s="56">
        <v>105</v>
      </c>
      <c r="O5" s="54"/>
      <c r="P5" s="57">
        <v>32.758000000000003</v>
      </c>
      <c r="Q5" s="54"/>
      <c r="R5" s="57">
        <v>22.010100000000001</v>
      </c>
      <c r="S5" s="54"/>
      <c r="T5" s="57">
        <v>40.014699999999998</v>
      </c>
      <c r="U5" s="54"/>
      <c r="V5" s="53">
        <v>54847772</v>
      </c>
      <c r="W5" s="54"/>
      <c r="X5" s="58">
        <v>57155030</v>
      </c>
      <c r="Y5" s="54"/>
      <c r="Z5" s="53">
        <v>54301350</v>
      </c>
      <c r="AA5" s="54"/>
      <c r="AB5" s="53">
        <v>2853680</v>
      </c>
      <c r="AC5" s="54"/>
      <c r="AD5" s="53">
        <v>1953118</v>
      </c>
      <c r="AE5" s="54"/>
      <c r="AF5" s="53">
        <v>1657653</v>
      </c>
      <c r="AG5" s="54"/>
      <c r="AH5" s="53">
        <v>295465</v>
      </c>
      <c r="AI5" s="54"/>
      <c r="AJ5" s="53">
        <v>8422625</v>
      </c>
      <c r="AK5" s="54"/>
      <c r="AL5" s="53">
        <v>7942892</v>
      </c>
      <c r="AM5" s="54"/>
      <c r="AN5" s="53">
        <v>287491</v>
      </c>
      <c r="AO5" s="54"/>
      <c r="AP5" s="59">
        <v>248272</v>
      </c>
      <c r="AQ5" s="54"/>
      <c r="AR5" s="53">
        <v>66330426</v>
      </c>
      <c r="AS5" s="54"/>
      <c r="AT5" s="58">
        <v>1459936301</v>
      </c>
      <c r="AU5" s="50"/>
      <c r="AV5" s="60">
        <v>920.4</v>
      </c>
      <c r="AW5" s="50" t="s">
        <v>19</v>
      </c>
      <c r="AX5" s="50" t="s">
        <v>359</v>
      </c>
    </row>
    <row r="6" spans="1:50">
      <c r="A6" s="50" t="s">
        <v>367</v>
      </c>
      <c r="B6" s="50" t="s">
        <v>368</v>
      </c>
      <c r="C6" s="50" t="s">
        <v>369</v>
      </c>
      <c r="D6" s="51">
        <v>9154</v>
      </c>
      <c r="E6" s="52">
        <v>90154</v>
      </c>
      <c r="F6" s="50" t="s">
        <v>370</v>
      </c>
      <c r="G6" s="50" t="s">
        <v>356</v>
      </c>
      <c r="H6" s="53">
        <v>12150996</v>
      </c>
      <c r="I6" s="54">
        <v>3482</v>
      </c>
      <c r="J6" s="50" t="s">
        <v>364</v>
      </c>
      <c r="K6" s="50" t="s">
        <v>358</v>
      </c>
      <c r="L6" s="55">
        <v>203</v>
      </c>
      <c r="M6" s="50"/>
      <c r="N6" s="56">
        <v>74</v>
      </c>
      <c r="O6" s="54"/>
      <c r="P6" s="57">
        <v>20.558</v>
      </c>
      <c r="Q6" s="54"/>
      <c r="R6" s="57">
        <v>7.5712999999999999</v>
      </c>
      <c r="S6" s="54"/>
      <c r="T6" s="57">
        <v>55.704000000000001</v>
      </c>
      <c r="U6" s="54"/>
      <c r="V6" s="53">
        <v>15592469</v>
      </c>
      <c r="W6" s="54"/>
      <c r="X6" s="58">
        <v>16090545</v>
      </c>
      <c r="Y6" s="54"/>
      <c r="Z6" s="53">
        <v>15536688</v>
      </c>
      <c r="AA6" s="54"/>
      <c r="AB6" s="53">
        <v>553857</v>
      </c>
      <c r="AC6" s="54"/>
      <c r="AD6" s="53">
        <v>792734</v>
      </c>
      <c r="AE6" s="54"/>
      <c r="AF6" s="53">
        <v>755749</v>
      </c>
      <c r="AG6" s="54"/>
      <c r="AH6" s="53">
        <v>36985</v>
      </c>
      <c r="AI6" s="54"/>
      <c r="AJ6" s="53">
        <v>6384468</v>
      </c>
      <c r="AK6" s="54"/>
      <c r="AL6" s="53">
        <v>6156417</v>
      </c>
      <c r="AM6" s="54"/>
      <c r="AN6" s="53">
        <v>309440</v>
      </c>
      <c r="AO6" s="54"/>
      <c r="AP6" s="59">
        <v>294220</v>
      </c>
      <c r="AQ6" s="54"/>
      <c r="AR6" s="53">
        <v>42098255</v>
      </c>
      <c r="AS6" s="54"/>
      <c r="AT6" s="58">
        <v>318737668</v>
      </c>
      <c r="AU6" s="50"/>
      <c r="AV6" s="60">
        <v>171.92</v>
      </c>
      <c r="AW6" s="50" t="s">
        <v>19</v>
      </c>
      <c r="AX6" s="50" t="s">
        <v>359</v>
      </c>
    </row>
    <row r="7" spans="1:50">
      <c r="A7" s="50" t="s">
        <v>367</v>
      </c>
      <c r="B7" s="50" t="s">
        <v>368</v>
      </c>
      <c r="C7" s="50" t="s">
        <v>369</v>
      </c>
      <c r="D7" s="51">
        <v>9154</v>
      </c>
      <c r="E7" s="52">
        <v>90154</v>
      </c>
      <c r="F7" s="50" t="s">
        <v>370</v>
      </c>
      <c r="G7" s="50" t="s">
        <v>356</v>
      </c>
      <c r="H7" s="53">
        <v>12150996</v>
      </c>
      <c r="I7" s="54">
        <v>3482</v>
      </c>
      <c r="J7" s="50" t="s">
        <v>357</v>
      </c>
      <c r="K7" s="50" t="s">
        <v>358</v>
      </c>
      <c r="L7" s="55">
        <v>68</v>
      </c>
      <c r="M7" s="50"/>
      <c r="N7" s="56">
        <v>13</v>
      </c>
      <c r="O7" s="54"/>
      <c r="P7" s="57">
        <v>21.8993</v>
      </c>
      <c r="Q7" s="54"/>
      <c r="R7" s="57">
        <v>4.8391999999999999</v>
      </c>
      <c r="S7" s="54"/>
      <c r="T7" s="57">
        <v>108.40730000000001</v>
      </c>
      <c r="U7" s="54"/>
      <c r="V7" s="53">
        <v>6821561</v>
      </c>
      <c r="W7" s="54"/>
      <c r="X7" s="58">
        <v>6973555</v>
      </c>
      <c r="Y7" s="54"/>
      <c r="Z7" s="53">
        <v>6801301</v>
      </c>
      <c r="AA7" s="54"/>
      <c r="AB7" s="53">
        <v>172254</v>
      </c>
      <c r="AC7" s="54"/>
      <c r="AD7" s="53">
        <v>327668</v>
      </c>
      <c r="AE7" s="54"/>
      <c r="AF7" s="53">
        <v>310572</v>
      </c>
      <c r="AG7" s="54"/>
      <c r="AH7" s="53">
        <v>17096</v>
      </c>
      <c r="AI7" s="54"/>
      <c r="AJ7" s="53">
        <v>1383514</v>
      </c>
      <c r="AK7" s="54"/>
      <c r="AL7" s="53">
        <v>1350454</v>
      </c>
      <c r="AM7" s="54"/>
      <c r="AN7" s="53">
        <v>66480</v>
      </c>
      <c r="AO7" s="54"/>
      <c r="AP7" s="59">
        <v>63158</v>
      </c>
      <c r="AQ7" s="54"/>
      <c r="AR7" s="53">
        <v>33668265</v>
      </c>
      <c r="AS7" s="54"/>
      <c r="AT7" s="58">
        <v>162927528</v>
      </c>
      <c r="AU7" s="50"/>
      <c r="AV7" s="60">
        <v>31.9</v>
      </c>
      <c r="AW7" s="50" t="s">
        <v>19</v>
      </c>
      <c r="AX7" s="50" t="s">
        <v>359</v>
      </c>
    </row>
    <row r="8" spans="1:50">
      <c r="A8" s="50" t="s">
        <v>371</v>
      </c>
      <c r="B8" s="50" t="s">
        <v>372</v>
      </c>
      <c r="C8" s="50" t="s">
        <v>373</v>
      </c>
      <c r="D8" s="51">
        <v>3030</v>
      </c>
      <c r="E8" s="52">
        <v>30030</v>
      </c>
      <c r="F8" s="50" t="s">
        <v>370</v>
      </c>
      <c r="G8" s="50" t="s">
        <v>356</v>
      </c>
      <c r="H8" s="53">
        <v>4586770</v>
      </c>
      <c r="I8" s="54">
        <v>3304</v>
      </c>
      <c r="J8" s="50" t="s">
        <v>357</v>
      </c>
      <c r="K8" s="50" t="s">
        <v>358</v>
      </c>
      <c r="L8" s="55">
        <v>998</v>
      </c>
      <c r="M8" s="50"/>
      <c r="N8" s="56">
        <v>129</v>
      </c>
      <c r="O8" s="54"/>
      <c r="P8" s="57">
        <v>23.3386</v>
      </c>
      <c r="Q8" s="54"/>
      <c r="R8" s="57">
        <v>5.6486999999999998</v>
      </c>
      <c r="S8" s="54"/>
      <c r="T8" s="57">
        <v>51.016399999999997</v>
      </c>
      <c r="U8" s="54"/>
      <c r="V8" s="53">
        <v>81860566</v>
      </c>
      <c r="W8" s="54"/>
      <c r="X8" s="58">
        <v>82234530</v>
      </c>
      <c r="Y8" s="54"/>
      <c r="Z8" s="53">
        <v>79847615</v>
      </c>
      <c r="AA8" s="54"/>
      <c r="AB8" s="53">
        <v>2386915</v>
      </c>
      <c r="AC8" s="54"/>
      <c r="AD8" s="53">
        <v>3524685</v>
      </c>
      <c r="AE8" s="54"/>
      <c r="AF8" s="53">
        <v>3421264</v>
      </c>
      <c r="AG8" s="54"/>
      <c r="AH8" s="53">
        <v>103421</v>
      </c>
      <c r="AI8" s="54"/>
      <c r="AJ8" s="53">
        <v>11770449</v>
      </c>
      <c r="AK8" s="54"/>
      <c r="AL8" s="53">
        <v>11432619</v>
      </c>
      <c r="AM8" s="54"/>
      <c r="AN8" s="53">
        <v>505929</v>
      </c>
      <c r="AO8" s="54"/>
      <c r="AP8" s="59">
        <v>489793</v>
      </c>
      <c r="AQ8" s="54"/>
      <c r="AR8" s="53">
        <v>174540714</v>
      </c>
      <c r="AS8" s="54"/>
      <c r="AT8" s="58">
        <v>985922295</v>
      </c>
      <c r="AU8" s="50"/>
      <c r="AV8" s="60">
        <v>234.2</v>
      </c>
      <c r="AW8" s="50" t="s">
        <v>19</v>
      </c>
      <c r="AX8" s="50" t="s">
        <v>359</v>
      </c>
    </row>
    <row r="9" spans="1:50">
      <c r="A9" s="50" t="s">
        <v>374</v>
      </c>
      <c r="B9" s="50" t="s">
        <v>375</v>
      </c>
      <c r="C9" s="50" t="s">
        <v>376</v>
      </c>
      <c r="D9" s="51">
        <v>5066</v>
      </c>
      <c r="E9" s="52">
        <v>50066</v>
      </c>
      <c r="F9" s="50" t="s">
        <v>370</v>
      </c>
      <c r="G9" s="50" t="s">
        <v>356</v>
      </c>
      <c r="H9" s="53">
        <v>8608208</v>
      </c>
      <c r="I9" s="54">
        <v>2703</v>
      </c>
      <c r="J9" s="50" t="s">
        <v>357</v>
      </c>
      <c r="K9" s="50" t="s">
        <v>358</v>
      </c>
      <c r="L9" s="55">
        <v>1148</v>
      </c>
      <c r="M9" s="50"/>
      <c r="N9" s="56">
        <v>158</v>
      </c>
      <c r="O9" s="54"/>
      <c r="P9" s="57">
        <v>18.0276</v>
      </c>
      <c r="Q9" s="54"/>
      <c r="R9" s="57">
        <v>6.3144</v>
      </c>
      <c r="S9" s="54" t="s">
        <v>377</v>
      </c>
      <c r="T9" s="57">
        <v>19.723500000000001</v>
      </c>
      <c r="U9" s="54"/>
      <c r="V9" s="53">
        <v>82996946</v>
      </c>
      <c r="W9" s="54"/>
      <c r="X9" s="58">
        <v>70519745</v>
      </c>
      <c r="Y9" s="54"/>
      <c r="Z9" s="53">
        <v>69510641</v>
      </c>
      <c r="AA9" s="54"/>
      <c r="AB9" s="53">
        <v>1009104</v>
      </c>
      <c r="AC9" s="54"/>
      <c r="AD9" s="53">
        <v>4177041</v>
      </c>
      <c r="AE9" s="54"/>
      <c r="AF9" s="53">
        <v>3855798</v>
      </c>
      <c r="AG9" s="54"/>
      <c r="AH9" s="53">
        <v>321243</v>
      </c>
      <c r="AI9" s="54"/>
      <c r="AJ9" s="53">
        <v>10533049</v>
      </c>
      <c r="AK9" s="54"/>
      <c r="AL9" s="53">
        <v>10388783</v>
      </c>
      <c r="AM9" s="54"/>
      <c r="AN9" s="53">
        <v>631507</v>
      </c>
      <c r="AO9" s="54"/>
      <c r="AP9" s="59">
        <v>582079</v>
      </c>
      <c r="AQ9" s="54"/>
      <c r="AR9" s="53">
        <v>76049871</v>
      </c>
      <c r="AS9" s="54"/>
      <c r="AT9" s="58">
        <v>480210760</v>
      </c>
      <c r="AU9" s="50" t="s">
        <v>377</v>
      </c>
      <c r="AV9" s="60">
        <v>207.84</v>
      </c>
      <c r="AW9" s="50" t="s">
        <v>19</v>
      </c>
      <c r="AX9" s="50" t="s">
        <v>378</v>
      </c>
    </row>
    <row r="10" spans="1:50">
      <c r="A10" s="50" t="s">
        <v>379</v>
      </c>
      <c r="B10" s="50" t="s">
        <v>380</v>
      </c>
      <c r="C10" s="50" t="s">
        <v>381</v>
      </c>
      <c r="D10" s="51">
        <v>1003</v>
      </c>
      <c r="E10" s="52">
        <v>10003</v>
      </c>
      <c r="F10" s="50" t="s">
        <v>370</v>
      </c>
      <c r="G10" s="50" t="s">
        <v>356</v>
      </c>
      <c r="H10" s="53">
        <v>4181019</v>
      </c>
      <c r="I10" s="54">
        <v>2428</v>
      </c>
      <c r="J10" s="50" t="s">
        <v>364</v>
      </c>
      <c r="K10" s="50" t="s">
        <v>358</v>
      </c>
      <c r="L10" s="55">
        <v>154</v>
      </c>
      <c r="M10" s="50"/>
      <c r="N10" s="56">
        <v>86</v>
      </c>
      <c r="O10" s="54"/>
      <c r="P10" s="57">
        <v>7.3029000000000002</v>
      </c>
      <c r="Q10" s="54"/>
      <c r="R10" s="57">
        <v>2.3538000000000001</v>
      </c>
      <c r="S10" s="54"/>
      <c r="T10" s="57">
        <v>57.774500000000003</v>
      </c>
      <c r="U10" s="54"/>
      <c r="V10" s="53">
        <v>5714964</v>
      </c>
      <c r="W10" s="54"/>
      <c r="X10" s="58">
        <v>5260506</v>
      </c>
      <c r="Y10" s="54"/>
      <c r="Z10" s="53">
        <v>5241369</v>
      </c>
      <c r="AA10" s="54"/>
      <c r="AB10" s="53">
        <v>19137</v>
      </c>
      <c r="AC10" s="54"/>
      <c r="AD10" s="53">
        <v>726323</v>
      </c>
      <c r="AE10" s="54"/>
      <c r="AF10" s="53">
        <v>717709</v>
      </c>
      <c r="AG10" s="54"/>
      <c r="AH10" s="53">
        <v>8614</v>
      </c>
      <c r="AI10" s="54" t="s">
        <v>382</v>
      </c>
      <c r="AJ10" s="53">
        <v>2876932</v>
      </c>
      <c r="AK10" s="54"/>
      <c r="AL10" s="53">
        <v>2870560</v>
      </c>
      <c r="AM10" s="54"/>
      <c r="AN10" s="53">
        <v>321018</v>
      </c>
      <c r="AO10" s="54"/>
      <c r="AP10" s="59">
        <v>315916</v>
      </c>
      <c r="AQ10" s="54"/>
      <c r="AR10" s="53">
        <v>41465243</v>
      </c>
      <c r="AS10" s="54"/>
      <c r="AT10" s="58">
        <v>97602251</v>
      </c>
      <c r="AU10" s="50"/>
      <c r="AV10" s="60">
        <v>51</v>
      </c>
      <c r="AW10" s="50" t="s">
        <v>19</v>
      </c>
      <c r="AX10" s="50" t="s">
        <v>378</v>
      </c>
    </row>
    <row r="11" spans="1:50">
      <c r="A11" s="50" t="s">
        <v>379</v>
      </c>
      <c r="B11" s="50" t="s">
        <v>380</v>
      </c>
      <c r="C11" s="50" t="s">
        <v>381</v>
      </c>
      <c r="D11" s="51">
        <v>1003</v>
      </c>
      <c r="E11" s="52">
        <v>10003</v>
      </c>
      <c r="F11" s="50" t="s">
        <v>370</v>
      </c>
      <c r="G11" s="50" t="s">
        <v>356</v>
      </c>
      <c r="H11" s="53">
        <v>4181019</v>
      </c>
      <c r="I11" s="54">
        <v>2428</v>
      </c>
      <c r="J11" s="50" t="s">
        <v>357</v>
      </c>
      <c r="K11" s="50" t="s">
        <v>358</v>
      </c>
      <c r="L11" s="55">
        <v>338</v>
      </c>
      <c r="M11" s="50"/>
      <c r="N11" s="56">
        <v>56</v>
      </c>
      <c r="O11" s="54"/>
      <c r="P11" s="57">
        <v>16.707100000000001</v>
      </c>
      <c r="Q11" s="54"/>
      <c r="R11" s="57">
        <v>3.5198</v>
      </c>
      <c r="S11" s="54"/>
      <c r="T11" s="57">
        <v>87.046400000000006</v>
      </c>
      <c r="U11" s="54"/>
      <c r="V11" s="53">
        <v>23317516</v>
      </c>
      <c r="W11" s="54"/>
      <c r="X11" s="58">
        <v>22746421</v>
      </c>
      <c r="Y11" s="54"/>
      <c r="Z11" s="53">
        <v>22203578</v>
      </c>
      <c r="AA11" s="54"/>
      <c r="AB11" s="53">
        <v>542843</v>
      </c>
      <c r="AC11" s="54"/>
      <c r="AD11" s="53">
        <v>1393950</v>
      </c>
      <c r="AE11" s="54"/>
      <c r="AF11" s="53">
        <v>1328990</v>
      </c>
      <c r="AG11" s="54"/>
      <c r="AH11" s="53">
        <v>64960</v>
      </c>
      <c r="AI11" s="54"/>
      <c r="AJ11" s="53">
        <v>3791070</v>
      </c>
      <c r="AK11" s="54"/>
      <c r="AL11" s="53">
        <v>3700596</v>
      </c>
      <c r="AM11" s="54"/>
      <c r="AN11" s="53">
        <v>253575</v>
      </c>
      <c r="AO11" s="54"/>
      <c r="AP11" s="59">
        <v>242748</v>
      </c>
      <c r="AQ11" s="54"/>
      <c r="AR11" s="53">
        <v>115683733</v>
      </c>
      <c r="AS11" s="54"/>
      <c r="AT11" s="58">
        <v>407181618</v>
      </c>
      <c r="AU11" s="50"/>
      <c r="AV11" s="60">
        <v>76.3</v>
      </c>
      <c r="AW11" s="50" t="s">
        <v>19</v>
      </c>
      <c r="AX11" s="50" t="s">
        <v>359</v>
      </c>
    </row>
    <row r="12" spans="1:50">
      <c r="A12" s="50" t="s">
        <v>379</v>
      </c>
      <c r="B12" s="50" t="s">
        <v>380</v>
      </c>
      <c r="C12" s="50" t="s">
        <v>381</v>
      </c>
      <c r="D12" s="51">
        <v>1003</v>
      </c>
      <c r="E12" s="52">
        <v>10003</v>
      </c>
      <c r="F12" s="50" t="s">
        <v>370</v>
      </c>
      <c r="G12" s="50" t="s">
        <v>356</v>
      </c>
      <c r="H12" s="53">
        <v>4181019</v>
      </c>
      <c r="I12" s="54">
        <v>2428</v>
      </c>
      <c r="J12" s="50" t="s">
        <v>366</v>
      </c>
      <c r="K12" s="50" t="s">
        <v>365</v>
      </c>
      <c r="L12" s="55">
        <v>436</v>
      </c>
      <c r="M12" s="50"/>
      <c r="N12" s="56">
        <v>67</v>
      </c>
      <c r="O12" s="54"/>
      <c r="P12" s="57">
        <v>29.729199999999999</v>
      </c>
      <c r="Q12" s="54"/>
      <c r="R12" s="57">
        <v>20.751000000000001</v>
      </c>
      <c r="S12" s="54"/>
      <c r="T12" s="57">
        <v>33.01</v>
      </c>
      <c r="U12" s="54"/>
      <c r="V12" s="53">
        <v>22195183</v>
      </c>
      <c r="W12" s="54"/>
      <c r="X12" s="58">
        <v>22810502</v>
      </c>
      <c r="Y12" s="54"/>
      <c r="Z12" s="53">
        <v>22300695</v>
      </c>
      <c r="AA12" s="54"/>
      <c r="AB12" s="53">
        <v>509807</v>
      </c>
      <c r="AC12" s="54"/>
      <c r="AD12" s="53">
        <v>768699</v>
      </c>
      <c r="AE12" s="54"/>
      <c r="AF12" s="53">
        <v>750128</v>
      </c>
      <c r="AG12" s="54"/>
      <c r="AH12" s="53">
        <v>18571</v>
      </c>
      <c r="AI12" s="54"/>
      <c r="AJ12" s="53">
        <v>4189947</v>
      </c>
      <c r="AK12" s="54"/>
      <c r="AL12" s="53">
        <v>4093393</v>
      </c>
      <c r="AM12" s="54"/>
      <c r="AN12" s="53">
        <v>141215</v>
      </c>
      <c r="AO12" s="54"/>
      <c r="AP12" s="59">
        <v>137738</v>
      </c>
      <c r="AQ12" s="54"/>
      <c r="AR12" s="53">
        <v>24761705</v>
      </c>
      <c r="AS12" s="54"/>
      <c r="AT12" s="58">
        <v>513830968</v>
      </c>
      <c r="AU12" s="50"/>
      <c r="AV12" s="60">
        <v>776.08</v>
      </c>
      <c r="AW12" s="50" t="s">
        <v>19</v>
      </c>
      <c r="AX12" s="50" t="s">
        <v>359</v>
      </c>
    </row>
    <row r="13" spans="1:50">
      <c r="A13" s="50" t="s">
        <v>383</v>
      </c>
      <c r="B13" s="50" t="s">
        <v>384</v>
      </c>
      <c r="C13" s="50" t="s">
        <v>385</v>
      </c>
      <c r="D13" s="51">
        <v>3019</v>
      </c>
      <c r="E13" s="52">
        <v>30019</v>
      </c>
      <c r="F13" s="50" t="s">
        <v>370</v>
      </c>
      <c r="G13" s="50" t="s">
        <v>356</v>
      </c>
      <c r="H13" s="53">
        <v>5441567</v>
      </c>
      <c r="I13" s="54">
        <v>2406</v>
      </c>
      <c r="J13" s="50" t="s">
        <v>357</v>
      </c>
      <c r="K13" s="50" t="s">
        <v>358</v>
      </c>
      <c r="L13" s="55">
        <v>286</v>
      </c>
      <c r="M13" s="50"/>
      <c r="N13" s="56">
        <v>61</v>
      </c>
      <c r="O13" s="54"/>
      <c r="P13" s="57">
        <v>17.097100000000001</v>
      </c>
      <c r="Q13" s="54"/>
      <c r="R13" s="57">
        <v>4.4253999999999998</v>
      </c>
      <c r="S13" s="54" t="s">
        <v>377</v>
      </c>
      <c r="T13" s="57">
        <v>75.514099999999999</v>
      </c>
      <c r="U13" s="54" t="s">
        <v>377</v>
      </c>
      <c r="V13" s="53">
        <v>16431036</v>
      </c>
      <c r="W13" s="54"/>
      <c r="X13" s="58">
        <v>16168711</v>
      </c>
      <c r="Y13" s="54"/>
      <c r="Z13" s="53">
        <v>16089713</v>
      </c>
      <c r="AA13" s="54"/>
      <c r="AB13" s="53">
        <v>78998</v>
      </c>
      <c r="AC13" s="54"/>
      <c r="AD13" s="53">
        <v>945947</v>
      </c>
      <c r="AE13" s="54"/>
      <c r="AF13" s="53">
        <v>941080</v>
      </c>
      <c r="AG13" s="54"/>
      <c r="AH13" s="53">
        <v>4867</v>
      </c>
      <c r="AI13" s="54"/>
      <c r="AJ13" s="53">
        <v>3121305</v>
      </c>
      <c r="AK13" s="54"/>
      <c r="AL13" s="53">
        <v>3101700</v>
      </c>
      <c r="AM13" s="54"/>
      <c r="AN13" s="53">
        <v>182557</v>
      </c>
      <c r="AO13" s="54"/>
      <c r="AP13" s="59">
        <v>181391</v>
      </c>
      <c r="AQ13" s="54"/>
      <c r="AR13" s="53">
        <v>71064786</v>
      </c>
      <c r="AS13" s="54" t="s">
        <v>377</v>
      </c>
      <c r="AT13" s="58">
        <v>314489396</v>
      </c>
      <c r="AU13" s="50" t="s">
        <v>377</v>
      </c>
      <c r="AV13" s="60">
        <v>74.900000000000006</v>
      </c>
      <c r="AW13" s="50" t="s">
        <v>19</v>
      </c>
      <c r="AX13" s="50" t="s">
        <v>378</v>
      </c>
    </row>
    <row r="14" spans="1:50">
      <c r="A14" s="50" t="s">
        <v>383</v>
      </c>
      <c r="B14" s="50" t="s">
        <v>384</v>
      </c>
      <c r="C14" s="50" t="s">
        <v>385</v>
      </c>
      <c r="D14" s="51">
        <v>3019</v>
      </c>
      <c r="E14" s="52">
        <v>30019</v>
      </c>
      <c r="F14" s="50" t="s">
        <v>370</v>
      </c>
      <c r="G14" s="50" t="s">
        <v>356</v>
      </c>
      <c r="H14" s="53">
        <v>5441567</v>
      </c>
      <c r="I14" s="54">
        <v>2406</v>
      </c>
      <c r="J14" s="50" t="s">
        <v>366</v>
      </c>
      <c r="K14" s="50" t="s">
        <v>358</v>
      </c>
      <c r="L14" s="55">
        <v>357</v>
      </c>
      <c r="M14" s="50"/>
      <c r="N14" s="56">
        <v>84</v>
      </c>
      <c r="O14" s="54"/>
      <c r="P14" s="57">
        <v>19.690899999999999</v>
      </c>
      <c r="Q14" s="54"/>
      <c r="R14" s="57">
        <v>13.449400000000001</v>
      </c>
      <c r="S14" s="54" t="s">
        <v>377</v>
      </c>
      <c r="T14" s="57">
        <v>29.793900000000001</v>
      </c>
      <c r="U14" s="54" t="s">
        <v>377</v>
      </c>
      <c r="V14" s="53">
        <v>16896038</v>
      </c>
      <c r="W14" s="54"/>
      <c r="X14" s="58">
        <v>17498310</v>
      </c>
      <c r="Y14" s="54"/>
      <c r="Z14" s="53">
        <v>16621821</v>
      </c>
      <c r="AA14" s="54"/>
      <c r="AB14" s="53">
        <v>876489</v>
      </c>
      <c r="AC14" s="54"/>
      <c r="AD14" s="53">
        <v>882766</v>
      </c>
      <c r="AE14" s="54"/>
      <c r="AF14" s="53">
        <v>844136</v>
      </c>
      <c r="AG14" s="54"/>
      <c r="AH14" s="53">
        <v>38630</v>
      </c>
      <c r="AI14" s="54"/>
      <c r="AJ14" s="53">
        <v>4453116</v>
      </c>
      <c r="AK14" s="54"/>
      <c r="AL14" s="53">
        <v>4225898</v>
      </c>
      <c r="AM14" s="54"/>
      <c r="AN14" s="53">
        <v>224140</v>
      </c>
      <c r="AO14" s="54"/>
      <c r="AP14" s="59">
        <v>214329</v>
      </c>
      <c r="AQ14" s="54"/>
      <c r="AR14" s="53">
        <v>25150117</v>
      </c>
      <c r="AS14" s="54" t="s">
        <v>377</v>
      </c>
      <c r="AT14" s="58">
        <v>338253606</v>
      </c>
      <c r="AU14" s="50" t="s">
        <v>377</v>
      </c>
      <c r="AV14" s="60">
        <v>446.94</v>
      </c>
      <c r="AW14" s="50" t="s">
        <v>19</v>
      </c>
      <c r="AX14" s="50" t="s">
        <v>378</v>
      </c>
    </row>
    <row r="15" spans="1:50">
      <c r="A15" s="50" t="s">
        <v>386</v>
      </c>
      <c r="B15" s="50" t="s">
        <v>387</v>
      </c>
      <c r="C15" s="50" t="s">
        <v>388</v>
      </c>
      <c r="D15" s="51">
        <v>6008</v>
      </c>
      <c r="E15" s="52">
        <v>60008</v>
      </c>
      <c r="F15" s="50" t="s">
        <v>370</v>
      </c>
      <c r="G15" s="50" t="s">
        <v>356</v>
      </c>
      <c r="H15" s="53">
        <v>4944332</v>
      </c>
      <c r="I15" s="54">
        <v>2157</v>
      </c>
      <c r="J15" s="50" t="s">
        <v>364</v>
      </c>
      <c r="K15" s="50" t="s">
        <v>358</v>
      </c>
      <c r="L15" s="55">
        <v>56</v>
      </c>
      <c r="M15" s="50"/>
      <c r="N15" s="56">
        <v>29</v>
      </c>
      <c r="O15" s="54"/>
      <c r="P15" s="57">
        <v>12.147399999999999</v>
      </c>
      <c r="Q15" s="54"/>
      <c r="R15" s="57">
        <v>2.9095</v>
      </c>
      <c r="S15" s="54"/>
      <c r="T15" s="57">
        <v>48.3795</v>
      </c>
      <c r="U15" s="54"/>
      <c r="V15" s="53">
        <v>3257209</v>
      </c>
      <c r="W15" s="54"/>
      <c r="X15" s="58">
        <v>3247125</v>
      </c>
      <c r="Y15" s="54"/>
      <c r="Z15" s="53">
        <v>3236011</v>
      </c>
      <c r="AA15" s="54"/>
      <c r="AB15" s="53">
        <v>11114</v>
      </c>
      <c r="AC15" s="54"/>
      <c r="AD15" s="53">
        <v>268268</v>
      </c>
      <c r="AE15" s="54"/>
      <c r="AF15" s="53">
        <v>266396</v>
      </c>
      <c r="AG15" s="54"/>
      <c r="AH15" s="53">
        <v>1872</v>
      </c>
      <c r="AI15" s="54"/>
      <c r="AJ15" s="53">
        <v>1940638</v>
      </c>
      <c r="AK15" s="54"/>
      <c r="AL15" s="53">
        <v>1929524</v>
      </c>
      <c r="AM15" s="54"/>
      <c r="AN15" s="53">
        <v>176143</v>
      </c>
      <c r="AO15" s="54"/>
      <c r="AP15" s="59">
        <v>174271</v>
      </c>
      <c r="AQ15" s="54"/>
      <c r="AR15" s="53">
        <v>12888105</v>
      </c>
      <c r="AS15" s="54"/>
      <c r="AT15" s="58">
        <v>37497523</v>
      </c>
      <c r="AU15" s="50"/>
      <c r="AV15" s="60">
        <v>43.59</v>
      </c>
      <c r="AW15" s="50" t="s">
        <v>19</v>
      </c>
      <c r="AX15" s="50" t="s">
        <v>359</v>
      </c>
    </row>
    <row r="16" spans="1:50">
      <c r="A16" s="50" t="s">
        <v>389</v>
      </c>
      <c r="B16" s="50" t="s">
        <v>390</v>
      </c>
      <c r="C16" s="50" t="s">
        <v>391</v>
      </c>
      <c r="D16" s="51">
        <v>3034</v>
      </c>
      <c r="E16" s="52">
        <v>30034</v>
      </c>
      <c r="F16" s="50" t="s">
        <v>392</v>
      </c>
      <c r="G16" s="50" t="s">
        <v>356</v>
      </c>
      <c r="H16" s="53">
        <v>2203663</v>
      </c>
      <c r="I16" s="54">
        <v>1888</v>
      </c>
      <c r="J16" s="50" t="s">
        <v>364</v>
      </c>
      <c r="K16" s="50" t="s">
        <v>358</v>
      </c>
      <c r="L16" s="55">
        <v>38</v>
      </c>
      <c r="M16" s="50"/>
      <c r="N16" s="56">
        <v>18</v>
      </c>
      <c r="O16" s="54"/>
      <c r="P16" s="57">
        <v>19.6769</v>
      </c>
      <c r="Q16" s="54"/>
      <c r="R16" s="57">
        <v>5.7127999999999997</v>
      </c>
      <c r="S16" s="54" t="s">
        <v>377</v>
      </c>
      <c r="T16" s="57">
        <v>35.373800000000003</v>
      </c>
      <c r="U16" s="54"/>
      <c r="V16" s="53">
        <v>2774375</v>
      </c>
      <c r="W16" s="54"/>
      <c r="X16" s="58">
        <v>2676810</v>
      </c>
      <c r="Y16" s="54"/>
      <c r="Z16" s="53">
        <v>2588105</v>
      </c>
      <c r="AA16" s="54"/>
      <c r="AB16" s="53">
        <v>88705</v>
      </c>
      <c r="AC16" s="54"/>
      <c r="AD16" s="53">
        <v>138492</v>
      </c>
      <c r="AE16" s="54"/>
      <c r="AF16" s="53">
        <v>131530</v>
      </c>
      <c r="AG16" s="54"/>
      <c r="AH16" s="53">
        <v>6962</v>
      </c>
      <c r="AI16" s="54"/>
      <c r="AJ16" s="53">
        <v>1046361</v>
      </c>
      <c r="AK16" s="54"/>
      <c r="AL16" s="53">
        <v>1044905</v>
      </c>
      <c r="AM16" s="54"/>
      <c r="AN16" s="53">
        <v>58730</v>
      </c>
      <c r="AO16" s="54"/>
      <c r="AP16" s="59">
        <v>58193</v>
      </c>
      <c r="AQ16" s="54"/>
      <c r="AR16" s="53">
        <v>4652718</v>
      </c>
      <c r="AS16" s="54"/>
      <c r="AT16" s="58">
        <v>26579844</v>
      </c>
      <c r="AU16" s="50" t="s">
        <v>377</v>
      </c>
      <c r="AV16" s="60">
        <v>57.6</v>
      </c>
      <c r="AW16" s="50" t="s">
        <v>19</v>
      </c>
      <c r="AX16" s="50" t="s">
        <v>378</v>
      </c>
    </row>
    <row r="17" spans="1:50">
      <c r="A17" s="50" t="s">
        <v>389</v>
      </c>
      <c r="B17" s="50" t="s">
        <v>390</v>
      </c>
      <c r="C17" s="50" t="s">
        <v>391</v>
      </c>
      <c r="D17" s="51">
        <v>3034</v>
      </c>
      <c r="E17" s="52">
        <v>30034</v>
      </c>
      <c r="F17" s="50" t="s">
        <v>392</v>
      </c>
      <c r="G17" s="50" t="s">
        <v>356</v>
      </c>
      <c r="H17" s="53">
        <v>2203663</v>
      </c>
      <c r="I17" s="54">
        <v>1888</v>
      </c>
      <c r="J17" s="50" t="s">
        <v>357</v>
      </c>
      <c r="K17" s="50" t="s">
        <v>358</v>
      </c>
      <c r="L17" s="55">
        <v>54</v>
      </c>
      <c r="M17" s="50"/>
      <c r="N17" s="56">
        <v>9</v>
      </c>
      <c r="O17" s="54"/>
      <c r="P17" s="57">
        <v>26.092600000000001</v>
      </c>
      <c r="Q17" s="54"/>
      <c r="R17" s="57">
        <v>4.7674000000000003</v>
      </c>
      <c r="S17" s="54" t="s">
        <v>377</v>
      </c>
      <c r="T17" s="57">
        <v>36.698</v>
      </c>
      <c r="U17" s="54"/>
      <c r="V17" s="53">
        <v>4289979</v>
      </c>
      <c r="W17" s="54"/>
      <c r="X17" s="58">
        <v>4659371</v>
      </c>
      <c r="Y17" s="54"/>
      <c r="Z17" s="53">
        <v>4169492</v>
      </c>
      <c r="AA17" s="54"/>
      <c r="AB17" s="53">
        <v>489879</v>
      </c>
      <c r="AC17" s="54"/>
      <c r="AD17" s="53">
        <v>180401</v>
      </c>
      <c r="AE17" s="54"/>
      <c r="AF17" s="53">
        <v>159796</v>
      </c>
      <c r="AG17" s="54"/>
      <c r="AH17" s="53">
        <v>20605</v>
      </c>
      <c r="AI17" s="54"/>
      <c r="AJ17" s="53">
        <v>845652</v>
      </c>
      <c r="AK17" s="54"/>
      <c r="AL17" s="53">
        <v>734915</v>
      </c>
      <c r="AM17" s="54"/>
      <c r="AN17" s="53">
        <v>32887</v>
      </c>
      <c r="AO17" s="54"/>
      <c r="AP17" s="59">
        <v>28462</v>
      </c>
      <c r="AQ17" s="54"/>
      <c r="AR17" s="53">
        <v>5864191</v>
      </c>
      <c r="AS17" s="54"/>
      <c r="AT17" s="58">
        <v>27957087</v>
      </c>
      <c r="AU17" s="50" t="s">
        <v>377</v>
      </c>
      <c r="AV17" s="60">
        <v>29.4</v>
      </c>
      <c r="AW17" s="50" t="s">
        <v>19</v>
      </c>
      <c r="AX17" s="50" t="s">
        <v>378</v>
      </c>
    </row>
    <row r="18" spans="1:50">
      <c r="A18" s="50" t="s">
        <v>389</v>
      </c>
      <c r="B18" s="50" t="s">
        <v>390</v>
      </c>
      <c r="C18" s="50" t="s">
        <v>391</v>
      </c>
      <c r="D18" s="51">
        <v>3034</v>
      </c>
      <c r="E18" s="52">
        <v>30034</v>
      </c>
      <c r="F18" s="50" t="s">
        <v>392</v>
      </c>
      <c r="G18" s="50" t="s">
        <v>356</v>
      </c>
      <c r="H18" s="53">
        <v>2203663</v>
      </c>
      <c r="I18" s="54">
        <v>1888</v>
      </c>
      <c r="J18" s="50" t="s">
        <v>366</v>
      </c>
      <c r="K18" s="50" t="s">
        <v>365</v>
      </c>
      <c r="L18" s="55">
        <v>149</v>
      </c>
      <c r="M18" s="50"/>
      <c r="N18" s="56">
        <v>28</v>
      </c>
      <c r="O18" s="54"/>
      <c r="P18" s="57">
        <v>38.328299999999999</v>
      </c>
      <c r="Q18" s="54"/>
      <c r="R18" s="57">
        <v>29.584599999999998</v>
      </c>
      <c r="S18" s="54" t="s">
        <v>377</v>
      </c>
      <c r="T18" s="57">
        <v>45.747900000000001</v>
      </c>
      <c r="U18" s="54"/>
      <c r="V18" s="53">
        <v>6001808</v>
      </c>
      <c r="W18" s="54"/>
      <c r="X18" s="58">
        <v>5996542</v>
      </c>
      <c r="Y18" s="54"/>
      <c r="Z18" s="53">
        <v>5596811</v>
      </c>
      <c r="AA18" s="54"/>
      <c r="AB18" s="53">
        <v>399731</v>
      </c>
      <c r="AC18" s="54"/>
      <c r="AD18" s="53">
        <v>155174</v>
      </c>
      <c r="AE18" s="54"/>
      <c r="AF18" s="53">
        <v>146023</v>
      </c>
      <c r="AG18" s="54"/>
      <c r="AH18" s="53">
        <v>9151</v>
      </c>
      <c r="AI18" s="54"/>
      <c r="AJ18" s="53">
        <v>1094365</v>
      </c>
      <c r="AK18" s="54"/>
      <c r="AL18" s="53">
        <v>1036558</v>
      </c>
      <c r="AM18" s="54"/>
      <c r="AN18" s="53">
        <v>30902</v>
      </c>
      <c r="AO18" s="54"/>
      <c r="AP18" s="59">
        <v>28513</v>
      </c>
      <c r="AQ18" s="54"/>
      <c r="AR18" s="53">
        <v>6680248</v>
      </c>
      <c r="AS18" s="54"/>
      <c r="AT18" s="58">
        <v>197632189</v>
      </c>
      <c r="AU18" s="50" t="s">
        <v>377</v>
      </c>
      <c r="AV18" s="60">
        <v>400.4</v>
      </c>
      <c r="AW18" s="50" t="s">
        <v>19</v>
      </c>
      <c r="AX18" s="50" t="s">
        <v>378</v>
      </c>
    </row>
    <row r="19" spans="1:50">
      <c r="A19" s="50" t="s">
        <v>393</v>
      </c>
      <c r="B19" s="50" t="s">
        <v>394</v>
      </c>
      <c r="C19" s="50" t="s">
        <v>395</v>
      </c>
      <c r="D19" s="51">
        <v>4034</v>
      </c>
      <c r="E19" s="52">
        <v>40034</v>
      </c>
      <c r="F19" s="50" t="s">
        <v>396</v>
      </c>
      <c r="G19" s="50" t="s">
        <v>356</v>
      </c>
      <c r="H19" s="53">
        <v>5502379</v>
      </c>
      <c r="I19" s="54">
        <v>1452</v>
      </c>
      <c r="J19" s="50" t="s">
        <v>357</v>
      </c>
      <c r="K19" s="50" t="s">
        <v>358</v>
      </c>
      <c r="L19" s="55">
        <v>76</v>
      </c>
      <c r="M19" s="50"/>
      <c r="N19" s="56">
        <v>18</v>
      </c>
      <c r="O19" s="54"/>
      <c r="P19" s="57">
        <v>21.7622</v>
      </c>
      <c r="Q19" s="54"/>
      <c r="R19" s="57">
        <v>7.3830999999999998</v>
      </c>
      <c r="S19" s="54" t="s">
        <v>377</v>
      </c>
      <c r="T19" s="57">
        <v>35.960099999999997</v>
      </c>
      <c r="U19" s="54"/>
      <c r="V19" s="53">
        <v>7212362</v>
      </c>
      <c r="W19" s="54"/>
      <c r="X19" s="58">
        <v>7598157</v>
      </c>
      <c r="Y19" s="54"/>
      <c r="Z19" s="53">
        <v>7178627</v>
      </c>
      <c r="AA19" s="54"/>
      <c r="AB19" s="53">
        <v>419530</v>
      </c>
      <c r="AC19" s="54"/>
      <c r="AD19" s="53">
        <v>362201</v>
      </c>
      <c r="AE19" s="54"/>
      <c r="AF19" s="53">
        <v>329867</v>
      </c>
      <c r="AG19" s="54"/>
      <c r="AH19" s="53">
        <v>32334</v>
      </c>
      <c r="AI19" s="54"/>
      <c r="AJ19" s="53">
        <v>1899556</v>
      </c>
      <c r="AK19" s="54"/>
      <c r="AL19" s="53">
        <v>1794673</v>
      </c>
      <c r="AM19" s="54"/>
      <c r="AN19" s="53">
        <v>90549</v>
      </c>
      <c r="AO19" s="54"/>
      <c r="AP19" s="59">
        <v>82465</v>
      </c>
      <c r="AQ19" s="54"/>
      <c r="AR19" s="53">
        <v>11862059</v>
      </c>
      <c r="AS19" s="54"/>
      <c r="AT19" s="58">
        <v>87578321</v>
      </c>
      <c r="AU19" s="50" t="s">
        <v>377</v>
      </c>
      <c r="AV19" s="60">
        <v>49.84</v>
      </c>
      <c r="AW19" s="50" t="s">
        <v>19</v>
      </c>
      <c r="AX19" s="50" t="s">
        <v>378</v>
      </c>
    </row>
    <row r="20" spans="1:50">
      <c r="A20" s="50" t="s">
        <v>397</v>
      </c>
      <c r="B20" s="50" t="s">
        <v>398</v>
      </c>
      <c r="C20" s="50" t="s">
        <v>399</v>
      </c>
      <c r="D20" s="51">
        <v>8006</v>
      </c>
      <c r="E20" s="52">
        <v>80006</v>
      </c>
      <c r="F20" s="50" t="s">
        <v>370</v>
      </c>
      <c r="G20" s="50" t="s">
        <v>356</v>
      </c>
      <c r="H20" s="53">
        <v>2374203</v>
      </c>
      <c r="I20" s="54">
        <v>1431</v>
      </c>
      <c r="J20" s="50" t="s">
        <v>364</v>
      </c>
      <c r="K20" s="50" t="s">
        <v>358</v>
      </c>
      <c r="L20" s="55">
        <v>156</v>
      </c>
      <c r="M20" s="50"/>
      <c r="N20" s="56">
        <v>41</v>
      </c>
      <c r="O20" s="54"/>
      <c r="P20" s="57">
        <v>17.200199999999999</v>
      </c>
      <c r="Q20" s="54"/>
      <c r="R20" s="57">
        <v>6.9672999999999998</v>
      </c>
      <c r="S20" s="54"/>
      <c r="T20" s="57">
        <v>19.858599999999999</v>
      </c>
      <c r="U20" s="54"/>
      <c r="V20" s="53">
        <v>9004264</v>
      </c>
      <c r="W20" s="54"/>
      <c r="X20" s="58">
        <v>9327859</v>
      </c>
      <c r="Y20" s="54"/>
      <c r="Z20" s="53">
        <v>9063803</v>
      </c>
      <c r="AA20" s="54"/>
      <c r="AB20" s="53">
        <v>264056</v>
      </c>
      <c r="AC20" s="54"/>
      <c r="AD20" s="53">
        <v>590892</v>
      </c>
      <c r="AE20" s="54"/>
      <c r="AF20" s="53">
        <v>526960</v>
      </c>
      <c r="AG20" s="54"/>
      <c r="AH20" s="53">
        <v>63932</v>
      </c>
      <c r="AI20" s="54"/>
      <c r="AJ20" s="53">
        <v>3900081</v>
      </c>
      <c r="AK20" s="54"/>
      <c r="AL20" s="53">
        <v>3745938</v>
      </c>
      <c r="AM20" s="54"/>
      <c r="AN20" s="53">
        <v>267096</v>
      </c>
      <c r="AO20" s="54"/>
      <c r="AP20" s="59">
        <v>226007</v>
      </c>
      <c r="AQ20" s="54"/>
      <c r="AR20" s="53">
        <v>10464678</v>
      </c>
      <c r="AS20" s="54"/>
      <c r="AT20" s="58">
        <v>72910951</v>
      </c>
      <c r="AU20" s="50"/>
      <c r="AV20" s="60">
        <v>119.78</v>
      </c>
      <c r="AW20" s="50" t="s">
        <v>19</v>
      </c>
      <c r="AX20" s="50" t="s">
        <v>359</v>
      </c>
    </row>
    <row r="21" spans="1:50">
      <c r="A21" s="50" t="s">
        <v>397</v>
      </c>
      <c r="B21" s="50" t="s">
        <v>398</v>
      </c>
      <c r="C21" s="50" t="s">
        <v>399</v>
      </c>
      <c r="D21" s="51">
        <v>8006</v>
      </c>
      <c r="E21" s="52">
        <v>80006</v>
      </c>
      <c r="F21" s="50" t="s">
        <v>370</v>
      </c>
      <c r="G21" s="50" t="s">
        <v>356</v>
      </c>
      <c r="H21" s="53">
        <v>2374203</v>
      </c>
      <c r="I21" s="54">
        <v>1431</v>
      </c>
      <c r="J21" s="50" t="s">
        <v>366</v>
      </c>
      <c r="K21" s="50" t="s">
        <v>365</v>
      </c>
      <c r="L21" s="55">
        <v>44</v>
      </c>
      <c r="M21" s="50"/>
      <c r="N21" s="56">
        <v>12</v>
      </c>
      <c r="O21" s="54"/>
      <c r="P21" s="57">
        <v>27.563099999999999</v>
      </c>
      <c r="Q21" s="54"/>
      <c r="R21" s="57">
        <v>11.5166</v>
      </c>
      <c r="S21" s="54"/>
      <c r="T21" s="57">
        <v>21.7837</v>
      </c>
      <c r="U21" s="54"/>
      <c r="V21" s="53">
        <v>6222945</v>
      </c>
      <c r="W21" s="54"/>
      <c r="X21" s="58">
        <v>6197643</v>
      </c>
      <c r="Y21" s="54"/>
      <c r="Z21" s="53">
        <v>6048702</v>
      </c>
      <c r="AA21" s="54"/>
      <c r="AB21" s="53">
        <v>148941</v>
      </c>
      <c r="AC21" s="54"/>
      <c r="AD21" s="53">
        <v>228257</v>
      </c>
      <c r="AE21" s="54"/>
      <c r="AF21" s="53">
        <v>219449</v>
      </c>
      <c r="AG21" s="54"/>
      <c r="AH21" s="53">
        <v>8808</v>
      </c>
      <c r="AI21" s="54"/>
      <c r="AJ21" s="53">
        <v>2010537</v>
      </c>
      <c r="AK21" s="54"/>
      <c r="AL21" s="53">
        <v>1917204</v>
      </c>
      <c r="AM21" s="54"/>
      <c r="AN21" s="53">
        <v>74540</v>
      </c>
      <c r="AO21" s="54"/>
      <c r="AP21" s="59">
        <v>70293</v>
      </c>
      <c r="AQ21" s="54"/>
      <c r="AR21" s="53">
        <v>4780402</v>
      </c>
      <c r="AS21" s="54"/>
      <c r="AT21" s="58">
        <v>55053882</v>
      </c>
      <c r="AU21" s="50"/>
      <c r="AV21" s="60">
        <v>72.760000000000005</v>
      </c>
      <c r="AW21" s="50" t="s">
        <v>19</v>
      </c>
      <c r="AX21" s="50" t="s">
        <v>359</v>
      </c>
    </row>
    <row r="22" spans="1:50">
      <c r="A22" s="50" t="s">
        <v>397</v>
      </c>
      <c r="B22" s="50" t="s">
        <v>398</v>
      </c>
      <c r="C22" s="50" t="s">
        <v>399</v>
      </c>
      <c r="D22" s="51">
        <v>8006</v>
      </c>
      <c r="E22" s="52">
        <v>80006</v>
      </c>
      <c r="F22" s="50" t="s">
        <v>370</v>
      </c>
      <c r="G22" s="50" t="s">
        <v>356</v>
      </c>
      <c r="H22" s="53">
        <v>2374203</v>
      </c>
      <c r="I22" s="54">
        <v>1431</v>
      </c>
      <c r="J22" s="50" t="s">
        <v>366</v>
      </c>
      <c r="K22" s="50" t="s">
        <v>358</v>
      </c>
      <c r="L22" s="55">
        <v>8</v>
      </c>
      <c r="M22" s="50"/>
      <c r="N22" s="56">
        <v>3</v>
      </c>
      <c r="O22" s="54"/>
      <c r="P22" s="57">
        <v>20.484200000000001</v>
      </c>
      <c r="Q22" s="54"/>
      <c r="R22" s="57">
        <v>8.6130999999999993</v>
      </c>
      <c r="S22" s="54"/>
      <c r="T22" s="57">
        <v>18.016100000000002</v>
      </c>
      <c r="U22" s="54"/>
      <c r="V22" s="53">
        <v>203262</v>
      </c>
      <c r="W22" s="54"/>
      <c r="X22" s="58">
        <v>223786</v>
      </c>
      <c r="Y22" s="54"/>
      <c r="Z22" s="53">
        <v>197570</v>
      </c>
      <c r="AA22" s="54"/>
      <c r="AB22" s="53">
        <v>26216</v>
      </c>
      <c r="AC22" s="54"/>
      <c r="AD22" s="53">
        <v>12511</v>
      </c>
      <c r="AE22" s="54"/>
      <c r="AF22" s="53">
        <v>9645</v>
      </c>
      <c r="AG22" s="54"/>
      <c r="AH22" s="53">
        <v>2866</v>
      </c>
      <c r="AI22" s="54"/>
      <c r="AJ22" s="53">
        <v>115030</v>
      </c>
      <c r="AK22" s="54"/>
      <c r="AL22" s="53">
        <v>98743</v>
      </c>
      <c r="AM22" s="54"/>
      <c r="AN22" s="53">
        <v>6243</v>
      </c>
      <c r="AO22" s="54"/>
      <c r="AP22" s="59">
        <v>4937</v>
      </c>
      <c r="AQ22" s="54"/>
      <c r="AR22" s="53">
        <v>173765</v>
      </c>
      <c r="AS22" s="54"/>
      <c r="AT22" s="58">
        <v>1496661</v>
      </c>
      <c r="AU22" s="50"/>
      <c r="AV22" s="60">
        <v>26.32</v>
      </c>
      <c r="AW22" s="50" t="s">
        <v>19</v>
      </c>
      <c r="AX22" s="50" t="s">
        <v>359</v>
      </c>
    </row>
    <row r="23" spans="1:50">
      <c r="A23" s="50" t="s">
        <v>400</v>
      </c>
      <c r="B23" s="50" t="s">
        <v>401</v>
      </c>
      <c r="C23" s="50" t="s">
        <v>354</v>
      </c>
      <c r="D23" s="51">
        <v>2078</v>
      </c>
      <c r="E23" s="52">
        <v>20078</v>
      </c>
      <c r="F23" s="50" t="s">
        <v>355</v>
      </c>
      <c r="G23" s="50" t="s">
        <v>356</v>
      </c>
      <c r="H23" s="53">
        <v>18351295</v>
      </c>
      <c r="I23" s="54">
        <v>1133</v>
      </c>
      <c r="J23" s="50" t="s">
        <v>366</v>
      </c>
      <c r="K23" s="50" t="s">
        <v>358</v>
      </c>
      <c r="L23" s="55">
        <v>1122</v>
      </c>
      <c r="M23" s="50"/>
      <c r="N23" s="56">
        <v>135</v>
      </c>
      <c r="O23" s="54"/>
      <c r="P23" s="57">
        <v>31.299700000000001</v>
      </c>
      <c r="Q23" s="54"/>
      <c r="R23" s="57">
        <v>22.852399999999999</v>
      </c>
      <c r="S23" s="54" t="s">
        <v>377</v>
      </c>
      <c r="T23" s="57">
        <v>18.882400000000001</v>
      </c>
      <c r="U23" s="54"/>
      <c r="V23" s="53">
        <v>47488237</v>
      </c>
      <c r="W23" s="54"/>
      <c r="X23" s="58">
        <v>53139671</v>
      </c>
      <c r="Y23" s="54"/>
      <c r="Z23" s="53">
        <v>48719168</v>
      </c>
      <c r="AA23" s="54"/>
      <c r="AB23" s="53">
        <v>4420503</v>
      </c>
      <c r="AC23" s="54"/>
      <c r="AD23" s="53">
        <v>1709469</v>
      </c>
      <c r="AE23" s="54"/>
      <c r="AF23" s="53">
        <v>1556539</v>
      </c>
      <c r="AG23" s="54"/>
      <c r="AH23" s="53">
        <v>152930</v>
      </c>
      <c r="AI23" s="54"/>
      <c r="AJ23" s="53">
        <v>7201726</v>
      </c>
      <c r="AK23" s="54"/>
      <c r="AL23" s="53">
        <v>6564652</v>
      </c>
      <c r="AM23" s="54"/>
      <c r="AN23" s="53">
        <v>225218</v>
      </c>
      <c r="AO23" s="54"/>
      <c r="AP23" s="59">
        <v>203440</v>
      </c>
      <c r="AQ23" s="54"/>
      <c r="AR23" s="53">
        <v>29391259</v>
      </c>
      <c r="AS23" s="54"/>
      <c r="AT23" s="58">
        <v>671661254</v>
      </c>
      <c r="AU23" s="50" t="s">
        <v>377</v>
      </c>
      <c r="AV23" s="60">
        <v>545.74</v>
      </c>
      <c r="AW23" s="50" t="s">
        <v>19</v>
      </c>
      <c r="AX23" s="50" t="s">
        <v>378</v>
      </c>
    </row>
    <row r="24" spans="1:50">
      <c r="A24" s="50" t="s">
        <v>402</v>
      </c>
      <c r="B24" s="50" t="s">
        <v>403</v>
      </c>
      <c r="C24" s="50" t="s">
        <v>388</v>
      </c>
      <c r="D24" s="51">
        <v>6056</v>
      </c>
      <c r="E24" s="52">
        <v>60056</v>
      </c>
      <c r="F24" s="50" t="s">
        <v>370</v>
      </c>
      <c r="G24" s="50" t="s">
        <v>356</v>
      </c>
      <c r="H24" s="53">
        <v>5121892</v>
      </c>
      <c r="I24" s="54">
        <v>1082</v>
      </c>
      <c r="J24" s="50" t="s">
        <v>364</v>
      </c>
      <c r="K24" s="50" t="s">
        <v>358</v>
      </c>
      <c r="L24" s="55">
        <v>117</v>
      </c>
      <c r="M24" s="50"/>
      <c r="N24" s="56">
        <v>44</v>
      </c>
      <c r="O24" s="54"/>
      <c r="P24" s="57">
        <v>20.510100000000001</v>
      </c>
      <c r="Q24" s="54"/>
      <c r="R24" s="57">
        <v>8.1821999999999999</v>
      </c>
      <c r="S24" s="54"/>
      <c r="T24" s="57">
        <v>41.742400000000004</v>
      </c>
      <c r="U24" s="54"/>
      <c r="V24" s="53">
        <v>9953657</v>
      </c>
      <c r="W24" s="54"/>
      <c r="X24" s="58">
        <v>9937246</v>
      </c>
      <c r="Y24" s="54"/>
      <c r="Z24" s="53">
        <v>9866803</v>
      </c>
      <c r="AA24" s="54"/>
      <c r="AB24" s="53">
        <v>70443</v>
      </c>
      <c r="AC24" s="54"/>
      <c r="AD24" s="53">
        <v>486886</v>
      </c>
      <c r="AE24" s="54"/>
      <c r="AF24" s="53">
        <v>481071</v>
      </c>
      <c r="AG24" s="54"/>
      <c r="AH24" s="53">
        <v>5815</v>
      </c>
      <c r="AI24" s="54"/>
      <c r="AJ24" s="53">
        <v>5348975</v>
      </c>
      <c r="AK24" s="54"/>
      <c r="AL24" s="53">
        <v>5310292</v>
      </c>
      <c r="AM24" s="54"/>
      <c r="AN24" s="53">
        <v>261692</v>
      </c>
      <c r="AO24" s="54"/>
      <c r="AP24" s="59">
        <v>258495</v>
      </c>
      <c r="AQ24" s="54"/>
      <c r="AR24" s="53">
        <v>20081036</v>
      </c>
      <c r="AS24" s="54"/>
      <c r="AT24" s="58">
        <v>164306746</v>
      </c>
      <c r="AU24" s="50"/>
      <c r="AV24" s="60">
        <v>182.44</v>
      </c>
      <c r="AW24" s="50" t="s">
        <v>19</v>
      </c>
      <c r="AX24" s="50" t="s">
        <v>359</v>
      </c>
    </row>
    <row r="25" spans="1:50">
      <c r="A25" s="50" t="s">
        <v>402</v>
      </c>
      <c r="B25" s="50" t="s">
        <v>403</v>
      </c>
      <c r="C25" s="50" t="s">
        <v>388</v>
      </c>
      <c r="D25" s="51">
        <v>6056</v>
      </c>
      <c r="E25" s="52">
        <v>60056</v>
      </c>
      <c r="F25" s="50" t="s">
        <v>370</v>
      </c>
      <c r="G25" s="50" t="s">
        <v>356</v>
      </c>
      <c r="H25" s="53">
        <v>5121892</v>
      </c>
      <c r="I25" s="54">
        <v>1082</v>
      </c>
      <c r="J25" s="50" t="s">
        <v>366</v>
      </c>
      <c r="K25" s="50" t="s">
        <v>365</v>
      </c>
      <c r="L25" s="55">
        <v>23</v>
      </c>
      <c r="M25" s="50"/>
      <c r="N25" s="56">
        <v>3</v>
      </c>
      <c r="O25" s="54"/>
      <c r="P25" s="57">
        <v>22.474</v>
      </c>
      <c r="Q25" s="54"/>
      <c r="R25" s="57">
        <v>17.300799999999999</v>
      </c>
      <c r="S25" s="54"/>
      <c r="T25" s="57">
        <v>20.252400000000002</v>
      </c>
      <c r="U25" s="54"/>
      <c r="V25" s="53">
        <v>1390207</v>
      </c>
      <c r="W25" s="54"/>
      <c r="X25" s="58">
        <v>1437340</v>
      </c>
      <c r="Y25" s="54"/>
      <c r="Z25" s="53">
        <v>1404961</v>
      </c>
      <c r="AA25" s="54"/>
      <c r="AB25" s="53">
        <v>32379</v>
      </c>
      <c r="AC25" s="54"/>
      <c r="AD25" s="53">
        <v>63773</v>
      </c>
      <c r="AE25" s="54"/>
      <c r="AF25" s="53">
        <v>62515</v>
      </c>
      <c r="AG25" s="54"/>
      <c r="AH25" s="53">
        <v>1258</v>
      </c>
      <c r="AI25" s="54"/>
      <c r="AJ25" s="53">
        <v>506768</v>
      </c>
      <c r="AK25" s="54"/>
      <c r="AL25" s="53">
        <v>495677</v>
      </c>
      <c r="AM25" s="54"/>
      <c r="AN25" s="53">
        <v>22535</v>
      </c>
      <c r="AO25" s="54"/>
      <c r="AP25" s="59">
        <v>22090</v>
      </c>
      <c r="AQ25" s="54"/>
      <c r="AR25" s="53">
        <v>1266076</v>
      </c>
      <c r="AS25" s="54"/>
      <c r="AT25" s="58">
        <v>21904126</v>
      </c>
      <c r="AU25" s="50"/>
      <c r="AV25" s="60">
        <v>72.3</v>
      </c>
      <c r="AW25" s="50" t="s">
        <v>19</v>
      </c>
      <c r="AX25" s="50" t="s">
        <v>359</v>
      </c>
    </row>
    <row r="26" spans="1:50">
      <c r="A26" s="50" t="s">
        <v>404</v>
      </c>
      <c r="B26" s="50" t="s">
        <v>405</v>
      </c>
      <c r="C26" s="50" t="s">
        <v>406</v>
      </c>
      <c r="D26" s="51">
        <v>8001</v>
      </c>
      <c r="E26" s="52">
        <v>80001</v>
      </c>
      <c r="F26" s="50" t="s">
        <v>370</v>
      </c>
      <c r="G26" s="50" t="s">
        <v>356</v>
      </c>
      <c r="H26" s="53">
        <v>1021243</v>
      </c>
      <c r="I26" s="54">
        <v>1081</v>
      </c>
      <c r="J26" s="50" t="s">
        <v>364</v>
      </c>
      <c r="K26" s="50" t="s">
        <v>358</v>
      </c>
      <c r="L26" s="55">
        <v>89</v>
      </c>
      <c r="M26" s="50"/>
      <c r="N26" s="56">
        <v>22</v>
      </c>
      <c r="O26" s="54"/>
      <c r="P26" s="57">
        <v>17.192799999999998</v>
      </c>
      <c r="Q26" s="54"/>
      <c r="R26" s="57">
        <v>4.7436999999999996</v>
      </c>
      <c r="S26" s="54"/>
      <c r="T26" s="57">
        <v>23.191400000000002</v>
      </c>
      <c r="U26" s="54"/>
      <c r="V26" s="53">
        <v>6112222</v>
      </c>
      <c r="W26" s="54"/>
      <c r="X26" s="58">
        <v>6204641</v>
      </c>
      <c r="Y26" s="54"/>
      <c r="Z26" s="53">
        <v>6114108</v>
      </c>
      <c r="AA26" s="54"/>
      <c r="AB26" s="53">
        <v>90533</v>
      </c>
      <c r="AC26" s="54"/>
      <c r="AD26" s="53">
        <v>367255</v>
      </c>
      <c r="AE26" s="54"/>
      <c r="AF26" s="53">
        <v>355621</v>
      </c>
      <c r="AG26" s="54"/>
      <c r="AH26" s="53">
        <v>11634</v>
      </c>
      <c r="AI26" s="54"/>
      <c r="AJ26" s="53">
        <v>2255583</v>
      </c>
      <c r="AK26" s="54"/>
      <c r="AL26" s="53">
        <v>2223959</v>
      </c>
      <c r="AM26" s="54"/>
      <c r="AN26" s="53">
        <v>136213</v>
      </c>
      <c r="AO26" s="54"/>
      <c r="AP26" s="59">
        <v>131989</v>
      </c>
      <c r="AQ26" s="54"/>
      <c r="AR26" s="53">
        <v>8247364</v>
      </c>
      <c r="AS26" s="54"/>
      <c r="AT26" s="58">
        <v>39122864</v>
      </c>
      <c r="AU26" s="50"/>
      <c r="AV26" s="60">
        <v>93.91</v>
      </c>
      <c r="AW26" s="50" t="s">
        <v>19</v>
      </c>
      <c r="AX26" s="50" t="s">
        <v>359</v>
      </c>
    </row>
    <row r="27" spans="1:50">
      <c r="A27" s="50" t="s">
        <v>404</v>
      </c>
      <c r="B27" s="50" t="s">
        <v>405</v>
      </c>
      <c r="C27" s="50" t="s">
        <v>406</v>
      </c>
      <c r="D27" s="51">
        <v>8001</v>
      </c>
      <c r="E27" s="52">
        <v>80001</v>
      </c>
      <c r="F27" s="50" t="s">
        <v>370</v>
      </c>
      <c r="G27" s="50" t="s">
        <v>356</v>
      </c>
      <c r="H27" s="53">
        <v>1021243</v>
      </c>
      <c r="I27" s="54">
        <v>1081</v>
      </c>
      <c r="J27" s="50" t="s">
        <v>366</v>
      </c>
      <c r="K27" s="50" t="s">
        <v>358</v>
      </c>
      <c r="L27" s="55">
        <v>50</v>
      </c>
      <c r="M27" s="50"/>
      <c r="N27" s="56">
        <v>9</v>
      </c>
      <c r="O27" s="54"/>
      <c r="P27" s="57">
        <v>32.473599999999998</v>
      </c>
      <c r="Q27" s="54"/>
      <c r="R27" s="57">
        <v>25.643899999999999</v>
      </c>
      <c r="S27" s="54"/>
      <c r="T27" s="57">
        <v>16.274799999999999</v>
      </c>
      <c r="U27" s="54"/>
      <c r="V27" s="53">
        <v>4053946</v>
      </c>
      <c r="W27" s="54"/>
      <c r="X27" s="58">
        <v>4051779</v>
      </c>
      <c r="Y27" s="54"/>
      <c r="Z27" s="53">
        <v>4039581</v>
      </c>
      <c r="AA27" s="54"/>
      <c r="AB27" s="53">
        <v>12198</v>
      </c>
      <c r="AC27" s="54"/>
      <c r="AD27" s="53">
        <v>128674</v>
      </c>
      <c r="AE27" s="54"/>
      <c r="AF27" s="53">
        <v>124396</v>
      </c>
      <c r="AG27" s="54"/>
      <c r="AH27" s="53">
        <v>4278</v>
      </c>
      <c r="AI27" s="54"/>
      <c r="AJ27" s="53">
        <v>1067699</v>
      </c>
      <c r="AK27" s="54"/>
      <c r="AL27" s="53">
        <v>1064546</v>
      </c>
      <c r="AM27" s="54"/>
      <c r="AN27" s="53">
        <v>33846</v>
      </c>
      <c r="AO27" s="54"/>
      <c r="AP27" s="59">
        <v>32741</v>
      </c>
      <c r="AQ27" s="54"/>
      <c r="AR27" s="53">
        <v>2024524</v>
      </c>
      <c r="AS27" s="54"/>
      <c r="AT27" s="58">
        <v>51916777</v>
      </c>
      <c r="AU27" s="50"/>
      <c r="AV27" s="60">
        <v>174.46</v>
      </c>
      <c r="AW27" s="50" t="s">
        <v>19</v>
      </c>
      <c r="AX27" s="50" t="s">
        <v>359</v>
      </c>
    </row>
    <row r="28" spans="1:50">
      <c r="A28" s="50" t="s">
        <v>407</v>
      </c>
      <c r="B28" s="50" t="s">
        <v>375</v>
      </c>
      <c r="C28" s="50" t="s">
        <v>376</v>
      </c>
      <c r="D28" s="51">
        <v>5118</v>
      </c>
      <c r="E28" s="52">
        <v>50118</v>
      </c>
      <c r="F28" s="50" t="s">
        <v>370</v>
      </c>
      <c r="G28" s="50" t="s">
        <v>356</v>
      </c>
      <c r="H28" s="53">
        <v>8608208</v>
      </c>
      <c r="I28" s="54">
        <v>1066</v>
      </c>
      <c r="J28" s="50" t="s">
        <v>366</v>
      </c>
      <c r="K28" s="50" t="s">
        <v>365</v>
      </c>
      <c r="L28" s="55">
        <v>527</v>
      </c>
      <c r="M28" s="50"/>
      <c r="N28" s="56">
        <v>40</v>
      </c>
      <c r="O28" s="54"/>
      <c r="P28" s="57">
        <v>30.932500000000001</v>
      </c>
      <c r="Q28" s="54"/>
      <c r="R28" s="57">
        <v>21.712499999999999</v>
      </c>
      <c r="S28" s="54"/>
      <c r="T28" s="57">
        <v>18.979099999999999</v>
      </c>
      <c r="U28" s="54"/>
      <c r="V28" s="53">
        <v>16284231</v>
      </c>
      <c r="W28" s="54"/>
      <c r="X28" s="58">
        <v>16302662</v>
      </c>
      <c r="Y28" s="54"/>
      <c r="Z28" s="53">
        <v>15388572</v>
      </c>
      <c r="AA28" s="54"/>
      <c r="AB28" s="53">
        <v>914090</v>
      </c>
      <c r="AC28" s="54"/>
      <c r="AD28" s="53">
        <v>520340</v>
      </c>
      <c r="AE28" s="54"/>
      <c r="AF28" s="53">
        <v>497488</v>
      </c>
      <c r="AG28" s="54"/>
      <c r="AH28" s="53">
        <v>22852</v>
      </c>
      <c r="AI28" s="54"/>
      <c r="AJ28" s="53">
        <v>2394714</v>
      </c>
      <c r="AK28" s="54"/>
      <c r="AL28" s="53">
        <v>2258067</v>
      </c>
      <c r="AM28" s="54"/>
      <c r="AN28" s="53">
        <v>76862</v>
      </c>
      <c r="AO28" s="54"/>
      <c r="AP28" s="59">
        <v>73504</v>
      </c>
      <c r="AQ28" s="54"/>
      <c r="AR28" s="53">
        <v>9441882</v>
      </c>
      <c r="AS28" s="54"/>
      <c r="AT28" s="58">
        <v>205006670</v>
      </c>
      <c r="AU28" s="50"/>
      <c r="AV28" s="60">
        <v>399.6</v>
      </c>
      <c r="AW28" s="50" t="s">
        <v>19</v>
      </c>
      <c r="AX28" s="50" t="s">
        <v>359</v>
      </c>
    </row>
    <row r="29" spans="1:50">
      <c r="A29" s="50" t="s">
        <v>407</v>
      </c>
      <c r="B29" s="50" t="s">
        <v>375</v>
      </c>
      <c r="C29" s="50" t="s">
        <v>376</v>
      </c>
      <c r="D29" s="51">
        <v>5118</v>
      </c>
      <c r="E29" s="52">
        <v>50118</v>
      </c>
      <c r="F29" s="50" t="s">
        <v>370</v>
      </c>
      <c r="G29" s="50" t="s">
        <v>356</v>
      </c>
      <c r="H29" s="53">
        <v>8608208</v>
      </c>
      <c r="I29" s="54">
        <v>1066</v>
      </c>
      <c r="J29" s="50" t="s">
        <v>366</v>
      </c>
      <c r="K29" s="50" t="s">
        <v>358</v>
      </c>
      <c r="L29" s="55">
        <v>539</v>
      </c>
      <c r="M29" s="50"/>
      <c r="N29" s="56">
        <v>53</v>
      </c>
      <c r="O29" s="54"/>
      <c r="P29" s="57">
        <v>29.0824</v>
      </c>
      <c r="Q29" s="54"/>
      <c r="R29" s="57">
        <v>21.172499999999999</v>
      </c>
      <c r="S29" s="54"/>
      <c r="T29" s="57">
        <v>13.8796</v>
      </c>
      <c r="U29" s="54"/>
      <c r="V29" s="53">
        <v>16028080</v>
      </c>
      <c r="W29" s="54"/>
      <c r="X29" s="58">
        <v>15585872</v>
      </c>
      <c r="Y29" s="54"/>
      <c r="Z29" s="53">
        <v>15273179</v>
      </c>
      <c r="AA29" s="54"/>
      <c r="AB29" s="53">
        <v>312693</v>
      </c>
      <c r="AC29" s="54"/>
      <c r="AD29" s="53">
        <v>535954</v>
      </c>
      <c r="AE29" s="54"/>
      <c r="AF29" s="53">
        <v>525169</v>
      </c>
      <c r="AG29" s="54"/>
      <c r="AH29" s="53">
        <v>10785</v>
      </c>
      <c r="AI29" s="54"/>
      <c r="AJ29" s="53">
        <v>2545102</v>
      </c>
      <c r="AK29" s="54"/>
      <c r="AL29" s="53">
        <v>2494601</v>
      </c>
      <c r="AM29" s="54"/>
      <c r="AN29" s="53">
        <v>89035</v>
      </c>
      <c r="AO29" s="54"/>
      <c r="AP29" s="59">
        <v>87312</v>
      </c>
      <c r="AQ29" s="54"/>
      <c r="AR29" s="53">
        <v>7289149</v>
      </c>
      <c r="AS29" s="54"/>
      <c r="AT29" s="58">
        <v>154329520</v>
      </c>
      <c r="AU29" s="50"/>
      <c r="AV29" s="60">
        <v>575.4</v>
      </c>
      <c r="AW29" s="50" t="s">
        <v>19</v>
      </c>
      <c r="AX29" s="50" t="s">
        <v>359</v>
      </c>
    </row>
    <row r="30" spans="1:50">
      <c r="A30" s="50" t="s">
        <v>408</v>
      </c>
      <c r="B30" s="50" t="s">
        <v>409</v>
      </c>
      <c r="C30" s="50" t="s">
        <v>354</v>
      </c>
      <c r="D30" s="51">
        <v>2100</v>
      </c>
      <c r="E30" s="52">
        <v>20100</v>
      </c>
      <c r="F30" s="50" t="s">
        <v>355</v>
      </c>
      <c r="G30" s="50" t="s">
        <v>356</v>
      </c>
      <c r="H30" s="53">
        <v>18351295</v>
      </c>
      <c r="I30" s="54">
        <v>1022</v>
      </c>
      <c r="J30" s="50" t="s">
        <v>366</v>
      </c>
      <c r="K30" s="50" t="s">
        <v>358</v>
      </c>
      <c r="L30" s="55">
        <v>1022</v>
      </c>
      <c r="M30" s="50"/>
      <c r="N30" s="56">
        <v>107</v>
      </c>
      <c r="O30" s="54"/>
      <c r="P30" s="57">
        <v>29.212299999999999</v>
      </c>
      <c r="Q30" s="54"/>
      <c r="R30" s="57">
        <v>28.269200000000001</v>
      </c>
      <c r="S30" s="54" t="s">
        <v>377</v>
      </c>
      <c r="T30" s="57">
        <v>20.565999999999999</v>
      </c>
      <c r="U30" s="54" t="s">
        <v>377</v>
      </c>
      <c r="V30" s="53">
        <v>61301708</v>
      </c>
      <c r="W30" s="54"/>
      <c r="X30" s="58">
        <v>68469245</v>
      </c>
      <c r="Y30" s="54"/>
      <c r="Z30" s="53">
        <v>61766650</v>
      </c>
      <c r="AA30" s="54"/>
      <c r="AB30" s="53">
        <v>6702595</v>
      </c>
      <c r="AC30" s="54"/>
      <c r="AD30" s="53">
        <v>2305899</v>
      </c>
      <c r="AE30" s="54"/>
      <c r="AF30" s="53">
        <v>2114409</v>
      </c>
      <c r="AG30" s="54"/>
      <c r="AH30" s="53">
        <v>191490</v>
      </c>
      <c r="AI30" s="54"/>
      <c r="AJ30" s="53">
        <v>7765181</v>
      </c>
      <c r="AK30" s="54"/>
      <c r="AL30" s="53">
        <v>6968685</v>
      </c>
      <c r="AM30" s="54"/>
      <c r="AN30" s="53">
        <v>266731</v>
      </c>
      <c r="AO30" s="54"/>
      <c r="AP30" s="59">
        <v>199752</v>
      </c>
      <c r="AQ30" s="54"/>
      <c r="AR30" s="53">
        <v>43484907</v>
      </c>
      <c r="AS30" s="54" t="s">
        <v>377</v>
      </c>
      <c r="AT30" s="58">
        <v>1229284540</v>
      </c>
      <c r="AU30" s="50" t="s">
        <v>377</v>
      </c>
      <c r="AV30" s="60">
        <v>638.20000000000005</v>
      </c>
      <c r="AW30" s="50" t="s">
        <v>19</v>
      </c>
      <c r="AX30" s="50" t="s">
        <v>378</v>
      </c>
    </row>
    <row r="31" spans="1:50">
      <c r="A31" s="50" t="s">
        <v>410</v>
      </c>
      <c r="B31" s="50" t="s">
        <v>411</v>
      </c>
      <c r="C31" s="50" t="s">
        <v>369</v>
      </c>
      <c r="D31" s="51">
        <v>9015</v>
      </c>
      <c r="E31" s="52">
        <v>90015</v>
      </c>
      <c r="F31" s="50" t="s">
        <v>396</v>
      </c>
      <c r="G31" s="50" t="s">
        <v>356</v>
      </c>
      <c r="H31" s="53">
        <v>3281212</v>
      </c>
      <c r="I31" s="54">
        <v>996</v>
      </c>
      <c r="J31" s="50" t="s">
        <v>364</v>
      </c>
      <c r="K31" s="50" t="s">
        <v>358</v>
      </c>
      <c r="L31" s="55">
        <v>149</v>
      </c>
      <c r="M31" s="50"/>
      <c r="N31" s="56">
        <v>141</v>
      </c>
      <c r="O31" s="54"/>
      <c r="P31" s="57">
        <v>9.4969999999999999</v>
      </c>
      <c r="Q31" s="54"/>
      <c r="R31" s="57">
        <v>2.7421000000000002</v>
      </c>
      <c r="S31" s="54"/>
      <c r="T31" s="57">
        <v>76.584800000000001</v>
      </c>
      <c r="U31" s="54"/>
      <c r="V31" s="53">
        <v>4944335</v>
      </c>
      <c r="W31" s="54"/>
      <c r="X31" s="58">
        <v>4660934</v>
      </c>
      <c r="Y31" s="54"/>
      <c r="Z31" s="53">
        <v>4640244</v>
      </c>
      <c r="AA31" s="54"/>
      <c r="AB31" s="53">
        <v>20690</v>
      </c>
      <c r="AC31" s="54"/>
      <c r="AD31" s="53">
        <v>491748</v>
      </c>
      <c r="AE31" s="54"/>
      <c r="AF31" s="53">
        <v>488601</v>
      </c>
      <c r="AG31" s="54"/>
      <c r="AH31" s="53">
        <v>3147</v>
      </c>
      <c r="AI31" s="54"/>
      <c r="AJ31" s="53">
        <v>3097363</v>
      </c>
      <c r="AK31" s="54"/>
      <c r="AL31" s="53">
        <v>3084167</v>
      </c>
      <c r="AM31" s="54"/>
      <c r="AN31" s="53">
        <v>326422</v>
      </c>
      <c r="AO31" s="54"/>
      <c r="AP31" s="59">
        <v>324323</v>
      </c>
      <c r="AQ31" s="54"/>
      <c r="AR31" s="53">
        <v>37419416</v>
      </c>
      <c r="AS31" s="54"/>
      <c r="AT31" s="58">
        <v>102607757</v>
      </c>
      <c r="AU31" s="50"/>
      <c r="AV31" s="60">
        <v>64.400000000000006</v>
      </c>
      <c r="AW31" s="50" t="s">
        <v>19</v>
      </c>
      <c r="AX31" s="50" t="s">
        <v>359</v>
      </c>
    </row>
    <row r="32" spans="1:50">
      <c r="A32" s="50" t="s">
        <v>412</v>
      </c>
      <c r="B32" s="50" t="s">
        <v>413</v>
      </c>
      <c r="C32" s="50" t="s">
        <v>414</v>
      </c>
      <c r="D32" s="51">
        <v>8</v>
      </c>
      <c r="E32" s="52">
        <v>8</v>
      </c>
      <c r="F32" s="50" t="s">
        <v>370</v>
      </c>
      <c r="G32" s="50" t="s">
        <v>356</v>
      </c>
      <c r="H32" s="53">
        <v>1849898</v>
      </c>
      <c r="I32" s="54">
        <v>982</v>
      </c>
      <c r="J32" s="50" t="s">
        <v>364</v>
      </c>
      <c r="K32" s="50" t="s">
        <v>358</v>
      </c>
      <c r="L32" s="55">
        <v>116</v>
      </c>
      <c r="M32" s="50"/>
      <c r="N32" s="56">
        <v>55</v>
      </c>
      <c r="O32" s="54"/>
      <c r="P32" s="57">
        <v>14.136900000000001</v>
      </c>
      <c r="Q32" s="54"/>
      <c r="R32" s="57">
        <v>5.2552000000000003</v>
      </c>
      <c r="S32" s="54"/>
      <c r="T32" s="57">
        <v>48.392400000000002</v>
      </c>
      <c r="U32" s="54"/>
      <c r="V32" s="53">
        <v>8977599</v>
      </c>
      <c r="W32" s="54"/>
      <c r="X32" s="58">
        <v>8981104</v>
      </c>
      <c r="Y32" s="54"/>
      <c r="Z32" s="53">
        <v>8864217</v>
      </c>
      <c r="AA32" s="54"/>
      <c r="AB32" s="53">
        <v>116887</v>
      </c>
      <c r="AC32" s="54"/>
      <c r="AD32" s="53">
        <v>636882</v>
      </c>
      <c r="AE32" s="54"/>
      <c r="AF32" s="53">
        <v>627025</v>
      </c>
      <c r="AG32" s="54"/>
      <c r="AH32" s="53">
        <v>9857</v>
      </c>
      <c r="AI32" s="54"/>
      <c r="AJ32" s="53">
        <v>4501055</v>
      </c>
      <c r="AK32" s="54"/>
      <c r="AL32" s="53">
        <v>4442373</v>
      </c>
      <c r="AM32" s="54"/>
      <c r="AN32" s="53">
        <v>319090</v>
      </c>
      <c r="AO32" s="54"/>
      <c r="AP32" s="59">
        <v>314140</v>
      </c>
      <c r="AQ32" s="54"/>
      <c r="AR32" s="53">
        <v>30343267</v>
      </c>
      <c r="AS32" s="54"/>
      <c r="AT32" s="58">
        <v>159458488</v>
      </c>
      <c r="AU32" s="50"/>
      <c r="AV32" s="60">
        <v>118.91</v>
      </c>
      <c r="AW32" s="50" t="s">
        <v>19</v>
      </c>
      <c r="AX32" s="50" t="s">
        <v>359</v>
      </c>
    </row>
    <row r="33" spans="1:50">
      <c r="A33" s="50" t="s">
        <v>415</v>
      </c>
      <c r="B33" s="50" t="s">
        <v>416</v>
      </c>
      <c r="C33" s="50" t="s">
        <v>417</v>
      </c>
      <c r="D33" s="51">
        <v>4022</v>
      </c>
      <c r="E33" s="52">
        <v>40022</v>
      </c>
      <c r="F33" s="50" t="s">
        <v>370</v>
      </c>
      <c r="G33" s="50" t="s">
        <v>356</v>
      </c>
      <c r="H33" s="53">
        <v>4515419</v>
      </c>
      <c r="I33" s="54">
        <v>943</v>
      </c>
      <c r="J33" s="50" t="s">
        <v>357</v>
      </c>
      <c r="K33" s="50" t="s">
        <v>358</v>
      </c>
      <c r="L33" s="55">
        <v>212</v>
      </c>
      <c r="M33" s="50"/>
      <c r="N33" s="56">
        <v>39</v>
      </c>
      <c r="O33" s="54"/>
      <c r="P33" s="57">
        <v>26.494</v>
      </c>
      <c r="Q33" s="54"/>
      <c r="R33" s="57">
        <v>7.2762000000000002</v>
      </c>
      <c r="S33" s="54"/>
      <c r="T33" s="57">
        <v>58.747300000000003</v>
      </c>
      <c r="U33" s="54"/>
      <c r="V33" s="53">
        <v>20499724</v>
      </c>
      <c r="W33" s="54"/>
      <c r="X33" s="58">
        <v>21145309</v>
      </c>
      <c r="Y33" s="54"/>
      <c r="Z33" s="53">
        <v>20430752</v>
      </c>
      <c r="AA33" s="54"/>
      <c r="AB33" s="53">
        <v>714557</v>
      </c>
      <c r="AC33" s="54"/>
      <c r="AD33" s="53">
        <v>794602</v>
      </c>
      <c r="AE33" s="54"/>
      <c r="AF33" s="53">
        <v>771146</v>
      </c>
      <c r="AG33" s="54"/>
      <c r="AH33" s="53">
        <v>23456</v>
      </c>
      <c r="AI33" s="54"/>
      <c r="AJ33" s="53">
        <v>3715370</v>
      </c>
      <c r="AK33" s="54"/>
      <c r="AL33" s="53">
        <v>3628801</v>
      </c>
      <c r="AM33" s="54"/>
      <c r="AN33" s="53">
        <v>143614</v>
      </c>
      <c r="AO33" s="54"/>
      <c r="AP33" s="59">
        <v>139086</v>
      </c>
      <c r="AQ33" s="54"/>
      <c r="AR33" s="53">
        <v>45302714</v>
      </c>
      <c r="AS33" s="54"/>
      <c r="AT33" s="58">
        <v>329631085</v>
      </c>
      <c r="AU33" s="50"/>
      <c r="AV33" s="60">
        <v>96.06</v>
      </c>
      <c r="AW33" s="50" t="s">
        <v>19</v>
      </c>
      <c r="AX33" s="50" t="s">
        <v>359</v>
      </c>
    </row>
    <row r="34" spans="1:50">
      <c r="A34" s="50" t="s">
        <v>418</v>
      </c>
      <c r="B34" s="50" t="s">
        <v>419</v>
      </c>
      <c r="C34" s="50" t="s">
        <v>385</v>
      </c>
      <c r="D34" s="51">
        <v>3022</v>
      </c>
      <c r="E34" s="52">
        <v>30022</v>
      </c>
      <c r="F34" s="50" t="s">
        <v>370</v>
      </c>
      <c r="G34" s="50" t="s">
        <v>356</v>
      </c>
      <c r="H34" s="53">
        <v>1733853</v>
      </c>
      <c r="I34" s="54">
        <v>930</v>
      </c>
      <c r="J34" s="50" t="s">
        <v>364</v>
      </c>
      <c r="K34" s="50" t="s">
        <v>358</v>
      </c>
      <c r="L34" s="55">
        <v>58</v>
      </c>
      <c r="M34" s="50"/>
      <c r="N34" s="56">
        <v>29</v>
      </c>
      <c r="O34" s="54"/>
      <c r="P34" s="57">
        <v>12.909700000000001</v>
      </c>
      <c r="Q34" s="54"/>
      <c r="R34" s="57">
        <v>4.0317999999999996</v>
      </c>
      <c r="S34" s="54"/>
      <c r="T34" s="57">
        <v>37.530500000000004</v>
      </c>
      <c r="U34" s="54"/>
      <c r="V34" s="53">
        <v>2027777</v>
      </c>
      <c r="W34" s="54"/>
      <c r="X34" s="58">
        <v>1999310</v>
      </c>
      <c r="Y34" s="54"/>
      <c r="Z34" s="53">
        <v>1916792</v>
      </c>
      <c r="AA34" s="54"/>
      <c r="AB34" s="53">
        <v>82518</v>
      </c>
      <c r="AC34" s="54"/>
      <c r="AD34" s="53">
        <v>155486</v>
      </c>
      <c r="AE34" s="54"/>
      <c r="AF34" s="53">
        <v>148477</v>
      </c>
      <c r="AG34" s="54"/>
      <c r="AH34" s="53">
        <v>7009</v>
      </c>
      <c r="AI34" s="54"/>
      <c r="AJ34" s="53">
        <v>1497766</v>
      </c>
      <c r="AK34" s="54"/>
      <c r="AL34" s="53">
        <v>1442245</v>
      </c>
      <c r="AM34" s="54"/>
      <c r="AN34" s="53">
        <v>116738</v>
      </c>
      <c r="AO34" s="54"/>
      <c r="AP34" s="59">
        <v>112071</v>
      </c>
      <c r="AQ34" s="54"/>
      <c r="AR34" s="53">
        <v>5572417</v>
      </c>
      <c r="AS34" s="54"/>
      <c r="AT34" s="58">
        <v>22466673</v>
      </c>
      <c r="AU34" s="50"/>
      <c r="AV34" s="60">
        <v>49.64</v>
      </c>
      <c r="AW34" s="50" t="s">
        <v>19</v>
      </c>
      <c r="AX34" s="50" t="s">
        <v>359</v>
      </c>
    </row>
    <row r="35" spans="1:50">
      <c r="A35" s="50" t="s">
        <v>420</v>
      </c>
      <c r="B35" s="50" t="s">
        <v>421</v>
      </c>
      <c r="C35" s="50" t="s">
        <v>369</v>
      </c>
      <c r="D35" s="51">
        <v>9026</v>
      </c>
      <c r="E35" s="52">
        <v>90026</v>
      </c>
      <c r="F35" s="50" t="s">
        <v>370</v>
      </c>
      <c r="G35" s="50" t="s">
        <v>356</v>
      </c>
      <c r="H35" s="53">
        <v>2956746</v>
      </c>
      <c r="I35" s="54">
        <v>906</v>
      </c>
      <c r="J35" s="50" t="s">
        <v>364</v>
      </c>
      <c r="K35" s="50" t="s">
        <v>358</v>
      </c>
      <c r="L35" s="55">
        <v>103</v>
      </c>
      <c r="M35" s="50"/>
      <c r="N35" s="56">
        <v>35</v>
      </c>
      <c r="O35" s="54"/>
      <c r="P35" s="57">
        <v>18.120799999999999</v>
      </c>
      <c r="Q35" s="54"/>
      <c r="R35" s="57">
        <v>6.0708000000000002</v>
      </c>
      <c r="S35" s="54"/>
      <c r="T35" s="57">
        <v>62.966000000000001</v>
      </c>
      <c r="U35" s="54"/>
      <c r="V35" s="53">
        <v>9662505</v>
      </c>
      <c r="W35" s="54"/>
      <c r="X35" s="58">
        <v>9410942</v>
      </c>
      <c r="Y35" s="54"/>
      <c r="Z35" s="53">
        <v>9210076</v>
      </c>
      <c r="AA35" s="54"/>
      <c r="AB35" s="53">
        <v>200866</v>
      </c>
      <c r="AC35" s="54"/>
      <c r="AD35" s="53">
        <v>527144</v>
      </c>
      <c r="AE35" s="54"/>
      <c r="AF35" s="53">
        <v>508259</v>
      </c>
      <c r="AG35" s="54"/>
      <c r="AH35" s="53">
        <v>18885</v>
      </c>
      <c r="AI35" s="54"/>
      <c r="AJ35" s="53">
        <v>3279625</v>
      </c>
      <c r="AK35" s="54"/>
      <c r="AL35" s="53">
        <v>3207856</v>
      </c>
      <c r="AM35" s="54"/>
      <c r="AN35" s="53">
        <v>183992</v>
      </c>
      <c r="AO35" s="54"/>
      <c r="AP35" s="59">
        <v>177429</v>
      </c>
      <c r="AQ35" s="54"/>
      <c r="AR35" s="53">
        <v>32003027</v>
      </c>
      <c r="AS35" s="54"/>
      <c r="AT35" s="58">
        <v>194284885</v>
      </c>
      <c r="AU35" s="50"/>
      <c r="AV35" s="60">
        <v>108.4</v>
      </c>
      <c r="AW35" s="50" t="s">
        <v>19</v>
      </c>
      <c r="AX35" s="50" t="s">
        <v>359</v>
      </c>
    </row>
    <row r="36" spans="1:50">
      <c r="A36" s="50" t="s">
        <v>422</v>
      </c>
      <c r="B36" s="50" t="s">
        <v>423</v>
      </c>
      <c r="C36" s="50" t="s">
        <v>424</v>
      </c>
      <c r="D36" s="51">
        <v>5027</v>
      </c>
      <c r="E36" s="52">
        <v>50027</v>
      </c>
      <c r="F36" s="50" t="s">
        <v>355</v>
      </c>
      <c r="G36" s="50" t="s">
        <v>356</v>
      </c>
      <c r="H36" s="53">
        <v>2650890</v>
      </c>
      <c r="I36" s="54">
        <v>823</v>
      </c>
      <c r="J36" s="50" t="s">
        <v>364</v>
      </c>
      <c r="K36" s="50" t="s">
        <v>358</v>
      </c>
      <c r="L36" s="55">
        <v>76</v>
      </c>
      <c r="M36" s="50"/>
      <c r="N36" s="56">
        <v>23</v>
      </c>
      <c r="O36" s="54"/>
      <c r="P36" s="57">
        <v>11.985900000000001</v>
      </c>
      <c r="Q36" s="54"/>
      <c r="R36" s="57">
        <v>3.9723999999999999</v>
      </c>
      <c r="S36" s="54" t="s">
        <v>377</v>
      </c>
      <c r="T36" s="57">
        <v>30.465299999999999</v>
      </c>
      <c r="U36" s="54"/>
      <c r="V36" s="53">
        <v>4237895</v>
      </c>
      <c r="W36" s="54"/>
      <c r="X36" s="58">
        <v>4129925</v>
      </c>
      <c r="Y36" s="54"/>
      <c r="Z36" s="53">
        <v>4034814</v>
      </c>
      <c r="AA36" s="54"/>
      <c r="AB36" s="53">
        <v>95111</v>
      </c>
      <c r="AC36" s="54"/>
      <c r="AD36" s="53">
        <v>354913</v>
      </c>
      <c r="AE36" s="54"/>
      <c r="AF36" s="53">
        <v>336629</v>
      </c>
      <c r="AG36" s="54"/>
      <c r="AH36" s="53">
        <v>18284</v>
      </c>
      <c r="AI36" s="54"/>
      <c r="AJ36" s="53">
        <v>1500026</v>
      </c>
      <c r="AK36" s="54"/>
      <c r="AL36" s="53">
        <v>1436691</v>
      </c>
      <c r="AM36" s="54"/>
      <c r="AN36" s="53">
        <v>125192</v>
      </c>
      <c r="AO36" s="54"/>
      <c r="AP36" s="59">
        <v>118274</v>
      </c>
      <c r="AQ36" s="54"/>
      <c r="AR36" s="53">
        <v>10255520</v>
      </c>
      <c r="AS36" s="54"/>
      <c r="AT36" s="58">
        <v>40738989</v>
      </c>
      <c r="AU36" s="50" t="s">
        <v>377</v>
      </c>
      <c r="AV36" s="60">
        <v>44.26</v>
      </c>
      <c r="AW36" s="50" t="s">
        <v>19</v>
      </c>
      <c r="AX36" s="50" t="s">
        <v>378</v>
      </c>
    </row>
    <row r="37" spans="1:50">
      <c r="A37" s="50" t="s">
        <v>422</v>
      </c>
      <c r="B37" s="50" t="s">
        <v>423</v>
      </c>
      <c r="C37" s="50" t="s">
        <v>424</v>
      </c>
      <c r="D37" s="51">
        <v>5027</v>
      </c>
      <c r="E37" s="52">
        <v>50027</v>
      </c>
      <c r="F37" s="50" t="s">
        <v>355</v>
      </c>
      <c r="G37" s="50" t="s">
        <v>356</v>
      </c>
      <c r="H37" s="53">
        <v>2650890</v>
      </c>
      <c r="I37" s="54">
        <v>823</v>
      </c>
      <c r="J37" s="50" t="s">
        <v>366</v>
      </c>
      <c r="K37" s="50" t="s">
        <v>365</v>
      </c>
      <c r="L37" s="55">
        <v>20</v>
      </c>
      <c r="M37" s="50"/>
      <c r="N37" s="56">
        <v>4</v>
      </c>
      <c r="O37" s="54"/>
      <c r="P37" s="57">
        <v>43.768999999999998</v>
      </c>
      <c r="Q37" s="54"/>
      <c r="R37" s="57">
        <v>24.702500000000001</v>
      </c>
      <c r="S37" s="54" t="s">
        <v>377</v>
      </c>
      <c r="T37" s="57">
        <v>26.3444</v>
      </c>
      <c r="U37" s="54"/>
      <c r="V37" s="53">
        <v>253487</v>
      </c>
      <c r="W37" s="54"/>
      <c r="X37" s="58">
        <v>256360</v>
      </c>
      <c r="Y37" s="54"/>
      <c r="Z37" s="53">
        <v>253291</v>
      </c>
      <c r="AA37" s="54"/>
      <c r="AB37" s="53">
        <v>3069</v>
      </c>
      <c r="AC37" s="54"/>
      <c r="AD37" s="53">
        <v>6199</v>
      </c>
      <c r="AE37" s="54"/>
      <c r="AF37" s="53">
        <v>5787</v>
      </c>
      <c r="AG37" s="54"/>
      <c r="AH37" s="53">
        <v>412</v>
      </c>
      <c r="AI37" s="54"/>
      <c r="AJ37" s="53">
        <v>64139</v>
      </c>
      <c r="AK37" s="54"/>
      <c r="AL37" s="53">
        <v>63372</v>
      </c>
      <c r="AM37" s="54"/>
      <c r="AN37" s="53">
        <v>1552</v>
      </c>
      <c r="AO37" s="54"/>
      <c r="AP37" s="59">
        <v>1448</v>
      </c>
      <c r="AQ37" s="54"/>
      <c r="AR37" s="53">
        <v>152455</v>
      </c>
      <c r="AS37" s="54"/>
      <c r="AT37" s="58">
        <v>3766017</v>
      </c>
      <c r="AU37" s="50" t="s">
        <v>377</v>
      </c>
      <c r="AV37" s="60">
        <v>77.900000000000006</v>
      </c>
      <c r="AW37" s="50" t="s">
        <v>19</v>
      </c>
      <c r="AX37" s="50" t="s">
        <v>378</v>
      </c>
    </row>
    <row r="38" spans="1:50">
      <c r="A38" s="50" t="s">
        <v>425</v>
      </c>
      <c r="B38" s="50" t="s">
        <v>426</v>
      </c>
      <c r="C38" s="50" t="s">
        <v>369</v>
      </c>
      <c r="D38" s="51">
        <v>9013</v>
      </c>
      <c r="E38" s="52">
        <v>90013</v>
      </c>
      <c r="F38" s="50" t="s">
        <v>370</v>
      </c>
      <c r="G38" s="50" t="s">
        <v>356</v>
      </c>
      <c r="H38" s="53">
        <v>1664496</v>
      </c>
      <c r="I38" s="54">
        <v>635</v>
      </c>
      <c r="J38" s="50" t="s">
        <v>364</v>
      </c>
      <c r="K38" s="50" t="s">
        <v>358</v>
      </c>
      <c r="L38" s="55">
        <v>61</v>
      </c>
      <c r="M38" s="50"/>
      <c r="N38" s="56">
        <v>29</v>
      </c>
      <c r="O38" s="54"/>
      <c r="P38" s="57">
        <v>14.6876</v>
      </c>
      <c r="Q38" s="54"/>
      <c r="R38" s="57">
        <v>5.3385999999999996</v>
      </c>
      <c r="S38" s="54"/>
      <c r="T38" s="57">
        <v>31.957599999999999</v>
      </c>
      <c r="U38" s="54"/>
      <c r="V38" s="53">
        <v>3049391</v>
      </c>
      <c r="W38" s="54"/>
      <c r="X38" s="58">
        <v>3045104</v>
      </c>
      <c r="Y38" s="54"/>
      <c r="Z38" s="53">
        <v>2886997</v>
      </c>
      <c r="AA38" s="54"/>
      <c r="AB38" s="53">
        <v>158107</v>
      </c>
      <c r="AC38" s="54"/>
      <c r="AD38" s="53">
        <v>208938</v>
      </c>
      <c r="AE38" s="54"/>
      <c r="AF38" s="53">
        <v>196560</v>
      </c>
      <c r="AG38" s="54"/>
      <c r="AH38" s="53">
        <v>12378</v>
      </c>
      <c r="AI38" s="54"/>
      <c r="AJ38" s="53">
        <v>1824324</v>
      </c>
      <c r="AK38" s="54"/>
      <c r="AL38" s="53">
        <v>1733696</v>
      </c>
      <c r="AM38" s="54"/>
      <c r="AN38" s="53">
        <v>131172</v>
      </c>
      <c r="AO38" s="54"/>
      <c r="AP38" s="59">
        <v>123509</v>
      </c>
      <c r="AQ38" s="54"/>
      <c r="AR38" s="53">
        <v>6281578</v>
      </c>
      <c r="AS38" s="54"/>
      <c r="AT38" s="58">
        <v>33535077</v>
      </c>
      <c r="AU38" s="50"/>
      <c r="AV38" s="60">
        <v>80.959999999999994</v>
      </c>
      <c r="AW38" s="50" t="s">
        <v>19</v>
      </c>
      <c r="AX38" s="50" t="s">
        <v>359</v>
      </c>
    </row>
    <row r="39" spans="1:50">
      <c r="A39" s="50" t="s">
        <v>427</v>
      </c>
      <c r="B39" s="50" t="s">
        <v>428</v>
      </c>
      <c r="C39" s="50" t="s">
        <v>369</v>
      </c>
      <c r="D39" s="51">
        <v>9003</v>
      </c>
      <c r="E39" s="52">
        <v>90003</v>
      </c>
      <c r="F39" s="50" t="s">
        <v>370</v>
      </c>
      <c r="G39" s="50" t="s">
        <v>356</v>
      </c>
      <c r="H39" s="53">
        <v>3281212</v>
      </c>
      <c r="I39" s="54">
        <v>616</v>
      </c>
      <c r="J39" s="50" t="s">
        <v>357</v>
      </c>
      <c r="K39" s="50" t="s">
        <v>358</v>
      </c>
      <c r="L39" s="55">
        <v>599</v>
      </c>
      <c r="M39" s="50"/>
      <c r="N39" s="56">
        <v>56</v>
      </c>
      <c r="O39" s="54"/>
      <c r="P39" s="57">
        <v>34.829900000000002</v>
      </c>
      <c r="Q39" s="54" t="s">
        <v>377</v>
      </c>
      <c r="R39" s="57">
        <v>13.962999999999999</v>
      </c>
      <c r="S39" s="54"/>
      <c r="T39" s="57">
        <v>44.260899999999999</v>
      </c>
      <c r="U39" s="54" t="s">
        <v>377</v>
      </c>
      <c r="V39" s="53">
        <v>69597595</v>
      </c>
      <c r="W39" s="54"/>
      <c r="X39" s="58">
        <v>72050709</v>
      </c>
      <c r="Y39" s="54"/>
      <c r="Z39" s="53">
        <v>69799195</v>
      </c>
      <c r="AA39" s="54"/>
      <c r="AB39" s="53">
        <v>2251514</v>
      </c>
      <c r="AC39" s="54"/>
      <c r="AD39" s="53">
        <v>2377255</v>
      </c>
      <c r="AE39" s="54"/>
      <c r="AF39" s="53">
        <v>2004002</v>
      </c>
      <c r="AG39" s="54" t="s">
        <v>377</v>
      </c>
      <c r="AH39" s="53">
        <v>373253</v>
      </c>
      <c r="AI39" s="54"/>
      <c r="AJ39" s="53">
        <v>8255518</v>
      </c>
      <c r="AK39" s="54"/>
      <c r="AL39" s="53">
        <v>7973519</v>
      </c>
      <c r="AM39" s="54"/>
      <c r="AN39" s="53">
        <v>277276</v>
      </c>
      <c r="AO39" s="54"/>
      <c r="AP39" s="59">
        <v>229211</v>
      </c>
      <c r="AQ39" s="54"/>
      <c r="AR39" s="53">
        <v>88698878</v>
      </c>
      <c r="AS39" s="54"/>
      <c r="AT39" s="58">
        <v>1238506222</v>
      </c>
      <c r="AU39" s="50"/>
      <c r="AV39" s="60">
        <v>239.42</v>
      </c>
      <c r="AW39" s="50" t="s">
        <v>19</v>
      </c>
      <c r="AX39" s="50" t="s">
        <v>378</v>
      </c>
    </row>
    <row r="40" spans="1:50">
      <c r="A40" s="50" t="s">
        <v>429</v>
      </c>
      <c r="B40" s="50" t="s">
        <v>430</v>
      </c>
      <c r="C40" s="50" t="s">
        <v>431</v>
      </c>
      <c r="D40" s="51">
        <v>7006</v>
      </c>
      <c r="E40" s="52">
        <v>70006</v>
      </c>
      <c r="F40" s="50" t="s">
        <v>370</v>
      </c>
      <c r="G40" s="50" t="s">
        <v>356</v>
      </c>
      <c r="H40" s="53">
        <v>2150706</v>
      </c>
      <c r="I40" s="54">
        <v>493</v>
      </c>
      <c r="J40" s="50" t="s">
        <v>364</v>
      </c>
      <c r="K40" s="50" t="s">
        <v>358</v>
      </c>
      <c r="L40" s="55">
        <v>50</v>
      </c>
      <c r="M40" s="50"/>
      <c r="N40" s="56">
        <v>25</v>
      </c>
      <c r="O40" s="54"/>
      <c r="P40" s="57">
        <v>23.1905</v>
      </c>
      <c r="Q40" s="54"/>
      <c r="R40" s="57">
        <v>6.7489999999999997</v>
      </c>
      <c r="S40" s="54"/>
      <c r="T40" s="57">
        <v>41.739400000000003</v>
      </c>
      <c r="U40" s="54"/>
      <c r="V40" s="53">
        <v>5954691</v>
      </c>
      <c r="W40" s="54"/>
      <c r="X40" s="58">
        <v>5905439</v>
      </c>
      <c r="Y40" s="54"/>
      <c r="Z40" s="53">
        <v>5839491</v>
      </c>
      <c r="AA40" s="54"/>
      <c r="AB40" s="53">
        <v>65948</v>
      </c>
      <c r="AC40" s="54"/>
      <c r="AD40" s="53">
        <v>256119</v>
      </c>
      <c r="AE40" s="54"/>
      <c r="AF40" s="53">
        <v>251805</v>
      </c>
      <c r="AG40" s="54"/>
      <c r="AH40" s="53">
        <v>4314</v>
      </c>
      <c r="AI40" s="54"/>
      <c r="AJ40" s="53">
        <v>2952712</v>
      </c>
      <c r="AK40" s="54"/>
      <c r="AL40" s="53">
        <v>2919745</v>
      </c>
      <c r="AM40" s="54"/>
      <c r="AN40" s="53">
        <v>128060</v>
      </c>
      <c r="AO40" s="54"/>
      <c r="AP40" s="59">
        <v>125902</v>
      </c>
      <c r="AQ40" s="54"/>
      <c r="AR40" s="53">
        <v>10510179</v>
      </c>
      <c r="AS40" s="54"/>
      <c r="AT40" s="58">
        <v>70933375</v>
      </c>
      <c r="AU40" s="50"/>
      <c r="AV40" s="60">
        <v>91.06</v>
      </c>
      <c r="AW40" s="50" t="s">
        <v>19</v>
      </c>
      <c r="AX40" s="50" t="s">
        <v>359</v>
      </c>
    </row>
    <row r="41" spans="1:50">
      <c r="A41" s="50" t="s">
        <v>432</v>
      </c>
      <c r="B41" s="50" t="s">
        <v>433</v>
      </c>
      <c r="C41" s="50" t="s">
        <v>434</v>
      </c>
      <c r="D41" s="51">
        <v>5015</v>
      </c>
      <c r="E41" s="52">
        <v>50015</v>
      </c>
      <c r="F41" s="50" t="s">
        <v>370</v>
      </c>
      <c r="G41" s="50" t="s">
        <v>356</v>
      </c>
      <c r="H41" s="53">
        <v>1780673</v>
      </c>
      <c r="I41" s="54">
        <v>418</v>
      </c>
      <c r="J41" s="50" t="s">
        <v>364</v>
      </c>
      <c r="K41" s="50" t="s">
        <v>358</v>
      </c>
      <c r="L41" s="55">
        <v>6</v>
      </c>
      <c r="M41" s="50"/>
      <c r="N41" s="56">
        <v>6</v>
      </c>
      <c r="O41" s="54"/>
      <c r="P41" s="57">
        <v>14.0802</v>
      </c>
      <c r="Q41" s="54"/>
      <c r="R41" s="57">
        <v>3.5057</v>
      </c>
      <c r="S41" s="54" t="s">
        <v>377</v>
      </c>
      <c r="T41" s="57">
        <v>14.4611</v>
      </c>
      <c r="U41" s="54"/>
      <c r="V41" s="53">
        <v>559327</v>
      </c>
      <c r="W41" s="54"/>
      <c r="X41" s="58">
        <v>577077</v>
      </c>
      <c r="Y41" s="54"/>
      <c r="Z41" s="53">
        <v>573726</v>
      </c>
      <c r="AA41" s="54"/>
      <c r="AB41" s="53">
        <v>3351</v>
      </c>
      <c r="AC41" s="54"/>
      <c r="AD41" s="53">
        <v>41389</v>
      </c>
      <c r="AE41" s="54"/>
      <c r="AF41" s="53">
        <v>40747</v>
      </c>
      <c r="AG41" s="54"/>
      <c r="AH41" s="53">
        <v>642</v>
      </c>
      <c r="AI41" s="54"/>
      <c r="AJ41" s="53">
        <v>562513</v>
      </c>
      <c r="AK41" s="54"/>
      <c r="AL41" s="53">
        <v>559161</v>
      </c>
      <c r="AM41" s="54"/>
      <c r="AN41" s="53">
        <v>40336</v>
      </c>
      <c r="AO41" s="54"/>
      <c r="AP41" s="59">
        <v>39693</v>
      </c>
      <c r="AQ41" s="54"/>
      <c r="AR41" s="53">
        <v>589245</v>
      </c>
      <c r="AS41" s="54"/>
      <c r="AT41" s="58">
        <v>2065735</v>
      </c>
      <c r="AU41" s="50" t="s">
        <v>377</v>
      </c>
      <c r="AV41" s="60">
        <v>30.38</v>
      </c>
      <c r="AW41" s="50" t="s">
        <v>19</v>
      </c>
      <c r="AX41" s="50" t="s">
        <v>378</v>
      </c>
    </row>
    <row r="42" spans="1:50">
      <c r="A42" s="50" t="s">
        <v>432</v>
      </c>
      <c r="B42" s="50" t="s">
        <v>433</v>
      </c>
      <c r="C42" s="50" t="s">
        <v>434</v>
      </c>
      <c r="D42" s="51">
        <v>5015</v>
      </c>
      <c r="E42" s="52">
        <v>50015</v>
      </c>
      <c r="F42" s="50" t="s">
        <v>370</v>
      </c>
      <c r="G42" s="50" t="s">
        <v>356</v>
      </c>
      <c r="H42" s="53">
        <v>1780673</v>
      </c>
      <c r="I42" s="54">
        <v>418</v>
      </c>
      <c r="J42" s="50" t="s">
        <v>357</v>
      </c>
      <c r="K42" s="50" t="s">
        <v>358</v>
      </c>
      <c r="L42" s="55">
        <v>16</v>
      </c>
      <c r="M42" s="50"/>
      <c r="N42" s="56">
        <v>8</v>
      </c>
      <c r="O42" s="54"/>
      <c r="P42" s="57">
        <v>19.014700000000001</v>
      </c>
      <c r="Q42" s="54"/>
      <c r="R42" s="57">
        <v>6.9599000000000002</v>
      </c>
      <c r="S42" s="54" t="s">
        <v>377</v>
      </c>
      <c r="T42" s="57">
        <v>20.605499999999999</v>
      </c>
      <c r="U42" s="54"/>
      <c r="V42" s="53">
        <v>2472057</v>
      </c>
      <c r="W42" s="54"/>
      <c r="X42" s="58">
        <v>2440418</v>
      </c>
      <c r="Y42" s="54"/>
      <c r="Z42" s="53">
        <v>2434523</v>
      </c>
      <c r="AA42" s="54"/>
      <c r="AB42" s="53">
        <v>5895</v>
      </c>
      <c r="AC42" s="54"/>
      <c r="AD42" s="53">
        <v>129302</v>
      </c>
      <c r="AE42" s="54"/>
      <c r="AF42" s="53">
        <v>128034</v>
      </c>
      <c r="AG42" s="54"/>
      <c r="AH42" s="53">
        <v>1268</v>
      </c>
      <c r="AI42" s="54"/>
      <c r="AJ42" s="53">
        <v>1238321</v>
      </c>
      <c r="AK42" s="54"/>
      <c r="AL42" s="53">
        <v>1235375</v>
      </c>
      <c r="AM42" s="54"/>
      <c r="AN42" s="53">
        <v>65610</v>
      </c>
      <c r="AO42" s="54"/>
      <c r="AP42" s="59">
        <v>64976</v>
      </c>
      <c r="AQ42" s="54"/>
      <c r="AR42" s="53">
        <v>2638201</v>
      </c>
      <c r="AS42" s="54"/>
      <c r="AT42" s="58">
        <v>18361515</v>
      </c>
      <c r="AU42" s="50" t="s">
        <v>377</v>
      </c>
      <c r="AV42" s="60">
        <v>38.08</v>
      </c>
      <c r="AW42" s="50" t="s">
        <v>19</v>
      </c>
      <c r="AX42" s="50" t="s">
        <v>378</v>
      </c>
    </row>
    <row r="43" spans="1:50">
      <c r="A43" s="50" t="s">
        <v>435</v>
      </c>
      <c r="B43" s="50" t="s">
        <v>436</v>
      </c>
      <c r="C43" s="50" t="s">
        <v>437</v>
      </c>
      <c r="D43" s="51">
        <v>3083</v>
      </c>
      <c r="E43" s="52">
        <v>30083</v>
      </c>
      <c r="F43" s="50" t="s">
        <v>370</v>
      </c>
      <c r="G43" s="50" t="s">
        <v>356</v>
      </c>
      <c r="H43" s="53">
        <v>1439666</v>
      </c>
      <c r="I43" s="54">
        <v>417</v>
      </c>
      <c r="J43" s="50" t="s">
        <v>364</v>
      </c>
      <c r="K43" s="50" t="s">
        <v>358</v>
      </c>
      <c r="L43" s="55">
        <v>6</v>
      </c>
      <c r="M43" s="50"/>
      <c r="N43" s="56">
        <v>6</v>
      </c>
      <c r="O43" s="54"/>
      <c r="P43" s="57">
        <v>13.267099999999999</v>
      </c>
      <c r="Q43" s="54"/>
      <c r="R43" s="57">
        <v>3.2271999999999998</v>
      </c>
      <c r="S43" s="54"/>
      <c r="T43" s="57">
        <v>40.308999999999997</v>
      </c>
      <c r="U43" s="54"/>
      <c r="V43" s="53">
        <v>344336</v>
      </c>
      <c r="W43" s="54"/>
      <c r="X43" s="58">
        <v>344847</v>
      </c>
      <c r="Y43" s="54"/>
      <c r="Z43" s="53">
        <v>343618</v>
      </c>
      <c r="AA43" s="54"/>
      <c r="AB43" s="53">
        <v>1229</v>
      </c>
      <c r="AC43" s="54"/>
      <c r="AD43" s="53">
        <v>26101</v>
      </c>
      <c r="AE43" s="54"/>
      <c r="AF43" s="53">
        <v>25900</v>
      </c>
      <c r="AG43" s="54"/>
      <c r="AH43" s="53">
        <v>201</v>
      </c>
      <c r="AI43" s="54"/>
      <c r="AJ43" s="53">
        <v>344847</v>
      </c>
      <c r="AK43" s="54"/>
      <c r="AL43" s="53">
        <v>343618</v>
      </c>
      <c r="AM43" s="54"/>
      <c r="AN43" s="53">
        <v>26101</v>
      </c>
      <c r="AO43" s="54"/>
      <c r="AP43" s="59">
        <v>25900</v>
      </c>
      <c r="AQ43" s="54"/>
      <c r="AR43" s="53">
        <v>1044002</v>
      </c>
      <c r="AS43" s="54"/>
      <c r="AT43" s="58">
        <v>3369249</v>
      </c>
      <c r="AU43" s="50"/>
      <c r="AV43" s="60">
        <v>14.8</v>
      </c>
      <c r="AW43" s="50" t="s">
        <v>19</v>
      </c>
      <c r="AX43" s="50" t="s">
        <v>359</v>
      </c>
    </row>
    <row r="44" spans="1:50">
      <c r="A44" s="50" t="s">
        <v>438</v>
      </c>
      <c r="B44" s="50" t="s">
        <v>439</v>
      </c>
      <c r="C44" s="50" t="s">
        <v>440</v>
      </c>
      <c r="D44" s="51">
        <v>4008</v>
      </c>
      <c r="E44" s="52">
        <v>40008</v>
      </c>
      <c r="F44" s="50" t="s">
        <v>396</v>
      </c>
      <c r="G44" s="50" t="s">
        <v>356</v>
      </c>
      <c r="H44" s="53">
        <v>1249442</v>
      </c>
      <c r="I44" s="54">
        <v>409</v>
      </c>
      <c r="J44" s="50" t="s">
        <v>364</v>
      </c>
      <c r="K44" s="50" t="s">
        <v>358</v>
      </c>
      <c r="L44" s="55">
        <v>36</v>
      </c>
      <c r="M44" s="50"/>
      <c r="N44" s="56">
        <v>16</v>
      </c>
      <c r="O44" s="54"/>
      <c r="P44" s="57">
        <v>16.140799999999999</v>
      </c>
      <c r="Q44" s="54"/>
      <c r="R44" s="57">
        <v>5.1829999999999998</v>
      </c>
      <c r="S44" s="54"/>
      <c r="T44" s="57">
        <v>55.526200000000003</v>
      </c>
      <c r="U44" s="54"/>
      <c r="V44" s="53">
        <v>2178959</v>
      </c>
      <c r="W44" s="54"/>
      <c r="X44" s="58">
        <v>2267166</v>
      </c>
      <c r="Y44" s="54"/>
      <c r="Z44" s="53">
        <v>2110955</v>
      </c>
      <c r="AA44" s="54"/>
      <c r="AB44" s="53">
        <v>156211</v>
      </c>
      <c r="AC44" s="54"/>
      <c r="AD44" s="53">
        <v>138754</v>
      </c>
      <c r="AE44" s="54"/>
      <c r="AF44" s="53">
        <v>130784</v>
      </c>
      <c r="AG44" s="54"/>
      <c r="AH44" s="53">
        <v>7970</v>
      </c>
      <c r="AI44" s="54"/>
      <c r="AJ44" s="53">
        <v>1141671</v>
      </c>
      <c r="AK44" s="54"/>
      <c r="AL44" s="53">
        <v>1059265</v>
      </c>
      <c r="AM44" s="54"/>
      <c r="AN44" s="53">
        <v>69828</v>
      </c>
      <c r="AO44" s="54"/>
      <c r="AP44" s="59">
        <v>65622</v>
      </c>
      <c r="AQ44" s="54"/>
      <c r="AR44" s="53">
        <v>7261944</v>
      </c>
      <c r="AS44" s="54"/>
      <c r="AT44" s="58">
        <v>37638865</v>
      </c>
      <c r="AU44" s="50"/>
      <c r="AV44" s="60">
        <v>37.299999999999997</v>
      </c>
      <c r="AW44" s="50" t="s">
        <v>19</v>
      </c>
      <c r="AX44" s="50" t="s">
        <v>359</v>
      </c>
    </row>
    <row r="45" spans="1:50">
      <c r="A45" s="50" t="s">
        <v>441</v>
      </c>
      <c r="B45" s="50" t="s">
        <v>442</v>
      </c>
      <c r="C45" s="50" t="s">
        <v>443</v>
      </c>
      <c r="D45" s="51">
        <v>40</v>
      </c>
      <c r="E45" s="52">
        <v>40</v>
      </c>
      <c r="F45" s="50" t="s">
        <v>370</v>
      </c>
      <c r="G45" s="50" t="s">
        <v>356</v>
      </c>
      <c r="H45" s="53">
        <v>3059393</v>
      </c>
      <c r="I45" s="54">
        <v>381</v>
      </c>
      <c r="J45" s="50" t="s">
        <v>364</v>
      </c>
      <c r="K45" s="50" t="s">
        <v>358</v>
      </c>
      <c r="L45" s="55">
        <v>48</v>
      </c>
      <c r="M45" s="50"/>
      <c r="N45" s="56">
        <v>17</v>
      </c>
      <c r="O45" s="54"/>
      <c r="P45" s="57">
        <v>18.259</v>
      </c>
      <c r="Q45" s="54"/>
      <c r="R45" s="57">
        <v>6.3029999999999999</v>
      </c>
      <c r="S45" s="54"/>
      <c r="T45" s="57">
        <v>35.367199999999997</v>
      </c>
      <c r="U45" s="54"/>
      <c r="V45" s="53">
        <v>3994837</v>
      </c>
      <c r="W45" s="54"/>
      <c r="X45" s="58">
        <v>4168064</v>
      </c>
      <c r="Y45" s="54"/>
      <c r="Z45" s="53">
        <v>4078592</v>
      </c>
      <c r="AA45" s="54"/>
      <c r="AB45" s="53">
        <v>89472</v>
      </c>
      <c r="AC45" s="54"/>
      <c r="AD45" s="53">
        <v>233843</v>
      </c>
      <c r="AE45" s="54"/>
      <c r="AF45" s="53">
        <v>223374</v>
      </c>
      <c r="AG45" s="54"/>
      <c r="AH45" s="53">
        <v>10469</v>
      </c>
      <c r="AI45" s="54"/>
      <c r="AJ45" s="53">
        <v>1165448</v>
      </c>
      <c r="AK45" s="54"/>
      <c r="AL45" s="53">
        <v>1140397</v>
      </c>
      <c r="AM45" s="54"/>
      <c r="AN45" s="53">
        <v>65104</v>
      </c>
      <c r="AO45" s="54"/>
      <c r="AP45" s="59">
        <v>61879</v>
      </c>
      <c r="AQ45" s="54"/>
      <c r="AR45" s="53">
        <v>7900122</v>
      </c>
      <c r="AS45" s="54"/>
      <c r="AT45" s="58">
        <v>49794569</v>
      </c>
      <c r="AU45" s="50"/>
      <c r="AV45" s="60">
        <v>40.4</v>
      </c>
      <c r="AW45" s="50" t="s">
        <v>19</v>
      </c>
      <c r="AX45" s="50" t="s">
        <v>359</v>
      </c>
    </row>
    <row r="46" spans="1:50">
      <c r="A46" s="50" t="s">
        <v>441</v>
      </c>
      <c r="B46" s="50" t="s">
        <v>442</v>
      </c>
      <c r="C46" s="50" t="s">
        <v>443</v>
      </c>
      <c r="D46" s="51">
        <v>40</v>
      </c>
      <c r="E46" s="52">
        <v>40</v>
      </c>
      <c r="F46" s="50" t="s">
        <v>370</v>
      </c>
      <c r="G46" s="50" t="s">
        <v>356</v>
      </c>
      <c r="H46" s="53">
        <v>3059393</v>
      </c>
      <c r="I46" s="54">
        <v>381</v>
      </c>
      <c r="J46" s="50" t="s">
        <v>366</v>
      </c>
      <c r="K46" s="50" t="s">
        <v>365</v>
      </c>
      <c r="L46" s="55">
        <v>70</v>
      </c>
      <c r="M46" s="50"/>
      <c r="N46" s="56">
        <v>23</v>
      </c>
      <c r="O46" s="54"/>
      <c r="P46" s="57">
        <v>30.116700000000002</v>
      </c>
      <c r="Q46" s="54"/>
      <c r="R46" s="57">
        <v>25.192499999999999</v>
      </c>
      <c r="S46" s="54"/>
      <c r="T46" s="57">
        <v>24.971</v>
      </c>
      <c r="U46" s="54"/>
      <c r="V46" s="53">
        <v>1617729</v>
      </c>
      <c r="W46" s="54"/>
      <c r="X46" s="58">
        <v>1562310</v>
      </c>
      <c r="Y46" s="54"/>
      <c r="Z46" s="53">
        <v>1526737</v>
      </c>
      <c r="AA46" s="54"/>
      <c r="AB46" s="53">
        <v>35573</v>
      </c>
      <c r="AC46" s="54"/>
      <c r="AD46" s="53">
        <v>54020</v>
      </c>
      <c r="AE46" s="54"/>
      <c r="AF46" s="53">
        <v>50694</v>
      </c>
      <c r="AG46" s="54"/>
      <c r="AH46" s="53">
        <v>3326</v>
      </c>
      <c r="AI46" s="54"/>
      <c r="AJ46" s="53">
        <v>250453</v>
      </c>
      <c r="AK46" s="54"/>
      <c r="AL46" s="53">
        <v>244746</v>
      </c>
      <c r="AM46" s="54"/>
      <c r="AN46" s="53">
        <v>8818</v>
      </c>
      <c r="AO46" s="54"/>
      <c r="AP46" s="59">
        <v>8281</v>
      </c>
      <c r="AQ46" s="54"/>
      <c r="AR46" s="53">
        <v>1265882</v>
      </c>
      <c r="AS46" s="54"/>
      <c r="AT46" s="58">
        <v>31890678</v>
      </c>
      <c r="AU46" s="50"/>
      <c r="AV46" s="60">
        <v>163.84</v>
      </c>
      <c r="AW46" s="50" t="s">
        <v>19</v>
      </c>
      <c r="AX46" s="50" t="s">
        <v>359</v>
      </c>
    </row>
    <row r="47" spans="1:50">
      <c r="A47" s="50" t="s">
        <v>444</v>
      </c>
      <c r="B47" s="50" t="s">
        <v>445</v>
      </c>
      <c r="C47" s="50" t="s">
        <v>354</v>
      </c>
      <c r="D47" s="51">
        <v>2004</v>
      </c>
      <c r="E47" s="52">
        <v>20004</v>
      </c>
      <c r="F47" s="50" t="s">
        <v>370</v>
      </c>
      <c r="G47" s="50" t="s">
        <v>356</v>
      </c>
      <c r="H47" s="53">
        <v>935906</v>
      </c>
      <c r="I47" s="54">
        <v>359</v>
      </c>
      <c r="J47" s="50" t="s">
        <v>364</v>
      </c>
      <c r="K47" s="50" t="s">
        <v>358</v>
      </c>
      <c r="L47" s="55">
        <v>23</v>
      </c>
      <c r="M47" s="50"/>
      <c r="N47" s="56">
        <v>7</v>
      </c>
      <c r="O47" s="54"/>
      <c r="P47" s="57">
        <v>11.1447</v>
      </c>
      <c r="Q47" s="54"/>
      <c r="R47" s="57">
        <v>2.6665000000000001</v>
      </c>
      <c r="S47" s="54"/>
      <c r="T47" s="57">
        <v>48.610100000000003</v>
      </c>
      <c r="U47" s="54"/>
      <c r="V47" s="53">
        <v>962940</v>
      </c>
      <c r="W47" s="54"/>
      <c r="X47" s="58">
        <v>984827</v>
      </c>
      <c r="Y47" s="54"/>
      <c r="Z47" s="53">
        <v>968353</v>
      </c>
      <c r="AA47" s="54"/>
      <c r="AB47" s="53">
        <v>16474</v>
      </c>
      <c r="AC47" s="54"/>
      <c r="AD47" s="53">
        <v>91599</v>
      </c>
      <c r="AE47" s="54"/>
      <c r="AF47" s="53">
        <v>86889</v>
      </c>
      <c r="AG47" s="54"/>
      <c r="AH47" s="53">
        <v>4710</v>
      </c>
      <c r="AI47" s="54"/>
      <c r="AJ47" s="53">
        <v>347313</v>
      </c>
      <c r="AK47" s="54"/>
      <c r="AL47" s="53">
        <v>341503</v>
      </c>
      <c r="AM47" s="54"/>
      <c r="AN47" s="53">
        <v>32115</v>
      </c>
      <c r="AO47" s="54"/>
      <c r="AP47" s="59">
        <v>30462</v>
      </c>
      <c r="AQ47" s="54"/>
      <c r="AR47" s="53">
        <v>4223681</v>
      </c>
      <c r="AS47" s="54"/>
      <c r="AT47" s="58">
        <v>11262397</v>
      </c>
      <c r="AU47" s="50"/>
      <c r="AV47" s="60">
        <v>12.4</v>
      </c>
      <c r="AW47" s="50" t="s">
        <v>19</v>
      </c>
      <c r="AX47" s="50" t="s">
        <v>359</v>
      </c>
    </row>
    <row r="48" spans="1:50">
      <c r="A48" s="50" t="s">
        <v>446</v>
      </c>
      <c r="B48" s="50" t="s">
        <v>447</v>
      </c>
      <c r="C48" s="50" t="s">
        <v>369</v>
      </c>
      <c r="D48" s="51">
        <v>9019</v>
      </c>
      <c r="E48" s="52">
        <v>90019</v>
      </c>
      <c r="F48" s="50" t="s">
        <v>370</v>
      </c>
      <c r="G48" s="50" t="s">
        <v>356</v>
      </c>
      <c r="H48" s="53">
        <v>1723634</v>
      </c>
      <c r="I48" s="54">
        <v>331</v>
      </c>
      <c r="J48" s="50" t="s">
        <v>364</v>
      </c>
      <c r="K48" s="50" t="s">
        <v>358</v>
      </c>
      <c r="L48" s="55">
        <v>69</v>
      </c>
      <c r="M48" s="50"/>
      <c r="N48" s="56">
        <v>18</v>
      </c>
      <c r="O48" s="54"/>
      <c r="P48" s="57">
        <v>17.4438</v>
      </c>
      <c r="Q48" s="54"/>
      <c r="R48" s="57">
        <v>5.9108000000000001</v>
      </c>
      <c r="S48" s="54"/>
      <c r="T48" s="57">
        <v>43.433199999999999</v>
      </c>
      <c r="U48" s="54"/>
      <c r="V48" s="53">
        <v>3637080</v>
      </c>
      <c r="W48" s="54"/>
      <c r="X48" s="58">
        <v>3765256</v>
      </c>
      <c r="Y48" s="54"/>
      <c r="Z48" s="53">
        <v>3610107</v>
      </c>
      <c r="AA48" s="54"/>
      <c r="AB48" s="53">
        <v>155149</v>
      </c>
      <c r="AC48" s="54"/>
      <c r="AD48" s="53">
        <v>213385</v>
      </c>
      <c r="AE48" s="54"/>
      <c r="AF48" s="53">
        <v>206957</v>
      </c>
      <c r="AG48" s="54"/>
      <c r="AH48" s="53">
        <v>6428</v>
      </c>
      <c r="AI48" s="54"/>
      <c r="AJ48" s="53">
        <v>1757466</v>
      </c>
      <c r="AK48" s="54"/>
      <c r="AL48" s="53">
        <v>1710343</v>
      </c>
      <c r="AM48" s="54"/>
      <c r="AN48" s="53">
        <v>101083</v>
      </c>
      <c r="AO48" s="54"/>
      <c r="AP48" s="59">
        <v>98064</v>
      </c>
      <c r="AQ48" s="54"/>
      <c r="AR48" s="53">
        <v>8988806</v>
      </c>
      <c r="AS48" s="54"/>
      <c r="AT48" s="58">
        <v>53131252</v>
      </c>
      <c r="AU48" s="50"/>
      <c r="AV48" s="60">
        <v>84.92</v>
      </c>
      <c r="AW48" s="50" t="s">
        <v>19</v>
      </c>
      <c r="AX48" s="50" t="s">
        <v>359</v>
      </c>
    </row>
    <row r="49" spans="1:50">
      <c r="A49" s="50" t="s">
        <v>448</v>
      </c>
      <c r="B49" s="50" t="s">
        <v>449</v>
      </c>
      <c r="C49" s="50" t="s">
        <v>388</v>
      </c>
      <c r="D49" s="51">
        <v>6007</v>
      </c>
      <c r="E49" s="52">
        <v>60007</v>
      </c>
      <c r="F49" s="50" t="s">
        <v>370</v>
      </c>
      <c r="G49" s="50" t="s">
        <v>356</v>
      </c>
      <c r="H49" s="53">
        <v>5121892</v>
      </c>
      <c r="I49" s="54">
        <v>312</v>
      </c>
      <c r="J49" s="50" t="s">
        <v>366</v>
      </c>
      <c r="K49" s="50" t="s">
        <v>365</v>
      </c>
      <c r="L49" s="55">
        <v>20</v>
      </c>
      <c r="M49" s="50"/>
      <c r="N49" s="56">
        <v>5</v>
      </c>
      <c r="O49" s="54"/>
      <c r="P49" s="57">
        <v>19.5091</v>
      </c>
      <c r="Q49" s="54"/>
      <c r="R49" s="57">
        <v>15.8208</v>
      </c>
      <c r="S49" s="54" t="s">
        <v>382</v>
      </c>
      <c r="T49" s="57">
        <v>2.8578999999999999</v>
      </c>
      <c r="U49" s="54" t="s">
        <v>382</v>
      </c>
      <c r="V49" s="53">
        <v>2417541</v>
      </c>
      <c r="W49" s="54"/>
      <c r="X49" s="58">
        <v>2349671</v>
      </c>
      <c r="Y49" s="54"/>
      <c r="Z49" s="53">
        <v>2320998</v>
      </c>
      <c r="AA49" s="54"/>
      <c r="AB49" s="53">
        <v>28673</v>
      </c>
      <c r="AC49" s="54"/>
      <c r="AD49" s="53">
        <v>120510</v>
      </c>
      <c r="AE49" s="54"/>
      <c r="AF49" s="53">
        <v>118970</v>
      </c>
      <c r="AG49" s="54"/>
      <c r="AH49" s="53">
        <v>1540</v>
      </c>
      <c r="AI49" s="54"/>
      <c r="AJ49" s="53">
        <v>587418</v>
      </c>
      <c r="AK49" s="54"/>
      <c r="AL49" s="53">
        <v>580250</v>
      </c>
      <c r="AM49" s="54" t="s">
        <v>382</v>
      </c>
      <c r="AN49" s="53">
        <v>30128</v>
      </c>
      <c r="AO49" s="54"/>
      <c r="AP49" s="59">
        <v>29743</v>
      </c>
      <c r="AQ49" s="54" t="s">
        <v>382</v>
      </c>
      <c r="AR49" s="53">
        <v>340008</v>
      </c>
      <c r="AS49" s="54" t="s">
        <v>382</v>
      </c>
      <c r="AT49" s="58">
        <v>5379214</v>
      </c>
      <c r="AU49" s="50" t="s">
        <v>382</v>
      </c>
      <c r="AV49" s="60">
        <v>52.34</v>
      </c>
      <c r="AW49" s="50" t="s">
        <v>19</v>
      </c>
      <c r="AX49" s="50" t="s">
        <v>378</v>
      </c>
    </row>
    <row r="50" spans="1:50">
      <c r="A50" s="50" t="s">
        <v>450</v>
      </c>
      <c r="B50" s="50" t="s">
        <v>401</v>
      </c>
      <c r="C50" s="50" t="s">
        <v>362</v>
      </c>
      <c r="D50" s="51">
        <v>2098</v>
      </c>
      <c r="E50" s="52">
        <v>20098</v>
      </c>
      <c r="F50" s="50" t="s">
        <v>370</v>
      </c>
      <c r="G50" s="50" t="s">
        <v>356</v>
      </c>
      <c r="H50" s="53">
        <v>18351295</v>
      </c>
      <c r="I50" s="54">
        <v>310</v>
      </c>
      <c r="J50" s="50" t="s">
        <v>357</v>
      </c>
      <c r="K50" s="50" t="s">
        <v>358</v>
      </c>
      <c r="L50" s="55">
        <v>304</v>
      </c>
      <c r="M50" s="50"/>
      <c r="N50" s="56">
        <v>33</v>
      </c>
      <c r="O50" s="54"/>
      <c r="P50" s="57">
        <v>13.624599999999999</v>
      </c>
      <c r="Q50" s="54"/>
      <c r="R50" s="57">
        <v>5.0683999999999996</v>
      </c>
      <c r="S50" s="54"/>
      <c r="T50" s="57">
        <v>31.703499999999998</v>
      </c>
      <c r="U50" s="54"/>
      <c r="V50" s="53">
        <v>12823047</v>
      </c>
      <c r="W50" s="54"/>
      <c r="X50" s="58">
        <v>13103345</v>
      </c>
      <c r="Y50" s="54"/>
      <c r="Z50" s="53">
        <v>12744198</v>
      </c>
      <c r="AA50" s="54"/>
      <c r="AB50" s="53">
        <v>359147</v>
      </c>
      <c r="AC50" s="54"/>
      <c r="AD50" s="53">
        <v>954091</v>
      </c>
      <c r="AE50" s="54"/>
      <c r="AF50" s="53">
        <v>935379</v>
      </c>
      <c r="AG50" s="54"/>
      <c r="AH50" s="53">
        <v>18712</v>
      </c>
      <c r="AI50" s="54"/>
      <c r="AJ50" s="53">
        <v>1753804</v>
      </c>
      <c r="AK50" s="54"/>
      <c r="AL50" s="53">
        <v>1705415</v>
      </c>
      <c r="AM50" s="54"/>
      <c r="AN50" s="53">
        <v>129406</v>
      </c>
      <c r="AO50" s="54"/>
      <c r="AP50" s="59">
        <v>126903</v>
      </c>
      <c r="AQ50" s="54"/>
      <c r="AR50" s="53">
        <v>29654770</v>
      </c>
      <c r="AS50" s="54"/>
      <c r="AT50" s="58">
        <v>150302485</v>
      </c>
      <c r="AU50" s="50"/>
      <c r="AV50" s="60">
        <v>28.6</v>
      </c>
      <c r="AW50" s="50" t="s">
        <v>19</v>
      </c>
      <c r="AX50" s="50" t="s">
        <v>359</v>
      </c>
    </row>
    <row r="51" spans="1:50">
      <c r="A51" s="50" t="s">
        <v>451</v>
      </c>
      <c r="B51" s="50" t="s">
        <v>452</v>
      </c>
      <c r="C51" s="50" t="s">
        <v>369</v>
      </c>
      <c r="D51" s="51">
        <v>9030</v>
      </c>
      <c r="E51" s="52">
        <v>90030</v>
      </c>
      <c r="F51" s="50" t="s">
        <v>370</v>
      </c>
      <c r="G51" s="50" t="s">
        <v>356</v>
      </c>
      <c r="H51" s="53">
        <v>2956746</v>
      </c>
      <c r="I51" s="54">
        <v>205</v>
      </c>
      <c r="J51" s="50" t="s">
        <v>366</v>
      </c>
      <c r="K51" s="50" t="s">
        <v>365</v>
      </c>
      <c r="L51" s="55">
        <v>24</v>
      </c>
      <c r="M51" s="50"/>
      <c r="N51" s="56">
        <v>4</v>
      </c>
      <c r="O51" s="54"/>
      <c r="P51" s="57">
        <v>31.677499999999998</v>
      </c>
      <c r="Q51" s="54"/>
      <c r="R51" s="57">
        <v>26.441199999999998</v>
      </c>
      <c r="S51" s="54"/>
      <c r="T51" s="57">
        <v>25.204499999999999</v>
      </c>
      <c r="U51" s="54"/>
      <c r="V51" s="53">
        <v>1181583</v>
      </c>
      <c r="W51" s="54"/>
      <c r="X51" s="58">
        <v>1254334</v>
      </c>
      <c r="Y51" s="54"/>
      <c r="Z51" s="53">
        <v>1186577</v>
      </c>
      <c r="AA51" s="54"/>
      <c r="AB51" s="53">
        <v>67757</v>
      </c>
      <c r="AC51" s="54"/>
      <c r="AD51" s="53">
        <v>42212</v>
      </c>
      <c r="AE51" s="54"/>
      <c r="AF51" s="53">
        <v>37458</v>
      </c>
      <c r="AG51" s="54"/>
      <c r="AH51" s="53">
        <v>4754</v>
      </c>
      <c r="AI51" s="54"/>
      <c r="AJ51" s="53">
        <v>243076</v>
      </c>
      <c r="AK51" s="54"/>
      <c r="AL51" s="53">
        <v>230008</v>
      </c>
      <c r="AM51" s="54"/>
      <c r="AN51" s="53">
        <v>7881</v>
      </c>
      <c r="AO51" s="54"/>
      <c r="AP51" s="59">
        <v>7305</v>
      </c>
      <c r="AQ51" s="54"/>
      <c r="AR51" s="53">
        <v>944109</v>
      </c>
      <c r="AS51" s="54"/>
      <c r="AT51" s="58">
        <v>24963395</v>
      </c>
      <c r="AU51" s="50"/>
      <c r="AV51" s="60">
        <v>82.2</v>
      </c>
      <c r="AW51" s="50" t="s">
        <v>19</v>
      </c>
      <c r="AX51" s="50" t="s">
        <v>359</v>
      </c>
    </row>
    <row r="52" spans="1:50">
      <c r="A52" s="50" t="s">
        <v>453</v>
      </c>
      <c r="B52" s="50" t="s">
        <v>368</v>
      </c>
      <c r="C52" s="50" t="s">
        <v>369</v>
      </c>
      <c r="D52" s="51">
        <v>9151</v>
      </c>
      <c r="E52" s="52">
        <v>90151</v>
      </c>
      <c r="F52" s="50" t="s">
        <v>370</v>
      </c>
      <c r="G52" s="50" t="s">
        <v>356</v>
      </c>
      <c r="H52" s="53">
        <v>12150996</v>
      </c>
      <c r="I52" s="54">
        <v>195</v>
      </c>
      <c r="J52" s="50" t="s">
        <v>366</v>
      </c>
      <c r="K52" s="50" t="s">
        <v>365</v>
      </c>
      <c r="L52" s="55">
        <v>195</v>
      </c>
      <c r="M52" s="50"/>
      <c r="N52" s="56">
        <v>40</v>
      </c>
      <c r="O52" s="54"/>
      <c r="P52" s="57">
        <v>36.3401</v>
      </c>
      <c r="Q52" s="54"/>
      <c r="R52" s="57">
        <v>34.358199999999997</v>
      </c>
      <c r="S52" s="54" t="s">
        <v>377</v>
      </c>
      <c r="T52" s="57">
        <v>26.057400000000001</v>
      </c>
      <c r="U52" s="54" t="s">
        <v>377</v>
      </c>
      <c r="V52" s="53">
        <v>13061501</v>
      </c>
      <c r="W52" s="54"/>
      <c r="X52" s="58">
        <v>13618637</v>
      </c>
      <c r="Y52" s="54"/>
      <c r="Z52" s="53">
        <v>13049429</v>
      </c>
      <c r="AA52" s="54"/>
      <c r="AB52" s="53">
        <v>569208</v>
      </c>
      <c r="AC52" s="54"/>
      <c r="AD52" s="53">
        <v>387165</v>
      </c>
      <c r="AE52" s="54"/>
      <c r="AF52" s="53">
        <v>359092</v>
      </c>
      <c r="AG52" s="54"/>
      <c r="AH52" s="53">
        <v>28073</v>
      </c>
      <c r="AI52" s="54"/>
      <c r="AJ52" s="53">
        <v>2786037</v>
      </c>
      <c r="AK52" s="54"/>
      <c r="AL52" s="53">
        <v>2674879</v>
      </c>
      <c r="AM52" s="54"/>
      <c r="AN52" s="53">
        <v>80963</v>
      </c>
      <c r="AO52" s="54"/>
      <c r="AP52" s="59">
        <v>73871</v>
      </c>
      <c r="AQ52" s="54"/>
      <c r="AR52" s="53">
        <v>9357013</v>
      </c>
      <c r="AS52" s="54" t="s">
        <v>377</v>
      </c>
      <c r="AT52" s="58">
        <v>321490316</v>
      </c>
      <c r="AU52" s="50" t="s">
        <v>377</v>
      </c>
      <c r="AV52" s="60">
        <v>826.8</v>
      </c>
      <c r="AW52" s="50" t="s">
        <v>19</v>
      </c>
      <c r="AX52" s="50" t="s">
        <v>378</v>
      </c>
    </row>
    <row r="53" spans="1:50">
      <c r="A53" s="50" t="s">
        <v>454</v>
      </c>
      <c r="B53" s="50" t="s">
        <v>455</v>
      </c>
      <c r="C53" s="50" t="s">
        <v>369</v>
      </c>
      <c r="D53" s="51">
        <v>9134</v>
      </c>
      <c r="E53" s="52">
        <v>90134</v>
      </c>
      <c r="F53" s="50" t="s">
        <v>370</v>
      </c>
      <c r="G53" s="50" t="s">
        <v>356</v>
      </c>
      <c r="H53" s="53">
        <v>3281212</v>
      </c>
      <c r="I53" s="54">
        <v>141</v>
      </c>
      <c r="J53" s="50" t="s">
        <v>366</v>
      </c>
      <c r="K53" s="50" t="s">
        <v>365</v>
      </c>
      <c r="L53" s="55">
        <v>111</v>
      </c>
      <c r="M53" s="50"/>
      <c r="N53" s="56">
        <v>20</v>
      </c>
      <c r="O53" s="54"/>
      <c r="P53" s="57">
        <v>32.338700000000003</v>
      </c>
      <c r="Q53" s="54"/>
      <c r="R53" s="57">
        <v>22.0776</v>
      </c>
      <c r="S53" s="54"/>
      <c r="T53" s="57">
        <v>68.261899999999997</v>
      </c>
      <c r="U53" s="54"/>
      <c r="V53" s="53">
        <v>6469218</v>
      </c>
      <c r="W53" s="54"/>
      <c r="X53" s="58">
        <v>6644705</v>
      </c>
      <c r="Y53" s="54"/>
      <c r="Z53" s="53">
        <v>6486852</v>
      </c>
      <c r="AA53" s="54"/>
      <c r="AB53" s="53">
        <v>157853</v>
      </c>
      <c r="AC53" s="54"/>
      <c r="AD53" s="53">
        <v>216487</v>
      </c>
      <c r="AE53" s="54"/>
      <c r="AF53" s="53">
        <v>200591</v>
      </c>
      <c r="AG53" s="54"/>
      <c r="AH53" s="53">
        <v>15896</v>
      </c>
      <c r="AI53" s="54"/>
      <c r="AJ53" s="53">
        <v>1179829</v>
      </c>
      <c r="AK53" s="54"/>
      <c r="AL53" s="53">
        <v>1151035</v>
      </c>
      <c r="AM53" s="54"/>
      <c r="AN53" s="53">
        <v>38509</v>
      </c>
      <c r="AO53" s="54"/>
      <c r="AP53" s="59">
        <v>35662</v>
      </c>
      <c r="AQ53" s="54"/>
      <c r="AR53" s="53">
        <v>13692716</v>
      </c>
      <c r="AS53" s="54"/>
      <c r="AT53" s="58">
        <v>302302869</v>
      </c>
      <c r="AU53" s="50"/>
      <c r="AV53" s="60">
        <v>153.68</v>
      </c>
      <c r="AW53" s="50" t="s">
        <v>19</v>
      </c>
      <c r="AX53" s="50" t="s">
        <v>359</v>
      </c>
    </row>
    <row r="54" spans="1:50">
      <c r="A54" s="50" t="s">
        <v>456</v>
      </c>
      <c r="B54" s="50" t="s">
        <v>457</v>
      </c>
      <c r="C54" s="50" t="s">
        <v>437</v>
      </c>
      <c r="D54" s="51">
        <v>3073</v>
      </c>
      <c r="E54" s="52">
        <v>30073</v>
      </c>
      <c r="F54" s="50" t="s">
        <v>370</v>
      </c>
      <c r="G54" s="50" t="s">
        <v>356</v>
      </c>
      <c r="H54" s="53">
        <v>4586770</v>
      </c>
      <c r="I54" s="54">
        <v>99</v>
      </c>
      <c r="J54" s="50" t="s">
        <v>366</v>
      </c>
      <c r="K54" s="50" t="s">
        <v>365</v>
      </c>
      <c r="L54" s="55">
        <v>99</v>
      </c>
      <c r="M54" s="50"/>
      <c r="N54" s="56">
        <v>32</v>
      </c>
      <c r="O54" s="54"/>
      <c r="P54" s="57">
        <v>30.826899999999998</v>
      </c>
      <c r="Q54" s="54"/>
      <c r="R54" s="57">
        <v>30.3917</v>
      </c>
      <c r="S54" s="54"/>
      <c r="T54" s="57">
        <v>46.2879</v>
      </c>
      <c r="U54" s="54"/>
      <c r="V54" s="53">
        <v>2148620</v>
      </c>
      <c r="W54" s="54"/>
      <c r="X54" s="58">
        <v>2234620</v>
      </c>
      <c r="Y54" s="54"/>
      <c r="Z54" s="53">
        <v>2146074</v>
      </c>
      <c r="AA54" s="54"/>
      <c r="AB54" s="53">
        <v>88546</v>
      </c>
      <c r="AC54" s="54"/>
      <c r="AD54" s="53">
        <v>76838</v>
      </c>
      <c r="AE54" s="54"/>
      <c r="AF54" s="53">
        <v>69617</v>
      </c>
      <c r="AG54" s="54"/>
      <c r="AH54" s="53">
        <v>7221</v>
      </c>
      <c r="AI54" s="54"/>
      <c r="AJ54" s="53">
        <v>333795</v>
      </c>
      <c r="AK54" s="54"/>
      <c r="AL54" s="53">
        <v>320541</v>
      </c>
      <c r="AM54" s="54"/>
      <c r="AN54" s="53">
        <v>11411</v>
      </c>
      <c r="AO54" s="54"/>
      <c r="AP54" s="59">
        <v>10330</v>
      </c>
      <c r="AQ54" s="54"/>
      <c r="AR54" s="53">
        <v>3222428</v>
      </c>
      <c r="AS54" s="54"/>
      <c r="AT54" s="58">
        <v>97935058</v>
      </c>
      <c r="AU54" s="50"/>
      <c r="AV54" s="60">
        <v>173.62</v>
      </c>
      <c r="AW54" s="50" t="s">
        <v>19</v>
      </c>
      <c r="AX54" s="50" t="s">
        <v>359</v>
      </c>
    </row>
    <row r="55" spans="1:50">
      <c r="A55" s="50" t="s">
        <v>458</v>
      </c>
      <c r="B55" s="50" t="s">
        <v>459</v>
      </c>
      <c r="C55" s="50" t="s">
        <v>362</v>
      </c>
      <c r="D55" s="51">
        <v>2075</v>
      </c>
      <c r="E55" s="52">
        <v>20075</v>
      </c>
      <c r="F55" s="50" t="s">
        <v>370</v>
      </c>
      <c r="G55" s="50" t="s">
        <v>356</v>
      </c>
      <c r="H55" s="53">
        <v>5441567</v>
      </c>
      <c r="I55" s="54">
        <v>78</v>
      </c>
      <c r="J55" s="50" t="s">
        <v>357</v>
      </c>
      <c r="K55" s="50" t="s">
        <v>358</v>
      </c>
      <c r="L55" s="55">
        <v>78</v>
      </c>
      <c r="M55" s="50"/>
      <c r="N55" s="56">
        <v>11</v>
      </c>
      <c r="O55" s="54"/>
      <c r="P55" s="57">
        <v>31.0718</v>
      </c>
      <c r="Q55" s="54"/>
      <c r="R55" s="57">
        <v>8.5806000000000004</v>
      </c>
      <c r="S55" s="54"/>
      <c r="T55" s="57">
        <v>27.423500000000001</v>
      </c>
      <c r="U55" s="54"/>
      <c r="V55" s="53">
        <v>5618718</v>
      </c>
      <c r="W55" s="54"/>
      <c r="X55" s="58">
        <v>4662890</v>
      </c>
      <c r="Y55" s="54"/>
      <c r="Z55" s="53">
        <v>4474868</v>
      </c>
      <c r="AA55" s="54"/>
      <c r="AB55" s="53">
        <v>188022</v>
      </c>
      <c r="AC55" s="54"/>
      <c r="AD55" s="53">
        <v>154306</v>
      </c>
      <c r="AE55" s="54"/>
      <c r="AF55" s="53">
        <v>144017</v>
      </c>
      <c r="AG55" s="54"/>
      <c r="AH55" s="53">
        <v>10289</v>
      </c>
      <c r="AI55" s="54"/>
      <c r="AJ55" s="53">
        <v>899973</v>
      </c>
      <c r="AK55" s="54"/>
      <c r="AL55" s="53">
        <v>836001</v>
      </c>
      <c r="AM55" s="54"/>
      <c r="AN55" s="53">
        <v>31034</v>
      </c>
      <c r="AO55" s="54"/>
      <c r="AP55" s="59">
        <v>28828</v>
      </c>
      <c r="AQ55" s="54"/>
      <c r="AR55" s="53">
        <v>3949450</v>
      </c>
      <c r="AS55" s="54"/>
      <c r="AT55" s="58">
        <v>33888694</v>
      </c>
      <c r="AU55" s="50"/>
      <c r="AV55" s="60">
        <v>31.5</v>
      </c>
      <c r="AW55" s="50" t="s">
        <v>19</v>
      </c>
      <c r="AX55" s="50" t="s">
        <v>359</v>
      </c>
    </row>
    <row r="56" spans="1:50">
      <c r="A56" s="50" t="s">
        <v>460</v>
      </c>
      <c r="B56" s="50" t="s">
        <v>461</v>
      </c>
      <c r="C56" s="50" t="s">
        <v>462</v>
      </c>
      <c r="D56" s="51">
        <v>5104</v>
      </c>
      <c r="E56" s="52">
        <v>50104</v>
      </c>
      <c r="F56" s="50" t="s">
        <v>370</v>
      </c>
      <c r="G56" s="50" t="s">
        <v>356</v>
      </c>
      <c r="H56" s="53">
        <v>8608208</v>
      </c>
      <c r="I56" s="54">
        <v>70</v>
      </c>
      <c r="J56" s="50" t="s">
        <v>366</v>
      </c>
      <c r="K56" s="50" t="s">
        <v>358</v>
      </c>
      <c r="L56" s="55">
        <v>70</v>
      </c>
      <c r="M56" s="50"/>
      <c r="N56" s="56">
        <v>17</v>
      </c>
      <c r="O56" s="54"/>
      <c r="P56" s="57">
        <v>34.768900000000002</v>
      </c>
      <c r="Q56" s="54"/>
      <c r="R56" s="57">
        <v>33</v>
      </c>
      <c r="S56" s="54"/>
      <c r="T56" s="57">
        <v>8.8186</v>
      </c>
      <c r="U56" s="54"/>
      <c r="V56" s="53">
        <v>4013838</v>
      </c>
      <c r="W56" s="54"/>
      <c r="X56" s="58">
        <v>3988838</v>
      </c>
      <c r="Y56" s="54"/>
      <c r="Z56" s="53">
        <v>3923145</v>
      </c>
      <c r="AA56" s="54"/>
      <c r="AB56" s="53">
        <v>65693</v>
      </c>
      <c r="AC56" s="54"/>
      <c r="AD56" s="53">
        <v>114811</v>
      </c>
      <c r="AE56" s="54"/>
      <c r="AF56" s="53">
        <v>112835</v>
      </c>
      <c r="AG56" s="54"/>
      <c r="AH56" s="53">
        <v>1976</v>
      </c>
      <c r="AI56" s="54"/>
      <c r="AJ56" s="53">
        <v>739801</v>
      </c>
      <c r="AK56" s="54"/>
      <c r="AL56" s="53">
        <v>724288</v>
      </c>
      <c r="AM56" s="54"/>
      <c r="AN56" s="53">
        <v>21331</v>
      </c>
      <c r="AO56" s="54"/>
      <c r="AP56" s="59">
        <v>20981</v>
      </c>
      <c r="AQ56" s="54"/>
      <c r="AR56" s="53">
        <v>995049</v>
      </c>
      <c r="AS56" s="54"/>
      <c r="AT56" s="58">
        <v>32836617</v>
      </c>
      <c r="AU56" s="50"/>
      <c r="AV56" s="60">
        <v>179.8</v>
      </c>
      <c r="AW56" s="50" t="s">
        <v>19</v>
      </c>
      <c r="AX56" s="50" t="s">
        <v>359</v>
      </c>
    </row>
    <row r="57" spans="1:50">
      <c r="A57" s="50" t="s">
        <v>463</v>
      </c>
      <c r="B57" s="50" t="s">
        <v>464</v>
      </c>
      <c r="C57" s="50" t="s">
        <v>395</v>
      </c>
      <c r="D57" s="51">
        <v>4077</v>
      </c>
      <c r="E57" s="52">
        <v>40077</v>
      </c>
      <c r="F57" s="50" t="s">
        <v>370</v>
      </c>
      <c r="G57" s="50" t="s">
        <v>356</v>
      </c>
      <c r="H57" s="53">
        <v>5502379</v>
      </c>
      <c r="I57" s="54">
        <v>65</v>
      </c>
      <c r="J57" s="50" t="s">
        <v>366</v>
      </c>
      <c r="K57" s="50" t="s">
        <v>365</v>
      </c>
      <c r="L57" s="55">
        <v>43</v>
      </c>
      <c r="M57" s="50"/>
      <c r="N57" s="56">
        <v>10</v>
      </c>
      <c r="O57" s="54"/>
      <c r="P57" s="57">
        <v>27.9588</v>
      </c>
      <c r="Q57" s="54"/>
      <c r="R57" s="57">
        <v>27.164899999999999</v>
      </c>
      <c r="S57" s="54"/>
      <c r="T57" s="57">
        <v>31.171099999999999</v>
      </c>
      <c r="U57" s="54"/>
      <c r="V57" s="53">
        <v>3327000</v>
      </c>
      <c r="W57" s="54"/>
      <c r="X57" s="58">
        <v>3379135</v>
      </c>
      <c r="Y57" s="54"/>
      <c r="Z57" s="53">
        <v>3159070</v>
      </c>
      <c r="AA57" s="54"/>
      <c r="AB57" s="53">
        <v>220065</v>
      </c>
      <c r="AC57" s="54"/>
      <c r="AD57" s="53">
        <v>125765</v>
      </c>
      <c r="AE57" s="54"/>
      <c r="AF57" s="53">
        <v>112990</v>
      </c>
      <c r="AG57" s="54"/>
      <c r="AH57" s="53">
        <v>12775</v>
      </c>
      <c r="AI57" s="54"/>
      <c r="AJ57" s="53">
        <v>1016844</v>
      </c>
      <c r="AK57" s="54"/>
      <c r="AL57" s="53">
        <v>958905</v>
      </c>
      <c r="AM57" s="54"/>
      <c r="AN57" s="53">
        <v>37346</v>
      </c>
      <c r="AO57" s="54"/>
      <c r="AP57" s="59">
        <v>33681</v>
      </c>
      <c r="AQ57" s="54"/>
      <c r="AR57" s="53">
        <v>3522017</v>
      </c>
      <c r="AS57" s="54"/>
      <c r="AT57" s="58">
        <v>95675095</v>
      </c>
      <c r="AU57" s="50"/>
      <c r="AV57" s="60">
        <v>142.24</v>
      </c>
      <c r="AW57" s="50" t="s">
        <v>19</v>
      </c>
      <c r="AX57" s="50" t="s">
        <v>359</v>
      </c>
    </row>
    <row r="58" spans="1:50">
      <c r="A58" s="50" t="s">
        <v>465</v>
      </c>
      <c r="B58" s="50" t="s">
        <v>466</v>
      </c>
      <c r="C58" s="50" t="s">
        <v>467</v>
      </c>
      <c r="D58" s="51">
        <v>6111</v>
      </c>
      <c r="E58" s="52">
        <v>60111</v>
      </c>
      <c r="F58" s="50" t="s">
        <v>370</v>
      </c>
      <c r="G58" s="50" t="s">
        <v>356</v>
      </c>
      <c r="H58" s="53">
        <v>741318</v>
      </c>
      <c r="I58" s="54">
        <v>58</v>
      </c>
      <c r="J58" s="50" t="s">
        <v>366</v>
      </c>
      <c r="K58" s="50" t="s">
        <v>365</v>
      </c>
      <c r="L58" s="55">
        <v>25</v>
      </c>
      <c r="M58" s="50"/>
      <c r="N58" s="56">
        <v>7</v>
      </c>
      <c r="O58" s="54"/>
      <c r="P58" s="57">
        <v>37.376199999999997</v>
      </c>
      <c r="Q58" s="54"/>
      <c r="R58" s="57">
        <v>46.606200000000001</v>
      </c>
      <c r="S58" s="54"/>
      <c r="T58" s="57">
        <v>20.342199999999998</v>
      </c>
      <c r="U58" s="54"/>
      <c r="V58" s="53">
        <v>949106</v>
      </c>
      <c r="W58" s="54"/>
      <c r="X58" s="58">
        <v>965030</v>
      </c>
      <c r="Y58" s="54"/>
      <c r="Z58" s="53">
        <v>948235</v>
      </c>
      <c r="AA58" s="54"/>
      <c r="AB58" s="53">
        <v>16795</v>
      </c>
      <c r="AC58" s="54"/>
      <c r="AD58" s="53">
        <v>26411</v>
      </c>
      <c r="AE58" s="54"/>
      <c r="AF58" s="53">
        <v>25370</v>
      </c>
      <c r="AG58" s="54"/>
      <c r="AH58" s="53">
        <v>1041</v>
      </c>
      <c r="AI58" s="54"/>
      <c r="AJ58" s="53">
        <v>350454</v>
      </c>
      <c r="AK58" s="54"/>
      <c r="AL58" s="53">
        <v>318879</v>
      </c>
      <c r="AM58" s="54"/>
      <c r="AN58" s="53">
        <v>8899</v>
      </c>
      <c r="AO58" s="54"/>
      <c r="AP58" s="59">
        <v>8580</v>
      </c>
      <c r="AQ58" s="54"/>
      <c r="AR58" s="53">
        <v>516082</v>
      </c>
      <c r="AS58" s="54"/>
      <c r="AT58" s="58">
        <v>24052625</v>
      </c>
      <c r="AU58" s="50"/>
      <c r="AV58" s="60">
        <v>193.1</v>
      </c>
      <c r="AW58" s="50" t="s">
        <v>19</v>
      </c>
      <c r="AX58" s="50" t="s">
        <v>359</v>
      </c>
    </row>
    <row r="59" spans="1:50">
      <c r="A59" s="50" t="s">
        <v>468</v>
      </c>
      <c r="B59" s="50" t="s">
        <v>469</v>
      </c>
      <c r="C59" s="50" t="s">
        <v>470</v>
      </c>
      <c r="D59" s="51">
        <v>4094</v>
      </c>
      <c r="E59" s="52">
        <v>40094</v>
      </c>
      <c r="F59" s="50" t="s">
        <v>392</v>
      </c>
      <c r="G59" s="50" t="s">
        <v>356</v>
      </c>
      <c r="H59" s="53">
        <v>2148346</v>
      </c>
      <c r="I59" s="54">
        <v>54</v>
      </c>
      <c r="J59" s="50" t="s">
        <v>357</v>
      </c>
      <c r="K59" s="50" t="s">
        <v>365</v>
      </c>
      <c r="L59" s="55">
        <v>32</v>
      </c>
      <c r="M59" s="50"/>
      <c r="N59" s="56">
        <v>8</v>
      </c>
      <c r="O59" s="54"/>
      <c r="P59" s="57">
        <v>18.242100000000001</v>
      </c>
      <c r="Q59" s="54"/>
      <c r="R59" s="57">
        <v>4.7439</v>
      </c>
      <c r="S59" s="54"/>
      <c r="T59" s="57">
        <v>48.951300000000003</v>
      </c>
      <c r="U59" s="54"/>
      <c r="V59" s="53">
        <v>1280494</v>
      </c>
      <c r="W59" s="54"/>
      <c r="X59" s="58">
        <v>1388955</v>
      </c>
      <c r="Y59" s="54"/>
      <c r="Z59" s="53">
        <v>1315913</v>
      </c>
      <c r="AA59" s="54"/>
      <c r="AB59" s="53">
        <v>73042</v>
      </c>
      <c r="AC59" s="54"/>
      <c r="AD59" s="53">
        <v>75239</v>
      </c>
      <c r="AE59" s="54"/>
      <c r="AF59" s="53">
        <v>72136</v>
      </c>
      <c r="AG59" s="54"/>
      <c r="AH59" s="53">
        <v>3103</v>
      </c>
      <c r="AI59" s="54"/>
      <c r="AJ59" s="53">
        <v>434149</v>
      </c>
      <c r="AK59" s="54"/>
      <c r="AL59" s="53">
        <v>411208</v>
      </c>
      <c r="AM59" s="54"/>
      <c r="AN59" s="53">
        <v>23224</v>
      </c>
      <c r="AO59" s="54"/>
      <c r="AP59" s="59">
        <v>22380</v>
      </c>
      <c r="AQ59" s="54"/>
      <c r="AR59" s="53">
        <v>3531150</v>
      </c>
      <c r="AS59" s="54"/>
      <c r="AT59" s="58">
        <v>16751299</v>
      </c>
      <c r="AU59" s="50"/>
      <c r="AV59" s="60">
        <v>20.62</v>
      </c>
      <c r="AW59" s="50" t="s">
        <v>19</v>
      </c>
      <c r="AX59" s="50" t="s">
        <v>359</v>
      </c>
    </row>
    <row r="60" spans="1:50">
      <c r="A60" s="50" t="s">
        <v>471</v>
      </c>
      <c r="B60" s="50" t="s">
        <v>472</v>
      </c>
      <c r="C60" s="50" t="s">
        <v>473</v>
      </c>
      <c r="D60" s="51">
        <v>4159</v>
      </c>
      <c r="E60" s="52">
        <v>40159</v>
      </c>
      <c r="F60" s="50" t="s">
        <v>370</v>
      </c>
      <c r="G60" s="50" t="s">
        <v>356</v>
      </c>
      <c r="H60" s="53">
        <v>969587</v>
      </c>
      <c r="I60" s="54">
        <v>46</v>
      </c>
      <c r="J60" s="50" t="s">
        <v>366</v>
      </c>
      <c r="K60" s="50" t="s">
        <v>365</v>
      </c>
      <c r="L60" s="55">
        <v>8</v>
      </c>
      <c r="M60" s="50"/>
      <c r="N60" s="56">
        <v>2</v>
      </c>
      <c r="O60" s="54"/>
      <c r="P60" s="57">
        <v>27.200099999999999</v>
      </c>
      <c r="Q60" s="54"/>
      <c r="R60" s="57">
        <v>15.894600000000001</v>
      </c>
      <c r="S60" s="54"/>
      <c r="T60" s="57">
        <v>31.578299999999999</v>
      </c>
      <c r="U60" s="54"/>
      <c r="V60" s="53">
        <v>185032</v>
      </c>
      <c r="W60" s="54"/>
      <c r="X60" s="58">
        <v>208873</v>
      </c>
      <c r="Y60" s="54"/>
      <c r="Z60" s="53">
        <v>184417</v>
      </c>
      <c r="AA60" s="54"/>
      <c r="AB60" s="53">
        <v>24456</v>
      </c>
      <c r="AC60" s="54"/>
      <c r="AD60" s="53">
        <v>9329</v>
      </c>
      <c r="AE60" s="54"/>
      <c r="AF60" s="53">
        <v>6780</v>
      </c>
      <c r="AG60" s="54"/>
      <c r="AH60" s="53">
        <v>2549</v>
      </c>
      <c r="AI60" s="54"/>
      <c r="AJ60" s="53">
        <v>80763</v>
      </c>
      <c r="AK60" s="54"/>
      <c r="AL60" s="53">
        <v>75873</v>
      </c>
      <c r="AM60" s="54"/>
      <c r="AN60" s="53">
        <v>3127</v>
      </c>
      <c r="AO60" s="54"/>
      <c r="AP60" s="59">
        <v>2616</v>
      </c>
      <c r="AQ60" s="54"/>
      <c r="AR60" s="53">
        <v>214101</v>
      </c>
      <c r="AS60" s="54"/>
      <c r="AT60" s="58">
        <v>3403059</v>
      </c>
      <c r="AU60" s="50"/>
      <c r="AV60" s="60">
        <v>62.8</v>
      </c>
      <c r="AW60" s="50" t="s">
        <v>19</v>
      </c>
      <c r="AX60" s="50" t="s">
        <v>359</v>
      </c>
    </row>
    <row r="61" spans="1:50">
      <c r="A61" s="50" t="s">
        <v>474</v>
      </c>
      <c r="B61" s="50" t="s">
        <v>475</v>
      </c>
      <c r="C61" s="50" t="s">
        <v>354</v>
      </c>
      <c r="D61" s="51">
        <v>2099</v>
      </c>
      <c r="E61" s="52">
        <v>20099</v>
      </c>
      <c r="F61" s="50" t="s">
        <v>355</v>
      </c>
      <c r="G61" s="50" t="s">
        <v>356</v>
      </c>
      <c r="H61" s="53">
        <v>18351295</v>
      </c>
      <c r="I61" s="54">
        <v>44</v>
      </c>
      <c r="J61" s="50" t="s">
        <v>357</v>
      </c>
      <c r="K61" s="50" t="s">
        <v>358</v>
      </c>
      <c r="L61" s="55">
        <v>44</v>
      </c>
      <c r="M61" s="50"/>
      <c r="N61" s="56">
        <v>11</v>
      </c>
      <c r="O61" s="54"/>
      <c r="P61" s="57">
        <v>14.9787</v>
      </c>
      <c r="Q61" s="54"/>
      <c r="R61" s="57">
        <v>6.2369000000000003</v>
      </c>
      <c r="S61" s="54"/>
      <c r="T61" s="57">
        <v>20.2651</v>
      </c>
      <c r="U61" s="54"/>
      <c r="V61" s="53">
        <v>2119585</v>
      </c>
      <c r="W61" s="54"/>
      <c r="X61" s="58">
        <v>2255067</v>
      </c>
      <c r="Y61" s="54"/>
      <c r="Z61" s="53">
        <v>2005981</v>
      </c>
      <c r="AA61" s="54"/>
      <c r="AB61" s="53">
        <v>249086</v>
      </c>
      <c r="AC61" s="54"/>
      <c r="AD61" s="53">
        <v>144198</v>
      </c>
      <c r="AE61" s="54"/>
      <c r="AF61" s="53">
        <v>133922</v>
      </c>
      <c r="AG61" s="54"/>
      <c r="AH61" s="53">
        <v>10276</v>
      </c>
      <c r="AI61" s="54"/>
      <c r="AJ61" s="53">
        <v>563767</v>
      </c>
      <c r="AK61" s="54"/>
      <c r="AL61" s="53">
        <v>501496</v>
      </c>
      <c r="AM61" s="54"/>
      <c r="AN61" s="53">
        <v>36049</v>
      </c>
      <c r="AO61" s="54"/>
      <c r="AP61" s="59">
        <v>33480</v>
      </c>
      <c r="AQ61" s="54"/>
      <c r="AR61" s="53">
        <v>2713941</v>
      </c>
      <c r="AS61" s="54"/>
      <c r="AT61" s="58">
        <v>16926538</v>
      </c>
      <c r="AU61" s="50"/>
      <c r="AV61" s="60">
        <v>28.6</v>
      </c>
      <c r="AW61" s="50" t="s">
        <v>19</v>
      </c>
      <c r="AX61" s="50" t="s">
        <v>359</v>
      </c>
    </row>
    <row r="62" spans="1:50">
      <c r="A62" s="50" t="s">
        <v>476</v>
      </c>
      <c r="B62" s="50" t="s">
        <v>477</v>
      </c>
      <c r="C62" s="50" t="s">
        <v>478</v>
      </c>
      <c r="D62" s="51">
        <v>1102</v>
      </c>
      <c r="E62" s="52">
        <v>10102</v>
      </c>
      <c r="F62" s="50" t="s">
        <v>392</v>
      </c>
      <c r="G62" s="50" t="s">
        <v>356</v>
      </c>
      <c r="H62" s="53">
        <v>924859</v>
      </c>
      <c r="I62" s="54">
        <v>43</v>
      </c>
      <c r="J62" s="50" t="s">
        <v>366</v>
      </c>
      <c r="K62" s="50" t="s">
        <v>365</v>
      </c>
      <c r="L62" s="55">
        <v>28</v>
      </c>
      <c r="M62" s="50"/>
      <c r="N62" s="56">
        <v>5</v>
      </c>
      <c r="O62" s="54"/>
      <c r="P62" s="57">
        <v>41.5304</v>
      </c>
      <c r="Q62" s="54"/>
      <c r="R62" s="57">
        <v>26.974699999999999</v>
      </c>
      <c r="S62" s="54"/>
      <c r="T62" s="57">
        <v>14.137</v>
      </c>
      <c r="U62" s="54"/>
      <c r="V62" s="53">
        <v>1532134</v>
      </c>
      <c r="W62" s="54"/>
      <c r="X62" s="58">
        <v>1717047</v>
      </c>
      <c r="Y62" s="54"/>
      <c r="Z62" s="53">
        <v>1403229</v>
      </c>
      <c r="AA62" s="54"/>
      <c r="AB62" s="53">
        <v>313818</v>
      </c>
      <c r="AC62" s="54"/>
      <c r="AD62" s="53">
        <v>40817</v>
      </c>
      <c r="AE62" s="54"/>
      <c r="AF62" s="53">
        <v>33788</v>
      </c>
      <c r="AG62" s="54"/>
      <c r="AH62" s="53">
        <v>7029</v>
      </c>
      <c r="AI62" s="54"/>
      <c r="AJ62" s="53">
        <v>501997</v>
      </c>
      <c r="AK62" s="54"/>
      <c r="AL62" s="53">
        <v>418641</v>
      </c>
      <c r="AM62" s="54"/>
      <c r="AN62" s="53">
        <v>11906</v>
      </c>
      <c r="AO62" s="54"/>
      <c r="AP62" s="59">
        <v>9943</v>
      </c>
      <c r="AQ62" s="54"/>
      <c r="AR62" s="53">
        <v>477660</v>
      </c>
      <c r="AS62" s="54"/>
      <c r="AT62" s="58">
        <v>12884750</v>
      </c>
      <c r="AU62" s="50"/>
      <c r="AV62" s="60">
        <v>101.2</v>
      </c>
      <c r="AW62" s="50" t="s">
        <v>19</v>
      </c>
      <c r="AX62" s="50" t="s">
        <v>359</v>
      </c>
    </row>
    <row r="63" spans="1:50">
      <c r="A63" s="50" t="s">
        <v>479</v>
      </c>
      <c r="B63" s="50" t="s">
        <v>480</v>
      </c>
      <c r="C63" s="50" t="s">
        <v>481</v>
      </c>
      <c r="D63" s="51">
        <v>9209</v>
      </c>
      <c r="E63" s="52">
        <v>90209</v>
      </c>
      <c r="F63" s="50" t="s">
        <v>363</v>
      </c>
      <c r="G63" s="50" t="s">
        <v>356</v>
      </c>
      <c r="H63" s="53">
        <v>3629114</v>
      </c>
      <c r="I63" s="54">
        <v>38</v>
      </c>
      <c r="J63" s="50" t="s">
        <v>364</v>
      </c>
      <c r="K63" s="50" t="s">
        <v>365</v>
      </c>
      <c r="L63" s="55">
        <v>38</v>
      </c>
      <c r="M63" s="50"/>
      <c r="N63" s="56">
        <v>17</v>
      </c>
      <c r="O63" s="54"/>
      <c r="P63" s="57">
        <v>15.732699999999999</v>
      </c>
      <c r="Q63" s="54"/>
      <c r="R63" s="57">
        <v>7.0598999999999998</v>
      </c>
      <c r="S63" s="54"/>
      <c r="T63" s="57">
        <v>59.326099999999997</v>
      </c>
      <c r="U63" s="54"/>
      <c r="V63" s="53">
        <v>3379368</v>
      </c>
      <c r="W63" s="54"/>
      <c r="X63" s="58">
        <v>3435184</v>
      </c>
      <c r="Y63" s="54"/>
      <c r="Z63" s="53">
        <v>3401452</v>
      </c>
      <c r="AA63" s="54"/>
      <c r="AB63" s="53">
        <v>33732</v>
      </c>
      <c r="AC63" s="54"/>
      <c r="AD63" s="53">
        <v>220467</v>
      </c>
      <c r="AE63" s="54"/>
      <c r="AF63" s="53">
        <v>216203</v>
      </c>
      <c r="AG63" s="54"/>
      <c r="AH63" s="53">
        <v>4264</v>
      </c>
      <c r="AI63" s="54"/>
      <c r="AJ63" s="53">
        <v>1639416</v>
      </c>
      <c r="AK63" s="54"/>
      <c r="AL63" s="53">
        <v>1623906</v>
      </c>
      <c r="AM63" s="54"/>
      <c r="AN63" s="53">
        <v>105253</v>
      </c>
      <c r="AO63" s="54"/>
      <c r="AP63" s="59">
        <v>103186</v>
      </c>
      <c r="AQ63" s="54"/>
      <c r="AR63" s="53">
        <v>12826471</v>
      </c>
      <c r="AS63" s="54"/>
      <c r="AT63" s="58">
        <v>90553779</v>
      </c>
      <c r="AU63" s="50"/>
      <c r="AV63" s="60">
        <v>54.48</v>
      </c>
      <c r="AW63" s="50" t="s">
        <v>19</v>
      </c>
      <c r="AX63" s="50" t="s">
        <v>359</v>
      </c>
    </row>
    <row r="64" spans="1:50">
      <c r="A64" s="50" t="s">
        <v>482</v>
      </c>
      <c r="B64" s="50" t="s">
        <v>483</v>
      </c>
      <c r="C64" s="50" t="s">
        <v>369</v>
      </c>
      <c r="D64" s="51">
        <v>9182</v>
      </c>
      <c r="E64" s="52">
        <v>90182</v>
      </c>
      <c r="F64" s="50" t="s">
        <v>370</v>
      </c>
      <c r="G64" s="50" t="s">
        <v>356</v>
      </c>
      <c r="H64" s="53">
        <v>370583</v>
      </c>
      <c r="I64" s="54">
        <v>35</v>
      </c>
      <c r="J64" s="50" t="s">
        <v>366</v>
      </c>
      <c r="K64" s="50" t="s">
        <v>365</v>
      </c>
      <c r="L64" s="55">
        <v>35</v>
      </c>
      <c r="M64" s="50"/>
      <c r="N64" s="56">
        <v>7</v>
      </c>
      <c r="O64" s="54"/>
      <c r="P64" s="57">
        <v>39.364699999999999</v>
      </c>
      <c r="Q64" s="54"/>
      <c r="R64" s="57">
        <v>43.7104</v>
      </c>
      <c r="S64" s="54"/>
      <c r="T64" s="57">
        <v>41.436999999999998</v>
      </c>
      <c r="U64" s="54"/>
      <c r="V64" s="53">
        <v>1050950</v>
      </c>
      <c r="W64" s="54"/>
      <c r="X64" s="58">
        <v>1050950</v>
      </c>
      <c r="Y64" s="54"/>
      <c r="Z64" s="53">
        <v>1008877</v>
      </c>
      <c r="AA64" s="54"/>
      <c r="AB64" s="53">
        <v>42073</v>
      </c>
      <c r="AC64" s="54"/>
      <c r="AD64" s="53">
        <v>31545</v>
      </c>
      <c r="AE64" s="54"/>
      <c r="AF64" s="53">
        <v>25629</v>
      </c>
      <c r="AG64" s="54"/>
      <c r="AH64" s="53">
        <v>5916</v>
      </c>
      <c r="AI64" s="54"/>
      <c r="AJ64" s="53">
        <v>168072</v>
      </c>
      <c r="AK64" s="54"/>
      <c r="AL64" s="53">
        <v>158131</v>
      </c>
      <c r="AM64" s="54"/>
      <c r="AN64" s="53">
        <v>4801</v>
      </c>
      <c r="AO64" s="54"/>
      <c r="AP64" s="59">
        <v>4126</v>
      </c>
      <c r="AQ64" s="54"/>
      <c r="AR64" s="53">
        <v>1061990</v>
      </c>
      <c r="AS64" s="54"/>
      <c r="AT64" s="58">
        <v>46419957</v>
      </c>
      <c r="AU64" s="50"/>
      <c r="AV64" s="60">
        <v>172</v>
      </c>
      <c r="AW64" s="50" t="s">
        <v>19</v>
      </c>
      <c r="AX64" s="50" t="s">
        <v>359</v>
      </c>
    </row>
    <row r="65" spans="1:50">
      <c r="A65" s="50" t="s">
        <v>484</v>
      </c>
      <c r="B65" s="50" t="s">
        <v>485</v>
      </c>
      <c r="C65" s="50" t="s">
        <v>395</v>
      </c>
      <c r="D65" s="51">
        <v>4232</v>
      </c>
      <c r="E65" s="52">
        <v>40232</v>
      </c>
      <c r="F65" s="50" t="s">
        <v>392</v>
      </c>
      <c r="G65" s="50" t="s">
        <v>356</v>
      </c>
      <c r="H65" s="53">
        <v>1510516</v>
      </c>
      <c r="I65" s="54">
        <v>25</v>
      </c>
      <c r="J65" s="50" t="s">
        <v>366</v>
      </c>
      <c r="K65" s="50" t="s">
        <v>365</v>
      </c>
      <c r="L65" s="55">
        <v>25</v>
      </c>
      <c r="M65" s="50"/>
      <c r="N65" s="56">
        <v>7</v>
      </c>
      <c r="O65" s="54"/>
      <c r="P65" s="57">
        <v>27.875299999999999</v>
      </c>
      <c r="Q65" s="54"/>
      <c r="R65" s="57">
        <v>16.655999999999999</v>
      </c>
      <c r="S65" s="54"/>
      <c r="T65" s="57">
        <v>36.110199999999999</v>
      </c>
      <c r="U65" s="54"/>
      <c r="V65" s="53">
        <v>961119</v>
      </c>
      <c r="W65" s="54"/>
      <c r="X65" s="58">
        <v>987220</v>
      </c>
      <c r="Y65" s="54"/>
      <c r="Z65" s="53">
        <v>959969</v>
      </c>
      <c r="AA65" s="54"/>
      <c r="AB65" s="53">
        <v>27251</v>
      </c>
      <c r="AC65" s="54"/>
      <c r="AD65" s="53">
        <v>35457</v>
      </c>
      <c r="AE65" s="54"/>
      <c r="AF65" s="53">
        <v>34438</v>
      </c>
      <c r="AG65" s="54"/>
      <c r="AH65" s="53">
        <v>1019</v>
      </c>
      <c r="AI65" s="54"/>
      <c r="AJ65" s="53">
        <v>486222</v>
      </c>
      <c r="AK65" s="54"/>
      <c r="AL65" s="53">
        <v>472840</v>
      </c>
      <c r="AM65" s="54"/>
      <c r="AN65" s="53">
        <v>17449</v>
      </c>
      <c r="AO65" s="54"/>
      <c r="AP65" s="59">
        <v>16961</v>
      </c>
      <c r="AQ65" s="54"/>
      <c r="AR65" s="53">
        <v>1243563</v>
      </c>
      <c r="AS65" s="54"/>
      <c r="AT65" s="58">
        <v>20712830</v>
      </c>
      <c r="AU65" s="50"/>
      <c r="AV65" s="60">
        <v>97.94</v>
      </c>
      <c r="AW65" s="50" t="s">
        <v>19</v>
      </c>
      <c r="AX65" s="50" t="s">
        <v>359</v>
      </c>
    </row>
    <row r="66" spans="1:50">
      <c r="A66" s="50" t="s">
        <v>486</v>
      </c>
      <c r="B66" s="50" t="s">
        <v>413</v>
      </c>
      <c r="C66" s="50" t="s">
        <v>487</v>
      </c>
      <c r="D66" s="51">
        <v>1115</v>
      </c>
      <c r="E66" s="52">
        <v>10115</v>
      </c>
      <c r="F66" s="50" t="s">
        <v>370</v>
      </c>
      <c r="G66" s="50" t="s">
        <v>356</v>
      </c>
      <c r="H66" s="53">
        <v>203914</v>
      </c>
      <c r="I66" s="54">
        <v>21</v>
      </c>
      <c r="J66" s="50" t="s">
        <v>366</v>
      </c>
      <c r="K66" s="50" t="s">
        <v>365</v>
      </c>
      <c r="L66" s="55">
        <v>21</v>
      </c>
      <c r="M66" s="50"/>
      <c r="N66" s="56">
        <v>3</v>
      </c>
      <c r="O66" s="54"/>
      <c r="P66" s="57">
        <v>31.0428</v>
      </c>
      <c r="Q66" s="54"/>
      <c r="R66" s="57">
        <v>80.967200000000005</v>
      </c>
      <c r="S66" s="54"/>
      <c r="T66" s="57">
        <v>6.5294999999999996</v>
      </c>
      <c r="U66" s="54"/>
      <c r="V66" s="53">
        <v>2681492</v>
      </c>
      <c r="W66" s="54"/>
      <c r="X66" s="58">
        <v>1974842</v>
      </c>
      <c r="Y66" s="54"/>
      <c r="Z66" s="53">
        <v>1962156</v>
      </c>
      <c r="AA66" s="54"/>
      <c r="AB66" s="53">
        <v>12686</v>
      </c>
      <c r="AC66" s="54"/>
      <c r="AD66" s="53">
        <v>64602</v>
      </c>
      <c r="AE66" s="54"/>
      <c r="AF66" s="53">
        <v>63208</v>
      </c>
      <c r="AG66" s="54"/>
      <c r="AH66" s="53">
        <v>1394</v>
      </c>
      <c r="AI66" s="54"/>
      <c r="AJ66" s="53">
        <v>394968</v>
      </c>
      <c r="AK66" s="54"/>
      <c r="AL66" s="53">
        <v>392431</v>
      </c>
      <c r="AM66" s="54"/>
      <c r="AN66" s="53">
        <v>12909</v>
      </c>
      <c r="AO66" s="54"/>
      <c r="AP66" s="59">
        <v>12630</v>
      </c>
      <c r="AQ66" s="54"/>
      <c r="AR66" s="53">
        <v>412718</v>
      </c>
      <c r="AS66" s="54"/>
      <c r="AT66" s="58">
        <v>33416609</v>
      </c>
      <c r="AU66" s="50"/>
      <c r="AV66" s="60">
        <v>287.60000000000002</v>
      </c>
      <c r="AW66" s="50" t="s">
        <v>19</v>
      </c>
      <c r="AX66" s="50" t="s">
        <v>359</v>
      </c>
    </row>
    <row r="67" spans="1:50">
      <c r="A67" s="50" t="s">
        <v>488</v>
      </c>
      <c r="B67" s="50" t="s">
        <v>489</v>
      </c>
      <c r="C67" s="50" t="s">
        <v>385</v>
      </c>
      <c r="D67" s="51">
        <v>3057</v>
      </c>
      <c r="E67" s="52">
        <v>30057</v>
      </c>
      <c r="F67" s="50" t="s">
        <v>392</v>
      </c>
      <c r="G67" s="50" t="s">
        <v>356</v>
      </c>
      <c r="H67" s="53">
        <v>5441567</v>
      </c>
      <c r="I67" s="54">
        <v>20</v>
      </c>
      <c r="J67" s="50" t="s">
        <v>366</v>
      </c>
      <c r="K67" s="50" t="s">
        <v>365</v>
      </c>
      <c r="L67" s="55">
        <v>20</v>
      </c>
      <c r="M67" s="50"/>
      <c r="N67" s="56">
        <v>2</v>
      </c>
      <c r="O67" s="54"/>
      <c r="P67" s="57">
        <v>56.726300000000002</v>
      </c>
      <c r="Q67" s="54"/>
      <c r="R67" s="57">
        <v>86.293899999999994</v>
      </c>
      <c r="S67" s="54"/>
      <c r="T67" s="57">
        <v>20.154699999999998</v>
      </c>
      <c r="U67" s="54"/>
      <c r="V67" s="53">
        <v>2195188</v>
      </c>
      <c r="W67" s="54"/>
      <c r="X67" s="58">
        <v>1628329</v>
      </c>
      <c r="Y67" s="54"/>
      <c r="Z67" s="53">
        <v>1628329</v>
      </c>
      <c r="AA67" s="54"/>
      <c r="AB67" s="53">
        <v>0</v>
      </c>
      <c r="AC67" s="54"/>
      <c r="AD67" s="53">
        <v>28705</v>
      </c>
      <c r="AE67" s="54"/>
      <c r="AF67" s="53">
        <v>28705</v>
      </c>
      <c r="AG67" s="54"/>
      <c r="AH67" s="53">
        <v>0</v>
      </c>
      <c r="AI67" s="54"/>
      <c r="AJ67" s="53">
        <v>325666</v>
      </c>
      <c r="AK67" s="54"/>
      <c r="AL67" s="53">
        <v>325666</v>
      </c>
      <c r="AM67" s="54"/>
      <c r="AN67" s="53">
        <v>5741</v>
      </c>
      <c r="AO67" s="54"/>
      <c r="AP67" s="59">
        <v>5741</v>
      </c>
      <c r="AQ67" s="54"/>
      <c r="AR67" s="53">
        <v>578541</v>
      </c>
      <c r="AS67" s="54"/>
      <c r="AT67" s="58">
        <v>49924566</v>
      </c>
      <c r="AU67" s="50"/>
      <c r="AV67" s="60">
        <v>144.4</v>
      </c>
      <c r="AW67" s="50" t="s">
        <v>19</v>
      </c>
      <c r="AX67" s="50" t="s">
        <v>359</v>
      </c>
    </row>
    <row r="68" spans="1:50">
      <c r="A68" s="50" t="s">
        <v>490</v>
      </c>
      <c r="B68" s="50" t="s">
        <v>491</v>
      </c>
      <c r="C68" s="50" t="s">
        <v>369</v>
      </c>
      <c r="D68" s="51"/>
      <c r="E68" s="52">
        <v>90299</v>
      </c>
      <c r="F68" s="50" t="s">
        <v>370</v>
      </c>
      <c r="G68" s="50" t="s">
        <v>356</v>
      </c>
      <c r="H68" s="53">
        <v>308231</v>
      </c>
      <c r="I68" s="54">
        <v>12</v>
      </c>
      <c r="J68" s="50" t="s">
        <v>366</v>
      </c>
      <c r="K68" s="50" t="s">
        <v>358</v>
      </c>
      <c r="L68" s="55">
        <v>12</v>
      </c>
      <c r="M68" s="50"/>
      <c r="N68" s="56">
        <v>4</v>
      </c>
      <c r="O68" s="54"/>
      <c r="P68" s="57">
        <v>28.331499999999998</v>
      </c>
      <c r="Q68" s="54"/>
      <c r="R68" s="57">
        <v>23.8338</v>
      </c>
      <c r="S68" s="54"/>
      <c r="T68" s="57">
        <v>19.559999999999999</v>
      </c>
      <c r="U68" s="54"/>
      <c r="V68" s="53">
        <v>857003</v>
      </c>
      <c r="W68" s="54"/>
      <c r="X68" s="58">
        <v>833350</v>
      </c>
      <c r="Y68" s="54"/>
      <c r="Z68" s="53">
        <v>821415</v>
      </c>
      <c r="AA68" s="54"/>
      <c r="AB68" s="53">
        <v>11935</v>
      </c>
      <c r="AC68" s="54"/>
      <c r="AD68" s="53">
        <v>30370</v>
      </c>
      <c r="AE68" s="54"/>
      <c r="AF68" s="53">
        <v>28993</v>
      </c>
      <c r="AG68" s="54"/>
      <c r="AH68" s="53">
        <v>1377</v>
      </c>
      <c r="AI68" s="54"/>
      <c r="AJ68" s="53">
        <v>389580</v>
      </c>
      <c r="AK68" s="54"/>
      <c r="AL68" s="53">
        <v>384000</v>
      </c>
      <c r="AM68" s="54"/>
      <c r="AN68" s="53">
        <v>14198</v>
      </c>
      <c r="AO68" s="54"/>
      <c r="AP68" s="59">
        <v>13554</v>
      </c>
      <c r="AQ68" s="54"/>
      <c r="AR68" s="53">
        <v>567103</v>
      </c>
      <c r="AS68" s="54"/>
      <c r="AT68" s="58">
        <v>13516234</v>
      </c>
      <c r="AU68" s="50"/>
      <c r="AV68" s="60">
        <v>90.1</v>
      </c>
      <c r="AW68" s="50" t="s">
        <v>19</v>
      </c>
      <c r="AX68" s="50" t="s">
        <v>359</v>
      </c>
    </row>
    <row r="71" spans="1:50">
      <c r="N71" s="61">
        <f>SUM(N2:N68)</f>
        <v>2748</v>
      </c>
    </row>
  </sheetData>
  <autoFilter ref="A1:AX1" xr:uid="{50A8C45A-5858-4D09-AFE0-B39F437E1794}"/>
  <conditionalFormatting sqref="A2:AX68">
    <cfRule type="expression" dxfId="3" priority="1">
      <formula>MOD(ROW(),2)=0</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78257-BDA3-4C97-868B-F50E891953D1}">
  <dimension ref="A1:BG70"/>
  <sheetViews>
    <sheetView workbookViewId="0"/>
  </sheetViews>
  <sheetFormatPr defaultRowHeight="15"/>
  <cols>
    <col min="12" max="12" width="11.28515625" customWidth="1"/>
    <col min="13" max="13" width="11.140625" bestFit="1" customWidth="1"/>
    <col min="14" max="14" width="11.7109375" customWidth="1"/>
    <col min="25" max="25" width="12.7109375" customWidth="1"/>
    <col min="29" max="29" width="11.140625" customWidth="1"/>
    <col min="40" max="40" width="11.140625" customWidth="1"/>
  </cols>
  <sheetData>
    <row r="1" spans="1:59" ht="90.75">
      <c r="A1" s="63" t="s">
        <v>302</v>
      </c>
      <c r="B1" s="63" t="s">
        <v>303</v>
      </c>
      <c r="C1" s="64" t="s">
        <v>304</v>
      </c>
      <c r="D1" s="65" t="s">
        <v>305</v>
      </c>
      <c r="E1" s="66" t="s">
        <v>306</v>
      </c>
      <c r="F1" s="67" t="s">
        <v>307</v>
      </c>
      <c r="G1" s="68" t="s">
        <v>309</v>
      </c>
      <c r="H1" s="68" t="s">
        <v>310</v>
      </c>
      <c r="I1" s="67" t="s">
        <v>311</v>
      </c>
      <c r="J1" s="67" t="s">
        <v>492</v>
      </c>
      <c r="K1" s="67" t="s">
        <v>313</v>
      </c>
      <c r="L1" s="67" t="s">
        <v>493</v>
      </c>
      <c r="M1" s="68" t="s">
        <v>494</v>
      </c>
      <c r="N1" s="68" t="s">
        <v>495</v>
      </c>
      <c r="O1" s="68" t="s">
        <v>496</v>
      </c>
      <c r="P1" s="68" t="s">
        <v>497</v>
      </c>
      <c r="Q1" s="68" t="s">
        <v>498</v>
      </c>
      <c r="R1" s="68" t="s">
        <v>499</v>
      </c>
      <c r="S1" s="68" t="s">
        <v>500</v>
      </c>
      <c r="T1" s="68" t="s">
        <v>501</v>
      </c>
      <c r="U1" s="68" t="s">
        <v>502</v>
      </c>
      <c r="V1" s="68" t="s">
        <v>503</v>
      </c>
      <c r="W1" s="68" t="s">
        <v>504</v>
      </c>
      <c r="X1" s="68" t="s">
        <v>505</v>
      </c>
      <c r="Y1" s="68" t="s">
        <v>506</v>
      </c>
      <c r="Z1" s="68" t="s">
        <v>507</v>
      </c>
      <c r="AA1" s="68" t="s">
        <v>508</v>
      </c>
      <c r="AB1" s="68" t="s">
        <v>509</v>
      </c>
      <c r="AC1" s="69" t="s">
        <v>510</v>
      </c>
      <c r="AD1" s="70" t="s">
        <v>168</v>
      </c>
      <c r="AE1" s="70" t="s">
        <v>511</v>
      </c>
      <c r="AF1" s="70" t="s">
        <v>171</v>
      </c>
      <c r="AG1" s="70" t="s">
        <v>512</v>
      </c>
      <c r="AH1" s="70" t="s">
        <v>513</v>
      </c>
      <c r="AI1" s="70" t="s">
        <v>514</v>
      </c>
      <c r="AJ1" s="70" t="s">
        <v>157</v>
      </c>
      <c r="AK1" s="70" t="s">
        <v>515</v>
      </c>
      <c r="AL1" s="70" t="s">
        <v>516</v>
      </c>
      <c r="AM1" s="70" t="s">
        <v>517</v>
      </c>
      <c r="AN1" s="70" t="s">
        <v>518</v>
      </c>
      <c r="AO1" s="70" t="s">
        <v>519</v>
      </c>
      <c r="AP1" s="70" t="s">
        <v>520</v>
      </c>
      <c r="AQ1" s="70" t="s">
        <v>521</v>
      </c>
      <c r="AR1" s="71" t="s">
        <v>522</v>
      </c>
      <c r="AS1" s="72" t="s">
        <v>523</v>
      </c>
      <c r="AT1" s="72" t="s">
        <v>524</v>
      </c>
      <c r="AU1" s="72" t="s">
        <v>525</v>
      </c>
      <c r="AV1" s="72" t="s">
        <v>526</v>
      </c>
      <c r="AW1" s="72" t="s">
        <v>527</v>
      </c>
      <c r="AX1" s="72" t="s">
        <v>528</v>
      </c>
      <c r="AY1" s="72" t="s">
        <v>529</v>
      </c>
      <c r="AZ1" s="72" t="s">
        <v>530</v>
      </c>
      <c r="BA1" s="72" t="s">
        <v>531</v>
      </c>
      <c r="BB1" s="72" t="s">
        <v>532</v>
      </c>
      <c r="BC1" s="72" t="s">
        <v>533</v>
      </c>
      <c r="BD1" s="72" t="s">
        <v>534</v>
      </c>
      <c r="BE1" s="72" t="s">
        <v>535</v>
      </c>
      <c r="BF1" s="72" t="s">
        <v>536</v>
      </c>
      <c r="BG1" s="67" t="s">
        <v>537</v>
      </c>
    </row>
    <row r="2" spans="1:59">
      <c r="A2" s="73" t="s">
        <v>352</v>
      </c>
      <c r="B2" s="73" t="s">
        <v>353</v>
      </c>
      <c r="C2" s="74" t="s">
        <v>354</v>
      </c>
      <c r="D2" s="75">
        <v>2008</v>
      </c>
      <c r="E2" s="76">
        <v>20008</v>
      </c>
      <c r="F2" s="74" t="s">
        <v>355</v>
      </c>
      <c r="G2" s="77">
        <v>18351295</v>
      </c>
      <c r="H2" s="78">
        <v>10427</v>
      </c>
      <c r="I2" s="74" t="s">
        <v>357</v>
      </c>
      <c r="J2" s="79" t="s">
        <v>358</v>
      </c>
      <c r="K2" s="79">
        <v>5413</v>
      </c>
      <c r="L2" s="80"/>
      <c r="M2" s="81">
        <v>0</v>
      </c>
      <c r="N2" s="81"/>
      <c r="O2" s="81">
        <v>0</v>
      </c>
      <c r="P2" s="81"/>
      <c r="Q2" s="81">
        <v>0</v>
      </c>
      <c r="R2" s="81"/>
      <c r="S2" s="81">
        <v>0</v>
      </c>
      <c r="T2" s="81"/>
      <c r="U2" s="81">
        <v>0</v>
      </c>
      <c r="V2" s="81"/>
      <c r="W2" s="81">
        <v>0</v>
      </c>
      <c r="X2" s="81"/>
      <c r="Y2" s="81">
        <v>1596235000</v>
      </c>
      <c r="Z2" s="81"/>
      <c r="AA2" s="78">
        <v>0</v>
      </c>
      <c r="AB2" s="82"/>
      <c r="AC2" s="83"/>
      <c r="AD2" s="82">
        <v>0</v>
      </c>
      <c r="AE2" s="82"/>
      <c r="AF2" s="82">
        <v>0</v>
      </c>
      <c r="AG2" s="82"/>
      <c r="AH2" s="82">
        <v>0</v>
      </c>
      <c r="AI2" s="82"/>
      <c r="AJ2" s="82">
        <v>0</v>
      </c>
      <c r="AK2" s="82"/>
      <c r="AL2" s="82">
        <v>0</v>
      </c>
      <c r="AM2" s="82"/>
      <c r="AN2" s="82">
        <v>335497633</v>
      </c>
      <c r="AO2" s="82"/>
      <c r="AP2" s="82">
        <v>0</v>
      </c>
      <c r="AQ2" s="73"/>
      <c r="AR2" s="84"/>
      <c r="AS2" s="85"/>
      <c r="AT2" s="85"/>
      <c r="AU2" s="85"/>
      <c r="AV2" s="85"/>
      <c r="AW2" s="85"/>
      <c r="AX2" s="85"/>
      <c r="AY2" s="85"/>
      <c r="AZ2" s="85"/>
      <c r="BA2" s="85"/>
      <c r="BB2" s="85"/>
      <c r="BC2" s="85">
        <v>0.2102</v>
      </c>
      <c r="BD2" s="85"/>
      <c r="BE2" s="85"/>
      <c r="BF2" s="73"/>
      <c r="BG2" s="73" t="s">
        <v>359</v>
      </c>
    </row>
    <row r="3" spans="1:59">
      <c r="A3" s="73" t="s">
        <v>360</v>
      </c>
      <c r="B3" s="73" t="s">
        <v>361</v>
      </c>
      <c r="C3" s="74" t="s">
        <v>362</v>
      </c>
      <c r="D3" s="75">
        <v>2080</v>
      </c>
      <c r="E3" s="76">
        <v>20080</v>
      </c>
      <c r="F3" s="74" t="s">
        <v>363</v>
      </c>
      <c r="G3" s="77">
        <v>18351295</v>
      </c>
      <c r="H3" s="78">
        <v>3646</v>
      </c>
      <c r="I3" s="74" t="s">
        <v>366</v>
      </c>
      <c r="J3" s="79" t="s">
        <v>358</v>
      </c>
      <c r="K3" s="79">
        <v>904</v>
      </c>
      <c r="L3" s="80"/>
      <c r="M3" s="81">
        <v>13166567</v>
      </c>
      <c r="N3" s="81"/>
      <c r="O3" s="81">
        <v>0</v>
      </c>
      <c r="P3" s="81"/>
      <c r="Q3" s="81">
        <v>0</v>
      </c>
      <c r="R3" s="81"/>
      <c r="S3" s="81">
        <v>0</v>
      </c>
      <c r="T3" s="81"/>
      <c r="U3" s="81">
        <v>0</v>
      </c>
      <c r="V3" s="81"/>
      <c r="W3" s="81">
        <v>0</v>
      </c>
      <c r="X3" s="81"/>
      <c r="Y3" s="81">
        <v>359673989</v>
      </c>
      <c r="Z3" s="81"/>
      <c r="AA3" s="78">
        <v>0</v>
      </c>
      <c r="AB3" s="82"/>
      <c r="AC3" s="83"/>
      <c r="AD3" s="82">
        <v>2485889</v>
      </c>
      <c r="AE3" s="82"/>
      <c r="AF3" s="82">
        <v>0</v>
      </c>
      <c r="AG3" s="82"/>
      <c r="AH3" s="82">
        <v>0</v>
      </c>
      <c r="AI3" s="82"/>
      <c r="AJ3" s="82">
        <v>0</v>
      </c>
      <c r="AK3" s="82"/>
      <c r="AL3" s="82">
        <v>1663636</v>
      </c>
      <c r="AM3" s="82"/>
      <c r="AN3" s="82">
        <v>8381067</v>
      </c>
      <c r="AO3" s="82"/>
      <c r="AP3" s="82">
        <v>0</v>
      </c>
      <c r="AQ3" s="73"/>
      <c r="AR3" s="84"/>
      <c r="AS3" s="85">
        <v>0.1888</v>
      </c>
      <c r="AT3" s="85"/>
      <c r="AU3" s="85"/>
      <c r="AV3" s="85"/>
      <c r="AW3" s="85"/>
      <c r="AX3" s="85"/>
      <c r="AY3" s="85"/>
      <c r="AZ3" s="85"/>
      <c r="BA3" s="85"/>
      <c r="BB3" s="85"/>
      <c r="BC3" s="85">
        <v>2.3300000000000001E-2</v>
      </c>
      <c r="BD3" s="85"/>
      <c r="BE3" s="85"/>
      <c r="BF3" s="73"/>
      <c r="BG3" s="73" t="s">
        <v>359</v>
      </c>
    </row>
    <row r="4" spans="1:59">
      <c r="A4" s="73" t="s">
        <v>360</v>
      </c>
      <c r="B4" s="73" t="s">
        <v>361</v>
      </c>
      <c r="C4" s="74" t="s">
        <v>362</v>
      </c>
      <c r="D4" s="75">
        <v>2080</v>
      </c>
      <c r="E4" s="76">
        <v>20080</v>
      </c>
      <c r="F4" s="74" t="s">
        <v>363</v>
      </c>
      <c r="G4" s="77">
        <v>18351295</v>
      </c>
      <c r="H4" s="78">
        <v>3646</v>
      </c>
      <c r="I4" s="74" t="s">
        <v>364</v>
      </c>
      <c r="J4" s="79" t="s">
        <v>365</v>
      </c>
      <c r="K4" s="79">
        <v>42</v>
      </c>
      <c r="L4" s="80"/>
      <c r="M4" s="81">
        <v>0</v>
      </c>
      <c r="N4" s="81"/>
      <c r="O4" s="81">
        <v>0</v>
      </c>
      <c r="P4" s="81"/>
      <c r="Q4" s="81">
        <v>0</v>
      </c>
      <c r="R4" s="81"/>
      <c r="S4" s="81">
        <v>0</v>
      </c>
      <c r="T4" s="81"/>
      <c r="U4" s="81">
        <v>0</v>
      </c>
      <c r="V4" s="81"/>
      <c r="W4" s="81">
        <v>0</v>
      </c>
      <c r="X4" s="81"/>
      <c r="Y4" s="81">
        <v>27163871</v>
      </c>
      <c r="Z4" s="81"/>
      <c r="AA4" s="78">
        <v>0</v>
      </c>
      <c r="AB4" s="82"/>
      <c r="AC4" s="83"/>
      <c r="AD4" s="82">
        <v>0</v>
      </c>
      <c r="AE4" s="82"/>
      <c r="AF4" s="82">
        <v>0</v>
      </c>
      <c r="AG4" s="82"/>
      <c r="AH4" s="82">
        <v>0</v>
      </c>
      <c r="AI4" s="82"/>
      <c r="AJ4" s="82">
        <v>0</v>
      </c>
      <c r="AK4" s="82"/>
      <c r="AL4" s="82">
        <v>0</v>
      </c>
      <c r="AM4" s="82"/>
      <c r="AN4" s="82">
        <v>2073346</v>
      </c>
      <c r="AO4" s="82"/>
      <c r="AP4" s="82">
        <v>0</v>
      </c>
      <c r="AQ4" s="73"/>
      <c r="AR4" s="84"/>
      <c r="AS4" s="85"/>
      <c r="AT4" s="85"/>
      <c r="AU4" s="85"/>
      <c r="AV4" s="85"/>
      <c r="AW4" s="85"/>
      <c r="AX4" s="85"/>
      <c r="AY4" s="85"/>
      <c r="AZ4" s="85"/>
      <c r="BA4" s="85"/>
      <c r="BB4" s="85"/>
      <c r="BC4" s="85">
        <v>7.6300000000000007E-2</v>
      </c>
      <c r="BD4" s="85"/>
      <c r="BE4" s="85"/>
      <c r="BF4" s="73"/>
      <c r="BG4" s="73" t="s">
        <v>359</v>
      </c>
    </row>
    <row r="5" spans="1:59">
      <c r="A5" s="73" t="s">
        <v>360</v>
      </c>
      <c r="B5" s="73" t="s">
        <v>361</v>
      </c>
      <c r="C5" s="74" t="s">
        <v>362</v>
      </c>
      <c r="D5" s="75">
        <v>2080</v>
      </c>
      <c r="E5" s="76">
        <v>20080</v>
      </c>
      <c r="F5" s="74" t="s">
        <v>363</v>
      </c>
      <c r="G5" s="77">
        <v>18351295</v>
      </c>
      <c r="H5" s="78">
        <v>3646</v>
      </c>
      <c r="I5" s="74" t="s">
        <v>364</v>
      </c>
      <c r="J5" s="79" t="s">
        <v>358</v>
      </c>
      <c r="K5" s="79">
        <v>15</v>
      </c>
      <c r="L5" s="80"/>
      <c r="M5" s="81">
        <v>0</v>
      </c>
      <c r="N5" s="81"/>
      <c r="O5" s="81">
        <v>0</v>
      </c>
      <c r="P5" s="81"/>
      <c r="Q5" s="81">
        <v>0</v>
      </c>
      <c r="R5" s="81"/>
      <c r="S5" s="81">
        <v>0</v>
      </c>
      <c r="T5" s="81"/>
      <c r="U5" s="81">
        <v>0</v>
      </c>
      <c r="V5" s="81"/>
      <c r="W5" s="81">
        <v>0</v>
      </c>
      <c r="X5" s="81"/>
      <c r="Y5" s="81">
        <v>6694675</v>
      </c>
      <c r="Z5" s="81"/>
      <c r="AA5" s="78">
        <v>0</v>
      </c>
      <c r="AB5" s="82"/>
      <c r="AC5" s="83"/>
      <c r="AD5" s="82">
        <v>0</v>
      </c>
      <c r="AE5" s="82"/>
      <c r="AF5" s="82">
        <v>0</v>
      </c>
      <c r="AG5" s="82"/>
      <c r="AH5" s="82">
        <v>0</v>
      </c>
      <c r="AI5" s="82"/>
      <c r="AJ5" s="82">
        <v>0</v>
      </c>
      <c r="AK5" s="82"/>
      <c r="AL5" s="82">
        <v>0</v>
      </c>
      <c r="AM5" s="82"/>
      <c r="AN5" s="82">
        <v>492775</v>
      </c>
      <c r="AO5" s="82"/>
      <c r="AP5" s="82">
        <v>0</v>
      </c>
      <c r="AQ5" s="73"/>
      <c r="AR5" s="84"/>
      <c r="AS5" s="85"/>
      <c r="AT5" s="85"/>
      <c r="AU5" s="85"/>
      <c r="AV5" s="85"/>
      <c r="AW5" s="85"/>
      <c r="AX5" s="85"/>
      <c r="AY5" s="85"/>
      <c r="AZ5" s="85"/>
      <c r="BA5" s="85"/>
      <c r="BB5" s="85"/>
      <c r="BC5" s="85">
        <v>7.3599999999999999E-2</v>
      </c>
      <c r="BD5" s="85"/>
      <c r="BE5" s="85"/>
      <c r="BF5" s="73"/>
      <c r="BG5" s="73" t="s">
        <v>359</v>
      </c>
    </row>
    <row r="6" spans="1:59">
      <c r="A6" s="73" t="s">
        <v>367</v>
      </c>
      <c r="B6" s="73" t="s">
        <v>368</v>
      </c>
      <c r="C6" s="74" t="s">
        <v>369</v>
      </c>
      <c r="D6" s="75">
        <v>9154</v>
      </c>
      <c r="E6" s="76">
        <v>90154</v>
      </c>
      <c r="F6" s="74" t="s">
        <v>370</v>
      </c>
      <c r="G6" s="77">
        <v>12150996</v>
      </c>
      <c r="H6" s="78">
        <v>3482</v>
      </c>
      <c r="I6" s="74" t="s">
        <v>357</v>
      </c>
      <c r="J6" s="79" t="s">
        <v>358</v>
      </c>
      <c r="K6" s="79">
        <v>68</v>
      </c>
      <c r="L6" s="80"/>
      <c r="M6" s="81">
        <v>0</v>
      </c>
      <c r="N6" s="81"/>
      <c r="O6" s="81">
        <v>0</v>
      </c>
      <c r="P6" s="81"/>
      <c r="Q6" s="81">
        <v>0</v>
      </c>
      <c r="R6" s="81"/>
      <c r="S6" s="81">
        <v>0</v>
      </c>
      <c r="T6" s="81"/>
      <c r="U6" s="81">
        <v>0</v>
      </c>
      <c r="V6" s="81"/>
      <c r="W6" s="81">
        <v>0</v>
      </c>
      <c r="X6" s="81"/>
      <c r="Y6" s="81">
        <v>82163176</v>
      </c>
      <c r="Z6" s="81"/>
      <c r="AA6" s="78">
        <v>0</v>
      </c>
      <c r="AB6" s="82"/>
      <c r="AC6" s="83"/>
      <c r="AD6" s="82">
        <v>0</v>
      </c>
      <c r="AE6" s="82"/>
      <c r="AF6" s="82">
        <v>0</v>
      </c>
      <c r="AG6" s="82"/>
      <c r="AH6" s="82">
        <v>0</v>
      </c>
      <c r="AI6" s="82"/>
      <c r="AJ6" s="82">
        <v>0</v>
      </c>
      <c r="AK6" s="82"/>
      <c r="AL6" s="82">
        <v>0</v>
      </c>
      <c r="AM6" s="82"/>
      <c r="AN6" s="82">
        <v>6909214</v>
      </c>
      <c r="AO6" s="82"/>
      <c r="AP6" s="82">
        <v>0</v>
      </c>
      <c r="AQ6" s="73"/>
      <c r="AR6" s="84"/>
      <c r="AS6" s="85"/>
      <c r="AT6" s="85"/>
      <c r="AU6" s="85"/>
      <c r="AV6" s="85"/>
      <c r="AW6" s="85"/>
      <c r="AX6" s="85"/>
      <c r="AY6" s="85"/>
      <c r="AZ6" s="85"/>
      <c r="BA6" s="85"/>
      <c r="BB6" s="85"/>
      <c r="BC6" s="85">
        <v>8.4099999999999994E-2</v>
      </c>
      <c r="BD6" s="85"/>
      <c r="BE6" s="85"/>
      <c r="BF6" s="73"/>
      <c r="BG6" s="73" t="s">
        <v>359</v>
      </c>
    </row>
    <row r="7" spans="1:59">
      <c r="A7" s="73" t="s">
        <v>367</v>
      </c>
      <c r="B7" s="73" t="s">
        <v>368</v>
      </c>
      <c r="C7" s="74" t="s">
        <v>369</v>
      </c>
      <c r="D7" s="75">
        <v>9154</v>
      </c>
      <c r="E7" s="76">
        <v>90154</v>
      </c>
      <c r="F7" s="74" t="s">
        <v>370</v>
      </c>
      <c r="G7" s="77">
        <v>12150996</v>
      </c>
      <c r="H7" s="78">
        <v>3482</v>
      </c>
      <c r="I7" s="74" t="s">
        <v>364</v>
      </c>
      <c r="J7" s="79" t="s">
        <v>358</v>
      </c>
      <c r="K7" s="79">
        <v>203</v>
      </c>
      <c r="L7" s="80"/>
      <c r="M7" s="81">
        <v>0</v>
      </c>
      <c r="N7" s="81"/>
      <c r="O7" s="81">
        <v>0</v>
      </c>
      <c r="P7" s="81"/>
      <c r="Q7" s="81">
        <v>0</v>
      </c>
      <c r="R7" s="81"/>
      <c r="S7" s="81">
        <v>0</v>
      </c>
      <c r="T7" s="81"/>
      <c r="U7" s="81">
        <v>0</v>
      </c>
      <c r="V7" s="81"/>
      <c r="W7" s="81">
        <v>0</v>
      </c>
      <c r="X7" s="81"/>
      <c r="Y7" s="81">
        <v>144995154</v>
      </c>
      <c r="Z7" s="81"/>
      <c r="AA7" s="78">
        <v>0</v>
      </c>
      <c r="AB7" s="82"/>
      <c r="AC7" s="83"/>
      <c r="AD7" s="82">
        <v>0</v>
      </c>
      <c r="AE7" s="82"/>
      <c r="AF7" s="82">
        <v>0</v>
      </c>
      <c r="AG7" s="82"/>
      <c r="AH7" s="82">
        <v>0</v>
      </c>
      <c r="AI7" s="82"/>
      <c r="AJ7" s="82">
        <v>0</v>
      </c>
      <c r="AK7" s="82"/>
      <c r="AL7" s="82">
        <v>0</v>
      </c>
      <c r="AM7" s="82"/>
      <c r="AN7" s="82">
        <v>16469107</v>
      </c>
      <c r="AO7" s="82"/>
      <c r="AP7" s="82">
        <v>0</v>
      </c>
      <c r="AQ7" s="73"/>
      <c r="AR7" s="84"/>
      <c r="AS7" s="85"/>
      <c r="AT7" s="85"/>
      <c r="AU7" s="85"/>
      <c r="AV7" s="85"/>
      <c r="AW7" s="85"/>
      <c r="AX7" s="85"/>
      <c r="AY7" s="85"/>
      <c r="AZ7" s="85"/>
      <c r="BA7" s="85"/>
      <c r="BB7" s="85"/>
      <c r="BC7" s="85">
        <v>0.11360000000000001</v>
      </c>
      <c r="BD7" s="85"/>
      <c r="BE7" s="85"/>
      <c r="BF7" s="73"/>
      <c r="BG7" s="73" t="s">
        <v>359</v>
      </c>
    </row>
    <row r="8" spans="1:59">
      <c r="A8" s="73" t="s">
        <v>371</v>
      </c>
      <c r="B8" s="73" t="s">
        <v>372</v>
      </c>
      <c r="C8" s="74" t="s">
        <v>373</v>
      </c>
      <c r="D8" s="75">
        <v>3030</v>
      </c>
      <c r="E8" s="76">
        <v>30030</v>
      </c>
      <c r="F8" s="74" t="s">
        <v>370</v>
      </c>
      <c r="G8" s="77">
        <v>4586770</v>
      </c>
      <c r="H8" s="78">
        <v>3304</v>
      </c>
      <c r="I8" s="74" t="s">
        <v>357</v>
      </c>
      <c r="J8" s="79" t="s">
        <v>358</v>
      </c>
      <c r="K8" s="79">
        <v>998</v>
      </c>
      <c r="L8" s="80"/>
      <c r="M8" s="81">
        <v>0</v>
      </c>
      <c r="N8" s="81"/>
      <c r="O8" s="81">
        <v>0</v>
      </c>
      <c r="P8" s="81"/>
      <c r="Q8" s="81">
        <v>0</v>
      </c>
      <c r="R8" s="81"/>
      <c r="S8" s="81">
        <v>0</v>
      </c>
      <c r="T8" s="81"/>
      <c r="U8" s="81">
        <v>0</v>
      </c>
      <c r="V8" s="81"/>
      <c r="W8" s="81">
        <v>0</v>
      </c>
      <c r="X8" s="81"/>
      <c r="Y8" s="81">
        <v>576455528</v>
      </c>
      <c r="Z8" s="81"/>
      <c r="AA8" s="78">
        <v>0</v>
      </c>
      <c r="AB8" s="82"/>
      <c r="AC8" s="83"/>
      <c r="AD8" s="82">
        <v>0</v>
      </c>
      <c r="AE8" s="82"/>
      <c r="AF8" s="82">
        <v>0</v>
      </c>
      <c r="AG8" s="82"/>
      <c r="AH8" s="82">
        <v>0</v>
      </c>
      <c r="AI8" s="82"/>
      <c r="AJ8" s="82">
        <v>0</v>
      </c>
      <c r="AK8" s="82"/>
      <c r="AL8" s="82">
        <v>0</v>
      </c>
      <c r="AM8" s="82"/>
      <c r="AN8" s="82">
        <v>64920984</v>
      </c>
      <c r="AO8" s="82"/>
      <c r="AP8" s="82">
        <v>0</v>
      </c>
      <c r="AQ8" s="73"/>
      <c r="AR8" s="84"/>
      <c r="AS8" s="85"/>
      <c r="AT8" s="85"/>
      <c r="AU8" s="85"/>
      <c r="AV8" s="85"/>
      <c r="AW8" s="85"/>
      <c r="AX8" s="85"/>
      <c r="AY8" s="85"/>
      <c r="AZ8" s="85"/>
      <c r="BA8" s="85"/>
      <c r="BB8" s="85"/>
      <c r="BC8" s="85">
        <v>0.11260000000000001</v>
      </c>
      <c r="BD8" s="85"/>
      <c r="BE8" s="85"/>
      <c r="BF8" s="73"/>
      <c r="BG8" s="73" t="s">
        <v>359</v>
      </c>
    </row>
    <row r="9" spans="1:59">
      <c r="A9" s="73" t="s">
        <v>374</v>
      </c>
      <c r="B9" s="73" t="s">
        <v>375</v>
      </c>
      <c r="C9" s="74" t="s">
        <v>376</v>
      </c>
      <c r="D9" s="75">
        <v>5066</v>
      </c>
      <c r="E9" s="76">
        <v>50066</v>
      </c>
      <c r="F9" s="74" t="s">
        <v>370</v>
      </c>
      <c r="G9" s="77">
        <v>8608208</v>
      </c>
      <c r="H9" s="78">
        <v>2703</v>
      </c>
      <c r="I9" s="74" t="s">
        <v>357</v>
      </c>
      <c r="J9" s="79" t="s">
        <v>358</v>
      </c>
      <c r="K9" s="79">
        <v>1148</v>
      </c>
      <c r="L9" s="80"/>
      <c r="M9" s="81">
        <v>0</v>
      </c>
      <c r="N9" s="81"/>
      <c r="O9" s="81">
        <v>0</v>
      </c>
      <c r="P9" s="81"/>
      <c r="Q9" s="81">
        <v>0</v>
      </c>
      <c r="R9" s="81"/>
      <c r="S9" s="81">
        <v>0</v>
      </c>
      <c r="T9" s="81"/>
      <c r="U9" s="81">
        <v>0</v>
      </c>
      <c r="V9" s="81"/>
      <c r="W9" s="81">
        <v>0</v>
      </c>
      <c r="X9" s="81"/>
      <c r="Y9" s="81">
        <v>366545522</v>
      </c>
      <c r="Z9" s="81"/>
      <c r="AA9" s="78">
        <v>0</v>
      </c>
      <c r="AB9" s="82"/>
      <c r="AC9" s="83"/>
      <c r="AD9" s="82">
        <v>0</v>
      </c>
      <c r="AE9" s="82"/>
      <c r="AF9" s="82">
        <v>0</v>
      </c>
      <c r="AG9" s="82"/>
      <c r="AH9" s="82">
        <v>0</v>
      </c>
      <c r="AI9" s="82"/>
      <c r="AJ9" s="82">
        <v>0</v>
      </c>
      <c r="AK9" s="82"/>
      <c r="AL9" s="82">
        <v>0</v>
      </c>
      <c r="AM9" s="82"/>
      <c r="AN9" s="82">
        <v>63157258</v>
      </c>
      <c r="AO9" s="82"/>
      <c r="AP9" s="82">
        <v>0</v>
      </c>
      <c r="AQ9" s="73"/>
      <c r="AR9" s="84"/>
      <c r="AS9" s="85"/>
      <c r="AT9" s="85"/>
      <c r="AU9" s="85"/>
      <c r="AV9" s="85"/>
      <c r="AW9" s="85"/>
      <c r="AX9" s="85"/>
      <c r="AY9" s="85"/>
      <c r="AZ9" s="85"/>
      <c r="BA9" s="85"/>
      <c r="BB9" s="85"/>
      <c r="BC9" s="85">
        <v>0.17230000000000001</v>
      </c>
      <c r="BD9" s="85"/>
      <c r="BE9" s="85"/>
      <c r="BF9" s="73"/>
      <c r="BG9" s="73" t="s">
        <v>359</v>
      </c>
    </row>
    <row r="10" spans="1:59">
      <c r="A10" s="73" t="s">
        <v>379</v>
      </c>
      <c r="B10" s="73" t="s">
        <v>380</v>
      </c>
      <c r="C10" s="74" t="s">
        <v>381</v>
      </c>
      <c r="D10" s="75">
        <v>1003</v>
      </c>
      <c r="E10" s="76">
        <v>10003</v>
      </c>
      <c r="F10" s="74" t="s">
        <v>370</v>
      </c>
      <c r="G10" s="77">
        <v>4181019</v>
      </c>
      <c r="H10" s="78">
        <v>2428</v>
      </c>
      <c r="I10" s="74" t="s">
        <v>366</v>
      </c>
      <c r="J10" s="79" t="s">
        <v>365</v>
      </c>
      <c r="K10" s="79">
        <v>436</v>
      </c>
      <c r="L10" s="80"/>
      <c r="M10" s="81">
        <v>13360985</v>
      </c>
      <c r="N10" s="81"/>
      <c r="O10" s="81">
        <v>0</v>
      </c>
      <c r="P10" s="81"/>
      <c r="Q10" s="81">
        <v>0</v>
      </c>
      <c r="R10" s="81"/>
      <c r="S10" s="81">
        <v>0</v>
      </c>
      <c r="T10" s="81"/>
      <c r="U10" s="81">
        <v>0</v>
      </c>
      <c r="V10" s="81"/>
      <c r="W10" s="81">
        <v>0</v>
      </c>
      <c r="X10" s="81"/>
      <c r="Y10" s="81">
        <v>0</v>
      </c>
      <c r="Z10" s="81"/>
      <c r="AA10" s="78">
        <v>0</v>
      </c>
      <c r="AB10" s="82"/>
      <c r="AC10" s="83"/>
      <c r="AD10" s="82">
        <v>4339139</v>
      </c>
      <c r="AE10" s="82"/>
      <c r="AF10" s="82">
        <v>0</v>
      </c>
      <c r="AG10" s="82"/>
      <c r="AH10" s="82">
        <v>0</v>
      </c>
      <c r="AI10" s="82"/>
      <c r="AJ10" s="82">
        <v>0</v>
      </c>
      <c r="AK10" s="82"/>
      <c r="AL10" s="82">
        <v>0</v>
      </c>
      <c r="AM10" s="82"/>
      <c r="AN10" s="82">
        <v>0</v>
      </c>
      <c r="AO10" s="82"/>
      <c r="AP10" s="82">
        <v>0</v>
      </c>
      <c r="AQ10" s="73"/>
      <c r="AR10" s="84"/>
      <c r="AS10" s="85">
        <v>0.32479999999999998</v>
      </c>
      <c r="AT10" s="85"/>
      <c r="AU10" s="85"/>
      <c r="AV10" s="85"/>
      <c r="AW10" s="85"/>
      <c r="AX10" s="85"/>
      <c r="AY10" s="85"/>
      <c r="AZ10" s="85"/>
      <c r="BA10" s="85"/>
      <c r="BB10" s="85"/>
      <c r="BC10" s="85"/>
      <c r="BD10" s="85"/>
      <c r="BE10" s="85"/>
      <c r="BF10" s="73"/>
      <c r="BG10" s="73" t="s">
        <v>359</v>
      </c>
    </row>
    <row r="11" spans="1:59">
      <c r="A11" s="73" t="s">
        <v>379</v>
      </c>
      <c r="B11" s="73" t="s">
        <v>380</v>
      </c>
      <c r="C11" s="74" t="s">
        <v>381</v>
      </c>
      <c r="D11" s="75">
        <v>1003</v>
      </c>
      <c r="E11" s="76">
        <v>10003</v>
      </c>
      <c r="F11" s="74" t="s">
        <v>370</v>
      </c>
      <c r="G11" s="77">
        <v>4181019</v>
      </c>
      <c r="H11" s="78">
        <v>2428</v>
      </c>
      <c r="I11" s="74" t="s">
        <v>357</v>
      </c>
      <c r="J11" s="79" t="s">
        <v>358</v>
      </c>
      <c r="K11" s="79">
        <v>338</v>
      </c>
      <c r="L11" s="80"/>
      <c r="M11" s="81">
        <v>0</v>
      </c>
      <c r="N11" s="81"/>
      <c r="O11" s="81">
        <v>0</v>
      </c>
      <c r="P11" s="81"/>
      <c r="Q11" s="81">
        <v>0</v>
      </c>
      <c r="R11" s="81"/>
      <c r="S11" s="81">
        <v>0</v>
      </c>
      <c r="T11" s="81"/>
      <c r="U11" s="81">
        <v>0</v>
      </c>
      <c r="V11" s="81"/>
      <c r="W11" s="81">
        <v>0</v>
      </c>
      <c r="X11" s="81"/>
      <c r="Y11" s="81">
        <v>178406868</v>
      </c>
      <c r="Z11" s="81"/>
      <c r="AA11" s="78">
        <v>0</v>
      </c>
      <c r="AB11" s="82"/>
      <c r="AC11" s="83"/>
      <c r="AD11" s="82">
        <v>0</v>
      </c>
      <c r="AE11" s="82"/>
      <c r="AF11" s="82">
        <v>0</v>
      </c>
      <c r="AG11" s="82"/>
      <c r="AH11" s="82">
        <v>0</v>
      </c>
      <c r="AI11" s="82"/>
      <c r="AJ11" s="82">
        <v>0</v>
      </c>
      <c r="AK11" s="82"/>
      <c r="AL11" s="82">
        <v>0</v>
      </c>
      <c r="AM11" s="82"/>
      <c r="AN11" s="82">
        <v>22078161</v>
      </c>
      <c r="AO11" s="82"/>
      <c r="AP11" s="82">
        <v>0</v>
      </c>
      <c r="AQ11" s="73"/>
      <c r="AR11" s="84"/>
      <c r="AS11" s="85"/>
      <c r="AT11" s="85"/>
      <c r="AU11" s="85"/>
      <c r="AV11" s="85"/>
      <c r="AW11" s="85"/>
      <c r="AX11" s="85"/>
      <c r="AY11" s="85"/>
      <c r="AZ11" s="85"/>
      <c r="BA11" s="85"/>
      <c r="BB11" s="85"/>
      <c r="BC11" s="85">
        <v>0.12379999999999999</v>
      </c>
      <c r="BD11" s="85"/>
      <c r="BE11" s="85"/>
      <c r="BF11" s="73"/>
      <c r="BG11" s="73" t="s">
        <v>359</v>
      </c>
    </row>
    <row r="12" spans="1:59">
      <c r="A12" s="73" t="s">
        <v>379</v>
      </c>
      <c r="B12" s="73" t="s">
        <v>380</v>
      </c>
      <c r="C12" s="74" t="s">
        <v>381</v>
      </c>
      <c r="D12" s="75">
        <v>1003</v>
      </c>
      <c r="E12" s="76">
        <v>10003</v>
      </c>
      <c r="F12" s="74" t="s">
        <v>370</v>
      </c>
      <c r="G12" s="77">
        <v>4181019</v>
      </c>
      <c r="H12" s="78">
        <v>2428</v>
      </c>
      <c r="I12" s="74" t="s">
        <v>364</v>
      </c>
      <c r="J12" s="79" t="s">
        <v>358</v>
      </c>
      <c r="K12" s="79">
        <v>154</v>
      </c>
      <c r="L12" s="80"/>
      <c r="M12" s="81">
        <v>0</v>
      </c>
      <c r="N12" s="81"/>
      <c r="O12" s="81">
        <v>0</v>
      </c>
      <c r="P12" s="81"/>
      <c r="Q12" s="81">
        <v>0</v>
      </c>
      <c r="R12" s="81"/>
      <c r="S12" s="81">
        <v>0</v>
      </c>
      <c r="T12" s="81"/>
      <c r="U12" s="81">
        <v>0</v>
      </c>
      <c r="V12" s="81"/>
      <c r="W12" s="81">
        <v>0</v>
      </c>
      <c r="X12" s="81"/>
      <c r="Y12" s="81">
        <v>46803331</v>
      </c>
      <c r="Z12" s="81"/>
      <c r="AA12" s="78">
        <v>0</v>
      </c>
      <c r="AB12" s="82"/>
      <c r="AC12" s="83"/>
      <c r="AD12" s="82">
        <v>0</v>
      </c>
      <c r="AE12" s="82"/>
      <c r="AF12" s="82">
        <v>0</v>
      </c>
      <c r="AG12" s="82"/>
      <c r="AH12" s="82">
        <v>0</v>
      </c>
      <c r="AI12" s="82"/>
      <c r="AJ12" s="82">
        <v>0</v>
      </c>
      <c r="AK12" s="82"/>
      <c r="AL12" s="82">
        <v>0</v>
      </c>
      <c r="AM12" s="82"/>
      <c r="AN12" s="82">
        <v>5523588</v>
      </c>
      <c r="AO12" s="82"/>
      <c r="AP12" s="82">
        <v>0</v>
      </c>
      <c r="AQ12" s="73"/>
      <c r="AR12" s="84"/>
      <c r="AS12" s="85"/>
      <c r="AT12" s="85"/>
      <c r="AU12" s="85"/>
      <c r="AV12" s="85"/>
      <c r="AW12" s="85"/>
      <c r="AX12" s="85"/>
      <c r="AY12" s="85"/>
      <c r="AZ12" s="85"/>
      <c r="BA12" s="85"/>
      <c r="BB12" s="85"/>
      <c r="BC12" s="85">
        <v>0.11799999999999999</v>
      </c>
      <c r="BD12" s="85"/>
      <c r="BE12" s="85"/>
      <c r="BF12" s="73"/>
      <c r="BG12" s="73" t="s">
        <v>359</v>
      </c>
    </row>
    <row r="13" spans="1:59">
      <c r="A13" s="73" t="s">
        <v>383</v>
      </c>
      <c r="B13" s="73" t="s">
        <v>384</v>
      </c>
      <c r="C13" s="74" t="s">
        <v>385</v>
      </c>
      <c r="D13" s="75">
        <v>3019</v>
      </c>
      <c r="E13" s="76">
        <v>30019</v>
      </c>
      <c r="F13" s="74" t="s">
        <v>370</v>
      </c>
      <c r="G13" s="77">
        <v>5441567</v>
      </c>
      <c r="H13" s="78">
        <v>2406</v>
      </c>
      <c r="I13" s="74" t="s">
        <v>366</v>
      </c>
      <c r="J13" s="79" t="s">
        <v>358</v>
      </c>
      <c r="K13" s="79">
        <v>357</v>
      </c>
      <c r="L13" s="80"/>
      <c r="M13" s="81">
        <v>0</v>
      </c>
      <c r="N13" s="81"/>
      <c r="O13" s="81">
        <v>0</v>
      </c>
      <c r="P13" s="81"/>
      <c r="Q13" s="81">
        <v>0</v>
      </c>
      <c r="R13" s="81"/>
      <c r="S13" s="81">
        <v>0</v>
      </c>
      <c r="T13" s="81"/>
      <c r="U13" s="81">
        <v>0</v>
      </c>
      <c r="V13" s="81"/>
      <c r="W13" s="81">
        <v>0</v>
      </c>
      <c r="X13" s="81"/>
      <c r="Y13" s="81">
        <v>190958248</v>
      </c>
      <c r="Z13" s="81"/>
      <c r="AA13" s="78">
        <v>0</v>
      </c>
      <c r="AB13" s="82"/>
      <c r="AC13" s="83"/>
      <c r="AD13" s="82">
        <v>0</v>
      </c>
      <c r="AE13" s="82"/>
      <c r="AF13" s="82">
        <v>0</v>
      </c>
      <c r="AG13" s="82"/>
      <c r="AH13" s="82">
        <v>0</v>
      </c>
      <c r="AI13" s="82"/>
      <c r="AJ13" s="82">
        <v>0</v>
      </c>
      <c r="AK13" s="82"/>
      <c r="AL13" s="82">
        <v>0</v>
      </c>
      <c r="AM13" s="82"/>
      <c r="AN13" s="82">
        <v>15598066</v>
      </c>
      <c r="AO13" s="82"/>
      <c r="AP13" s="82">
        <v>0</v>
      </c>
      <c r="AQ13" s="73"/>
      <c r="AR13" s="84"/>
      <c r="AS13" s="85"/>
      <c r="AT13" s="85"/>
      <c r="AU13" s="85"/>
      <c r="AV13" s="85"/>
      <c r="AW13" s="85"/>
      <c r="AX13" s="85"/>
      <c r="AY13" s="85"/>
      <c r="AZ13" s="85"/>
      <c r="BA13" s="85"/>
      <c r="BB13" s="85"/>
      <c r="BC13" s="85">
        <v>8.1699999999999995E-2</v>
      </c>
      <c r="BD13" s="85"/>
      <c r="BE13" s="85"/>
      <c r="BF13" s="73"/>
      <c r="BG13" s="73" t="s">
        <v>359</v>
      </c>
    </row>
    <row r="14" spans="1:59">
      <c r="A14" s="73" t="s">
        <v>383</v>
      </c>
      <c r="B14" s="73" t="s">
        <v>384</v>
      </c>
      <c r="C14" s="74" t="s">
        <v>385</v>
      </c>
      <c r="D14" s="75">
        <v>3019</v>
      </c>
      <c r="E14" s="76">
        <v>30019</v>
      </c>
      <c r="F14" s="74" t="s">
        <v>370</v>
      </c>
      <c r="G14" s="77">
        <v>5441567</v>
      </c>
      <c r="H14" s="78">
        <v>2406</v>
      </c>
      <c r="I14" s="74" t="s">
        <v>357</v>
      </c>
      <c r="J14" s="79" t="s">
        <v>358</v>
      </c>
      <c r="K14" s="79">
        <v>286</v>
      </c>
      <c r="L14" s="80"/>
      <c r="M14" s="81">
        <v>0</v>
      </c>
      <c r="N14" s="81"/>
      <c r="O14" s="81">
        <v>0</v>
      </c>
      <c r="P14" s="81"/>
      <c r="Q14" s="81">
        <v>0</v>
      </c>
      <c r="R14" s="81"/>
      <c r="S14" s="81">
        <v>0</v>
      </c>
      <c r="T14" s="81"/>
      <c r="U14" s="81">
        <v>0</v>
      </c>
      <c r="V14" s="81"/>
      <c r="W14" s="81">
        <v>0</v>
      </c>
      <c r="X14" s="81"/>
      <c r="Y14" s="81">
        <v>125067726</v>
      </c>
      <c r="Z14" s="81"/>
      <c r="AA14" s="78">
        <v>0</v>
      </c>
      <c r="AB14" s="82"/>
      <c r="AC14" s="83"/>
      <c r="AD14" s="82">
        <v>0</v>
      </c>
      <c r="AE14" s="82"/>
      <c r="AF14" s="82">
        <v>0</v>
      </c>
      <c r="AG14" s="82"/>
      <c r="AH14" s="82">
        <v>0</v>
      </c>
      <c r="AI14" s="82"/>
      <c r="AJ14" s="82">
        <v>0</v>
      </c>
      <c r="AK14" s="82"/>
      <c r="AL14" s="82">
        <v>0</v>
      </c>
      <c r="AM14" s="82"/>
      <c r="AN14" s="82">
        <v>14000061</v>
      </c>
      <c r="AO14" s="82"/>
      <c r="AP14" s="82">
        <v>0</v>
      </c>
      <c r="AQ14" s="73"/>
      <c r="AR14" s="84"/>
      <c r="AS14" s="85"/>
      <c r="AT14" s="85"/>
      <c r="AU14" s="85"/>
      <c r="AV14" s="85"/>
      <c r="AW14" s="85"/>
      <c r="AX14" s="85"/>
      <c r="AY14" s="85"/>
      <c r="AZ14" s="85"/>
      <c r="BA14" s="85"/>
      <c r="BB14" s="85"/>
      <c r="BC14" s="85">
        <v>0.1119</v>
      </c>
      <c r="BD14" s="85"/>
      <c r="BE14" s="85"/>
      <c r="BF14" s="73"/>
      <c r="BG14" s="73" t="s">
        <v>359</v>
      </c>
    </row>
    <row r="15" spans="1:59">
      <c r="A15" s="73" t="s">
        <v>386</v>
      </c>
      <c r="B15" s="73" t="s">
        <v>387</v>
      </c>
      <c r="C15" s="74" t="s">
        <v>388</v>
      </c>
      <c r="D15" s="75">
        <v>6008</v>
      </c>
      <c r="E15" s="76">
        <v>60008</v>
      </c>
      <c r="F15" s="74" t="s">
        <v>370</v>
      </c>
      <c r="G15" s="77">
        <v>4944332</v>
      </c>
      <c r="H15" s="78">
        <v>2157</v>
      </c>
      <c r="I15" s="74" t="s">
        <v>364</v>
      </c>
      <c r="J15" s="79" t="s">
        <v>358</v>
      </c>
      <c r="K15" s="79">
        <v>56</v>
      </c>
      <c r="L15" s="80"/>
      <c r="M15" s="81">
        <v>0</v>
      </c>
      <c r="N15" s="81"/>
      <c r="O15" s="81">
        <v>0</v>
      </c>
      <c r="P15" s="81"/>
      <c r="Q15" s="81">
        <v>0</v>
      </c>
      <c r="R15" s="81"/>
      <c r="S15" s="81">
        <v>0</v>
      </c>
      <c r="T15" s="81"/>
      <c r="U15" s="81">
        <v>0</v>
      </c>
      <c r="V15" s="81"/>
      <c r="W15" s="81">
        <v>0</v>
      </c>
      <c r="X15" s="81"/>
      <c r="Y15" s="81">
        <v>20764234</v>
      </c>
      <c r="Z15" s="81"/>
      <c r="AA15" s="78">
        <v>0</v>
      </c>
      <c r="AB15" s="82"/>
      <c r="AC15" s="83"/>
      <c r="AD15" s="82">
        <v>0</v>
      </c>
      <c r="AE15" s="82"/>
      <c r="AF15" s="82">
        <v>0</v>
      </c>
      <c r="AG15" s="82"/>
      <c r="AH15" s="82">
        <v>0</v>
      </c>
      <c r="AI15" s="82"/>
      <c r="AJ15" s="82">
        <v>0</v>
      </c>
      <c r="AK15" s="82"/>
      <c r="AL15" s="82">
        <v>0</v>
      </c>
      <c r="AM15" s="82"/>
      <c r="AN15" s="82">
        <v>3420524</v>
      </c>
      <c r="AO15" s="82"/>
      <c r="AP15" s="82">
        <v>0</v>
      </c>
      <c r="AQ15" s="73"/>
      <c r="AR15" s="84"/>
      <c r="AS15" s="85"/>
      <c r="AT15" s="85"/>
      <c r="AU15" s="85"/>
      <c r="AV15" s="85"/>
      <c r="AW15" s="85"/>
      <c r="AX15" s="85"/>
      <c r="AY15" s="85"/>
      <c r="AZ15" s="85"/>
      <c r="BA15" s="85"/>
      <c r="BB15" s="85"/>
      <c r="BC15" s="85">
        <v>0.16470000000000001</v>
      </c>
      <c r="BD15" s="85"/>
      <c r="BE15" s="85"/>
      <c r="BF15" s="73"/>
      <c r="BG15" s="73" t="s">
        <v>359</v>
      </c>
    </row>
    <row r="16" spans="1:59">
      <c r="A16" s="73" t="s">
        <v>389</v>
      </c>
      <c r="B16" s="73" t="s">
        <v>390</v>
      </c>
      <c r="C16" s="74" t="s">
        <v>391</v>
      </c>
      <c r="D16" s="75">
        <v>3034</v>
      </c>
      <c r="E16" s="76">
        <v>30034</v>
      </c>
      <c r="F16" s="74" t="s">
        <v>392</v>
      </c>
      <c r="G16" s="77">
        <v>2203663</v>
      </c>
      <c r="H16" s="78">
        <v>1888</v>
      </c>
      <c r="I16" s="74" t="s">
        <v>357</v>
      </c>
      <c r="J16" s="79" t="s">
        <v>358</v>
      </c>
      <c r="K16" s="79">
        <v>54</v>
      </c>
      <c r="L16" s="80"/>
      <c r="M16" s="81">
        <v>0</v>
      </c>
      <c r="N16" s="81"/>
      <c r="O16" s="81">
        <v>0</v>
      </c>
      <c r="P16" s="81"/>
      <c r="Q16" s="81">
        <v>0</v>
      </c>
      <c r="R16" s="81"/>
      <c r="S16" s="81">
        <v>0</v>
      </c>
      <c r="T16" s="81"/>
      <c r="U16" s="81">
        <v>0</v>
      </c>
      <c r="V16" s="81"/>
      <c r="W16" s="81">
        <v>0</v>
      </c>
      <c r="X16" s="81"/>
      <c r="Y16" s="81">
        <v>44465246</v>
      </c>
      <c r="Z16" s="81"/>
      <c r="AA16" s="78">
        <v>0</v>
      </c>
      <c r="AB16" s="82"/>
      <c r="AC16" s="83"/>
      <c r="AD16" s="82">
        <v>0</v>
      </c>
      <c r="AE16" s="82"/>
      <c r="AF16" s="82">
        <v>0</v>
      </c>
      <c r="AG16" s="82"/>
      <c r="AH16" s="82">
        <v>0</v>
      </c>
      <c r="AI16" s="82"/>
      <c r="AJ16" s="82">
        <v>0</v>
      </c>
      <c r="AK16" s="82"/>
      <c r="AL16" s="82">
        <v>0</v>
      </c>
      <c r="AM16" s="82"/>
      <c r="AN16" s="82">
        <v>0</v>
      </c>
      <c r="AO16" s="82"/>
      <c r="AP16" s="82">
        <v>0</v>
      </c>
      <c r="AQ16" s="73"/>
      <c r="AR16" s="84"/>
      <c r="AS16" s="85"/>
      <c r="AT16" s="85"/>
      <c r="AU16" s="85"/>
      <c r="AV16" s="85"/>
      <c r="AW16" s="85"/>
      <c r="AX16" s="85"/>
      <c r="AY16" s="85"/>
      <c r="AZ16" s="85"/>
      <c r="BA16" s="85"/>
      <c r="BB16" s="85"/>
      <c r="BC16" s="85">
        <v>0</v>
      </c>
      <c r="BD16" s="85"/>
      <c r="BE16" s="85"/>
      <c r="BF16" s="73"/>
      <c r="BG16" s="73" t="s">
        <v>359</v>
      </c>
    </row>
    <row r="17" spans="1:59">
      <c r="A17" s="73" t="s">
        <v>389</v>
      </c>
      <c r="B17" s="73" t="s">
        <v>390</v>
      </c>
      <c r="C17" s="74" t="s">
        <v>391</v>
      </c>
      <c r="D17" s="75">
        <v>3034</v>
      </c>
      <c r="E17" s="76">
        <v>30034</v>
      </c>
      <c r="F17" s="74" t="s">
        <v>392</v>
      </c>
      <c r="G17" s="77">
        <v>2203663</v>
      </c>
      <c r="H17" s="78">
        <v>1888</v>
      </c>
      <c r="I17" s="74" t="s">
        <v>364</v>
      </c>
      <c r="J17" s="79" t="s">
        <v>358</v>
      </c>
      <c r="K17" s="79">
        <v>38</v>
      </c>
      <c r="L17" s="80"/>
      <c r="M17" s="81">
        <v>0</v>
      </c>
      <c r="N17" s="81"/>
      <c r="O17" s="81">
        <v>0</v>
      </c>
      <c r="P17" s="81"/>
      <c r="Q17" s="81">
        <v>0</v>
      </c>
      <c r="R17" s="81"/>
      <c r="S17" s="81">
        <v>0</v>
      </c>
      <c r="T17" s="81"/>
      <c r="U17" s="81">
        <v>0</v>
      </c>
      <c r="V17" s="81"/>
      <c r="W17" s="81">
        <v>0</v>
      </c>
      <c r="X17" s="81"/>
      <c r="Y17" s="81">
        <v>25044315</v>
      </c>
      <c r="Z17" s="81"/>
      <c r="AA17" s="78">
        <v>0</v>
      </c>
      <c r="AB17" s="82"/>
      <c r="AC17" s="83"/>
      <c r="AD17" s="82">
        <v>0</v>
      </c>
      <c r="AE17" s="82"/>
      <c r="AF17" s="82">
        <v>0</v>
      </c>
      <c r="AG17" s="82"/>
      <c r="AH17" s="82">
        <v>0</v>
      </c>
      <c r="AI17" s="82"/>
      <c r="AJ17" s="82">
        <v>0</v>
      </c>
      <c r="AK17" s="82"/>
      <c r="AL17" s="82">
        <v>0</v>
      </c>
      <c r="AM17" s="82"/>
      <c r="AN17" s="82">
        <v>2679810</v>
      </c>
      <c r="AO17" s="82"/>
      <c r="AP17" s="82">
        <v>0</v>
      </c>
      <c r="AQ17" s="73"/>
      <c r="AR17" s="84"/>
      <c r="AS17" s="85"/>
      <c r="AT17" s="85"/>
      <c r="AU17" s="85"/>
      <c r="AV17" s="85"/>
      <c r="AW17" s="85"/>
      <c r="AX17" s="85"/>
      <c r="AY17" s="85"/>
      <c r="AZ17" s="85"/>
      <c r="BA17" s="85"/>
      <c r="BB17" s="85"/>
      <c r="BC17" s="85">
        <v>0.107</v>
      </c>
      <c r="BD17" s="85"/>
      <c r="BE17" s="85"/>
      <c r="BF17" s="73"/>
      <c r="BG17" s="73" t="s">
        <v>359</v>
      </c>
    </row>
    <row r="18" spans="1:59">
      <c r="A18" s="73" t="s">
        <v>389</v>
      </c>
      <c r="B18" s="73" t="s">
        <v>390</v>
      </c>
      <c r="C18" s="74" t="s">
        <v>391</v>
      </c>
      <c r="D18" s="75">
        <v>3034</v>
      </c>
      <c r="E18" s="76">
        <v>30034</v>
      </c>
      <c r="F18" s="74" t="s">
        <v>392</v>
      </c>
      <c r="G18" s="77">
        <v>2203663</v>
      </c>
      <c r="H18" s="78">
        <v>1888</v>
      </c>
      <c r="I18" s="74" t="s">
        <v>366</v>
      </c>
      <c r="J18" s="79" t="s">
        <v>365</v>
      </c>
      <c r="K18" s="79">
        <v>149</v>
      </c>
      <c r="L18" s="80"/>
      <c r="M18" s="81">
        <v>3709703</v>
      </c>
      <c r="N18" s="81"/>
      <c r="O18" s="81">
        <v>0</v>
      </c>
      <c r="P18" s="81"/>
      <c r="Q18" s="81">
        <v>0</v>
      </c>
      <c r="R18" s="81"/>
      <c r="S18" s="81">
        <v>0</v>
      </c>
      <c r="T18" s="81"/>
      <c r="U18" s="81">
        <v>0</v>
      </c>
      <c r="V18" s="81"/>
      <c r="W18" s="81">
        <v>0</v>
      </c>
      <c r="X18" s="81"/>
      <c r="Y18" s="81">
        <v>21715405</v>
      </c>
      <c r="Z18" s="81"/>
      <c r="AA18" s="78">
        <v>0</v>
      </c>
      <c r="AB18" s="82"/>
      <c r="AC18" s="83"/>
      <c r="AD18" s="82">
        <v>764117</v>
      </c>
      <c r="AE18" s="82"/>
      <c r="AF18" s="82">
        <v>0</v>
      </c>
      <c r="AG18" s="82"/>
      <c r="AH18" s="82">
        <v>0</v>
      </c>
      <c r="AI18" s="82"/>
      <c r="AJ18" s="82">
        <v>0</v>
      </c>
      <c r="AK18" s="82"/>
      <c r="AL18" s="82">
        <v>0</v>
      </c>
      <c r="AM18" s="82"/>
      <c r="AN18" s="82">
        <v>163832</v>
      </c>
      <c r="AO18" s="82"/>
      <c r="AP18" s="82">
        <v>0</v>
      </c>
      <c r="AQ18" s="73"/>
      <c r="AR18" s="84"/>
      <c r="AS18" s="85">
        <v>0.20599999999999999</v>
      </c>
      <c r="AT18" s="85"/>
      <c r="AU18" s="85"/>
      <c r="AV18" s="85"/>
      <c r="AW18" s="85"/>
      <c r="AX18" s="85"/>
      <c r="AY18" s="85"/>
      <c r="AZ18" s="85"/>
      <c r="BA18" s="85"/>
      <c r="BB18" s="85"/>
      <c r="BC18" s="85">
        <v>7.4999999999999997E-3</v>
      </c>
      <c r="BD18" s="85"/>
      <c r="BE18" s="85"/>
      <c r="BF18" s="73"/>
      <c r="BG18" s="73" t="s">
        <v>359</v>
      </c>
    </row>
    <row r="19" spans="1:59">
      <c r="A19" s="73" t="s">
        <v>393</v>
      </c>
      <c r="B19" s="73" t="s">
        <v>394</v>
      </c>
      <c r="C19" s="74" t="s">
        <v>395</v>
      </c>
      <c r="D19" s="75">
        <v>4034</v>
      </c>
      <c r="E19" s="76">
        <v>40034</v>
      </c>
      <c r="F19" s="74" t="s">
        <v>396</v>
      </c>
      <c r="G19" s="77">
        <v>5502379</v>
      </c>
      <c r="H19" s="78">
        <v>1452</v>
      </c>
      <c r="I19" s="74" t="s">
        <v>357</v>
      </c>
      <c r="J19" s="79" t="s">
        <v>358</v>
      </c>
      <c r="K19" s="79">
        <v>76</v>
      </c>
      <c r="L19" s="80"/>
      <c r="M19" s="81">
        <v>0</v>
      </c>
      <c r="N19" s="81"/>
      <c r="O19" s="81">
        <v>0</v>
      </c>
      <c r="P19" s="81"/>
      <c r="Q19" s="81">
        <v>0</v>
      </c>
      <c r="R19" s="81"/>
      <c r="S19" s="81">
        <v>0</v>
      </c>
      <c r="T19" s="81"/>
      <c r="U19" s="81">
        <v>0</v>
      </c>
      <c r="V19" s="81"/>
      <c r="W19" s="81">
        <v>0</v>
      </c>
      <c r="X19" s="81"/>
      <c r="Y19" s="81">
        <v>66954261</v>
      </c>
      <c r="Z19" s="81"/>
      <c r="AA19" s="78">
        <v>0</v>
      </c>
      <c r="AB19" s="82"/>
      <c r="AC19" s="83"/>
      <c r="AD19" s="82">
        <v>0</v>
      </c>
      <c r="AE19" s="82"/>
      <c r="AF19" s="82">
        <v>0</v>
      </c>
      <c r="AG19" s="82"/>
      <c r="AH19" s="82">
        <v>0</v>
      </c>
      <c r="AI19" s="82"/>
      <c r="AJ19" s="82">
        <v>0</v>
      </c>
      <c r="AK19" s="82"/>
      <c r="AL19" s="82">
        <v>0</v>
      </c>
      <c r="AM19" s="82"/>
      <c r="AN19" s="82">
        <v>559892</v>
      </c>
      <c r="AO19" s="82"/>
      <c r="AP19" s="82">
        <v>0</v>
      </c>
      <c r="AQ19" s="73"/>
      <c r="AR19" s="84"/>
      <c r="AS19" s="85"/>
      <c r="AT19" s="85"/>
      <c r="AU19" s="85"/>
      <c r="AV19" s="85"/>
      <c r="AW19" s="85"/>
      <c r="AX19" s="85"/>
      <c r="AY19" s="85"/>
      <c r="AZ19" s="85"/>
      <c r="BA19" s="85"/>
      <c r="BB19" s="85"/>
      <c r="BC19" s="85">
        <v>8.3999999999999995E-3</v>
      </c>
      <c r="BD19" s="85"/>
      <c r="BE19" s="85"/>
      <c r="BF19" s="73"/>
      <c r="BG19" s="73" t="s">
        <v>359</v>
      </c>
    </row>
    <row r="20" spans="1:59">
      <c r="A20" s="73" t="s">
        <v>397</v>
      </c>
      <c r="B20" s="73" t="s">
        <v>398</v>
      </c>
      <c r="C20" s="74" t="s">
        <v>399</v>
      </c>
      <c r="D20" s="75">
        <v>8006</v>
      </c>
      <c r="E20" s="76">
        <v>80006</v>
      </c>
      <c r="F20" s="74" t="s">
        <v>370</v>
      </c>
      <c r="G20" s="77">
        <v>2374203</v>
      </c>
      <c r="H20" s="78">
        <v>1431</v>
      </c>
      <c r="I20" s="74" t="s">
        <v>366</v>
      </c>
      <c r="J20" s="79" t="s">
        <v>358</v>
      </c>
      <c r="K20" s="79">
        <v>8</v>
      </c>
      <c r="L20" s="80"/>
      <c r="M20" s="81">
        <v>0</v>
      </c>
      <c r="N20" s="81"/>
      <c r="O20" s="81">
        <v>0</v>
      </c>
      <c r="P20" s="81"/>
      <c r="Q20" s="81">
        <v>0</v>
      </c>
      <c r="R20" s="81"/>
      <c r="S20" s="81">
        <v>0</v>
      </c>
      <c r="T20" s="81"/>
      <c r="U20" s="81">
        <v>0</v>
      </c>
      <c r="V20" s="81"/>
      <c r="W20" s="81">
        <v>0</v>
      </c>
      <c r="X20" s="81"/>
      <c r="Y20" s="81">
        <v>688983</v>
      </c>
      <c r="Z20" s="81"/>
      <c r="AA20" s="78">
        <v>0</v>
      </c>
      <c r="AB20" s="82"/>
      <c r="AC20" s="83"/>
      <c r="AD20" s="82">
        <v>0</v>
      </c>
      <c r="AE20" s="82"/>
      <c r="AF20" s="82">
        <v>0</v>
      </c>
      <c r="AG20" s="82"/>
      <c r="AH20" s="82">
        <v>0</v>
      </c>
      <c r="AI20" s="82"/>
      <c r="AJ20" s="82">
        <v>0</v>
      </c>
      <c r="AK20" s="82"/>
      <c r="AL20" s="82">
        <v>0</v>
      </c>
      <c r="AM20" s="82"/>
      <c r="AN20" s="82">
        <v>0</v>
      </c>
      <c r="AO20" s="82"/>
      <c r="AP20" s="82">
        <v>0</v>
      </c>
      <c r="AQ20" s="73"/>
      <c r="AR20" s="84"/>
      <c r="AS20" s="85"/>
      <c r="AT20" s="85"/>
      <c r="AU20" s="85"/>
      <c r="AV20" s="85"/>
      <c r="AW20" s="85"/>
      <c r="AX20" s="85"/>
      <c r="AY20" s="85"/>
      <c r="AZ20" s="85"/>
      <c r="BA20" s="85"/>
      <c r="BB20" s="85"/>
      <c r="BC20" s="85">
        <v>0</v>
      </c>
      <c r="BD20" s="85"/>
      <c r="BE20" s="85"/>
      <c r="BF20" s="73"/>
      <c r="BG20" s="73" t="s">
        <v>359</v>
      </c>
    </row>
    <row r="21" spans="1:59">
      <c r="A21" s="73" t="s">
        <v>397</v>
      </c>
      <c r="B21" s="73" t="s">
        <v>398</v>
      </c>
      <c r="C21" s="74" t="s">
        <v>399</v>
      </c>
      <c r="D21" s="75">
        <v>8006</v>
      </c>
      <c r="E21" s="76">
        <v>80006</v>
      </c>
      <c r="F21" s="74" t="s">
        <v>370</v>
      </c>
      <c r="G21" s="77">
        <v>2374203</v>
      </c>
      <c r="H21" s="78">
        <v>1431</v>
      </c>
      <c r="I21" s="74" t="s">
        <v>366</v>
      </c>
      <c r="J21" s="79" t="s">
        <v>365</v>
      </c>
      <c r="K21" s="79">
        <v>44</v>
      </c>
      <c r="L21" s="80"/>
      <c r="M21" s="81">
        <v>0</v>
      </c>
      <c r="N21" s="81"/>
      <c r="O21" s="81">
        <v>0</v>
      </c>
      <c r="P21" s="81"/>
      <c r="Q21" s="81">
        <v>0</v>
      </c>
      <c r="R21" s="81"/>
      <c r="S21" s="81">
        <v>0</v>
      </c>
      <c r="T21" s="81"/>
      <c r="U21" s="81">
        <v>0</v>
      </c>
      <c r="V21" s="81"/>
      <c r="W21" s="81">
        <v>0</v>
      </c>
      <c r="X21" s="81"/>
      <c r="Y21" s="81">
        <v>40149051</v>
      </c>
      <c r="Z21" s="81"/>
      <c r="AA21" s="78">
        <v>0</v>
      </c>
      <c r="AB21" s="82"/>
      <c r="AC21" s="83"/>
      <c r="AD21" s="82">
        <v>0</v>
      </c>
      <c r="AE21" s="82"/>
      <c r="AF21" s="82">
        <v>0</v>
      </c>
      <c r="AG21" s="82"/>
      <c r="AH21" s="82">
        <v>0</v>
      </c>
      <c r="AI21" s="82"/>
      <c r="AJ21" s="82">
        <v>0</v>
      </c>
      <c r="AK21" s="82"/>
      <c r="AL21" s="82">
        <v>0</v>
      </c>
      <c r="AM21" s="82"/>
      <c r="AN21" s="82">
        <v>6311542</v>
      </c>
      <c r="AO21" s="82"/>
      <c r="AP21" s="82">
        <v>0</v>
      </c>
      <c r="AQ21" s="73"/>
      <c r="AR21" s="84"/>
      <c r="AS21" s="85"/>
      <c r="AT21" s="85"/>
      <c r="AU21" s="85"/>
      <c r="AV21" s="85"/>
      <c r="AW21" s="85"/>
      <c r="AX21" s="85"/>
      <c r="AY21" s="85"/>
      <c r="AZ21" s="85"/>
      <c r="BA21" s="85"/>
      <c r="BB21" s="85"/>
      <c r="BC21" s="85">
        <v>0.15720000000000001</v>
      </c>
      <c r="BD21" s="85"/>
      <c r="BE21" s="85"/>
      <c r="BF21" s="73"/>
      <c r="BG21" s="73" t="s">
        <v>359</v>
      </c>
    </row>
    <row r="22" spans="1:59">
      <c r="A22" s="73" t="s">
        <v>397</v>
      </c>
      <c r="B22" s="73" t="s">
        <v>398</v>
      </c>
      <c r="C22" s="74" t="s">
        <v>399</v>
      </c>
      <c r="D22" s="75">
        <v>8006</v>
      </c>
      <c r="E22" s="76">
        <v>80006</v>
      </c>
      <c r="F22" s="74" t="s">
        <v>370</v>
      </c>
      <c r="G22" s="77">
        <v>2374203</v>
      </c>
      <c r="H22" s="78">
        <v>1431</v>
      </c>
      <c r="I22" s="74" t="s">
        <v>364</v>
      </c>
      <c r="J22" s="79" t="s">
        <v>358</v>
      </c>
      <c r="K22" s="79">
        <v>156</v>
      </c>
      <c r="L22" s="80"/>
      <c r="M22" s="81">
        <v>0</v>
      </c>
      <c r="N22" s="81"/>
      <c r="O22" s="81">
        <v>0</v>
      </c>
      <c r="P22" s="81"/>
      <c r="Q22" s="81">
        <v>0</v>
      </c>
      <c r="R22" s="81"/>
      <c r="S22" s="81">
        <v>0</v>
      </c>
      <c r="T22" s="81"/>
      <c r="U22" s="81">
        <v>0</v>
      </c>
      <c r="V22" s="81"/>
      <c r="W22" s="81">
        <v>0</v>
      </c>
      <c r="X22" s="81"/>
      <c r="Y22" s="81">
        <v>60630772</v>
      </c>
      <c r="Z22" s="81"/>
      <c r="AA22" s="78">
        <v>0</v>
      </c>
      <c r="AB22" s="82"/>
      <c r="AC22" s="83"/>
      <c r="AD22" s="82">
        <v>0</v>
      </c>
      <c r="AE22" s="82"/>
      <c r="AF22" s="82">
        <v>0</v>
      </c>
      <c r="AG22" s="82"/>
      <c r="AH22" s="82">
        <v>0</v>
      </c>
      <c r="AI22" s="82"/>
      <c r="AJ22" s="82">
        <v>0</v>
      </c>
      <c r="AK22" s="82"/>
      <c r="AL22" s="82">
        <v>0</v>
      </c>
      <c r="AM22" s="82"/>
      <c r="AN22" s="82">
        <v>9327859</v>
      </c>
      <c r="AO22" s="82"/>
      <c r="AP22" s="82">
        <v>0</v>
      </c>
      <c r="AQ22" s="73"/>
      <c r="AR22" s="84"/>
      <c r="AS22" s="85"/>
      <c r="AT22" s="85"/>
      <c r="AU22" s="85"/>
      <c r="AV22" s="85"/>
      <c r="AW22" s="85"/>
      <c r="AX22" s="85"/>
      <c r="AY22" s="85"/>
      <c r="AZ22" s="85"/>
      <c r="BA22" s="85"/>
      <c r="BB22" s="85"/>
      <c r="BC22" s="85">
        <v>0.15379999999999999</v>
      </c>
      <c r="BD22" s="85"/>
      <c r="BE22" s="85"/>
      <c r="BF22" s="73"/>
      <c r="BG22" s="73" t="s">
        <v>359</v>
      </c>
    </row>
    <row r="23" spans="1:59">
      <c r="A23" s="73" t="s">
        <v>400</v>
      </c>
      <c r="B23" s="73" t="s">
        <v>401</v>
      </c>
      <c r="C23" s="74" t="s">
        <v>354</v>
      </c>
      <c r="D23" s="75">
        <v>2078</v>
      </c>
      <c r="E23" s="76">
        <v>20078</v>
      </c>
      <c r="F23" s="74" t="s">
        <v>355</v>
      </c>
      <c r="G23" s="77">
        <v>18351295</v>
      </c>
      <c r="H23" s="78">
        <v>1133</v>
      </c>
      <c r="I23" s="74" t="s">
        <v>366</v>
      </c>
      <c r="J23" s="79" t="s">
        <v>358</v>
      </c>
      <c r="K23" s="79">
        <v>1122</v>
      </c>
      <c r="L23" s="80"/>
      <c r="M23" s="81">
        <v>5697351</v>
      </c>
      <c r="N23" s="81"/>
      <c r="O23" s="81">
        <v>0</v>
      </c>
      <c r="P23" s="81"/>
      <c r="Q23" s="81">
        <v>0</v>
      </c>
      <c r="R23" s="81"/>
      <c r="S23" s="81">
        <v>0</v>
      </c>
      <c r="T23" s="81"/>
      <c r="U23" s="81">
        <v>0</v>
      </c>
      <c r="V23" s="81"/>
      <c r="W23" s="81">
        <v>0</v>
      </c>
      <c r="X23" s="81"/>
      <c r="Y23" s="81">
        <v>367362724</v>
      </c>
      <c r="Z23" s="81"/>
      <c r="AA23" s="78">
        <v>0</v>
      </c>
      <c r="AB23" s="82"/>
      <c r="AC23" s="83"/>
      <c r="AD23" s="82">
        <v>0</v>
      </c>
      <c r="AE23" s="82"/>
      <c r="AF23" s="82">
        <v>0</v>
      </c>
      <c r="AG23" s="82"/>
      <c r="AH23" s="82">
        <v>0</v>
      </c>
      <c r="AI23" s="82"/>
      <c r="AJ23" s="82">
        <v>0</v>
      </c>
      <c r="AK23" s="82"/>
      <c r="AL23" s="82">
        <v>2002432</v>
      </c>
      <c r="AM23" s="82"/>
      <c r="AN23" s="82">
        <v>40070882</v>
      </c>
      <c r="AO23" s="82"/>
      <c r="AP23" s="82">
        <v>0</v>
      </c>
      <c r="AQ23" s="73"/>
      <c r="AR23" s="84"/>
      <c r="AS23" s="85">
        <v>0</v>
      </c>
      <c r="AT23" s="85"/>
      <c r="AU23" s="85"/>
      <c r="AV23" s="85"/>
      <c r="AW23" s="85"/>
      <c r="AX23" s="85"/>
      <c r="AY23" s="85"/>
      <c r="AZ23" s="85"/>
      <c r="BA23" s="85"/>
      <c r="BB23" s="85"/>
      <c r="BC23" s="85">
        <v>0.1091</v>
      </c>
      <c r="BD23" s="85"/>
      <c r="BE23" s="85"/>
      <c r="BF23" s="73"/>
      <c r="BG23" s="73" t="s">
        <v>359</v>
      </c>
    </row>
    <row r="24" spans="1:59">
      <c r="A24" s="73" t="s">
        <v>402</v>
      </c>
      <c r="B24" s="73" t="s">
        <v>403</v>
      </c>
      <c r="C24" s="74" t="s">
        <v>388</v>
      </c>
      <c r="D24" s="75">
        <v>6056</v>
      </c>
      <c r="E24" s="76">
        <v>60056</v>
      </c>
      <c r="F24" s="74" t="s">
        <v>370</v>
      </c>
      <c r="G24" s="77">
        <v>5121892</v>
      </c>
      <c r="H24" s="78">
        <v>1082</v>
      </c>
      <c r="I24" s="74" t="s">
        <v>366</v>
      </c>
      <c r="J24" s="79" t="s">
        <v>365</v>
      </c>
      <c r="K24" s="79">
        <v>23</v>
      </c>
      <c r="L24" s="80"/>
      <c r="M24" s="81">
        <v>1375987</v>
      </c>
      <c r="N24" s="81"/>
      <c r="O24" s="81">
        <v>0</v>
      </c>
      <c r="P24" s="81"/>
      <c r="Q24" s="81">
        <v>0</v>
      </c>
      <c r="R24" s="81"/>
      <c r="S24" s="81">
        <v>0</v>
      </c>
      <c r="T24" s="81"/>
      <c r="U24" s="81">
        <v>0</v>
      </c>
      <c r="V24" s="81"/>
      <c r="W24" s="81">
        <v>0</v>
      </c>
      <c r="X24" s="81"/>
      <c r="Y24" s="81">
        <v>0</v>
      </c>
      <c r="Z24" s="81"/>
      <c r="AA24" s="78">
        <v>0</v>
      </c>
      <c r="AB24" s="82"/>
      <c r="AC24" s="83"/>
      <c r="AD24" s="82">
        <v>460806</v>
      </c>
      <c r="AE24" s="82"/>
      <c r="AF24" s="82">
        <v>0</v>
      </c>
      <c r="AG24" s="82"/>
      <c r="AH24" s="82">
        <v>0</v>
      </c>
      <c r="AI24" s="82"/>
      <c r="AJ24" s="82">
        <v>0</v>
      </c>
      <c r="AK24" s="82"/>
      <c r="AL24" s="82">
        <v>0</v>
      </c>
      <c r="AM24" s="82"/>
      <c r="AN24" s="82">
        <v>0</v>
      </c>
      <c r="AO24" s="82"/>
      <c r="AP24" s="82">
        <v>0</v>
      </c>
      <c r="AQ24" s="73"/>
      <c r="AR24" s="84"/>
      <c r="AS24" s="85">
        <v>0.33489999999999998</v>
      </c>
      <c r="AT24" s="85"/>
      <c r="AU24" s="85"/>
      <c r="AV24" s="85"/>
      <c r="AW24" s="85"/>
      <c r="AX24" s="85"/>
      <c r="AY24" s="85"/>
      <c r="AZ24" s="85"/>
      <c r="BA24" s="85"/>
      <c r="BB24" s="85"/>
      <c r="BC24" s="85"/>
      <c r="BD24" s="85"/>
      <c r="BE24" s="85"/>
      <c r="BF24" s="73"/>
      <c r="BG24" s="73" t="s">
        <v>359</v>
      </c>
    </row>
    <row r="25" spans="1:59">
      <c r="A25" s="73" t="s">
        <v>402</v>
      </c>
      <c r="B25" s="73" t="s">
        <v>403</v>
      </c>
      <c r="C25" s="74" t="s">
        <v>388</v>
      </c>
      <c r="D25" s="75">
        <v>6056</v>
      </c>
      <c r="E25" s="76">
        <v>60056</v>
      </c>
      <c r="F25" s="74" t="s">
        <v>370</v>
      </c>
      <c r="G25" s="77">
        <v>5121892</v>
      </c>
      <c r="H25" s="78">
        <v>1082</v>
      </c>
      <c r="I25" s="74" t="s">
        <v>364</v>
      </c>
      <c r="J25" s="79" t="s">
        <v>358</v>
      </c>
      <c r="K25" s="79">
        <v>117</v>
      </c>
      <c r="L25" s="80"/>
      <c r="M25" s="81">
        <v>0</v>
      </c>
      <c r="N25" s="81"/>
      <c r="O25" s="81">
        <v>0</v>
      </c>
      <c r="P25" s="81"/>
      <c r="Q25" s="81">
        <v>0</v>
      </c>
      <c r="R25" s="81"/>
      <c r="S25" s="81">
        <v>0</v>
      </c>
      <c r="T25" s="81"/>
      <c r="U25" s="81">
        <v>0</v>
      </c>
      <c r="V25" s="81"/>
      <c r="W25" s="81">
        <v>0</v>
      </c>
      <c r="X25" s="81"/>
      <c r="Y25" s="81">
        <v>116183770</v>
      </c>
      <c r="Z25" s="81"/>
      <c r="AA25" s="78">
        <v>0</v>
      </c>
      <c r="AB25" s="82"/>
      <c r="AC25" s="83"/>
      <c r="AD25" s="82">
        <v>0</v>
      </c>
      <c r="AE25" s="82"/>
      <c r="AF25" s="82">
        <v>0</v>
      </c>
      <c r="AG25" s="82"/>
      <c r="AH25" s="82">
        <v>0</v>
      </c>
      <c r="AI25" s="82"/>
      <c r="AJ25" s="82">
        <v>0</v>
      </c>
      <c r="AK25" s="82"/>
      <c r="AL25" s="82">
        <v>0</v>
      </c>
      <c r="AM25" s="82"/>
      <c r="AN25" s="82">
        <v>9894309</v>
      </c>
      <c r="AO25" s="82"/>
      <c r="AP25" s="82">
        <v>0</v>
      </c>
      <c r="AQ25" s="73"/>
      <c r="AR25" s="84"/>
      <c r="AS25" s="85"/>
      <c r="AT25" s="85"/>
      <c r="AU25" s="85"/>
      <c r="AV25" s="85"/>
      <c r="AW25" s="85"/>
      <c r="AX25" s="85"/>
      <c r="AY25" s="85"/>
      <c r="AZ25" s="85"/>
      <c r="BA25" s="85"/>
      <c r="BB25" s="85"/>
      <c r="BC25" s="85">
        <v>8.5199999999999998E-2</v>
      </c>
      <c r="BD25" s="85"/>
      <c r="BE25" s="85"/>
      <c r="BF25" s="73"/>
      <c r="BG25" s="73" t="s">
        <v>359</v>
      </c>
    </row>
    <row r="26" spans="1:59">
      <c r="A26" s="73" t="s">
        <v>404</v>
      </c>
      <c r="B26" s="73" t="s">
        <v>405</v>
      </c>
      <c r="C26" s="74" t="s">
        <v>406</v>
      </c>
      <c r="D26" s="75">
        <v>8001</v>
      </c>
      <c r="E26" s="76">
        <v>80001</v>
      </c>
      <c r="F26" s="74" t="s">
        <v>370</v>
      </c>
      <c r="G26" s="77">
        <v>1021243</v>
      </c>
      <c r="H26" s="78">
        <v>1081</v>
      </c>
      <c r="I26" s="74" t="s">
        <v>364</v>
      </c>
      <c r="J26" s="79" t="s">
        <v>358</v>
      </c>
      <c r="K26" s="79">
        <v>89</v>
      </c>
      <c r="L26" s="80"/>
      <c r="M26" s="81">
        <v>0</v>
      </c>
      <c r="N26" s="81"/>
      <c r="O26" s="81">
        <v>0</v>
      </c>
      <c r="P26" s="81"/>
      <c r="Q26" s="81">
        <v>0</v>
      </c>
      <c r="R26" s="81"/>
      <c r="S26" s="81">
        <v>0</v>
      </c>
      <c r="T26" s="81"/>
      <c r="U26" s="81">
        <v>0</v>
      </c>
      <c r="V26" s="81"/>
      <c r="W26" s="81">
        <v>0</v>
      </c>
      <c r="X26" s="81"/>
      <c r="Y26" s="81">
        <v>39602347</v>
      </c>
      <c r="Z26" s="81"/>
      <c r="AA26" s="78">
        <v>0</v>
      </c>
      <c r="AB26" s="82"/>
      <c r="AC26" s="83"/>
      <c r="AD26" s="82">
        <v>0</v>
      </c>
      <c r="AE26" s="82"/>
      <c r="AF26" s="82">
        <v>0</v>
      </c>
      <c r="AG26" s="82"/>
      <c r="AH26" s="82">
        <v>0</v>
      </c>
      <c r="AI26" s="82"/>
      <c r="AJ26" s="82">
        <v>0</v>
      </c>
      <c r="AK26" s="82"/>
      <c r="AL26" s="82">
        <v>0</v>
      </c>
      <c r="AM26" s="82"/>
      <c r="AN26" s="82">
        <v>6307169</v>
      </c>
      <c r="AO26" s="82"/>
      <c r="AP26" s="82">
        <v>0</v>
      </c>
      <c r="AQ26" s="73"/>
      <c r="AR26" s="84"/>
      <c r="AS26" s="85"/>
      <c r="AT26" s="85"/>
      <c r="AU26" s="85"/>
      <c r="AV26" s="85"/>
      <c r="AW26" s="85"/>
      <c r="AX26" s="85"/>
      <c r="AY26" s="85"/>
      <c r="AZ26" s="85"/>
      <c r="BA26" s="85"/>
      <c r="BB26" s="85"/>
      <c r="BC26" s="85">
        <v>0.1593</v>
      </c>
      <c r="BD26" s="85"/>
      <c r="BE26" s="85"/>
      <c r="BF26" s="73"/>
      <c r="BG26" s="73" t="s">
        <v>359</v>
      </c>
    </row>
    <row r="27" spans="1:59">
      <c r="A27" s="73" t="s">
        <v>404</v>
      </c>
      <c r="B27" s="73" t="s">
        <v>405</v>
      </c>
      <c r="C27" s="74" t="s">
        <v>406</v>
      </c>
      <c r="D27" s="75">
        <v>8001</v>
      </c>
      <c r="E27" s="76">
        <v>80001</v>
      </c>
      <c r="F27" s="74" t="s">
        <v>370</v>
      </c>
      <c r="G27" s="77">
        <v>1021243</v>
      </c>
      <c r="H27" s="78">
        <v>1081</v>
      </c>
      <c r="I27" s="74" t="s">
        <v>366</v>
      </c>
      <c r="J27" s="79" t="s">
        <v>358</v>
      </c>
      <c r="K27" s="79">
        <v>50</v>
      </c>
      <c r="L27" s="80"/>
      <c r="M27" s="81">
        <v>1921417</v>
      </c>
      <c r="N27" s="81"/>
      <c r="O27" s="81">
        <v>0</v>
      </c>
      <c r="P27" s="81"/>
      <c r="Q27" s="81">
        <v>0</v>
      </c>
      <c r="R27" s="81"/>
      <c r="S27" s="81">
        <v>0</v>
      </c>
      <c r="T27" s="81"/>
      <c r="U27" s="81">
        <v>0</v>
      </c>
      <c r="V27" s="81"/>
      <c r="W27" s="81">
        <v>0</v>
      </c>
      <c r="X27" s="81"/>
      <c r="Y27" s="81">
        <v>0</v>
      </c>
      <c r="Z27" s="81"/>
      <c r="AA27" s="78">
        <v>0</v>
      </c>
      <c r="AB27" s="82"/>
      <c r="AC27" s="83"/>
      <c r="AD27" s="82">
        <v>850933</v>
      </c>
      <c r="AE27" s="82"/>
      <c r="AF27" s="82">
        <v>0</v>
      </c>
      <c r="AG27" s="82"/>
      <c r="AH27" s="82">
        <v>0</v>
      </c>
      <c r="AI27" s="82"/>
      <c r="AJ27" s="82">
        <v>0</v>
      </c>
      <c r="AK27" s="82"/>
      <c r="AL27" s="82">
        <v>0</v>
      </c>
      <c r="AM27" s="82"/>
      <c r="AN27" s="82">
        <v>0</v>
      </c>
      <c r="AO27" s="82"/>
      <c r="AP27" s="82">
        <v>0</v>
      </c>
      <c r="AQ27" s="73"/>
      <c r="AR27" s="84"/>
      <c r="AS27" s="85">
        <v>0.44290000000000002</v>
      </c>
      <c r="AT27" s="85"/>
      <c r="AU27" s="85"/>
      <c r="AV27" s="85"/>
      <c r="AW27" s="85"/>
      <c r="AX27" s="85"/>
      <c r="AY27" s="85"/>
      <c r="AZ27" s="85"/>
      <c r="BA27" s="85"/>
      <c r="BB27" s="85"/>
      <c r="BC27" s="85"/>
      <c r="BD27" s="85"/>
      <c r="BE27" s="85"/>
      <c r="BF27" s="73"/>
      <c r="BG27" s="73" t="s">
        <v>359</v>
      </c>
    </row>
    <row r="28" spans="1:59">
      <c r="A28" s="73" t="s">
        <v>407</v>
      </c>
      <c r="B28" s="73" t="s">
        <v>375</v>
      </c>
      <c r="C28" s="74" t="s">
        <v>376</v>
      </c>
      <c r="D28" s="75">
        <v>5118</v>
      </c>
      <c r="E28" s="76">
        <v>50118</v>
      </c>
      <c r="F28" s="74" t="s">
        <v>370</v>
      </c>
      <c r="G28" s="77">
        <v>8608208</v>
      </c>
      <c r="H28" s="78">
        <v>1066</v>
      </c>
      <c r="I28" s="74" t="s">
        <v>366</v>
      </c>
      <c r="J28" s="79" t="s">
        <v>358</v>
      </c>
      <c r="K28" s="79">
        <v>539</v>
      </c>
      <c r="L28" s="80"/>
      <c r="M28" s="81">
        <v>18100043</v>
      </c>
      <c r="N28" s="81"/>
      <c r="O28" s="81">
        <v>0</v>
      </c>
      <c r="P28" s="81"/>
      <c r="Q28" s="81">
        <v>0</v>
      </c>
      <c r="R28" s="81"/>
      <c r="S28" s="81">
        <v>0</v>
      </c>
      <c r="T28" s="81"/>
      <c r="U28" s="81">
        <v>0</v>
      </c>
      <c r="V28" s="81"/>
      <c r="W28" s="81">
        <v>0</v>
      </c>
      <c r="X28" s="81"/>
      <c r="Y28" s="81">
        <v>56262281</v>
      </c>
      <c r="Z28" s="81"/>
      <c r="AA28" s="78">
        <v>0</v>
      </c>
      <c r="AB28" s="82"/>
      <c r="AC28" s="83"/>
      <c r="AD28" s="82">
        <v>5202961</v>
      </c>
      <c r="AE28" s="82"/>
      <c r="AF28" s="82">
        <v>0</v>
      </c>
      <c r="AG28" s="82"/>
      <c r="AH28" s="82">
        <v>0</v>
      </c>
      <c r="AI28" s="82"/>
      <c r="AJ28" s="82">
        <v>0</v>
      </c>
      <c r="AK28" s="82"/>
      <c r="AL28" s="82">
        <v>0</v>
      </c>
      <c r="AM28" s="82"/>
      <c r="AN28" s="82">
        <v>3759786</v>
      </c>
      <c r="AO28" s="82"/>
      <c r="AP28" s="82">
        <v>0</v>
      </c>
      <c r="AQ28" s="73"/>
      <c r="AR28" s="84"/>
      <c r="AS28" s="85">
        <v>0.28749999999999998</v>
      </c>
      <c r="AT28" s="85"/>
      <c r="AU28" s="85"/>
      <c r="AV28" s="85"/>
      <c r="AW28" s="85"/>
      <c r="AX28" s="85"/>
      <c r="AY28" s="85"/>
      <c r="AZ28" s="85"/>
      <c r="BA28" s="85"/>
      <c r="BB28" s="85"/>
      <c r="BC28" s="85">
        <v>6.6799999999999998E-2</v>
      </c>
      <c r="BD28" s="85"/>
      <c r="BE28" s="85"/>
      <c r="BF28" s="73"/>
      <c r="BG28" s="73" t="s">
        <v>359</v>
      </c>
    </row>
    <row r="29" spans="1:59">
      <c r="A29" s="73" t="s">
        <v>407</v>
      </c>
      <c r="B29" s="73" t="s">
        <v>375</v>
      </c>
      <c r="C29" s="74" t="s">
        <v>376</v>
      </c>
      <c r="D29" s="75">
        <v>5118</v>
      </c>
      <c r="E29" s="76">
        <v>50118</v>
      </c>
      <c r="F29" s="74" t="s">
        <v>370</v>
      </c>
      <c r="G29" s="77">
        <v>8608208</v>
      </c>
      <c r="H29" s="78">
        <v>1066</v>
      </c>
      <c r="I29" s="74" t="s">
        <v>366</v>
      </c>
      <c r="J29" s="79" t="s">
        <v>365</v>
      </c>
      <c r="K29" s="79">
        <v>527</v>
      </c>
      <c r="L29" s="80"/>
      <c r="M29" s="81">
        <v>18100043</v>
      </c>
      <c r="N29" s="81"/>
      <c r="O29" s="81">
        <v>0</v>
      </c>
      <c r="P29" s="81"/>
      <c r="Q29" s="81">
        <v>0</v>
      </c>
      <c r="R29" s="81"/>
      <c r="S29" s="81">
        <v>0</v>
      </c>
      <c r="T29" s="81"/>
      <c r="U29" s="81">
        <v>0</v>
      </c>
      <c r="V29" s="81"/>
      <c r="W29" s="81">
        <v>0</v>
      </c>
      <c r="X29" s="81"/>
      <c r="Y29" s="81">
        <v>0</v>
      </c>
      <c r="Z29" s="81"/>
      <c r="AA29" s="78">
        <v>0</v>
      </c>
      <c r="AB29" s="82"/>
      <c r="AC29" s="83"/>
      <c r="AD29" s="82">
        <v>0</v>
      </c>
      <c r="AE29" s="82"/>
      <c r="AF29" s="82">
        <v>0</v>
      </c>
      <c r="AG29" s="82"/>
      <c r="AH29" s="82">
        <v>0</v>
      </c>
      <c r="AI29" s="82"/>
      <c r="AJ29" s="82">
        <v>0</v>
      </c>
      <c r="AK29" s="82"/>
      <c r="AL29" s="82">
        <v>0</v>
      </c>
      <c r="AM29" s="82"/>
      <c r="AN29" s="82">
        <v>0</v>
      </c>
      <c r="AO29" s="82"/>
      <c r="AP29" s="82">
        <v>0</v>
      </c>
      <c r="AQ29" s="73"/>
      <c r="AR29" s="84"/>
      <c r="AS29" s="85">
        <v>0</v>
      </c>
      <c r="AT29" s="85"/>
      <c r="AU29" s="85"/>
      <c r="AV29" s="85"/>
      <c r="AW29" s="85"/>
      <c r="AX29" s="85"/>
      <c r="AY29" s="85"/>
      <c r="AZ29" s="85"/>
      <c r="BA29" s="85"/>
      <c r="BB29" s="85"/>
      <c r="BC29" s="85"/>
      <c r="BD29" s="85"/>
      <c r="BE29" s="85"/>
      <c r="BF29" s="73"/>
      <c r="BG29" s="73" t="s">
        <v>359</v>
      </c>
    </row>
    <row r="30" spans="1:59">
      <c r="A30" s="73" t="s">
        <v>408</v>
      </c>
      <c r="B30" s="73" t="s">
        <v>409</v>
      </c>
      <c r="C30" s="74" t="s">
        <v>354</v>
      </c>
      <c r="D30" s="75">
        <v>2100</v>
      </c>
      <c r="E30" s="76">
        <v>20100</v>
      </c>
      <c r="F30" s="74" t="s">
        <v>355</v>
      </c>
      <c r="G30" s="77">
        <v>18351295</v>
      </c>
      <c r="H30" s="78">
        <v>1022</v>
      </c>
      <c r="I30" s="74" t="s">
        <v>366</v>
      </c>
      <c r="J30" s="79" t="s">
        <v>358</v>
      </c>
      <c r="K30" s="79">
        <v>1022</v>
      </c>
      <c r="L30" s="80"/>
      <c r="M30" s="81">
        <v>7034074</v>
      </c>
      <c r="N30" s="81"/>
      <c r="O30" s="81">
        <v>0</v>
      </c>
      <c r="P30" s="81"/>
      <c r="Q30" s="81">
        <v>0</v>
      </c>
      <c r="R30" s="81"/>
      <c r="S30" s="81">
        <v>0</v>
      </c>
      <c r="T30" s="81"/>
      <c r="U30" s="81">
        <v>0</v>
      </c>
      <c r="V30" s="81"/>
      <c r="W30" s="81">
        <v>0</v>
      </c>
      <c r="X30" s="81"/>
      <c r="Y30" s="81">
        <v>471350200</v>
      </c>
      <c r="Z30" s="81"/>
      <c r="AA30" s="78">
        <v>0</v>
      </c>
      <c r="AB30" s="82"/>
      <c r="AC30" s="83"/>
      <c r="AD30" s="82">
        <v>757533</v>
      </c>
      <c r="AE30" s="82"/>
      <c r="AF30" s="82">
        <v>0</v>
      </c>
      <c r="AG30" s="82"/>
      <c r="AH30" s="82">
        <v>0</v>
      </c>
      <c r="AI30" s="82"/>
      <c r="AJ30" s="82">
        <v>0</v>
      </c>
      <c r="AK30" s="82"/>
      <c r="AL30" s="82">
        <v>757533</v>
      </c>
      <c r="AM30" s="82"/>
      <c r="AN30" s="82">
        <v>54919600</v>
      </c>
      <c r="AO30" s="82"/>
      <c r="AP30" s="82">
        <v>0</v>
      </c>
      <c r="AQ30" s="73"/>
      <c r="AR30" s="84"/>
      <c r="AS30" s="85">
        <v>0.1077</v>
      </c>
      <c r="AT30" s="85"/>
      <c r="AU30" s="85"/>
      <c r="AV30" s="85"/>
      <c r="AW30" s="85"/>
      <c r="AX30" s="85"/>
      <c r="AY30" s="85"/>
      <c r="AZ30" s="85"/>
      <c r="BA30" s="85"/>
      <c r="BB30" s="85"/>
      <c r="BC30" s="85">
        <v>0.11650000000000001</v>
      </c>
      <c r="BD30" s="85"/>
      <c r="BE30" s="85"/>
      <c r="BF30" s="73"/>
      <c r="BG30" s="73" t="s">
        <v>359</v>
      </c>
    </row>
    <row r="31" spans="1:59">
      <c r="A31" s="73" t="s">
        <v>410</v>
      </c>
      <c r="B31" s="73" t="s">
        <v>411</v>
      </c>
      <c r="C31" s="74" t="s">
        <v>369</v>
      </c>
      <c r="D31" s="75">
        <v>9015</v>
      </c>
      <c r="E31" s="76">
        <v>90015</v>
      </c>
      <c r="F31" s="74" t="s">
        <v>396</v>
      </c>
      <c r="G31" s="77">
        <v>3281212</v>
      </c>
      <c r="H31" s="78">
        <v>996</v>
      </c>
      <c r="I31" s="74" t="s">
        <v>364</v>
      </c>
      <c r="J31" s="79" t="s">
        <v>358</v>
      </c>
      <c r="K31" s="79">
        <v>149</v>
      </c>
      <c r="L31" s="80"/>
      <c r="M31" s="81">
        <v>0</v>
      </c>
      <c r="N31" s="81"/>
      <c r="O31" s="81">
        <v>0</v>
      </c>
      <c r="P31" s="81"/>
      <c r="Q31" s="81">
        <v>0</v>
      </c>
      <c r="R31" s="81"/>
      <c r="S31" s="81">
        <v>0</v>
      </c>
      <c r="T31" s="81"/>
      <c r="U31" s="81">
        <v>0</v>
      </c>
      <c r="V31" s="81"/>
      <c r="W31" s="81">
        <v>0</v>
      </c>
      <c r="X31" s="81"/>
      <c r="Y31" s="81">
        <v>51453351</v>
      </c>
      <c r="Z31" s="81"/>
      <c r="AA31" s="78">
        <v>0</v>
      </c>
      <c r="AB31" s="82"/>
      <c r="AC31" s="83"/>
      <c r="AD31" s="82">
        <v>0</v>
      </c>
      <c r="AE31" s="82"/>
      <c r="AF31" s="82">
        <v>0</v>
      </c>
      <c r="AG31" s="82"/>
      <c r="AH31" s="82">
        <v>0</v>
      </c>
      <c r="AI31" s="82"/>
      <c r="AJ31" s="82">
        <v>0</v>
      </c>
      <c r="AK31" s="82"/>
      <c r="AL31" s="82">
        <v>0</v>
      </c>
      <c r="AM31" s="82"/>
      <c r="AN31" s="82">
        <v>5286597</v>
      </c>
      <c r="AO31" s="82"/>
      <c r="AP31" s="82">
        <v>0</v>
      </c>
      <c r="AQ31" s="73"/>
      <c r="AR31" s="84"/>
      <c r="AS31" s="85"/>
      <c r="AT31" s="85"/>
      <c r="AU31" s="85"/>
      <c r="AV31" s="85"/>
      <c r="AW31" s="85"/>
      <c r="AX31" s="85"/>
      <c r="AY31" s="85"/>
      <c r="AZ31" s="85"/>
      <c r="BA31" s="85"/>
      <c r="BB31" s="85"/>
      <c r="BC31" s="85">
        <v>0.1027</v>
      </c>
      <c r="BD31" s="85"/>
      <c r="BE31" s="85"/>
      <c r="BF31" s="73"/>
      <c r="BG31" s="73" t="s">
        <v>359</v>
      </c>
    </row>
    <row r="32" spans="1:59">
      <c r="A32" s="73" t="s">
        <v>412</v>
      </c>
      <c r="B32" s="73" t="s">
        <v>413</v>
      </c>
      <c r="C32" s="74" t="s">
        <v>414</v>
      </c>
      <c r="D32" s="75">
        <v>8</v>
      </c>
      <c r="E32" s="76">
        <v>8</v>
      </c>
      <c r="F32" s="74" t="s">
        <v>370</v>
      </c>
      <c r="G32" s="77">
        <v>1849898</v>
      </c>
      <c r="H32" s="78">
        <v>982</v>
      </c>
      <c r="I32" s="74" t="s">
        <v>364</v>
      </c>
      <c r="J32" s="79" t="s">
        <v>358</v>
      </c>
      <c r="K32" s="79">
        <v>116</v>
      </c>
      <c r="L32" s="80"/>
      <c r="M32" s="81">
        <v>0</v>
      </c>
      <c r="N32" s="81"/>
      <c r="O32" s="81">
        <v>0</v>
      </c>
      <c r="P32" s="81"/>
      <c r="Q32" s="81">
        <v>0</v>
      </c>
      <c r="R32" s="81"/>
      <c r="S32" s="81">
        <v>0</v>
      </c>
      <c r="T32" s="81"/>
      <c r="U32" s="81">
        <v>0</v>
      </c>
      <c r="V32" s="81"/>
      <c r="W32" s="81">
        <v>0</v>
      </c>
      <c r="X32" s="81"/>
      <c r="Y32" s="81">
        <v>54389715</v>
      </c>
      <c r="Z32" s="81"/>
      <c r="AA32" s="78">
        <v>0</v>
      </c>
      <c r="AB32" s="82"/>
      <c r="AC32" s="83"/>
      <c r="AD32" s="82">
        <v>0</v>
      </c>
      <c r="AE32" s="82"/>
      <c r="AF32" s="82">
        <v>0</v>
      </c>
      <c r="AG32" s="82"/>
      <c r="AH32" s="82">
        <v>0</v>
      </c>
      <c r="AI32" s="82"/>
      <c r="AJ32" s="82">
        <v>0</v>
      </c>
      <c r="AK32" s="82"/>
      <c r="AL32" s="82">
        <v>0</v>
      </c>
      <c r="AM32" s="82"/>
      <c r="AN32" s="82">
        <v>9045741</v>
      </c>
      <c r="AO32" s="82"/>
      <c r="AP32" s="82">
        <v>0</v>
      </c>
      <c r="AQ32" s="73"/>
      <c r="AR32" s="84"/>
      <c r="AS32" s="85"/>
      <c r="AT32" s="85"/>
      <c r="AU32" s="85"/>
      <c r="AV32" s="85"/>
      <c r="AW32" s="85"/>
      <c r="AX32" s="85"/>
      <c r="AY32" s="85"/>
      <c r="AZ32" s="85"/>
      <c r="BA32" s="85"/>
      <c r="BB32" s="85"/>
      <c r="BC32" s="85">
        <v>0.1663</v>
      </c>
      <c r="BD32" s="85"/>
      <c r="BE32" s="85"/>
      <c r="BF32" s="73"/>
      <c r="BG32" s="73" t="s">
        <v>359</v>
      </c>
    </row>
    <row r="33" spans="1:59">
      <c r="A33" s="73" t="s">
        <v>415</v>
      </c>
      <c r="B33" s="73" t="s">
        <v>416</v>
      </c>
      <c r="C33" s="74" t="s">
        <v>417</v>
      </c>
      <c r="D33" s="75">
        <v>4022</v>
      </c>
      <c r="E33" s="76">
        <v>40022</v>
      </c>
      <c r="F33" s="74" t="s">
        <v>370</v>
      </c>
      <c r="G33" s="77">
        <v>4515419</v>
      </c>
      <c r="H33" s="78">
        <v>943</v>
      </c>
      <c r="I33" s="74" t="s">
        <v>357</v>
      </c>
      <c r="J33" s="79" t="s">
        <v>358</v>
      </c>
      <c r="K33" s="79">
        <v>212</v>
      </c>
      <c r="L33" s="80"/>
      <c r="M33" s="81">
        <v>0</v>
      </c>
      <c r="N33" s="81"/>
      <c r="O33" s="81">
        <v>0</v>
      </c>
      <c r="P33" s="81"/>
      <c r="Q33" s="81">
        <v>0</v>
      </c>
      <c r="R33" s="81"/>
      <c r="S33" s="81">
        <v>0</v>
      </c>
      <c r="T33" s="81"/>
      <c r="U33" s="81">
        <v>0</v>
      </c>
      <c r="V33" s="81"/>
      <c r="W33" s="81">
        <v>0</v>
      </c>
      <c r="X33" s="81"/>
      <c r="Y33" s="81">
        <v>83566447</v>
      </c>
      <c r="Z33" s="81"/>
      <c r="AA33" s="78">
        <v>0</v>
      </c>
      <c r="AB33" s="82"/>
      <c r="AC33" s="83"/>
      <c r="AD33" s="82">
        <v>0</v>
      </c>
      <c r="AE33" s="82"/>
      <c r="AF33" s="82">
        <v>0</v>
      </c>
      <c r="AG33" s="82"/>
      <c r="AH33" s="82">
        <v>0</v>
      </c>
      <c r="AI33" s="82"/>
      <c r="AJ33" s="82">
        <v>0</v>
      </c>
      <c r="AK33" s="82"/>
      <c r="AL33" s="82">
        <v>0</v>
      </c>
      <c r="AM33" s="82"/>
      <c r="AN33" s="82">
        <v>19692749</v>
      </c>
      <c r="AO33" s="82"/>
      <c r="AP33" s="82">
        <v>0</v>
      </c>
      <c r="AQ33" s="73"/>
      <c r="AR33" s="84"/>
      <c r="AS33" s="85"/>
      <c r="AT33" s="85"/>
      <c r="AU33" s="85"/>
      <c r="AV33" s="85"/>
      <c r="AW33" s="85"/>
      <c r="AX33" s="85"/>
      <c r="AY33" s="85"/>
      <c r="AZ33" s="85"/>
      <c r="BA33" s="85"/>
      <c r="BB33" s="85"/>
      <c r="BC33" s="85">
        <v>0.23569999999999999</v>
      </c>
      <c r="BD33" s="85"/>
      <c r="BE33" s="85"/>
      <c r="BF33" s="73"/>
      <c r="BG33" s="73" t="s">
        <v>359</v>
      </c>
    </row>
    <row r="34" spans="1:59">
      <c r="A34" s="73" t="s">
        <v>418</v>
      </c>
      <c r="B34" s="73" t="s">
        <v>419</v>
      </c>
      <c r="C34" s="74" t="s">
        <v>385</v>
      </c>
      <c r="D34" s="75">
        <v>3022</v>
      </c>
      <c r="E34" s="76">
        <v>30022</v>
      </c>
      <c r="F34" s="74" t="s">
        <v>370</v>
      </c>
      <c r="G34" s="77">
        <v>1733853</v>
      </c>
      <c r="H34" s="78">
        <v>930</v>
      </c>
      <c r="I34" s="74" t="s">
        <v>364</v>
      </c>
      <c r="J34" s="79" t="s">
        <v>358</v>
      </c>
      <c r="K34" s="79">
        <v>58</v>
      </c>
      <c r="L34" s="80"/>
      <c r="M34" s="81">
        <v>0</v>
      </c>
      <c r="N34" s="81"/>
      <c r="O34" s="81">
        <v>0</v>
      </c>
      <c r="P34" s="81"/>
      <c r="Q34" s="81">
        <v>0</v>
      </c>
      <c r="R34" s="81"/>
      <c r="S34" s="81">
        <v>0</v>
      </c>
      <c r="T34" s="81"/>
      <c r="U34" s="81">
        <v>0</v>
      </c>
      <c r="V34" s="81"/>
      <c r="W34" s="81">
        <v>0</v>
      </c>
      <c r="X34" s="81"/>
      <c r="Y34" s="81">
        <v>30547053</v>
      </c>
      <c r="Z34" s="81"/>
      <c r="AA34" s="78">
        <v>0</v>
      </c>
      <c r="AB34" s="82"/>
      <c r="AC34" s="83"/>
      <c r="AD34" s="82">
        <v>0</v>
      </c>
      <c r="AE34" s="82"/>
      <c r="AF34" s="82">
        <v>0</v>
      </c>
      <c r="AG34" s="82"/>
      <c r="AH34" s="82">
        <v>0</v>
      </c>
      <c r="AI34" s="82"/>
      <c r="AJ34" s="82">
        <v>0</v>
      </c>
      <c r="AK34" s="82"/>
      <c r="AL34" s="82">
        <v>0</v>
      </c>
      <c r="AM34" s="82"/>
      <c r="AN34" s="82">
        <v>2154526</v>
      </c>
      <c r="AO34" s="82"/>
      <c r="AP34" s="82">
        <v>0</v>
      </c>
      <c r="AQ34" s="73"/>
      <c r="AR34" s="84"/>
      <c r="AS34" s="85"/>
      <c r="AT34" s="85"/>
      <c r="AU34" s="85"/>
      <c r="AV34" s="85"/>
      <c r="AW34" s="85"/>
      <c r="AX34" s="85"/>
      <c r="AY34" s="85"/>
      <c r="AZ34" s="85"/>
      <c r="BA34" s="85"/>
      <c r="BB34" s="85"/>
      <c r="BC34" s="85">
        <v>7.0499999999999993E-2</v>
      </c>
      <c r="BD34" s="85"/>
      <c r="BE34" s="85"/>
      <c r="BF34" s="73"/>
      <c r="BG34" s="73" t="s">
        <v>359</v>
      </c>
    </row>
    <row r="35" spans="1:59">
      <c r="A35" s="73" t="s">
        <v>420</v>
      </c>
      <c r="B35" s="73" t="s">
        <v>421</v>
      </c>
      <c r="C35" s="74" t="s">
        <v>369</v>
      </c>
      <c r="D35" s="75">
        <v>9026</v>
      </c>
      <c r="E35" s="76">
        <v>90026</v>
      </c>
      <c r="F35" s="74" t="s">
        <v>370</v>
      </c>
      <c r="G35" s="77">
        <v>2956746</v>
      </c>
      <c r="H35" s="78">
        <v>906</v>
      </c>
      <c r="I35" s="74" t="s">
        <v>364</v>
      </c>
      <c r="J35" s="79" t="s">
        <v>358</v>
      </c>
      <c r="K35" s="79">
        <v>103</v>
      </c>
      <c r="L35" s="80"/>
      <c r="M35" s="81">
        <v>0</v>
      </c>
      <c r="N35" s="81"/>
      <c r="O35" s="81">
        <v>0</v>
      </c>
      <c r="P35" s="81"/>
      <c r="Q35" s="81">
        <v>0</v>
      </c>
      <c r="R35" s="81"/>
      <c r="S35" s="81">
        <v>0</v>
      </c>
      <c r="T35" s="81"/>
      <c r="U35" s="81">
        <v>0</v>
      </c>
      <c r="V35" s="81"/>
      <c r="W35" s="81">
        <v>0</v>
      </c>
      <c r="X35" s="81"/>
      <c r="Y35" s="81">
        <v>52502166</v>
      </c>
      <c r="Z35" s="81"/>
      <c r="AA35" s="78">
        <v>0</v>
      </c>
      <c r="AB35" s="82"/>
      <c r="AC35" s="83"/>
      <c r="AD35" s="82">
        <v>0</v>
      </c>
      <c r="AE35" s="82"/>
      <c r="AF35" s="82">
        <v>0</v>
      </c>
      <c r="AG35" s="82"/>
      <c r="AH35" s="82">
        <v>0</v>
      </c>
      <c r="AI35" s="82"/>
      <c r="AJ35" s="82">
        <v>0</v>
      </c>
      <c r="AK35" s="82"/>
      <c r="AL35" s="82">
        <v>0</v>
      </c>
      <c r="AM35" s="82"/>
      <c r="AN35" s="82">
        <v>9579691</v>
      </c>
      <c r="AO35" s="82"/>
      <c r="AP35" s="82">
        <v>0</v>
      </c>
      <c r="AQ35" s="73"/>
      <c r="AR35" s="84"/>
      <c r="AS35" s="85"/>
      <c r="AT35" s="85"/>
      <c r="AU35" s="85"/>
      <c r="AV35" s="85"/>
      <c r="AW35" s="85"/>
      <c r="AX35" s="85"/>
      <c r="AY35" s="85"/>
      <c r="AZ35" s="85"/>
      <c r="BA35" s="85"/>
      <c r="BB35" s="85"/>
      <c r="BC35" s="85">
        <v>0.1825</v>
      </c>
      <c r="BD35" s="85"/>
      <c r="BE35" s="85"/>
      <c r="BF35" s="73"/>
      <c r="BG35" s="73" t="s">
        <v>359</v>
      </c>
    </row>
    <row r="36" spans="1:59">
      <c r="A36" s="73" t="s">
        <v>422</v>
      </c>
      <c r="B36" s="73" t="s">
        <v>423</v>
      </c>
      <c r="C36" s="74" t="s">
        <v>424</v>
      </c>
      <c r="D36" s="75">
        <v>5027</v>
      </c>
      <c r="E36" s="76">
        <v>50027</v>
      </c>
      <c r="F36" s="74" t="s">
        <v>355</v>
      </c>
      <c r="G36" s="77">
        <v>2650890</v>
      </c>
      <c r="H36" s="78">
        <v>823</v>
      </c>
      <c r="I36" s="74" t="s">
        <v>364</v>
      </c>
      <c r="J36" s="79" t="s">
        <v>358</v>
      </c>
      <c r="K36" s="79">
        <v>76</v>
      </c>
      <c r="L36" s="80"/>
      <c r="M36" s="81">
        <v>0</v>
      </c>
      <c r="N36" s="81"/>
      <c r="O36" s="81">
        <v>0</v>
      </c>
      <c r="P36" s="81"/>
      <c r="Q36" s="81">
        <v>0</v>
      </c>
      <c r="R36" s="81"/>
      <c r="S36" s="81">
        <v>0</v>
      </c>
      <c r="T36" s="81"/>
      <c r="U36" s="81">
        <v>0</v>
      </c>
      <c r="V36" s="81"/>
      <c r="W36" s="81">
        <v>0</v>
      </c>
      <c r="X36" s="81"/>
      <c r="Y36" s="81">
        <v>31871652</v>
      </c>
      <c r="Z36" s="81"/>
      <c r="AA36" s="78">
        <v>0</v>
      </c>
      <c r="AB36" s="82"/>
      <c r="AC36" s="83"/>
      <c r="AD36" s="82">
        <v>0</v>
      </c>
      <c r="AE36" s="82"/>
      <c r="AF36" s="82">
        <v>0</v>
      </c>
      <c r="AG36" s="82"/>
      <c r="AH36" s="82">
        <v>0</v>
      </c>
      <c r="AI36" s="82"/>
      <c r="AJ36" s="82">
        <v>0</v>
      </c>
      <c r="AK36" s="82"/>
      <c r="AL36" s="82">
        <v>0</v>
      </c>
      <c r="AM36" s="82"/>
      <c r="AN36" s="82">
        <v>4153269</v>
      </c>
      <c r="AO36" s="82"/>
      <c r="AP36" s="82">
        <v>0</v>
      </c>
      <c r="AQ36" s="73"/>
      <c r="AR36" s="84"/>
      <c r="AS36" s="85"/>
      <c r="AT36" s="85"/>
      <c r="AU36" s="85"/>
      <c r="AV36" s="85"/>
      <c r="AW36" s="85"/>
      <c r="AX36" s="85"/>
      <c r="AY36" s="85"/>
      <c r="AZ36" s="85"/>
      <c r="BA36" s="85"/>
      <c r="BB36" s="85"/>
      <c r="BC36" s="85">
        <v>0.1303</v>
      </c>
      <c r="BD36" s="85"/>
      <c r="BE36" s="85"/>
      <c r="BF36" s="73"/>
      <c r="BG36" s="73" t="s">
        <v>359</v>
      </c>
    </row>
    <row r="37" spans="1:59">
      <c r="A37" s="73" t="s">
        <v>422</v>
      </c>
      <c r="B37" s="73" t="s">
        <v>423</v>
      </c>
      <c r="C37" s="74" t="s">
        <v>424</v>
      </c>
      <c r="D37" s="75">
        <v>5027</v>
      </c>
      <c r="E37" s="76">
        <v>50027</v>
      </c>
      <c r="F37" s="74" t="s">
        <v>355</v>
      </c>
      <c r="G37" s="77">
        <v>2650890</v>
      </c>
      <c r="H37" s="78">
        <v>823</v>
      </c>
      <c r="I37" s="74" t="s">
        <v>366</v>
      </c>
      <c r="J37" s="79" t="s">
        <v>365</v>
      </c>
      <c r="K37" s="79">
        <v>20</v>
      </c>
      <c r="L37" s="80"/>
      <c r="M37" s="81">
        <v>213780</v>
      </c>
      <c r="N37" s="81"/>
      <c r="O37" s="81">
        <v>0</v>
      </c>
      <c r="P37" s="81"/>
      <c r="Q37" s="81">
        <v>0</v>
      </c>
      <c r="R37" s="81"/>
      <c r="S37" s="81">
        <v>0</v>
      </c>
      <c r="T37" s="81"/>
      <c r="U37" s="81">
        <v>0</v>
      </c>
      <c r="V37" s="81"/>
      <c r="W37" s="81">
        <v>0</v>
      </c>
      <c r="X37" s="81"/>
      <c r="Y37" s="81">
        <v>0</v>
      </c>
      <c r="Z37" s="81"/>
      <c r="AA37" s="78">
        <v>0</v>
      </c>
      <c r="AB37" s="82"/>
      <c r="AC37" s="83"/>
      <c r="AD37" s="82">
        <v>63438</v>
      </c>
      <c r="AE37" s="82"/>
      <c r="AF37" s="82">
        <v>0</v>
      </c>
      <c r="AG37" s="82"/>
      <c r="AH37" s="82">
        <v>0</v>
      </c>
      <c r="AI37" s="82"/>
      <c r="AJ37" s="82">
        <v>0</v>
      </c>
      <c r="AK37" s="82"/>
      <c r="AL37" s="82">
        <v>0</v>
      </c>
      <c r="AM37" s="82"/>
      <c r="AN37" s="82">
        <v>0</v>
      </c>
      <c r="AO37" s="82"/>
      <c r="AP37" s="82">
        <v>0</v>
      </c>
      <c r="AQ37" s="73"/>
      <c r="AR37" s="84"/>
      <c r="AS37" s="85">
        <v>0.29670000000000002</v>
      </c>
      <c r="AT37" s="85"/>
      <c r="AU37" s="85"/>
      <c r="AV37" s="85"/>
      <c r="AW37" s="85"/>
      <c r="AX37" s="85"/>
      <c r="AY37" s="85"/>
      <c r="AZ37" s="85"/>
      <c r="BA37" s="85"/>
      <c r="BB37" s="85"/>
      <c r="BC37" s="85"/>
      <c r="BD37" s="85"/>
      <c r="BE37" s="85"/>
      <c r="BF37" s="73"/>
      <c r="BG37" s="73" t="s">
        <v>359</v>
      </c>
    </row>
    <row r="38" spans="1:59">
      <c r="A38" s="73" t="s">
        <v>425</v>
      </c>
      <c r="B38" s="73" t="s">
        <v>426</v>
      </c>
      <c r="C38" s="74" t="s">
        <v>369</v>
      </c>
      <c r="D38" s="75">
        <v>9013</v>
      </c>
      <c r="E38" s="76">
        <v>90013</v>
      </c>
      <c r="F38" s="74" t="s">
        <v>370</v>
      </c>
      <c r="G38" s="77">
        <v>1664496</v>
      </c>
      <c r="H38" s="78">
        <v>635</v>
      </c>
      <c r="I38" s="74" t="s">
        <v>364</v>
      </c>
      <c r="J38" s="79" t="s">
        <v>358</v>
      </c>
      <c r="K38" s="79">
        <v>61</v>
      </c>
      <c r="L38" s="80"/>
      <c r="M38" s="81">
        <v>0</v>
      </c>
      <c r="N38" s="81"/>
      <c r="O38" s="81">
        <v>0</v>
      </c>
      <c r="P38" s="81"/>
      <c r="Q38" s="81">
        <v>0</v>
      </c>
      <c r="R38" s="81"/>
      <c r="S38" s="81">
        <v>0</v>
      </c>
      <c r="T38" s="81"/>
      <c r="U38" s="81">
        <v>0</v>
      </c>
      <c r="V38" s="81"/>
      <c r="W38" s="81">
        <v>0</v>
      </c>
      <c r="X38" s="81"/>
      <c r="Y38" s="81">
        <v>22062611</v>
      </c>
      <c r="Z38" s="81"/>
      <c r="AA38" s="78">
        <v>0</v>
      </c>
      <c r="AB38" s="82"/>
      <c r="AC38" s="83"/>
      <c r="AD38" s="82">
        <v>0</v>
      </c>
      <c r="AE38" s="82"/>
      <c r="AF38" s="82">
        <v>0</v>
      </c>
      <c r="AG38" s="82"/>
      <c r="AH38" s="82">
        <v>0</v>
      </c>
      <c r="AI38" s="82"/>
      <c r="AJ38" s="82">
        <v>0</v>
      </c>
      <c r="AK38" s="82"/>
      <c r="AL38" s="82">
        <v>0</v>
      </c>
      <c r="AM38" s="82"/>
      <c r="AN38" s="82">
        <v>3093884</v>
      </c>
      <c r="AO38" s="82"/>
      <c r="AP38" s="82">
        <v>0</v>
      </c>
      <c r="AQ38" s="73"/>
      <c r="AR38" s="84"/>
      <c r="AS38" s="85"/>
      <c r="AT38" s="85"/>
      <c r="AU38" s="85"/>
      <c r="AV38" s="85"/>
      <c r="AW38" s="85"/>
      <c r="AX38" s="85"/>
      <c r="AY38" s="85"/>
      <c r="AZ38" s="85"/>
      <c r="BA38" s="85"/>
      <c r="BB38" s="85"/>
      <c r="BC38" s="85">
        <v>0.14019999999999999</v>
      </c>
      <c r="BD38" s="85"/>
      <c r="BE38" s="85"/>
      <c r="BF38" s="73"/>
      <c r="BG38" s="73" t="s">
        <v>359</v>
      </c>
    </row>
    <row r="39" spans="1:59">
      <c r="A39" s="73" t="s">
        <v>427</v>
      </c>
      <c r="B39" s="73" t="s">
        <v>428</v>
      </c>
      <c r="C39" s="74" t="s">
        <v>369</v>
      </c>
      <c r="D39" s="75">
        <v>9003</v>
      </c>
      <c r="E39" s="76">
        <v>90003</v>
      </c>
      <c r="F39" s="74" t="s">
        <v>370</v>
      </c>
      <c r="G39" s="77">
        <v>3281212</v>
      </c>
      <c r="H39" s="78">
        <v>616</v>
      </c>
      <c r="I39" s="74" t="s">
        <v>357</v>
      </c>
      <c r="J39" s="79" t="s">
        <v>358</v>
      </c>
      <c r="K39" s="79">
        <v>599</v>
      </c>
      <c r="L39" s="80"/>
      <c r="M39" s="81">
        <v>0</v>
      </c>
      <c r="N39" s="81"/>
      <c r="O39" s="81">
        <v>0</v>
      </c>
      <c r="P39" s="81"/>
      <c r="Q39" s="81">
        <v>0</v>
      </c>
      <c r="R39" s="81"/>
      <c r="S39" s="81">
        <v>0</v>
      </c>
      <c r="T39" s="81"/>
      <c r="U39" s="81">
        <v>0</v>
      </c>
      <c r="V39" s="81"/>
      <c r="W39" s="81">
        <v>0</v>
      </c>
      <c r="X39" s="81"/>
      <c r="Y39" s="81">
        <v>298200780</v>
      </c>
      <c r="Z39" s="81"/>
      <c r="AA39" s="78">
        <v>0</v>
      </c>
      <c r="AB39" s="82"/>
      <c r="AC39" s="83"/>
      <c r="AD39" s="82">
        <v>0</v>
      </c>
      <c r="AE39" s="82"/>
      <c r="AF39" s="82">
        <v>0</v>
      </c>
      <c r="AG39" s="82"/>
      <c r="AH39" s="82">
        <v>0</v>
      </c>
      <c r="AI39" s="82"/>
      <c r="AJ39" s="82">
        <v>0</v>
      </c>
      <c r="AK39" s="82"/>
      <c r="AL39" s="82">
        <v>0</v>
      </c>
      <c r="AM39" s="82"/>
      <c r="AN39" s="82">
        <v>61097126</v>
      </c>
      <c r="AO39" s="82"/>
      <c r="AP39" s="82">
        <v>0</v>
      </c>
      <c r="AQ39" s="73"/>
      <c r="AR39" s="84"/>
      <c r="AS39" s="85"/>
      <c r="AT39" s="85"/>
      <c r="AU39" s="85"/>
      <c r="AV39" s="85"/>
      <c r="AW39" s="85"/>
      <c r="AX39" s="85"/>
      <c r="AY39" s="85"/>
      <c r="AZ39" s="85"/>
      <c r="BA39" s="85"/>
      <c r="BB39" s="85"/>
      <c r="BC39" s="85">
        <v>0.2049</v>
      </c>
      <c r="BD39" s="85"/>
      <c r="BE39" s="85"/>
      <c r="BF39" s="73"/>
      <c r="BG39" s="73" t="s">
        <v>359</v>
      </c>
    </row>
    <row r="40" spans="1:59">
      <c r="A40" s="73" t="s">
        <v>429</v>
      </c>
      <c r="B40" s="73" t="s">
        <v>430</v>
      </c>
      <c r="C40" s="74" t="s">
        <v>431</v>
      </c>
      <c r="D40" s="75">
        <v>7006</v>
      </c>
      <c r="E40" s="76">
        <v>70006</v>
      </c>
      <c r="F40" s="74" t="s">
        <v>370</v>
      </c>
      <c r="G40" s="77">
        <v>2150706</v>
      </c>
      <c r="H40" s="78">
        <v>493</v>
      </c>
      <c r="I40" s="74" t="s">
        <v>364</v>
      </c>
      <c r="J40" s="79" t="s">
        <v>358</v>
      </c>
      <c r="K40" s="79">
        <v>50</v>
      </c>
      <c r="L40" s="80"/>
      <c r="M40" s="81">
        <v>0</v>
      </c>
      <c r="N40" s="81"/>
      <c r="O40" s="81">
        <v>0</v>
      </c>
      <c r="P40" s="81"/>
      <c r="Q40" s="81">
        <v>0</v>
      </c>
      <c r="R40" s="81"/>
      <c r="S40" s="81">
        <v>0</v>
      </c>
      <c r="T40" s="81"/>
      <c r="U40" s="81">
        <v>0</v>
      </c>
      <c r="V40" s="81"/>
      <c r="W40" s="81">
        <v>0</v>
      </c>
      <c r="X40" s="81"/>
      <c r="Y40" s="81">
        <v>36496148</v>
      </c>
      <c r="Z40" s="81"/>
      <c r="AA40" s="78">
        <v>0</v>
      </c>
      <c r="AB40" s="82"/>
      <c r="AC40" s="83"/>
      <c r="AD40" s="82">
        <v>0</v>
      </c>
      <c r="AE40" s="82"/>
      <c r="AF40" s="82">
        <v>0</v>
      </c>
      <c r="AG40" s="82"/>
      <c r="AH40" s="82">
        <v>0</v>
      </c>
      <c r="AI40" s="82"/>
      <c r="AJ40" s="82">
        <v>0</v>
      </c>
      <c r="AK40" s="82"/>
      <c r="AL40" s="82">
        <v>0</v>
      </c>
      <c r="AM40" s="82"/>
      <c r="AN40" s="82">
        <v>5934378</v>
      </c>
      <c r="AO40" s="82"/>
      <c r="AP40" s="82">
        <v>0</v>
      </c>
      <c r="AQ40" s="73"/>
      <c r="AR40" s="84"/>
      <c r="AS40" s="85"/>
      <c r="AT40" s="85"/>
      <c r="AU40" s="85"/>
      <c r="AV40" s="85"/>
      <c r="AW40" s="85"/>
      <c r="AX40" s="85"/>
      <c r="AY40" s="85"/>
      <c r="AZ40" s="85"/>
      <c r="BA40" s="85"/>
      <c r="BB40" s="85"/>
      <c r="BC40" s="85">
        <v>0.16259999999999999</v>
      </c>
      <c r="BD40" s="85"/>
      <c r="BE40" s="85"/>
      <c r="BF40" s="73"/>
      <c r="BG40" s="73" t="s">
        <v>359</v>
      </c>
    </row>
    <row r="41" spans="1:59">
      <c r="A41" s="73" t="s">
        <v>432</v>
      </c>
      <c r="B41" s="73" t="s">
        <v>433</v>
      </c>
      <c r="C41" s="74" t="s">
        <v>434</v>
      </c>
      <c r="D41" s="75">
        <v>5015</v>
      </c>
      <c r="E41" s="76">
        <v>50015</v>
      </c>
      <c r="F41" s="74" t="s">
        <v>370</v>
      </c>
      <c r="G41" s="77">
        <v>1780673</v>
      </c>
      <c r="H41" s="78">
        <v>418</v>
      </c>
      <c r="I41" s="74" t="s">
        <v>364</v>
      </c>
      <c r="J41" s="79" t="s">
        <v>358</v>
      </c>
      <c r="K41" s="79">
        <v>6</v>
      </c>
      <c r="L41" s="80"/>
      <c r="M41" s="81">
        <v>0</v>
      </c>
      <c r="N41" s="81"/>
      <c r="O41" s="81">
        <v>0</v>
      </c>
      <c r="P41" s="81"/>
      <c r="Q41" s="81">
        <v>0</v>
      </c>
      <c r="R41" s="81"/>
      <c r="S41" s="81">
        <v>0</v>
      </c>
      <c r="T41" s="81"/>
      <c r="U41" s="81">
        <v>0</v>
      </c>
      <c r="V41" s="81"/>
      <c r="W41" s="81">
        <v>0</v>
      </c>
      <c r="X41" s="81"/>
      <c r="Y41" s="81">
        <v>11321758</v>
      </c>
      <c r="Z41" s="81"/>
      <c r="AA41" s="78">
        <v>0</v>
      </c>
      <c r="AB41" s="82"/>
      <c r="AC41" s="83"/>
      <c r="AD41" s="82">
        <v>0</v>
      </c>
      <c r="AE41" s="82"/>
      <c r="AF41" s="82">
        <v>0</v>
      </c>
      <c r="AG41" s="82"/>
      <c r="AH41" s="82">
        <v>0</v>
      </c>
      <c r="AI41" s="82"/>
      <c r="AJ41" s="82">
        <v>0</v>
      </c>
      <c r="AK41" s="82"/>
      <c r="AL41" s="82">
        <v>0</v>
      </c>
      <c r="AM41" s="82"/>
      <c r="AN41" s="82">
        <v>625941</v>
      </c>
      <c r="AO41" s="82"/>
      <c r="AP41" s="82">
        <v>0</v>
      </c>
      <c r="AQ41" s="73"/>
      <c r="AR41" s="84"/>
      <c r="AS41" s="85"/>
      <c r="AT41" s="85"/>
      <c r="AU41" s="85"/>
      <c r="AV41" s="85"/>
      <c r="AW41" s="85"/>
      <c r="AX41" s="85"/>
      <c r="AY41" s="85"/>
      <c r="AZ41" s="85"/>
      <c r="BA41" s="85"/>
      <c r="BB41" s="85"/>
      <c r="BC41" s="85">
        <v>5.5300000000000002E-2</v>
      </c>
      <c r="BD41" s="85"/>
      <c r="BE41" s="85"/>
      <c r="BF41" s="73"/>
      <c r="BG41" s="73" t="s">
        <v>359</v>
      </c>
    </row>
    <row r="42" spans="1:59">
      <c r="A42" s="73" t="s">
        <v>432</v>
      </c>
      <c r="B42" s="73" t="s">
        <v>433</v>
      </c>
      <c r="C42" s="74" t="s">
        <v>434</v>
      </c>
      <c r="D42" s="75">
        <v>5015</v>
      </c>
      <c r="E42" s="76">
        <v>50015</v>
      </c>
      <c r="F42" s="74" t="s">
        <v>370</v>
      </c>
      <c r="G42" s="77">
        <v>1780673</v>
      </c>
      <c r="H42" s="78">
        <v>418</v>
      </c>
      <c r="I42" s="74" t="s">
        <v>357</v>
      </c>
      <c r="J42" s="79" t="s">
        <v>358</v>
      </c>
      <c r="K42" s="79">
        <v>16</v>
      </c>
      <c r="L42" s="80"/>
      <c r="M42" s="81">
        <v>0</v>
      </c>
      <c r="N42" s="81"/>
      <c r="O42" s="81">
        <v>0</v>
      </c>
      <c r="P42" s="81"/>
      <c r="Q42" s="81">
        <v>0</v>
      </c>
      <c r="R42" s="81"/>
      <c r="S42" s="81">
        <v>0</v>
      </c>
      <c r="T42" s="81"/>
      <c r="U42" s="81">
        <v>0</v>
      </c>
      <c r="V42" s="81"/>
      <c r="W42" s="81">
        <v>0</v>
      </c>
      <c r="X42" s="81"/>
      <c r="Y42" s="81">
        <v>20768378</v>
      </c>
      <c r="Z42" s="81"/>
      <c r="AA42" s="78">
        <v>0</v>
      </c>
      <c r="AB42" s="82"/>
      <c r="AC42" s="83"/>
      <c r="AD42" s="82">
        <v>0</v>
      </c>
      <c r="AE42" s="82"/>
      <c r="AF42" s="82">
        <v>0</v>
      </c>
      <c r="AG42" s="82"/>
      <c r="AH42" s="82">
        <v>0</v>
      </c>
      <c r="AI42" s="82"/>
      <c r="AJ42" s="82">
        <v>0</v>
      </c>
      <c r="AK42" s="82"/>
      <c r="AL42" s="82">
        <v>0</v>
      </c>
      <c r="AM42" s="82"/>
      <c r="AN42" s="82">
        <v>2295631</v>
      </c>
      <c r="AO42" s="82"/>
      <c r="AP42" s="82">
        <v>0</v>
      </c>
      <c r="AQ42" s="73"/>
      <c r="AR42" s="84"/>
      <c r="AS42" s="85"/>
      <c r="AT42" s="85"/>
      <c r="AU42" s="85"/>
      <c r="AV42" s="85"/>
      <c r="AW42" s="85"/>
      <c r="AX42" s="85"/>
      <c r="AY42" s="85"/>
      <c r="AZ42" s="85"/>
      <c r="BA42" s="85"/>
      <c r="BB42" s="85"/>
      <c r="BC42" s="85">
        <v>0.1105</v>
      </c>
      <c r="BD42" s="85"/>
      <c r="BE42" s="85"/>
      <c r="BF42" s="73"/>
      <c r="BG42" s="73" t="s">
        <v>359</v>
      </c>
    </row>
    <row r="43" spans="1:59">
      <c r="A43" s="73" t="s">
        <v>435</v>
      </c>
      <c r="B43" s="73" t="s">
        <v>436</v>
      </c>
      <c r="C43" s="74" t="s">
        <v>437</v>
      </c>
      <c r="D43" s="75">
        <v>3083</v>
      </c>
      <c r="E43" s="76">
        <v>30083</v>
      </c>
      <c r="F43" s="74" t="s">
        <v>370</v>
      </c>
      <c r="G43" s="77">
        <v>1439666</v>
      </c>
      <c r="H43" s="78">
        <v>417</v>
      </c>
      <c r="I43" s="74" t="s">
        <v>364</v>
      </c>
      <c r="J43" s="79" t="s">
        <v>358</v>
      </c>
      <c r="K43" s="79">
        <v>6</v>
      </c>
      <c r="L43" s="80"/>
      <c r="M43" s="81">
        <v>0</v>
      </c>
      <c r="N43" s="81"/>
      <c r="O43" s="81">
        <v>0</v>
      </c>
      <c r="P43" s="81"/>
      <c r="Q43" s="81">
        <v>0</v>
      </c>
      <c r="R43" s="81"/>
      <c r="S43" s="81">
        <v>0</v>
      </c>
      <c r="T43" s="81"/>
      <c r="U43" s="81">
        <v>0</v>
      </c>
      <c r="V43" s="81"/>
      <c r="W43" s="81">
        <v>0</v>
      </c>
      <c r="X43" s="81"/>
      <c r="Y43" s="81">
        <v>3318000</v>
      </c>
      <c r="Z43" s="81"/>
      <c r="AA43" s="78">
        <v>0</v>
      </c>
      <c r="AB43" s="82"/>
      <c r="AC43" s="83"/>
      <c r="AD43" s="82">
        <v>0</v>
      </c>
      <c r="AE43" s="82"/>
      <c r="AF43" s="82">
        <v>0</v>
      </c>
      <c r="AG43" s="82"/>
      <c r="AH43" s="82">
        <v>0</v>
      </c>
      <c r="AI43" s="82"/>
      <c r="AJ43" s="82">
        <v>0</v>
      </c>
      <c r="AK43" s="82"/>
      <c r="AL43" s="82">
        <v>0</v>
      </c>
      <c r="AM43" s="82"/>
      <c r="AN43" s="82">
        <v>345837</v>
      </c>
      <c r="AO43" s="82"/>
      <c r="AP43" s="82">
        <v>0</v>
      </c>
      <c r="AQ43" s="73"/>
      <c r="AR43" s="84"/>
      <c r="AS43" s="85"/>
      <c r="AT43" s="85"/>
      <c r="AU43" s="85"/>
      <c r="AV43" s="85"/>
      <c r="AW43" s="85"/>
      <c r="AX43" s="85"/>
      <c r="AY43" s="85"/>
      <c r="AZ43" s="85"/>
      <c r="BA43" s="85"/>
      <c r="BB43" s="85"/>
      <c r="BC43" s="85">
        <v>0.1042</v>
      </c>
      <c r="BD43" s="85"/>
      <c r="BE43" s="85"/>
      <c r="BF43" s="73"/>
      <c r="BG43" s="73" t="s">
        <v>359</v>
      </c>
    </row>
    <row r="44" spans="1:59">
      <c r="A44" s="73" t="s">
        <v>438</v>
      </c>
      <c r="B44" s="73" t="s">
        <v>439</v>
      </c>
      <c r="C44" s="74" t="s">
        <v>440</v>
      </c>
      <c r="D44" s="75">
        <v>4008</v>
      </c>
      <c r="E44" s="76">
        <v>40008</v>
      </c>
      <c r="F44" s="74" t="s">
        <v>396</v>
      </c>
      <c r="G44" s="77">
        <v>1249442</v>
      </c>
      <c r="H44" s="78">
        <v>409</v>
      </c>
      <c r="I44" s="74" t="s">
        <v>364</v>
      </c>
      <c r="J44" s="79" t="s">
        <v>358</v>
      </c>
      <c r="K44" s="79">
        <v>36</v>
      </c>
      <c r="L44" s="80"/>
      <c r="M44" s="81">
        <v>0</v>
      </c>
      <c r="N44" s="81"/>
      <c r="O44" s="81">
        <v>0</v>
      </c>
      <c r="P44" s="81"/>
      <c r="Q44" s="81">
        <v>0</v>
      </c>
      <c r="R44" s="81"/>
      <c r="S44" s="81">
        <v>0</v>
      </c>
      <c r="T44" s="81"/>
      <c r="U44" s="81">
        <v>0</v>
      </c>
      <c r="V44" s="81"/>
      <c r="W44" s="81">
        <v>0</v>
      </c>
      <c r="X44" s="81"/>
      <c r="Y44" s="81">
        <v>16786660</v>
      </c>
      <c r="Z44" s="81"/>
      <c r="AA44" s="78">
        <v>0</v>
      </c>
      <c r="AB44" s="82"/>
      <c r="AC44" s="83"/>
      <c r="AD44" s="82">
        <v>0</v>
      </c>
      <c r="AE44" s="82"/>
      <c r="AF44" s="82">
        <v>0</v>
      </c>
      <c r="AG44" s="82"/>
      <c r="AH44" s="82">
        <v>0</v>
      </c>
      <c r="AI44" s="82"/>
      <c r="AJ44" s="82">
        <v>0</v>
      </c>
      <c r="AK44" s="82"/>
      <c r="AL44" s="82">
        <v>0</v>
      </c>
      <c r="AM44" s="82"/>
      <c r="AN44" s="82">
        <v>2267804</v>
      </c>
      <c r="AO44" s="82"/>
      <c r="AP44" s="82">
        <v>0</v>
      </c>
      <c r="AQ44" s="73"/>
      <c r="AR44" s="84"/>
      <c r="AS44" s="85"/>
      <c r="AT44" s="85"/>
      <c r="AU44" s="85"/>
      <c r="AV44" s="85"/>
      <c r="AW44" s="85"/>
      <c r="AX44" s="85"/>
      <c r="AY44" s="85"/>
      <c r="AZ44" s="85"/>
      <c r="BA44" s="85"/>
      <c r="BB44" s="85"/>
      <c r="BC44" s="85">
        <v>0.1351</v>
      </c>
      <c r="BD44" s="85"/>
      <c r="BE44" s="85"/>
      <c r="BF44" s="73"/>
      <c r="BG44" s="73" t="s">
        <v>359</v>
      </c>
    </row>
    <row r="45" spans="1:59">
      <c r="A45" s="73" t="s">
        <v>441</v>
      </c>
      <c r="B45" s="73" t="s">
        <v>442</v>
      </c>
      <c r="C45" s="74" t="s">
        <v>443</v>
      </c>
      <c r="D45" s="75">
        <v>40</v>
      </c>
      <c r="E45" s="76">
        <v>40</v>
      </c>
      <c r="F45" s="74" t="s">
        <v>370</v>
      </c>
      <c r="G45" s="77">
        <v>3059393</v>
      </c>
      <c r="H45" s="78">
        <v>381</v>
      </c>
      <c r="I45" s="74" t="s">
        <v>366</v>
      </c>
      <c r="J45" s="79" t="s">
        <v>365</v>
      </c>
      <c r="K45" s="79">
        <v>70</v>
      </c>
      <c r="L45" s="80"/>
      <c r="M45" s="81">
        <v>625305</v>
      </c>
      <c r="N45" s="81"/>
      <c r="O45" s="81">
        <v>0</v>
      </c>
      <c r="P45" s="81"/>
      <c r="Q45" s="81">
        <v>0</v>
      </c>
      <c r="R45" s="81"/>
      <c r="S45" s="81">
        <v>0</v>
      </c>
      <c r="T45" s="81"/>
      <c r="U45" s="81">
        <v>0</v>
      </c>
      <c r="V45" s="81"/>
      <c r="W45" s="81">
        <v>0</v>
      </c>
      <c r="X45" s="81"/>
      <c r="Y45" s="81">
        <v>0</v>
      </c>
      <c r="Z45" s="81"/>
      <c r="AA45" s="78">
        <v>0</v>
      </c>
      <c r="AB45" s="82"/>
      <c r="AC45" s="83"/>
      <c r="AD45" s="82">
        <v>335545</v>
      </c>
      <c r="AE45" s="82"/>
      <c r="AF45" s="82">
        <v>0</v>
      </c>
      <c r="AG45" s="82"/>
      <c r="AH45" s="82">
        <v>0</v>
      </c>
      <c r="AI45" s="82"/>
      <c r="AJ45" s="82">
        <v>0</v>
      </c>
      <c r="AK45" s="82"/>
      <c r="AL45" s="82">
        <v>0</v>
      </c>
      <c r="AM45" s="82"/>
      <c r="AN45" s="82">
        <v>0</v>
      </c>
      <c r="AO45" s="82"/>
      <c r="AP45" s="82">
        <v>0</v>
      </c>
      <c r="AQ45" s="73"/>
      <c r="AR45" s="84"/>
      <c r="AS45" s="85">
        <v>0.53659999999999997</v>
      </c>
      <c r="AT45" s="85"/>
      <c r="AU45" s="85"/>
      <c r="AV45" s="85"/>
      <c r="AW45" s="85"/>
      <c r="AX45" s="85"/>
      <c r="AY45" s="85"/>
      <c r="AZ45" s="85"/>
      <c r="BA45" s="85"/>
      <c r="BB45" s="85"/>
      <c r="BC45" s="85"/>
      <c r="BD45" s="85"/>
      <c r="BE45" s="85"/>
      <c r="BF45" s="73"/>
      <c r="BG45" s="73" t="s">
        <v>359</v>
      </c>
    </row>
    <row r="46" spans="1:59">
      <c r="A46" s="73" t="s">
        <v>441</v>
      </c>
      <c r="B46" s="73" t="s">
        <v>442</v>
      </c>
      <c r="C46" s="74" t="s">
        <v>443</v>
      </c>
      <c r="D46" s="75">
        <v>40</v>
      </c>
      <c r="E46" s="76">
        <v>40</v>
      </c>
      <c r="F46" s="74" t="s">
        <v>370</v>
      </c>
      <c r="G46" s="77">
        <v>3059393</v>
      </c>
      <c r="H46" s="78">
        <v>381</v>
      </c>
      <c r="I46" s="74" t="s">
        <v>364</v>
      </c>
      <c r="J46" s="79" t="s">
        <v>358</v>
      </c>
      <c r="K46" s="79">
        <v>48</v>
      </c>
      <c r="L46" s="80"/>
      <c r="M46" s="81">
        <v>0</v>
      </c>
      <c r="N46" s="81"/>
      <c r="O46" s="81">
        <v>0</v>
      </c>
      <c r="P46" s="81"/>
      <c r="Q46" s="81">
        <v>0</v>
      </c>
      <c r="R46" s="81"/>
      <c r="S46" s="81">
        <v>0</v>
      </c>
      <c r="T46" s="81"/>
      <c r="U46" s="81">
        <v>0</v>
      </c>
      <c r="V46" s="81"/>
      <c r="W46" s="81">
        <v>0</v>
      </c>
      <c r="X46" s="81"/>
      <c r="Y46" s="81">
        <v>20355203</v>
      </c>
      <c r="Z46" s="81"/>
      <c r="AA46" s="78">
        <v>0</v>
      </c>
      <c r="AB46" s="82"/>
      <c r="AC46" s="83"/>
      <c r="AD46" s="82">
        <v>0</v>
      </c>
      <c r="AE46" s="82"/>
      <c r="AF46" s="82">
        <v>0</v>
      </c>
      <c r="AG46" s="82"/>
      <c r="AH46" s="82">
        <v>0</v>
      </c>
      <c r="AI46" s="82"/>
      <c r="AJ46" s="82">
        <v>0</v>
      </c>
      <c r="AK46" s="82"/>
      <c r="AL46" s="82">
        <v>0</v>
      </c>
      <c r="AM46" s="82"/>
      <c r="AN46" s="82">
        <v>4232555</v>
      </c>
      <c r="AO46" s="82"/>
      <c r="AP46" s="82">
        <v>0</v>
      </c>
      <c r="AQ46" s="73"/>
      <c r="AR46" s="84"/>
      <c r="AS46" s="85"/>
      <c r="AT46" s="85"/>
      <c r="AU46" s="85"/>
      <c r="AV46" s="85"/>
      <c r="AW46" s="85"/>
      <c r="AX46" s="85"/>
      <c r="AY46" s="85"/>
      <c r="AZ46" s="85"/>
      <c r="BA46" s="85"/>
      <c r="BB46" s="85"/>
      <c r="BC46" s="85">
        <v>0.2079</v>
      </c>
      <c r="BD46" s="85"/>
      <c r="BE46" s="85"/>
      <c r="BF46" s="73"/>
      <c r="BG46" s="73" t="s">
        <v>359</v>
      </c>
    </row>
    <row r="47" spans="1:59">
      <c r="A47" s="73" t="s">
        <v>444</v>
      </c>
      <c r="B47" s="73" t="s">
        <v>445</v>
      </c>
      <c r="C47" s="74" t="s">
        <v>354</v>
      </c>
      <c r="D47" s="75">
        <v>2004</v>
      </c>
      <c r="E47" s="76">
        <v>20004</v>
      </c>
      <c r="F47" s="74" t="s">
        <v>370</v>
      </c>
      <c r="G47" s="77">
        <v>935906</v>
      </c>
      <c r="H47" s="78">
        <v>359</v>
      </c>
      <c r="I47" s="74" t="s">
        <v>364</v>
      </c>
      <c r="J47" s="79" t="s">
        <v>358</v>
      </c>
      <c r="K47" s="79">
        <v>23</v>
      </c>
      <c r="L47" s="80"/>
      <c r="M47" s="81">
        <v>0</v>
      </c>
      <c r="N47" s="81"/>
      <c r="O47" s="81">
        <v>0</v>
      </c>
      <c r="P47" s="81"/>
      <c r="Q47" s="81">
        <v>0</v>
      </c>
      <c r="R47" s="81"/>
      <c r="S47" s="81">
        <v>0</v>
      </c>
      <c r="T47" s="81"/>
      <c r="U47" s="81">
        <v>0</v>
      </c>
      <c r="V47" s="81"/>
      <c r="W47" s="81">
        <v>0</v>
      </c>
      <c r="X47" s="81"/>
      <c r="Y47" s="81">
        <v>7920559</v>
      </c>
      <c r="Z47" s="81"/>
      <c r="AA47" s="78">
        <v>0</v>
      </c>
      <c r="AB47" s="82"/>
      <c r="AC47" s="83"/>
      <c r="AD47" s="82">
        <v>0</v>
      </c>
      <c r="AE47" s="82"/>
      <c r="AF47" s="82">
        <v>0</v>
      </c>
      <c r="AG47" s="82"/>
      <c r="AH47" s="82">
        <v>0</v>
      </c>
      <c r="AI47" s="82"/>
      <c r="AJ47" s="82">
        <v>0</v>
      </c>
      <c r="AK47" s="82"/>
      <c r="AL47" s="82">
        <v>0</v>
      </c>
      <c r="AM47" s="82"/>
      <c r="AN47" s="82">
        <v>990450</v>
      </c>
      <c r="AO47" s="82"/>
      <c r="AP47" s="82">
        <v>0</v>
      </c>
      <c r="AQ47" s="73"/>
      <c r="AR47" s="84"/>
      <c r="AS47" s="85"/>
      <c r="AT47" s="85"/>
      <c r="AU47" s="85"/>
      <c r="AV47" s="85"/>
      <c r="AW47" s="85"/>
      <c r="AX47" s="85"/>
      <c r="AY47" s="85"/>
      <c r="AZ47" s="85"/>
      <c r="BA47" s="85"/>
      <c r="BB47" s="85"/>
      <c r="BC47" s="85">
        <v>0.125</v>
      </c>
      <c r="BD47" s="85"/>
      <c r="BE47" s="85"/>
      <c r="BF47" s="73"/>
      <c r="BG47" s="73" t="s">
        <v>359</v>
      </c>
    </row>
    <row r="48" spans="1:59">
      <c r="A48" s="73" t="s">
        <v>446</v>
      </c>
      <c r="B48" s="73" t="s">
        <v>447</v>
      </c>
      <c r="C48" s="74" t="s">
        <v>369</v>
      </c>
      <c r="D48" s="75">
        <v>9019</v>
      </c>
      <c r="E48" s="76">
        <v>90019</v>
      </c>
      <c r="F48" s="74" t="s">
        <v>370</v>
      </c>
      <c r="G48" s="77">
        <v>1723634</v>
      </c>
      <c r="H48" s="78">
        <v>331</v>
      </c>
      <c r="I48" s="74" t="s">
        <v>364</v>
      </c>
      <c r="J48" s="79" t="s">
        <v>358</v>
      </c>
      <c r="K48" s="79">
        <v>69</v>
      </c>
      <c r="L48" s="80"/>
      <c r="M48" s="81">
        <v>0</v>
      </c>
      <c r="N48" s="81"/>
      <c r="O48" s="81">
        <v>0</v>
      </c>
      <c r="P48" s="81"/>
      <c r="Q48" s="81">
        <v>0</v>
      </c>
      <c r="R48" s="81"/>
      <c r="S48" s="81">
        <v>0</v>
      </c>
      <c r="T48" s="81"/>
      <c r="U48" s="81">
        <v>0</v>
      </c>
      <c r="V48" s="81"/>
      <c r="W48" s="81">
        <v>0</v>
      </c>
      <c r="X48" s="81"/>
      <c r="Y48" s="81">
        <v>30089655</v>
      </c>
      <c r="Z48" s="81"/>
      <c r="AA48" s="78">
        <v>0</v>
      </c>
      <c r="AB48" s="82"/>
      <c r="AC48" s="83"/>
      <c r="AD48" s="82">
        <v>0</v>
      </c>
      <c r="AE48" s="82"/>
      <c r="AF48" s="82">
        <v>0</v>
      </c>
      <c r="AG48" s="82"/>
      <c r="AH48" s="82">
        <v>0</v>
      </c>
      <c r="AI48" s="82"/>
      <c r="AJ48" s="82">
        <v>0</v>
      </c>
      <c r="AK48" s="82"/>
      <c r="AL48" s="82">
        <v>0</v>
      </c>
      <c r="AM48" s="82"/>
      <c r="AN48" s="82">
        <v>3768892</v>
      </c>
      <c r="AO48" s="82"/>
      <c r="AP48" s="82">
        <v>0</v>
      </c>
      <c r="AQ48" s="73"/>
      <c r="AR48" s="84"/>
      <c r="AS48" s="85"/>
      <c r="AT48" s="85"/>
      <c r="AU48" s="85"/>
      <c r="AV48" s="85"/>
      <c r="AW48" s="85"/>
      <c r="AX48" s="85"/>
      <c r="AY48" s="85"/>
      <c r="AZ48" s="85"/>
      <c r="BA48" s="85"/>
      <c r="BB48" s="85"/>
      <c r="BC48" s="85">
        <v>0.12529999999999999</v>
      </c>
      <c r="BD48" s="85"/>
      <c r="BE48" s="85"/>
      <c r="BF48" s="73"/>
      <c r="BG48" s="73" t="s">
        <v>359</v>
      </c>
    </row>
    <row r="49" spans="1:59">
      <c r="A49" s="73" t="s">
        <v>448</v>
      </c>
      <c r="B49" s="73" t="s">
        <v>449</v>
      </c>
      <c r="C49" s="74" t="s">
        <v>388</v>
      </c>
      <c r="D49" s="75">
        <v>6007</v>
      </c>
      <c r="E49" s="76">
        <v>60007</v>
      </c>
      <c r="F49" s="74" t="s">
        <v>370</v>
      </c>
      <c r="G49" s="77">
        <v>5121892</v>
      </c>
      <c r="H49" s="78">
        <v>312</v>
      </c>
      <c r="I49" s="74" t="s">
        <v>366</v>
      </c>
      <c r="J49" s="79" t="s">
        <v>365</v>
      </c>
      <c r="K49" s="79">
        <v>20</v>
      </c>
      <c r="L49" s="80"/>
      <c r="M49" s="81">
        <v>442412</v>
      </c>
      <c r="N49" s="81"/>
      <c r="O49" s="81">
        <v>0</v>
      </c>
      <c r="P49" s="81"/>
      <c r="Q49" s="81">
        <v>0</v>
      </c>
      <c r="R49" s="81"/>
      <c r="S49" s="81">
        <v>0</v>
      </c>
      <c r="T49" s="81"/>
      <c r="U49" s="81">
        <v>0</v>
      </c>
      <c r="V49" s="81"/>
      <c r="W49" s="81">
        <v>0</v>
      </c>
      <c r="X49" s="81"/>
      <c r="Y49" s="81">
        <v>0</v>
      </c>
      <c r="Z49" s="81"/>
      <c r="AA49" s="78">
        <v>0</v>
      </c>
      <c r="AB49" s="82"/>
      <c r="AC49" s="83"/>
      <c r="AD49" s="82">
        <v>2349673</v>
      </c>
      <c r="AE49" s="82"/>
      <c r="AF49" s="82">
        <v>0</v>
      </c>
      <c r="AG49" s="82"/>
      <c r="AH49" s="82">
        <v>0</v>
      </c>
      <c r="AI49" s="82"/>
      <c r="AJ49" s="82">
        <v>0</v>
      </c>
      <c r="AK49" s="82"/>
      <c r="AL49" s="82">
        <v>0</v>
      </c>
      <c r="AM49" s="82"/>
      <c r="AN49" s="82">
        <v>0</v>
      </c>
      <c r="AO49" s="82"/>
      <c r="AP49" s="82">
        <v>0</v>
      </c>
      <c r="AQ49" s="73"/>
      <c r="AR49" s="84"/>
      <c r="AS49" s="85">
        <v>5.3110999999999997</v>
      </c>
      <c r="AT49" s="85"/>
      <c r="AU49" s="85"/>
      <c r="AV49" s="85"/>
      <c r="AW49" s="85"/>
      <c r="AX49" s="85"/>
      <c r="AY49" s="85"/>
      <c r="AZ49" s="85"/>
      <c r="BA49" s="85"/>
      <c r="BB49" s="85"/>
      <c r="BC49" s="85"/>
      <c r="BD49" s="85"/>
      <c r="BE49" s="85"/>
      <c r="BF49" s="73"/>
      <c r="BG49" s="73" t="s">
        <v>359</v>
      </c>
    </row>
    <row r="50" spans="1:59">
      <c r="A50" s="73" t="s">
        <v>450</v>
      </c>
      <c r="B50" s="73" t="s">
        <v>401</v>
      </c>
      <c r="C50" s="74" t="s">
        <v>362</v>
      </c>
      <c r="D50" s="75">
        <v>2098</v>
      </c>
      <c r="E50" s="76">
        <v>20098</v>
      </c>
      <c r="F50" s="74" t="s">
        <v>370</v>
      </c>
      <c r="G50" s="77">
        <v>18351295</v>
      </c>
      <c r="H50" s="78">
        <v>310</v>
      </c>
      <c r="I50" s="74" t="s">
        <v>357</v>
      </c>
      <c r="J50" s="79" t="s">
        <v>358</v>
      </c>
      <c r="K50" s="79">
        <v>304</v>
      </c>
      <c r="L50" s="80"/>
      <c r="M50" s="81">
        <v>0</v>
      </c>
      <c r="N50" s="81"/>
      <c r="O50" s="81">
        <v>0</v>
      </c>
      <c r="P50" s="81"/>
      <c r="Q50" s="81">
        <v>0</v>
      </c>
      <c r="R50" s="81"/>
      <c r="S50" s="81">
        <v>0</v>
      </c>
      <c r="T50" s="81"/>
      <c r="U50" s="81">
        <v>0</v>
      </c>
      <c r="V50" s="81"/>
      <c r="W50" s="81">
        <v>0</v>
      </c>
      <c r="X50" s="81"/>
      <c r="Y50" s="81">
        <v>93567629</v>
      </c>
      <c r="Z50" s="81"/>
      <c r="AA50" s="78">
        <v>0</v>
      </c>
      <c r="AB50" s="82"/>
      <c r="AC50" s="83"/>
      <c r="AD50" s="82">
        <v>0</v>
      </c>
      <c r="AE50" s="82"/>
      <c r="AF50" s="82">
        <v>0</v>
      </c>
      <c r="AG50" s="82"/>
      <c r="AH50" s="82">
        <v>0</v>
      </c>
      <c r="AI50" s="82"/>
      <c r="AJ50" s="82">
        <v>0</v>
      </c>
      <c r="AK50" s="82"/>
      <c r="AL50" s="82">
        <v>0</v>
      </c>
      <c r="AM50" s="82"/>
      <c r="AN50" s="82">
        <v>13256385</v>
      </c>
      <c r="AO50" s="82"/>
      <c r="AP50" s="82">
        <v>0</v>
      </c>
      <c r="AQ50" s="73"/>
      <c r="AR50" s="84"/>
      <c r="AS50" s="85"/>
      <c r="AT50" s="85"/>
      <c r="AU50" s="85"/>
      <c r="AV50" s="85"/>
      <c r="AW50" s="85"/>
      <c r="AX50" s="85"/>
      <c r="AY50" s="85"/>
      <c r="AZ50" s="85"/>
      <c r="BA50" s="85"/>
      <c r="BB50" s="85"/>
      <c r="BC50" s="85">
        <v>0.14169999999999999</v>
      </c>
      <c r="BD50" s="85"/>
      <c r="BE50" s="85"/>
      <c r="BF50" s="73"/>
      <c r="BG50" s="73" t="s">
        <v>359</v>
      </c>
    </row>
    <row r="51" spans="1:59">
      <c r="A51" s="73" t="s">
        <v>451</v>
      </c>
      <c r="B51" s="73" t="s">
        <v>452</v>
      </c>
      <c r="C51" s="74" t="s">
        <v>369</v>
      </c>
      <c r="D51" s="75">
        <v>9030</v>
      </c>
      <c r="E51" s="76">
        <v>90030</v>
      </c>
      <c r="F51" s="74" t="s">
        <v>370</v>
      </c>
      <c r="G51" s="77">
        <v>2956746</v>
      </c>
      <c r="H51" s="78">
        <v>205</v>
      </c>
      <c r="I51" s="74" t="s">
        <v>366</v>
      </c>
      <c r="J51" s="79" t="s">
        <v>365</v>
      </c>
      <c r="K51" s="79">
        <v>24</v>
      </c>
      <c r="L51" s="80"/>
      <c r="M51" s="81">
        <v>766773</v>
      </c>
      <c r="N51" s="81"/>
      <c r="O51" s="81">
        <v>0</v>
      </c>
      <c r="P51" s="81"/>
      <c r="Q51" s="81">
        <v>0</v>
      </c>
      <c r="R51" s="81"/>
      <c r="S51" s="81">
        <v>0</v>
      </c>
      <c r="T51" s="81"/>
      <c r="U51" s="81">
        <v>0</v>
      </c>
      <c r="V51" s="81"/>
      <c r="W51" s="81">
        <v>0</v>
      </c>
      <c r="X51" s="81"/>
      <c r="Y51" s="81">
        <v>0</v>
      </c>
      <c r="Z51" s="81"/>
      <c r="AA51" s="78">
        <v>0</v>
      </c>
      <c r="AB51" s="82"/>
      <c r="AC51" s="83"/>
      <c r="AD51" s="82">
        <v>253519</v>
      </c>
      <c r="AE51" s="82"/>
      <c r="AF51" s="82">
        <v>0</v>
      </c>
      <c r="AG51" s="82"/>
      <c r="AH51" s="82">
        <v>0</v>
      </c>
      <c r="AI51" s="82"/>
      <c r="AJ51" s="82">
        <v>0</v>
      </c>
      <c r="AK51" s="82"/>
      <c r="AL51" s="82">
        <v>0</v>
      </c>
      <c r="AM51" s="82"/>
      <c r="AN51" s="82">
        <v>0</v>
      </c>
      <c r="AO51" s="82"/>
      <c r="AP51" s="82">
        <v>0</v>
      </c>
      <c r="AQ51" s="73"/>
      <c r="AR51" s="84"/>
      <c r="AS51" s="85">
        <v>0.3306</v>
      </c>
      <c r="AT51" s="85"/>
      <c r="AU51" s="85"/>
      <c r="AV51" s="85"/>
      <c r="AW51" s="85"/>
      <c r="AX51" s="85"/>
      <c r="AY51" s="85"/>
      <c r="AZ51" s="85"/>
      <c r="BA51" s="85"/>
      <c r="BB51" s="85"/>
      <c r="BC51" s="85"/>
      <c r="BD51" s="85"/>
      <c r="BE51" s="85"/>
      <c r="BF51" s="73"/>
      <c r="BG51" s="73" t="s">
        <v>359</v>
      </c>
    </row>
    <row r="52" spans="1:59">
      <c r="A52" s="73" t="s">
        <v>453</v>
      </c>
      <c r="B52" s="73" t="s">
        <v>368</v>
      </c>
      <c r="C52" s="74" t="s">
        <v>369</v>
      </c>
      <c r="D52" s="75">
        <v>9151</v>
      </c>
      <c r="E52" s="76">
        <v>90151</v>
      </c>
      <c r="F52" s="74" t="s">
        <v>370</v>
      </c>
      <c r="G52" s="77">
        <v>12150996</v>
      </c>
      <c r="H52" s="78">
        <v>195</v>
      </c>
      <c r="I52" s="74" t="s">
        <v>366</v>
      </c>
      <c r="J52" s="79" t="s">
        <v>365</v>
      </c>
      <c r="K52" s="79">
        <v>195</v>
      </c>
      <c r="L52" s="80"/>
      <c r="M52" s="81">
        <v>8293151</v>
      </c>
      <c r="N52" s="81"/>
      <c r="O52" s="81">
        <v>0</v>
      </c>
      <c r="P52" s="81"/>
      <c r="Q52" s="81">
        <v>0</v>
      </c>
      <c r="R52" s="81"/>
      <c r="S52" s="81">
        <v>0</v>
      </c>
      <c r="T52" s="81"/>
      <c r="U52" s="81">
        <v>0</v>
      </c>
      <c r="V52" s="81"/>
      <c r="W52" s="81">
        <v>0</v>
      </c>
      <c r="X52" s="81"/>
      <c r="Y52" s="81">
        <v>0</v>
      </c>
      <c r="Z52" s="81"/>
      <c r="AA52" s="78">
        <v>0</v>
      </c>
      <c r="AB52" s="82"/>
      <c r="AC52" s="83"/>
      <c r="AD52" s="82">
        <v>2539026</v>
      </c>
      <c r="AE52" s="82"/>
      <c r="AF52" s="82">
        <v>0</v>
      </c>
      <c r="AG52" s="82"/>
      <c r="AH52" s="82">
        <v>0</v>
      </c>
      <c r="AI52" s="82"/>
      <c r="AJ52" s="82">
        <v>0</v>
      </c>
      <c r="AK52" s="82"/>
      <c r="AL52" s="82">
        <v>0</v>
      </c>
      <c r="AM52" s="82"/>
      <c r="AN52" s="82">
        <v>0</v>
      </c>
      <c r="AO52" s="82"/>
      <c r="AP52" s="82">
        <v>0</v>
      </c>
      <c r="AQ52" s="73"/>
      <c r="AR52" s="84"/>
      <c r="AS52" s="85">
        <v>0.30620000000000003</v>
      </c>
      <c r="AT52" s="85"/>
      <c r="AU52" s="85"/>
      <c r="AV52" s="85"/>
      <c r="AW52" s="85"/>
      <c r="AX52" s="85"/>
      <c r="AY52" s="85"/>
      <c r="AZ52" s="85"/>
      <c r="BA52" s="85"/>
      <c r="BB52" s="85"/>
      <c r="BC52" s="85"/>
      <c r="BD52" s="85"/>
      <c r="BE52" s="85"/>
      <c r="BF52" s="73"/>
      <c r="BG52" s="73" t="s">
        <v>359</v>
      </c>
    </row>
    <row r="53" spans="1:59">
      <c r="A53" s="73" t="s">
        <v>454</v>
      </c>
      <c r="B53" s="73" t="s">
        <v>455</v>
      </c>
      <c r="C53" s="74" t="s">
        <v>369</v>
      </c>
      <c r="D53" s="75">
        <v>9134</v>
      </c>
      <c r="E53" s="76">
        <v>90134</v>
      </c>
      <c r="F53" s="74" t="s">
        <v>370</v>
      </c>
      <c r="G53" s="77">
        <v>3281212</v>
      </c>
      <c r="H53" s="78">
        <v>141</v>
      </c>
      <c r="I53" s="74" t="s">
        <v>366</v>
      </c>
      <c r="J53" s="79" t="s">
        <v>365</v>
      </c>
      <c r="K53" s="79">
        <v>111</v>
      </c>
      <c r="L53" s="80"/>
      <c r="M53" s="81">
        <v>3805923</v>
      </c>
      <c r="N53" s="81"/>
      <c r="O53" s="81">
        <v>0</v>
      </c>
      <c r="P53" s="81"/>
      <c r="Q53" s="81">
        <v>0</v>
      </c>
      <c r="R53" s="81"/>
      <c r="S53" s="81">
        <v>0</v>
      </c>
      <c r="T53" s="81"/>
      <c r="U53" s="81">
        <v>0</v>
      </c>
      <c r="V53" s="81"/>
      <c r="W53" s="81">
        <v>0</v>
      </c>
      <c r="X53" s="81"/>
      <c r="Y53" s="81">
        <v>0</v>
      </c>
      <c r="Z53" s="81"/>
      <c r="AA53" s="78">
        <v>0</v>
      </c>
      <c r="AB53" s="82"/>
      <c r="AC53" s="83"/>
      <c r="AD53" s="82">
        <v>1179829</v>
      </c>
      <c r="AE53" s="82"/>
      <c r="AF53" s="82">
        <v>0</v>
      </c>
      <c r="AG53" s="82"/>
      <c r="AH53" s="82">
        <v>0</v>
      </c>
      <c r="AI53" s="82"/>
      <c r="AJ53" s="82">
        <v>0</v>
      </c>
      <c r="AK53" s="82"/>
      <c r="AL53" s="82">
        <v>0</v>
      </c>
      <c r="AM53" s="82"/>
      <c r="AN53" s="82">
        <v>0</v>
      </c>
      <c r="AO53" s="82"/>
      <c r="AP53" s="82">
        <v>0</v>
      </c>
      <c r="AQ53" s="73"/>
      <c r="AR53" s="84"/>
      <c r="AS53" s="85">
        <v>0.31</v>
      </c>
      <c r="AT53" s="85"/>
      <c r="AU53" s="85"/>
      <c r="AV53" s="85"/>
      <c r="AW53" s="85"/>
      <c r="AX53" s="85"/>
      <c r="AY53" s="85"/>
      <c r="AZ53" s="85"/>
      <c r="BA53" s="85"/>
      <c r="BB53" s="85"/>
      <c r="BC53" s="85"/>
      <c r="BD53" s="85"/>
      <c r="BE53" s="85"/>
      <c r="BF53" s="73"/>
      <c r="BG53" s="73" t="s">
        <v>359</v>
      </c>
    </row>
    <row r="54" spans="1:59">
      <c r="A54" s="73" t="s">
        <v>456</v>
      </c>
      <c r="B54" s="73" t="s">
        <v>457</v>
      </c>
      <c r="C54" s="74" t="s">
        <v>437</v>
      </c>
      <c r="D54" s="75">
        <v>3073</v>
      </c>
      <c r="E54" s="76">
        <v>30073</v>
      </c>
      <c r="F54" s="74" t="s">
        <v>370</v>
      </c>
      <c r="G54" s="77">
        <v>4586770</v>
      </c>
      <c r="H54" s="78">
        <v>99</v>
      </c>
      <c r="I54" s="74" t="s">
        <v>366</v>
      </c>
      <c r="J54" s="79" t="s">
        <v>365</v>
      </c>
      <c r="K54" s="79">
        <v>99</v>
      </c>
      <c r="L54" s="80"/>
      <c r="M54" s="81">
        <v>1430638</v>
      </c>
      <c r="N54" s="81"/>
      <c r="O54" s="81">
        <v>0</v>
      </c>
      <c r="P54" s="81"/>
      <c r="Q54" s="81">
        <v>0</v>
      </c>
      <c r="R54" s="81"/>
      <c r="S54" s="81">
        <v>0</v>
      </c>
      <c r="T54" s="81"/>
      <c r="U54" s="81">
        <v>0</v>
      </c>
      <c r="V54" s="81"/>
      <c r="W54" s="81">
        <v>0</v>
      </c>
      <c r="X54" s="81"/>
      <c r="Y54" s="81">
        <v>0</v>
      </c>
      <c r="Z54" s="81"/>
      <c r="AA54" s="78">
        <v>0</v>
      </c>
      <c r="AB54" s="82"/>
      <c r="AC54" s="83"/>
      <c r="AD54" s="82">
        <v>333956</v>
      </c>
      <c r="AE54" s="82"/>
      <c r="AF54" s="82">
        <v>0</v>
      </c>
      <c r="AG54" s="82"/>
      <c r="AH54" s="82">
        <v>0</v>
      </c>
      <c r="AI54" s="82"/>
      <c r="AJ54" s="82">
        <v>0</v>
      </c>
      <c r="AK54" s="82"/>
      <c r="AL54" s="82">
        <v>0</v>
      </c>
      <c r="AM54" s="82"/>
      <c r="AN54" s="82">
        <v>0</v>
      </c>
      <c r="AO54" s="82"/>
      <c r="AP54" s="82">
        <v>0</v>
      </c>
      <c r="AQ54" s="73"/>
      <c r="AR54" s="84"/>
      <c r="AS54" s="85">
        <v>0.2334</v>
      </c>
      <c r="AT54" s="85"/>
      <c r="AU54" s="85"/>
      <c r="AV54" s="85"/>
      <c r="AW54" s="85"/>
      <c r="AX54" s="85"/>
      <c r="AY54" s="85"/>
      <c r="AZ54" s="85"/>
      <c r="BA54" s="85"/>
      <c r="BB54" s="85"/>
      <c r="BC54" s="85"/>
      <c r="BD54" s="85"/>
      <c r="BE54" s="85"/>
      <c r="BF54" s="73"/>
      <c r="BG54" s="73" t="s">
        <v>359</v>
      </c>
    </row>
    <row r="55" spans="1:59">
      <c r="A55" s="73" t="s">
        <v>458</v>
      </c>
      <c r="B55" s="73" t="s">
        <v>459</v>
      </c>
      <c r="C55" s="74" t="s">
        <v>362</v>
      </c>
      <c r="D55" s="75">
        <v>2075</v>
      </c>
      <c r="E55" s="76">
        <v>20075</v>
      </c>
      <c r="F55" s="74" t="s">
        <v>370</v>
      </c>
      <c r="G55" s="77">
        <v>5441567</v>
      </c>
      <c r="H55" s="78">
        <v>78</v>
      </c>
      <c r="I55" s="74" t="s">
        <v>357</v>
      </c>
      <c r="J55" s="79" t="s">
        <v>358</v>
      </c>
      <c r="K55" s="79">
        <v>78</v>
      </c>
      <c r="L55" s="80"/>
      <c r="M55" s="81">
        <v>0</v>
      </c>
      <c r="N55" s="81"/>
      <c r="O55" s="81">
        <v>0</v>
      </c>
      <c r="P55" s="81"/>
      <c r="Q55" s="81">
        <v>0</v>
      </c>
      <c r="R55" s="81"/>
      <c r="S55" s="81">
        <v>0</v>
      </c>
      <c r="T55" s="81"/>
      <c r="U55" s="81">
        <v>0</v>
      </c>
      <c r="V55" s="81"/>
      <c r="W55" s="81">
        <v>0</v>
      </c>
      <c r="X55" s="81"/>
      <c r="Y55" s="81">
        <v>32179173</v>
      </c>
      <c r="Z55" s="81"/>
      <c r="AA55" s="78">
        <v>0</v>
      </c>
      <c r="AB55" s="82"/>
      <c r="AC55" s="83"/>
      <c r="AD55" s="82">
        <v>0</v>
      </c>
      <c r="AE55" s="82"/>
      <c r="AF55" s="82">
        <v>0</v>
      </c>
      <c r="AG55" s="82"/>
      <c r="AH55" s="82">
        <v>0</v>
      </c>
      <c r="AI55" s="82"/>
      <c r="AJ55" s="82">
        <v>0</v>
      </c>
      <c r="AK55" s="82"/>
      <c r="AL55" s="82">
        <v>0</v>
      </c>
      <c r="AM55" s="82"/>
      <c r="AN55" s="82">
        <v>4661254</v>
      </c>
      <c r="AO55" s="82"/>
      <c r="AP55" s="82">
        <v>0</v>
      </c>
      <c r="AQ55" s="73"/>
      <c r="AR55" s="84"/>
      <c r="AS55" s="85"/>
      <c r="AT55" s="85"/>
      <c r="AU55" s="85"/>
      <c r="AV55" s="85"/>
      <c r="AW55" s="85"/>
      <c r="AX55" s="85"/>
      <c r="AY55" s="85"/>
      <c r="AZ55" s="85"/>
      <c r="BA55" s="85"/>
      <c r="BB55" s="85"/>
      <c r="BC55" s="85">
        <v>0.1449</v>
      </c>
      <c r="BD55" s="85"/>
      <c r="BE55" s="85"/>
      <c r="BF55" s="73"/>
      <c r="BG55" s="73" t="s">
        <v>359</v>
      </c>
    </row>
    <row r="56" spans="1:59">
      <c r="A56" s="73" t="s">
        <v>460</v>
      </c>
      <c r="B56" s="73" t="s">
        <v>461</v>
      </c>
      <c r="C56" s="74" t="s">
        <v>462</v>
      </c>
      <c r="D56" s="75">
        <v>5104</v>
      </c>
      <c r="E56" s="76">
        <v>50104</v>
      </c>
      <c r="F56" s="74" t="s">
        <v>370</v>
      </c>
      <c r="G56" s="77">
        <v>8608208</v>
      </c>
      <c r="H56" s="78">
        <v>70</v>
      </c>
      <c r="I56" s="74" t="s">
        <v>366</v>
      </c>
      <c r="J56" s="79" t="s">
        <v>358</v>
      </c>
      <c r="K56" s="79">
        <v>70</v>
      </c>
      <c r="L56" s="80"/>
      <c r="M56" s="81">
        <v>0</v>
      </c>
      <c r="N56" s="81"/>
      <c r="O56" s="81">
        <v>0</v>
      </c>
      <c r="P56" s="81"/>
      <c r="Q56" s="81">
        <v>0</v>
      </c>
      <c r="R56" s="81"/>
      <c r="S56" s="81">
        <v>0</v>
      </c>
      <c r="T56" s="81"/>
      <c r="U56" s="81">
        <v>0</v>
      </c>
      <c r="V56" s="81"/>
      <c r="W56" s="81">
        <v>0</v>
      </c>
      <c r="X56" s="81"/>
      <c r="Y56" s="81">
        <v>18158000</v>
      </c>
      <c r="Z56" s="81"/>
      <c r="AA56" s="78">
        <v>0</v>
      </c>
      <c r="AB56" s="82"/>
      <c r="AC56" s="83"/>
      <c r="AD56" s="82">
        <v>0</v>
      </c>
      <c r="AE56" s="82"/>
      <c r="AF56" s="82">
        <v>0</v>
      </c>
      <c r="AG56" s="82"/>
      <c r="AH56" s="82">
        <v>0</v>
      </c>
      <c r="AI56" s="82"/>
      <c r="AJ56" s="82">
        <v>0</v>
      </c>
      <c r="AK56" s="82"/>
      <c r="AL56" s="82">
        <v>0</v>
      </c>
      <c r="AM56" s="82"/>
      <c r="AN56" s="82">
        <v>3510093</v>
      </c>
      <c r="AO56" s="82"/>
      <c r="AP56" s="82">
        <v>0</v>
      </c>
      <c r="AQ56" s="73"/>
      <c r="AR56" s="84"/>
      <c r="AS56" s="85"/>
      <c r="AT56" s="85"/>
      <c r="AU56" s="85"/>
      <c r="AV56" s="85"/>
      <c r="AW56" s="85"/>
      <c r="AX56" s="85"/>
      <c r="AY56" s="85"/>
      <c r="AZ56" s="85"/>
      <c r="BA56" s="85"/>
      <c r="BB56" s="85"/>
      <c r="BC56" s="85">
        <v>0.1933</v>
      </c>
      <c r="BD56" s="85"/>
      <c r="BE56" s="85"/>
      <c r="BF56" s="73"/>
      <c r="BG56" s="73" t="s">
        <v>359</v>
      </c>
    </row>
    <row r="57" spans="1:59">
      <c r="A57" s="73" t="s">
        <v>463</v>
      </c>
      <c r="B57" s="73" t="s">
        <v>464</v>
      </c>
      <c r="C57" s="74" t="s">
        <v>395</v>
      </c>
      <c r="D57" s="75">
        <v>4077</v>
      </c>
      <c r="E57" s="76">
        <v>40077</v>
      </c>
      <c r="F57" s="74" t="s">
        <v>370</v>
      </c>
      <c r="G57" s="77">
        <v>5502379</v>
      </c>
      <c r="H57" s="78">
        <v>65</v>
      </c>
      <c r="I57" s="74" t="s">
        <v>366</v>
      </c>
      <c r="J57" s="79" t="s">
        <v>365</v>
      </c>
      <c r="K57" s="79">
        <v>43</v>
      </c>
      <c r="L57" s="80"/>
      <c r="M57" s="81">
        <v>2838234</v>
      </c>
      <c r="N57" s="81"/>
      <c r="O57" s="81">
        <v>0</v>
      </c>
      <c r="P57" s="81"/>
      <c r="Q57" s="81">
        <v>0</v>
      </c>
      <c r="R57" s="81"/>
      <c r="S57" s="81">
        <v>0</v>
      </c>
      <c r="T57" s="81"/>
      <c r="U57" s="81">
        <v>0</v>
      </c>
      <c r="V57" s="81"/>
      <c r="W57" s="81">
        <v>0</v>
      </c>
      <c r="X57" s="81"/>
      <c r="Y57" s="81">
        <v>0</v>
      </c>
      <c r="Z57" s="81"/>
      <c r="AA57" s="78">
        <v>0</v>
      </c>
      <c r="AB57" s="82"/>
      <c r="AC57" s="83"/>
      <c r="AD57" s="82">
        <v>1018267</v>
      </c>
      <c r="AE57" s="82"/>
      <c r="AF57" s="82">
        <v>0</v>
      </c>
      <c r="AG57" s="82"/>
      <c r="AH57" s="82">
        <v>0</v>
      </c>
      <c r="AI57" s="82"/>
      <c r="AJ57" s="82">
        <v>0</v>
      </c>
      <c r="AK57" s="82"/>
      <c r="AL57" s="82">
        <v>0</v>
      </c>
      <c r="AM57" s="82"/>
      <c r="AN57" s="82">
        <v>0</v>
      </c>
      <c r="AO57" s="82"/>
      <c r="AP57" s="82">
        <v>0</v>
      </c>
      <c r="AQ57" s="73"/>
      <c r="AR57" s="84"/>
      <c r="AS57" s="85">
        <v>0.35880000000000001</v>
      </c>
      <c r="AT57" s="85"/>
      <c r="AU57" s="85"/>
      <c r="AV57" s="85"/>
      <c r="AW57" s="85"/>
      <c r="AX57" s="85"/>
      <c r="AY57" s="85"/>
      <c r="AZ57" s="85"/>
      <c r="BA57" s="85"/>
      <c r="BB57" s="85"/>
      <c r="BC57" s="85"/>
      <c r="BD57" s="85"/>
      <c r="BE57" s="85"/>
      <c r="BF57" s="73"/>
      <c r="BG57" s="73" t="s">
        <v>359</v>
      </c>
    </row>
    <row r="58" spans="1:59">
      <c r="A58" s="73" t="s">
        <v>465</v>
      </c>
      <c r="B58" s="73" t="s">
        <v>466</v>
      </c>
      <c r="C58" s="74" t="s">
        <v>467</v>
      </c>
      <c r="D58" s="75">
        <v>6111</v>
      </c>
      <c r="E58" s="76">
        <v>60111</v>
      </c>
      <c r="F58" s="74" t="s">
        <v>370</v>
      </c>
      <c r="G58" s="77">
        <v>741318</v>
      </c>
      <c r="H58" s="78">
        <v>58</v>
      </c>
      <c r="I58" s="74" t="s">
        <v>366</v>
      </c>
      <c r="J58" s="79" t="s">
        <v>365</v>
      </c>
      <c r="K58" s="79">
        <v>25</v>
      </c>
      <c r="L58" s="80"/>
      <c r="M58" s="81">
        <v>0</v>
      </c>
      <c r="N58" s="81"/>
      <c r="O58" s="81">
        <v>0</v>
      </c>
      <c r="P58" s="81"/>
      <c r="Q58" s="81">
        <v>0</v>
      </c>
      <c r="R58" s="81"/>
      <c r="S58" s="81">
        <v>0</v>
      </c>
      <c r="T58" s="81"/>
      <c r="U58" s="81">
        <v>792273</v>
      </c>
      <c r="V58" s="81"/>
      <c r="W58" s="81">
        <v>0</v>
      </c>
      <c r="X58" s="81"/>
      <c r="Y58" s="81">
        <v>0</v>
      </c>
      <c r="Z58" s="81"/>
      <c r="AA58" s="78">
        <v>0</v>
      </c>
      <c r="AB58" s="82"/>
      <c r="AC58" s="83"/>
      <c r="AD58" s="82">
        <v>350453</v>
      </c>
      <c r="AE58" s="82"/>
      <c r="AF58" s="82">
        <v>0</v>
      </c>
      <c r="AG58" s="82"/>
      <c r="AH58" s="82">
        <v>0</v>
      </c>
      <c r="AI58" s="82"/>
      <c r="AJ58" s="82">
        <v>0</v>
      </c>
      <c r="AK58" s="82"/>
      <c r="AL58" s="82">
        <v>0</v>
      </c>
      <c r="AM58" s="82"/>
      <c r="AN58" s="82">
        <v>0</v>
      </c>
      <c r="AO58" s="82"/>
      <c r="AP58" s="82">
        <v>0</v>
      </c>
      <c r="AQ58" s="73"/>
      <c r="AR58" s="84"/>
      <c r="AS58" s="85"/>
      <c r="AT58" s="85"/>
      <c r="AU58" s="85"/>
      <c r="AV58" s="85"/>
      <c r="AW58" s="85"/>
      <c r="AX58" s="85"/>
      <c r="AY58" s="85"/>
      <c r="AZ58" s="85"/>
      <c r="BA58" s="85"/>
      <c r="BB58" s="85"/>
      <c r="BC58" s="85"/>
      <c r="BD58" s="85"/>
      <c r="BE58" s="85"/>
      <c r="BF58" s="73"/>
      <c r="BG58" s="73" t="s">
        <v>359</v>
      </c>
    </row>
    <row r="59" spans="1:59">
      <c r="A59" s="73" t="s">
        <v>468</v>
      </c>
      <c r="B59" s="73" t="s">
        <v>469</v>
      </c>
      <c r="C59" s="74" t="s">
        <v>470</v>
      </c>
      <c r="D59" s="75">
        <v>4094</v>
      </c>
      <c r="E59" s="76">
        <v>40094</v>
      </c>
      <c r="F59" s="74" t="s">
        <v>392</v>
      </c>
      <c r="G59" s="77">
        <v>2148346</v>
      </c>
      <c r="H59" s="78">
        <v>54</v>
      </c>
      <c r="I59" s="74" t="s">
        <v>357</v>
      </c>
      <c r="J59" s="79" t="s">
        <v>365</v>
      </c>
      <c r="K59" s="79">
        <v>32</v>
      </c>
      <c r="L59" s="80"/>
      <c r="M59" s="81">
        <v>0</v>
      </c>
      <c r="N59" s="81"/>
      <c r="O59" s="81">
        <v>0</v>
      </c>
      <c r="P59" s="81"/>
      <c r="Q59" s="81">
        <v>0</v>
      </c>
      <c r="R59" s="81"/>
      <c r="S59" s="81">
        <v>0</v>
      </c>
      <c r="T59" s="81"/>
      <c r="U59" s="81">
        <v>0</v>
      </c>
      <c r="V59" s="81"/>
      <c r="W59" s="81">
        <v>0</v>
      </c>
      <c r="X59" s="81"/>
      <c r="Y59" s="81">
        <v>4009792</v>
      </c>
      <c r="Z59" s="81"/>
      <c r="AA59" s="78">
        <v>0</v>
      </c>
      <c r="AB59" s="82"/>
      <c r="AC59" s="83"/>
      <c r="AD59" s="82">
        <v>0</v>
      </c>
      <c r="AE59" s="82"/>
      <c r="AF59" s="82">
        <v>0</v>
      </c>
      <c r="AG59" s="82"/>
      <c r="AH59" s="82">
        <v>0</v>
      </c>
      <c r="AI59" s="82"/>
      <c r="AJ59" s="82">
        <v>0</v>
      </c>
      <c r="AK59" s="82"/>
      <c r="AL59" s="82">
        <v>0</v>
      </c>
      <c r="AM59" s="82"/>
      <c r="AN59" s="82">
        <v>1432878</v>
      </c>
      <c r="AO59" s="82"/>
      <c r="AP59" s="82">
        <v>0</v>
      </c>
      <c r="AQ59" s="73"/>
      <c r="AR59" s="84"/>
      <c r="AS59" s="85"/>
      <c r="AT59" s="85"/>
      <c r="AU59" s="85"/>
      <c r="AV59" s="85"/>
      <c r="AW59" s="85"/>
      <c r="AX59" s="85"/>
      <c r="AY59" s="85"/>
      <c r="AZ59" s="85"/>
      <c r="BA59" s="85"/>
      <c r="BB59" s="85"/>
      <c r="BC59" s="85">
        <v>0.35730000000000001</v>
      </c>
      <c r="BD59" s="85"/>
      <c r="BE59" s="85"/>
      <c r="BF59" s="73"/>
      <c r="BG59" s="73" t="s">
        <v>359</v>
      </c>
    </row>
    <row r="60" spans="1:59">
      <c r="A60" s="73" t="s">
        <v>471</v>
      </c>
      <c r="B60" s="73" t="s">
        <v>472</v>
      </c>
      <c r="C60" s="74" t="s">
        <v>473</v>
      </c>
      <c r="D60" s="75">
        <v>4159</v>
      </c>
      <c r="E60" s="76">
        <v>40159</v>
      </c>
      <c r="F60" s="74" t="s">
        <v>370</v>
      </c>
      <c r="G60" s="77">
        <v>969587</v>
      </c>
      <c r="H60" s="78">
        <v>46</v>
      </c>
      <c r="I60" s="74" t="s">
        <v>366</v>
      </c>
      <c r="J60" s="79" t="s">
        <v>365</v>
      </c>
      <c r="K60" s="79">
        <v>8</v>
      </c>
      <c r="L60" s="80"/>
      <c r="M60" s="81">
        <v>195054</v>
      </c>
      <c r="N60" s="81"/>
      <c r="O60" s="81">
        <v>0</v>
      </c>
      <c r="P60" s="81"/>
      <c r="Q60" s="81">
        <v>0</v>
      </c>
      <c r="R60" s="81"/>
      <c r="S60" s="81">
        <v>0</v>
      </c>
      <c r="T60" s="81"/>
      <c r="U60" s="81">
        <v>0</v>
      </c>
      <c r="V60" s="81"/>
      <c r="W60" s="81">
        <v>0</v>
      </c>
      <c r="X60" s="81"/>
      <c r="Y60" s="81">
        <v>0</v>
      </c>
      <c r="Z60" s="81"/>
      <c r="AA60" s="78">
        <v>0</v>
      </c>
      <c r="AB60" s="82"/>
      <c r="AC60" s="83"/>
      <c r="AD60" s="82">
        <v>71832</v>
      </c>
      <c r="AE60" s="82"/>
      <c r="AF60" s="82">
        <v>0</v>
      </c>
      <c r="AG60" s="82"/>
      <c r="AH60" s="82">
        <v>0</v>
      </c>
      <c r="AI60" s="82"/>
      <c r="AJ60" s="82">
        <v>0</v>
      </c>
      <c r="AK60" s="82"/>
      <c r="AL60" s="82">
        <v>0</v>
      </c>
      <c r="AM60" s="82"/>
      <c r="AN60" s="82">
        <v>0</v>
      </c>
      <c r="AO60" s="82"/>
      <c r="AP60" s="82">
        <v>0</v>
      </c>
      <c r="AQ60" s="73"/>
      <c r="AR60" s="84"/>
      <c r="AS60" s="85">
        <v>0.36830000000000002</v>
      </c>
      <c r="AT60" s="85"/>
      <c r="AU60" s="85"/>
      <c r="AV60" s="85"/>
      <c r="AW60" s="85"/>
      <c r="AX60" s="85"/>
      <c r="AY60" s="85"/>
      <c r="AZ60" s="85"/>
      <c r="BA60" s="85"/>
      <c r="BB60" s="85"/>
      <c r="BC60" s="85"/>
      <c r="BD60" s="85"/>
      <c r="BE60" s="85"/>
      <c r="BF60" s="73"/>
      <c r="BG60" s="73" t="s">
        <v>359</v>
      </c>
    </row>
    <row r="61" spans="1:59">
      <c r="A61" s="73" t="s">
        <v>474</v>
      </c>
      <c r="B61" s="73" t="s">
        <v>475</v>
      </c>
      <c r="C61" s="74" t="s">
        <v>354</v>
      </c>
      <c r="D61" s="75">
        <v>2099</v>
      </c>
      <c r="E61" s="76">
        <v>20099</v>
      </c>
      <c r="F61" s="74" t="s">
        <v>355</v>
      </c>
      <c r="G61" s="77">
        <v>18351295</v>
      </c>
      <c r="H61" s="78">
        <v>44</v>
      </c>
      <c r="I61" s="74" t="s">
        <v>357</v>
      </c>
      <c r="J61" s="79" t="s">
        <v>358</v>
      </c>
      <c r="K61" s="79">
        <v>44</v>
      </c>
      <c r="L61" s="80"/>
      <c r="M61" s="81">
        <v>0</v>
      </c>
      <c r="N61" s="81"/>
      <c r="O61" s="81">
        <v>0</v>
      </c>
      <c r="P61" s="81"/>
      <c r="Q61" s="81">
        <v>0</v>
      </c>
      <c r="R61" s="81"/>
      <c r="S61" s="81">
        <v>0</v>
      </c>
      <c r="T61" s="81"/>
      <c r="U61" s="81">
        <v>0</v>
      </c>
      <c r="V61" s="81"/>
      <c r="W61" s="81">
        <v>0</v>
      </c>
      <c r="X61" s="81"/>
      <c r="Y61" s="81">
        <v>27982542</v>
      </c>
      <c r="Z61" s="81"/>
      <c r="AA61" s="78">
        <v>0</v>
      </c>
      <c r="AB61" s="82"/>
      <c r="AC61" s="83"/>
      <c r="AD61" s="82">
        <v>0</v>
      </c>
      <c r="AE61" s="82"/>
      <c r="AF61" s="82">
        <v>0</v>
      </c>
      <c r="AG61" s="82"/>
      <c r="AH61" s="82">
        <v>0</v>
      </c>
      <c r="AI61" s="82"/>
      <c r="AJ61" s="82">
        <v>0</v>
      </c>
      <c r="AK61" s="82"/>
      <c r="AL61" s="82">
        <v>0</v>
      </c>
      <c r="AM61" s="82"/>
      <c r="AN61" s="82">
        <v>2267541</v>
      </c>
      <c r="AO61" s="82"/>
      <c r="AP61" s="82">
        <v>0</v>
      </c>
      <c r="AQ61" s="73"/>
      <c r="AR61" s="84"/>
      <c r="AS61" s="85"/>
      <c r="AT61" s="85"/>
      <c r="AU61" s="85"/>
      <c r="AV61" s="85"/>
      <c r="AW61" s="85"/>
      <c r="AX61" s="85"/>
      <c r="AY61" s="85"/>
      <c r="AZ61" s="85"/>
      <c r="BA61" s="85"/>
      <c r="BB61" s="85"/>
      <c r="BC61" s="85">
        <v>8.1000000000000003E-2</v>
      </c>
      <c r="BD61" s="85"/>
      <c r="BE61" s="85"/>
      <c r="BF61" s="73"/>
      <c r="BG61" s="73" t="s">
        <v>359</v>
      </c>
    </row>
    <row r="62" spans="1:59">
      <c r="A62" s="73" t="s">
        <v>476</v>
      </c>
      <c r="B62" s="73" t="s">
        <v>477</v>
      </c>
      <c r="C62" s="74" t="s">
        <v>478</v>
      </c>
      <c r="D62" s="75">
        <v>1102</v>
      </c>
      <c r="E62" s="76">
        <v>10102</v>
      </c>
      <c r="F62" s="74" t="s">
        <v>392</v>
      </c>
      <c r="G62" s="77">
        <v>924859</v>
      </c>
      <c r="H62" s="78">
        <v>43</v>
      </c>
      <c r="I62" s="74" t="s">
        <v>366</v>
      </c>
      <c r="J62" s="79" t="s">
        <v>365</v>
      </c>
      <c r="K62" s="79">
        <v>28</v>
      </c>
      <c r="L62" s="80"/>
      <c r="M62" s="81">
        <v>1678569</v>
      </c>
      <c r="N62" s="81"/>
      <c r="O62" s="81">
        <v>0</v>
      </c>
      <c r="P62" s="81"/>
      <c r="Q62" s="81">
        <v>0</v>
      </c>
      <c r="R62" s="81"/>
      <c r="S62" s="81">
        <v>0</v>
      </c>
      <c r="T62" s="81"/>
      <c r="U62" s="81">
        <v>0</v>
      </c>
      <c r="V62" s="81"/>
      <c r="W62" s="81">
        <v>0</v>
      </c>
      <c r="X62" s="81"/>
      <c r="Y62" s="81">
        <v>0</v>
      </c>
      <c r="Z62" s="81"/>
      <c r="AA62" s="78">
        <v>0</v>
      </c>
      <c r="AB62" s="82"/>
      <c r="AC62" s="83"/>
      <c r="AD62" s="82">
        <v>724004</v>
      </c>
      <c r="AE62" s="82"/>
      <c r="AF62" s="82">
        <v>0</v>
      </c>
      <c r="AG62" s="82"/>
      <c r="AH62" s="82">
        <v>0</v>
      </c>
      <c r="AI62" s="82"/>
      <c r="AJ62" s="82">
        <v>0</v>
      </c>
      <c r="AK62" s="82"/>
      <c r="AL62" s="82">
        <v>0</v>
      </c>
      <c r="AM62" s="82"/>
      <c r="AN62" s="82">
        <v>0</v>
      </c>
      <c r="AO62" s="82"/>
      <c r="AP62" s="82">
        <v>0</v>
      </c>
      <c r="AQ62" s="73"/>
      <c r="AR62" s="84"/>
      <c r="AS62" s="85">
        <v>0.43130000000000002</v>
      </c>
      <c r="AT62" s="85"/>
      <c r="AU62" s="85"/>
      <c r="AV62" s="85"/>
      <c r="AW62" s="85"/>
      <c r="AX62" s="85"/>
      <c r="AY62" s="85"/>
      <c r="AZ62" s="85"/>
      <c r="BA62" s="85"/>
      <c r="BB62" s="85"/>
      <c r="BC62" s="85"/>
      <c r="BD62" s="85"/>
      <c r="BE62" s="85"/>
      <c r="BF62" s="73"/>
      <c r="BG62" s="73" t="s">
        <v>359</v>
      </c>
    </row>
    <row r="63" spans="1:59">
      <c r="A63" s="73" t="s">
        <v>479</v>
      </c>
      <c r="B63" s="73" t="s">
        <v>480</v>
      </c>
      <c r="C63" s="74" t="s">
        <v>481</v>
      </c>
      <c r="D63" s="75">
        <v>9209</v>
      </c>
      <c r="E63" s="76">
        <v>90209</v>
      </c>
      <c r="F63" s="74" t="s">
        <v>363</v>
      </c>
      <c r="G63" s="77">
        <v>3629114</v>
      </c>
      <c r="H63" s="78">
        <v>38</v>
      </c>
      <c r="I63" s="74" t="s">
        <v>364</v>
      </c>
      <c r="J63" s="79" t="s">
        <v>365</v>
      </c>
      <c r="K63" s="79">
        <v>38</v>
      </c>
      <c r="L63" s="80"/>
      <c r="M63" s="81">
        <v>0</v>
      </c>
      <c r="N63" s="81"/>
      <c r="O63" s="81">
        <v>0</v>
      </c>
      <c r="P63" s="81"/>
      <c r="Q63" s="81">
        <v>0</v>
      </c>
      <c r="R63" s="81"/>
      <c r="S63" s="81">
        <v>0</v>
      </c>
      <c r="T63" s="81"/>
      <c r="U63" s="81">
        <v>0</v>
      </c>
      <c r="V63" s="81"/>
      <c r="W63" s="81">
        <v>0</v>
      </c>
      <c r="X63" s="81"/>
      <c r="Y63" s="81">
        <v>23474521</v>
      </c>
      <c r="Z63" s="81"/>
      <c r="AA63" s="78">
        <v>0</v>
      </c>
      <c r="AB63" s="82"/>
      <c r="AC63" s="83"/>
      <c r="AD63" s="82">
        <v>0</v>
      </c>
      <c r="AE63" s="82"/>
      <c r="AF63" s="82">
        <v>0</v>
      </c>
      <c r="AG63" s="82"/>
      <c r="AH63" s="82">
        <v>0</v>
      </c>
      <c r="AI63" s="82"/>
      <c r="AJ63" s="82">
        <v>0</v>
      </c>
      <c r="AK63" s="82"/>
      <c r="AL63" s="82">
        <v>0</v>
      </c>
      <c r="AM63" s="82"/>
      <c r="AN63" s="82">
        <v>3452467</v>
      </c>
      <c r="AO63" s="82"/>
      <c r="AP63" s="82">
        <v>0</v>
      </c>
      <c r="AQ63" s="73"/>
      <c r="AR63" s="84"/>
      <c r="AS63" s="85"/>
      <c r="AT63" s="85"/>
      <c r="AU63" s="85"/>
      <c r="AV63" s="85"/>
      <c r="AW63" s="85"/>
      <c r="AX63" s="85"/>
      <c r="AY63" s="85"/>
      <c r="AZ63" s="85"/>
      <c r="BA63" s="85"/>
      <c r="BB63" s="85"/>
      <c r="BC63" s="85">
        <v>0.14710000000000001</v>
      </c>
      <c r="BD63" s="85"/>
      <c r="BE63" s="85"/>
      <c r="BF63" s="73"/>
      <c r="BG63" s="73" t="s">
        <v>359</v>
      </c>
    </row>
    <row r="64" spans="1:59">
      <c r="A64" s="73" t="s">
        <v>482</v>
      </c>
      <c r="B64" s="73" t="s">
        <v>483</v>
      </c>
      <c r="C64" s="74" t="s">
        <v>369</v>
      </c>
      <c r="D64" s="75">
        <v>9182</v>
      </c>
      <c r="E64" s="76">
        <v>90182</v>
      </c>
      <c r="F64" s="74" t="s">
        <v>370</v>
      </c>
      <c r="G64" s="77">
        <v>370583</v>
      </c>
      <c r="H64" s="78">
        <v>35</v>
      </c>
      <c r="I64" s="74" t="s">
        <v>366</v>
      </c>
      <c r="J64" s="79" t="s">
        <v>365</v>
      </c>
      <c r="K64" s="79">
        <v>35</v>
      </c>
      <c r="L64" s="80"/>
      <c r="M64" s="81">
        <v>514210</v>
      </c>
      <c r="N64" s="81"/>
      <c r="O64" s="81">
        <v>0</v>
      </c>
      <c r="P64" s="81"/>
      <c r="Q64" s="81">
        <v>0</v>
      </c>
      <c r="R64" s="81"/>
      <c r="S64" s="81">
        <v>0</v>
      </c>
      <c r="T64" s="81"/>
      <c r="U64" s="81">
        <v>0</v>
      </c>
      <c r="V64" s="81"/>
      <c r="W64" s="81">
        <v>0</v>
      </c>
      <c r="X64" s="81"/>
      <c r="Y64" s="81">
        <v>0</v>
      </c>
      <c r="Z64" s="81"/>
      <c r="AA64" s="78">
        <v>0</v>
      </c>
      <c r="AB64" s="82"/>
      <c r="AC64" s="83"/>
      <c r="AD64" s="82">
        <v>130583</v>
      </c>
      <c r="AE64" s="82"/>
      <c r="AF64" s="82">
        <v>0</v>
      </c>
      <c r="AG64" s="82"/>
      <c r="AH64" s="82">
        <v>0</v>
      </c>
      <c r="AI64" s="82"/>
      <c r="AJ64" s="82">
        <v>0</v>
      </c>
      <c r="AK64" s="82"/>
      <c r="AL64" s="82">
        <v>0</v>
      </c>
      <c r="AM64" s="82"/>
      <c r="AN64" s="82">
        <v>0</v>
      </c>
      <c r="AO64" s="82"/>
      <c r="AP64" s="82">
        <v>0</v>
      </c>
      <c r="AQ64" s="73"/>
      <c r="AR64" s="84"/>
      <c r="AS64" s="85">
        <v>0.25390000000000001</v>
      </c>
      <c r="AT64" s="85"/>
      <c r="AU64" s="85"/>
      <c r="AV64" s="85"/>
      <c r="AW64" s="85"/>
      <c r="AX64" s="85"/>
      <c r="AY64" s="85"/>
      <c r="AZ64" s="85"/>
      <c r="BA64" s="85"/>
      <c r="BB64" s="85"/>
      <c r="BC64" s="85"/>
      <c r="BD64" s="85"/>
      <c r="BE64" s="85"/>
      <c r="BF64" s="73"/>
      <c r="BG64" s="73" t="s">
        <v>359</v>
      </c>
    </row>
    <row r="65" spans="1:59">
      <c r="A65" s="73" t="s">
        <v>484</v>
      </c>
      <c r="B65" s="73" t="s">
        <v>485</v>
      </c>
      <c r="C65" s="74" t="s">
        <v>395</v>
      </c>
      <c r="D65" s="75">
        <v>4232</v>
      </c>
      <c r="E65" s="76">
        <v>40232</v>
      </c>
      <c r="F65" s="74" t="s">
        <v>392</v>
      </c>
      <c r="G65" s="77">
        <v>1510516</v>
      </c>
      <c r="H65" s="78">
        <v>25</v>
      </c>
      <c r="I65" s="74" t="s">
        <v>366</v>
      </c>
      <c r="J65" s="79" t="s">
        <v>365</v>
      </c>
      <c r="K65" s="79">
        <v>25</v>
      </c>
      <c r="L65" s="80"/>
      <c r="M65" s="81">
        <v>810032</v>
      </c>
      <c r="N65" s="81"/>
      <c r="O65" s="81">
        <v>0</v>
      </c>
      <c r="P65" s="81"/>
      <c r="Q65" s="81">
        <v>0</v>
      </c>
      <c r="R65" s="81"/>
      <c r="S65" s="81">
        <v>0</v>
      </c>
      <c r="T65" s="81"/>
      <c r="U65" s="81">
        <v>0</v>
      </c>
      <c r="V65" s="81"/>
      <c r="W65" s="81">
        <v>0</v>
      </c>
      <c r="X65" s="81"/>
      <c r="Y65" s="81">
        <v>0</v>
      </c>
      <c r="Z65" s="81"/>
      <c r="AA65" s="78">
        <v>0</v>
      </c>
      <c r="AB65" s="82"/>
      <c r="AC65" s="83"/>
      <c r="AD65" s="82">
        <v>486222</v>
      </c>
      <c r="AE65" s="82"/>
      <c r="AF65" s="82">
        <v>0</v>
      </c>
      <c r="AG65" s="82"/>
      <c r="AH65" s="82">
        <v>0</v>
      </c>
      <c r="AI65" s="82"/>
      <c r="AJ65" s="82">
        <v>0</v>
      </c>
      <c r="AK65" s="82"/>
      <c r="AL65" s="82">
        <v>0</v>
      </c>
      <c r="AM65" s="82"/>
      <c r="AN65" s="82">
        <v>0</v>
      </c>
      <c r="AO65" s="82"/>
      <c r="AP65" s="82">
        <v>0</v>
      </c>
      <c r="AQ65" s="73"/>
      <c r="AR65" s="84"/>
      <c r="AS65" s="85">
        <v>0.60029999999999994</v>
      </c>
      <c r="AT65" s="85"/>
      <c r="AU65" s="85"/>
      <c r="AV65" s="85"/>
      <c r="AW65" s="85"/>
      <c r="AX65" s="85"/>
      <c r="AY65" s="85"/>
      <c r="AZ65" s="85"/>
      <c r="BA65" s="85"/>
      <c r="BB65" s="85"/>
      <c r="BC65" s="85"/>
      <c r="BD65" s="85"/>
      <c r="BE65" s="85"/>
      <c r="BF65" s="73"/>
      <c r="BG65" s="73" t="s">
        <v>359</v>
      </c>
    </row>
    <row r="66" spans="1:59">
      <c r="A66" s="73" t="s">
        <v>486</v>
      </c>
      <c r="B66" s="73" t="s">
        <v>413</v>
      </c>
      <c r="C66" s="74" t="s">
        <v>487</v>
      </c>
      <c r="D66" s="75">
        <v>1115</v>
      </c>
      <c r="E66" s="76">
        <v>10115</v>
      </c>
      <c r="F66" s="74" t="s">
        <v>370</v>
      </c>
      <c r="G66" s="77">
        <v>203914</v>
      </c>
      <c r="H66" s="78">
        <v>21</v>
      </c>
      <c r="I66" s="74" t="s">
        <v>366</v>
      </c>
      <c r="J66" s="79" t="s">
        <v>365</v>
      </c>
      <c r="K66" s="79">
        <v>21</v>
      </c>
      <c r="L66" s="80"/>
      <c r="M66" s="81">
        <v>628302</v>
      </c>
      <c r="N66" s="81"/>
      <c r="O66" s="81">
        <v>0</v>
      </c>
      <c r="P66" s="81"/>
      <c r="Q66" s="81">
        <v>0</v>
      </c>
      <c r="R66" s="81"/>
      <c r="S66" s="81">
        <v>0</v>
      </c>
      <c r="T66" s="81"/>
      <c r="U66" s="81">
        <v>0</v>
      </c>
      <c r="V66" s="81"/>
      <c r="W66" s="81">
        <v>0</v>
      </c>
      <c r="X66" s="81"/>
      <c r="Y66" s="81">
        <v>0</v>
      </c>
      <c r="Z66" s="81"/>
      <c r="AA66" s="78">
        <v>0</v>
      </c>
      <c r="AB66" s="82"/>
      <c r="AC66" s="83"/>
      <c r="AD66" s="82">
        <v>0</v>
      </c>
      <c r="AE66" s="82"/>
      <c r="AF66" s="82">
        <v>0</v>
      </c>
      <c r="AG66" s="82"/>
      <c r="AH66" s="82">
        <v>0</v>
      </c>
      <c r="AI66" s="82"/>
      <c r="AJ66" s="82">
        <v>0</v>
      </c>
      <c r="AK66" s="82"/>
      <c r="AL66" s="82">
        <v>0</v>
      </c>
      <c r="AM66" s="82"/>
      <c r="AN66" s="82">
        <v>0</v>
      </c>
      <c r="AO66" s="82"/>
      <c r="AP66" s="82">
        <v>0</v>
      </c>
      <c r="AQ66" s="73"/>
      <c r="AR66" s="84"/>
      <c r="AS66" s="85">
        <v>0</v>
      </c>
      <c r="AT66" s="85"/>
      <c r="AU66" s="85"/>
      <c r="AV66" s="85"/>
      <c r="AW66" s="85"/>
      <c r="AX66" s="85"/>
      <c r="AY66" s="85"/>
      <c r="AZ66" s="85"/>
      <c r="BA66" s="85"/>
      <c r="BB66" s="85"/>
      <c r="BC66" s="85"/>
      <c r="BD66" s="85"/>
      <c r="BE66" s="85"/>
      <c r="BF66" s="73"/>
      <c r="BG66" s="73" t="s">
        <v>359</v>
      </c>
    </row>
    <row r="67" spans="1:59">
      <c r="A67" s="73" t="s">
        <v>488</v>
      </c>
      <c r="B67" s="73" t="s">
        <v>489</v>
      </c>
      <c r="C67" s="74" t="s">
        <v>385</v>
      </c>
      <c r="D67" s="75">
        <v>3057</v>
      </c>
      <c r="E67" s="76">
        <v>30057</v>
      </c>
      <c r="F67" s="74" t="s">
        <v>392</v>
      </c>
      <c r="G67" s="77">
        <v>5441567</v>
      </c>
      <c r="H67" s="78">
        <v>20</v>
      </c>
      <c r="I67" s="74" t="s">
        <v>366</v>
      </c>
      <c r="J67" s="79" t="s">
        <v>365</v>
      </c>
      <c r="K67" s="79">
        <v>20</v>
      </c>
      <c r="L67" s="80"/>
      <c r="M67" s="81">
        <v>0</v>
      </c>
      <c r="N67" s="81"/>
      <c r="O67" s="81">
        <v>0</v>
      </c>
      <c r="P67" s="81"/>
      <c r="Q67" s="81">
        <v>0</v>
      </c>
      <c r="R67" s="81"/>
      <c r="S67" s="81">
        <v>0</v>
      </c>
      <c r="T67" s="81"/>
      <c r="U67" s="81">
        <v>0</v>
      </c>
      <c r="V67" s="81"/>
      <c r="W67" s="81">
        <v>0</v>
      </c>
      <c r="X67" s="81"/>
      <c r="Y67" s="81">
        <v>27325354</v>
      </c>
      <c r="Z67" s="81"/>
      <c r="AA67" s="78">
        <v>0</v>
      </c>
      <c r="AB67" s="82"/>
      <c r="AC67" s="83"/>
      <c r="AD67" s="82">
        <v>0</v>
      </c>
      <c r="AE67" s="82"/>
      <c r="AF67" s="82">
        <v>0</v>
      </c>
      <c r="AG67" s="82"/>
      <c r="AH67" s="82">
        <v>0</v>
      </c>
      <c r="AI67" s="82"/>
      <c r="AJ67" s="82">
        <v>0</v>
      </c>
      <c r="AK67" s="82"/>
      <c r="AL67" s="82">
        <v>0</v>
      </c>
      <c r="AM67" s="82"/>
      <c r="AN67" s="82">
        <v>0</v>
      </c>
      <c r="AO67" s="82"/>
      <c r="AP67" s="82">
        <v>0</v>
      </c>
      <c r="AQ67" s="73"/>
      <c r="AR67" s="84"/>
      <c r="AS67" s="85"/>
      <c r="AT67" s="85"/>
      <c r="AU67" s="85"/>
      <c r="AV67" s="85"/>
      <c r="AW67" s="85"/>
      <c r="AX67" s="85"/>
      <c r="AY67" s="85"/>
      <c r="AZ67" s="85"/>
      <c r="BA67" s="85"/>
      <c r="BB67" s="85"/>
      <c r="BC67" s="85">
        <v>0</v>
      </c>
      <c r="BD67" s="85"/>
      <c r="BE67" s="85"/>
      <c r="BF67" s="73"/>
      <c r="BG67" s="73" t="s">
        <v>359</v>
      </c>
    </row>
    <row r="68" spans="1:59">
      <c r="A68" s="73" t="s">
        <v>490</v>
      </c>
      <c r="B68" s="73" t="s">
        <v>491</v>
      </c>
      <c r="C68" s="74" t="s">
        <v>369</v>
      </c>
      <c r="D68" s="75"/>
      <c r="E68" s="76">
        <v>90299</v>
      </c>
      <c r="F68" s="74" t="s">
        <v>370</v>
      </c>
      <c r="G68" s="77">
        <v>308231</v>
      </c>
      <c r="H68" s="78">
        <v>12</v>
      </c>
      <c r="I68" s="74" t="s">
        <v>366</v>
      </c>
      <c r="J68" s="79" t="s">
        <v>358</v>
      </c>
      <c r="K68" s="79">
        <v>12</v>
      </c>
      <c r="L68" s="80"/>
      <c r="M68" s="81">
        <v>286520</v>
      </c>
      <c r="N68" s="81"/>
      <c r="O68" s="81">
        <v>0</v>
      </c>
      <c r="P68" s="81"/>
      <c r="Q68" s="81">
        <v>0</v>
      </c>
      <c r="R68" s="81"/>
      <c r="S68" s="81">
        <v>0</v>
      </c>
      <c r="T68" s="81"/>
      <c r="U68" s="81">
        <v>0</v>
      </c>
      <c r="V68" s="81"/>
      <c r="W68" s="81">
        <v>0</v>
      </c>
      <c r="X68" s="81"/>
      <c r="Y68" s="81">
        <v>0</v>
      </c>
      <c r="Z68" s="81"/>
      <c r="AA68" s="78">
        <v>0</v>
      </c>
      <c r="AB68" s="82"/>
      <c r="AC68" s="83"/>
      <c r="AD68" s="82">
        <v>931897</v>
      </c>
      <c r="AE68" s="82"/>
      <c r="AF68" s="82">
        <v>0</v>
      </c>
      <c r="AG68" s="82"/>
      <c r="AH68" s="82">
        <v>0</v>
      </c>
      <c r="AI68" s="82"/>
      <c r="AJ68" s="82">
        <v>0</v>
      </c>
      <c r="AK68" s="82"/>
      <c r="AL68" s="82">
        <v>0</v>
      </c>
      <c r="AM68" s="82"/>
      <c r="AN68" s="82">
        <v>0</v>
      </c>
      <c r="AO68" s="82"/>
      <c r="AP68" s="82">
        <v>0</v>
      </c>
      <c r="AQ68" s="73"/>
      <c r="AR68" s="84"/>
      <c r="AS68" s="85">
        <v>3.2524999999999999</v>
      </c>
      <c r="AT68" s="85"/>
      <c r="AU68" s="85"/>
      <c r="AV68" s="85"/>
      <c r="AW68" s="85"/>
      <c r="AX68" s="85"/>
      <c r="AY68" s="85"/>
      <c r="AZ68" s="85"/>
      <c r="BA68" s="85"/>
      <c r="BB68" s="85"/>
      <c r="BC68" s="85"/>
      <c r="BD68" s="85"/>
      <c r="BE68" s="85"/>
      <c r="BF68" s="73"/>
      <c r="BG68" s="73" t="s">
        <v>359</v>
      </c>
    </row>
    <row r="70" spans="1:59">
      <c r="M70" s="4">
        <f>SUM(M1:M68)</f>
        <v>104995073</v>
      </c>
      <c r="N70" s="4">
        <f t="shared" ref="N70:AB70" si="0">SUM(N1:N68)</f>
        <v>0</v>
      </c>
      <c r="O70" s="4">
        <f t="shared" si="0"/>
        <v>0</v>
      </c>
      <c r="P70" s="4">
        <f t="shared" si="0"/>
        <v>0</v>
      </c>
      <c r="Q70" s="4">
        <f t="shared" si="0"/>
        <v>0</v>
      </c>
      <c r="R70" s="4">
        <f t="shared" si="0"/>
        <v>0</v>
      </c>
      <c r="S70" s="4">
        <f t="shared" si="0"/>
        <v>0</v>
      </c>
      <c r="T70" s="4">
        <f t="shared" si="0"/>
        <v>0</v>
      </c>
      <c r="U70" s="4">
        <f t="shared" si="0"/>
        <v>792273</v>
      </c>
      <c r="V70" s="4">
        <f t="shared" si="0"/>
        <v>0</v>
      </c>
      <c r="W70" s="4">
        <f t="shared" si="0"/>
        <v>0</v>
      </c>
      <c r="X70" s="4">
        <f t="shared" si="0"/>
        <v>0</v>
      </c>
      <c r="Y70" s="4">
        <f t="shared" si="0"/>
        <v>6030683824</v>
      </c>
      <c r="Z70" s="4">
        <f t="shared" si="0"/>
        <v>0</v>
      </c>
      <c r="AA70" s="4">
        <f t="shared" si="0"/>
        <v>0</v>
      </c>
      <c r="AB70" s="4">
        <f t="shared" si="0"/>
        <v>0</v>
      </c>
    </row>
  </sheetData>
  <conditionalFormatting sqref="A2:BG68">
    <cfRule type="expression" dxfId="2" priority="1">
      <formula>MOD(ROW(),2)=0</formula>
    </cfRule>
  </conditionalFormatting>
  <conditionalFormatting sqref="K5:K68">
    <cfRule type="expression" dxfId="1" priority="5">
      <formula>MOD(ROW(),2)=0</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904CB-7743-473D-B2CD-F22BF9B151E1}">
  <sheetPr>
    <tabColor theme="9"/>
  </sheetPr>
  <dimension ref="A1"/>
  <sheetViews>
    <sheetView workbookViewId="0"/>
  </sheetViews>
  <sheetFormatPr defaultRowHeight="1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C45B1-B468-4B77-AA6F-E945FB3DE421}">
  <sheetPr>
    <tabColor rgb="FFFFCC66"/>
  </sheetPr>
  <dimension ref="A2:Y67"/>
  <sheetViews>
    <sheetView workbookViewId="0"/>
  </sheetViews>
  <sheetFormatPr defaultRowHeight="15"/>
  <cols>
    <col min="2" max="2" width="18.28515625" customWidth="1"/>
    <col min="3" max="3" width="9.85546875" bestFit="1" customWidth="1"/>
    <col min="4" max="4" width="11.42578125" customWidth="1"/>
    <col min="5" max="5" width="22.42578125" bestFit="1" customWidth="1"/>
    <col min="6" max="6" width="15.28515625" bestFit="1" customWidth="1"/>
    <col min="7" max="7" width="16.85546875" bestFit="1" customWidth="1"/>
    <col min="8" max="8" width="15.85546875" customWidth="1"/>
    <col min="9" max="9" width="18.5703125" customWidth="1"/>
    <col min="10" max="10" width="16.42578125" bestFit="1" customWidth="1"/>
    <col min="11" max="11" width="17.85546875" bestFit="1" customWidth="1"/>
    <col min="12" max="12" width="9.7109375" bestFit="1" customWidth="1"/>
    <col min="13" max="13" width="14.28515625" bestFit="1" customWidth="1"/>
    <col min="14" max="20" width="14.28515625" customWidth="1"/>
    <col min="21" max="21" width="18.140625" bestFit="1" customWidth="1"/>
    <col min="22" max="22" width="19.42578125" bestFit="1" customWidth="1"/>
  </cols>
  <sheetData>
    <row r="2" spans="2:25">
      <c r="B2" s="1" t="s">
        <v>538</v>
      </c>
      <c r="C2" s="4">
        <v>138700</v>
      </c>
    </row>
    <row r="3" spans="2:25">
      <c r="B3" s="1" t="s">
        <v>539</v>
      </c>
      <c r="C3">
        <v>3412.14</v>
      </c>
      <c r="H3" s="36"/>
    </row>
    <row r="4" spans="2:25">
      <c r="B4" s="1" t="s">
        <v>311</v>
      </c>
      <c r="C4" s="86" t="s">
        <v>540</v>
      </c>
      <c r="D4" s="86" t="s">
        <v>357</v>
      </c>
      <c r="E4" s="86" t="s">
        <v>366</v>
      </c>
      <c r="F4" s="86" t="s">
        <v>364</v>
      </c>
    </row>
    <row r="5" spans="2:25">
      <c r="B5" s="1"/>
      <c r="C5" s="1"/>
      <c r="D5" s="1"/>
      <c r="E5" s="1"/>
      <c r="F5" s="1"/>
    </row>
    <row r="6" spans="2:25">
      <c r="B6" s="1"/>
      <c r="C6" s="1"/>
      <c r="D6" s="1"/>
      <c r="E6" s="87" t="s">
        <v>541</v>
      </c>
      <c r="F6" s="87"/>
      <c r="G6" s="88"/>
      <c r="H6" s="88"/>
      <c r="I6" s="88"/>
      <c r="J6" s="88"/>
      <c r="K6" s="88"/>
      <c r="L6" s="88"/>
      <c r="M6" s="88"/>
      <c r="N6" s="88"/>
      <c r="O6" s="88"/>
      <c r="P6" s="89" t="s">
        <v>542</v>
      </c>
      <c r="Q6" s="90"/>
      <c r="R6" s="90"/>
      <c r="S6" s="90"/>
      <c r="T6" s="90"/>
      <c r="U6" s="90"/>
      <c r="V6" s="90"/>
    </row>
    <row r="7" spans="2:25">
      <c r="G7" s="91"/>
      <c r="H7" s="1" t="s">
        <v>510</v>
      </c>
      <c r="I7" s="1"/>
      <c r="J7" s="1"/>
      <c r="K7" s="1"/>
      <c r="N7" s="1"/>
      <c r="O7" s="1"/>
    </row>
    <row r="8" spans="2:25">
      <c r="B8" s="92" t="s">
        <v>304</v>
      </c>
      <c r="C8" s="92" t="s">
        <v>304</v>
      </c>
      <c r="D8" s="1" t="s">
        <v>543</v>
      </c>
      <c r="E8" s="1" t="s">
        <v>315</v>
      </c>
      <c r="F8" s="1" t="s">
        <v>325</v>
      </c>
      <c r="G8" s="1" t="s">
        <v>347</v>
      </c>
      <c r="H8" s="1" t="s">
        <v>168</v>
      </c>
      <c r="I8" s="1" t="s">
        <v>518</v>
      </c>
      <c r="J8" s="1" t="s">
        <v>544</v>
      </c>
      <c r="K8" s="1" t="s">
        <v>545</v>
      </c>
      <c r="L8" s="93" t="s">
        <v>546</v>
      </c>
      <c r="M8" s="93" t="s">
        <v>3898</v>
      </c>
      <c r="N8" s="93" t="s">
        <v>3899</v>
      </c>
      <c r="O8" s="93" t="s">
        <v>3900</v>
      </c>
      <c r="P8" s="1" t="s">
        <v>494</v>
      </c>
      <c r="Q8" s="1" t="s">
        <v>502</v>
      </c>
      <c r="R8" s="1" t="s">
        <v>506</v>
      </c>
      <c r="S8" s="1" t="s">
        <v>547</v>
      </c>
      <c r="T8" s="1" t="s">
        <v>548</v>
      </c>
      <c r="U8" s="93" t="s">
        <v>549</v>
      </c>
      <c r="V8" s="93" t="s">
        <v>550</v>
      </c>
      <c r="Y8" t="s">
        <v>3897</v>
      </c>
    </row>
    <row r="9" spans="2:25">
      <c r="B9" s="94" t="s">
        <v>551</v>
      </c>
      <c r="C9" s="94" t="s">
        <v>552</v>
      </c>
      <c r="D9" t="s">
        <v>553</v>
      </c>
      <c r="E9">
        <f>SUMIFS('Annual Service Data_rail only'!N:N,'Annual Service Data_rail only'!C:C,C9)</f>
        <v>0</v>
      </c>
      <c r="F9" s="91">
        <f>SUMIFS('Annual Service Data_rail only'!X:X,'Annual Service Data_rail only'!C:C,C9)</f>
        <v>0</v>
      </c>
      <c r="G9" s="91">
        <f>SUMIFS('Annual Service Data_rail only'!AT:AT,'Annual Service Data_rail only'!C:C,C9)</f>
        <v>0</v>
      </c>
      <c r="H9">
        <f>SUMIFS('Fuel and Energy_rail only'!AD:AD,'Fuel and Energy_rail only'!C:C,C9)</f>
        <v>0</v>
      </c>
      <c r="I9">
        <f>SUMIFS('Fuel and Energy_rail only'!AN:AN,'Fuel and Energy_rail only'!C:C,C9)</f>
        <v>0</v>
      </c>
      <c r="J9" s="36">
        <f>IFERROR(H9/SUM($H9:$I9),0)</f>
        <v>0</v>
      </c>
      <c r="K9" s="36">
        <f>IFERROR(I9/SUM($H9:$I9),0)</f>
        <v>0</v>
      </c>
      <c r="L9" s="95">
        <f t="shared" ref="L9:L40" si="0">IFERROR(G9/F9,0)</f>
        <v>0</v>
      </c>
      <c r="M9" s="96">
        <f t="shared" ref="M9:M40" si="1">IFERROR(F9/Y9,0)</f>
        <v>0</v>
      </c>
      <c r="N9" s="96">
        <f t="shared" ref="N9:N40" si="2">Y9*J9*$Y$65</f>
        <v>0</v>
      </c>
      <c r="O9" s="96">
        <f t="shared" ref="O9:O40" si="3">Y9-N9</f>
        <v>0</v>
      </c>
      <c r="P9">
        <f>SUMIFS('Fuel and Energy_rail only'!M:M,'Fuel and Energy_rail only'!C:C,C9)</f>
        <v>0</v>
      </c>
      <c r="Q9">
        <f>SUMIFS('Fuel and Energy_rail only'!U:U,'Fuel and Energy_rail only'!C:C,C9)</f>
        <v>0</v>
      </c>
      <c r="R9">
        <f>SUMIFS('Fuel and Energy_rail only'!Y:Y,'Fuel and Energy_rail only'!C:C,C9)</f>
        <v>0</v>
      </c>
      <c r="S9">
        <f>SUM(P9:Q9)*$C$2</f>
        <v>0</v>
      </c>
      <c r="T9">
        <f>R9*$C$3</f>
        <v>0</v>
      </c>
      <c r="U9" s="97">
        <f>IFERROR(($L9*$M9*N9)/S9,0)</f>
        <v>0</v>
      </c>
      <c r="V9" s="97">
        <f>IFERROR(($L9*$M9*O9)/T9,0)</f>
        <v>0</v>
      </c>
      <c r="Y9">
        <v>0</v>
      </c>
    </row>
    <row r="10" spans="2:25">
      <c r="B10" s="94" t="s">
        <v>554</v>
      </c>
      <c r="C10" s="94" t="s">
        <v>555</v>
      </c>
      <c r="D10" t="s">
        <v>556</v>
      </c>
      <c r="E10">
        <f>SUMIFS('Annual Service Data_rail only'!N:N,'Annual Service Data_rail only'!C:C,C10)</f>
        <v>0</v>
      </c>
      <c r="F10" s="91">
        <f>SUMIFS('Annual Service Data_rail only'!X:X,'Annual Service Data_rail only'!C:C,C10)</f>
        <v>0</v>
      </c>
      <c r="G10" s="91">
        <f>SUMIFS('Annual Service Data_rail only'!AT:AT,'Annual Service Data_rail only'!C:C,C10)</f>
        <v>0</v>
      </c>
      <c r="H10">
        <f>SUMIFS('Fuel and Energy_rail only'!AD:AD,'Fuel and Energy_rail only'!C:C,C10)</f>
        <v>0</v>
      </c>
      <c r="I10">
        <f>SUMIFS('Fuel and Energy_rail only'!AN:AN,'Fuel and Energy_rail only'!C:C,C10)</f>
        <v>0</v>
      </c>
      <c r="J10" s="36">
        <f t="shared" ref="J10:K59" si="4">IFERROR(H10/SUM($H10:$I10),0)</f>
        <v>0</v>
      </c>
      <c r="K10" s="36">
        <f t="shared" si="4"/>
        <v>0</v>
      </c>
      <c r="L10" s="95">
        <f t="shared" si="0"/>
        <v>0</v>
      </c>
      <c r="M10" s="96">
        <f t="shared" si="1"/>
        <v>0</v>
      </c>
      <c r="N10" s="96">
        <f t="shared" si="2"/>
        <v>0</v>
      </c>
      <c r="O10" s="96">
        <f t="shared" si="3"/>
        <v>98</v>
      </c>
      <c r="P10">
        <f>SUMIFS('Fuel and Energy_rail only'!M:M,'Fuel and Energy_rail only'!C:C,C10)</f>
        <v>0</v>
      </c>
      <c r="Q10">
        <f>SUMIFS('Fuel and Energy_rail only'!U:U,'Fuel and Energy_rail only'!C:C,C10)</f>
        <v>0</v>
      </c>
      <c r="R10">
        <f>SUMIFS('Fuel and Energy_rail only'!Y:Y,'Fuel and Energy_rail only'!C:C,C10)</f>
        <v>0</v>
      </c>
      <c r="S10">
        <f t="shared" ref="S10:S59" si="5">SUM(P10:Q10)*$C$2</f>
        <v>0</v>
      </c>
      <c r="T10">
        <f t="shared" ref="T10:T59" si="6">R10*$C$3</f>
        <v>0</v>
      </c>
      <c r="U10" s="97">
        <f t="shared" ref="U10:V59" si="7">IFERROR(($L10*$M10*N10)/S10,0)</f>
        <v>0</v>
      </c>
      <c r="V10" s="97">
        <f t="shared" si="7"/>
        <v>0</v>
      </c>
      <c r="Y10">
        <v>98</v>
      </c>
    </row>
    <row r="11" spans="2:25">
      <c r="B11" s="94" t="s">
        <v>557</v>
      </c>
      <c r="C11" s="94" t="s">
        <v>481</v>
      </c>
      <c r="D11" t="s">
        <v>558</v>
      </c>
      <c r="E11">
        <f>SUMIFS('Annual Service Data_rail only'!N:N,'Annual Service Data_rail only'!C:C,C11)</f>
        <v>17</v>
      </c>
      <c r="F11" s="91">
        <f>SUMIFS('Annual Service Data_rail only'!X:X,'Annual Service Data_rail only'!C:C,C11)</f>
        <v>3435184</v>
      </c>
      <c r="G11" s="91">
        <f>SUMIFS('Annual Service Data_rail only'!AT:AT,'Annual Service Data_rail only'!C:C,C11)</f>
        <v>90553779</v>
      </c>
      <c r="H11">
        <f>SUMIFS('Fuel and Energy_rail only'!AD:AD,'Fuel and Energy_rail only'!C:C,C11)</f>
        <v>0</v>
      </c>
      <c r="I11">
        <f>SUMIFS('Fuel and Energy_rail only'!AN:AN,'Fuel and Energy_rail only'!C:C,C11)</f>
        <v>3452467</v>
      </c>
      <c r="J11" s="36">
        <f t="shared" si="4"/>
        <v>0</v>
      </c>
      <c r="K11" s="36">
        <f t="shared" si="4"/>
        <v>1</v>
      </c>
      <c r="L11" s="95">
        <f t="shared" si="0"/>
        <v>26.360677914196152</v>
      </c>
      <c r="M11" s="96">
        <f t="shared" si="1"/>
        <v>45802.453333333331</v>
      </c>
      <c r="N11" s="96">
        <f t="shared" si="2"/>
        <v>0</v>
      </c>
      <c r="O11" s="96">
        <f t="shared" si="3"/>
        <v>75</v>
      </c>
      <c r="P11">
        <f>SUMIFS('Fuel and Energy_rail only'!M:M,'Fuel and Energy_rail only'!C:C,C11)</f>
        <v>0</v>
      </c>
      <c r="Q11">
        <f>SUMIFS('Fuel and Energy_rail only'!U:U,'Fuel and Energy_rail only'!C:C,C11)</f>
        <v>0</v>
      </c>
      <c r="R11">
        <f>SUMIFS('Fuel and Energy_rail only'!Y:Y,'Fuel and Energy_rail only'!C:C,C11)</f>
        <v>23474521</v>
      </c>
      <c r="S11">
        <f t="shared" si="5"/>
        <v>0</v>
      </c>
      <c r="T11">
        <f t="shared" si="6"/>
        <v>80098352084.940002</v>
      </c>
      <c r="U11" s="97">
        <f t="shared" si="7"/>
        <v>0</v>
      </c>
      <c r="V11" s="97">
        <f t="shared" si="7"/>
        <v>1.1305323598164989E-3</v>
      </c>
      <c r="Y11">
        <v>75</v>
      </c>
    </row>
    <row r="12" spans="2:25">
      <c r="B12" s="94" t="s">
        <v>559</v>
      </c>
      <c r="C12" s="94" t="s">
        <v>560</v>
      </c>
      <c r="D12" t="s">
        <v>561</v>
      </c>
      <c r="E12">
        <f>SUMIFS('Annual Service Data_rail only'!N:N,'Annual Service Data_rail only'!C:C,C12)</f>
        <v>0</v>
      </c>
      <c r="F12" s="91">
        <f>SUMIFS('Annual Service Data_rail only'!X:X,'Annual Service Data_rail only'!C:C,C12)</f>
        <v>0</v>
      </c>
      <c r="G12" s="91">
        <f>SUMIFS('Annual Service Data_rail only'!AT:AT,'Annual Service Data_rail only'!C:C,C12)</f>
        <v>0</v>
      </c>
      <c r="H12">
        <f>SUMIFS('Fuel and Energy_rail only'!AD:AD,'Fuel and Energy_rail only'!C:C,C12)</f>
        <v>0</v>
      </c>
      <c r="I12">
        <f>SUMIFS('Fuel and Energy_rail only'!AN:AN,'Fuel and Energy_rail only'!C:C,C12)</f>
        <v>0</v>
      </c>
      <c r="J12" s="36">
        <f t="shared" si="4"/>
        <v>0</v>
      </c>
      <c r="K12" s="36">
        <f t="shared" si="4"/>
        <v>0</v>
      </c>
      <c r="L12" s="95">
        <f t="shared" si="0"/>
        <v>0</v>
      </c>
      <c r="M12" s="96">
        <f t="shared" si="1"/>
        <v>0</v>
      </c>
      <c r="N12" s="96">
        <f t="shared" si="2"/>
        <v>0</v>
      </c>
      <c r="O12" s="96">
        <f t="shared" si="3"/>
        <v>0</v>
      </c>
      <c r="P12">
        <f>SUMIFS('Fuel and Energy_rail only'!M:M,'Fuel and Energy_rail only'!C:C,C12)</f>
        <v>0</v>
      </c>
      <c r="Q12">
        <f>SUMIFS('Fuel and Energy_rail only'!U:U,'Fuel and Energy_rail only'!C:C,C12)</f>
        <v>0</v>
      </c>
      <c r="R12">
        <f>SUMIFS('Fuel and Energy_rail only'!Y:Y,'Fuel and Energy_rail only'!C:C,C12)</f>
        <v>0</v>
      </c>
      <c r="S12">
        <f t="shared" si="5"/>
        <v>0</v>
      </c>
      <c r="T12">
        <f t="shared" si="6"/>
        <v>0</v>
      </c>
      <c r="U12" s="97">
        <f t="shared" si="7"/>
        <v>0</v>
      </c>
      <c r="V12" s="97">
        <f t="shared" si="7"/>
        <v>0</v>
      </c>
      <c r="Y12">
        <v>0</v>
      </c>
    </row>
    <row r="13" spans="2:25">
      <c r="B13" s="94" t="s">
        <v>562</v>
      </c>
      <c r="C13" s="94" t="s">
        <v>369</v>
      </c>
      <c r="D13" t="s">
        <v>563</v>
      </c>
      <c r="E13">
        <f>SUMIFS('Annual Service Data_rail only'!N:N,'Annual Service Data_rail only'!C:C,C13)</f>
        <v>441</v>
      </c>
      <c r="F13" s="91">
        <f>SUMIFS('Annual Service Data_rail only'!X:X,'Annual Service Data_rail only'!C:C,C13)</f>
        <v>139399021</v>
      </c>
      <c r="G13" s="91">
        <f>SUMIFS('Annual Service Data_rail only'!AT:AT,'Annual Service Data_rail only'!C:C,C13)</f>
        <v>2812423160</v>
      </c>
      <c r="H13">
        <f>SUMIFS('Fuel and Energy_rail only'!AD:AD,'Fuel and Energy_rail only'!C:C,C13)</f>
        <v>5034854</v>
      </c>
      <c r="I13">
        <f>SUMIFS('Fuel and Energy_rail only'!AN:AN,'Fuel and Energy_rail only'!C:C,C13)</f>
        <v>106204511</v>
      </c>
      <c r="J13" s="36">
        <f t="shared" si="4"/>
        <v>4.5261441397116929E-2</v>
      </c>
      <c r="K13" s="36">
        <f t="shared" si="4"/>
        <v>0.95473855860288304</v>
      </c>
      <c r="L13" s="95">
        <f t="shared" si="0"/>
        <v>20.175343699149796</v>
      </c>
      <c r="M13" s="96">
        <f t="shared" si="1"/>
        <v>58082.925416666665</v>
      </c>
      <c r="N13" s="96">
        <f t="shared" si="2"/>
        <v>89.58137645738897</v>
      </c>
      <c r="O13" s="96">
        <f t="shared" si="3"/>
        <v>2310.4186235426109</v>
      </c>
      <c r="P13">
        <f>SUMIFS('Fuel and Energy_rail only'!M:M,'Fuel and Energy_rail only'!C:C,C13)</f>
        <v>13666577</v>
      </c>
      <c r="Q13">
        <f>SUMIFS('Fuel and Energy_rail only'!U:U,'Fuel and Energy_rail only'!C:C,C13)</f>
        <v>0</v>
      </c>
      <c r="R13">
        <f>SUMIFS('Fuel and Energy_rail only'!Y:Y,'Fuel and Energy_rail only'!C:C,C13)</f>
        <v>681466893</v>
      </c>
      <c r="S13">
        <f t="shared" si="5"/>
        <v>1895554229900</v>
      </c>
      <c r="T13">
        <f t="shared" si="6"/>
        <v>2325260444281.02</v>
      </c>
      <c r="U13" s="97">
        <f t="shared" si="7"/>
        <v>5.537974370929557E-5</v>
      </c>
      <c r="V13" s="97">
        <f t="shared" si="7"/>
        <v>1.1643632691641221E-3</v>
      </c>
      <c r="Y13">
        <v>2400</v>
      </c>
    </row>
    <row r="14" spans="2:25">
      <c r="B14" s="94" t="s">
        <v>564</v>
      </c>
      <c r="C14" s="94" t="s">
        <v>399</v>
      </c>
      <c r="D14" t="s">
        <v>565</v>
      </c>
      <c r="E14">
        <f>SUMIFS('Annual Service Data_rail only'!N:N,'Annual Service Data_rail only'!C:C,C14)</f>
        <v>56</v>
      </c>
      <c r="F14" s="91">
        <f>SUMIFS('Annual Service Data_rail only'!X:X,'Annual Service Data_rail only'!C:C,C14)</f>
        <v>15749288</v>
      </c>
      <c r="G14" s="91">
        <f>SUMIFS('Annual Service Data_rail only'!AT:AT,'Annual Service Data_rail only'!C:C,C14)</f>
        <v>129461494</v>
      </c>
      <c r="H14">
        <f>SUMIFS('Fuel and Energy_rail only'!AD:AD,'Fuel and Energy_rail only'!C:C,C14)</f>
        <v>0</v>
      </c>
      <c r="I14">
        <f>SUMIFS('Fuel and Energy_rail only'!AN:AN,'Fuel and Energy_rail only'!C:C,C14)</f>
        <v>15639401</v>
      </c>
      <c r="J14" s="36">
        <f t="shared" si="4"/>
        <v>0</v>
      </c>
      <c r="K14" s="36">
        <f t="shared" si="4"/>
        <v>1</v>
      </c>
      <c r="L14" s="95">
        <f t="shared" si="0"/>
        <v>8.2201489997516077</v>
      </c>
      <c r="M14" s="96">
        <f t="shared" si="1"/>
        <v>47295.159159159157</v>
      </c>
      <c r="N14" s="96">
        <f t="shared" si="2"/>
        <v>0</v>
      </c>
      <c r="O14" s="96">
        <f t="shared" si="3"/>
        <v>333</v>
      </c>
      <c r="P14">
        <f>SUMIFS('Fuel and Energy_rail only'!M:M,'Fuel and Energy_rail only'!C:C,C14)</f>
        <v>0</v>
      </c>
      <c r="Q14">
        <f>SUMIFS('Fuel and Energy_rail only'!U:U,'Fuel and Energy_rail only'!C:C,C14)</f>
        <v>0</v>
      </c>
      <c r="R14">
        <f>SUMIFS('Fuel and Energy_rail only'!Y:Y,'Fuel and Energy_rail only'!C:C,C14)</f>
        <v>101468806</v>
      </c>
      <c r="S14">
        <f t="shared" si="5"/>
        <v>0</v>
      </c>
      <c r="T14">
        <f t="shared" si="6"/>
        <v>346225771704.83997</v>
      </c>
      <c r="U14" s="97">
        <f t="shared" si="7"/>
        <v>0</v>
      </c>
      <c r="V14" s="97">
        <f t="shared" si="7"/>
        <v>3.7392217616419055E-4</v>
      </c>
      <c r="Y14">
        <v>333</v>
      </c>
    </row>
    <row r="15" spans="2:25">
      <c r="B15" s="94" t="s">
        <v>566</v>
      </c>
      <c r="C15" s="94" t="s">
        <v>478</v>
      </c>
      <c r="D15" t="s">
        <v>567</v>
      </c>
      <c r="E15">
        <f>SUMIFS('Annual Service Data_rail only'!N:N,'Annual Service Data_rail only'!C:C,C15)</f>
        <v>5</v>
      </c>
      <c r="F15" s="91">
        <f>SUMIFS('Annual Service Data_rail only'!X:X,'Annual Service Data_rail only'!C:C,C15)</f>
        <v>1717047</v>
      </c>
      <c r="G15" s="91">
        <f>SUMIFS('Annual Service Data_rail only'!AT:AT,'Annual Service Data_rail only'!C:C,C15)</f>
        <v>12884750</v>
      </c>
      <c r="H15">
        <f>SUMIFS('Fuel and Energy_rail only'!AD:AD,'Fuel and Energy_rail only'!C:C,C15)</f>
        <v>724004</v>
      </c>
      <c r="I15">
        <f>SUMIFS('Fuel and Energy_rail only'!AN:AN,'Fuel and Energy_rail only'!C:C,C15)</f>
        <v>0</v>
      </c>
      <c r="J15" s="36">
        <f t="shared" si="4"/>
        <v>1</v>
      </c>
      <c r="K15" s="36">
        <f t="shared" si="4"/>
        <v>0</v>
      </c>
      <c r="L15" s="95">
        <f t="shared" si="0"/>
        <v>7.5040170711692804</v>
      </c>
      <c r="M15" s="96">
        <f t="shared" si="1"/>
        <v>2361.8253094910592</v>
      </c>
      <c r="N15" s="96">
        <f t="shared" si="2"/>
        <v>599.53220918882562</v>
      </c>
      <c r="O15" s="96">
        <f t="shared" si="3"/>
        <v>127.46779081117438</v>
      </c>
      <c r="P15">
        <f>SUMIFS('Fuel and Energy_rail only'!M:M,'Fuel and Energy_rail only'!C:C,C15)</f>
        <v>1678569</v>
      </c>
      <c r="Q15">
        <f>SUMIFS('Fuel and Energy_rail only'!U:U,'Fuel and Energy_rail only'!C:C,C15)</f>
        <v>0</v>
      </c>
      <c r="R15">
        <f>SUMIFS('Fuel and Energy_rail only'!Y:Y,'Fuel and Energy_rail only'!C:C,C15)</f>
        <v>0</v>
      </c>
      <c r="S15">
        <f t="shared" si="5"/>
        <v>232817520300</v>
      </c>
      <c r="T15">
        <f t="shared" si="6"/>
        <v>0</v>
      </c>
      <c r="U15" s="97">
        <f t="shared" si="7"/>
        <v>4.5639244467858813E-5</v>
      </c>
      <c r="V15" s="97">
        <f t="shared" si="7"/>
        <v>0</v>
      </c>
      <c r="Y15">
        <v>727</v>
      </c>
    </row>
    <row r="16" spans="2:25">
      <c r="B16" s="94" t="s">
        <v>568</v>
      </c>
      <c r="C16" s="94" t="s">
        <v>569</v>
      </c>
      <c r="D16" t="s">
        <v>570</v>
      </c>
      <c r="E16">
        <f>SUMIFS('Annual Service Data_rail only'!N:N,'Annual Service Data_rail only'!C:C,C16)</f>
        <v>0</v>
      </c>
      <c r="F16" s="91">
        <f>SUMIFS('Annual Service Data_rail only'!X:X,'Annual Service Data_rail only'!C:C,C16)</f>
        <v>0</v>
      </c>
      <c r="G16" s="91">
        <f>SUMIFS('Annual Service Data_rail only'!AT:AT,'Annual Service Data_rail only'!C:C,C16)</f>
        <v>0</v>
      </c>
      <c r="H16">
        <f>SUMIFS('Fuel and Energy_rail only'!AD:AD,'Fuel and Energy_rail only'!C:C,C16)</f>
        <v>0</v>
      </c>
      <c r="I16">
        <f>SUMIFS('Fuel and Energy_rail only'!AN:AN,'Fuel and Energy_rail only'!C:C,C16)</f>
        <v>0</v>
      </c>
      <c r="J16" s="36">
        <f t="shared" si="4"/>
        <v>0</v>
      </c>
      <c r="K16" s="36">
        <f t="shared" si="4"/>
        <v>0</v>
      </c>
      <c r="L16" s="95">
        <f t="shared" si="0"/>
        <v>0</v>
      </c>
      <c r="M16" s="96">
        <f t="shared" si="1"/>
        <v>0</v>
      </c>
      <c r="N16" s="96">
        <f t="shared" si="2"/>
        <v>0</v>
      </c>
      <c r="O16" s="96">
        <f t="shared" si="3"/>
        <v>0</v>
      </c>
      <c r="P16">
        <f>SUMIFS('Fuel and Energy_rail only'!M:M,'Fuel and Energy_rail only'!C:C,C16)</f>
        <v>0</v>
      </c>
      <c r="Q16">
        <f>SUMIFS('Fuel and Energy_rail only'!U:U,'Fuel and Energy_rail only'!C:C,C16)</f>
        <v>0</v>
      </c>
      <c r="R16">
        <f>SUMIFS('Fuel and Energy_rail only'!Y:Y,'Fuel and Energy_rail only'!C:C,C16)</f>
        <v>0</v>
      </c>
      <c r="S16">
        <f t="shared" si="5"/>
        <v>0</v>
      </c>
      <c r="T16">
        <f t="shared" si="6"/>
        <v>0</v>
      </c>
      <c r="U16" s="97">
        <f t="shared" si="7"/>
        <v>0</v>
      </c>
      <c r="V16" s="97">
        <f t="shared" si="7"/>
        <v>0</v>
      </c>
      <c r="Y16">
        <v>0</v>
      </c>
    </row>
    <row r="17" spans="2:25">
      <c r="B17" s="94" t="s">
        <v>373</v>
      </c>
      <c r="C17" s="94" t="s">
        <v>373</v>
      </c>
      <c r="D17" t="s">
        <v>571</v>
      </c>
      <c r="E17">
        <f>SUMIFS('Annual Service Data_rail only'!N:N,'Annual Service Data_rail only'!C:C,C17)</f>
        <v>129</v>
      </c>
      <c r="F17" s="91">
        <f>SUMIFS('Annual Service Data_rail only'!X:X,'Annual Service Data_rail only'!C:C,C17)</f>
        <v>82234530</v>
      </c>
      <c r="G17" s="91">
        <f>SUMIFS('Annual Service Data_rail only'!AT:AT,'Annual Service Data_rail only'!C:C,C17)</f>
        <v>985922295</v>
      </c>
      <c r="H17">
        <f>SUMIFS('Fuel and Energy_rail only'!AD:AD,'Fuel and Energy_rail only'!C:C,C17)</f>
        <v>0</v>
      </c>
      <c r="I17">
        <f>SUMIFS('Fuel and Energy_rail only'!AN:AN,'Fuel and Energy_rail only'!C:C,C17)</f>
        <v>64920984</v>
      </c>
      <c r="J17" s="36">
        <f t="shared" si="4"/>
        <v>0</v>
      </c>
      <c r="K17" s="36">
        <f t="shared" si="4"/>
        <v>1</v>
      </c>
      <c r="L17" s="95">
        <f t="shared" si="0"/>
        <v>11.9891521846115</v>
      </c>
      <c r="M17" s="96">
        <f t="shared" si="1"/>
        <v>66748.806818181823</v>
      </c>
      <c r="N17" s="96">
        <f t="shared" si="2"/>
        <v>0</v>
      </c>
      <c r="O17" s="96">
        <f t="shared" si="3"/>
        <v>1232</v>
      </c>
      <c r="P17">
        <f>SUMIFS('Fuel and Energy_rail only'!M:M,'Fuel and Energy_rail only'!C:C,C17)</f>
        <v>0</v>
      </c>
      <c r="Q17">
        <f>SUMIFS('Fuel and Energy_rail only'!U:U,'Fuel and Energy_rail only'!C:C,C17)</f>
        <v>0</v>
      </c>
      <c r="R17">
        <f>SUMIFS('Fuel and Energy_rail only'!Y:Y,'Fuel and Energy_rail only'!C:C,C17)</f>
        <v>576455528</v>
      </c>
      <c r="S17">
        <f t="shared" si="5"/>
        <v>0</v>
      </c>
      <c r="T17">
        <f t="shared" si="6"/>
        <v>1966946965309.9199</v>
      </c>
      <c r="U17" s="97">
        <f t="shared" si="7"/>
        <v>0</v>
      </c>
      <c r="V17" s="97">
        <f t="shared" si="7"/>
        <v>5.0124498137887224E-4</v>
      </c>
      <c r="Y17">
        <v>1232</v>
      </c>
    </row>
    <row r="18" spans="2:25">
      <c r="B18" s="94" t="s">
        <v>572</v>
      </c>
      <c r="C18" s="94" t="s">
        <v>395</v>
      </c>
      <c r="D18" t="s">
        <v>573</v>
      </c>
      <c r="E18">
        <f>SUMIFS('Annual Service Data_rail only'!N:N,'Annual Service Data_rail only'!C:C,C18)</f>
        <v>35</v>
      </c>
      <c r="F18" s="91">
        <f>SUMIFS('Annual Service Data_rail only'!X:X,'Annual Service Data_rail only'!C:C,C18)</f>
        <v>11964512</v>
      </c>
      <c r="G18" s="91">
        <f>SUMIFS('Annual Service Data_rail only'!AT:AT,'Annual Service Data_rail only'!C:C,C18)</f>
        <v>203966246</v>
      </c>
      <c r="H18">
        <f>SUMIFS('Fuel and Energy_rail only'!AD:AD,'Fuel and Energy_rail only'!C:C,C18)</f>
        <v>1504489</v>
      </c>
      <c r="I18">
        <f>SUMIFS('Fuel and Energy_rail only'!AN:AN,'Fuel and Energy_rail only'!C:C,C18)</f>
        <v>559892</v>
      </c>
      <c r="J18" s="36">
        <f t="shared" si="4"/>
        <v>0.72878456060194319</v>
      </c>
      <c r="K18" s="36">
        <f t="shared" si="4"/>
        <v>0.27121543939805687</v>
      </c>
      <c r="L18" s="95">
        <f t="shared" si="0"/>
        <v>17.047602610118993</v>
      </c>
      <c r="M18" s="96">
        <f t="shared" si="1"/>
        <v>43507.316363636361</v>
      </c>
      <c r="N18" s="96">
        <f t="shared" si="2"/>
        <v>165.27606581995516</v>
      </c>
      <c r="O18" s="96">
        <f t="shared" si="3"/>
        <v>109.72393418004484</v>
      </c>
      <c r="P18">
        <f>SUMIFS('Fuel and Energy_rail only'!M:M,'Fuel and Energy_rail only'!C:C,C18)</f>
        <v>3648266</v>
      </c>
      <c r="Q18">
        <f>SUMIFS('Fuel and Energy_rail only'!U:U,'Fuel and Energy_rail only'!C:C,C18)</f>
        <v>0</v>
      </c>
      <c r="R18">
        <f>SUMIFS('Fuel and Energy_rail only'!Y:Y,'Fuel and Energy_rail only'!C:C,C18)</f>
        <v>66954261</v>
      </c>
      <c r="S18">
        <f t="shared" si="5"/>
        <v>506014494200</v>
      </c>
      <c r="T18">
        <f t="shared" si="6"/>
        <v>228457312128.53998</v>
      </c>
      <c r="U18" s="97">
        <f t="shared" si="7"/>
        <v>2.422549270127223E-4</v>
      </c>
      <c r="V18" s="97">
        <f t="shared" si="7"/>
        <v>3.5622296735422722E-4</v>
      </c>
      <c r="Y18">
        <v>275</v>
      </c>
    </row>
    <row r="19" spans="2:25">
      <c r="B19" s="94" t="s">
        <v>574</v>
      </c>
      <c r="C19" s="94" t="s">
        <v>417</v>
      </c>
      <c r="D19" t="s">
        <v>575</v>
      </c>
      <c r="E19">
        <f>SUMIFS('Annual Service Data_rail only'!N:N,'Annual Service Data_rail only'!C:C,C19)</f>
        <v>39</v>
      </c>
      <c r="F19" s="91">
        <f>SUMIFS('Annual Service Data_rail only'!X:X,'Annual Service Data_rail only'!C:C,C19)</f>
        <v>21145309</v>
      </c>
      <c r="G19" s="91">
        <f>SUMIFS('Annual Service Data_rail only'!AT:AT,'Annual Service Data_rail only'!C:C,C19)</f>
        <v>329631085</v>
      </c>
      <c r="H19">
        <f>SUMIFS('Fuel and Energy_rail only'!AD:AD,'Fuel and Energy_rail only'!C:C,C19)</f>
        <v>0</v>
      </c>
      <c r="I19">
        <f>SUMIFS('Fuel and Energy_rail only'!AN:AN,'Fuel and Energy_rail only'!C:C,C19)</f>
        <v>19692749</v>
      </c>
      <c r="J19" s="36">
        <f>IFERROR(H19/SUM($H19:$I19),0)</f>
        <v>0</v>
      </c>
      <c r="K19" s="36">
        <f t="shared" si="4"/>
        <v>1</v>
      </c>
      <c r="L19" s="95">
        <f t="shared" si="0"/>
        <v>15.588851645535186</v>
      </c>
      <c r="M19" s="96">
        <f t="shared" si="1"/>
        <v>77172.660583941601</v>
      </c>
      <c r="N19" s="96">
        <f t="shared" si="2"/>
        <v>0</v>
      </c>
      <c r="O19" s="96">
        <f t="shared" si="3"/>
        <v>274</v>
      </c>
      <c r="P19">
        <f>SUMIFS('Fuel and Energy_rail only'!M:M,'Fuel and Energy_rail only'!C:C,C19)</f>
        <v>0</v>
      </c>
      <c r="Q19">
        <f>SUMIFS('Fuel and Energy_rail only'!U:U,'Fuel and Energy_rail only'!C:C,C19)</f>
        <v>0</v>
      </c>
      <c r="R19">
        <f>SUMIFS('Fuel and Energy_rail only'!Y:Y,'Fuel and Energy_rail only'!C:C,C19)</f>
        <v>83566447</v>
      </c>
      <c r="S19">
        <f t="shared" si="5"/>
        <v>0</v>
      </c>
      <c r="T19">
        <f t="shared" si="6"/>
        <v>285140416466.58002</v>
      </c>
      <c r="U19" s="97">
        <f t="shared" si="7"/>
        <v>0</v>
      </c>
      <c r="V19" s="97">
        <f t="shared" si="7"/>
        <v>1.1560307342071744E-3</v>
      </c>
      <c r="Y19">
        <v>274</v>
      </c>
    </row>
    <row r="20" spans="2:25">
      <c r="B20" s="94" t="s">
        <v>576</v>
      </c>
      <c r="C20" s="94" t="s">
        <v>577</v>
      </c>
      <c r="D20" t="s">
        <v>578</v>
      </c>
      <c r="E20">
        <f>SUMIFS('Annual Service Data_rail only'!N:N,'Annual Service Data_rail only'!C:C,C20)</f>
        <v>0</v>
      </c>
      <c r="F20" s="91">
        <f>SUMIFS('Annual Service Data_rail only'!X:X,'Annual Service Data_rail only'!C:C,C20)</f>
        <v>0</v>
      </c>
      <c r="G20" s="91">
        <f>SUMIFS('Annual Service Data_rail only'!AT:AT,'Annual Service Data_rail only'!C:C,C20)</f>
        <v>0</v>
      </c>
      <c r="H20">
        <f>SUMIFS('Fuel and Energy_rail only'!AD:AD,'Fuel and Energy_rail only'!C:C,C20)</f>
        <v>0</v>
      </c>
      <c r="I20">
        <f>SUMIFS('Fuel and Energy_rail only'!AN:AN,'Fuel and Energy_rail only'!C:C,C20)</f>
        <v>0</v>
      </c>
      <c r="J20" s="36">
        <f t="shared" si="4"/>
        <v>0</v>
      </c>
      <c r="K20" s="36">
        <f t="shared" si="4"/>
        <v>0</v>
      </c>
      <c r="L20" s="95">
        <f t="shared" si="0"/>
        <v>0</v>
      </c>
      <c r="M20" s="96">
        <f t="shared" si="1"/>
        <v>0</v>
      </c>
      <c r="N20" s="96">
        <f t="shared" si="2"/>
        <v>0</v>
      </c>
      <c r="O20" s="96">
        <f t="shared" si="3"/>
        <v>48</v>
      </c>
      <c r="P20">
        <f>SUMIFS('Fuel and Energy_rail only'!M:M,'Fuel and Energy_rail only'!C:C,C20)</f>
        <v>0</v>
      </c>
      <c r="Q20">
        <f>SUMIFS('Fuel and Energy_rail only'!U:U,'Fuel and Energy_rail only'!C:C,C20)</f>
        <v>0</v>
      </c>
      <c r="R20">
        <f>SUMIFS('Fuel and Energy_rail only'!Y:Y,'Fuel and Energy_rail only'!C:C,C20)</f>
        <v>0</v>
      </c>
      <c r="S20">
        <f t="shared" si="5"/>
        <v>0</v>
      </c>
      <c r="T20">
        <f t="shared" si="6"/>
        <v>0</v>
      </c>
      <c r="U20" s="97">
        <f t="shared" si="7"/>
        <v>0</v>
      </c>
      <c r="V20" s="97">
        <f t="shared" si="7"/>
        <v>0</v>
      </c>
      <c r="Y20">
        <v>48</v>
      </c>
    </row>
    <row r="21" spans="2:25">
      <c r="B21" s="94" t="s">
        <v>579</v>
      </c>
      <c r="C21" s="94" t="s">
        <v>580</v>
      </c>
      <c r="D21" t="s">
        <v>581</v>
      </c>
      <c r="E21">
        <f>SUMIFS('Annual Service Data_rail only'!N:N,'Annual Service Data_rail only'!C:C,C21)</f>
        <v>0</v>
      </c>
      <c r="F21" s="91">
        <f>SUMIFS('Annual Service Data_rail only'!X:X,'Annual Service Data_rail only'!C:C,C21)</f>
        <v>0</v>
      </c>
      <c r="G21" s="91">
        <f>SUMIFS('Annual Service Data_rail only'!AT:AT,'Annual Service Data_rail only'!C:C,C21)</f>
        <v>0</v>
      </c>
      <c r="H21">
        <f>SUMIFS('Fuel and Energy_rail only'!AD:AD,'Fuel and Energy_rail only'!C:C,C21)</f>
        <v>0</v>
      </c>
      <c r="I21">
        <f>SUMIFS('Fuel and Energy_rail only'!AN:AN,'Fuel and Energy_rail only'!C:C,C21)</f>
        <v>0</v>
      </c>
      <c r="J21" s="36">
        <f t="shared" si="4"/>
        <v>0</v>
      </c>
      <c r="K21" s="36">
        <f t="shared" si="4"/>
        <v>0</v>
      </c>
      <c r="L21" s="95">
        <f t="shared" si="0"/>
        <v>0</v>
      </c>
      <c r="M21" s="96">
        <f t="shared" si="1"/>
        <v>0</v>
      </c>
      <c r="N21" s="96">
        <f t="shared" si="2"/>
        <v>0</v>
      </c>
      <c r="O21" s="96">
        <f t="shared" si="3"/>
        <v>0</v>
      </c>
      <c r="P21">
        <f>SUMIFS('Fuel and Energy_rail only'!M:M,'Fuel and Energy_rail only'!C:C,C21)</f>
        <v>0</v>
      </c>
      <c r="Q21">
        <f>SUMIFS('Fuel and Energy_rail only'!U:U,'Fuel and Energy_rail only'!C:C,C21)</f>
        <v>0</v>
      </c>
      <c r="R21">
        <f>SUMIFS('Fuel and Energy_rail only'!Y:Y,'Fuel and Energy_rail only'!C:C,C21)</f>
        <v>0</v>
      </c>
      <c r="S21">
        <f t="shared" si="5"/>
        <v>0</v>
      </c>
      <c r="T21">
        <f t="shared" si="6"/>
        <v>0</v>
      </c>
      <c r="U21" s="97">
        <f t="shared" si="7"/>
        <v>0</v>
      </c>
      <c r="V21" s="97">
        <f t="shared" si="7"/>
        <v>0</v>
      </c>
      <c r="Y21">
        <v>0</v>
      </c>
    </row>
    <row r="22" spans="2:25">
      <c r="B22" s="94" t="s">
        <v>582</v>
      </c>
      <c r="C22" s="94" t="s">
        <v>376</v>
      </c>
      <c r="D22" t="s">
        <v>583</v>
      </c>
      <c r="E22">
        <f>SUMIFS('Annual Service Data_rail only'!N:N,'Annual Service Data_rail only'!C:C,C22)</f>
        <v>251</v>
      </c>
      <c r="F22" s="91">
        <f>SUMIFS('Annual Service Data_rail only'!X:X,'Annual Service Data_rail only'!C:C,C22)</f>
        <v>102408279</v>
      </c>
      <c r="G22" s="91">
        <f>SUMIFS('Annual Service Data_rail only'!AT:AT,'Annual Service Data_rail only'!C:C,C22)</f>
        <v>839546950</v>
      </c>
      <c r="H22">
        <f>SUMIFS('Fuel and Energy_rail only'!AD:AD,'Fuel and Energy_rail only'!C:C,C22)</f>
        <v>5202961</v>
      </c>
      <c r="I22">
        <f>SUMIFS('Fuel and Energy_rail only'!AN:AN,'Fuel and Energy_rail only'!C:C,C22)</f>
        <v>66917044</v>
      </c>
      <c r="J22" s="36">
        <f t="shared" si="4"/>
        <v>7.2143103706107617E-2</v>
      </c>
      <c r="K22" s="36">
        <f t="shared" si="4"/>
        <v>0.92785689629389234</v>
      </c>
      <c r="L22" s="95">
        <f t="shared" si="0"/>
        <v>8.1980378754338794</v>
      </c>
      <c r="M22" s="96">
        <f t="shared" si="1"/>
        <v>38513.831891688606</v>
      </c>
      <c r="N22" s="96">
        <f t="shared" si="2"/>
        <v>158.1944594733649</v>
      </c>
      <c r="O22" s="96">
        <f t="shared" si="3"/>
        <v>2500.805540526635</v>
      </c>
      <c r="P22">
        <f>SUMIFS('Fuel and Energy_rail only'!M:M,'Fuel and Energy_rail only'!C:C,C22)</f>
        <v>36200086</v>
      </c>
      <c r="Q22">
        <f>SUMIFS('Fuel and Energy_rail only'!U:U,'Fuel and Energy_rail only'!C:C,C22)</f>
        <v>0</v>
      </c>
      <c r="R22">
        <f>SUMIFS('Fuel and Energy_rail only'!Y:Y,'Fuel and Energy_rail only'!C:C,C22)</f>
        <v>422807803</v>
      </c>
      <c r="S22">
        <f t="shared" si="5"/>
        <v>5020951928200</v>
      </c>
      <c r="T22">
        <f t="shared" si="6"/>
        <v>1442679416928.4199</v>
      </c>
      <c r="U22" s="97">
        <f t="shared" si="7"/>
        <v>9.9479102046436606E-6</v>
      </c>
      <c r="V22" s="97">
        <f t="shared" si="7"/>
        <v>5.4731422782585575E-4</v>
      </c>
      <c r="Y22">
        <v>2659</v>
      </c>
    </row>
    <row r="23" spans="2:25">
      <c r="B23" s="94" t="s">
        <v>584</v>
      </c>
      <c r="C23" s="94" t="s">
        <v>462</v>
      </c>
      <c r="D23" t="s">
        <v>585</v>
      </c>
      <c r="E23">
        <f>SUMIFS('Annual Service Data_rail only'!N:N,'Annual Service Data_rail only'!C:C,C23)</f>
        <v>17</v>
      </c>
      <c r="F23" s="91">
        <f>SUMIFS('Annual Service Data_rail only'!X:X,'Annual Service Data_rail only'!C:C,C23)</f>
        <v>3988838</v>
      </c>
      <c r="G23" s="91">
        <f>SUMIFS('Annual Service Data_rail only'!AT:AT,'Annual Service Data_rail only'!C:C,C23)</f>
        <v>32836617</v>
      </c>
      <c r="H23">
        <f>SUMIFS('Fuel and Energy_rail only'!AD:AD,'Fuel and Energy_rail only'!C:C,C23)</f>
        <v>0</v>
      </c>
      <c r="I23">
        <f>SUMIFS('Fuel and Energy_rail only'!AN:AN,'Fuel and Energy_rail only'!C:C,C23)</f>
        <v>3510093</v>
      </c>
      <c r="J23" s="36">
        <f t="shared" si="4"/>
        <v>0</v>
      </c>
      <c r="K23" s="36">
        <f t="shared" si="4"/>
        <v>1</v>
      </c>
      <c r="L23" s="95">
        <f t="shared" si="0"/>
        <v>8.2321259975962917</v>
      </c>
      <c r="M23" s="96">
        <f t="shared" si="1"/>
        <v>44320.422222222223</v>
      </c>
      <c r="N23" s="96">
        <f t="shared" si="2"/>
        <v>0</v>
      </c>
      <c r="O23" s="96">
        <f t="shared" si="3"/>
        <v>90</v>
      </c>
      <c r="P23">
        <f>SUMIFS('Fuel and Energy_rail only'!M:M,'Fuel and Energy_rail only'!C:C,C23)</f>
        <v>0</v>
      </c>
      <c r="Q23">
        <f>SUMIFS('Fuel and Energy_rail only'!U:U,'Fuel and Energy_rail only'!C:C,C23)</f>
        <v>0</v>
      </c>
      <c r="R23">
        <f>SUMIFS('Fuel and Energy_rail only'!Y:Y,'Fuel and Energy_rail only'!C:C,C23)</f>
        <v>18158000</v>
      </c>
      <c r="S23">
        <f t="shared" si="5"/>
        <v>0</v>
      </c>
      <c r="T23">
        <f t="shared" si="6"/>
        <v>61957638120</v>
      </c>
      <c r="U23" s="97">
        <f t="shared" si="7"/>
        <v>0</v>
      </c>
      <c r="V23" s="97">
        <f t="shared" si="7"/>
        <v>5.2998497031797446E-4</v>
      </c>
      <c r="Y23">
        <v>90</v>
      </c>
    </row>
    <row r="24" spans="2:25">
      <c r="B24" s="94" t="s">
        <v>586</v>
      </c>
      <c r="C24" s="94" t="s">
        <v>587</v>
      </c>
      <c r="D24" t="s">
        <v>588</v>
      </c>
      <c r="E24">
        <f>SUMIFS('Annual Service Data_rail only'!N:N,'Annual Service Data_rail only'!C:C,C24)</f>
        <v>0</v>
      </c>
      <c r="F24" s="91">
        <f>SUMIFS('Annual Service Data_rail only'!X:X,'Annual Service Data_rail only'!C:C,C24)</f>
        <v>0</v>
      </c>
      <c r="G24" s="91">
        <f>SUMIFS('Annual Service Data_rail only'!AT:AT,'Annual Service Data_rail only'!C:C,C24)</f>
        <v>0</v>
      </c>
      <c r="H24">
        <f>SUMIFS('Fuel and Energy_rail only'!AD:AD,'Fuel and Energy_rail only'!C:C,C24)</f>
        <v>0</v>
      </c>
      <c r="I24">
        <f>SUMIFS('Fuel and Energy_rail only'!AN:AN,'Fuel and Energy_rail only'!C:C,C24)</f>
        <v>0</v>
      </c>
      <c r="J24" s="36">
        <f t="shared" si="4"/>
        <v>0</v>
      </c>
      <c r="K24" s="36">
        <f t="shared" si="4"/>
        <v>0</v>
      </c>
      <c r="L24" s="95">
        <f t="shared" si="0"/>
        <v>0</v>
      </c>
      <c r="M24" s="96">
        <f t="shared" si="1"/>
        <v>0</v>
      </c>
      <c r="N24" s="96">
        <f t="shared" si="2"/>
        <v>0</v>
      </c>
      <c r="O24" s="96">
        <f t="shared" si="3"/>
        <v>0</v>
      </c>
      <c r="P24">
        <f>SUMIFS('Fuel and Energy_rail only'!M:M,'Fuel and Energy_rail only'!C:C,C24)</f>
        <v>0</v>
      </c>
      <c r="Q24">
        <f>SUMIFS('Fuel and Energy_rail only'!U:U,'Fuel and Energy_rail only'!C:C,C24)</f>
        <v>0</v>
      </c>
      <c r="R24">
        <f>SUMIFS('Fuel and Energy_rail only'!Y:Y,'Fuel and Energy_rail only'!C:C,C24)</f>
        <v>0</v>
      </c>
      <c r="S24">
        <f t="shared" si="5"/>
        <v>0</v>
      </c>
      <c r="T24">
        <f t="shared" si="6"/>
        <v>0</v>
      </c>
      <c r="U24" s="97">
        <f t="shared" si="7"/>
        <v>0</v>
      </c>
      <c r="V24" s="97">
        <f t="shared" si="7"/>
        <v>0</v>
      </c>
      <c r="Y24">
        <v>0</v>
      </c>
    </row>
    <row r="25" spans="2:25">
      <c r="B25" s="94" t="s">
        <v>589</v>
      </c>
      <c r="C25" s="94" t="s">
        <v>590</v>
      </c>
      <c r="D25" t="s">
        <v>591</v>
      </c>
      <c r="E25">
        <f>SUMIFS('Annual Service Data_rail only'!N:N,'Annual Service Data_rail only'!C:C,C25)</f>
        <v>0</v>
      </c>
      <c r="F25" s="91">
        <f>SUMIFS('Annual Service Data_rail only'!X:X,'Annual Service Data_rail only'!C:C,C25)</f>
        <v>0</v>
      </c>
      <c r="G25" s="91">
        <f>SUMIFS('Annual Service Data_rail only'!AT:AT,'Annual Service Data_rail only'!C:C,C25)</f>
        <v>0</v>
      </c>
      <c r="H25">
        <f>SUMIFS('Fuel and Energy_rail only'!AD:AD,'Fuel and Energy_rail only'!C:C,C25)</f>
        <v>0</v>
      </c>
      <c r="I25">
        <f>SUMIFS('Fuel and Energy_rail only'!AN:AN,'Fuel and Energy_rail only'!C:C,C25)</f>
        <v>0</v>
      </c>
      <c r="J25" s="36">
        <f t="shared" si="4"/>
        <v>0</v>
      </c>
      <c r="K25" s="36">
        <f t="shared" si="4"/>
        <v>0</v>
      </c>
      <c r="L25" s="95">
        <f t="shared" si="0"/>
        <v>0</v>
      </c>
      <c r="M25" s="96">
        <f t="shared" si="1"/>
        <v>0</v>
      </c>
      <c r="N25" s="96">
        <f t="shared" si="2"/>
        <v>0</v>
      </c>
      <c r="O25" s="96">
        <f t="shared" si="3"/>
        <v>0</v>
      </c>
      <c r="P25">
        <f>SUMIFS('Fuel and Energy_rail only'!M:M,'Fuel and Energy_rail only'!C:C,C25)</f>
        <v>0</v>
      </c>
      <c r="Q25">
        <f>SUMIFS('Fuel and Energy_rail only'!U:U,'Fuel and Energy_rail only'!C:C,C25)</f>
        <v>0</v>
      </c>
      <c r="R25">
        <f>SUMIFS('Fuel and Energy_rail only'!Y:Y,'Fuel and Energy_rail only'!C:C,C25)</f>
        <v>0</v>
      </c>
      <c r="S25">
        <f t="shared" si="5"/>
        <v>0</v>
      </c>
      <c r="T25">
        <f t="shared" si="6"/>
        <v>0</v>
      </c>
      <c r="U25" s="97">
        <f t="shared" si="7"/>
        <v>0</v>
      </c>
      <c r="V25" s="97">
        <f t="shared" si="7"/>
        <v>0</v>
      </c>
      <c r="Y25">
        <v>0</v>
      </c>
    </row>
    <row r="26" spans="2:25">
      <c r="B26" s="94" t="s">
        <v>592</v>
      </c>
      <c r="C26" s="94" t="s">
        <v>593</v>
      </c>
      <c r="D26" t="s">
        <v>594</v>
      </c>
      <c r="E26">
        <f>SUMIFS('Annual Service Data_rail only'!N:N,'Annual Service Data_rail only'!C:C,C26)</f>
        <v>0</v>
      </c>
      <c r="F26" s="91">
        <f>SUMIFS('Annual Service Data_rail only'!X:X,'Annual Service Data_rail only'!C:C,C26)</f>
        <v>0</v>
      </c>
      <c r="G26" s="91">
        <f>SUMIFS('Annual Service Data_rail only'!AT:AT,'Annual Service Data_rail only'!C:C,C26)</f>
        <v>0</v>
      </c>
      <c r="H26">
        <f>SUMIFS('Fuel and Energy_rail only'!AD:AD,'Fuel and Energy_rail only'!C:C,C26)</f>
        <v>0</v>
      </c>
      <c r="I26">
        <f>SUMIFS('Fuel and Energy_rail only'!AN:AN,'Fuel and Energy_rail only'!C:C,C26)</f>
        <v>0</v>
      </c>
      <c r="J26" s="36">
        <f t="shared" si="4"/>
        <v>0</v>
      </c>
      <c r="K26" s="36">
        <f t="shared" si="4"/>
        <v>0</v>
      </c>
      <c r="L26" s="95">
        <f t="shared" si="0"/>
        <v>0</v>
      </c>
      <c r="M26" s="96">
        <f t="shared" si="1"/>
        <v>0</v>
      </c>
      <c r="N26" s="96">
        <f t="shared" si="2"/>
        <v>0</v>
      </c>
      <c r="O26" s="96">
        <f t="shared" si="3"/>
        <v>0</v>
      </c>
      <c r="P26">
        <f>SUMIFS('Fuel and Energy_rail only'!M:M,'Fuel and Energy_rail only'!C:C,C26)</f>
        <v>0</v>
      </c>
      <c r="Q26">
        <f>SUMIFS('Fuel and Energy_rail only'!U:U,'Fuel and Energy_rail only'!C:C,C26)</f>
        <v>0</v>
      </c>
      <c r="R26">
        <f>SUMIFS('Fuel and Energy_rail only'!Y:Y,'Fuel and Energy_rail only'!C:C,C26)</f>
        <v>0</v>
      </c>
      <c r="S26">
        <f t="shared" si="5"/>
        <v>0</v>
      </c>
      <c r="T26">
        <f t="shared" si="6"/>
        <v>0</v>
      </c>
      <c r="U26" s="97">
        <f t="shared" si="7"/>
        <v>0</v>
      </c>
      <c r="V26" s="97">
        <f t="shared" si="7"/>
        <v>0</v>
      </c>
      <c r="Y26">
        <v>0</v>
      </c>
    </row>
    <row r="27" spans="2:25">
      <c r="B27" s="94" t="s">
        <v>595</v>
      </c>
      <c r="C27" s="94" t="s">
        <v>596</v>
      </c>
      <c r="D27" t="s">
        <v>597</v>
      </c>
      <c r="E27">
        <f>SUMIFS('Annual Service Data_rail only'!N:N,'Annual Service Data_rail only'!C:C,C27)</f>
        <v>0</v>
      </c>
      <c r="F27" s="91">
        <f>SUMIFS('Annual Service Data_rail only'!X:X,'Annual Service Data_rail only'!C:C,C27)</f>
        <v>0</v>
      </c>
      <c r="G27" s="91">
        <f>SUMIFS('Annual Service Data_rail only'!AT:AT,'Annual Service Data_rail only'!C:C,C27)</f>
        <v>0</v>
      </c>
      <c r="H27">
        <f>SUMIFS('Fuel and Energy_rail only'!AD:AD,'Fuel and Energy_rail only'!C:C,C27)</f>
        <v>0</v>
      </c>
      <c r="I27">
        <f>SUMIFS('Fuel and Energy_rail only'!AN:AN,'Fuel and Energy_rail only'!C:C,C27)</f>
        <v>0</v>
      </c>
      <c r="J27" s="36">
        <f t="shared" si="4"/>
        <v>0</v>
      </c>
      <c r="K27" s="36">
        <f t="shared" si="4"/>
        <v>0</v>
      </c>
      <c r="L27" s="95">
        <f t="shared" si="0"/>
        <v>0</v>
      </c>
      <c r="M27" s="96">
        <f t="shared" si="1"/>
        <v>0</v>
      </c>
      <c r="N27" s="96">
        <f t="shared" si="2"/>
        <v>0</v>
      </c>
      <c r="O27" s="96">
        <f t="shared" si="3"/>
        <v>31</v>
      </c>
      <c r="P27">
        <f>SUMIFS('Fuel and Energy_rail only'!M:M,'Fuel and Energy_rail only'!C:C,C27)</f>
        <v>0</v>
      </c>
      <c r="Q27">
        <f>SUMIFS('Fuel and Energy_rail only'!U:U,'Fuel and Energy_rail only'!C:C,C27)</f>
        <v>0</v>
      </c>
      <c r="R27">
        <f>SUMIFS('Fuel and Energy_rail only'!Y:Y,'Fuel and Energy_rail only'!C:C,C27)</f>
        <v>0</v>
      </c>
      <c r="S27">
        <f t="shared" si="5"/>
        <v>0</v>
      </c>
      <c r="T27">
        <f t="shared" si="6"/>
        <v>0</v>
      </c>
      <c r="U27" s="97">
        <f t="shared" si="7"/>
        <v>0</v>
      </c>
      <c r="V27" s="97">
        <f t="shared" si="7"/>
        <v>0</v>
      </c>
      <c r="Y27">
        <v>31</v>
      </c>
    </row>
    <row r="28" spans="2:25">
      <c r="B28" s="94" t="s">
        <v>598</v>
      </c>
      <c r="C28" s="94" t="s">
        <v>487</v>
      </c>
      <c r="D28" t="s">
        <v>599</v>
      </c>
      <c r="E28">
        <f>SUMIFS('Annual Service Data_rail only'!N:N,'Annual Service Data_rail only'!C:C,C28)</f>
        <v>3</v>
      </c>
      <c r="F28" s="91">
        <f>SUMIFS('Annual Service Data_rail only'!X:X,'Annual Service Data_rail only'!C:C,C28)</f>
        <v>1974842</v>
      </c>
      <c r="G28" s="91">
        <f>SUMIFS('Annual Service Data_rail only'!AT:AT,'Annual Service Data_rail only'!C:C,C28)</f>
        <v>33416609</v>
      </c>
      <c r="H28">
        <f>SUMIFS('Fuel and Energy_rail only'!AD:AD,'Fuel and Energy_rail only'!C:C,C28)</f>
        <v>0</v>
      </c>
      <c r="I28">
        <f>SUMIFS('Fuel and Energy_rail only'!AN:AN,'Fuel and Energy_rail only'!C:C,C28)</f>
        <v>0</v>
      </c>
      <c r="J28" s="36">
        <f t="shared" si="4"/>
        <v>0</v>
      </c>
      <c r="K28" s="36">
        <f t="shared" si="4"/>
        <v>0</v>
      </c>
      <c r="L28" s="95">
        <f t="shared" si="0"/>
        <v>16.921155717773878</v>
      </c>
      <c r="M28" s="96">
        <f t="shared" si="1"/>
        <v>0</v>
      </c>
      <c r="N28" s="96">
        <f t="shared" si="2"/>
        <v>0</v>
      </c>
      <c r="O28" s="96">
        <f t="shared" si="3"/>
        <v>0</v>
      </c>
      <c r="P28">
        <f>SUMIFS('Fuel and Energy_rail only'!M:M,'Fuel and Energy_rail only'!C:C,C28)</f>
        <v>628302</v>
      </c>
      <c r="Q28">
        <f>SUMIFS('Fuel and Energy_rail only'!U:U,'Fuel and Energy_rail only'!C:C,C28)</f>
        <v>0</v>
      </c>
      <c r="R28">
        <f>SUMIFS('Fuel and Energy_rail only'!Y:Y,'Fuel and Energy_rail only'!C:C,C28)</f>
        <v>0</v>
      </c>
      <c r="S28">
        <f t="shared" si="5"/>
        <v>87145487400</v>
      </c>
      <c r="T28">
        <f t="shared" si="6"/>
        <v>0</v>
      </c>
      <c r="U28" s="97">
        <f t="shared" si="7"/>
        <v>0</v>
      </c>
      <c r="V28" s="97">
        <f t="shared" si="7"/>
        <v>0</v>
      </c>
      <c r="Y28">
        <v>0</v>
      </c>
    </row>
    <row r="29" spans="2:25">
      <c r="B29" s="94" t="s">
        <v>600</v>
      </c>
      <c r="C29" s="94" t="s">
        <v>391</v>
      </c>
      <c r="D29" t="s">
        <v>601</v>
      </c>
      <c r="E29">
        <f>SUMIFS('Annual Service Data_rail only'!N:N,'Annual Service Data_rail only'!C:C,C29)</f>
        <v>55</v>
      </c>
      <c r="F29" s="91">
        <f>SUMIFS('Annual Service Data_rail only'!X:X,'Annual Service Data_rail only'!C:C,C29)</f>
        <v>13332723</v>
      </c>
      <c r="G29" s="91">
        <f>SUMIFS('Annual Service Data_rail only'!AT:AT,'Annual Service Data_rail only'!C:C,C29)</f>
        <v>252169120</v>
      </c>
      <c r="H29">
        <f>SUMIFS('Fuel and Energy_rail only'!AD:AD,'Fuel and Energy_rail only'!C:C,C29)</f>
        <v>764117</v>
      </c>
      <c r="I29">
        <f>SUMIFS('Fuel and Energy_rail only'!AN:AN,'Fuel and Energy_rail only'!C:C,C29)</f>
        <v>2843642</v>
      </c>
      <c r="J29" s="36">
        <f t="shared" si="4"/>
        <v>0.21179823818608726</v>
      </c>
      <c r="K29" s="36">
        <f t="shared" si="4"/>
        <v>0.78820176181391277</v>
      </c>
      <c r="L29" s="95">
        <f t="shared" si="0"/>
        <v>18.913549767740619</v>
      </c>
      <c r="M29" s="96">
        <f t="shared" si="1"/>
        <v>36628.359890109889</v>
      </c>
      <c r="N29" s="96">
        <f t="shared" si="2"/>
        <v>63.577264227909453</v>
      </c>
      <c r="O29" s="96">
        <f t="shared" si="3"/>
        <v>300.42273577209056</v>
      </c>
      <c r="P29">
        <f>SUMIFS('Fuel and Energy_rail only'!M:M,'Fuel and Energy_rail only'!C:C,C29)</f>
        <v>3709703</v>
      </c>
      <c r="Q29">
        <f>SUMIFS('Fuel and Energy_rail only'!U:U,'Fuel and Energy_rail only'!C:C,C29)</f>
        <v>0</v>
      </c>
      <c r="R29">
        <f>SUMIFS('Fuel and Energy_rail only'!Y:Y,'Fuel and Energy_rail only'!C:C,C29)</f>
        <v>91224966</v>
      </c>
      <c r="S29">
        <f t="shared" si="5"/>
        <v>514535806100</v>
      </c>
      <c r="T29">
        <f t="shared" si="6"/>
        <v>311272355487.23999</v>
      </c>
      <c r="U29" s="97">
        <f t="shared" si="7"/>
        <v>8.5600588984806978E-5</v>
      </c>
      <c r="V29" s="97">
        <f t="shared" si="7"/>
        <v>6.6862523534506186E-4</v>
      </c>
      <c r="Y29">
        <v>364</v>
      </c>
    </row>
    <row r="30" spans="2:25">
      <c r="B30" s="94" t="s">
        <v>602</v>
      </c>
      <c r="C30" s="94" t="s">
        <v>381</v>
      </c>
      <c r="D30" t="s">
        <v>603</v>
      </c>
      <c r="E30">
        <f>SUMIFS('Annual Service Data_rail only'!N:N,'Annual Service Data_rail only'!C:C,C30)</f>
        <v>209</v>
      </c>
      <c r="F30" s="91">
        <f>SUMIFS('Annual Service Data_rail only'!X:X,'Annual Service Data_rail only'!C:C,C30)</f>
        <v>50817429</v>
      </c>
      <c r="G30" s="91">
        <f>SUMIFS('Annual Service Data_rail only'!AT:AT,'Annual Service Data_rail only'!C:C,C30)</f>
        <v>1018614837</v>
      </c>
      <c r="H30">
        <f>SUMIFS('Fuel and Energy_rail only'!AD:AD,'Fuel and Energy_rail only'!C:C,C30)</f>
        <v>4339139</v>
      </c>
      <c r="I30">
        <f>SUMIFS('Fuel and Energy_rail only'!AN:AN,'Fuel and Energy_rail only'!C:C,C30)</f>
        <v>27601749</v>
      </c>
      <c r="J30" s="36">
        <f t="shared" si="4"/>
        <v>0.13584904089078551</v>
      </c>
      <c r="K30" s="36">
        <f t="shared" si="4"/>
        <v>0.86415095910921447</v>
      </c>
      <c r="L30" s="95">
        <f t="shared" si="0"/>
        <v>20.044596057781671</v>
      </c>
      <c r="M30" s="96">
        <f t="shared" si="1"/>
        <v>46113.819419237749</v>
      </c>
      <c r="N30" s="96">
        <f t="shared" si="2"/>
        <v>123.45715943986545</v>
      </c>
      <c r="O30" s="96">
        <f t="shared" si="3"/>
        <v>978.54284056013455</v>
      </c>
      <c r="P30">
        <f>SUMIFS('Fuel and Energy_rail only'!M:M,'Fuel and Energy_rail only'!C:C,C30)</f>
        <v>13360985</v>
      </c>
      <c r="Q30">
        <f>SUMIFS('Fuel and Energy_rail only'!U:U,'Fuel and Energy_rail only'!C:C,C30)</f>
        <v>0</v>
      </c>
      <c r="R30">
        <f>SUMIFS('Fuel and Energy_rail only'!Y:Y,'Fuel and Energy_rail only'!C:C,C30)</f>
        <v>225210199</v>
      </c>
      <c r="S30">
        <f t="shared" si="5"/>
        <v>1853168619500</v>
      </c>
      <c r="T30">
        <f t="shared" si="6"/>
        <v>768448728415.85999</v>
      </c>
      <c r="U30" s="97">
        <f t="shared" si="7"/>
        <v>6.1578590800569896E-5</v>
      </c>
      <c r="V30" s="97">
        <f t="shared" si="7"/>
        <v>1.1770457695466005E-3</v>
      </c>
      <c r="Y30">
        <v>1102</v>
      </c>
    </row>
    <row r="31" spans="2:25">
      <c r="B31" s="94" t="s">
        <v>604</v>
      </c>
      <c r="C31" s="94" t="s">
        <v>605</v>
      </c>
      <c r="D31" t="s">
        <v>606</v>
      </c>
      <c r="E31">
        <f>SUMIFS('Annual Service Data_rail only'!N:N,'Annual Service Data_rail only'!C:C,C31)</f>
        <v>0</v>
      </c>
      <c r="F31" s="91">
        <f>SUMIFS('Annual Service Data_rail only'!X:X,'Annual Service Data_rail only'!C:C,C31)</f>
        <v>0</v>
      </c>
      <c r="G31" s="91">
        <f>SUMIFS('Annual Service Data_rail only'!AT:AT,'Annual Service Data_rail only'!C:C,C31)</f>
        <v>0</v>
      </c>
      <c r="H31">
        <f>SUMIFS('Fuel and Energy_rail only'!AD:AD,'Fuel and Energy_rail only'!C:C,C31)</f>
        <v>0</v>
      </c>
      <c r="I31">
        <f>SUMIFS('Fuel and Energy_rail only'!AN:AN,'Fuel and Energy_rail only'!C:C,C31)</f>
        <v>0</v>
      </c>
      <c r="J31" s="36">
        <f t="shared" si="4"/>
        <v>0</v>
      </c>
      <c r="K31" s="36">
        <f t="shared" si="4"/>
        <v>0</v>
      </c>
      <c r="L31" s="95">
        <f t="shared" si="0"/>
        <v>0</v>
      </c>
      <c r="M31" s="96">
        <f t="shared" si="1"/>
        <v>0</v>
      </c>
      <c r="N31" s="96">
        <f t="shared" si="2"/>
        <v>0</v>
      </c>
      <c r="O31" s="96">
        <f t="shared" si="3"/>
        <v>16</v>
      </c>
      <c r="P31">
        <f>SUMIFS('Fuel and Energy_rail only'!M:M,'Fuel and Energy_rail only'!C:C,C31)</f>
        <v>0</v>
      </c>
      <c r="Q31">
        <f>SUMIFS('Fuel and Energy_rail only'!U:U,'Fuel and Energy_rail only'!C:C,C31)</f>
        <v>0</v>
      </c>
      <c r="R31">
        <f>SUMIFS('Fuel and Energy_rail only'!Y:Y,'Fuel and Energy_rail only'!C:C,C31)</f>
        <v>0</v>
      </c>
      <c r="S31">
        <f t="shared" si="5"/>
        <v>0</v>
      </c>
      <c r="T31">
        <f t="shared" si="6"/>
        <v>0</v>
      </c>
      <c r="U31" s="97">
        <f t="shared" si="7"/>
        <v>0</v>
      </c>
      <c r="V31" s="97">
        <f t="shared" si="7"/>
        <v>0</v>
      </c>
      <c r="Y31">
        <v>16</v>
      </c>
    </row>
    <row r="32" spans="2:25">
      <c r="B32" s="94" t="s">
        <v>607</v>
      </c>
      <c r="C32" s="94" t="s">
        <v>424</v>
      </c>
      <c r="D32" t="s">
        <v>608</v>
      </c>
      <c r="E32">
        <f>SUMIFS('Annual Service Data_rail only'!N:N,'Annual Service Data_rail only'!C:C,C32)</f>
        <v>27</v>
      </c>
      <c r="F32" s="91">
        <f>SUMIFS('Annual Service Data_rail only'!X:X,'Annual Service Data_rail only'!C:C,C32)</f>
        <v>4386285</v>
      </c>
      <c r="G32" s="91">
        <f>SUMIFS('Annual Service Data_rail only'!AT:AT,'Annual Service Data_rail only'!C:C,C32)</f>
        <v>44505006</v>
      </c>
      <c r="H32">
        <f>SUMIFS('Fuel and Energy_rail only'!AD:AD,'Fuel and Energy_rail only'!C:C,C32)</f>
        <v>63438</v>
      </c>
      <c r="I32">
        <f>SUMIFS('Fuel and Energy_rail only'!AN:AN,'Fuel and Energy_rail only'!C:C,C32)</f>
        <v>4153269</v>
      </c>
      <c r="J32" s="36">
        <f t="shared" si="4"/>
        <v>1.5044441076887722E-2</v>
      </c>
      <c r="K32" s="36">
        <f t="shared" si="4"/>
        <v>0.98495555892311226</v>
      </c>
      <c r="L32" s="95">
        <f t="shared" si="0"/>
        <v>10.14640088366351</v>
      </c>
      <c r="M32" s="96">
        <f t="shared" si="1"/>
        <v>35660.853658536587</v>
      </c>
      <c r="N32" s="96">
        <f t="shared" si="2"/>
        <v>1.5260166717538186</v>
      </c>
      <c r="O32" s="96">
        <f t="shared" si="3"/>
        <v>121.47398332824618</v>
      </c>
      <c r="P32">
        <f>SUMIFS('Fuel and Energy_rail only'!M:M,'Fuel and Energy_rail only'!C:C,C32)</f>
        <v>213780</v>
      </c>
      <c r="Q32">
        <f>SUMIFS('Fuel and Energy_rail only'!U:U,'Fuel and Energy_rail only'!C:C,C32)</f>
        <v>0</v>
      </c>
      <c r="R32">
        <f>SUMIFS('Fuel and Energy_rail only'!Y:Y,'Fuel and Energy_rail only'!C:C,C32)</f>
        <v>31871652</v>
      </c>
      <c r="S32">
        <f t="shared" si="5"/>
        <v>29651286000</v>
      </c>
      <c r="T32">
        <f t="shared" si="6"/>
        <v>108750538655.28</v>
      </c>
      <c r="U32" s="97">
        <f t="shared" si="7"/>
        <v>1.8621707341224832E-5</v>
      </c>
      <c r="V32" s="97">
        <f t="shared" si="7"/>
        <v>4.0416212161614951E-4</v>
      </c>
      <c r="Y32">
        <v>123</v>
      </c>
    </row>
    <row r="33" spans="2:25">
      <c r="B33" s="94" t="s">
        <v>609</v>
      </c>
      <c r="C33" s="94" t="s">
        <v>610</v>
      </c>
      <c r="D33" t="s">
        <v>611</v>
      </c>
      <c r="E33">
        <f>SUMIFS('Annual Service Data_rail only'!N:N,'Annual Service Data_rail only'!C:C,C33)</f>
        <v>0</v>
      </c>
      <c r="F33" s="91">
        <f>SUMIFS('Annual Service Data_rail only'!X:X,'Annual Service Data_rail only'!C:C,C33)</f>
        <v>0</v>
      </c>
      <c r="G33" s="91">
        <f>SUMIFS('Annual Service Data_rail only'!AT:AT,'Annual Service Data_rail only'!C:C,C33)</f>
        <v>0</v>
      </c>
      <c r="H33">
        <f>SUMIFS('Fuel and Energy_rail only'!AD:AD,'Fuel and Energy_rail only'!C:C,C33)</f>
        <v>0</v>
      </c>
      <c r="I33">
        <f>SUMIFS('Fuel and Energy_rail only'!AN:AN,'Fuel and Energy_rail only'!C:C,C33)</f>
        <v>0</v>
      </c>
      <c r="J33" s="36">
        <f t="shared" si="4"/>
        <v>0</v>
      </c>
      <c r="K33" s="36">
        <f t="shared" si="4"/>
        <v>0</v>
      </c>
      <c r="L33" s="95">
        <f t="shared" si="0"/>
        <v>0</v>
      </c>
      <c r="M33" s="96">
        <f t="shared" si="1"/>
        <v>0</v>
      </c>
      <c r="N33" s="96">
        <f t="shared" si="2"/>
        <v>0</v>
      </c>
      <c r="O33" s="96">
        <f t="shared" si="3"/>
        <v>0</v>
      </c>
      <c r="P33">
        <f>SUMIFS('Fuel and Energy_rail only'!M:M,'Fuel and Energy_rail only'!C:C,C33)</f>
        <v>0</v>
      </c>
      <c r="Q33">
        <f>SUMIFS('Fuel and Energy_rail only'!U:U,'Fuel and Energy_rail only'!C:C,C33)</f>
        <v>0</v>
      </c>
      <c r="R33">
        <f>SUMIFS('Fuel and Energy_rail only'!Y:Y,'Fuel and Energy_rail only'!C:C,C33)</f>
        <v>0</v>
      </c>
      <c r="S33">
        <f t="shared" si="5"/>
        <v>0</v>
      </c>
      <c r="T33">
        <f t="shared" si="6"/>
        <v>0</v>
      </c>
      <c r="U33" s="97">
        <f t="shared" si="7"/>
        <v>0</v>
      </c>
      <c r="V33" s="97">
        <f t="shared" si="7"/>
        <v>0</v>
      </c>
      <c r="Y33">
        <v>0</v>
      </c>
    </row>
    <row r="34" spans="2:25">
      <c r="B34" s="94" t="s">
        <v>612</v>
      </c>
      <c r="C34" s="94" t="s">
        <v>431</v>
      </c>
      <c r="D34" t="s">
        <v>613</v>
      </c>
      <c r="E34">
        <f>SUMIFS('Annual Service Data_rail only'!N:N,'Annual Service Data_rail only'!C:C,C34)</f>
        <v>25</v>
      </c>
      <c r="F34" s="91">
        <f>SUMIFS('Annual Service Data_rail only'!X:X,'Annual Service Data_rail only'!C:C,C34)</f>
        <v>5905439</v>
      </c>
      <c r="G34" s="91">
        <f>SUMIFS('Annual Service Data_rail only'!AT:AT,'Annual Service Data_rail only'!C:C,C34)</f>
        <v>70933375</v>
      </c>
      <c r="H34">
        <f>SUMIFS('Fuel and Energy_rail only'!AD:AD,'Fuel and Energy_rail only'!C:C,C34)</f>
        <v>0</v>
      </c>
      <c r="I34">
        <f>SUMIFS('Fuel and Energy_rail only'!AN:AN,'Fuel and Energy_rail only'!C:C,C34)</f>
        <v>5934378</v>
      </c>
      <c r="J34" s="36">
        <f t="shared" si="4"/>
        <v>0</v>
      </c>
      <c r="K34" s="36">
        <f t="shared" si="4"/>
        <v>1</v>
      </c>
      <c r="L34" s="95">
        <f t="shared" si="0"/>
        <v>12.011532927526641</v>
      </c>
      <c r="M34" s="96">
        <f t="shared" si="1"/>
        <v>73817.987500000003</v>
      </c>
      <c r="N34" s="96">
        <f t="shared" si="2"/>
        <v>0</v>
      </c>
      <c r="O34" s="96">
        <f t="shared" si="3"/>
        <v>80</v>
      </c>
      <c r="P34">
        <f>SUMIFS('Fuel and Energy_rail only'!M:M,'Fuel and Energy_rail only'!C:C,C34)</f>
        <v>0</v>
      </c>
      <c r="Q34">
        <f>SUMIFS('Fuel and Energy_rail only'!U:U,'Fuel and Energy_rail only'!C:C,C34)</f>
        <v>0</v>
      </c>
      <c r="R34">
        <f>SUMIFS('Fuel and Energy_rail only'!Y:Y,'Fuel and Energy_rail only'!C:C,C34)</f>
        <v>36496148</v>
      </c>
      <c r="S34">
        <f t="shared" si="5"/>
        <v>0</v>
      </c>
      <c r="T34">
        <f t="shared" si="6"/>
        <v>124529966436.72</v>
      </c>
      <c r="U34" s="97">
        <f t="shared" si="7"/>
        <v>0</v>
      </c>
      <c r="V34" s="97">
        <f t="shared" si="7"/>
        <v>5.6960888234114198E-4</v>
      </c>
      <c r="Y34">
        <v>80</v>
      </c>
    </row>
    <row r="35" spans="2:25">
      <c r="B35" s="94" t="s">
        <v>614</v>
      </c>
      <c r="C35" s="94" t="s">
        <v>615</v>
      </c>
      <c r="D35" t="s">
        <v>616</v>
      </c>
      <c r="E35">
        <f>SUMIFS('Annual Service Data_rail only'!N:N,'Annual Service Data_rail only'!C:C,C35)</f>
        <v>0</v>
      </c>
      <c r="F35" s="91">
        <f>SUMIFS('Annual Service Data_rail only'!X:X,'Annual Service Data_rail only'!C:C,C35)</f>
        <v>0</v>
      </c>
      <c r="G35" s="91">
        <f>SUMIFS('Annual Service Data_rail only'!AT:AT,'Annual Service Data_rail only'!C:C,C35)</f>
        <v>0</v>
      </c>
      <c r="H35">
        <f>SUMIFS('Fuel and Energy_rail only'!AD:AD,'Fuel and Energy_rail only'!C:C,C35)</f>
        <v>0</v>
      </c>
      <c r="I35">
        <f>SUMIFS('Fuel and Energy_rail only'!AN:AN,'Fuel and Energy_rail only'!C:C,C35)</f>
        <v>0</v>
      </c>
      <c r="J35" s="36">
        <f t="shared" si="4"/>
        <v>0</v>
      </c>
      <c r="K35" s="36">
        <f t="shared" si="4"/>
        <v>0</v>
      </c>
      <c r="L35" s="95">
        <f t="shared" si="0"/>
        <v>0</v>
      </c>
      <c r="M35" s="96">
        <f t="shared" si="1"/>
        <v>0</v>
      </c>
      <c r="N35" s="96">
        <f t="shared" si="2"/>
        <v>0</v>
      </c>
      <c r="O35" s="96">
        <f t="shared" si="3"/>
        <v>0</v>
      </c>
      <c r="P35">
        <f>SUMIFS('Fuel and Energy_rail only'!M:M,'Fuel and Energy_rail only'!C:C,C35)</f>
        <v>0</v>
      </c>
      <c r="Q35">
        <f>SUMIFS('Fuel and Energy_rail only'!U:U,'Fuel and Energy_rail only'!C:C,C35)</f>
        <v>0</v>
      </c>
      <c r="R35">
        <f>SUMIFS('Fuel and Energy_rail only'!Y:Y,'Fuel and Energy_rail only'!C:C,C35)</f>
        <v>0</v>
      </c>
      <c r="S35">
        <f t="shared" si="5"/>
        <v>0</v>
      </c>
      <c r="T35">
        <f t="shared" si="6"/>
        <v>0</v>
      </c>
      <c r="U35" s="97">
        <f t="shared" si="7"/>
        <v>0</v>
      </c>
      <c r="V35" s="97">
        <f t="shared" si="7"/>
        <v>0</v>
      </c>
      <c r="Y35">
        <v>0</v>
      </c>
    </row>
    <row r="36" spans="2:25">
      <c r="B36" s="94" t="s">
        <v>617</v>
      </c>
      <c r="C36" s="94" t="s">
        <v>618</v>
      </c>
      <c r="D36" t="s">
        <v>619</v>
      </c>
      <c r="E36">
        <f>SUMIFS('Annual Service Data_rail only'!N:N,'Annual Service Data_rail only'!C:C,C36)</f>
        <v>0</v>
      </c>
      <c r="F36" s="91">
        <f>SUMIFS('Annual Service Data_rail only'!X:X,'Annual Service Data_rail only'!C:C,C36)</f>
        <v>0</v>
      </c>
      <c r="G36" s="91">
        <f>SUMIFS('Annual Service Data_rail only'!AT:AT,'Annual Service Data_rail only'!C:C,C36)</f>
        <v>0</v>
      </c>
      <c r="H36">
        <f>SUMIFS('Fuel and Energy_rail only'!AD:AD,'Fuel and Energy_rail only'!C:C,C36)</f>
        <v>0</v>
      </c>
      <c r="I36">
        <f>SUMIFS('Fuel and Energy_rail only'!AN:AN,'Fuel and Energy_rail only'!C:C,C36)</f>
        <v>0</v>
      </c>
      <c r="J36" s="36">
        <f t="shared" si="4"/>
        <v>0</v>
      </c>
      <c r="K36" s="36">
        <f t="shared" si="4"/>
        <v>0</v>
      </c>
      <c r="L36" s="95">
        <f t="shared" si="0"/>
        <v>0</v>
      </c>
      <c r="M36" s="96">
        <f t="shared" si="1"/>
        <v>0</v>
      </c>
      <c r="N36" s="96">
        <f t="shared" si="2"/>
        <v>0</v>
      </c>
      <c r="O36" s="96">
        <f t="shared" si="3"/>
        <v>0</v>
      </c>
      <c r="P36">
        <f>SUMIFS('Fuel and Energy_rail only'!M:M,'Fuel and Energy_rail only'!C:C,C36)</f>
        <v>0</v>
      </c>
      <c r="Q36">
        <f>SUMIFS('Fuel and Energy_rail only'!U:U,'Fuel and Energy_rail only'!C:C,C36)</f>
        <v>0</v>
      </c>
      <c r="R36">
        <f>SUMIFS('Fuel and Energy_rail only'!Y:Y,'Fuel and Energy_rail only'!C:C,C36)</f>
        <v>0</v>
      </c>
      <c r="S36">
        <f t="shared" si="5"/>
        <v>0</v>
      </c>
      <c r="T36">
        <f t="shared" si="6"/>
        <v>0</v>
      </c>
      <c r="U36" s="97">
        <f t="shared" si="7"/>
        <v>0</v>
      </c>
      <c r="V36" s="97">
        <f t="shared" si="7"/>
        <v>0</v>
      </c>
      <c r="Y36">
        <v>0</v>
      </c>
    </row>
    <row r="37" spans="2:25">
      <c r="B37" s="94" t="s">
        <v>620</v>
      </c>
      <c r="C37" s="94" t="s">
        <v>621</v>
      </c>
      <c r="D37" t="s">
        <v>622</v>
      </c>
      <c r="E37">
        <f>SUMIFS('Annual Service Data_rail only'!N:N,'Annual Service Data_rail only'!C:C,C37)</f>
        <v>0</v>
      </c>
      <c r="F37" s="91">
        <f>SUMIFS('Annual Service Data_rail only'!X:X,'Annual Service Data_rail only'!C:C,C37)</f>
        <v>0</v>
      </c>
      <c r="G37" s="91">
        <f>SUMIFS('Annual Service Data_rail only'!AT:AT,'Annual Service Data_rail only'!C:C,C37)</f>
        <v>0</v>
      </c>
      <c r="H37">
        <f>SUMIFS('Fuel and Energy_rail only'!AD:AD,'Fuel and Energy_rail only'!C:C,C37)</f>
        <v>0</v>
      </c>
      <c r="I37">
        <f>SUMIFS('Fuel and Energy_rail only'!AN:AN,'Fuel and Energy_rail only'!C:C,C37)</f>
        <v>0</v>
      </c>
      <c r="J37" s="36">
        <f t="shared" si="4"/>
        <v>0</v>
      </c>
      <c r="K37" s="36">
        <f t="shared" si="4"/>
        <v>0</v>
      </c>
      <c r="L37" s="95">
        <f t="shared" si="0"/>
        <v>0</v>
      </c>
      <c r="M37" s="96">
        <f t="shared" si="1"/>
        <v>0</v>
      </c>
      <c r="N37" s="96">
        <f t="shared" si="2"/>
        <v>0</v>
      </c>
      <c r="O37" s="96">
        <f t="shared" si="3"/>
        <v>0</v>
      </c>
      <c r="P37">
        <f>SUMIFS('Fuel and Energy_rail only'!M:M,'Fuel and Energy_rail only'!C:C,C37)</f>
        <v>0</v>
      </c>
      <c r="Q37">
        <f>SUMIFS('Fuel and Energy_rail only'!U:U,'Fuel and Energy_rail only'!C:C,C37)</f>
        <v>0</v>
      </c>
      <c r="R37">
        <f>SUMIFS('Fuel and Energy_rail only'!Y:Y,'Fuel and Energy_rail only'!C:C,C37)</f>
        <v>0</v>
      </c>
      <c r="S37">
        <f t="shared" si="5"/>
        <v>0</v>
      </c>
      <c r="T37">
        <f t="shared" si="6"/>
        <v>0</v>
      </c>
      <c r="U37" s="97">
        <f t="shared" si="7"/>
        <v>0</v>
      </c>
      <c r="V37" s="97">
        <f t="shared" si="7"/>
        <v>0</v>
      </c>
      <c r="Y37">
        <v>0</v>
      </c>
    </row>
    <row r="38" spans="2:25">
      <c r="B38" s="94" t="s">
        <v>623</v>
      </c>
      <c r="C38" s="94" t="s">
        <v>624</v>
      </c>
      <c r="D38" t="s">
        <v>625</v>
      </c>
      <c r="E38">
        <f>SUMIFS('Annual Service Data_rail only'!N:N,'Annual Service Data_rail only'!C:C,C38)</f>
        <v>0</v>
      </c>
      <c r="F38" s="91">
        <f>SUMIFS('Annual Service Data_rail only'!X:X,'Annual Service Data_rail only'!C:C,C38)</f>
        <v>0</v>
      </c>
      <c r="G38" s="91">
        <f>SUMIFS('Annual Service Data_rail only'!AT:AT,'Annual Service Data_rail only'!C:C,C38)</f>
        <v>0</v>
      </c>
      <c r="H38">
        <f>SUMIFS('Fuel and Energy_rail only'!AD:AD,'Fuel and Energy_rail only'!C:C,C38)</f>
        <v>0</v>
      </c>
      <c r="I38">
        <f>SUMIFS('Fuel and Energy_rail only'!AN:AN,'Fuel and Energy_rail only'!C:C,C38)</f>
        <v>0</v>
      </c>
      <c r="J38" s="36">
        <f t="shared" si="4"/>
        <v>0</v>
      </c>
      <c r="K38" s="36">
        <f t="shared" si="4"/>
        <v>0</v>
      </c>
      <c r="L38" s="95">
        <f t="shared" si="0"/>
        <v>0</v>
      </c>
      <c r="M38" s="96">
        <f t="shared" si="1"/>
        <v>0</v>
      </c>
      <c r="N38" s="96">
        <f t="shared" si="2"/>
        <v>0</v>
      </c>
      <c r="O38" s="96">
        <f t="shared" si="3"/>
        <v>0</v>
      </c>
      <c r="P38">
        <f>SUMIFS('Fuel and Energy_rail only'!M:M,'Fuel and Energy_rail only'!C:C,C38)</f>
        <v>0</v>
      </c>
      <c r="Q38">
        <f>SUMIFS('Fuel and Energy_rail only'!U:U,'Fuel and Energy_rail only'!C:C,C38)</f>
        <v>0</v>
      </c>
      <c r="R38">
        <f>SUMIFS('Fuel and Energy_rail only'!Y:Y,'Fuel and Energy_rail only'!C:C,C38)</f>
        <v>0</v>
      </c>
      <c r="S38">
        <f t="shared" si="5"/>
        <v>0</v>
      </c>
      <c r="T38">
        <f t="shared" si="6"/>
        <v>0</v>
      </c>
      <c r="U38" s="97">
        <f t="shared" si="7"/>
        <v>0</v>
      </c>
      <c r="V38" s="97">
        <f t="shared" si="7"/>
        <v>0</v>
      </c>
      <c r="Y38">
        <v>0</v>
      </c>
    </row>
    <row r="39" spans="2:25">
      <c r="B39" s="94" t="s">
        <v>626</v>
      </c>
      <c r="C39" s="94" t="s">
        <v>362</v>
      </c>
      <c r="D39" t="s">
        <v>627</v>
      </c>
      <c r="E39">
        <f>SUMIFS('Annual Service Data_rail only'!N:N,'Annual Service Data_rail only'!C:C,C39)</f>
        <v>184</v>
      </c>
      <c r="F39" s="91">
        <f>SUMIFS('Annual Service Data_rail only'!X:X,'Annual Service Data_rail only'!C:C,C39)</f>
        <v>77331686</v>
      </c>
      <c r="G39" s="91">
        <f>SUMIFS('Annual Service Data_rail only'!AT:AT,'Annual Service Data_rail only'!C:C,C39)</f>
        <v>1699013683</v>
      </c>
      <c r="H39">
        <f>SUMIFS('Fuel and Energy_rail only'!AD:AD,'Fuel and Energy_rail only'!C:C,C39)</f>
        <v>2485889</v>
      </c>
      <c r="I39">
        <f>SUMIFS('Fuel and Energy_rail only'!AN:AN,'Fuel and Energy_rail only'!C:C,C39)</f>
        <v>28864827</v>
      </c>
      <c r="J39" s="36">
        <f t="shared" si="4"/>
        <v>7.9292893980475593E-2</v>
      </c>
      <c r="K39" s="36">
        <f t="shared" si="4"/>
        <v>0.92070710601952443</v>
      </c>
      <c r="L39" s="95">
        <f t="shared" si="0"/>
        <v>21.97047253049675</v>
      </c>
      <c r="M39" s="96">
        <f t="shared" si="1"/>
        <v>51451.554224883563</v>
      </c>
      <c r="N39" s="96">
        <f t="shared" si="2"/>
        <v>98.281405479144524</v>
      </c>
      <c r="O39" s="96">
        <f t="shared" si="3"/>
        <v>1404.7185945208555</v>
      </c>
      <c r="P39">
        <f>SUMIFS('Fuel and Energy_rail only'!M:M,'Fuel and Energy_rail only'!C:C,C39)</f>
        <v>13166567</v>
      </c>
      <c r="Q39">
        <f>SUMIFS('Fuel and Energy_rail only'!U:U,'Fuel and Energy_rail only'!C:C,C39)</f>
        <v>0</v>
      </c>
      <c r="R39">
        <f>SUMIFS('Fuel and Energy_rail only'!Y:Y,'Fuel and Energy_rail only'!C:C,C39)</f>
        <v>519279337</v>
      </c>
      <c r="S39">
        <f t="shared" si="5"/>
        <v>1826202842900</v>
      </c>
      <c r="T39">
        <f t="shared" si="6"/>
        <v>1771853796951.1799</v>
      </c>
      <c r="U39" s="97">
        <f t="shared" si="7"/>
        <v>6.083594237762395E-5</v>
      </c>
      <c r="V39" s="97">
        <f t="shared" si="7"/>
        <v>8.9618845234962382E-4</v>
      </c>
      <c r="Y39">
        <v>1503</v>
      </c>
    </row>
    <row r="40" spans="2:25">
      <c r="B40" s="94" t="s">
        <v>628</v>
      </c>
      <c r="C40" s="94" t="s">
        <v>467</v>
      </c>
      <c r="D40" t="s">
        <v>629</v>
      </c>
      <c r="E40">
        <f>SUMIFS('Annual Service Data_rail only'!N:N,'Annual Service Data_rail only'!C:C,C40)</f>
        <v>7</v>
      </c>
      <c r="F40" s="91">
        <f>SUMIFS('Annual Service Data_rail only'!X:X,'Annual Service Data_rail only'!C:C,C40)</f>
        <v>965030</v>
      </c>
      <c r="G40" s="91">
        <f>SUMIFS('Annual Service Data_rail only'!AT:AT,'Annual Service Data_rail only'!C:C,C40)</f>
        <v>24052625</v>
      </c>
      <c r="H40">
        <f>SUMIFS('Fuel and Energy_rail only'!AD:AD,'Fuel and Energy_rail only'!C:C,C40)</f>
        <v>350453</v>
      </c>
      <c r="I40">
        <f>SUMIFS('Fuel and Energy_rail only'!AN:AN,'Fuel and Energy_rail only'!C:C,C40)</f>
        <v>0</v>
      </c>
      <c r="J40" s="36">
        <f t="shared" si="4"/>
        <v>1</v>
      </c>
      <c r="K40" s="36">
        <f t="shared" si="4"/>
        <v>0</v>
      </c>
      <c r="L40" s="95">
        <f t="shared" si="0"/>
        <v>24.924225153622167</v>
      </c>
      <c r="M40" s="96">
        <f t="shared" si="1"/>
        <v>31130</v>
      </c>
      <c r="N40" s="96">
        <f t="shared" si="2"/>
        <v>25.564647159358451</v>
      </c>
      <c r="O40" s="96">
        <f t="shared" si="3"/>
        <v>5.4353528406415492</v>
      </c>
      <c r="P40">
        <f>SUMIFS('Fuel and Energy_rail only'!M:M,'Fuel and Energy_rail only'!C:C,C40)</f>
        <v>0</v>
      </c>
      <c r="Q40">
        <f>SUMIFS('Fuel and Energy_rail only'!U:U,'Fuel and Energy_rail only'!C:C,C40)</f>
        <v>792273</v>
      </c>
      <c r="R40">
        <f>SUMIFS('Fuel and Energy_rail only'!Y:Y,'Fuel and Energy_rail only'!C:C,C40)</f>
        <v>0</v>
      </c>
      <c r="S40">
        <f t="shared" si="5"/>
        <v>109888265100</v>
      </c>
      <c r="T40">
        <f t="shared" si="6"/>
        <v>0</v>
      </c>
      <c r="U40" s="97">
        <f t="shared" si="7"/>
        <v>1.8050501506903794E-4</v>
      </c>
      <c r="V40" s="97">
        <f t="shared" si="7"/>
        <v>0</v>
      </c>
      <c r="Y40">
        <v>31</v>
      </c>
    </row>
    <row r="41" spans="2:25">
      <c r="B41" s="94" t="s">
        <v>401</v>
      </c>
      <c r="C41" s="94" t="s">
        <v>354</v>
      </c>
      <c r="D41" t="s">
        <v>630</v>
      </c>
      <c r="E41">
        <f>SUMIFS('Annual Service Data_rail only'!N:N,'Annual Service Data_rail only'!C:C,C41)</f>
        <v>787</v>
      </c>
      <c r="F41" s="91">
        <f>SUMIFS('Annual Service Data_rail only'!X:X,'Annual Service Data_rail only'!C:C,C41)</f>
        <v>459797967</v>
      </c>
      <c r="G41" s="91">
        <f>SUMIFS('Annual Service Data_rail only'!AT:AT,'Annual Service Data_rail only'!C:C,C41)</f>
        <v>6605805362</v>
      </c>
      <c r="H41">
        <f>SUMIFS('Fuel and Energy_rail only'!AD:AD,'Fuel and Energy_rail only'!C:C,C41)</f>
        <v>757533</v>
      </c>
      <c r="I41">
        <f>SUMIFS('Fuel and Energy_rail only'!AN:AN,'Fuel and Energy_rail only'!C:C,C41)</f>
        <v>433746106</v>
      </c>
      <c r="J41" s="36">
        <f t="shared" si="4"/>
        <v>1.7434445468476271E-3</v>
      </c>
      <c r="K41" s="36">
        <f t="shared" si="4"/>
        <v>0.99825655545315239</v>
      </c>
      <c r="L41" s="95">
        <f t="shared" ref="L41:L59" si="8">IFERROR(G41/F41,0)</f>
        <v>14.366756349751325</v>
      </c>
      <c r="M41" s="96">
        <f t="shared" ref="M41:M59" si="9">IFERROR(F41/Y41,0)</f>
        <v>46827.372135655365</v>
      </c>
      <c r="N41" s="96">
        <f t="shared" ref="N41:N59" si="10">Y41*J41*$Y$65</f>
        <v>14.117360588168308</v>
      </c>
      <c r="O41" s="96">
        <f t="shared" ref="O41:O59" si="11">Y41-N41</f>
        <v>9804.8826394118314</v>
      </c>
      <c r="P41">
        <f>SUMIFS('Fuel and Energy_rail only'!M:M,'Fuel and Energy_rail only'!C:C,C41)</f>
        <v>12731425</v>
      </c>
      <c r="Q41">
        <f>SUMIFS('Fuel and Energy_rail only'!U:U,'Fuel and Energy_rail only'!C:C,C41)</f>
        <v>0</v>
      </c>
      <c r="R41">
        <f>SUMIFS('Fuel and Energy_rail only'!Y:Y,'Fuel and Energy_rail only'!C:C,C41)</f>
        <v>2470851025</v>
      </c>
      <c r="S41">
        <f t="shared" si="5"/>
        <v>1765848647500</v>
      </c>
      <c r="T41">
        <f t="shared" si="6"/>
        <v>8430889616443.5</v>
      </c>
      <c r="U41" s="97">
        <f t="shared" si="7"/>
        <v>5.3784674392164876E-6</v>
      </c>
      <c r="V41" s="97">
        <f t="shared" si="7"/>
        <v>7.8239760009210448E-4</v>
      </c>
      <c r="Y41">
        <v>9819</v>
      </c>
    </row>
    <row r="42" spans="2:25">
      <c r="B42" s="94" t="s">
        <v>631</v>
      </c>
      <c r="C42" s="94" t="s">
        <v>440</v>
      </c>
      <c r="D42" t="s">
        <v>632</v>
      </c>
      <c r="E42">
        <f>SUMIFS('Annual Service Data_rail only'!N:N,'Annual Service Data_rail only'!C:C,C42)</f>
        <v>16</v>
      </c>
      <c r="F42" s="91">
        <f>SUMIFS('Annual Service Data_rail only'!X:X,'Annual Service Data_rail only'!C:C,C42)</f>
        <v>2267166</v>
      </c>
      <c r="G42" s="91">
        <f>SUMIFS('Annual Service Data_rail only'!AT:AT,'Annual Service Data_rail only'!C:C,C42)</f>
        <v>37638865</v>
      </c>
      <c r="H42">
        <f>SUMIFS('Fuel and Energy_rail only'!AD:AD,'Fuel and Energy_rail only'!C:C,C42)</f>
        <v>0</v>
      </c>
      <c r="I42">
        <f>SUMIFS('Fuel and Energy_rail only'!AN:AN,'Fuel and Energy_rail only'!C:C,C42)</f>
        <v>2267804</v>
      </c>
      <c r="J42" s="36">
        <f t="shared" si="4"/>
        <v>0</v>
      </c>
      <c r="K42" s="36">
        <f t="shared" si="4"/>
        <v>1</v>
      </c>
      <c r="L42" s="95">
        <f t="shared" si="8"/>
        <v>16.601724355428761</v>
      </c>
      <c r="M42" s="96">
        <f t="shared" si="9"/>
        <v>68702</v>
      </c>
      <c r="N42" s="96">
        <f t="shared" si="10"/>
        <v>0</v>
      </c>
      <c r="O42" s="96">
        <f t="shared" si="11"/>
        <v>33</v>
      </c>
      <c r="P42">
        <f>SUMIFS('Fuel and Energy_rail only'!M:M,'Fuel and Energy_rail only'!C:C,C42)</f>
        <v>0</v>
      </c>
      <c r="Q42">
        <f>SUMIFS('Fuel and Energy_rail only'!U:U,'Fuel and Energy_rail only'!C:C,C42)</f>
        <v>0</v>
      </c>
      <c r="R42">
        <f>SUMIFS('Fuel and Energy_rail only'!Y:Y,'Fuel and Energy_rail only'!C:C,C42)</f>
        <v>16786660</v>
      </c>
      <c r="S42">
        <f t="shared" si="5"/>
        <v>0</v>
      </c>
      <c r="T42">
        <f t="shared" si="6"/>
        <v>57278434052.400002</v>
      </c>
      <c r="U42" s="97">
        <f t="shared" si="7"/>
        <v>0</v>
      </c>
      <c r="V42" s="97">
        <f t="shared" si="7"/>
        <v>6.5712105476848151E-4</v>
      </c>
      <c r="Y42">
        <v>33</v>
      </c>
    </row>
    <row r="43" spans="2:25">
      <c r="B43" s="94" t="s">
        <v>633</v>
      </c>
      <c r="C43" s="94" t="s">
        <v>634</v>
      </c>
      <c r="D43" t="s">
        <v>635</v>
      </c>
      <c r="E43">
        <f>SUMIFS('Annual Service Data_rail only'!N:N,'Annual Service Data_rail only'!C:C,C43)</f>
        <v>0</v>
      </c>
      <c r="F43" s="91">
        <f>SUMIFS('Annual Service Data_rail only'!X:X,'Annual Service Data_rail only'!C:C,C43)</f>
        <v>0</v>
      </c>
      <c r="G43" s="91">
        <f>SUMIFS('Annual Service Data_rail only'!AT:AT,'Annual Service Data_rail only'!C:C,C43)</f>
        <v>0</v>
      </c>
      <c r="H43">
        <f>SUMIFS('Fuel and Energy_rail only'!AD:AD,'Fuel and Energy_rail only'!C:C,C43)</f>
        <v>0</v>
      </c>
      <c r="I43">
        <f>SUMIFS('Fuel and Energy_rail only'!AN:AN,'Fuel and Energy_rail only'!C:C,C43)</f>
        <v>0</v>
      </c>
      <c r="J43" s="36">
        <f t="shared" si="4"/>
        <v>0</v>
      </c>
      <c r="K43" s="36">
        <f t="shared" si="4"/>
        <v>0</v>
      </c>
      <c r="L43" s="95">
        <f t="shared" si="8"/>
        <v>0</v>
      </c>
      <c r="M43" s="96">
        <f t="shared" si="9"/>
        <v>0</v>
      </c>
      <c r="N43" s="96">
        <f t="shared" si="10"/>
        <v>0</v>
      </c>
      <c r="O43" s="96">
        <f t="shared" si="11"/>
        <v>0</v>
      </c>
      <c r="P43">
        <f>SUMIFS('Fuel and Energy_rail only'!M:M,'Fuel and Energy_rail only'!C:C,C43)</f>
        <v>0</v>
      </c>
      <c r="Q43">
        <f>SUMIFS('Fuel and Energy_rail only'!U:U,'Fuel and Energy_rail only'!C:C,C43)</f>
        <v>0</v>
      </c>
      <c r="R43">
        <f>SUMIFS('Fuel and Energy_rail only'!Y:Y,'Fuel and Energy_rail only'!C:C,C43)</f>
        <v>0</v>
      </c>
      <c r="S43">
        <f t="shared" si="5"/>
        <v>0</v>
      </c>
      <c r="T43">
        <f t="shared" si="6"/>
        <v>0</v>
      </c>
      <c r="U43" s="97">
        <f t="shared" si="7"/>
        <v>0</v>
      </c>
      <c r="V43" s="97">
        <f t="shared" si="7"/>
        <v>0</v>
      </c>
      <c r="Y43">
        <v>0</v>
      </c>
    </row>
    <row r="44" spans="2:25">
      <c r="B44" s="94" t="s">
        <v>636</v>
      </c>
      <c r="C44" s="94" t="s">
        <v>434</v>
      </c>
      <c r="D44" t="s">
        <v>637</v>
      </c>
      <c r="E44">
        <f>SUMIFS('Annual Service Data_rail only'!N:N,'Annual Service Data_rail only'!C:C,C44)</f>
        <v>14</v>
      </c>
      <c r="F44" s="91">
        <f>SUMIFS('Annual Service Data_rail only'!X:X,'Annual Service Data_rail only'!C:C,C44)</f>
        <v>3017495</v>
      </c>
      <c r="G44" s="91">
        <f>SUMIFS('Annual Service Data_rail only'!AT:AT,'Annual Service Data_rail only'!C:C,C44)</f>
        <v>20427250</v>
      </c>
      <c r="H44">
        <f>SUMIFS('Fuel and Energy_rail only'!AD:AD,'Fuel and Energy_rail only'!C:C,C44)</f>
        <v>0</v>
      </c>
      <c r="I44">
        <f>SUMIFS('Fuel and Energy_rail only'!AN:AN,'Fuel and Energy_rail only'!C:C,C44)</f>
        <v>2921572</v>
      </c>
      <c r="J44" s="36">
        <f t="shared" si="4"/>
        <v>0</v>
      </c>
      <c r="K44" s="36">
        <f t="shared" si="4"/>
        <v>1</v>
      </c>
      <c r="L44" s="95">
        <f t="shared" si="8"/>
        <v>6.769605252038529</v>
      </c>
      <c r="M44" s="96">
        <f t="shared" si="9"/>
        <v>41909.652777777781</v>
      </c>
      <c r="N44" s="96">
        <f t="shared" si="10"/>
        <v>0</v>
      </c>
      <c r="O44" s="96">
        <f t="shared" si="11"/>
        <v>72</v>
      </c>
      <c r="P44">
        <f>SUMIFS('Fuel and Energy_rail only'!M:M,'Fuel and Energy_rail only'!C:C,C44)</f>
        <v>0</v>
      </c>
      <c r="Q44">
        <f>SUMIFS('Fuel and Energy_rail only'!U:U,'Fuel and Energy_rail only'!C:C,C44)</f>
        <v>0</v>
      </c>
      <c r="R44">
        <f>SUMIFS('Fuel and Energy_rail only'!Y:Y,'Fuel and Energy_rail only'!C:C,C44)</f>
        <v>32090136</v>
      </c>
      <c r="S44">
        <f t="shared" si="5"/>
        <v>0</v>
      </c>
      <c r="T44">
        <f t="shared" si="6"/>
        <v>109496036651.03999</v>
      </c>
      <c r="U44" s="97">
        <f t="shared" si="7"/>
        <v>0</v>
      </c>
      <c r="V44" s="97">
        <f t="shared" si="7"/>
        <v>1.8655698073438885E-4</v>
      </c>
      <c r="Y44">
        <v>72</v>
      </c>
    </row>
    <row r="45" spans="2:25">
      <c r="B45" s="94" t="s">
        <v>638</v>
      </c>
      <c r="C45" s="94" t="s">
        <v>639</v>
      </c>
      <c r="D45" t="s">
        <v>640</v>
      </c>
      <c r="E45">
        <f>SUMIFS('Annual Service Data_rail only'!N:N,'Annual Service Data_rail only'!C:C,C45)</f>
        <v>0</v>
      </c>
      <c r="F45" s="91">
        <f>SUMIFS('Annual Service Data_rail only'!X:X,'Annual Service Data_rail only'!C:C,C45)</f>
        <v>0</v>
      </c>
      <c r="G45" s="91">
        <f>SUMIFS('Annual Service Data_rail only'!AT:AT,'Annual Service Data_rail only'!C:C,C45)</f>
        <v>0</v>
      </c>
      <c r="H45">
        <f>SUMIFS('Fuel and Energy_rail only'!AD:AD,'Fuel and Energy_rail only'!C:C,C45)</f>
        <v>0</v>
      </c>
      <c r="I45">
        <f>SUMIFS('Fuel and Energy_rail only'!AN:AN,'Fuel and Energy_rail only'!C:C,C45)</f>
        <v>0</v>
      </c>
      <c r="J45" s="36">
        <f t="shared" si="4"/>
        <v>0</v>
      </c>
      <c r="K45" s="36">
        <f t="shared" si="4"/>
        <v>0</v>
      </c>
      <c r="L45" s="95">
        <f t="shared" si="8"/>
        <v>0</v>
      </c>
      <c r="M45" s="96">
        <f t="shared" si="9"/>
        <v>0</v>
      </c>
      <c r="N45" s="96">
        <f t="shared" si="10"/>
        <v>0</v>
      </c>
      <c r="O45" s="96">
        <f t="shared" si="11"/>
        <v>7</v>
      </c>
      <c r="P45">
        <f>SUMIFS('Fuel and Energy_rail only'!M:M,'Fuel and Energy_rail only'!C:C,C45)</f>
        <v>0</v>
      </c>
      <c r="Q45">
        <f>SUMIFS('Fuel and Energy_rail only'!U:U,'Fuel and Energy_rail only'!C:C,C45)</f>
        <v>0</v>
      </c>
      <c r="R45">
        <f>SUMIFS('Fuel and Energy_rail only'!Y:Y,'Fuel and Energy_rail only'!C:C,C45)</f>
        <v>0</v>
      </c>
      <c r="S45">
        <f t="shared" si="5"/>
        <v>0</v>
      </c>
      <c r="T45">
        <f t="shared" si="6"/>
        <v>0</v>
      </c>
      <c r="U45" s="97">
        <f t="shared" si="7"/>
        <v>0</v>
      </c>
      <c r="V45" s="97">
        <f t="shared" si="7"/>
        <v>0</v>
      </c>
      <c r="Y45">
        <v>7</v>
      </c>
    </row>
    <row r="46" spans="2:25">
      <c r="B46" s="94" t="s">
        <v>641</v>
      </c>
      <c r="C46" s="94" t="s">
        <v>414</v>
      </c>
      <c r="D46" t="s">
        <v>642</v>
      </c>
      <c r="E46">
        <f>SUMIFS('Annual Service Data_rail only'!N:N,'Annual Service Data_rail only'!C:C,C46)</f>
        <v>55</v>
      </c>
      <c r="F46" s="91">
        <f>SUMIFS('Annual Service Data_rail only'!X:X,'Annual Service Data_rail only'!C:C,C46)</f>
        <v>8981104</v>
      </c>
      <c r="G46" s="91">
        <f>SUMIFS('Annual Service Data_rail only'!AT:AT,'Annual Service Data_rail only'!C:C,C46)</f>
        <v>159458488</v>
      </c>
      <c r="H46">
        <f>SUMIFS('Fuel and Energy_rail only'!AD:AD,'Fuel and Energy_rail only'!C:C,C46)</f>
        <v>0</v>
      </c>
      <c r="I46">
        <f>SUMIFS('Fuel and Energy_rail only'!AN:AN,'Fuel and Energy_rail only'!C:C,C46)</f>
        <v>9045741</v>
      </c>
      <c r="J46" s="36">
        <f t="shared" si="4"/>
        <v>0</v>
      </c>
      <c r="K46" s="36">
        <f t="shared" si="4"/>
        <v>1</v>
      </c>
      <c r="L46" s="95">
        <f t="shared" si="8"/>
        <v>17.754887149731257</v>
      </c>
      <c r="M46" s="96">
        <f t="shared" si="9"/>
        <v>56131.9</v>
      </c>
      <c r="N46" s="96">
        <f t="shared" si="10"/>
        <v>0</v>
      </c>
      <c r="O46" s="96">
        <f t="shared" si="11"/>
        <v>160</v>
      </c>
      <c r="P46">
        <f>SUMIFS('Fuel and Energy_rail only'!M:M,'Fuel and Energy_rail only'!C:C,C46)</f>
        <v>0</v>
      </c>
      <c r="Q46">
        <f>SUMIFS('Fuel and Energy_rail only'!U:U,'Fuel and Energy_rail only'!C:C,C46)</f>
        <v>0</v>
      </c>
      <c r="R46">
        <f>SUMIFS('Fuel and Energy_rail only'!Y:Y,'Fuel and Energy_rail only'!C:C,C46)</f>
        <v>54389715</v>
      </c>
      <c r="S46">
        <f t="shared" si="5"/>
        <v>0</v>
      </c>
      <c r="T46">
        <f t="shared" si="6"/>
        <v>185585322140.10001</v>
      </c>
      <c r="U46" s="97">
        <f t="shared" si="7"/>
        <v>0</v>
      </c>
      <c r="V46" s="97">
        <f t="shared" si="7"/>
        <v>8.5921928610077994E-4</v>
      </c>
      <c r="Y46">
        <v>160</v>
      </c>
    </row>
    <row r="47" spans="2:25">
      <c r="B47" s="94" t="s">
        <v>643</v>
      </c>
      <c r="C47" s="94" t="s">
        <v>385</v>
      </c>
      <c r="D47" t="s">
        <v>644</v>
      </c>
      <c r="E47">
        <f>SUMIFS('Annual Service Data_rail only'!N:N,'Annual Service Data_rail only'!C:C,C47)</f>
        <v>176</v>
      </c>
      <c r="F47" s="91">
        <f>SUMIFS('Annual Service Data_rail only'!X:X,'Annual Service Data_rail only'!C:C,C47)</f>
        <v>37294660</v>
      </c>
      <c r="G47" s="91">
        <f>SUMIFS('Annual Service Data_rail only'!AT:AT,'Annual Service Data_rail only'!C:C,C47)</f>
        <v>725134241</v>
      </c>
      <c r="H47">
        <f>SUMIFS('Fuel and Energy_rail only'!AD:AD,'Fuel and Energy_rail only'!C:C,C47)</f>
        <v>0</v>
      </c>
      <c r="I47">
        <f>SUMIFS('Fuel and Energy_rail only'!AN:AN,'Fuel and Energy_rail only'!C:C,C47)</f>
        <v>31752653</v>
      </c>
      <c r="J47" s="36">
        <f t="shared" si="4"/>
        <v>0</v>
      </c>
      <c r="K47" s="36">
        <f t="shared" si="4"/>
        <v>1</v>
      </c>
      <c r="L47" s="95">
        <f t="shared" si="8"/>
        <v>19.443379856526377</v>
      </c>
      <c r="M47" s="96">
        <f t="shared" si="9"/>
        <v>37862.598984771575</v>
      </c>
      <c r="N47" s="96">
        <f t="shared" si="10"/>
        <v>0</v>
      </c>
      <c r="O47" s="96">
        <f t="shared" si="11"/>
        <v>985</v>
      </c>
      <c r="P47">
        <f>SUMIFS('Fuel and Energy_rail only'!M:M,'Fuel and Energy_rail only'!C:C,C47)</f>
        <v>0</v>
      </c>
      <c r="Q47">
        <f>SUMIFS('Fuel and Energy_rail only'!U:U,'Fuel and Energy_rail only'!C:C,C47)</f>
        <v>0</v>
      </c>
      <c r="R47">
        <f>SUMIFS('Fuel and Energy_rail only'!Y:Y,'Fuel and Energy_rail only'!C:C,C47)</f>
        <v>373898381</v>
      </c>
      <c r="S47">
        <f t="shared" si="5"/>
        <v>0</v>
      </c>
      <c r="T47">
        <f t="shared" si="6"/>
        <v>1275793621745.3398</v>
      </c>
      <c r="U47" s="97">
        <f t="shared" si="7"/>
        <v>0</v>
      </c>
      <c r="V47" s="97">
        <f t="shared" si="7"/>
        <v>5.6837895145453508E-4</v>
      </c>
      <c r="Y47">
        <v>985</v>
      </c>
    </row>
    <row r="48" spans="2:25">
      <c r="B48" s="94" t="s">
        <v>645</v>
      </c>
      <c r="C48" s="94" t="s">
        <v>646</v>
      </c>
      <c r="D48" t="s">
        <v>647</v>
      </c>
      <c r="E48">
        <f>SUMIFS('Annual Service Data_rail only'!N:N,'Annual Service Data_rail only'!C:C,C48)</f>
        <v>0</v>
      </c>
      <c r="F48" s="91">
        <f>SUMIFS('Annual Service Data_rail only'!X:X,'Annual Service Data_rail only'!C:C,C48)</f>
        <v>0</v>
      </c>
      <c r="G48" s="91">
        <f>SUMIFS('Annual Service Data_rail only'!AT:AT,'Annual Service Data_rail only'!C:C,C48)</f>
        <v>0</v>
      </c>
      <c r="H48">
        <f>SUMIFS('Fuel and Energy_rail only'!AD:AD,'Fuel and Energy_rail only'!C:C,C48)</f>
        <v>0</v>
      </c>
      <c r="I48">
        <f>SUMIFS('Fuel and Energy_rail only'!AN:AN,'Fuel and Energy_rail only'!C:C,C48)</f>
        <v>0</v>
      </c>
      <c r="J48" s="36">
        <f t="shared" si="4"/>
        <v>0</v>
      </c>
      <c r="K48" s="36">
        <f t="shared" si="4"/>
        <v>0</v>
      </c>
      <c r="L48" s="95">
        <f t="shared" si="8"/>
        <v>0</v>
      </c>
      <c r="M48" s="96">
        <f t="shared" si="9"/>
        <v>0</v>
      </c>
      <c r="N48" s="96">
        <f t="shared" si="10"/>
        <v>0</v>
      </c>
      <c r="O48" s="96">
        <f t="shared" si="11"/>
        <v>0</v>
      </c>
      <c r="P48">
        <f>SUMIFS('Fuel and Energy_rail only'!M:M,'Fuel and Energy_rail only'!C:C,C48)</f>
        <v>0</v>
      </c>
      <c r="Q48">
        <f>SUMIFS('Fuel and Energy_rail only'!U:U,'Fuel and Energy_rail only'!C:C,C48)</f>
        <v>0</v>
      </c>
      <c r="R48">
        <f>SUMIFS('Fuel and Energy_rail only'!Y:Y,'Fuel and Energy_rail only'!C:C,C48)</f>
        <v>0</v>
      </c>
      <c r="S48">
        <f t="shared" si="5"/>
        <v>0</v>
      </c>
      <c r="T48">
        <f t="shared" si="6"/>
        <v>0</v>
      </c>
      <c r="U48" s="97">
        <f t="shared" si="7"/>
        <v>0</v>
      </c>
      <c r="V48" s="97">
        <f t="shared" si="7"/>
        <v>0</v>
      </c>
      <c r="Y48">
        <v>0</v>
      </c>
    </row>
    <row r="49" spans="2:25">
      <c r="B49" s="94" t="s">
        <v>648</v>
      </c>
      <c r="C49" s="94" t="s">
        <v>649</v>
      </c>
      <c r="D49" t="s">
        <v>650</v>
      </c>
      <c r="E49">
        <f>SUMIFS('Annual Service Data_rail only'!N:N,'Annual Service Data_rail only'!C:C,C49)</f>
        <v>0</v>
      </c>
      <c r="F49" s="91">
        <f>SUMIFS('Annual Service Data_rail only'!X:X,'Annual Service Data_rail only'!C:C,C49)</f>
        <v>0</v>
      </c>
      <c r="G49" s="91">
        <f>SUMIFS('Annual Service Data_rail only'!AT:AT,'Annual Service Data_rail only'!C:C,C49)</f>
        <v>0</v>
      </c>
      <c r="H49">
        <f>SUMIFS('Fuel and Energy_rail only'!AD:AD,'Fuel and Energy_rail only'!C:C,C49)</f>
        <v>0</v>
      </c>
      <c r="I49">
        <f>SUMIFS('Fuel and Energy_rail only'!AN:AN,'Fuel and Energy_rail only'!C:C,C49)</f>
        <v>0</v>
      </c>
      <c r="J49" s="36">
        <f t="shared" si="4"/>
        <v>0</v>
      </c>
      <c r="K49" s="36">
        <f t="shared" si="4"/>
        <v>0</v>
      </c>
      <c r="L49" s="95">
        <f t="shared" si="8"/>
        <v>0</v>
      </c>
      <c r="M49" s="96">
        <f t="shared" si="9"/>
        <v>0</v>
      </c>
      <c r="N49" s="96">
        <f t="shared" si="10"/>
        <v>0</v>
      </c>
      <c r="O49" s="96">
        <f t="shared" si="11"/>
        <v>0</v>
      </c>
      <c r="P49">
        <f>SUMIFS('Fuel and Energy_rail only'!M:M,'Fuel and Energy_rail only'!C:C,C49)</f>
        <v>0</v>
      </c>
      <c r="Q49">
        <f>SUMIFS('Fuel and Energy_rail only'!U:U,'Fuel and Energy_rail only'!C:C,C49)</f>
        <v>0</v>
      </c>
      <c r="R49">
        <f>SUMIFS('Fuel and Energy_rail only'!Y:Y,'Fuel and Energy_rail only'!C:C,C49)</f>
        <v>0</v>
      </c>
      <c r="S49">
        <f t="shared" si="5"/>
        <v>0</v>
      </c>
      <c r="T49">
        <f t="shared" si="6"/>
        <v>0</v>
      </c>
      <c r="U49" s="97">
        <f t="shared" si="7"/>
        <v>0</v>
      </c>
      <c r="V49" s="97">
        <f t="shared" si="7"/>
        <v>0</v>
      </c>
      <c r="Y49">
        <v>0</v>
      </c>
    </row>
    <row r="50" spans="2:25">
      <c r="B50" s="94" t="s">
        <v>651</v>
      </c>
      <c r="C50" s="94" t="s">
        <v>652</v>
      </c>
      <c r="D50" t="s">
        <v>653</v>
      </c>
      <c r="E50">
        <f>SUMIFS('Annual Service Data_rail only'!N:N,'Annual Service Data_rail only'!C:C,C50)</f>
        <v>0</v>
      </c>
      <c r="F50" s="91">
        <f>SUMIFS('Annual Service Data_rail only'!X:X,'Annual Service Data_rail only'!C:C,C50)</f>
        <v>0</v>
      </c>
      <c r="G50" s="91">
        <f>SUMIFS('Annual Service Data_rail only'!AT:AT,'Annual Service Data_rail only'!C:C,C50)</f>
        <v>0</v>
      </c>
      <c r="H50">
        <f>SUMIFS('Fuel and Energy_rail only'!AD:AD,'Fuel and Energy_rail only'!C:C,C50)</f>
        <v>0</v>
      </c>
      <c r="I50">
        <f>SUMIFS('Fuel and Energy_rail only'!AN:AN,'Fuel and Energy_rail only'!C:C,C50)</f>
        <v>0</v>
      </c>
      <c r="J50" s="36">
        <f t="shared" si="4"/>
        <v>0</v>
      </c>
      <c r="K50" s="36">
        <f t="shared" si="4"/>
        <v>0</v>
      </c>
      <c r="L50" s="95">
        <f t="shared" si="8"/>
        <v>0</v>
      </c>
      <c r="M50" s="96">
        <f t="shared" si="9"/>
        <v>0</v>
      </c>
      <c r="N50" s="96">
        <f t="shared" si="10"/>
        <v>0</v>
      </c>
      <c r="O50" s="96">
        <f t="shared" si="11"/>
        <v>0</v>
      </c>
      <c r="P50">
        <f>SUMIFS('Fuel and Energy_rail only'!M:M,'Fuel and Energy_rail only'!C:C,C50)</f>
        <v>0</v>
      </c>
      <c r="Q50">
        <f>SUMIFS('Fuel and Energy_rail only'!U:U,'Fuel and Energy_rail only'!C:C,C50)</f>
        <v>0</v>
      </c>
      <c r="R50">
        <f>SUMIFS('Fuel and Energy_rail only'!Y:Y,'Fuel and Energy_rail only'!C:C,C50)</f>
        <v>0</v>
      </c>
      <c r="S50">
        <f t="shared" si="5"/>
        <v>0</v>
      </c>
      <c r="T50">
        <f t="shared" si="6"/>
        <v>0</v>
      </c>
      <c r="U50" s="97">
        <f t="shared" si="7"/>
        <v>0</v>
      </c>
      <c r="V50" s="97">
        <f t="shared" si="7"/>
        <v>0</v>
      </c>
      <c r="Y50">
        <v>0</v>
      </c>
    </row>
    <row r="51" spans="2:25">
      <c r="B51" s="94" t="s">
        <v>654</v>
      </c>
      <c r="C51" s="94" t="s">
        <v>473</v>
      </c>
      <c r="D51" t="s">
        <v>655</v>
      </c>
      <c r="E51">
        <f>SUMIFS('Annual Service Data_rail only'!N:N,'Annual Service Data_rail only'!C:C,C51)</f>
        <v>2</v>
      </c>
      <c r="F51" s="91">
        <f>SUMIFS('Annual Service Data_rail only'!X:X,'Annual Service Data_rail only'!C:C,C51)</f>
        <v>208873</v>
      </c>
      <c r="G51" s="91">
        <f>SUMIFS('Annual Service Data_rail only'!AT:AT,'Annual Service Data_rail only'!C:C,C51)</f>
        <v>3403059</v>
      </c>
      <c r="H51">
        <f>SUMIFS('Fuel and Energy_rail only'!AD:AD,'Fuel and Energy_rail only'!C:C,C51)</f>
        <v>71832</v>
      </c>
      <c r="I51">
        <f>SUMIFS('Fuel and Energy_rail only'!AN:AN,'Fuel and Energy_rail only'!C:C,C51)</f>
        <v>0</v>
      </c>
      <c r="J51" s="36">
        <f t="shared" si="4"/>
        <v>1</v>
      </c>
      <c r="K51" s="36">
        <f t="shared" si="4"/>
        <v>0</v>
      </c>
      <c r="L51" s="95">
        <f t="shared" si="8"/>
        <v>16.292479161978811</v>
      </c>
      <c r="M51" s="96">
        <f t="shared" si="9"/>
        <v>12286.64705882353</v>
      </c>
      <c r="N51" s="96">
        <f t="shared" si="10"/>
        <v>14.019322635777215</v>
      </c>
      <c r="O51" s="96">
        <f t="shared" si="11"/>
        <v>2.9806773642227853</v>
      </c>
      <c r="P51">
        <f>SUMIFS('Fuel and Energy_rail only'!M:M,'Fuel and Energy_rail only'!C:C,C51)</f>
        <v>195054</v>
      </c>
      <c r="Q51">
        <f>SUMIFS('Fuel and Energy_rail only'!U:U,'Fuel and Energy_rail only'!C:C,C51)</f>
        <v>0</v>
      </c>
      <c r="R51">
        <f>SUMIFS('Fuel and Energy_rail only'!Y:Y,'Fuel and Energy_rail only'!C:C,C51)</f>
        <v>0</v>
      </c>
      <c r="S51">
        <f t="shared" si="5"/>
        <v>27053989800</v>
      </c>
      <c r="T51">
        <f t="shared" si="6"/>
        <v>0</v>
      </c>
      <c r="U51" s="97">
        <f t="shared" si="7"/>
        <v>1.0373283945585895E-4</v>
      </c>
      <c r="V51" s="97">
        <f t="shared" si="7"/>
        <v>0</v>
      </c>
      <c r="Y51">
        <v>17</v>
      </c>
    </row>
    <row r="52" spans="2:25">
      <c r="B52" s="94" t="s">
        <v>656</v>
      </c>
      <c r="C52" s="94" t="s">
        <v>388</v>
      </c>
      <c r="D52" t="s">
        <v>657</v>
      </c>
      <c r="E52">
        <f>SUMIFS('Annual Service Data_rail only'!N:N,'Annual Service Data_rail only'!C:C,C52)</f>
        <v>81</v>
      </c>
      <c r="F52" s="91">
        <f>SUMIFS('Annual Service Data_rail only'!X:X,'Annual Service Data_rail only'!C:C,C52)</f>
        <v>16971382</v>
      </c>
      <c r="G52" s="91">
        <f>SUMIFS('Annual Service Data_rail only'!AT:AT,'Annual Service Data_rail only'!C:C,C52)</f>
        <v>229087609</v>
      </c>
      <c r="H52">
        <f>SUMIFS('Fuel and Energy_rail only'!AD:AD,'Fuel and Energy_rail only'!C:C,C52)</f>
        <v>2810479</v>
      </c>
      <c r="I52">
        <f>SUMIFS('Fuel and Energy_rail only'!AN:AN,'Fuel and Energy_rail only'!C:C,C52)</f>
        <v>13314833</v>
      </c>
      <c r="J52" s="36">
        <f t="shared" si="4"/>
        <v>0.17428989901094627</v>
      </c>
      <c r="K52" s="36">
        <f t="shared" si="4"/>
        <v>0.82571010098905373</v>
      </c>
      <c r="L52" s="95">
        <f t="shared" si="8"/>
        <v>13.498465180973476</v>
      </c>
      <c r="M52" s="96">
        <f t="shared" si="9"/>
        <v>45868.6</v>
      </c>
      <c r="N52" s="96">
        <f t="shared" si="10"/>
        <v>53.180455339108775</v>
      </c>
      <c r="O52" s="96">
        <f t="shared" si="11"/>
        <v>316.81954466089121</v>
      </c>
      <c r="P52">
        <f>SUMIFS('Fuel and Energy_rail only'!M:M,'Fuel and Energy_rail only'!C:C,C52)</f>
        <v>1818399</v>
      </c>
      <c r="Q52">
        <f>SUMIFS('Fuel and Energy_rail only'!U:U,'Fuel and Energy_rail only'!C:C,C52)</f>
        <v>0</v>
      </c>
      <c r="R52">
        <f>SUMIFS('Fuel and Energy_rail only'!Y:Y,'Fuel and Energy_rail only'!C:C,C52)</f>
        <v>136948004</v>
      </c>
      <c r="S52">
        <f t="shared" si="5"/>
        <v>252211941300</v>
      </c>
      <c r="T52">
        <f t="shared" si="6"/>
        <v>467285762368.56</v>
      </c>
      <c r="U52" s="97">
        <f t="shared" si="7"/>
        <v>1.3055282744379966E-4</v>
      </c>
      <c r="V52" s="97">
        <f t="shared" si="7"/>
        <v>4.1978729665099134E-4</v>
      </c>
      <c r="Y52">
        <v>370</v>
      </c>
    </row>
    <row r="53" spans="2:25">
      <c r="B53" s="94" t="s">
        <v>658</v>
      </c>
      <c r="C53" s="94" t="s">
        <v>406</v>
      </c>
      <c r="D53" t="s">
        <v>659</v>
      </c>
      <c r="E53">
        <f>SUMIFS('Annual Service Data_rail only'!N:N,'Annual Service Data_rail only'!C:C,C53)</f>
        <v>31</v>
      </c>
      <c r="F53" s="91">
        <f>SUMIFS('Annual Service Data_rail only'!X:X,'Annual Service Data_rail only'!C:C,C53)</f>
        <v>10256420</v>
      </c>
      <c r="G53" s="91">
        <f>SUMIFS('Annual Service Data_rail only'!AT:AT,'Annual Service Data_rail only'!C:C,C53)</f>
        <v>91039641</v>
      </c>
      <c r="H53">
        <f>SUMIFS('Fuel and Energy_rail only'!AD:AD,'Fuel and Energy_rail only'!C:C,C53)</f>
        <v>850933</v>
      </c>
      <c r="I53">
        <f>SUMIFS('Fuel and Energy_rail only'!AN:AN,'Fuel and Energy_rail only'!C:C,C53)</f>
        <v>6307169</v>
      </c>
      <c r="J53" s="36">
        <f t="shared" si="4"/>
        <v>0.11887690340260589</v>
      </c>
      <c r="K53" s="36">
        <f t="shared" si="4"/>
        <v>0.88112309659739407</v>
      </c>
      <c r="L53" s="95">
        <f t="shared" si="8"/>
        <v>8.876356564961263</v>
      </c>
      <c r="M53" s="96">
        <f t="shared" si="9"/>
        <v>61785.662650602411</v>
      </c>
      <c r="N53" s="96">
        <f t="shared" si="10"/>
        <v>16.273601647963538</v>
      </c>
      <c r="O53" s="96">
        <f t="shared" si="11"/>
        <v>149.72639835203645</v>
      </c>
      <c r="P53">
        <f>SUMIFS('Fuel and Energy_rail only'!M:M,'Fuel and Energy_rail only'!C:C,C53)</f>
        <v>1921417</v>
      </c>
      <c r="Q53">
        <f>SUMIFS('Fuel and Energy_rail only'!U:U,'Fuel and Energy_rail only'!C:C,C53)</f>
        <v>0</v>
      </c>
      <c r="R53">
        <f>SUMIFS('Fuel and Energy_rail only'!Y:Y,'Fuel and Energy_rail only'!C:C,C53)</f>
        <v>39602347</v>
      </c>
      <c r="S53">
        <f t="shared" si="5"/>
        <v>266500537900</v>
      </c>
      <c r="T53">
        <f t="shared" si="6"/>
        <v>135128752292.58</v>
      </c>
      <c r="U53" s="97">
        <f t="shared" si="7"/>
        <v>3.3489451874761314E-5</v>
      </c>
      <c r="V53" s="97">
        <f t="shared" si="7"/>
        <v>6.0767736450052974E-4</v>
      </c>
      <c r="Y53">
        <v>166</v>
      </c>
    </row>
    <row r="54" spans="2:25">
      <c r="B54" s="94" t="s">
        <v>660</v>
      </c>
      <c r="C54" s="94" t="s">
        <v>661</v>
      </c>
      <c r="D54" t="s">
        <v>662</v>
      </c>
      <c r="E54">
        <f>SUMIFS('Annual Service Data_rail only'!N:N,'Annual Service Data_rail only'!C:C,C54)</f>
        <v>0</v>
      </c>
      <c r="F54" s="91">
        <f>SUMIFS('Annual Service Data_rail only'!X:X,'Annual Service Data_rail only'!C:C,C54)</f>
        <v>0</v>
      </c>
      <c r="G54" s="91">
        <f>SUMIFS('Annual Service Data_rail only'!AT:AT,'Annual Service Data_rail only'!C:C,C54)</f>
        <v>0</v>
      </c>
      <c r="H54">
        <f>SUMIFS('Fuel and Energy_rail only'!AD:AD,'Fuel and Energy_rail only'!C:C,C54)</f>
        <v>0</v>
      </c>
      <c r="I54">
        <f>SUMIFS('Fuel and Energy_rail only'!AN:AN,'Fuel and Energy_rail only'!C:C,C54)</f>
        <v>0</v>
      </c>
      <c r="J54" s="36">
        <f t="shared" si="4"/>
        <v>0</v>
      </c>
      <c r="K54" s="36">
        <f t="shared" si="4"/>
        <v>0</v>
      </c>
      <c r="L54" s="95">
        <f t="shared" si="8"/>
        <v>0</v>
      </c>
      <c r="M54" s="96">
        <f t="shared" si="9"/>
        <v>0</v>
      </c>
      <c r="N54" s="96">
        <f t="shared" si="10"/>
        <v>0</v>
      </c>
      <c r="O54" s="96">
        <f t="shared" si="11"/>
        <v>0</v>
      </c>
      <c r="P54">
        <f>SUMIFS('Fuel and Energy_rail only'!M:M,'Fuel and Energy_rail only'!C:C,C54)</f>
        <v>0</v>
      </c>
      <c r="Q54">
        <f>SUMIFS('Fuel and Energy_rail only'!U:U,'Fuel and Energy_rail only'!C:C,C54)</f>
        <v>0</v>
      </c>
      <c r="R54">
        <f>SUMIFS('Fuel and Energy_rail only'!Y:Y,'Fuel and Energy_rail only'!C:C,C54)</f>
        <v>0</v>
      </c>
      <c r="S54">
        <f t="shared" si="5"/>
        <v>0</v>
      </c>
      <c r="T54">
        <f t="shared" si="6"/>
        <v>0</v>
      </c>
      <c r="U54" s="97">
        <f t="shared" si="7"/>
        <v>0</v>
      </c>
      <c r="V54" s="97">
        <f t="shared" si="7"/>
        <v>0</v>
      </c>
      <c r="Y54">
        <v>0</v>
      </c>
    </row>
    <row r="55" spans="2:25">
      <c r="B55" s="94" t="s">
        <v>663</v>
      </c>
      <c r="C55" s="94" t="s">
        <v>437</v>
      </c>
      <c r="D55" t="s">
        <v>664</v>
      </c>
      <c r="E55">
        <f>SUMIFS('Annual Service Data_rail only'!N:N,'Annual Service Data_rail only'!C:C,C55)</f>
        <v>38</v>
      </c>
      <c r="F55" s="91">
        <f>SUMIFS('Annual Service Data_rail only'!X:X,'Annual Service Data_rail only'!C:C,C55)</f>
        <v>2579467</v>
      </c>
      <c r="G55" s="91">
        <f>SUMIFS('Annual Service Data_rail only'!AT:AT,'Annual Service Data_rail only'!C:C,C55)</f>
        <v>101304307</v>
      </c>
      <c r="H55">
        <f>SUMIFS('Fuel and Energy_rail only'!AD:AD,'Fuel and Energy_rail only'!C:C,C55)</f>
        <v>333956</v>
      </c>
      <c r="I55">
        <f>SUMIFS('Fuel and Energy_rail only'!AN:AN,'Fuel and Energy_rail only'!C:C,C55)</f>
        <v>345837</v>
      </c>
      <c r="J55" s="36">
        <f t="shared" si="4"/>
        <v>0.49126131042832155</v>
      </c>
      <c r="K55" s="36">
        <f t="shared" si="4"/>
        <v>0.50873868957167845</v>
      </c>
      <c r="L55" s="95">
        <f t="shared" si="8"/>
        <v>39.273348718940774</v>
      </c>
      <c r="M55" s="96">
        <f t="shared" si="9"/>
        <v>19995.868217054263</v>
      </c>
      <c r="N55" s="96">
        <f t="shared" si="10"/>
        <v>52.26132084756739</v>
      </c>
      <c r="O55" s="96">
        <f t="shared" si="11"/>
        <v>76.73867915243261</v>
      </c>
      <c r="P55">
        <f>SUMIFS('Fuel and Energy_rail only'!M:M,'Fuel and Energy_rail only'!C:C,C55)</f>
        <v>1430638</v>
      </c>
      <c r="Q55">
        <f>SUMIFS('Fuel and Energy_rail only'!U:U,'Fuel and Energy_rail only'!C:C,C55)</f>
        <v>0</v>
      </c>
      <c r="R55">
        <f>SUMIFS('Fuel and Energy_rail only'!Y:Y,'Fuel and Energy_rail only'!C:C,C55)</f>
        <v>3318000</v>
      </c>
      <c r="S55">
        <f t="shared" si="5"/>
        <v>198429490600</v>
      </c>
      <c r="T55">
        <f t="shared" si="6"/>
        <v>11321480520</v>
      </c>
      <c r="U55" s="97">
        <f t="shared" si="7"/>
        <v>2.068294437953429E-4</v>
      </c>
      <c r="V55" s="97">
        <f t="shared" si="7"/>
        <v>5.3229121156151389E-3</v>
      </c>
      <c r="Y55">
        <v>129</v>
      </c>
    </row>
    <row r="56" spans="2:25">
      <c r="B56" s="94" t="s">
        <v>372</v>
      </c>
      <c r="C56" s="94" t="s">
        <v>443</v>
      </c>
      <c r="D56" t="s">
        <v>665</v>
      </c>
      <c r="E56">
        <f>SUMIFS('Annual Service Data_rail only'!N:N,'Annual Service Data_rail only'!C:C,C56)</f>
        <v>40</v>
      </c>
      <c r="F56" s="91">
        <f>SUMIFS('Annual Service Data_rail only'!X:X,'Annual Service Data_rail only'!C:C,C56)</f>
        <v>5730374</v>
      </c>
      <c r="G56" s="91">
        <f>SUMIFS('Annual Service Data_rail only'!AT:AT,'Annual Service Data_rail only'!C:C,C56)</f>
        <v>81685247</v>
      </c>
      <c r="H56">
        <f>SUMIFS('Fuel and Energy_rail only'!AD:AD,'Fuel and Energy_rail only'!C:C,C56)</f>
        <v>335545</v>
      </c>
      <c r="I56">
        <f>SUMIFS('Fuel and Energy_rail only'!AN:AN,'Fuel and Energy_rail only'!C:C,C56)</f>
        <v>4232555</v>
      </c>
      <c r="J56" s="36">
        <f t="shared" si="4"/>
        <v>7.345395240909787E-2</v>
      </c>
      <c r="K56" s="36">
        <f t="shared" si="4"/>
        <v>0.92654604759090209</v>
      </c>
      <c r="L56" s="95">
        <f t="shared" si="8"/>
        <v>14.254784591721238</v>
      </c>
      <c r="M56" s="96">
        <f t="shared" si="9"/>
        <v>19294.188552188552</v>
      </c>
      <c r="N56" s="96">
        <f t="shared" si="10"/>
        <v>17.990769019750701</v>
      </c>
      <c r="O56" s="96">
        <f t="shared" si="11"/>
        <v>279.0092309802493</v>
      </c>
      <c r="P56">
        <f>SUMIFS('Fuel and Energy_rail only'!M:M,'Fuel and Energy_rail only'!C:C,C56)</f>
        <v>625305</v>
      </c>
      <c r="Q56">
        <f>SUMIFS('Fuel and Energy_rail only'!U:U,'Fuel and Energy_rail only'!C:C,C56)</f>
        <v>0</v>
      </c>
      <c r="R56">
        <f>SUMIFS('Fuel and Energy_rail only'!Y:Y,'Fuel and Energy_rail only'!C:C,C56)</f>
        <v>20355203</v>
      </c>
      <c r="S56">
        <f t="shared" si="5"/>
        <v>86729803500</v>
      </c>
      <c r="T56">
        <f t="shared" si="6"/>
        <v>69454802364.419998</v>
      </c>
      <c r="U56" s="97">
        <f t="shared" si="7"/>
        <v>5.7051693795779372E-5</v>
      </c>
      <c r="V56" s="97">
        <f t="shared" si="7"/>
        <v>1.1048503803253275E-3</v>
      </c>
      <c r="Y56">
        <v>297</v>
      </c>
    </row>
    <row r="57" spans="2:25">
      <c r="B57" s="94" t="s">
        <v>666</v>
      </c>
      <c r="C57" s="94" t="s">
        <v>667</v>
      </c>
      <c r="D57" t="s">
        <v>668</v>
      </c>
      <c r="E57">
        <f>SUMIFS('Annual Service Data_rail only'!N:N,'Annual Service Data_rail only'!C:C,C57)</f>
        <v>0</v>
      </c>
      <c r="F57" s="91">
        <f>SUMIFS('Annual Service Data_rail only'!X:X,'Annual Service Data_rail only'!C:C,C57)</f>
        <v>0</v>
      </c>
      <c r="G57" s="91">
        <f>SUMIFS('Annual Service Data_rail only'!AT:AT,'Annual Service Data_rail only'!C:C,C57)</f>
        <v>0</v>
      </c>
      <c r="H57">
        <f>SUMIFS('Fuel and Energy_rail only'!AD:AD,'Fuel and Energy_rail only'!C:C,C57)</f>
        <v>0</v>
      </c>
      <c r="I57">
        <f>SUMIFS('Fuel and Energy_rail only'!AN:AN,'Fuel and Energy_rail only'!C:C,C57)</f>
        <v>0</v>
      </c>
      <c r="J57" s="36">
        <f t="shared" si="4"/>
        <v>0</v>
      </c>
      <c r="K57" s="36">
        <f t="shared" si="4"/>
        <v>0</v>
      </c>
      <c r="L57" s="95">
        <f t="shared" si="8"/>
        <v>0</v>
      </c>
      <c r="M57" s="96">
        <f t="shared" si="9"/>
        <v>0</v>
      </c>
      <c r="N57" s="96">
        <f t="shared" si="10"/>
        <v>0</v>
      </c>
      <c r="O57" s="96">
        <f t="shared" si="11"/>
        <v>69</v>
      </c>
      <c r="P57">
        <f>SUMIFS('Fuel and Energy_rail only'!M:M,'Fuel and Energy_rail only'!C:C,C57)</f>
        <v>0</v>
      </c>
      <c r="Q57">
        <f>SUMIFS('Fuel and Energy_rail only'!U:U,'Fuel and Energy_rail only'!C:C,C57)</f>
        <v>0</v>
      </c>
      <c r="R57">
        <f>SUMIFS('Fuel and Energy_rail only'!Y:Y,'Fuel and Energy_rail only'!C:C,C57)</f>
        <v>0</v>
      </c>
      <c r="S57">
        <f t="shared" si="5"/>
        <v>0</v>
      </c>
      <c r="T57">
        <f t="shared" si="6"/>
        <v>0</v>
      </c>
      <c r="U57" s="97">
        <f t="shared" si="7"/>
        <v>0</v>
      </c>
      <c r="V57" s="97">
        <f t="shared" si="7"/>
        <v>0</v>
      </c>
      <c r="Y57">
        <v>69</v>
      </c>
    </row>
    <row r="58" spans="2:25">
      <c r="B58" s="94" t="s">
        <v>669</v>
      </c>
      <c r="C58" s="94" t="s">
        <v>670</v>
      </c>
      <c r="D58" t="s">
        <v>671</v>
      </c>
      <c r="E58">
        <f>SUMIFS('Annual Service Data_rail only'!N:N,'Annual Service Data_rail only'!C:C,C58)</f>
        <v>0</v>
      </c>
      <c r="F58" s="91">
        <f>SUMIFS('Annual Service Data_rail only'!X:X,'Annual Service Data_rail only'!C:C,C58)</f>
        <v>0</v>
      </c>
      <c r="G58" s="91">
        <f>SUMIFS('Annual Service Data_rail only'!AT:AT,'Annual Service Data_rail only'!C:C,C58)</f>
        <v>0</v>
      </c>
      <c r="H58">
        <f>SUMIFS('Fuel and Energy_rail only'!AD:AD,'Fuel and Energy_rail only'!C:C,C58)</f>
        <v>0</v>
      </c>
      <c r="I58">
        <f>SUMIFS('Fuel and Energy_rail only'!AN:AN,'Fuel and Energy_rail only'!C:C,C58)</f>
        <v>0</v>
      </c>
      <c r="J58" s="36">
        <f t="shared" si="4"/>
        <v>0</v>
      </c>
      <c r="K58" s="36">
        <f t="shared" si="4"/>
        <v>0</v>
      </c>
      <c r="L58" s="95">
        <f t="shared" si="8"/>
        <v>0</v>
      </c>
      <c r="M58" s="96">
        <f t="shared" si="9"/>
        <v>0</v>
      </c>
      <c r="N58" s="96">
        <f t="shared" si="10"/>
        <v>0</v>
      </c>
      <c r="O58" s="96">
        <f t="shared" si="11"/>
        <v>5</v>
      </c>
      <c r="P58">
        <f>SUMIFS('Fuel and Energy_rail only'!M:M,'Fuel and Energy_rail only'!C:C,C58)</f>
        <v>0</v>
      </c>
      <c r="Q58">
        <f>SUMIFS('Fuel and Energy_rail only'!U:U,'Fuel and Energy_rail only'!C:C,C58)</f>
        <v>0</v>
      </c>
      <c r="R58">
        <f>SUMIFS('Fuel and Energy_rail only'!Y:Y,'Fuel and Energy_rail only'!C:C,C58)</f>
        <v>0</v>
      </c>
      <c r="S58">
        <f t="shared" si="5"/>
        <v>0</v>
      </c>
      <c r="T58">
        <f t="shared" si="6"/>
        <v>0</v>
      </c>
      <c r="U58" s="97">
        <f t="shared" si="7"/>
        <v>0</v>
      </c>
      <c r="V58" s="97">
        <f t="shared" si="7"/>
        <v>0</v>
      </c>
      <c r="Y58">
        <v>5</v>
      </c>
    </row>
    <row r="59" spans="2:25">
      <c r="B59" s="94" t="s">
        <v>672</v>
      </c>
      <c r="C59" s="94" t="s">
        <v>673</v>
      </c>
      <c r="D59" t="s">
        <v>674</v>
      </c>
      <c r="E59">
        <f>SUMIFS('Annual Service Data_rail only'!N:N,'Annual Service Data_rail only'!C:C,C59)</f>
        <v>0</v>
      </c>
      <c r="F59" s="91">
        <f>SUMIFS('Annual Service Data_rail only'!X:X,'Annual Service Data_rail only'!C:C,C59)</f>
        <v>0</v>
      </c>
      <c r="G59" s="91">
        <f>SUMIFS('Annual Service Data_rail only'!AT:AT,'Annual Service Data_rail only'!C:C,C59)</f>
        <v>0</v>
      </c>
      <c r="H59">
        <f>SUMIFS('Fuel and Energy_rail only'!AD:AD,'Fuel and Energy_rail only'!C:C,C59)</f>
        <v>0</v>
      </c>
      <c r="I59">
        <f>SUMIFS('Fuel and Energy_rail only'!AN:AN,'Fuel and Energy_rail only'!C:C,C59)</f>
        <v>0</v>
      </c>
      <c r="J59" s="36">
        <f t="shared" si="4"/>
        <v>0</v>
      </c>
      <c r="K59" s="36">
        <f t="shared" si="4"/>
        <v>0</v>
      </c>
      <c r="L59" s="95">
        <f t="shared" si="8"/>
        <v>0</v>
      </c>
      <c r="M59" s="96">
        <f t="shared" si="9"/>
        <v>0</v>
      </c>
      <c r="N59" s="96">
        <f t="shared" si="10"/>
        <v>0</v>
      </c>
      <c r="O59" s="96">
        <f t="shared" si="11"/>
        <v>0</v>
      </c>
      <c r="P59">
        <f>SUMIFS('Fuel and Energy_rail only'!M:M,'Fuel and Energy_rail only'!C:C,C59)</f>
        <v>0</v>
      </c>
      <c r="Q59">
        <f>SUMIFS('Fuel and Energy_rail only'!U:U,'Fuel and Energy_rail only'!C:C,C59)</f>
        <v>0</v>
      </c>
      <c r="R59">
        <f>SUMIFS('Fuel and Energy_rail only'!Y:Y,'Fuel and Energy_rail only'!C:C,C59)</f>
        <v>0</v>
      </c>
      <c r="S59">
        <f t="shared" si="5"/>
        <v>0</v>
      </c>
      <c r="T59">
        <f t="shared" si="6"/>
        <v>0</v>
      </c>
      <c r="U59" s="97">
        <f t="shared" si="7"/>
        <v>0</v>
      </c>
      <c r="V59" s="97">
        <f t="shared" si="7"/>
        <v>0</v>
      </c>
      <c r="Y59">
        <v>0</v>
      </c>
    </row>
    <row r="61" spans="2:25" s="1" customFormat="1">
      <c r="E61" s="1" t="str">
        <f>E8</f>
        <v>Max Trains in Operation</v>
      </c>
      <c r="F61" s="1" t="str">
        <f t="shared" ref="F61:V61" si="12">F8</f>
        <v>Vehicle Miles</v>
      </c>
      <c r="G61" s="1" t="str">
        <f t="shared" si="12"/>
        <v>Passenger Miles</v>
      </c>
      <c r="L61" s="1" t="str">
        <f t="shared" si="12"/>
        <v>calc AVLO</v>
      </c>
      <c r="M61" s="1" t="str">
        <f t="shared" si="12"/>
        <v>calc BAADTVBT (car-miles per vehicle)</v>
      </c>
      <c r="N61" s="1" t="str">
        <f t="shared" si="12"/>
        <v>SYVBT-diesel (vehicles)</v>
      </c>
      <c r="O61" s="1" t="str">
        <f t="shared" si="12"/>
        <v>SYVBT-electric (vehicles)</v>
      </c>
      <c r="S61" s="1" t="str">
        <f t="shared" si="12"/>
        <v>diesel (btus)</v>
      </c>
      <c r="T61" s="1" t="str">
        <f t="shared" si="12"/>
        <v>electric (btu)</v>
      </c>
      <c r="U61" s="1" t="str">
        <f t="shared" si="12"/>
        <v>calc SYFAFE-diesel</v>
      </c>
      <c r="V61" s="1" t="str">
        <f t="shared" si="12"/>
        <v>calc SYFAFE-electric</v>
      </c>
      <c r="Y61" s="1" t="str">
        <f>Y8</f>
        <v>NTD rail revenue vehicles 2024 (age-distribution file; HR, LR, CR cars and locomotives, AGV, monorail, cable, inclined)</v>
      </c>
    </row>
    <row r="62" spans="2:25">
      <c r="D62" s="2" t="s">
        <v>675</v>
      </c>
      <c r="E62" s="2">
        <f>SUM(E9:E59)</f>
        <v>2740</v>
      </c>
      <c r="F62" s="2">
        <f t="shared" ref="F62:G62" si="13">SUM(F9:F59)</f>
        <v>1083860350</v>
      </c>
      <c r="G62" s="2">
        <f t="shared" si="13"/>
        <v>16634915700</v>
      </c>
      <c r="H62" s="2"/>
      <c r="I62" s="2"/>
      <c r="J62" s="2"/>
      <c r="K62" s="2"/>
      <c r="L62" s="98">
        <f>IFERROR(G62/F62,0)</f>
        <v>15.34784042981183</v>
      </c>
      <c r="M62" s="99">
        <f>IFERROR(F62/Y62,0)</f>
        <v>45945.754557015687</v>
      </c>
      <c r="N62" s="99">
        <f>SUM(N9:N59)</f>
        <v>1492.8334339959015</v>
      </c>
      <c r="O62" s="99">
        <f>SUM(O9:O59)</f>
        <v>22097.166566004093</v>
      </c>
      <c r="P62" s="100"/>
      <c r="Q62" s="100"/>
      <c r="R62" s="100"/>
      <c r="S62" s="2">
        <f>SUM(S9:S59)</f>
        <v>14672704890200</v>
      </c>
      <c r="T62" s="2">
        <f>SUM(T9:T59)</f>
        <v>20563855531548.477</v>
      </c>
      <c r="U62" s="101">
        <f>IFERROR(($L62*$M62*N62)/S62,0)</f>
        <v>7.1745362435245022E-5</v>
      </c>
      <c r="V62" s="101">
        <f>IFERROR(($L62*$M62*O62)/T62,0)</f>
        <v>7.577478428518143E-4</v>
      </c>
      <c r="W62" s="102"/>
      <c r="X62" s="102"/>
      <c r="Y62">
        <f>SUM(Y9:Y59)</f>
        <v>23590</v>
      </c>
    </row>
    <row r="64" spans="2:25">
      <c r="D64" t="s">
        <v>676</v>
      </c>
      <c r="E64" s="36">
        <f>Y62/SUM(N62:O62)</f>
        <v>1.0000000000000002</v>
      </c>
      <c r="G64" s="36">
        <f>L62*M62*SUM(N62:O62)/G62</f>
        <v>0.99999999999999989</v>
      </c>
      <c r="K64" s="103"/>
      <c r="S64" s="36">
        <f>($L62*$M62*N62/U62)/S62</f>
        <v>1</v>
      </c>
      <c r="T64" s="36">
        <f>($L62*$M62*O62/V62)/T62</f>
        <v>1</v>
      </c>
      <c r="X64" t="s">
        <v>3901</v>
      </c>
      <c r="Y64">
        <f>SUMPRODUCT(E9:E59,J9:J59)/E62</f>
        <v>6.3282468588211196E-2</v>
      </c>
    </row>
    <row r="65" spans="1:25">
      <c r="X65" t="s">
        <v>3902</v>
      </c>
      <c r="Y65">
        <f>Y64*Y62/SUMPRODUCT(Y9:Y59,J9:J59)</f>
        <v>0.82466603739865973</v>
      </c>
    </row>
    <row r="66" spans="1:25">
      <c r="A66" t="s">
        <v>3952</v>
      </c>
    </row>
    <row r="67" spans="1:25">
      <c r="A67" t="s">
        <v>3953</v>
      </c>
    </row>
  </sheetData>
  <conditionalFormatting sqref="C93:C1048576 C4:C63">
    <cfRule type="duplicateValues" dxfId="0"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9E9E8-C744-427F-BC19-EAE316189CFD}">
  <dimension ref="A1:S37"/>
  <sheetViews>
    <sheetView topLeftCell="A5" workbookViewId="0">
      <selection activeCell="L26" sqref="L26"/>
    </sheetView>
  </sheetViews>
  <sheetFormatPr defaultRowHeight="15"/>
  <cols>
    <col min="2" max="2" width="9.140625" customWidth="1"/>
    <col min="3" max="9" width="10.140625" style="128" customWidth="1"/>
  </cols>
  <sheetData>
    <row r="1" spans="1:9" s="142" customFormat="1">
      <c r="A1" s="144" t="s">
        <v>3878</v>
      </c>
      <c r="C1" s="145"/>
      <c r="D1" s="145"/>
      <c r="E1" s="145"/>
      <c r="F1" s="145"/>
      <c r="G1" s="145"/>
      <c r="H1" s="145"/>
      <c r="I1" s="145"/>
    </row>
    <row r="2" spans="1:9" s="142" customFormat="1">
      <c r="A2" s="147" t="s">
        <v>3881</v>
      </c>
      <c r="C2" s="145"/>
      <c r="D2" s="145"/>
      <c r="E2" s="145"/>
      <c r="F2" s="145"/>
      <c r="G2" s="145"/>
      <c r="H2" s="145"/>
      <c r="I2" s="145"/>
    </row>
    <row r="3" spans="1:9">
      <c r="B3" s="1" t="s">
        <v>3877</v>
      </c>
    </row>
    <row r="4" spans="1:9" ht="45">
      <c r="B4" s="17" t="s">
        <v>136</v>
      </c>
      <c r="C4" s="129" t="s">
        <v>8</v>
      </c>
      <c r="D4" s="129" t="s">
        <v>9</v>
      </c>
      <c r="E4" s="129" t="s">
        <v>10</v>
      </c>
      <c r="F4" s="129" t="s">
        <v>11</v>
      </c>
      <c r="G4" s="129" t="s">
        <v>12</v>
      </c>
      <c r="H4" s="129" t="s">
        <v>112</v>
      </c>
      <c r="I4" s="129" t="s">
        <v>113</v>
      </c>
    </row>
    <row r="5" spans="1:9">
      <c r="B5" s="1" t="s">
        <v>2</v>
      </c>
      <c r="C5" s="132">
        <f>SUM('AEO 2026 Table 45'!E44*1000,'AEO 2026 Table 49'!E159*10^6,'AEO 2026 Table 49'!E173*10^6)</f>
        <v>140755.10499999998</v>
      </c>
      <c r="D5" s="130">
        <f>SUM('AEO 2026 Table 49'!E157*10^6,'AEO 2026 Table 49'!E171*10^6,'AEO 2026 Table 45'!E42*1000)</f>
        <v>25716.592000000001</v>
      </c>
      <c r="E5" s="130">
        <f>SUM('AEO 2026 Table 49'!E155*10^6,'AEO 2026 Table 49'!E164*10^6,'AEO 2026 Table 49'!E178*10^6,'AEO 2026 Table 49'!E169*10^6,'AEO 2026 Table 45'!E39*1000,'AEO 2026 Table 49'!E158*10^6,'AEO 2026 Table 49'!E172*10^6,'AEO 2026 Table 45'!E43*1000,'AEO 2026 Table 45'!E49*1000)</f>
        <v>13062256.952000001</v>
      </c>
      <c r="F5" s="130">
        <f>SUM('AEO 2026 Table 49'!E154*10^6,'AEO 2026 Table 49'!E168*10^6,'AEO 2026 Table 45'!E40*1000)</f>
        <v>11163947.026999999</v>
      </c>
      <c r="G5" s="130" cm="1">
        <f t="array" ref="G5">SUM('AEO 2026 Table 49'!E160:E161,'AEO 2026 Table 49'!E174:E175*10^6,'AEO 2026 Table 45'!E45:E46)</f>
        <v>501.99999999999994</v>
      </c>
      <c r="H5" s="130">
        <f>SUM('AEO 2026 Table 49'!E156*10^6,'AEO 2026 Table 49'!E170*10^6,'AEO 2026 Table 45'!E41*1000)</f>
        <v>2277.39</v>
      </c>
      <c r="I5" s="130">
        <v>0</v>
      </c>
    </row>
    <row r="6" spans="1:9">
      <c r="C6" s="146"/>
      <c r="D6" s="146"/>
      <c r="E6" s="146"/>
      <c r="F6" s="146"/>
      <c r="G6" s="146"/>
      <c r="H6" s="146"/>
      <c r="I6" s="146"/>
    </row>
    <row r="7" spans="1:9">
      <c r="A7" s="1" t="s">
        <v>3879</v>
      </c>
      <c r="B7" s="148">
        <v>1.0178079184094588</v>
      </c>
    </row>
    <row r="8" spans="1:9">
      <c r="A8" s="1"/>
      <c r="B8" s="148"/>
    </row>
    <row r="9" spans="1:9" ht="45">
      <c r="B9" s="17" t="s">
        <v>136</v>
      </c>
      <c r="C9" s="129" t="s">
        <v>8</v>
      </c>
      <c r="D9" s="129" t="s">
        <v>9</v>
      </c>
      <c r="E9" s="129" t="s">
        <v>10</v>
      </c>
      <c r="F9" s="129" t="s">
        <v>11</v>
      </c>
      <c r="G9" s="129" t="s">
        <v>12</v>
      </c>
      <c r="H9" s="129" t="s">
        <v>112</v>
      </c>
      <c r="I9" s="129" t="s">
        <v>113</v>
      </c>
    </row>
    <row r="10" spans="1:9">
      <c r="B10" s="1" t="s">
        <v>2</v>
      </c>
      <c r="C10" s="132">
        <f>ROUND(C5/$B$7,0)</f>
        <v>138292</v>
      </c>
      <c r="D10" s="132">
        <f t="shared" ref="D10:I10" si="0">ROUND(D5/$B$7,0)</f>
        <v>25267</v>
      </c>
      <c r="E10" s="132">
        <f t="shared" si="0"/>
        <v>12833715</v>
      </c>
      <c r="F10" s="132">
        <f t="shared" si="0"/>
        <v>10968619</v>
      </c>
      <c r="G10" s="132">
        <f t="shared" si="0"/>
        <v>493</v>
      </c>
      <c r="H10" s="132">
        <f t="shared" si="0"/>
        <v>2238</v>
      </c>
      <c r="I10" s="132">
        <f t="shared" si="0"/>
        <v>0</v>
      </c>
    </row>
    <row r="12" spans="1:9" s="142" customFormat="1">
      <c r="A12" s="144" t="s">
        <v>3880</v>
      </c>
      <c r="C12" s="145"/>
      <c r="D12" s="145"/>
      <c r="E12" s="145"/>
      <c r="F12" s="145"/>
      <c r="G12" s="145"/>
      <c r="H12" s="145"/>
      <c r="I12" s="145"/>
    </row>
    <row r="13" spans="1:9">
      <c r="B13" s="1" t="s">
        <v>1162</v>
      </c>
    </row>
    <row r="14" spans="1:9" ht="45">
      <c r="B14" s="17" t="s">
        <v>136</v>
      </c>
      <c r="C14" s="129" t="s">
        <v>8</v>
      </c>
      <c r="D14" s="129" t="s">
        <v>9</v>
      </c>
      <c r="E14" s="129" t="s">
        <v>10</v>
      </c>
      <c r="F14" s="129" t="s">
        <v>11</v>
      </c>
      <c r="G14" s="129" t="s">
        <v>12</v>
      </c>
      <c r="H14" s="129" t="s">
        <v>112</v>
      </c>
      <c r="I14" s="129" t="s">
        <v>113</v>
      </c>
    </row>
    <row r="15" spans="1:9">
      <c r="B15" s="1" t="s">
        <v>2</v>
      </c>
      <c r="C15" s="132">
        <f>(SUM(INDEX('AEO 2025 39'!$22:$24,0,MATCH(About!$B$98,'AEO 2025 39'!$1:$1,0)))+SUM(INDEX('AEO 2025 39'!$44:$46,0,MATCH(About!$B$98,'AEO 2025 39'!$1:$1,0))))*1000000</f>
        <v>4769953</v>
      </c>
      <c r="D15" s="130">
        <f>(SUM(INDEX('AEO 2025 39'!$29:$30,0,MATCH(About!$B$98,'AEO 2025 39'!$1:$1,0)))+SUM(INDEX('AEO 2025 39'!$51:$52,0,MATCH(About!$B$98,'AEO 2025 39'!$1:$1,0))))*1000000</f>
        <v>14506</v>
      </c>
      <c r="E15" s="130">
        <f>SUM(INDEX('AEO 2025 39'!$17:$17,MATCH(About!$B$98,'AEO 2025 39'!$1:$1,0)),INDEX('AEO 2025 39'!$21:$21,MATCH(About!$B$98,'AEO 2025 39'!$1:$1,0)),INDEX('AEO 2025 39'!$28:$28,MATCH(About!$B$98,'AEO 2025 39'!$1:$1,0)),INDEX('AEO 2025 39'!$39:$39,MATCH(About!$B$98,'AEO 2025 39'!$1:$1,0)),INDEX('AEO 2025 39'!$50:$50,MATCH(About!$B$98,'AEO 2025 39'!$1:$1,0)),INDEX('AEO 2025 39'!$43:$43,MATCH(About!$B$98,'AEO 2025 39'!$1:$1,0)))*1000000</f>
        <v>257649822.99999997</v>
      </c>
      <c r="F15" s="130">
        <f>(INDEX('AEO 2025 39'!$18:$18,MATCH(About!$B$98,'AEO 2025 39'!$1:$1,0))+INDEX('AEO 2025 39'!$40:$40,MATCH(About!$B$98,'AEO 2025 39'!$1:$1,0)))*1000000</f>
        <v>1553093</v>
      </c>
      <c r="G15" s="130">
        <f>(SUM(INDEX('AEO 2025 39'!$25:$26,0,MATCH(About!$B$98,'AEO 2025 39'!$1:$1,0)))+SUM(INDEX('AEO 2025 39'!$47:$48,0,MATCH(About!$B$98,'AEO 2025 39'!$1:$1,0))))*1000000</f>
        <v>1417825</v>
      </c>
      <c r="H15" s="130">
        <f>(SUM(INDEX('AEO 2025 39'!$31:$32,0,MATCH(About!$B$98,'AEO 2025 39'!$1:$1,0)))+SUM(INDEX('AEO 2025 39'!$53:$54,0,MATCH(About!$B$98,'AEO 2025 39'!$1:$1,0))))*1000000</f>
        <v>13524.999999999998</v>
      </c>
      <c r="I15" s="130">
        <f>(SUM(INDEX('AEO 2025 39'!$34:$34,0,MATCH(About!$B$98,'AEO 2025 39'!$1:$1,0)))+SUM(INDEX('AEO 2025 39'!$56:$56,0,MATCH(About!$B$98,'AEO 2025 39'!$1:$1,0))))*1000000</f>
        <v>17094</v>
      </c>
    </row>
    <row r="16" spans="1:9">
      <c r="B16" s="1" t="s">
        <v>3</v>
      </c>
      <c r="C16" s="130">
        <f>SUM(INDEX('AEO 2025 36'!$59:$59,MATCH(About!$B$98,'AEO 2025 36'!$1:$1,0)),INDEX('AEO 2025 36'!$67:$67,MATCH(About!$B$98,'AEO 2025 36'!$1:$1,0)),INDEX('AEO 2025 36'!$75:$75,MATCH(About!$B$98,'AEO 2025 36'!$1:$1,0)))/INDEX('AEO 2025 36'!$61:$61,MATCH(About!$B$98,'AEO 2025 36'!$1:$1,0))*$C$35</f>
        <v>2445.4348436158307</v>
      </c>
      <c r="D16" s="130">
        <f>SUM(INDEX('AEO 2025 36'!$66:$66,MATCH(About!$B$98,'AEO 2025 36'!$1:$1,0)),INDEX('AEO 2025 36'!$74:$74,MATCH(About!$B$98,'AEO 2025 36'!$1:$1,0)),INDEX('AEO 2025 36'!$82:$82,MATCH(About!$B$98,'AEO 2025 36'!$1:$1,0)))/INDEX('AEO 2025 36'!$61:$61,MATCH(About!$B$98,'AEO 2025 36'!$1:$1,0))*$C$35</f>
        <v>67549.365046280582</v>
      </c>
      <c r="E16" s="130">
        <f>SUM(INDEX('AEO 2025 36'!$63:$63,MATCH(About!$B$98,'AEO 2025 36'!$1:$1,0)),INDEX('AEO 2025 36'!$71:$71,MATCH(About!$B$98,'AEO 2025 36'!$1:$1,0)),INDEX('AEO 2025 36'!$79:$79,MATCH(About!$B$98,'AEO 2025 36'!$1:$1,0)))/INDEX('AEO 2025 36'!$61:$61,MATCH(About!$B$98,'AEO 2025 36'!$1:$1,0))*$C$35</f>
        <v>53160.5790262808</v>
      </c>
      <c r="F16" s="130">
        <f>SUM(INDEX('AEO 2025 36'!$65:$65,MATCH(About!$B$98,'AEO 2025 36'!$1:$1,0)),INDEX('AEO 2025 36'!$73:$73,MATCH(About!$B$98,'AEO 2025 36'!$1:$1,0)),INDEX('AEO 2025 36'!$81:$81,MATCH(About!$B$98,'AEO 2025 36'!$1:$1,0)))/INDEX('AEO 2025 36'!$61:$61,MATCH(About!$B$98,'AEO 2025 36'!$1:$1,0))*$C$35</f>
        <v>422350.27077812608</v>
      </c>
      <c r="G16" s="130">
        <v>0</v>
      </c>
      <c r="H16" s="130">
        <f>SUM(INDEX('AEO 2025 36'!$67:$67,MATCH(About!$B$98,'AEO 2025 36'!$1:$1,0)),INDEX('AEO 2025 36'!$75:$75,MATCH(About!$B$98,'AEO 2025 36'!$1:$1,0)),INDEX('AEO 2025 36'!$83:$83,MATCH(About!$B$98,'AEO 2025 36'!$1:$1,0)))/INDEX('AEO 2025 36'!$61:$61,MATCH(About!$B$98,'AEO 2025 36'!$1:$1,0))*$C$35</f>
        <v>24745.621666213356</v>
      </c>
      <c r="I16" s="130">
        <f>SUM(INDEX('AEO 2025 36'!$69:$69,MATCH(About!$B$98,'AEO 2025 36'!$1:$1,0)),INDEX('AEO 2025 36'!$77:$77,MATCH(About!$B$98,'AEO 2025 36'!$1:$1,0)),INDEX('AEO 2025 36'!$85:$85,MATCH(About!$B$98,'AEO 2025 36'!$1:$1,0)))/INDEX('AEO 2025 36'!$61:$61,MATCH(About!$B$98,'AEO 2025 36'!$1:$1,0))*$C$35</f>
        <v>91.486093263458017</v>
      </c>
    </row>
    <row r="17" spans="2:19">
      <c r="B17" s="1" t="s">
        <v>4</v>
      </c>
      <c r="C17" s="130">
        <v>0</v>
      </c>
      <c r="D17" s="130">
        <v>0</v>
      </c>
      <c r="E17" s="130">
        <v>0</v>
      </c>
      <c r="F17" s="130">
        <f>'AEO 2026 Table 48'!E76</f>
        <v>6766.5634769999997</v>
      </c>
      <c r="G17" s="130">
        <v>0</v>
      </c>
      <c r="H17" s="130">
        <v>0</v>
      </c>
      <c r="I17" s="130">
        <v>0</v>
      </c>
    </row>
    <row r="18" spans="2:19">
      <c r="B18" s="1" t="s">
        <v>5</v>
      </c>
      <c r="C18" s="130">
        <f>'psgr rail calcs'!O62</f>
        <v>22097.166566004093</v>
      </c>
      <c r="D18" s="130">
        <v>0</v>
      </c>
      <c r="E18" s="130">
        <v>0</v>
      </c>
      <c r="F18" s="130">
        <f>'psgr rail calcs'!N62</f>
        <v>1492.8334339959015</v>
      </c>
      <c r="G18" s="130">
        <v>0</v>
      </c>
      <c r="H18" s="130">
        <v>0</v>
      </c>
      <c r="I18" s="130">
        <v>0</v>
      </c>
    </row>
    <row r="19" spans="2:19">
      <c r="B19" s="1" t="s">
        <v>6</v>
      </c>
      <c r="C19" s="130">
        <v>0</v>
      </c>
      <c r="D19" s="130">
        <v>0</v>
      </c>
      <c r="E19" s="130">
        <f>INDEX('NTS 1-11'!$32:$32,MATCH(About!$B$98,'NTS 1-11'!$2:$2,0))*Misc!A8</f>
        <v>9385963.469610706</v>
      </c>
      <c r="F19" s="130">
        <f>INDEX('NTS 1-11'!$32:$32,MATCH(About!$B$98,'NTS 1-11'!$2:$2,0))*Misc!A9</f>
        <v>2288109.5303892945</v>
      </c>
      <c r="G19" s="130">
        <v>0</v>
      </c>
      <c r="H19" s="130">
        <v>0</v>
      </c>
      <c r="I19" s="130">
        <v>0</v>
      </c>
      <c r="J19" t="s">
        <v>3954</v>
      </c>
    </row>
    <row r="20" spans="2:19">
      <c r="B20" s="1" t="s">
        <v>7</v>
      </c>
      <c r="C20" s="130">
        <v>0</v>
      </c>
      <c r="D20" s="130">
        <v>0</v>
      </c>
      <c r="E20" s="139">
        <f>'NTS 1-11'!AP8</f>
        <v>9261249</v>
      </c>
      <c r="F20" s="130">
        <v>0</v>
      </c>
      <c r="G20" s="130">
        <v>0</v>
      </c>
      <c r="H20" s="130">
        <v>0</v>
      </c>
      <c r="I20" s="130">
        <v>0</v>
      </c>
    </row>
    <row r="22" spans="2:19">
      <c r="B22" s="1" t="s">
        <v>1161</v>
      </c>
    </row>
    <row r="23" spans="2:19" ht="45">
      <c r="B23" s="17" t="s">
        <v>136</v>
      </c>
      <c r="C23" s="129" t="s">
        <v>8</v>
      </c>
      <c r="D23" s="129" t="s">
        <v>9</v>
      </c>
      <c r="E23" s="129" t="s">
        <v>10</v>
      </c>
      <c r="F23" s="129" t="s">
        <v>11</v>
      </c>
      <c r="G23" s="129" t="s">
        <v>12</v>
      </c>
      <c r="H23" s="129" t="s">
        <v>112</v>
      </c>
      <c r="I23" s="129" t="s">
        <v>113</v>
      </c>
    </row>
    <row r="24" spans="2:19">
      <c r="B24" s="1" t="s">
        <v>2</v>
      </c>
      <c r="C24" s="131">
        <f>C10</f>
        <v>138292</v>
      </c>
      <c r="D24" s="131">
        <f t="shared" ref="D24:I24" si="1">D10</f>
        <v>25267</v>
      </c>
      <c r="E24" s="131">
        <f t="shared" si="1"/>
        <v>12833715</v>
      </c>
      <c r="F24" s="131">
        <f t="shared" si="1"/>
        <v>10968619</v>
      </c>
      <c r="G24" s="131">
        <f t="shared" si="1"/>
        <v>493</v>
      </c>
      <c r="H24" s="131">
        <f t="shared" si="1"/>
        <v>2238</v>
      </c>
      <c r="I24" s="131">
        <f t="shared" si="1"/>
        <v>0</v>
      </c>
    </row>
    <row r="25" spans="2:19">
      <c r="B25" s="1" t="s">
        <v>3</v>
      </c>
      <c r="C25" s="131">
        <f>'AEO 2025 49'!F197*10^6</f>
        <v>2114</v>
      </c>
      <c r="D25" s="131">
        <f>'AEO 2025 49'!F195*10^6</f>
        <v>57392</v>
      </c>
      <c r="E25" s="131">
        <f>SUM('AEO 2025 49'!F193,'AEO 2025 49'!F196)*10^6</f>
        <v>38136</v>
      </c>
      <c r="F25" s="131">
        <f>'AEO 2025 49'!F192*10^6</f>
        <v>5453223</v>
      </c>
      <c r="G25" s="131">
        <v>0</v>
      </c>
      <c r="H25" s="131">
        <f>'AEO 2025 49'!F194*10^6</f>
        <v>3057</v>
      </c>
      <c r="I25" s="131">
        <v>0</v>
      </c>
    </row>
    <row r="26" spans="2:19">
      <c r="B26" s="1" t="s">
        <v>4</v>
      </c>
      <c r="C26" s="131">
        <v>0</v>
      </c>
      <c r="D26" s="131">
        <v>0</v>
      </c>
      <c r="E26" s="131">
        <v>0</v>
      </c>
      <c r="F26" s="131">
        <f>'AEO 2026 Table 48'!E214</f>
        <v>925.19018600000004</v>
      </c>
      <c r="G26" s="131">
        <v>0</v>
      </c>
      <c r="H26" s="131">
        <v>0</v>
      </c>
      <c r="I26" s="131">
        <v>0</v>
      </c>
    </row>
    <row r="27" spans="2:19">
      <c r="B27" s="1" t="s">
        <v>5</v>
      </c>
      <c r="C27" s="131">
        <v>0</v>
      </c>
      <c r="D27" s="131">
        <v>0</v>
      </c>
      <c r="E27" s="131">
        <v>0</v>
      </c>
      <c r="F27" s="131">
        <f>INDEX('NTS 1-11'!$23:$23,MATCH(About!$B$98,'NTS 1-11'!$2:$2,0))*(SUM(FRA!E2:E4)/FRA!E2)</f>
        <v>23549.621301775151</v>
      </c>
      <c r="G27" s="131">
        <v>0</v>
      </c>
      <c r="H27" s="131">
        <v>0</v>
      </c>
      <c r="I27" s="131">
        <v>0</v>
      </c>
    </row>
    <row r="28" spans="2:19">
      <c r="B28" s="1" t="s">
        <v>6</v>
      </c>
      <c r="C28" s="131">
        <v>0</v>
      </c>
      <c r="D28" s="131">
        <v>0</v>
      </c>
      <c r="E28" s="131">
        <v>0</v>
      </c>
      <c r="F28" s="131">
        <f>SUM(INDEX('NTS 1-11'!30:31,0,MATCH(About!$B$98,'NTS 1-11'!2:2,0)))*('AEO 2025 7'!F52/SUM(SUM('AEO 2025 7'!F51:F52)))</f>
        <v>164.36166958041957</v>
      </c>
      <c r="G28" s="131">
        <v>0</v>
      </c>
      <c r="H28" s="131">
        <v>0</v>
      </c>
      <c r="I28" s="131">
        <v>0</v>
      </c>
    </row>
    <row r="29" spans="2:19">
      <c r="B29" s="1" t="s">
        <v>7</v>
      </c>
      <c r="C29" s="131">
        <v>0</v>
      </c>
      <c r="D29" s="131">
        <v>0</v>
      </c>
      <c r="E29" s="131">
        <v>0</v>
      </c>
      <c r="F29" s="131">
        <v>0</v>
      </c>
      <c r="G29" s="131">
        <v>0</v>
      </c>
      <c r="H29" s="131">
        <v>0</v>
      </c>
      <c r="I29" s="131">
        <v>0</v>
      </c>
    </row>
    <row r="31" spans="2:19">
      <c r="B31" t="s">
        <v>3955</v>
      </c>
    </row>
    <row r="32" spans="2:19">
      <c r="B32" t="s">
        <v>3882</v>
      </c>
      <c r="C32" s="128">
        <v>424199</v>
      </c>
      <c r="M32" s="36"/>
      <c r="N32" s="36"/>
      <c r="O32" s="36"/>
      <c r="P32" s="36"/>
      <c r="Q32" s="36"/>
      <c r="R32" s="36"/>
      <c r="S32" s="36"/>
    </row>
    <row r="33" spans="2:19">
      <c r="B33" t="s">
        <v>3883</v>
      </c>
      <c r="C33" s="128">
        <v>103013</v>
      </c>
      <c r="M33" s="36"/>
      <c r="N33" s="36"/>
      <c r="O33" s="36"/>
      <c r="P33" s="36"/>
      <c r="Q33" s="36"/>
      <c r="R33" s="36"/>
      <c r="S33" s="36"/>
    </row>
    <row r="34" spans="2:19">
      <c r="B34" t="s">
        <v>3884</v>
      </c>
      <c r="C34" s="128">
        <v>49543</v>
      </c>
      <c r="H34"/>
      <c r="M34" s="36"/>
      <c r="N34" s="36"/>
      <c r="O34" s="36"/>
      <c r="P34" s="36"/>
      <c r="Q34" s="36"/>
      <c r="R34" s="36"/>
      <c r="S34" s="36"/>
    </row>
    <row r="35" spans="2:19">
      <c r="B35" t="s">
        <v>3885</v>
      </c>
      <c r="C35" s="128">
        <f>SUM(C32:C34)</f>
        <v>576755</v>
      </c>
      <c r="M35" s="36"/>
      <c r="N35" s="36"/>
      <c r="O35" s="36"/>
      <c r="P35" s="36"/>
      <c r="Q35" s="36"/>
      <c r="R35" s="36"/>
      <c r="S35" s="36"/>
    </row>
    <row r="36" spans="2:19">
      <c r="B36" t="s">
        <v>3886</v>
      </c>
      <c r="C36" s="128">
        <f>INDEX('NTS 1-11'!$12:$12,MATCH(About!$B$98,'NTS 1-11'!$2:$2,0))</f>
        <v>1096335</v>
      </c>
      <c r="M36" s="36"/>
      <c r="N36" s="36"/>
      <c r="O36" s="36"/>
      <c r="P36" s="36"/>
      <c r="Q36" s="36"/>
      <c r="R36" s="36"/>
      <c r="S36" s="36"/>
    </row>
    <row r="37" spans="2:19">
      <c r="M37" s="36"/>
      <c r="N37" s="36"/>
      <c r="O37" s="36"/>
      <c r="P37" s="36"/>
      <c r="Q37" s="36"/>
      <c r="R37" s="36"/>
      <c r="S37" s="3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J23"/>
  <sheetViews>
    <sheetView workbookViewId="0"/>
  </sheetViews>
  <sheetFormatPr defaultRowHeight="15"/>
  <cols>
    <col min="1" max="1" width="16.85546875" customWidth="1"/>
    <col min="2" max="8" width="13.5703125" customWidth="1"/>
    <col min="9" max="9" width="10" bestFit="1" customWidth="1"/>
    <col min="10" max="10" width="14.42578125" bestFit="1" customWidth="1"/>
  </cols>
  <sheetData>
    <row r="1" spans="1:10" ht="30">
      <c r="A1" s="17" t="s">
        <v>136</v>
      </c>
      <c r="B1" s="5" t="s">
        <v>8</v>
      </c>
      <c r="C1" s="5" t="s">
        <v>9</v>
      </c>
      <c r="D1" s="5" t="s">
        <v>10</v>
      </c>
      <c r="E1" s="5" t="s">
        <v>11</v>
      </c>
      <c r="F1" s="5" t="s">
        <v>12</v>
      </c>
      <c r="G1" s="5" t="s">
        <v>112</v>
      </c>
      <c r="H1" s="5" t="s">
        <v>113</v>
      </c>
    </row>
    <row r="2" spans="1:10">
      <c r="A2" s="1" t="s">
        <v>2</v>
      </c>
      <c r="B2" s="19">
        <f>ROUND(calcs!C15,0)</f>
        <v>4769953</v>
      </c>
      <c r="C2" s="19">
        <f>ROUND(calcs!D15,0)</f>
        <v>14506</v>
      </c>
      <c r="D2" s="19">
        <f>ROUND(calcs!E15,0)</f>
        <v>257649823</v>
      </c>
      <c r="E2" s="19">
        <f>ROUND(calcs!F15,0)</f>
        <v>1553093</v>
      </c>
      <c r="F2" s="19">
        <f>ROUND(calcs!G15,0)</f>
        <v>1417825</v>
      </c>
      <c r="G2" s="19">
        <f>ROUND(calcs!H15,0)</f>
        <v>13525</v>
      </c>
      <c r="H2" s="19">
        <f>ROUND(calcs!I15,0)</f>
        <v>17094</v>
      </c>
      <c r="J2" s="125"/>
    </row>
    <row r="3" spans="1:10">
      <c r="A3" s="1" t="s">
        <v>3</v>
      </c>
      <c r="B3" s="19">
        <f>ROUND(calcs!C16,0)</f>
        <v>2445</v>
      </c>
      <c r="C3" s="19">
        <f>ROUND(calcs!D16,0)</f>
        <v>67549</v>
      </c>
      <c r="D3" s="19">
        <f>ROUND(calcs!E16,0)</f>
        <v>53161</v>
      </c>
      <c r="E3" s="19">
        <f>ROUND(calcs!F16,0)</f>
        <v>422350</v>
      </c>
      <c r="F3" s="19">
        <f>ROUND(calcs!G16,0)</f>
        <v>0</v>
      </c>
      <c r="G3" s="19">
        <f>ROUND(calcs!H16,0)</f>
        <v>24746</v>
      </c>
      <c r="H3" s="19">
        <f>ROUND(calcs!I16,0)</f>
        <v>91</v>
      </c>
      <c r="J3" s="125"/>
    </row>
    <row r="4" spans="1:10">
      <c r="A4" s="1" t="s">
        <v>4</v>
      </c>
      <c r="B4" s="19">
        <f>ROUND(calcs!C17,0)</f>
        <v>0</v>
      </c>
      <c r="C4" s="19">
        <f>ROUND(calcs!D17,0)</f>
        <v>0</v>
      </c>
      <c r="D4" s="19">
        <f>ROUND(calcs!E17,0)</f>
        <v>0</v>
      </c>
      <c r="E4" s="19">
        <f>ROUND(calcs!F17,0)</f>
        <v>6767</v>
      </c>
      <c r="F4" s="19">
        <f>ROUND(calcs!G17,0)</f>
        <v>0</v>
      </c>
      <c r="G4" s="19">
        <f>ROUND(calcs!H17,0)</f>
        <v>0</v>
      </c>
      <c r="H4" s="19">
        <f>ROUND(calcs!I17,0)</f>
        <v>0</v>
      </c>
      <c r="J4" s="125"/>
    </row>
    <row r="5" spans="1:10">
      <c r="A5" s="1" t="s">
        <v>5</v>
      </c>
      <c r="B5" s="19">
        <f>ROUND(calcs!C18,0)</f>
        <v>22097</v>
      </c>
      <c r="C5" s="19">
        <f>ROUND(calcs!D18,0)</f>
        <v>0</v>
      </c>
      <c r="D5" s="19">
        <f>ROUND(calcs!E18,0)</f>
        <v>0</v>
      </c>
      <c r="E5" s="19">
        <f>ROUND(calcs!F18,0)</f>
        <v>1493</v>
      </c>
      <c r="F5" s="19">
        <f>ROUND(calcs!G18,0)</f>
        <v>0</v>
      </c>
      <c r="G5" s="19">
        <f>ROUND(calcs!H18,0)</f>
        <v>0</v>
      </c>
      <c r="H5" s="19">
        <f>ROUND(calcs!I18,0)</f>
        <v>0</v>
      </c>
      <c r="J5" s="125"/>
    </row>
    <row r="6" spans="1:10">
      <c r="A6" s="1" t="s">
        <v>6</v>
      </c>
      <c r="B6" s="19">
        <f>ROUND(calcs!C19,0)</f>
        <v>0</v>
      </c>
      <c r="C6" s="19">
        <f>ROUND(calcs!D19,0)</f>
        <v>0</v>
      </c>
      <c r="D6" s="19">
        <f>ROUND(calcs!E19,0)</f>
        <v>9385963</v>
      </c>
      <c r="E6" s="19">
        <f>ROUND(calcs!F19,0)</f>
        <v>2288110</v>
      </c>
      <c r="F6" s="19">
        <f>ROUND(calcs!G19,0)</f>
        <v>0</v>
      </c>
      <c r="G6" s="19">
        <f>ROUND(calcs!H19,0)</f>
        <v>0</v>
      </c>
      <c r="H6" s="19">
        <f>ROUND(calcs!I19,0)</f>
        <v>0</v>
      </c>
      <c r="J6" s="125"/>
    </row>
    <row r="7" spans="1:10">
      <c r="A7" s="1" t="s">
        <v>7</v>
      </c>
      <c r="B7" s="19">
        <f>ROUND(calcs!C20,0)</f>
        <v>0</v>
      </c>
      <c r="C7" s="19">
        <f>ROUND(calcs!D20,0)</f>
        <v>0</v>
      </c>
      <c r="D7" s="19">
        <f>ROUND(calcs!E20,0)</f>
        <v>9261249</v>
      </c>
      <c r="E7" s="19">
        <f>ROUND(calcs!F20,0)</f>
        <v>0</v>
      </c>
      <c r="F7" s="19">
        <f>ROUND(calcs!G20,0)</f>
        <v>0</v>
      </c>
      <c r="G7" s="19">
        <f>ROUND(calcs!H20,0)</f>
        <v>0</v>
      </c>
      <c r="H7" s="19">
        <f>ROUND(calcs!I20,0)</f>
        <v>0</v>
      </c>
      <c r="J7" s="125"/>
    </row>
    <row r="9" spans="1:10">
      <c r="A9" s="19"/>
      <c r="B9" s="19"/>
      <c r="C9" s="19"/>
      <c r="D9" s="19"/>
      <c r="E9" s="19"/>
      <c r="F9" s="19"/>
      <c r="G9" s="19"/>
      <c r="H9" s="19"/>
    </row>
    <row r="10" spans="1:10">
      <c r="A10" s="19"/>
      <c r="B10" s="19"/>
      <c r="C10" s="19"/>
      <c r="D10" s="19"/>
      <c r="E10" s="19"/>
      <c r="F10" s="19"/>
      <c r="G10" s="19"/>
      <c r="H10" s="19"/>
    </row>
    <row r="11" spans="1:10">
      <c r="A11" s="19"/>
      <c r="B11" s="19"/>
      <c r="C11" s="19"/>
      <c r="D11" s="19"/>
      <c r="E11" s="19"/>
      <c r="F11" s="19"/>
      <c r="G11" s="19"/>
      <c r="H11" s="19"/>
    </row>
    <row r="12" spans="1:10">
      <c r="A12" s="19"/>
      <c r="B12" s="19"/>
      <c r="C12" s="19"/>
      <c r="D12" s="19"/>
      <c r="E12" s="19"/>
      <c r="F12" s="19"/>
      <c r="G12" s="19"/>
      <c r="H12" s="19"/>
    </row>
    <row r="13" spans="1:10">
      <c r="A13" s="19"/>
      <c r="B13" s="19"/>
      <c r="C13" s="19"/>
      <c r="D13" s="19"/>
      <c r="E13" s="19"/>
      <c r="F13" s="19"/>
      <c r="G13" s="19"/>
      <c r="H13" s="19"/>
    </row>
    <row r="14" spans="1:10">
      <c r="A14" s="19"/>
      <c r="B14" s="19"/>
      <c r="C14" s="19"/>
      <c r="D14" s="19"/>
      <c r="E14" s="19"/>
      <c r="F14" s="19"/>
      <c r="G14" s="19"/>
      <c r="H14" s="19"/>
    </row>
    <row r="15" spans="1:10">
      <c r="A15" s="19"/>
      <c r="B15" s="19"/>
      <c r="C15" s="19"/>
      <c r="D15" s="19"/>
      <c r="E15" s="19"/>
      <c r="F15" s="19"/>
      <c r="G15" s="19"/>
      <c r="H15" s="19"/>
    </row>
    <row r="17" spans="1:8">
      <c r="A17" s="19"/>
      <c r="B17" s="19"/>
      <c r="C17" s="19"/>
      <c r="D17" s="19"/>
      <c r="E17" s="19"/>
      <c r="F17" s="19"/>
      <c r="G17" s="19"/>
      <c r="H17" s="19"/>
    </row>
    <row r="18" spans="1:8">
      <c r="A18" s="19"/>
      <c r="B18" s="125"/>
      <c r="C18" s="125"/>
      <c r="D18" s="125"/>
      <c r="E18" s="125"/>
      <c r="F18" s="125"/>
      <c r="G18" s="125"/>
      <c r="H18" s="125"/>
    </row>
    <row r="19" spans="1:8">
      <c r="A19" s="19"/>
      <c r="B19" s="125"/>
      <c r="C19" s="125"/>
      <c r="D19" s="125"/>
      <c r="E19" s="125"/>
      <c r="F19" s="125"/>
      <c r="G19" s="125"/>
      <c r="H19" s="125"/>
    </row>
    <row r="20" spans="1:8">
      <c r="A20" s="19"/>
      <c r="B20" s="125"/>
      <c r="C20" s="125"/>
      <c r="D20" s="125"/>
      <c r="E20" s="125"/>
      <c r="F20" s="125"/>
      <c r="G20" s="125"/>
      <c r="H20" s="125"/>
    </row>
    <row r="21" spans="1:8">
      <c r="A21" s="19"/>
      <c r="B21" s="125"/>
      <c r="C21" s="125"/>
      <c r="D21" s="125"/>
      <c r="E21" s="125"/>
      <c r="F21" s="125"/>
      <c r="G21" s="125"/>
      <c r="H21" s="125"/>
    </row>
    <row r="22" spans="1:8">
      <c r="A22" s="19"/>
      <c r="B22" s="125"/>
      <c r="C22" s="125"/>
      <c r="D22" s="125"/>
      <c r="E22" s="125"/>
      <c r="F22" s="125"/>
      <c r="G22" s="125"/>
      <c r="H22" s="125"/>
    </row>
    <row r="23" spans="1:8">
      <c r="A23" s="19"/>
      <c r="B23" s="125"/>
      <c r="C23" s="125"/>
      <c r="D23" s="125"/>
      <c r="E23" s="125"/>
      <c r="F23" s="125"/>
      <c r="G23" s="125"/>
      <c r="H23" s="125"/>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J23"/>
  <sheetViews>
    <sheetView workbookViewId="0"/>
  </sheetViews>
  <sheetFormatPr defaultRowHeight="15"/>
  <cols>
    <col min="1" max="1" width="16.85546875" customWidth="1"/>
    <col min="2" max="8" width="15.140625" customWidth="1"/>
    <col min="9" max="9" width="10" bestFit="1" customWidth="1"/>
    <col min="10" max="10" width="14.42578125" bestFit="1" customWidth="1"/>
  </cols>
  <sheetData>
    <row r="1" spans="1:10" ht="30">
      <c r="A1" s="17" t="s">
        <v>136</v>
      </c>
      <c r="B1" s="5" t="s">
        <v>8</v>
      </c>
      <c r="C1" s="5" t="s">
        <v>9</v>
      </c>
      <c r="D1" s="5" t="s">
        <v>10</v>
      </c>
      <c r="E1" s="5" t="s">
        <v>11</v>
      </c>
      <c r="F1" s="5" t="s">
        <v>12</v>
      </c>
      <c r="G1" s="5" t="s">
        <v>112</v>
      </c>
      <c r="H1" s="5" t="s">
        <v>113</v>
      </c>
    </row>
    <row r="2" spans="1:10">
      <c r="A2" s="1" t="s">
        <v>2</v>
      </c>
      <c r="B2" s="6">
        <f>ROUND(calcs!C24,0)</f>
        <v>138292</v>
      </c>
      <c r="C2" s="6">
        <f>ROUND(calcs!D24,0)</f>
        <v>25267</v>
      </c>
      <c r="D2" s="6">
        <f>ROUND(calcs!E24,0)</f>
        <v>12833715</v>
      </c>
      <c r="E2" s="6">
        <f>ROUND(calcs!F24,0)</f>
        <v>10968619</v>
      </c>
      <c r="F2" s="6">
        <f>ROUND(calcs!G24,0)</f>
        <v>493</v>
      </c>
      <c r="G2" s="6">
        <f>ROUND(calcs!H24,0)</f>
        <v>2238</v>
      </c>
      <c r="H2" s="6">
        <f>ROUND(calcs!I24,0)</f>
        <v>0</v>
      </c>
      <c r="J2" s="36"/>
    </row>
    <row r="3" spans="1:10">
      <c r="A3" s="1" t="s">
        <v>3</v>
      </c>
      <c r="B3" s="6">
        <f>ROUND(calcs!C25,0)</f>
        <v>2114</v>
      </c>
      <c r="C3" s="6">
        <f>ROUND(calcs!D25,0)</f>
        <v>57392</v>
      </c>
      <c r="D3" s="6">
        <f>ROUND(calcs!E25,0)</f>
        <v>38136</v>
      </c>
      <c r="E3" s="6">
        <f>ROUND(calcs!F25,0)</f>
        <v>5453223</v>
      </c>
      <c r="F3" s="6">
        <f>ROUND(calcs!G25,0)</f>
        <v>0</v>
      </c>
      <c r="G3" s="6">
        <f>ROUND(calcs!H25,0)</f>
        <v>3057</v>
      </c>
      <c r="H3" s="6">
        <f>ROUND(calcs!I25,0)</f>
        <v>0</v>
      </c>
      <c r="J3" s="36"/>
    </row>
    <row r="4" spans="1:10">
      <c r="A4" s="1" t="s">
        <v>4</v>
      </c>
      <c r="B4" s="6">
        <f>ROUND(calcs!C26,0)</f>
        <v>0</v>
      </c>
      <c r="C4" s="6">
        <f>ROUND(calcs!D26,0)</f>
        <v>0</v>
      </c>
      <c r="D4" s="6">
        <f>ROUND(calcs!E26,0)</f>
        <v>0</v>
      </c>
      <c r="E4" s="6">
        <f>ROUND(calcs!F26,0)</f>
        <v>925</v>
      </c>
      <c r="F4" s="6">
        <f>ROUND(calcs!G26,0)</f>
        <v>0</v>
      </c>
      <c r="G4" s="6">
        <f>ROUND(calcs!H26,0)</f>
        <v>0</v>
      </c>
      <c r="H4" s="6">
        <f>ROUND(calcs!I26,0)</f>
        <v>0</v>
      </c>
      <c r="J4" s="36"/>
    </row>
    <row r="5" spans="1:10">
      <c r="A5" s="1" t="s">
        <v>5</v>
      </c>
      <c r="B5" s="6">
        <f>ROUND(calcs!C27,0)</f>
        <v>0</v>
      </c>
      <c r="C5" s="6">
        <f>ROUND(calcs!D27,0)</f>
        <v>0</v>
      </c>
      <c r="D5" s="6">
        <f>ROUND(calcs!E27,0)</f>
        <v>0</v>
      </c>
      <c r="E5" s="6">
        <f>ROUND(calcs!F27,0)</f>
        <v>23550</v>
      </c>
      <c r="F5" s="6">
        <f>ROUND(calcs!G27,0)</f>
        <v>0</v>
      </c>
      <c r="G5" s="6">
        <f>ROUND(calcs!H27,0)</f>
        <v>0</v>
      </c>
      <c r="H5" s="6">
        <f>ROUND(calcs!I27,0)</f>
        <v>0</v>
      </c>
      <c r="J5" s="36"/>
    </row>
    <row r="6" spans="1:10">
      <c r="A6" s="1" t="s">
        <v>6</v>
      </c>
      <c r="B6" s="6">
        <f>ROUND(calcs!C28,0)</f>
        <v>0</v>
      </c>
      <c r="C6" s="6">
        <f>ROUND(calcs!D28,0)</f>
        <v>0</v>
      </c>
      <c r="D6" s="6">
        <f>ROUND(calcs!E28,0)</f>
        <v>0</v>
      </c>
      <c r="E6" s="6">
        <f>ROUND(calcs!F28,0)</f>
        <v>164</v>
      </c>
      <c r="F6" s="6">
        <f>ROUND(calcs!G28,0)</f>
        <v>0</v>
      </c>
      <c r="G6" s="6">
        <f>ROUND(calcs!H28,0)</f>
        <v>0</v>
      </c>
      <c r="H6" s="6">
        <f>ROUND(calcs!I28,0)</f>
        <v>0</v>
      </c>
      <c r="J6" s="36"/>
    </row>
    <row r="7" spans="1:10">
      <c r="A7" s="1" t="s">
        <v>7</v>
      </c>
      <c r="B7" s="6">
        <f>ROUND(calcs!C29,0)</f>
        <v>0</v>
      </c>
      <c r="C7" s="6">
        <f>ROUND(calcs!D29,0)</f>
        <v>0</v>
      </c>
      <c r="D7" s="6">
        <f>ROUND(calcs!E29,0)</f>
        <v>0</v>
      </c>
      <c r="E7" s="6">
        <f>ROUND(calcs!F29,0)</f>
        <v>0</v>
      </c>
      <c r="F7" s="6">
        <f>ROUND(calcs!G29,0)</f>
        <v>0</v>
      </c>
      <c r="G7" s="6">
        <f>ROUND(calcs!H29,0)</f>
        <v>0</v>
      </c>
      <c r="H7" s="6">
        <f>ROUND(calcs!I29,0)</f>
        <v>0</v>
      </c>
      <c r="J7" s="36"/>
    </row>
    <row r="18" spans="2:8">
      <c r="B18" s="36"/>
      <c r="C18" s="36"/>
      <c r="D18" s="36"/>
      <c r="E18" s="36"/>
      <c r="F18" s="36"/>
      <c r="G18" s="36"/>
      <c r="H18" s="36"/>
    </row>
    <row r="19" spans="2:8">
      <c r="B19" s="36"/>
      <c r="C19" s="36"/>
      <c r="D19" s="36"/>
      <c r="E19" s="36"/>
      <c r="F19" s="36"/>
      <c r="G19" s="36"/>
      <c r="H19" s="36"/>
    </row>
    <row r="20" spans="2:8">
      <c r="B20" s="36"/>
      <c r="C20" s="36"/>
      <c r="D20" s="36"/>
      <c r="E20" s="36"/>
      <c r="F20" s="36"/>
      <c r="G20" s="36"/>
      <c r="H20" s="36"/>
    </row>
    <row r="21" spans="2:8">
      <c r="B21" s="36"/>
      <c r="C21" s="36"/>
      <c r="D21" s="36"/>
      <c r="E21" s="36"/>
      <c r="F21" s="36"/>
      <c r="G21" s="36"/>
      <c r="H21" s="36"/>
    </row>
    <row r="22" spans="2:8">
      <c r="B22" s="36"/>
      <c r="C22" s="36"/>
      <c r="D22" s="36"/>
      <c r="E22" s="36"/>
      <c r="F22" s="36"/>
      <c r="G22" s="36"/>
      <c r="H22" s="36"/>
    </row>
    <row r="23" spans="2:8">
      <c r="B23" s="36"/>
      <c r="C23" s="36"/>
      <c r="D23" s="36"/>
      <c r="E23" s="36"/>
      <c r="F23" s="36"/>
      <c r="G23" s="36"/>
      <c r="H23" s="3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About</vt:lpstr>
      <vt:lpstr>source data&gt;</vt:lpstr>
      <vt:lpstr>AEO 2025 48</vt:lpstr>
      <vt:lpstr>AEO 2025 47</vt:lpstr>
      <vt:lpstr>AEO 2025 39</vt:lpstr>
      <vt:lpstr>AEO 2025 36</vt:lpstr>
      <vt:lpstr>AEO 2025 45</vt:lpstr>
      <vt:lpstr>AEO 2025 49</vt:lpstr>
      <vt:lpstr>AEO 2025 7</vt:lpstr>
      <vt:lpstr>AEO 2026 Table 48</vt:lpstr>
      <vt:lpstr>AEO 2026 Table 49</vt:lpstr>
      <vt:lpstr>AEO 2026 Table 45</vt:lpstr>
      <vt:lpstr>NTS 1-11</vt:lpstr>
      <vt:lpstr>NTS 1-32</vt:lpstr>
      <vt:lpstr>NRBS 40</vt:lpstr>
      <vt:lpstr>FRA</vt:lpstr>
      <vt:lpstr>Misc</vt:lpstr>
      <vt:lpstr>Annual Service Data_rail only</vt:lpstr>
      <vt:lpstr>Fuel and Energy_rail only</vt:lpstr>
      <vt:lpstr>calcs&gt;</vt:lpstr>
      <vt:lpstr>psgr rail calcs</vt:lpstr>
      <vt:lpstr>calcs</vt:lpstr>
      <vt:lpstr>SYVbT-passenger</vt:lpstr>
      <vt:lpstr>SYVbT-freight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Robbie Orvis</cp:lastModifiedBy>
  <dcterms:created xsi:type="dcterms:W3CDTF">2017-06-22T21:46:10Z</dcterms:created>
  <dcterms:modified xsi:type="dcterms:W3CDTF">2026-10-14T17:01:27Z</dcterms:modified>
</cp:coreProperties>
</file>