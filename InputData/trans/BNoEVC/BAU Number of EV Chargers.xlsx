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Olivia Ashmoore\Documents\EPS_Models by Region\United States\us-eps\InputData\trans\BNoEVC\"/>
    </mc:Choice>
  </mc:AlternateContent>
  <xr:revisionPtr revIDLastSave="0" documentId="13_ncr:1_{9E9BD963-EEEA-4715-A375-AFAFA333D411}" xr6:coauthVersionLast="47" xr6:coauthVersionMax="47" xr10:uidLastSave="{00000000-0000-0000-0000-000000000000}"/>
  <bookViews>
    <workbookView xWindow="-90" yWindow="-90" windowWidth="19380" windowHeight="10260" activeTab="3" xr2:uid="{00000000-000D-0000-FFFF-FFFF00000000}"/>
  </bookViews>
  <sheets>
    <sheet name="About" sheetId="1" r:id="rId1"/>
    <sheet name="IIJA" sheetId="5" r:id="rId2"/>
    <sheet name="Inflation Reduction Act" sheetId="6" r:id="rId3"/>
    <sheet name="Calculations" sheetId="4" r:id="rId4"/>
    <sheet name="BNoEVC" sheetId="3" r:id="rId5"/>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9" i="4" l="1"/>
  <c r="G9" i="4"/>
  <c r="H9" i="4"/>
  <c r="E9" i="4"/>
  <c r="B10" i="5"/>
  <c r="B2" i="3"/>
  <c r="B6" i="5"/>
  <c r="D8" i="4" l="1"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C8" i="4" l="1"/>
  <c r="C11" i="4" s="1"/>
  <c r="B8" i="4"/>
  <c r="B11" i="4" s="1"/>
  <c r="D11" i="4"/>
  <c r="B5" i="5"/>
  <c r="E11" i="4" l="1"/>
  <c r="C2" i="3"/>
  <c r="F11" i="4" l="1"/>
  <c r="D2" i="3"/>
  <c r="G11" i="4" l="1"/>
  <c r="E2" i="3"/>
  <c r="H11" i="4" l="1"/>
  <c r="F2" i="3"/>
  <c r="I11" i="4" l="1"/>
  <c r="G2" i="3"/>
  <c r="J11" i="4" l="1"/>
  <c r="H2" i="3"/>
  <c r="K11" i="4" l="1"/>
  <c r="I2" i="3"/>
  <c r="L11" i="4" l="1"/>
  <c r="J2" i="3"/>
  <c r="M11" i="4" l="1"/>
  <c r="K2" i="3"/>
  <c r="N11" i="4" l="1"/>
  <c r="L2" i="3"/>
  <c r="O11" i="4" l="1"/>
  <c r="M2" i="3"/>
  <c r="P11" i="4" l="1"/>
  <c r="N2" i="3"/>
  <c r="Q11" i="4" l="1"/>
  <c r="O2" i="3"/>
  <c r="R11" i="4" l="1"/>
  <c r="P2" i="3"/>
  <c r="S11" i="4" l="1"/>
  <c r="Q2" i="3"/>
  <c r="T11" i="4" l="1"/>
  <c r="R2" i="3"/>
  <c r="U11" i="4" l="1"/>
  <c r="S2" i="3"/>
  <c r="V11" i="4" l="1"/>
  <c r="T2" i="3"/>
  <c r="W11" i="4" l="1"/>
  <c r="U2" i="3"/>
  <c r="X11" i="4" l="1"/>
  <c r="V2" i="3"/>
  <c r="Y11" i="4" l="1"/>
  <c r="W2" i="3"/>
  <c r="Z11" i="4" l="1"/>
  <c r="X2" i="3"/>
  <c r="AA11" i="4" l="1"/>
  <c r="Y2" i="3"/>
  <c r="AB11" i="4" l="1"/>
  <c r="Z2" i="3"/>
  <c r="AC11" i="4" l="1"/>
  <c r="AA2" i="3"/>
  <c r="AD11" i="4" l="1"/>
  <c r="AB2" i="3"/>
  <c r="AE11" i="4" l="1"/>
  <c r="AC2" i="3"/>
  <c r="AF11" i="4" l="1"/>
  <c r="AE2" i="3" s="1"/>
  <c r="AD2" i="3"/>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<sst xmlns="http://schemas.openxmlformats.org/spreadsheetml/2006/main" count="45" uniqueCount="45">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</sst>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s>
  <fills count="4">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3" fillId="0" borderId="0"/>
  </cellStyleXfs>
  <cellXfs count="21">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cellXfs>
  <cellStyles count="3">
    <cellStyle name="Hyperlink" xfId="1" builtinId="8"/>
    <cellStyle name="Normal" xfId="0" builtinId="0"/>
    <cellStyle name="Normal 3 2" xfId="2" xr:uid="{3F0B3957-5839-491A-BB84-14323CF3887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opLeftCell="A12" workbookViewId="0">
      <selection activeCell="A22" sqref="A22"/>
    </sheetView>
  </sheetViews>
  <sheetFormatPr defaultRowHeight="14.75"/>
  <cols>
    <col min="1" max="1" width="16.54296875" customWidth="1"/>
    <col min="2" max="2" width="31.86328125" customWidth="1"/>
  </cols>
  <sheetData>
    <row r="1" spans="1:2">
      <c r="A1" s="1" t="s">
        <v>41</v>
      </c>
    </row>
    <row r="3" spans="1:2">
      <c r="A3" s="1" t="s">
        <v>0</v>
      </c>
      <c r="B3" s="4" t="s">
        <v>4</v>
      </c>
    </row>
    <row r="4" spans="1:2">
      <c r="B4" t="s">
        <v>5</v>
      </c>
    </row>
    <row r="5" spans="1:2">
      <c r="B5" s="5">
        <v>2018</v>
      </c>
    </row>
    <row r="6" spans="1:2">
      <c r="B6" t="s">
        <v>6</v>
      </c>
    </row>
    <row r="7" spans="1:2">
      <c r="B7" t="s">
        <v>10</v>
      </c>
    </row>
    <row r="9" spans="1:2">
      <c r="B9" s="4" t="s">
        <v>7</v>
      </c>
    </row>
    <row r="10" spans="1:2">
      <c r="B10" t="s">
        <v>8</v>
      </c>
    </row>
    <row r="11" spans="1:2">
      <c r="B11" s="5">
        <v>2023</v>
      </c>
    </row>
    <row r="12" spans="1:2">
      <c r="B12" t="s">
        <v>9</v>
      </c>
    </row>
    <row r="13" spans="1:2">
      <c r="B13" s="6" t="s">
        <v>42</v>
      </c>
    </row>
    <row r="15" spans="1:2">
      <c r="A15" s="1" t="s">
        <v>1</v>
      </c>
    </row>
    <row r="16" spans="1:2">
      <c r="A16" t="s">
        <v>11</v>
      </c>
      <c r="B16">
        <v>0.89805481563188172</v>
      </c>
    </row>
    <row r="17" spans="1:2">
      <c r="A17" t="s">
        <v>2</v>
      </c>
      <c r="B17">
        <v>0.84730412960844359</v>
      </c>
    </row>
    <row r="18" spans="1:2">
      <c r="A18" t="s">
        <v>39</v>
      </c>
      <c r="B18" s="14">
        <v>0.78500000000000003</v>
      </c>
    </row>
    <row r="19" spans="1:2">
      <c r="A19" s="12" t="s">
        <v>38</v>
      </c>
      <c r="B19" s="14"/>
    </row>
    <row r="20" spans="1:2">
      <c r="A20" s="15"/>
    </row>
    <row r="21" spans="1:2">
      <c r="A21" t="s">
        <v>44</v>
      </c>
    </row>
    <row r="22" spans="1:2">
      <c r="A22" t="s">
        <v>29</v>
      </c>
    </row>
    <row r="23" spans="1:2">
      <c r="A23" t="s">
        <v>30</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election activeCell="A11" sqref="A11"/>
    </sheetView>
  </sheetViews>
  <sheetFormatPr defaultRowHeight="14.75"/>
  <cols>
    <col min="1" max="1" width="29.1328125" customWidth="1"/>
    <col min="2" max="2" width="11" bestFit="1" customWidth="1"/>
  </cols>
  <sheetData>
    <row r="1" spans="1:2">
      <c r="A1" t="s">
        <v>12</v>
      </c>
    </row>
    <row r="2" spans="1:2">
      <c r="A2" t="s">
        <v>14</v>
      </c>
    </row>
    <row r="4" spans="1:2">
      <c r="A4" t="s">
        <v>13</v>
      </c>
      <c r="B4">
        <v>7500000000</v>
      </c>
    </row>
    <row r="5" spans="1:2" ht="29.5">
      <c r="A5" s="7" t="s">
        <v>15</v>
      </c>
      <c r="B5">
        <f>B4/0.8</f>
        <v>9375000000</v>
      </c>
    </row>
    <row r="6" spans="1:2">
      <c r="A6" s="7" t="s">
        <v>37</v>
      </c>
      <c r="B6">
        <f>B5*About!B17</f>
        <v>7943476215.0791588</v>
      </c>
    </row>
    <row r="8" spans="1:2" ht="29.5">
      <c r="A8" s="7" t="s">
        <v>16</v>
      </c>
      <c r="B8">
        <v>24443</v>
      </c>
    </row>
    <row r="10" spans="1:2" ht="29.5">
      <c r="A10" s="7" t="s">
        <v>43</v>
      </c>
      <c r="B10" s="2">
        <f>B6/B8/5</f>
        <v>64995.918791303513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topLeftCell="A12" workbookViewId="0">
      <selection activeCell="B23" sqref="B23"/>
    </sheetView>
  </sheetViews>
  <sheetFormatPr defaultColWidth="12.54296875" defaultRowHeight="15.75" customHeight="1"/>
  <cols>
    <col min="1" max="1" width="60.7265625" style="10" customWidth="1"/>
    <col min="2" max="2" width="27.40625" style="10" customWidth="1"/>
    <col min="3" max="3" width="17.86328125" style="10" customWidth="1"/>
    <col min="4" max="4" width="18.1328125" style="10" customWidth="1"/>
    <col min="5" max="6" width="16.1328125" style="10" customWidth="1"/>
    <col min="7" max="11" width="12.54296875" style="10"/>
    <col min="12" max="12" width="16.40625" style="10" customWidth="1"/>
    <col min="13" max="16384" width="12.5429687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62.25">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4.75">
      <c r="A7" s="15" t="s">
        <v>25</v>
      </c>
      <c r="B7" s="14">
        <v>24443</v>
      </c>
      <c r="C7" s="12"/>
      <c r="D7" s="12"/>
      <c r="E7" s="12"/>
      <c r="F7" s="12"/>
      <c r="G7" s="12"/>
      <c r="H7" s="12"/>
      <c r="I7" s="12"/>
      <c r="J7" s="12"/>
      <c r="K7" s="12"/>
      <c r="L7" s="12"/>
    </row>
    <row r="8" spans="1:38" ht="14.75">
      <c r="A8" s="15" t="s">
        <v>26</v>
      </c>
      <c r="B8" s="14">
        <v>0.78500000000000003</v>
      </c>
      <c r="C8" s="12"/>
      <c r="D8" s="12"/>
      <c r="E8" s="12"/>
      <c r="F8" s="12"/>
      <c r="G8" s="12"/>
      <c r="H8" s="12"/>
      <c r="I8" s="12"/>
      <c r="J8" s="12"/>
      <c r="K8" s="12"/>
      <c r="L8" s="12"/>
    </row>
    <row r="9" spans="1:38" ht="14.75">
      <c r="A9" s="12"/>
      <c r="B9" s="12"/>
      <c r="C9" s="12"/>
      <c r="D9" s="12"/>
      <c r="E9" s="12"/>
      <c r="F9" s="12"/>
      <c r="G9" s="12"/>
      <c r="H9" s="12"/>
      <c r="I9" s="12"/>
      <c r="J9" s="12"/>
      <c r="K9" s="12"/>
      <c r="L9" s="12"/>
    </row>
    <row r="10" spans="1:38" ht="14.7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4.7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14.75">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4.7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4.7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4.7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4.7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4.7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4.7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4.7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4.7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4.7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4.7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4.75">
      <c r="A23" s="15" t="s">
        <v>22</v>
      </c>
      <c r="B23" s="19">
        <f>SUM(C21:K21)</f>
        <v>137681.43572120171</v>
      </c>
      <c r="C23" s="19"/>
      <c r="D23" s="19"/>
      <c r="E23" s="12"/>
      <c r="F23" s="12"/>
      <c r="G23" s="12"/>
      <c r="H23" s="12"/>
      <c r="I23" s="12"/>
      <c r="J23" s="12"/>
      <c r="K23" s="12"/>
      <c r="L23" s="12"/>
    </row>
    <row r="24" spans="1:38" ht="14.7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tabSelected="1" workbookViewId="0">
      <selection activeCell="E10" sqref="E10"/>
    </sheetView>
  </sheetViews>
  <sheetFormatPr defaultRowHeight="14.75"/>
  <cols>
    <col min="1" max="1" width="45.1328125" customWidth="1"/>
    <col min="2" max="2" width="26.406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240829.9902198707</v>
      </c>
      <c r="F11">
        <f t="shared" si="0"/>
        <v>343757.9804397414</v>
      </c>
      <c r="G11">
        <f t="shared" si="0"/>
        <v>446685.9706596121</v>
      </c>
      <c r="H11">
        <f t="shared" si="0"/>
        <v>549613.9608794977</v>
      </c>
      <c r="I11">
        <f t="shared" si="0"/>
        <v>587546.03230806487</v>
      </c>
      <c r="J11">
        <f t="shared" si="0"/>
        <v>625478.10373663204</v>
      </c>
      <c r="K11">
        <f t="shared" si="0"/>
        <v>663410.17516521411</v>
      </c>
      <c r="L11">
        <f t="shared" si="0"/>
        <v>701342.24659378128</v>
      </c>
      <c r="M11">
        <f t="shared" si="0"/>
        <v>739274.31802234845</v>
      </c>
      <c r="N11">
        <f t="shared" si="0"/>
        <v>777206.38945091562</v>
      </c>
      <c r="O11">
        <f t="shared" si="0"/>
        <v>815138.4608794977</v>
      </c>
      <c r="P11">
        <f t="shared" si="0"/>
        <v>853070.53230806487</v>
      </c>
      <c r="Q11">
        <f t="shared" si="0"/>
        <v>891002.60373663204</v>
      </c>
      <c r="R11">
        <f t="shared" si="0"/>
        <v>928934.67516521411</v>
      </c>
      <c r="S11">
        <f t="shared" si="0"/>
        <v>966866.74659378128</v>
      </c>
      <c r="T11">
        <f t="shared" si="0"/>
        <v>1004798.8180223485</v>
      </c>
      <c r="U11">
        <f t="shared" si="0"/>
        <v>1042730.8894509156</v>
      </c>
      <c r="V11">
        <f t="shared" si="0"/>
        <v>1080662.9608794977</v>
      </c>
      <c r="W11">
        <f t="shared" si="0"/>
        <v>1118595.0323080649</v>
      </c>
      <c r="X11">
        <f t="shared" si="0"/>
        <v>1156527.103736632</v>
      </c>
      <c r="Y11">
        <f t="shared" si="0"/>
        <v>1194459.1751652141</v>
      </c>
      <c r="Z11">
        <f t="shared" si="0"/>
        <v>1232391.2465937813</v>
      </c>
      <c r="AA11">
        <f t="shared" si="0"/>
        <v>1270323.3180223485</v>
      </c>
      <c r="AB11">
        <f t="shared" si="0"/>
        <v>1308255.3894509156</v>
      </c>
      <c r="AC11">
        <f t="shared" si="0"/>
        <v>1346187.4608794977</v>
      </c>
      <c r="AD11">
        <f t="shared" si="0"/>
        <v>1384119.5323080649</v>
      </c>
      <c r="AE11">
        <f t="shared" si="0"/>
        <v>1422051.603736632</v>
      </c>
      <c r="AF11">
        <f t="shared" si="0"/>
        <v>1459983.6751652141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F2"/>
  <sheetViews>
    <sheetView topLeftCell="D1" workbookViewId="0">
      <selection activeCell="B2" sqref="B2:AE2"/>
    </sheetView>
  </sheetViews>
  <sheetFormatPr defaultRowHeight="14.75"/>
  <cols>
    <col min="1" max="1" width="2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2">
        <f>Calculations!C11</f>
        <v>137902</v>
      </c>
      <c r="C2" s="2">
        <f>Calculations!D11</f>
        <v>137902</v>
      </c>
      <c r="D2" s="2">
        <f>Calculations!E11</f>
        <v>240829.9902198707</v>
      </c>
      <c r="E2" s="2">
        <f>Calculations!F11</f>
        <v>343757.9804397414</v>
      </c>
      <c r="F2" s="2">
        <f>Calculations!G11</f>
        <v>446685.9706596121</v>
      </c>
      <c r="G2" s="2">
        <f>Calculations!H11</f>
        <v>549613.9608794977</v>
      </c>
      <c r="H2" s="2">
        <f>Calculations!I11</f>
        <v>587546.03230806487</v>
      </c>
      <c r="I2" s="2">
        <f>Calculations!J11</f>
        <v>625478.10373663204</v>
      </c>
      <c r="J2" s="2">
        <f>Calculations!K11</f>
        <v>663410.17516521411</v>
      </c>
      <c r="K2" s="2">
        <f>Calculations!L11</f>
        <v>701342.24659378128</v>
      </c>
      <c r="L2" s="2">
        <f>Calculations!M11</f>
        <v>739274.31802234845</v>
      </c>
      <c r="M2" s="2">
        <f>Calculations!N11</f>
        <v>777206.38945091562</v>
      </c>
      <c r="N2" s="2">
        <f>Calculations!O11</f>
        <v>815138.4608794977</v>
      </c>
      <c r="O2" s="2">
        <f>Calculations!P11</f>
        <v>853070.53230806487</v>
      </c>
      <c r="P2" s="2">
        <f>Calculations!Q11</f>
        <v>891002.60373663204</v>
      </c>
      <c r="Q2" s="2">
        <f>Calculations!R11</f>
        <v>928934.67516521411</v>
      </c>
      <c r="R2" s="2">
        <f>Calculations!S11</f>
        <v>966866.74659378128</v>
      </c>
      <c r="S2" s="2">
        <f>Calculations!T11</f>
        <v>1004798.8180223485</v>
      </c>
      <c r="T2" s="2">
        <f>Calculations!U11</f>
        <v>1042730.8894509156</v>
      </c>
      <c r="U2" s="2">
        <f>Calculations!V11</f>
        <v>1080662.9608794977</v>
      </c>
      <c r="V2" s="2">
        <f>Calculations!W11</f>
        <v>1118595.0323080649</v>
      </c>
      <c r="W2" s="2">
        <f>Calculations!X11</f>
        <v>1156527.103736632</v>
      </c>
      <c r="X2" s="2">
        <f>Calculations!Y11</f>
        <v>1194459.1751652141</v>
      </c>
      <c r="Y2" s="2">
        <f>Calculations!Z11</f>
        <v>1232391.2465937813</v>
      </c>
      <c r="Z2" s="2">
        <f>Calculations!AA11</f>
        <v>1270323.3180223485</v>
      </c>
      <c r="AA2" s="2">
        <f>Calculations!AB11</f>
        <v>1308255.3894509156</v>
      </c>
      <c r="AB2" s="2">
        <f>Calculations!AC11</f>
        <v>1346187.4608794977</v>
      </c>
      <c r="AC2" s="2">
        <f>Calculations!AD11</f>
        <v>1384119.5323080649</v>
      </c>
      <c r="AD2" s="2">
        <f>Calculations!AE11</f>
        <v>1422051.603736632</v>
      </c>
      <c r="AE2" s="2">
        <f>Calculations!AF11</f>
        <v>1459983.6751652141</v>
      </c>
      <c r="AF2"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IIJA</vt:lpstr>
      <vt:lpstr>Inflation Reduction Act</vt:lpstr>
      <vt:lpstr>Calculations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2025-08-29T23:28:10Z</dcterms:modified>
</cp:coreProperties>
</file>