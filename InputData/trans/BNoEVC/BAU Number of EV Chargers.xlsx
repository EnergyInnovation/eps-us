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BNoEVC\"/>
    </mc:Choice>
  </mc:AlternateContent>
  <xr:revisionPtr revIDLastSave="0" documentId="13_ncr:1_{2FEBD4AD-B914-4E0D-A747-F65D9ED3E01E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bout" sheetId="1" r:id="rId1"/>
    <sheet name="BNoEVC" sheetId="3" r:id="rId2"/>
  </sheets>
  <definedNames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3" l="1" a="1"/>
  <c r="D2" i="3" s="1"/>
  <c r="E2" i="3" a="1"/>
  <c r="E2" i="3"/>
  <c r="F2" i="3" a="1"/>
  <c r="F2" i="3"/>
  <c r="G2" i="3" a="1"/>
  <c r="G2" i="3"/>
  <c r="H2" i="3" a="1"/>
  <c r="H2" i="3"/>
  <c r="I2" i="3" a="1"/>
  <c r="I2" i="3"/>
  <c r="J2" i="3" a="1"/>
  <c r="J2" i="3"/>
  <c r="K2" i="3" a="1"/>
  <c r="K2" i="3"/>
  <c r="L2" i="3" a="1"/>
  <c r="L2" i="3"/>
  <c r="M2" i="3" a="1"/>
  <c r="M2" i="3" s="1"/>
  <c r="N2" i="3" a="1"/>
  <c r="N2" i="3" s="1"/>
  <c r="O2" i="3" a="1"/>
  <c r="O2" i="3"/>
  <c r="P2" i="3" a="1"/>
  <c r="P2" i="3" s="1"/>
  <c r="Q2" i="3" a="1"/>
  <c r="Q2" i="3"/>
  <c r="R2" i="3" a="1"/>
  <c r="R2" i="3"/>
  <c r="S2" i="3" a="1"/>
  <c r="S2" i="3" s="1"/>
  <c r="T2" i="3" a="1"/>
  <c r="T2" i="3" s="1"/>
  <c r="U2" i="3" a="1"/>
  <c r="U2" i="3"/>
  <c r="V2" i="3" a="1"/>
  <c r="V2" i="3"/>
  <c r="W2" i="3" a="1"/>
  <c r="W2" i="3"/>
  <c r="X2" i="3" a="1"/>
  <c r="X2" i="3" s="1"/>
  <c r="Y2" i="3" a="1"/>
  <c r="Y2" i="3" s="1"/>
  <c r="Z2" i="3" a="1"/>
  <c r="Z2" i="3"/>
  <c r="AA2" i="3" a="1"/>
  <c r="AA2" i="3"/>
  <c r="AB2" i="3" a="1"/>
  <c r="AB2" i="3" s="1"/>
  <c r="B2" i="3"/>
  <c r="C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<sst xmlns="http://schemas.openxmlformats.org/spreadsheetml/2006/main" count="14" uniqueCount="14">
  <si>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Source:</t>
  </si>
  <si>
    <t>Notes</t>
  </si>
  <si>
    <t>Number of chargers</t>
  </si>
  <si>
    <t>BAU EV Chargers</t>
  </si>
  <si>
    <t>BNoEVC BAU Number of EV Chargers</t>
  </si>
  <si>
    <t>https://driveelectric.gov/stations-growth</t>
  </si>
  <si>
    <t>Joint Office of Energy and Transportation</t>
  </si>
  <si>
    <t>Electric Vehicle Chargign Infrastructure Growth</t>
  </si>
  <si>
    <t>Number of EVSE Ports, Historical</t>
  </si>
  <si>
    <t>Used December data for years 2024 and 2025</t>
  </si>
  <si>
    <t>Lacking reliable projections, we assume a constant growth rate</t>
  </si>
  <si>
    <t xml:space="preserve">for EV charging infrastructure additions through 2050. This comes close </t>
  </si>
  <si>
    <t>to equaling the number of gas station pumps by the year 2050, which</t>
  </si>
  <si>
    <t>would nearly eliminate charging anxiety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</si>
</sst>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5" fillId="0" borderId="0" xfId="2" applyFont="1"/>
    <xf numFmtId="0" fontId="4" fillId="0" borderId="0" xfId="2" applyFon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15" sqref="A15"/>
    </sheetView>
  </sheetViews>
  <sheetFormatPr defaultRowHeight="14.5" x14ac:dyDescent="0.35"/>
  <cols>
    <col min="1" max="1" width="16.54296875" customWidth="1"/>
    <col min="2" max="2" width="31.81640625" customWidth="1"/>
  </cols>
  <sheetData>
    <row r="1" spans="1:2" x14ac:dyDescent="0.35">
      <c r="A1" s="1" t="s">
        <v>4</v>
      </c>
    </row>
    <row r="3" spans="1:2" x14ac:dyDescent="0.35">
      <c r="A3" s="1" t="s">
        <v>0</v>
      </c>
      <c r="B3" s="4" t="s">
        <v>8</v>
      </c>
    </row>
    <row r="4" spans="1:2" x14ac:dyDescent="0.35">
      <c r="B4" t="s">
        <v>6</v>
      </c>
    </row>
    <row r="5" spans="1:2" x14ac:dyDescent="0.35">
      <c r="B5" s="5">
        <v>2026</v>
      </c>
    </row>
    <row r="6" spans="1:2" x14ac:dyDescent="0.35">
      <c r="B6" t="s">
        <v>7</v>
      </c>
    </row>
    <row r="7" spans="1:2" x14ac:dyDescent="0.35">
      <c r="B7" s="6" t="s">
        <v>5</v>
      </c>
    </row>
    <row r="8" spans="1:2" x14ac:dyDescent="0.35">
      <c r="B8" t="s">
        <v>9</v>
      </c>
    </row>
    <row r="10" spans="1:2" x14ac:dyDescent="0.35">
      <c r="A10" s="1" t="s">
        <v>1</v>
      </c>
    </row>
    <row r="11" spans="1:2" x14ac:dyDescent="0.35">
      <c r="A11" t="s">
        <v>10</v>
      </c>
    </row>
    <row r="12" spans="1:2" x14ac:dyDescent="0.35">
      <c r="A12" t="s">
        <v>11</v>
      </c>
    </row>
    <row r="13" spans="1:2" x14ac:dyDescent="0.35">
      <c r="A13" t="s">
        <v>12</v>
      </c>
    </row>
    <row r="14" spans="1:2" x14ac:dyDescent="0.35">
      <c r="A14" s="7" t="s">
        <v>13</v>
      </c>
    </row>
    <row r="15" spans="1:2" x14ac:dyDescent="0.35">
      <c r="A15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C2"/>
  <sheetViews>
    <sheetView workbookViewId="0">
      <selection activeCell="E18" sqref="E18"/>
    </sheetView>
  </sheetViews>
  <sheetFormatPr defaultRowHeight="14.5" x14ac:dyDescent="0.35"/>
  <cols>
    <col min="1" max="1" width="21" customWidth="1"/>
  </cols>
  <sheetData>
    <row r="1" spans="1:29" x14ac:dyDescent="0.35">
      <c r="A1" t="s">
        <v>2</v>
      </c>
      <c r="B1" s="3">
        <v>2024</v>
      </c>
      <c r="C1">
        <v>2025</v>
      </c>
      <c r="D1" s="3">
        <v>2026</v>
      </c>
      <c r="E1">
        <v>2027</v>
      </c>
      <c r="F1" s="3">
        <v>2028</v>
      </c>
      <c r="G1">
        <v>2029</v>
      </c>
      <c r="H1" s="3">
        <v>2030</v>
      </c>
      <c r="I1">
        <v>2031</v>
      </c>
      <c r="J1" s="3">
        <v>2032</v>
      </c>
      <c r="K1">
        <v>2033</v>
      </c>
      <c r="L1" s="3">
        <v>2034</v>
      </c>
      <c r="M1">
        <v>2035</v>
      </c>
      <c r="N1" s="3">
        <v>2036</v>
      </c>
      <c r="O1">
        <v>2037</v>
      </c>
      <c r="P1" s="3">
        <v>2038</v>
      </c>
      <c r="Q1">
        <v>2039</v>
      </c>
      <c r="R1" s="3">
        <v>2040</v>
      </c>
      <c r="S1">
        <v>2041</v>
      </c>
      <c r="T1" s="3">
        <v>2042</v>
      </c>
      <c r="U1">
        <v>2043</v>
      </c>
      <c r="V1" s="3">
        <v>2044</v>
      </c>
      <c r="W1">
        <v>2045</v>
      </c>
      <c r="X1" s="3">
        <v>2046</v>
      </c>
      <c r="Y1">
        <v>2047</v>
      </c>
      <c r="Z1" s="3">
        <v>2048</v>
      </c>
      <c r="AA1">
        <v>2049</v>
      </c>
      <c r="AB1" s="3">
        <v>2050</v>
      </c>
    </row>
    <row r="2" spans="1:29" x14ac:dyDescent="0.35">
      <c r="A2" s="1" t="s">
        <v>3</v>
      </c>
      <c r="B2" s="2">
        <f>144823+49604</f>
        <v>194427</v>
      </c>
      <c r="C2" s="2">
        <f>170010+66374</f>
        <v>236384</v>
      </c>
      <c r="D2" cm="1">
        <f t="array" ref="D2">TREND($B$2:$C$2,$B$1:$C$1,D1)</f>
        <v>278341</v>
      </c>
      <c r="E2" cm="1">
        <f t="array" ref="E2">TREND($B$2:$C$2,$B$1:$C$1,E1)</f>
        <v>320298</v>
      </c>
      <c r="F2" cm="1">
        <f t="array" ref="F2">TREND($B$2:$C$2,$B$1:$C$1,F1)</f>
        <v>362255</v>
      </c>
      <c r="G2" cm="1">
        <f t="array" ref="G2">TREND($B$2:$C$2,$B$1:$C$1,G1)</f>
        <v>404212</v>
      </c>
      <c r="H2" cm="1">
        <f t="array" ref="H2">TREND($B$2:$C$2,$B$1:$C$1,H1)</f>
        <v>446169</v>
      </c>
      <c r="I2" cm="1">
        <f t="array" ref="I2">TREND($B$2:$C$2,$B$1:$C$1,I1)</f>
        <v>488126</v>
      </c>
      <c r="J2" cm="1">
        <f t="array" ref="J2">TREND($B$2:$C$2,$B$1:$C$1,J1)</f>
        <v>530083</v>
      </c>
      <c r="K2" cm="1">
        <f t="array" ref="K2">TREND($B$2:$C$2,$B$1:$C$1,K1)</f>
        <v>572040</v>
      </c>
      <c r="L2" cm="1">
        <f t="array" ref="L2">TREND($B$2:$C$2,$B$1:$C$1,L1)</f>
        <v>613997</v>
      </c>
      <c r="M2" cm="1">
        <f t="array" ref="M2">TREND($B$2:$C$2,$B$1:$C$1,M1)</f>
        <v>655954</v>
      </c>
      <c r="N2" cm="1">
        <f t="array" ref="N2">TREND($B$2:$C$2,$B$1:$C$1,N1)</f>
        <v>697911</v>
      </c>
      <c r="O2" cm="1">
        <f t="array" ref="O2">TREND($B$2:$C$2,$B$1:$C$1,O1)</f>
        <v>739868</v>
      </c>
      <c r="P2" cm="1">
        <f t="array" ref="P2">TREND($B$2:$C$2,$B$1:$C$1,P1)</f>
        <v>781825</v>
      </c>
      <c r="Q2" cm="1">
        <f t="array" ref="Q2">TREND($B$2:$C$2,$B$1:$C$1,Q1)</f>
        <v>823782</v>
      </c>
      <c r="R2" cm="1">
        <f t="array" ref="R2">TREND($B$2:$C$2,$B$1:$C$1,R1)</f>
        <v>865739</v>
      </c>
      <c r="S2" cm="1">
        <f t="array" ref="S2">TREND($B$2:$C$2,$B$1:$C$1,S1)</f>
        <v>907696</v>
      </c>
      <c r="T2" cm="1">
        <f t="array" ref="T2">TREND($B$2:$C$2,$B$1:$C$1,T1)</f>
        <v>949653</v>
      </c>
      <c r="U2" cm="1">
        <f t="array" ref="U2">TREND($B$2:$C$2,$B$1:$C$1,U1)</f>
        <v>991610</v>
      </c>
      <c r="V2" cm="1">
        <f t="array" ref="V2">TREND($B$2:$C$2,$B$1:$C$1,V1)</f>
        <v>1033567</v>
      </c>
      <c r="W2" cm="1">
        <f t="array" ref="W2">TREND($B$2:$C$2,$B$1:$C$1,W1)</f>
        <v>1075524</v>
      </c>
      <c r="X2" cm="1">
        <f t="array" ref="X2">TREND($B$2:$C$2,$B$1:$C$1,X1)</f>
        <v>1117481</v>
      </c>
      <c r="Y2" cm="1">
        <f t="array" ref="Y2">TREND($B$2:$C$2,$B$1:$C$1,Y1)</f>
        <v>1159438</v>
      </c>
      <c r="Z2" cm="1">
        <f t="array" ref="Z2">TREND($B$2:$C$2,$B$1:$C$1,Z1)</f>
        <v>1201395</v>
      </c>
      <c r="AA2" cm="1">
        <f t="array" ref="AA2">TREND($B$2:$C$2,$B$1:$C$1,AA1)</f>
        <v>1243352</v>
      </c>
      <c r="AB2" cm="1">
        <f t="array" ref="AB2">TREND($B$2:$C$2,$B$1:$C$1,AB1)</f>
        <v>1285309</v>
      </c>
      <c r="A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BNoEVC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2019-06-04T20:20:37Z</dcterms:created>
  <dcterms:modified xsi:type="dcterms:W3CDTF">2026-01-15T01:31:00Z</dcterms:modified>
</cp:coreProperties>
</file>