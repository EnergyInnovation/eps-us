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SYFAFE\"/>
    </mc:Choice>
  </mc:AlternateContent>
  <xr:revisionPtr revIDLastSave="0" documentId="13_ncr:1_{663D2EEA-4F8D-4C23-99E3-34953E92441A}" xr6:coauthVersionLast="47" xr6:coauthVersionMax="47" xr10:uidLastSave="{00000000-0000-0000-0000-000000000000}"/>
  <bookViews>
    <workbookView xWindow="-98" yWindow="-98" windowWidth="21795" windowHeight="12975" firstSheet="35" activeTab="38" xr2:uid="{F70D00DE-D2EE-4340-AA4D-A97CD2C46CCB}"/>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sheetId="68" r:id="rId17"/>
    <sheet name="AEO 2025 Table 7 Alt T" sheetId="60" r:id="rId18"/>
    <sheet name="AEO 2025 Table 35" sheetId="67" r:id="rId19"/>
    <sheet name="AEO 2025 Table 36 Alt T" sheetId="62" r:id="rId20"/>
    <sheet name="AEO 2025 Table 37" sheetId="66" r:id="rId21"/>
    <sheet name="AEO 2025 Table 41" sheetId="65" r:id="rId22"/>
    <sheet name="AEO 2025 Table 49" sheetId="63" r:id="rId23"/>
    <sheet name="AEO 2025 Table 43" sheetId="64" r:id="rId24"/>
    <sheet name="SYVbT-passenger" sheetId="39" r:id="rId25"/>
    <sheet name="SYVbT-freight" sheetId="37" r:id="rId26"/>
    <sheet name="BAADTbVT-passenger" sheetId="40" r:id="rId27"/>
    <sheet name="BAADTbVT-frgt" sheetId="38" r:id="rId28"/>
    <sheet name="NTS 1-40" sheetId="20" r:id="rId29"/>
    <sheet name="NRBS 40" sheetId="19" r:id="rId30"/>
    <sheet name="Annual Service Data_rail only" sheetId="49" r:id="rId31"/>
    <sheet name="EPA-Annex3-Table A94" sheetId="61" r:id="rId32"/>
    <sheet name="Fuel and Energy_rail only" sheetId="50" r:id="rId33"/>
    <sheet name="calcs&gt;" sheetId="54" r:id="rId34"/>
    <sheet name="Calibration Adjustments" sheetId="25" r:id="rId35"/>
    <sheet name="psgr rail calcs" sheetId="51" r:id="rId36"/>
    <sheet name="Calculations Etc" sheetId="18" r:id="rId37"/>
    <sheet name="calcs" sheetId="55" r:id="rId38"/>
    <sheet name="SYFAFE-psgr" sheetId="23" r:id="rId39"/>
    <sheet name="SYFAFE-frgt" sheetId="24" r:id="rId40"/>
  </sheets>
  <externalReferences>
    <externalReference r:id="rId41"/>
    <externalReference r:id="rId42"/>
    <externalReference r:id="rId43"/>
  </externalReferences>
  <definedNames>
    <definedName name="_xlnm._FilterDatabase" localSheetId="30" hidden="1">'Annual Service Data_rail only'!$A$1:$AX$1</definedName>
    <definedName name="billion">About!$A$84</definedName>
    <definedName name="CH4GWP">#REF!</definedName>
    <definedName name="Eno_TM" localSheetId="19">'[1]1997  Table 1a Modified'!#REF!</definedName>
    <definedName name="Eno_TM" localSheetId="17">#REF!</definedName>
    <definedName name="Eno_TM" localSheetId="28">'[2]1997  Table 1a Modified'!#REF!</definedName>
    <definedName name="Eno_TM" localSheetId="39">'[2]1997  Table 1a Modified'!#REF!</definedName>
    <definedName name="Eno_TM">'[2]1997  Table 1a Modified'!#REF!</definedName>
    <definedName name="Eno_Tons" localSheetId="19">'[1]1997  Table 1a Modified'!#REF!</definedName>
    <definedName name="Eno_Tons" localSheetId="17">#REF!</definedName>
    <definedName name="Eno_Tons" localSheetId="28">'[2]1997  Table 1a Modified'!#REF!</definedName>
    <definedName name="Eno_Tons" localSheetId="39">'[2]1997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9">'[1]1997  Table 1a Modified'!#REF!</definedName>
    <definedName name="Sum_T2" localSheetId="17">#REF!</definedName>
    <definedName name="Sum_T2" localSheetId="28">'[2]1997  Table 1a Modified'!#REF!</definedName>
    <definedName name="Sum_T2" localSheetId="39">'[2]1997  Table 1a Modified'!#REF!</definedName>
    <definedName name="Sum_T2">'[2]1997  Table 1a Modified'!#REF!</definedName>
    <definedName name="Sum_TTM" localSheetId="19">'[1]1997  Table 1a Modified'!#REF!</definedName>
    <definedName name="Sum_TTM" localSheetId="17">#REF!</definedName>
    <definedName name="Sum_TTM" localSheetId="28">'[2]1997  Table 1a Modified'!#REF!</definedName>
    <definedName name="Sum_TTM" localSheetId="39">'[2]1997  Table 1a Modified'!#REF!</definedName>
    <definedName name="Sum_TTM">'[2]1997  Table 1a Modified'!#REF!</definedName>
    <definedName name="ti_tbl_50" localSheetId="28">#REF!</definedName>
    <definedName name="ti_tbl_50" localSheetId="39">#REF!</definedName>
    <definedName name="ti_tbl_50">#REF!</definedName>
    <definedName name="ti_tbl_69" localSheetId="28">#REF!</definedName>
    <definedName name="ti_tbl_69" localSheetId="39">#REF!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8" i="55" l="1"/>
  <c r="E78" i="55"/>
  <c r="D78" i="55"/>
  <c r="C78" i="55"/>
  <c r="F80" i="55"/>
  <c r="E73" i="55"/>
  <c r="E72" i="55"/>
  <c r="F72" i="55"/>
  <c r="E69" i="55"/>
  <c r="H69" i="55"/>
  <c r="D68" i="55"/>
  <c r="E68" i="55"/>
  <c r="F68" i="55"/>
  <c r="G68" i="55"/>
  <c r="H68" i="55"/>
  <c r="I68" i="55"/>
  <c r="C68" i="55"/>
  <c r="F78" i="55"/>
  <c r="E60" i="55"/>
  <c r="D60" i="55"/>
  <c r="C60" i="55"/>
  <c r="E59" i="55"/>
  <c r="C59" i="55"/>
  <c r="D59" i="55"/>
  <c r="F81" i="55"/>
  <c r="B49" i="55" l="1"/>
  <c r="C49" i="55"/>
  <c r="E49" i="55"/>
  <c r="G49" i="55"/>
  <c r="B51" i="55"/>
  <c r="C51" i="55"/>
  <c r="E51" i="55"/>
  <c r="G51" i="55"/>
  <c r="B53" i="55"/>
  <c r="F53" i="55" s="1"/>
  <c r="C53" i="55"/>
  <c r="E53" i="55"/>
  <c r="G53" i="55"/>
  <c r="B55" i="55"/>
  <c r="C55" i="55"/>
  <c r="E55" i="55"/>
  <c r="B21" i="55"/>
  <c r="C21" i="55"/>
  <c r="D21" i="55"/>
  <c r="E21" i="55"/>
  <c r="F21" i="55"/>
  <c r="G21" i="55"/>
  <c r="H21" i="55"/>
  <c r="B22" i="55"/>
  <c r="C22" i="55"/>
  <c r="D22" i="55"/>
  <c r="E22" i="55"/>
  <c r="F22" i="55"/>
  <c r="G22" i="55"/>
  <c r="H22" i="55"/>
  <c r="B23" i="55"/>
  <c r="C23" i="55"/>
  <c r="D23" i="55"/>
  <c r="E23" i="55"/>
  <c r="F23" i="55"/>
  <c r="G23" i="55"/>
  <c r="H23" i="55"/>
  <c r="B25" i="55"/>
  <c r="C25" i="55"/>
  <c r="D25" i="55"/>
  <c r="E25" i="55"/>
  <c r="F25" i="55"/>
  <c r="G25" i="55"/>
  <c r="H25" i="55"/>
  <c r="B29" i="55"/>
  <c r="C29" i="55"/>
  <c r="D29" i="55"/>
  <c r="E29" i="55"/>
  <c r="F29" i="55"/>
  <c r="G29" i="55"/>
  <c r="H29" i="55"/>
  <c r="B30" i="55"/>
  <c r="C30" i="55"/>
  <c r="D30" i="55"/>
  <c r="E30" i="55"/>
  <c r="F30" i="55"/>
  <c r="G30" i="55"/>
  <c r="H30" i="55"/>
  <c r="C38" i="55"/>
  <c r="C39" i="55" s="1"/>
  <c r="C40" i="55"/>
  <c r="C41" i="55"/>
  <c r="C3" i="55"/>
  <c r="D3" i="55"/>
  <c r="C4" i="55"/>
  <c r="D4" i="55" s="1"/>
  <c r="C6" i="55"/>
  <c r="C7" i="55"/>
  <c r="C8" i="55"/>
  <c r="D8" i="55"/>
  <c r="C9" i="55"/>
  <c r="D9" i="55"/>
  <c r="C10" i="55"/>
  <c r="D10" i="55"/>
  <c r="C11" i="55"/>
  <c r="D11" i="55"/>
  <c r="D12" i="55"/>
  <c r="D13" i="55"/>
  <c r="E81" i="55"/>
  <c r="B28" i="55" l="1"/>
  <c r="B32" i="55" s="1"/>
  <c r="G28" i="55"/>
  <c r="G32" i="55" s="1"/>
  <c r="F49" i="55"/>
  <c r="C42" i="55"/>
  <c r="F28" i="55"/>
  <c r="F32" i="55" s="1"/>
  <c r="H32" i="55"/>
  <c r="F51" i="55"/>
  <c r="H51" i="55" s="1"/>
  <c r="F69" i="55" s="1"/>
  <c r="G69" i="55" s="1"/>
  <c r="H53" i="55"/>
  <c r="D69" i="55" s="1"/>
  <c r="H49" i="55"/>
  <c r="C43" i="55"/>
  <c r="D28" i="55"/>
  <c r="C28" i="55"/>
  <c r="C32" i="55" s="1"/>
  <c r="D32" i="55"/>
  <c r="D5" i="55"/>
  <c r="D14" i="55" s="1"/>
  <c r="D16" i="55" s="1"/>
  <c r="E28" i="55"/>
  <c r="E32" i="55" s="1"/>
  <c r="C5" i="55"/>
  <c r="C12" i="55"/>
  <c r="C14" i="55" s="1"/>
  <c r="C16" i="55" s="1"/>
  <c r="F70" i="55" s="1"/>
  <c r="C13" i="55"/>
  <c r="D15" i="55" l="1"/>
  <c r="D17" i="55" s="1"/>
  <c r="C69" i="55"/>
  <c r="I69" i="55"/>
  <c r="E70" i="55"/>
  <c r="D70" i="55"/>
  <c r="I70" i="55"/>
  <c r="C70" i="55"/>
  <c r="C15" i="55"/>
  <c r="C17" i="55" s="1"/>
  <c r="F77" i="55"/>
  <c r="C8" i="51"/>
  <c r="S67" i="51" s="1"/>
  <c r="U67" i="51" s="1"/>
  <c r="F71" i="55" s="1"/>
  <c r="C7" i="51"/>
  <c r="T67" i="51" s="1"/>
  <c r="E71" i="55" l="1"/>
  <c r="I71" i="55"/>
  <c r="D71" i="55"/>
  <c r="E77" i="55"/>
  <c r="F79" i="55"/>
  <c r="F73" i="55" l="1"/>
  <c r="G78" i="55" l="1"/>
  <c r="F4" i="24"/>
  <c r="G4" i="24"/>
  <c r="F5" i="24"/>
  <c r="G5" i="24"/>
  <c r="F6" i="24"/>
  <c r="G6" i="24"/>
  <c r="C7" i="24"/>
  <c r="D7" i="24"/>
  <c r="E7" i="24"/>
  <c r="F7" i="24"/>
  <c r="G7" i="24"/>
  <c r="H7" i="24"/>
  <c r="B7" i="24"/>
  <c r="E4" i="23"/>
  <c r="F4" i="23"/>
  <c r="G4" i="23"/>
  <c r="F5" i="23"/>
  <c r="G5" i="23"/>
  <c r="C6" i="23"/>
  <c r="F6" i="23"/>
  <c r="G6" i="23"/>
  <c r="H3" i="18"/>
  <c r="E4" i="24"/>
  <c r="E6" i="24"/>
  <c r="E5" i="24"/>
  <c r="G3" i="23"/>
  <c r="D7" i="23" l="1"/>
  <c r="C3" i="18"/>
  <c r="C2" i="23"/>
  <c r="D2" i="23"/>
  <c r="E2" i="23"/>
  <c r="F2" i="23"/>
  <c r="G2" i="23"/>
  <c r="H2" i="23"/>
  <c r="B2" i="23"/>
  <c r="E43" i="18"/>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G77" i="55" l="1"/>
  <c r="F2" i="24" s="1"/>
  <c r="E2" i="24"/>
  <c r="D2" i="24"/>
  <c r="D77" i="55"/>
  <c r="C2" i="24" s="1"/>
  <c r="C72" i="55"/>
  <c r="H77" i="55"/>
  <c r="G2" i="24" s="1"/>
  <c r="I77" i="55"/>
  <c r="H2" i="24" s="1"/>
  <c r="C77" i="55"/>
  <c r="B2" i="24" s="1"/>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C71" i="55" s="1"/>
  <c r="B5" i="23" s="1"/>
  <c r="S69" i="51" l="1"/>
  <c r="T69" i="51"/>
  <c r="A85" i="1" l="1"/>
  <c r="A84" i="1"/>
  <c r="C80" i="55" l="1"/>
  <c r="B5" i="24" s="1"/>
  <c r="D80" i="55"/>
  <c r="C5" i="24" s="1"/>
  <c r="E80" i="55"/>
  <c r="D5" i="24" s="1"/>
  <c r="G73" i="55"/>
  <c r="C73" i="55"/>
  <c r="D73" i="55"/>
  <c r="C81" i="55"/>
  <c r="B6" i="24" s="1"/>
  <c r="D81" i="55"/>
  <c r="C6" i="24" s="1"/>
  <c r="D6" i="24"/>
  <c r="E79" i="55"/>
  <c r="D4" i="24" s="1"/>
  <c r="D79" i="55"/>
  <c r="C4" i="24" s="1"/>
  <c r="C79" i="55"/>
  <c r="B4" i="24" s="1"/>
  <c r="E47" i="18"/>
  <c r="E46" i="18"/>
  <c r="F7" i="23" l="1"/>
  <c r="C4" i="23"/>
  <c r="C7" i="23"/>
  <c r="B4" i="23"/>
  <c r="E7" i="23"/>
  <c r="B7" i="23"/>
  <c r="E49" i="18"/>
  <c r="E48" i="18"/>
  <c r="B39" i="18" l="1"/>
  <c r="H73" i="55" s="1"/>
  <c r="B35" i="18"/>
  <c r="G7" i="23" l="1"/>
  <c r="I72" i="55"/>
  <c r="H3" i="23"/>
  <c r="I79" i="55"/>
  <c r="H4" i="24" s="1"/>
  <c r="I80" i="55"/>
  <c r="H5" i="24" s="1"/>
  <c r="I73" i="55"/>
  <c r="I81" i="55"/>
  <c r="H6" i="24" s="1"/>
  <c r="H5" i="23" l="1"/>
  <c r="H4" i="23"/>
  <c r="H6" i="23"/>
  <c r="H7" i="23"/>
</calcChain>
</file>

<file path=xl/sharedStrings.xml><?xml version="1.0" encoding="utf-8"?>
<sst xmlns="http://schemas.openxmlformats.org/spreadsheetml/2006/main" count="9704" uniqueCount="4105">
  <si>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</si>
  <si>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</si>
  <si>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</si>
  <si>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</si>
  <si>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</si>
  <si>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</si>
  <si>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</si>
  <si>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</si>
  <si>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</si>
  <si>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</si>
  <si>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</si>
  <si>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</si>
  <si>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</si>
  <si>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</si>
  <si>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</si>
  <si>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</si>
  <si>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</si>
  <si>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</si>
  <si>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</si>
  <si>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</si>
  <si>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</si>
  <si>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</si>
  <si>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</si>
  <si>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</si>
  <si>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</si>
  <si>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</si>
  <si>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</si>
  <si>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</si>
  <si>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</si>
  <si>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</si>
  <si>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</si>
  <si>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</si>
  <si>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</si>
  <si>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</si>
  <si>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</si>
  <si>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</si>
  <si>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</si>
  <si>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</si>
  <si>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</si>
  <si>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</si>
  <si>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</si>
  <si>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</si>
  <si>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</si>
  <si>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</si>
  <si>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</si>
  <si>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</si>
  <si>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</si>
  <si>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</si>
  <si>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</si>
  <si>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</si>
  <si>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</si>
  <si>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</si>
  <si>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</si>
  <si>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</si>
  <si>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</si>
  <si>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</si>
  <si>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</si>
  <si>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</si>
  <si>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</si>
  <si>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</si>
  <si>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</si>
  <si>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</si>
  <si>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</si>
  <si>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</si>
  <si>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</si>
  <si>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</si>
  <si>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</si>
  <si>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</si>
  <si>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</si>
  <si>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</si>
  <si>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</si>
  <si>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</si>
  <si>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</si>
  <si>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</si>
  <si>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</si>
  <si>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</si>
  <si>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</si>
  <si>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</si>
  <si>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</si>
  <si>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</si>
  <si>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</si>
  <si>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</si>
  <si>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</si>
  <si>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</si>
  <si>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</si>
  <si>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</si>
  <si>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</si>
  <si>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</si>
  <si>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</si>
  <si>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</si>
  <si>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</si>
  <si>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</si>
  <si>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</si>
  <si>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</si>
  <si>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</si>
  <si>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</si>
  <si>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</si>
  <si>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</si>
  <si>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</si>
  <si>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</si>
  <si>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</si>
  <si>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</si>
  <si>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</si>
  <si>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</si>
  <si>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</si>
  <si>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</si>
  <si>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</si>
  <si>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</si>
  <si>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</si>
  <si>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</si>
  <si>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</si>
  <si>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</si>
  <si>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</si>
  <si>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</si>
  <si>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</si>
  <si>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</si>
  <si>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</si>
  <si>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</si>
  <si>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</si>
  <si>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</si>
  <si>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</si>
  <si>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</si>
  <si>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</si>
  <si>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</si>
  <si>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</si>
  <si>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</si>
  <si>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</si>
  <si>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</si>
  <si>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</si>
  <si>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</si>
  <si>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</si>
  <si>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</si>
  <si>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</si>
  <si>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</si>
  <si>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</si>
  <si>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</si>
  <si>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</si>
  <si>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</si>
  <si>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</si>
  <si>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</si>
  <si>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</si>
  <si>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</si>
  <si>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</si>
  <si>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</si>
  <si>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</si>
  <si>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</si>
  <si>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</si>
  <si>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</si>
  <si>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</si>
  <si>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</si>
  <si>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</si>
  <si>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</si>
  <si>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</si>
  <si>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</si>
  <si>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</si>
  <si>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</si>
  <si>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</si>
  <si>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</si>
  <si>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</si>
  <si>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</si>
  <si>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</si>
  <si>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</si>
  <si>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</si>
  <si>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</si>
  <si>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</si>
  <si>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</si>
  <si>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</si>
  <si>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</si>
  <si>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</si>
  <si>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</si>
  <si>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</si>
  <si>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</si>
  <si>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</si>
  <si>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</si>
  <si>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</si>
  <si>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</si>
  <si>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</si>
  <si>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</si>
  <si>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</si>
  <si>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</si>
  <si>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</si>
  <si>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</si>
  <si>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</si>
  <si>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</si>
  <si>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</si>
  <si>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</si>
  <si>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</si>
  <si>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</si>
  <si>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</si>
  <si>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</si>
  <si>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</si>
  <si>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</si>
  <si>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</si>
  <si>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</si>
  <si>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</si>
  <si>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</si>
  <si>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</si>
  <si>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</si>
  <si>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</si>
  <si>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</si>
  <si>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</si>
  <si>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</si>
  <si>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</si>
  <si>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</si>
  <si>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</si>
  <si>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</si>
  <si>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</si>
  <si>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</si>
  <si>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</si>
  <si>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</si>
  <si>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</si>
  <si>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</si>
  <si>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</si>
  <si>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</si>
  <si>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</si>
  <si>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</si>
  <si>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</si>
  <si>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</si>
  <si>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</si>
  <si>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</si>
  <si>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</si>
  <si>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</si>
  <si>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</si>
  <si>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</si>
  <si>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</si>
  <si>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</si>
  <si>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</si>
  <si>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</si>
  <si>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</si>
  <si>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</si>
  <si>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</si>
  <si>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</si>
  <si>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</si>
  <si>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</si>
  <si>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</si>
  <si>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</si>
  <si>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</si>
  <si>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</si>
  <si>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</si>
  <si>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</si>
  <si>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</si>
  <si>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</si>
  <si>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</si>
  <si>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</si>
  <si>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</si>
  <si>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</si>
  <si>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</si>
  <si>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</si>
  <si>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</si>
  <si>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</si>
  <si>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</si>
  <si>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</si>
  <si>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</si>
  <si>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</si>
  <si>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</si>
  <si>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</si>
  <si>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</si>
  <si>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</si>
  <si>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</si>
  <si>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</si>
  <si>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</si>
  <si>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</si>
  <si>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</si>
  <si>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</si>
  <si>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</si>
  <si>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</si>
  <si>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</si>
  <si>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</si>
  <si>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</si>
  <si>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</si>
  <si>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</si>
  <si>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</si>
  <si>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</si>
  <si>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</si>
  <si>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</si>
  <si>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</si>
  <si>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</si>
  <si>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</si>
  <si>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</si>
  <si>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</si>
  <si>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</si>
  <si>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</si>
  <si>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</si>
  <si>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</si>
  <si>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</si>
  <si>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</si>
  <si>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</si>
  <si>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</si>
  <si>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</si>
  <si>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</si>
  <si>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</si>
  <si>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</si>
  <si>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</si>
  <si>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</si>
  <si>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</si>
  <si>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</si>
  <si>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</si>
  <si>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</si>
  <si>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</si>
  <si>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</si>
  <si>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</si>
  <si>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</si>
  <si>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</si>
  <si>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</si>
  <si>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</si>
  <si>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</si>
  <si>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</si>
  <si>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</si>
  <si>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</si>
  <si>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</si>
  <si>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</si>
  <si>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</si>
  <si>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</si>
  <si>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</si>
  <si>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</si>
  <si>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</si>
  <si>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</si>
  <si>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</si>
  <si>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</si>
  <si>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</si>
  <si>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</si>
  <si>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</si>
  <si>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</si>
  <si>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</si>
  <si>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</si>
  <si>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</si>
  <si>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</si>
  <si>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</si>
  <si>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</si>
  <si>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</si>
  <si>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</si>
  <si>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</si>
  <si>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</si>
  <si>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</si>
  <si>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</si>
  <si>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</si>
  <si>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</si>
  <si>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</si>
  <si>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</si>
  <si>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</si>
  <si>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</si>
  <si>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</si>
  <si>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</si>
  <si>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</si>
  <si>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</si>
  <si>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</si>
  <si>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</si>
  <si>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</si>
  <si>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</si>
  <si>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</si>
  <si>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</si>
  <si>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</si>
  <si>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</si>
  <si>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</si>
  <si>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</si>
  <si>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</si>
  <si>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</si>
  <si>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</si>
  <si>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</si>
  <si>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</si>
  <si>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</si>
  <si>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</si>
  <si>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</si>
  <si>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</si>
  <si>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</si>
  <si>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</si>
  <si>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</si>
  <si>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</si>
  <si>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</si>
  <si>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</si>
  <si>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</si>
  <si>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</si>
  <si>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</si>
  <si>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</si>
  <si>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</si>
  <si>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</si>
  <si>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</si>
  <si>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</si>
  <si>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</si>
  <si>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</si>
  <si>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</si>
  <si>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</si>
  <si>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</si>
  <si>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</si>
  <si>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</si>
  <si>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</si>
  <si>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</si>
  <si>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</si>
  <si>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</si>
  <si>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</si>
  <si>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</si>
  <si>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</si>
  <si>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</si>
  <si>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</si>
  <si>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</si>
  <si>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</si>
  <si>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</si>
  <si>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</si>
  <si>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</si>
  <si>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</si>
  <si>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</si>
  <si>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</si>
  <si>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</si>
  <si>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</si>
  <si>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</si>
  <si>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</si>
  <si>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</si>
  <si>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</si>
  <si>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</si>
  <si>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</si>
  <si>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</si>
  <si>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</si>
  <si>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</si>
  <si>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</si>
  <si>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</si>
  <si>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</si>
  <si>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</si>
  <si>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</si>
  <si>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</si>
  <si>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</si>
  <si>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</si>
  <si>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</si>
  <si>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</si>
  <si>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</si>
  <si>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</si>
  <si>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</si>
  <si>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</si>
  <si>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</si>
  <si>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</si>
  <si>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</si>
  <si>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</si>
  <si>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</si>
  <si>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</si>
  <si>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</si>
  <si>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</si>
  <si>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</si>
  <si>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</si>
  <si>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</si>
  <si>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</si>
  <si>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</si>
  <si>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</si>
  <si>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</si>
  <si>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</si>
  <si>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</si>
  <si>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</si>
  <si>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</si>
  <si>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</si>
  <si>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</si>
  <si>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</si>
  <si>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</si>
  <si>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</si>
  <si>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</si>
  <si>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</si>
  <si>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</si>
  <si>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</si>
  <si>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</si>
  <si>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</si>
  <si>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</si>
  <si>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</si>
  <si>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</si>
  <si>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</si>
  <si>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</si>
  <si>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</si>
  <si>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</si>
  <si>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</si>
  <si>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</si>
  <si>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</si>
  <si>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</si>
  <si>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</si>
  <si>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</si>
  <si>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</si>
  <si>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</si>
  <si>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</si>
  <si>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</si>
  <si>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</si>
  <si>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</si>
  <si>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</si>
  <si>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</si>
  <si>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</si>
  <si>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</si>
  <si>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</si>
  <si>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</si>
  <si>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</si>
  <si>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</si>
  <si>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</si>
  <si>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</si>
  <si>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</si>
  <si>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</si>
  <si>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</si>
  <si>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</si>
  <si>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</si>
  <si>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</si>
  <si>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</si>
  <si>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</si>
  <si>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</si>
  <si>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</si>
  <si>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</si>
  <si>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</si>
  <si>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</si>
  <si>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</si>
  <si>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</si>
  <si>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</si>
  <si>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</si>
  <si>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</si>
  <si>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</si>
  <si>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</si>
  <si>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</si>
  <si>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</si>
  <si>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</si>
  <si>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</si>
  <si>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</si>
  <si>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</si>
  <si>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</si>
  <si>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</si>
  <si>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</si>
  <si>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</si>
  <si>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</si>
  <si>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</si>
  <si>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</si>
  <si>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</si>
  <si>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</si>
  <si>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</si>
  <si>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</si>
  <si>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</si>
  <si>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</si>
  <si>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</si>
  <si>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</si>
  <si>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</si>
  <si>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</si>
  <si>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</si>
  <si>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</si>
  <si>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</si>
  <si>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</si>
  <si>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</si>
  <si>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</si>
  <si>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</si>
  <si>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</si>
  <si>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</si>
  <si>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</si>
  <si>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</si>
  <si>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</si>
  <si>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</si>
  <si>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</si>
  <si>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</si>
  <si>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</si>
  <si>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</si>
  <si>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</si>
  <si>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</si>
  <si>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</si>
  <si>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</si>
  <si>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</si>
  <si>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</si>
  <si>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</si>
  <si>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</si>
  <si>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</si>
  <si>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</si>
  <si>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</si>
  <si>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</si>
  <si>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</si>
  <si>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</si>
  <si>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</si>
  <si>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</si>
  <si>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</si>
  <si>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</si>
  <si>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</si>
  <si>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</si>
  <si>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</si>
  <si>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</si>
  <si>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</si>
  <si>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</si>
  <si>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</si>
  <si>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</si>
  <si>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</si>
  <si>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</si>
  <si>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</si>
  <si>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</si>
  <si>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</si>
  <si>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</si>
  <si>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</si>
  <si>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</si>
  <si>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</si>
  <si>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</si>
  <si>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</si>
  <si>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</si>
  <si>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</si>
  <si>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</si>
  <si>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</si>
  <si>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</si>
  <si>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</si>
  <si>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</si>
  <si>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</si>
  <si>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</si>
  <si>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</si>
  <si>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</si>
  <si>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</si>
  <si>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</si>
  <si>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</si>
  <si>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</si>
  <si>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</si>
  <si>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</si>
  <si>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</si>
  <si>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</si>
  <si>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</si>
  <si>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</si>
  <si>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</si>
  <si>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</si>
  <si>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</si>
  <si>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</si>
  <si>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</si>
  <si>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</si>
  <si>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</si>
  <si>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</si>
  <si>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</si>
  <si>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</si>
  <si>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</si>
  <si>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</si>
  <si>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</si>
  <si>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</si>
  <si>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</si>
  <si>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</si>
  <si>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</si>
  <si>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</si>
  <si>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</si>
  <si>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</si>
  <si>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</si>
  <si>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</si>
  <si>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</si>
  <si>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</si>
  <si>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</si>
  <si>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</si>
  <si>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</si>
  <si>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</si>
  <si>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</si>
  <si>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</si>
  <si>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</si>
  <si>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</si>
  <si>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</si>
  <si>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</si>
  <si>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</si>
  <si>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</si>
  <si>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</si>
  <si>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</si>
  <si>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</si>
  <si>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</si>
  <si>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</si>
  <si>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</si>
  <si>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</si>
  <si>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</si>
  <si>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</si>
  <si>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</si>
  <si>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</si>
  <si>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</si>
  <si>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</si>
  <si>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</si>
  <si>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</si>
  <si>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</si>
  <si>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</si>
  <si>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</si>
  <si>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</si>
  <si>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</si>
  <si>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</si>
  <si>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</si>
  <si>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</si>
  <si>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</si>
  <si>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</si>
  <si>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</si>
  <si>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</si>
  <si>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</si>
  <si>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</si>
  <si>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</si>
  <si>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</si>
  <si>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</si>
  <si>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</si>
  <si>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</si>
  <si>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</si>
  <si>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</si>
  <si>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</si>
  <si>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</si>
  <si>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</si>
  <si>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</si>
  <si>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</si>
  <si>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</si>
  <si>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</si>
  <si>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</si>
  <si>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</si>
  <si>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</si>
  <si>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</si>
  <si>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</si>
  <si>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</si>
  <si>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</si>
  <si>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</si>
  <si>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</si>
  <si>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</si>
  <si>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</si>
  <si>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</si>
  <si>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</si>
  <si>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</si>
  <si>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</si>
  <si>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</si>
  <si>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</si>
  <si>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</si>
  <si>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</si>
  <si>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</si>
  <si>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</si>
  <si>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</si>
  <si>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</si>
  <si>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</si>
  <si>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</si>
  <si>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</si>
  <si>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</si>
  <si>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</si>
  <si>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</si>
  <si>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</si>
  <si>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</si>
  <si>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</si>
  <si>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</si>
  <si>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</si>
  <si>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</si>
  <si>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</si>
  <si>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</si>
  <si>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</si>
  <si>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</si>
  <si>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</si>
  <si>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</si>
  <si>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</si>
  <si>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</si>
  <si>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</si>
  <si>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</si>
  <si>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</si>
  <si>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</si>
  <si>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</si>
  <si>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</si>
  <si>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</si>
  <si>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</si>
  <si>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</si>
  <si>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</si>
  <si>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</si>
  <si>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</si>
  <si>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</si>
  <si>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</si>
  <si>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</si>
  <si>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</si>
  <si>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</si>
  <si>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</si>
  <si>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</si>
  <si>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</si>
  <si>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</si>
  <si>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</si>
  <si>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</si>
  <si>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</si>
  <si>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</si>
  <si>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</si>
  <si>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</si>
  <si>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</si>
  <si>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</si>
  <si>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</si>
  <si>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</si>
  <si>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</si>
  <si>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</si>
  <si>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</si>
  <si>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</si>
  <si>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</si>
  <si>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</si>
  <si>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</si>
  <si>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</si>
  <si>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</si>
  <si>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</si>
  <si>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</si>
  <si>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</si>
  <si>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</si>
  <si>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</si>
  <si>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</si>
  <si>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</si>
  <si>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</si>
  <si>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</si>
  <si>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</si>
  <si>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</si>
  <si>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</si>
  <si>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</si>
  <si>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</si>
  <si>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</si>
  <si>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</si>
  <si>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</si>
  <si>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</si>
  <si>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</si>
  <si>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</si>
  <si>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</si>
  <si>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</si>
  <si>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</si>
  <si>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</si>
  <si>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</si>
  <si>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</si>
  <si>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</si>
  <si>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</si>
  <si>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</si>
  <si>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</si>
  <si>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</si>
  <si>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</si>
  <si>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</si>
  <si>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</si>
  <si>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</si>
  <si>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</si>
  <si>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</si>
  <si>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</si>
  <si>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</si>
  <si>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</si>
  <si>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</si>
  <si>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</si>
  <si>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</si>
  <si>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</si>
  <si>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</si>
  <si>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</si>
  <si>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</si>
  <si>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</si>
  <si>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</si>
  <si>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</si>
  <si>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</si>
  <si>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</si>
  <si>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</si>
  <si>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</si>
  <si>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</si>
  <si>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</si>
  <si>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</si>
  <si>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</si>
  <si>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</si>
  <si>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</si>
  <si>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</si>
  <si>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</si>
  <si>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</si>
  <si>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</si>
  <si>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</si>
  <si>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</si>
  <si>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</si>
  <si>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</si>
  <si>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</si>
  <si>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</si>
  <si>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</si>
  <si>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</si>
  <si>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</si>
  <si>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</si>
  <si>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</si>
  <si>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</si>
  <si>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</si>
  <si>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</si>
  <si>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</si>
  <si>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</si>
  <si>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</si>
  <si>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</si>
  <si>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</si>
  <si>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</si>
  <si>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</si>
  <si>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</si>
  <si>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</si>
  <si>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</si>
  <si>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</si>
  <si>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</si>
  <si>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</si>
  <si>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</si>
  <si>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</si>
  <si>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</si>
  <si>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</si>
  <si>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</si>
  <si>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</si>
  <si>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</si>
  <si>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</si>
  <si>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</si>
  <si>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</si>
  <si>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</si>
  <si>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</si>
  <si>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</si>
  <si>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</si>
  <si>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</si>
  <si>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</si>
  <si>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</si>
  <si>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</si>
  <si>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</si>
  <si>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</si>
  <si>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</si>
  <si>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</si>
  <si>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</si>
  <si>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</si>
  <si>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</si>
  <si>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</si>
  <si>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</si>
  <si>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</si>
  <si>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</si>
  <si>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</si>
  <si>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</si>
  <si>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</si>
  <si>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</si>
  <si>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</si>
  <si>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</si>
  <si>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</si>
  <si>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</si>
  <si>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</si>
  <si>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</si>
  <si>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</si>
  <si>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</si>
  <si>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</si>
  <si>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</si>
  <si>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</si>
  <si>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</si>
  <si>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</si>
  <si>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</si>
  <si>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</si>
  <si>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</si>
  <si>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</si>
  <si>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</si>
  <si>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</si>
  <si>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</si>
  <si>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</si>
  <si>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</si>
  <si>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</si>
  <si>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</si>
  <si>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</si>
  <si>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</si>
  <si>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</si>
  <si>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</si>
  <si>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</si>
  <si>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</si>
  <si>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</si>
  <si>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</si>
  <si>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</si>
  <si>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</si>
  <si>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</si>
  <si>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</si>
  <si>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</si>
  <si>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</si>
  <si>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</si>
  <si>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</si>
  <si>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</si>
  <si>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</si>
  <si>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</si>
  <si>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</si>
  <si>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</si>
  <si>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</si>
  <si>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</si>
  <si>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</si>
  <si>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</si>
  <si>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</si>
  <si>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</si>
  <si>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</si>
  <si>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</si>
  <si>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</si>
  <si>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</si>
  <si>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</si>
  <si>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</si>
  <si>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</si>
  <si>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</si>
  <si>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</si>
  <si>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</si>
  <si>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</si>
  <si>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</si>
  <si>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</si>
  <si>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</si>
  <si>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</si>
  <si>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</si>
  <si>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</si>
  <si>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</si>
  <si>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</si>
  <si>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</si>
  <si>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</si>
  <si>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</si>
  <si>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</si>
  <si>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</si>
  <si>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</si>
  <si>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</si>
  <si>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</si>
  <si>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</si>
  <si>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</si>
  <si>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</si>
  <si>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</si>
  <si>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</si>
  <si>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</si>
  <si>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</si>
  <si>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</si>
  <si>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</si>
  <si>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</si>
  <si>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</si>
  <si>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</si>
  <si>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</si>
  <si>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</si>
  <si>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</si>
  <si>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</si>
  <si>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</si>
  <si>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</si>
  <si>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</si>
  <si>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</si>
  <si>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</si>
  <si>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</si>
  <si>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</si>
  <si>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</si>
  <si>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</si>
  <si>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</si>
  <si>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</si>
  <si>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</si>
  <si>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</si>
  <si>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</si>
  <si>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</si>
  <si>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</si>
  <si>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</si>
  <si>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</si>
  <si>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</si>
  <si>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</si>
  <si>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</si>
  <si>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</si>
  <si>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</si>
  <si>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</si>
  <si>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</si>
  <si>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</si>
  <si>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</si>
  <si>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</si>
  <si>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</si>
  <si>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</si>
  <si>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</si>
  <si>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</si>
  <si>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</si>
  <si>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</si>
  <si>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</si>
  <si>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</si>
  <si>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</si>
  <si>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</si>
  <si>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</si>
  <si>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</si>
  <si>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</si>
  <si>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</si>
  <si>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</si>
  <si>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</si>
  <si>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</si>
  <si>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</si>
  <si>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</si>
  <si>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</si>
  <si>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</si>
  <si>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</si>
  <si>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</si>
  <si>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</si>
  <si>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</si>
  <si>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</si>
  <si>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</si>
  <si>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</si>
  <si>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</si>
  <si>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</si>
  <si>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</si>
  <si>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</si>
  <si>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</si>
  <si>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</si>
  <si>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</si>
  <si>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</si>
  <si>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</si>
  <si>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</si>
  <si>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</si>
  <si>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</si>
  <si>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</si>
  <si>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</si>
  <si>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</si>
  <si>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</si>
  <si>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</si>
  <si>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</si>
  <si>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</si>
  <si>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</si>
  <si>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</si>
  <si>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</si>
  <si>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</si>
  <si>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</si>
  <si>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</si>
  <si>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</si>
  <si>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</si>
  <si>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</si>
  <si>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</si>
  <si>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</si>
  <si>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</si>
  <si>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</si>
  <si>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</si>
  <si>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</si>
  <si>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</si>
  <si>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</si>
  <si>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</si>
  <si>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</si>
  <si>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</si>
  <si>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</si>
  <si>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</si>
  <si>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</si>
  <si>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</si>
  <si>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</si>
  <si>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</si>
  <si>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</si>
  <si>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</si>
  <si>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</si>
  <si>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</si>
  <si>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</si>
  <si>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</si>
  <si>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</si>
  <si>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</si>
  <si>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</si>
  <si>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</si>
  <si>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</si>
  <si>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</si>
  <si>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</si>
  <si>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</si>
  <si>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</si>
  <si>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</si>
  <si>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</si>
  <si>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</si>
  <si>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</si>
  <si>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</si>
  <si>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</si>
  <si>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</si>
  <si>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</si>
  <si>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</si>
  <si>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</si>
  <si>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</si>
  <si>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</si>
  <si>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</si>
  <si>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</si>
  <si>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</si>
  <si>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</si>
  <si>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</si>
  <si>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</si>
  <si>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</si>
  <si>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</si>
  <si>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</si>
  <si>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</si>
  <si>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</si>
  <si>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</si>
  <si>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</si>
  <si>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</si>
  <si>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</si>
  <si>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</si>
  <si>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</si>
  <si>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</si>
  <si>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</si>
  <si>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</si>
  <si>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</si>
  <si>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</si>
  <si>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</si>
  <si>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</si>
  <si>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</si>
  <si>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</si>
  <si>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</si>
  <si>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</si>
  <si>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</si>
  <si>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</si>
  <si>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</si>
  <si>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</si>
  <si>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</si>
  <si>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</si>
  <si>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</si>
  <si>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</si>
  <si>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</si>
  <si>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</si>
  <si>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</si>
  <si>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</si>
  <si>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</si>
  <si>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</si>
  <si>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</si>
  <si>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</si>
  <si>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</si>
  <si>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</si>
  <si>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</si>
  <si>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</si>
  <si>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</si>
  <si>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</si>
  <si>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</si>
  <si>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</si>
  <si>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</si>
  <si>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</si>
  <si>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</si>
  <si>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</si>
  <si>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</si>
  <si>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</si>
  <si>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</si>
  <si>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</si>
  <si>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</si>
  <si>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</si>
  <si>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</si>
  <si>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</si>
  <si>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</si>
  <si>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</si>
  <si>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</si>
  <si>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</si>
  <si>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</si>
  <si>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</si>
  <si>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</si>
  <si>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</si>
  <si>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</si>
  <si>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</si>
  <si>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</si>
  <si>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</si>
  <si>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</si>
  <si>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</si>
  <si>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</si>
  <si>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</si>
  <si>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</si>
  <si>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</si>
  <si>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</si>
  <si>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</si>
  <si>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</si>
  <si>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</si>
  <si>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</si>
  <si>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</si>
  <si>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</si>
  <si>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</si>
  <si>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</si>
  <si>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</si>
  <si>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</si>
  <si>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</si>
  <si>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</si>
  <si>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</si>
  <si>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</si>
  <si>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</si>
  <si>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</si>
  <si>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</si>
  <si>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</si>
  <si>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</si>
  <si>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</si>
  <si>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</si>
  <si>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</si>
  <si>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</si>
  <si>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</si>
  <si>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</si>
  <si>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</si>
  <si>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</si>
  <si>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</si>
  <si>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</si>
  <si>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</si>
  <si>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</si>
  <si>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</si>
  <si>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</si>
  <si>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</si>
  <si>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</si>
  <si>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</si>
  <si>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</si>
  <si>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</si>
  <si>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</si>
  <si>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</si>
  <si>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</si>
  <si>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</si>
  <si>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</si>
  <si>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</si>
  <si>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</si>
  <si>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</si>
  <si>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</si>
  <si>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</si>
  <si>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</si>
  <si>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</si>
  <si>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</si>
  <si>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</si>
  <si>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</si>
  <si>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</si>
  <si>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</si>
  <si>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</si>
  <si>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</si>
  <si>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</si>
  <si>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</si>
  <si>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</si>
  <si>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</si>
  <si>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</si>
  <si>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</si>
  <si>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</si>
  <si>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</si>
  <si>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</si>
  <si>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</si>
  <si>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</si>
  <si>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</si>
  <si>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</si>
  <si>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</si>
  <si>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</si>
  <si>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</si>
  <si>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</si>
  <si>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</si>
  <si>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</si>
  <si>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</si>
  <si>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</si>
  <si>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</si>
  <si>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</si>
  <si>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</si>
  <si>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</si>
  <si>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</si>
  <si>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</si>
  <si>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</si>
  <si>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</si>
  <si>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</si>
  <si>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</si>
  <si>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</si>
  <si>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</si>
  <si>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</si>
  <si>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</si>
  <si>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</si>
  <si>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</si>
  <si>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</si>
  <si>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</si>
  <si>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</si>
  <si>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</si>
  <si>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</si>
  <si>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</si>
  <si>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</si>
  <si>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</si>
  <si>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</si>
  <si>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</si>
  <si>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</si>
  <si>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</si>
  <si>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</si>
  <si>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</si>
  <si>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</si>
  <si>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</si>
  <si>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</si>
  <si>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</si>
  <si>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</si>
  <si>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</si>
  <si>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</si>
  <si>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</si>
  <si>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</si>
  <si>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</si>
  <si>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</si>
  <si>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</si>
  <si>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</si>
  <si>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</si>
  <si>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</si>
  <si>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</si>
  <si>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</si>
  <si>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</si>
  <si>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</si>
  <si>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</si>
  <si>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</si>
  <si>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</si>
  <si>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</si>
  <si>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</si>
  <si>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</si>
  <si>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</si>
  <si>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</si>
  <si>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</si>
  <si>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</si>
  <si>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</si>
  <si>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</si>
  <si>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</si>
  <si>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</si>
  <si>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</si>
  <si>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</si>
  <si>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</si>
  <si>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</si>
  <si>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</si>
  <si>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</si>
  <si>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</si>
  <si>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</si>
  <si>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</si>
  <si>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</si>
  <si>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</si>
  <si>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</si>
  <si>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</si>
  <si>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</si>
  <si>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</si>
  <si>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</si>
  <si>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</si>
  <si>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</si>
  <si>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</si>
  <si>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</si>
  <si>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</si>
  <si>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</si>
  <si>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</si>
  <si>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</si>
  <si>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</si>
  <si>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</si>
  <si>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</si>
  <si>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</si>
  <si>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</si>
  <si>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</si>
  <si>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</si>
  <si>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</si>
  <si>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</si>
  <si>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</si>
  <si>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</si>
  <si>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</si>
  <si>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</si>
  <si>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</si>
  <si>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</si>
  <si>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</si>
  <si>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</si>
  <si>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</si>
  <si>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</si>
  <si>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</si>
  <si>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</si>
  <si>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</si>
  <si>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</si>
  <si>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</si>
  <si>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</si>
  <si>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</si>
  <si>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</si>
  <si>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</si>
  <si>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</si>
  <si>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</si>
  <si>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</si>
  <si>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</si>
  <si>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</si>
  <si>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</si>
  <si>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</si>
  <si>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</si>
  <si>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</si>
  <si>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</si>
  <si>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</si>
  <si>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</si>
  <si>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</si>
  <si>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</si>
  <si>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</si>
  <si>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</si>
  <si>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</si>
  <si>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</si>
  <si>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</si>
  <si>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</si>
  <si>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</si>
  <si>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</si>
  <si>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</si>
  <si>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</si>
  <si>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</si>
  <si>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</si>
  <si>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</si>
  <si>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</si>
  <si>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</si>
  <si>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</si>
  <si>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</si>
  <si>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</si>
  <si>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</si>
  <si>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</si>
  <si>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</si>
  <si>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</si>
  <si>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</si>
  <si>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</si>
  <si>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</si>
  <si>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</si>
  <si>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</si>
  <si>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</si>
  <si>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</si>
  <si>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</si>
  <si>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</si>
  <si>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</si>
  <si>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</si>
  <si>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</si>
  <si>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</si>
  <si>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</si>
  <si>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</si>
  <si>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</si>
  <si>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</si>
  <si>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</si>
  <si>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</si>
  <si>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</si>
  <si>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</si>
  <si>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</si>
  <si>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</si>
  <si>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</si>
  <si>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</si>
  <si>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</si>
  <si>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</si>
  <si>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</si>
  <si>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</si>
  <si>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</si>
  <si>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</si>
  <si>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</si>
  <si>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</si>
  <si>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</si>
  <si>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</si>
  <si>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</si>
  <si>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</si>
  <si>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</si>
  <si>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</si>
  <si>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</si>
  <si>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</si>
  <si>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</si>
  <si>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</si>
  <si>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</si>
  <si>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</si>
  <si>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</si>
  <si>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</si>
  <si>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</si>
  <si>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</si>
  <si>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</si>
  <si>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</si>
  <si>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</si>
  <si>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</si>
  <si>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</si>
  <si>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</si>
  <si>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</si>
  <si>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</si>
  <si>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</si>
  <si>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</si>
  <si>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</si>
  <si>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</si>
  <si>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</si>
  <si>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</si>
  <si>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</si>
  <si>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</si>
  <si>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</si>
  <si>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</si>
  <si>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</si>
  <si>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</si>
  <si>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</si>
  <si>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</si>
  <si>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</si>
  <si>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</si>
  <si>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</si>
  <si>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</si>
  <si>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</si>
  <si>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</si>
  <si>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</si>
  <si>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</si>
  <si>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</si>
  <si>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</si>
  <si>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</si>
  <si>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</si>
  <si>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</si>
  <si>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</si>
  <si>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</si>
  <si>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</si>
  <si>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</si>
  <si>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</si>
  <si>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</si>
  <si>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</si>
  <si>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</si>
  <si>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</si>
  <si>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</si>
  <si>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</si>
  <si>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</si>
  <si>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</si>
  <si>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</si>
  <si>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</si>
  <si>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</si>
  <si>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</si>
  <si>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</si>
  <si>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</si>
  <si>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</si>
  <si>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</si>
  <si>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</si>
  <si>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</si>
  <si>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</si>
  <si>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</si>
  <si>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</si>
  <si>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</si>
  <si>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</si>
  <si>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</si>
  <si>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</si>
  <si>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</si>
  <si>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</si>
  <si>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</si>
  <si>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</si>
  <si>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</si>
  <si>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</si>
  <si>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</si>
  <si>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</si>
  <si>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</si>
  <si>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</si>
  <si>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</si>
  <si>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</si>
  <si>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</si>
  <si>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</si>
  <si>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</si>
  <si>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</si>
  <si>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</si>
  <si>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</si>
  <si>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</si>
  <si>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</si>
  <si>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</si>
  <si>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</si>
  <si>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</si>
  <si>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</si>
  <si>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</si>
  <si>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</si>
  <si>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</si>
  <si>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</si>
  <si>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</si>
  <si>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</si>
  <si>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</si>
  <si>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</si>
  <si>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</si>
  <si>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</si>
  <si>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</si>
  <si>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</si>
  <si>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</si>
  <si>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</si>
  <si>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</si>
  <si>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</si>
  <si>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</si>
  <si>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</si>
  <si>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</si>
  <si>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</si>
  <si>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</si>
  <si>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</si>
  <si>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</si>
  <si>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</si>
  <si>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</si>
  <si>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</si>
  <si>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</si>
  <si>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</si>
  <si>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</si>
  <si>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</si>
  <si>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</si>
  <si>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</si>
  <si>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</si>
  <si>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</si>
  <si>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</si>
  <si>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</si>
  <si>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</si>
  <si>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</si>
  <si>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</si>
  <si>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</si>
  <si>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</si>
  <si>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</si>
  <si>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</si>
  <si>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</si>
  <si>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</si>
  <si>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</si>
  <si>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</si>
  <si>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</si>
  <si>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</si>
  <si>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</si>
  <si>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</si>
  <si>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</si>
  <si>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</si>
  <si>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</si>
  <si>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</si>
  <si>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</si>
  <si>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</si>
  <si>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</si>
  <si>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</si>
  <si>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</si>
  <si>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</si>
  <si>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</si>
  <si>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</si>
  <si>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</si>
  <si>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</si>
  <si>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</si>
  <si>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</si>
  <si>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</si>
  <si>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</si>
  <si>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</si>
  <si>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</si>
  <si>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</si>
  <si>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</si>
  <si>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</si>
  <si>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</si>
  <si>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</si>
  <si>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</si>
  <si>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</si>
  <si>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</si>
  <si>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</si>
  <si>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</si>
  <si>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</si>
  <si>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</si>
  <si>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</si>
  <si>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</si>
  <si>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</si>
  <si>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</si>
  <si>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</si>
  <si>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</si>
  <si>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</si>
  <si>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</si>
  <si>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</si>
  <si>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</si>
  <si>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</si>
  <si>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</si>
  <si>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</si>
  <si>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</si>
  <si>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</si>
  <si>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</si>
  <si>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</si>
  <si>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</si>
  <si>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</si>
  <si>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</si>
  <si>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</si>
  <si>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</si>
  <si>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</si>
  <si>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</si>
  <si>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</si>
  <si>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</si>
  <si>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</si>
  <si>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</si>
  <si>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</si>
  <si>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</si>
  <si>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</si>
  <si>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</si>
  <si>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</si>
  <si>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</si>
  <si>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</si>
  <si>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</si>
  <si>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</si>
  <si>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</si>
  <si>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</si>
  <si>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</si>
  <si>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</si>
  <si>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</si>
  <si>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</si>
  <si>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</si>
  <si>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</si>
  <si>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</si>
  <si>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</si>
  <si>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</si>
  <si>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</si>
  <si>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</si>
  <si>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</si>
  <si>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</si>
  <si>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</si>
  <si>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</si>
  <si>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</si>
  <si>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</si>
  <si>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</si>
  <si>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</si>
  <si>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</si>
  <si>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</si>
  <si>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</si>
  <si>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</si>
  <si>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</si>
  <si>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</si>
  <si>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</si>
  <si>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</si>
  <si>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</si>
  <si>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</si>
  <si>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</si>
  <si>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</si>
  <si>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</si>
  <si>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</si>
  <si>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</si>
  <si>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</si>
  <si>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</si>
  <si>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</si>
  <si>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</si>
  <si>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</si>
  <si>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</si>
  <si>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</si>
  <si>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</si>
  <si>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</si>
  <si>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</si>
  <si>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</si>
  <si>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</si>
  <si>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</si>
  <si>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</si>
  <si>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</si>
  <si>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</si>
  <si>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</si>
  <si>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</si>
  <si>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</si>
  <si>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</si>
  <si>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</si>
  <si>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</si>
  <si>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</si>
  <si>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</si>
  <si>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</si>
  <si>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</si>
  <si>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</si>
  <si>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</si>
  <si>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</si>
  <si>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</si>
  <si>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</si>
  <si>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</si>
  <si>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</si>
  <si>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</si>
  <si>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</si>
  <si>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</si>
  <si>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</si>
  <si>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</si>
  <si>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</si>
  <si>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</si>
  <si>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</si>
  <si>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</si>
  <si>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</si>
  <si>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</si>
  <si>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</si>
  <si>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</si>
  <si>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</si>
  <si>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</si>
  <si>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</si>
  <si>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</si>
  <si>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</si>
  <si>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</si>
  <si>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</si>
  <si>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</si>
  <si>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</si>
  <si>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</si>
  <si>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</si>
  <si>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</si>
  <si>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</si>
  <si>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</si>
  <si>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</si>
  <si>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</si>
  <si>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</si>
  <si>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</si>
  <si>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</si>
  <si>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</si>
  <si>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</si>
  <si>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</si>
  <si>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</si>
  <si>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</si>
  <si>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</si>
  <si>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</si>
  <si>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</si>
  <si>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</si>
  <si>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</si>
  <si>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</si>
  <si>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</si>
  <si>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</si>
  <si>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</si>
  <si>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</si>
  <si>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</si>
  <si>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</si>
  <si>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</si>
  <si>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</si>
  <si>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</si>
  <si>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</si>
  <si>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</si>
  <si>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</si>
  <si>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</si>
  <si>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</si>
  <si>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</si>
  <si>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</si>
  <si>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</si>
  <si>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</si>
  <si>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</si>
  <si>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</si>
  <si>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</si>
  <si>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</si>
  <si>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</si>
  <si>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</si>
  <si>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</si>
  <si>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</si>
  <si>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</si>
  <si>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</si>
  <si>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</si>
  <si>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</si>
  <si>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</si>
  <si>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</si>
  <si>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</si>
  <si>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</si>
  <si>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</si>
  <si>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</si>
  <si>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</si>
  <si>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</si>
  <si>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</si>
  <si>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</si>
  <si>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</si>
  <si>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</si>
  <si>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</si>
  <si>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</si>
  <si>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</si>
  <si>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</si>
  <si>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</si>
  <si>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</si>
  <si>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</si>
  <si>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</si>
  <si>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</si>
  <si>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</si>
  <si>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</si>
  <si>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</si>
  <si>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</si>
  <si>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</si>
  <si>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</si>
  <si>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</si>
  <si>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</si>
  <si>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</si>
  <si>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</si>
  <si>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</si>
  <si>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</si>
  <si>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</si>
  <si>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</si>
  <si>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</si>
  <si>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</si>
  <si>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</si>
  <si>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</si>
  <si>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</si>
  <si>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</si>
  <si>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</si>
  <si>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</si>
  <si>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</si>
  <si>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</si>
  <si>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</si>
  <si>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</si>
  <si>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</si>
  <si>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</si>
  <si>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</si>
  <si>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</si>
  <si>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</si>
  <si>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</si>
  <si>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</si>
  <si>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</si>
  <si>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</si>
  <si>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</si>
  <si>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</si>
  <si>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</si>
  <si>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</si>
  <si>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</si>
  <si>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</si>
  <si>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</si>
  <si>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</si>
  <si>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</si>
  <si>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</si>
  <si>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</si>
  <si>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</si>
  <si>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</si>
  <si>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</si>
  <si>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</si>
  <si>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</si>
  <si>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</si>
  <si>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</si>
  <si>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</si>
  <si>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</si>
  <si>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</si>
  <si>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</si>
  <si>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</si>
  <si>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</si>
  <si>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</si>
  <si>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</si>
  <si>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</si>
  <si>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</si>
  <si>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</si>
  <si>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</si>
  <si>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</si>
  <si>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</si>
  <si>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</si>
  <si>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</si>
  <si>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</si>
  <si>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</si>
  <si>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</si>
  <si>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</si>
  <si>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</si>
  <si>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</si>
  <si>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</si>
  <si>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</si>
  <si>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</si>
  <si>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</si>
  <si>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</si>
  <si>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</si>
  <si>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</si>
  <si>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</si>
  <si>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</si>
  <si>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</si>
  <si>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</si>
  <si>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</si>
  <si>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</si>
  <si>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</si>
  <si>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</si>
  <si>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</si>
  <si>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</si>
  <si>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</si>
  <si>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</si>
  <si>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</si>
  <si>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</si>
  <si>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</si>
  <si>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</si>
  <si>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</si>
  <si>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</si>
  <si>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</si>
  <si>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</si>
  <si>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</si>
  <si>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</si>
  <si>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</si>
  <si>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</si>
  <si>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</si>
  <si>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</si>
  <si>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</si>
  <si>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</si>
  <si>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</si>
  <si>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</si>
  <si>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</si>
  <si>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</si>
  <si>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</si>
  <si>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</si>
  <si>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</si>
  <si>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</si>
  <si>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</si>
  <si>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</si>
  <si>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</si>
  <si>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</si>
  <si>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</si>
  <si>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</si>
  <si>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</si>
  <si>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</si>
  <si>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</si>
  <si>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</si>
  <si>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</si>
  <si>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</si>
  <si>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</si>
  <si>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</si>
  <si>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</si>
  <si>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</si>
  <si>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</si>
  <si>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</si>
  <si>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</si>
  <si>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</si>
  <si>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</si>
  <si>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</si>
  <si>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</si>
  <si>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</si>
  <si>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</si>
  <si>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</si>
  <si>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</si>
  <si>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</si>
  <si>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</si>
  <si>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</si>
  <si>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</si>
  <si>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</si>
  <si>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</si>
  <si>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</si>
  <si>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</si>
  <si>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</si>
  <si>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</si>
  <si>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</si>
  <si>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</si>
  <si>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</si>
  <si>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</si>
  <si>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</si>
  <si>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</si>
  <si>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</si>
  <si>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</si>
  <si>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</si>
  <si>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</si>
  <si>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</si>
  <si>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</si>
  <si>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</si>
  <si>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</si>
  <si>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</si>
  <si>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</si>
  <si>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</si>
  <si>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</si>
  <si>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</si>
  <si>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</si>
  <si>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</si>
  <si>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</si>
  <si>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</si>
  <si>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</si>
  <si>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</si>
  <si>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</si>
  <si>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</si>
  <si>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</si>
  <si>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</si>
  <si>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</si>
  <si>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</si>
  <si>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</si>
  <si>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</si>
  <si>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</si>
  <si>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</si>
  <si>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</si>
  <si>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</si>
  <si>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</si>
  <si>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</si>
  <si>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</si>
  <si>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</si>
  <si>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</si>
  <si>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</si>
  <si>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</si>
  <si>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</si>
  <si>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</si>
  <si>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</si>
  <si>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</si>
  <si>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</si>
  <si>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</si>
  <si>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</si>
  <si>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</si>
  <si>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</si>
  <si>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</si>
  <si>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</si>
  <si>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</si>
  <si>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</si>
  <si>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</si>
  <si>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</si>
  <si>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</si>
  <si>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</si>
  <si>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</si>
  <si>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</si>
  <si>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</si>
  <si>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</si>
  <si>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</si>
  <si>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</si>
  <si>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</si>
  <si>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</si>
  <si>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</si>
  <si>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</si>
  <si>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</si>
  <si>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</si>
  <si>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</si>
  <si>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</si>
  <si>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</si>
  <si>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</si>
  <si>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</si>
  <si>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</si>
  <si>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</si>
  <si>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</si>
  <si>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</si>
  <si>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</si>
  <si>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</si>
  <si>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</si>
  <si>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</si>
  <si>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</si>
  <si>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</si>
  <si>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</si>
  <si>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</si>
  <si>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</si>
  <si>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</si>
  <si>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</si>
  <si>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</si>
  <si>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</si>
  <si>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</si>
  <si>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</si>
  <si>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</si>
  <si>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</si>
  <si>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</si>
  <si>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</si>
  <si>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</si>
  <si>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</si>
  <si>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</si>
  <si>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</si>
  <si>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</si>
  <si>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</si>
  <si>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</si>
  <si>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</si>
  <si>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</si>
  <si>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</si>
  <si>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</si>
  <si>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</si>
  <si>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</si>
  <si>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</si>
  <si>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</si>
  <si>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</si>
  <si>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</si>
  <si>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</si>
  <si>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</si>
  <si>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</si>
  <si>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</si>
  <si>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</si>
  <si>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</si>
  <si>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</si>
  <si>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</si>
  <si>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</si>
  <si>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</si>
  <si>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</si>
  <si>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</si>
  <si>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</si>
  <si>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</si>
  <si>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</si>
  <si>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</si>
  <si>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</si>
  <si>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</si>
  <si>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</si>
  <si>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</si>
  <si>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</si>
  <si>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</si>
  <si>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</si>
  <si>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</si>
  <si>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</si>
  <si>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</si>
  <si>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</si>
  <si>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</si>
  <si>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</si>
  <si>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</si>
  <si>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</si>
  <si>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</si>
  <si>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</si>
  <si>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</si>
  <si>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</si>
  <si>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</si>
  <si>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</si>
  <si>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</si>
  <si>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</si>
  <si>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</si>
  <si>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</si>
  <si>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</si>
  <si>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</si>
  <si>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</si>
  <si>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</si>
  <si>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</si>
  <si>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</si>
  <si>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</si>
  <si>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</si>
  <si>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</si>
  <si>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</si>
  <si>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</si>
  <si>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</si>
  <si>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</si>
  <si>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</si>
  <si>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</si>
  <si>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</si>
  <si>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</si>
  <si>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</si>
  <si>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</si>
  <si>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</si>
  <si>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</si>
  <si>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</si>
  <si>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</si>
  <si>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</si>
  <si>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</si>
  <si>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</si>
  <si>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</si>
  <si>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</si>
  <si>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</si>
  <si>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</si>
  <si>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</si>
  <si>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</si>
  <si>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</si>
  <si>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</si>
  <si>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</si>
  <si>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</si>
  <si>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</si>
  <si>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</si>
  <si>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</si>
  <si>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</si>
  <si>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</si>
  <si>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</si>
  <si>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</si>
  <si>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</si>
  <si>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</si>
  <si>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</si>
  <si>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</si>
  <si>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</si>
  <si>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</si>
  <si>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</si>
  <si>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</si>
  <si>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</si>
  <si>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</si>
  <si>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</si>
  <si>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</si>
  <si>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</si>
  <si>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</si>
  <si>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</si>
  <si>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</si>
  <si>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</si>
  <si>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</si>
  <si>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</si>
  <si>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</si>
  <si>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</si>
  <si>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</si>
  <si>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</si>
  <si>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</si>
  <si>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</si>
  <si>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</si>
  <si>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</si>
  <si>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</si>
  <si>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</si>
  <si>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</si>
  <si>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</si>
  <si>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</si>
  <si>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</si>
  <si>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</si>
  <si>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</si>
  <si>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</si>
  <si>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</si>
  <si>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</si>
  <si>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</si>
  <si>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</si>
  <si>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</si>
  <si>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</si>
  <si>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</si>
  <si>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</si>
  <si>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</si>
  <si>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</si>
  <si>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</si>
  <si>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</si>
  <si>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</si>
  <si>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</si>
  <si>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</si>
  <si>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</si>
  <si>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</si>
  <si>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</si>
  <si>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</si>
  <si>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</si>
  <si>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</si>
  <si>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</si>
  <si>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</si>
  <si>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</si>
  <si>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</si>
  <si>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</si>
  <si>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</si>
  <si>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</si>
  <si>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</si>
  <si>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</si>
  <si>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</si>
  <si>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</si>
  <si>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</si>
  <si>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</si>
  <si>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</si>
  <si>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</si>
  <si>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</si>
  <si>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</si>
  <si>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</si>
  <si>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</si>
  <si>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</si>
  <si>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</si>
  <si>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</si>
  <si>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</si>
  <si>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</si>
  <si>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</si>
  <si>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</si>
  <si>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</si>
  <si>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</si>
  <si>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</si>
  <si>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</si>
  <si>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</si>
  <si>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</si>
  <si>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</si>
  <si>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</si>
  <si>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</si>
  <si>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</si>
  <si>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</si>
  <si>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</si>
  <si>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</si>
  <si>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</si>
  <si>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</si>
  <si>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</si>
  <si>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</si>
  <si>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</si>
  <si>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</si>
  <si>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</si>
  <si>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</si>
  <si>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</si>
  <si>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</si>
  <si>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</si>
  <si>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</si>
  <si>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</si>
  <si>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</si>
  <si>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</si>
  <si>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</si>
  <si>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</si>
  <si>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</si>
  <si>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</si>
  <si>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</si>
  <si>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</si>
  <si>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</si>
  <si>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</si>
  <si>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</si>
  <si>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</si>
  <si>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</si>
  <si>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</si>
  <si>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</si>
  <si>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</si>
  <si>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</si>
  <si>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</si>
  <si>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</si>
  <si>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</si>
  <si>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</si>
  <si>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</si>
  <si>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</si>
  <si>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</si>
  <si>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</si>
  <si>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</si>
  <si>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</si>
  <si>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</si>
  <si>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</si>
  <si>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</si>
  <si>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</si>
  <si>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</si>
  <si>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</si>
  <si>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</si>
  <si>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</si>
  <si>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</si>
  <si>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</si>
  <si>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</si>
  <si>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</si>
  <si>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</si>
  <si>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</si>
  <si>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</si>
  <si>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</si>
  <si>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</si>
  <si>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</si>
  <si>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</si>
  <si>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</si>
  <si>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</si>
  <si>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</si>
  <si>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</si>
  <si>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</si>
  <si>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</si>
  <si>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</si>
  <si>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</si>
  <si>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</si>
  <si>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</si>
  <si>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</si>
  <si>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</si>
  <si>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</si>
  <si>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</si>
  <si>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</si>
  <si>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</si>
  <si>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</si>
  <si>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</si>
  <si>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</si>
  <si>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</si>
  <si>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</si>
  <si>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</si>
  <si>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</si>
  <si>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</si>
  <si>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</si>
  <si>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</si>
  <si>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</si>
  <si>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</si>
  <si>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</si>
  <si>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</si>
  <si>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</si>
  <si>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</si>
  <si>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</si>
  <si>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</si>
  <si>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</si>
  <si>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</si>
  <si>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</si>
  <si>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</si>
  <si>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</si>
  <si>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</si>
  <si>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</si>
  <si>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</si>
  <si>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</si>
  <si>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</si>
  <si>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</si>
  <si>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</si>
  <si>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</si>
  <si>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</si>
  <si>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</si>
  <si>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</si>
  <si>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</si>
  <si>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</si>
  <si>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</si>
  <si>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</si>
  <si>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</si>
  <si>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</si>
  <si>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</si>
  <si>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</si>
  <si>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</si>
  <si>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</si>
  <si>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</si>
  <si>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</si>
  <si>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</si>
  <si>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</si>
  <si>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</si>
  <si>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</si>
  <si>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</si>
  <si>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</si>
  <si>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</si>
  <si>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</si>
  <si>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</si>
  <si>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</si>
  <si>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</si>
  <si>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</si>
  <si>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</si>
  <si>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</si>
  <si>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</si>
  <si>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</si>
  <si>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</si>
  <si>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</si>
  <si>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</si>
  <si>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</si>
  <si>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</si>
  <si>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</si>
  <si>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</si>
  <si>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</si>
  <si>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</si>
  <si>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</si>
  <si>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</si>
  <si>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</si>
  <si>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</si>
  <si>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</si>
  <si>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</si>
  <si>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</si>
  <si>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</si>
  <si>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</si>
  <si>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</si>
  <si>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</si>
  <si>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</si>
  <si>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</si>
  <si>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</si>
  <si>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</si>
  <si>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</si>
  <si>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</si>
  <si>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</si>
  <si>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</si>
  <si>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</si>
  <si>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</si>
  <si>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</si>
  <si>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</si>
  <si>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</si>
  <si>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</si>
  <si>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</si>
  <si>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</si>
  <si>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</si>
  <si>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</si>
  <si>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</si>
  <si>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</si>
  <si>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</si>
  <si>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</si>
  <si>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</si>
  <si>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</si>
  <si>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</si>
  <si>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</si>
  <si>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</si>
  <si>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</si>
  <si>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</si>
  <si>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</si>
  <si>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</si>
  <si>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</si>
  <si>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</si>
  <si>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</si>
  <si>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</si>
  <si>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</si>
  <si>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</si>
  <si>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</si>
  <si>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</si>
  <si>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</si>
  <si>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</si>
  <si>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</si>
  <si>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</si>
  <si>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</si>
  <si>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</si>
  <si>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</si>
  <si>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</si>
  <si>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</si>
  <si>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</si>
  <si>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</si>
  <si>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</si>
  <si>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</si>
  <si>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</si>
  <si>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</si>
  <si>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</si>
  <si>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</si>
  <si>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</si>
  <si>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</si>
  <si>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</si>
  <si>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</si>
  <si>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</si>
  <si>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</si>
  <si>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</si>
  <si>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</si>
  <si>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</si>
  <si>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</si>
  <si>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</si>
  <si>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</si>
  <si>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</si>
  <si>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</si>
  <si>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</si>
  <si>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</si>
  <si>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</si>
  <si>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</si>
  <si>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</si>
  <si>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</si>
  <si>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</si>
  <si>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</si>
  <si>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</si>
  <si>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</si>
  <si>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</si>
  <si>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</si>
  <si>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</si>
  <si>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</si>
  <si>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</si>
  <si>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</si>
  <si>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</si>
  <si>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</si>
  <si>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</si>
  <si>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</si>
  <si>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</si>
  <si>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</si>
  <si>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</si>
  <si>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</si>
  <si>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</si>
  <si>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</si>
  <si>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</si>
  <si>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</si>
  <si>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</si>
  <si>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</si>
  <si>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</si>
  <si>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</si>
  <si>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</si>
  <si>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</si>
  <si>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</si>
  <si>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</si>
  <si>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</si>
  <si>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</si>
  <si>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</si>
  <si>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</si>
  <si>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</si>
  <si>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</si>
  <si>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</si>
  <si>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</si>
  <si>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</si>
  <si>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</si>
  <si>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</si>
  <si>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</si>
  <si>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</si>
  <si>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</si>
  <si>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</si>
  <si>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</si>
  <si>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</si>
  <si>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</si>
  <si>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</si>
  <si>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</si>
  <si>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</si>
  <si>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</si>
  <si>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</si>
  <si>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</si>
  <si>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</si>
  <si>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</si>
  <si>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</si>
  <si>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</si>
  <si>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</si>
  <si>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</si>
  <si>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</si>
  <si>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</si>
  <si>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</si>
  <si>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</si>
  <si>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</si>
  <si>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</si>
  <si>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</si>
  <si>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</si>
  <si>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</si>
  <si>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</si>
  <si>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</si>
  <si>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</si>
  <si>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</si>
  <si>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</si>
  <si>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</si>
  <si>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</si>
  <si>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</si>
  <si>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</si>
  <si>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</si>
  <si>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</si>
  <si>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</si>
  <si>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</si>
  <si>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</si>
  <si>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</si>
  <si>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</si>
  <si>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</si>
  <si>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</si>
  <si>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</si>
  <si>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</si>
  <si>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</si>
  <si>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</si>
  <si>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</si>
  <si>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</si>
  <si>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</si>
  <si>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</si>
  <si>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</si>
  <si>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</si>
  <si>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</si>
  <si>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</si>
  <si>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</si>
  <si>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</si>
  <si>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</si>
  <si>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</si>
  <si>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</si>
  <si>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</si>
  <si>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</si>
  <si>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</si>
  <si>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</si>
  <si>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</si>
  <si>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</si>
  <si>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</si>
  <si>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</si>
  <si>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</si>
  <si>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</si>
  <si>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</si>
  <si>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</si>
  <si>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</si>
  <si>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</si>
  <si>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</si>
  <si>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</si>
  <si>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</si>
  <si>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</si>
  <si>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</si>
  <si>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</si>
  <si>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</si>
  <si>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</si>
  <si>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</si>
  <si>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</si>
  <si>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</si>
  <si>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</si>
  <si>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</si>
  <si>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</si>
  <si>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</si>
  <si>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</si>
  <si>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</si>
  <si>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</si>
  <si>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</si>
  <si>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</si>
  <si>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</si>
  <si>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</si>
  <si>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</si>
  <si>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</si>
  <si>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</si>
  <si>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</si>
  <si>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</si>
  <si>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</si>
  <si>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</si>
  <si>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</si>
  <si>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</si>
  <si>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</si>
  <si>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</si>
  <si>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</si>
  <si>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</si>
  <si>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</si>
  <si>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</si>
  <si>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</si>
  <si>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</si>
  <si>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</si>
  <si>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</si>
  <si>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</si>
  <si>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</si>
  <si>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</si>
  <si>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</si>
  <si>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</si>
  <si>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</si>
  <si>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</si>
  <si>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</si>
  <si>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</si>
  <si>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</si>
  <si>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</si>
  <si>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</si>
  <si>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</si>
  <si>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</si>
  <si>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</si>
  <si>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</si>
  <si>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</si>
  <si>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</si>
  <si>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</si>
  <si>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</si>
  <si>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</si>
  <si>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</si>
  <si>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</si>
  <si>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</si>
  <si>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</si>
  <si>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</si>
  <si>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</si>
  <si>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</si>
  <si>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</si>
  <si>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</si>
  <si>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</si>
  <si>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</si>
  <si>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</si>
  <si>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</si>
  <si>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</si>
  <si>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</si>
  <si>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</si>
  <si>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</si>
  <si>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</si>
  <si>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</si>
  <si>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</si>
  <si>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</si>
  <si>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</si>
  <si>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</si>
  <si>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</si>
  <si>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</si>
  <si>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</si>
  <si>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</si>
  <si>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</si>
  <si>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</si>
  <si>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</si>
  <si>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</si>
  <si>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</si>
  <si>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</si>
  <si>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</si>
  <si>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</si>
  <si>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</si>
  <si>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</si>
  <si>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</si>
  <si>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</si>
  <si>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</si>
  <si>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</si>
  <si>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</si>
  <si>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</si>
  <si>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</si>
  <si>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</si>
  <si>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</si>
  <si>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</si>
  <si>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</si>
  <si>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</si>
  <si>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</si>
  <si>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</si>
  <si>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</si>
  <si>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</si>
  <si>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</si>
  <si>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</si>
  <si>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</si>
  <si>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</si>
  <si>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</si>
  <si>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</si>
  <si>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</si>
  <si>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</si>
  <si>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</si>
  <si>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</si>
  <si>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</si>
  <si>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</si>
  <si>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</si>
  <si>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</si>
  <si>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</si>
  <si>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</si>
  <si>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</si>
  <si>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</si>
  <si>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</si>
  <si>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</si>
  <si>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</si>
  <si>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</si>
  <si>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</si>
  <si>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</si>
  <si>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</si>
  <si>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</si>
  <si>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</si>
  <si>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</si>
  <si>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</si>
  <si>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</si>
  <si>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</si>
  <si>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</si>
  <si>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</si>
  <si>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</si>
  <si>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</si>
  <si>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</si>
  <si>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</si>
  <si>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</si>
  <si>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</si>
  <si>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</si>
  <si>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</si>
  <si>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</si>
  <si>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</si>
  <si>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</si>
  <si>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</si>
  <si>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</si>
  <si>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</si>
  <si>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</si>
  <si>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</si>
  <si>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</si>
  <si>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</si>
  <si>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</si>
  <si>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</si>
  <si>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</si>
  <si>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</si>
  <si>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</si>
  <si>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</si>
  <si>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</si>
  <si>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</si>
  <si>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</si>
  <si>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</si>
  <si>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</si>
  <si>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</si>
  <si>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</si>
  <si>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</si>
  <si>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</si>
  <si>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</si>
  <si>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</si>
  <si>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</si>
  <si>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</si>
  <si>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</si>
  <si>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</si>
  <si>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</si>
  <si>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</si>
  <si>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</si>
  <si>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</si>
  <si>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</si>
  <si>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</si>
  <si>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</si>
  <si>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</si>
  <si>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</si>
  <si>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</si>
  <si>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</si>
  <si>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</si>
  <si>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</si>
  <si>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</si>
  <si>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</si>
  <si>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</si>
  <si>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</si>
  <si>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</si>
  <si>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</si>
  <si>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</si>
  <si>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</si>
  <si>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</si>
  <si>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</si>
  <si>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</si>
  <si>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</si>
  <si>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</si>
  <si>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</si>
  <si>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</si>
  <si>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</si>
  <si>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</si>
  <si>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</si>
  <si>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</si>
  <si>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</si>
  <si>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</si>
  <si>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</si>
  <si>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</si>
  <si>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</si>
  <si>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</si>
  <si>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</si>
  <si>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</si>
  <si>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</si>
  <si>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</si>
  <si>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</si>
  <si>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</si>
  <si>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</si>
  <si>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</si>
  <si>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</si>
  <si>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</si>
  <si>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</si>
  <si>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</si>
  <si>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</si>
  <si>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</si>
  <si>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</si>
  <si>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</si>
  <si>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</si>
  <si>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</si>
  <si>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</si>
  <si>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</si>
  <si>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</si>
  <si>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</si>
  <si>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</si>
  <si>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</si>
  <si>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</si>
  <si>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</si>
  <si>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</si>
  <si>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</si>
  <si>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</si>
  <si>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</si>
  <si>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</si>
  <si>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</si>
  <si>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</si>
  <si>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</si>
  <si>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</si>
  <si>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</si>
  <si>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</si>
  <si>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</si>
  <si>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</si>
  <si>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</si>
  <si>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</si>
  <si>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</si>
  <si>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</si>
  <si>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</si>
  <si>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</si>
  <si>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</si>
  <si>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</si>
  <si>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</si>
  <si>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</si>
  <si>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</si>
  <si>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</si>
  <si>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</si>
  <si>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</si>
  <si>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</si>
  <si>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</si>
  <si>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</si>
  <si>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</si>
  <si>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</si>
  <si>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</si>
  <si>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</si>
  <si>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</si>
  <si>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</si>
  <si>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</si>
  <si>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</si>
  <si>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</si>
  <si>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</si>
  <si>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</si>
  <si>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</si>
  <si>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</si>
  <si>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</si>
  <si>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</si>
  <si>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</si>
  <si>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</si>
  <si>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</si>
  <si>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</si>
  <si>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</si>
  <si>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</si>
  <si>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</si>
  <si>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</si>
  <si>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</si>
  <si>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</si>
  <si>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</si>
  <si>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</si>
  <si>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</si>
  <si>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</si>
  <si>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</si>
  <si>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</si>
  <si>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</si>
  <si>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</si>
  <si>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</si>
  <si>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</si>
  <si>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</si>
  <si>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</si>
  <si>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</si>
  <si>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</si>
  <si>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</si>
  <si>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</si>
  <si>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</si>
  <si>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</si>
  <si>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</si>
  <si>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</si>
  <si>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</si>
  <si>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</si>
  <si>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</si>
  <si>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</si>
  <si>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</si>
  <si>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</si>
  <si>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</si>
  <si>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</si>
  <si>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</si>
  <si>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</si>
  <si>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</si>
  <si>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</si>
  <si>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</si>
  <si>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</si>
  <si>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</si>
  <si>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</si>
  <si>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</si>
  <si>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</si>
  <si>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</si>
  <si>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</si>
  <si>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</si>
  <si>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</si>
  <si>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</si>
  <si>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</si>
  <si>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</si>
  <si>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</si>
  <si>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</si>
  <si>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</si>
  <si>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</si>
  <si>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</si>
  <si>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</si>
  <si>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</si>
  <si>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</si>
  <si>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</si>
  <si>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</si>
  <si>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</si>
  <si>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</si>
  <si>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</si>
  <si>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</si>
  <si>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</si>
  <si>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</si>
  <si>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</si>
  <si>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</si>
  <si>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</si>
  <si>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</si>
  <si>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</si>
  <si>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</si>
  <si>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</si>
  <si>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</si>
  <si>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</si>
  <si>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</si>
  <si>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</si>
  <si>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</si>
  <si>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</si>
  <si>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</si>
  <si>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</si>
  <si>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</si>
  <si>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</si>
  <si>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</si>
  <si>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</si>
  <si>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</si>
  <si>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</si>
  <si>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</si>
  <si>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</si>
  <si>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</si>
  <si>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</si>
  <si>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</si>
  <si>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</si>
  <si>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</si>
  <si>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</si>
  <si>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</si>
  <si>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</si>
  <si>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</si>
  <si>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</si>
  <si>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</si>
  <si>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</si>
  <si>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</si>
  <si>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</si>
  <si>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</si>
  <si>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</si>
  <si>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</si>
  <si>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</si>
  <si>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</si>
  <si>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</si>
  <si>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</si>
  <si>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</si>
  <si>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</si>
  <si>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</si>
  <si>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</si>
  <si>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</si>
  <si>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</si>
  <si>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</si>
  <si>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</si>
  <si>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</si>
  <si>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</si>
  <si>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</si>
  <si>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</si>
  <si>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</si>
  <si>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</si>
  <si>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</si>
  <si>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</si>
  <si>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</si>
  <si>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</si>
  <si>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</si>
  <si>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</si>
  <si>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</si>
  <si>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</si>
  <si>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</si>
  <si>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</si>
  <si>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</si>
  <si>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</si>
  <si>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</si>
  <si>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</si>
  <si>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</si>
  <si>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</si>
  <si>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</si>
  <si>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</si>
  <si>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</si>
  <si>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</si>
  <si>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</si>
  <si>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</si>
  <si>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</si>
  <si>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</si>
  <si>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</si>
  <si>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</si>
  <si>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</si>
  <si>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</si>
  <si>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</si>
  <si>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</si>
  <si>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</si>
  <si>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</si>
  <si>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</si>
  <si>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</si>
  <si>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</si>
  <si>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</si>
  <si>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</si>
  <si>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</si>
  <si>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</si>
  <si>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</si>
  <si>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</si>
  <si>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</si>
  <si>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</si>
  <si>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</si>
  <si>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</si>
  <si>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</si>
  <si>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</si>
  <si>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</si>
  <si>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</si>
  <si>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</si>
  <si>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</si>
  <si>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</si>
  <si>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</si>
  <si>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</si>
  <si>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</si>
  <si>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</si>
  <si>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</si>
  <si>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</si>
  <si>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</si>
  <si>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</si>
  <si>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</si>
  <si>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</si>
  <si>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</si>
  <si>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</si>
  <si>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</si>
  <si>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</si>
  <si>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</si>
  <si>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</si>
  <si>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</si>
  <si>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</si>
  <si>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</si>
  <si>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</si>
  <si>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</si>
  <si>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</si>
  <si>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</si>
  <si>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</si>
  <si>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</si>
  <si>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</si>
  <si>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</si>
  <si>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</si>
  <si>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</si>
  <si>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</si>
  <si>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</si>
  <si>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</si>
  <si>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</si>
  <si>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</si>
  <si>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</si>
  <si>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</si>
  <si>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</si>
  <si>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</si>
  <si>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</si>
  <si>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</si>
  <si>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</si>
  <si>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</si>
  <si>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</si>
  <si>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</si>
  <si>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</si>
  <si>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</si>
  <si>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</si>
  <si>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</si>
  <si>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</si>
  <si>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</si>
  <si>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</si>
  <si>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</si>
  <si>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</si>
  <si>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</si>
  <si>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</si>
  <si>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</si>
  <si>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</si>
  <si>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</si>
  <si>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</si>
  <si>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</si>
  <si>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</si>
  <si>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</si>
  <si>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</si>
  <si>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</si>
  <si>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</si>
  <si>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</si>
  <si>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</si>
  <si>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</si>
  <si>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</si>
  <si>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</si>
  <si>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</si>
  <si>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</si>
  <si>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</si>
  <si>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</si>
  <si>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</si>
  <si>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</si>
  <si>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</si>
  <si>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</si>
  <si>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</si>
  <si>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</si>
  <si>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</si>
  <si>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</si>
  <si>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</si>
  <si>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</si>
  <si>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</si>
  <si>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</si>
  <si>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</si>
  <si>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</si>
  <si>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</si>
  <si>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</si>
  <si>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</si>
  <si>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</si>
  <si>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</si>
  <si>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</si>
  <si>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</si>
  <si>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</si>
  <si>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</si>
  <si>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</si>
  <si>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</si>
  <si>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</si>
  <si>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</si>
  <si>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</si>
  <si>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</si>
  <si>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</si>
  <si>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</si>
  <si>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</si>
  <si>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</si>
  <si>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</si>
  <si>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</si>
  <si>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</si>
  <si>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</si>
  <si>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</si>
  <si>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</si>
  <si>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</si>
  <si>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</si>
  <si>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</si>
  <si>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</si>
  <si>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</si>
  <si>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</si>
  <si>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</si>
  <si>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</si>
  <si>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</si>
  <si>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</si>
  <si>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</si>
  <si>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</si>
  <si>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</si>
  <si>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VMT</t>
  </si>
  <si>
    <t>gas</t>
  </si>
  <si>
    <t>fuel use</t>
  </si>
  <si>
    <t>fuel economy</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</si>
  <si>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</si>
  <si>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</si>
  <si>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</si>
  <si>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</si>
  <si>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</si>
  <si>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</si>
  <si>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</si>
  <si>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</si>
  <si>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</si>
  <si>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</si>
  <si>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</si>
  <si>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</si>
  <si>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</si>
  <si>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</si>
  <si>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</si>
  <si>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</si>
  <si>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</si>
  <si>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</si>
  <si>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</si>
  <si>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</si>
  <si>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</si>
  <si>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</si>
  <si>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</si>
  <si>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</si>
  <si>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</si>
  <si>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</si>
  <si>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</si>
  <si>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</si>
  <si>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</si>
  <si>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</si>
  <si>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</si>
  <si>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</si>
  <si>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</si>
  <si>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</si>
  <si>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</si>
  <si>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</si>
  <si>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</si>
  <si>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</si>
  <si>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</si>
  <si>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</si>
  <si>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</si>
  <si>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</si>
  <si>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</si>
  <si>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</si>
  <si>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</si>
  <si>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</si>
  <si>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</si>
  <si>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</si>
  <si>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</si>
  <si>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</si>
  <si>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</si>
  <si>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</si>
  <si>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</si>
  <si>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</si>
  <si>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</si>
  <si>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</si>
  <si>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</si>
  <si>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</si>
  <si>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</si>
  <si>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</si>
  <si>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</si>
  <si>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</si>
  <si>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</si>
  <si>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</si>
  <si>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</si>
  <si>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</si>
  <si>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</si>
  <si>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</si>
  <si>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</si>
  <si>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</si>
  <si>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</si>
  <si>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</si>
  <si>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</si>
  <si>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</si>
  <si>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</si>
  <si>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</si>
  <si>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</si>
  <si>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</si>
  <si>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</si>
  <si>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</si>
  <si>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</si>
  <si>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</si>
  <si>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</si>
  <si>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</si>
  <si>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</si>
  <si>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</si>
  <si>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</si>
  <si>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</si>
  <si>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</si>
  <si>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</si>
  <si>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</si>
  <si>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</si>
  <si>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</si>
  <si>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</si>
  <si>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</si>
  <si>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</si>
  <si>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</si>
  <si>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</si>
  <si>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</si>
  <si>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</si>
  <si>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</si>
  <si>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</si>
  <si>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</si>
  <si>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</si>
  <si>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</si>
  <si>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</si>
  <si>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</si>
  <si>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</si>
  <si>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</si>
  <si>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</si>
  <si>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</si>
  <si>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</si>
  <si>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</si>
  <si>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</si>
  <si>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</si>
  <si>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</si>
  <si>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</si>
  <si>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</si>
  <si>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</si>
  <si>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</si>
  <si>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</si>
  <si>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</si>
  <si>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</si>
  <si>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</si>
  <si>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</si>
  <si>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</si>
  <si>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</si>
  <si>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</si>
  <si>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</si>
  <si>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</si>
  <si>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</si>
  <si>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</si>
  <si>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</si>
  <si>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</si>
  <si>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</si>
  <si>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</si>
  <si>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</si>
  <si>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</si>
  <si>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</si>
  <si>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</si>
  <si>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</si>
  <si>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</si>
  <si>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</si>
  <si>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</si>
  <si>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</si>
  <si>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</si>
  <si>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</si>
  <si>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</si>
  <si>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</si>
  <si>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</si>
  <si>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</si>
  <si>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</si>
  <si>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</si>
  <si>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</si>
  <si>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</si>
  <si>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</si>
  <si>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</si>
  <si>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</si>
  <si>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</si>
  <si>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</si>
  <si>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</si>
  <si>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</si>
  <si>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</si>
  <si>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</si>
  <si>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</si>
  <si>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</si>
  <si>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</si>
  <si>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</si>
  <si>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</si>
  <si>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</si>
  <si>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</si>
  <si>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</si>
  <si>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</si>
  <si>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</si>
  <si>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</si>
  <si>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</si>
  <si>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</si>
  <si>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</si>
  <si>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</si>
  <si>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</si>
  <si>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</si>
  <si>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</si>
  <si>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</si>
  <si>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</si>
  <si>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</si>
  <si>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</si>
  <si>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</si>
  <si>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</si>
  <si>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</si>
  <si>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</si>
  <si>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</si>
  <si>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</si>
  <si>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</si>
  <si>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</si>
  <si>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</si>
  <si>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</si>
  <si>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</si>
  <si>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</si>
  <si>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</si>
  <si>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</si>
  <si>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</si>
  <si>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</si>
  <si>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</si>
  <si>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</si>
  <si>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</si>
  <si>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</si>
  <si>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</si>
  <si>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</si>
  <si>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</si>
  <si>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</si>
  <si>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</si>
  <si>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</si>
  <si>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</si>
  <si>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</si>
  <si>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</si>
  <si>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</si>
  <si>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</si>
  <si>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</si>
  <si>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</si>
  <si>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</si>
  <si>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</si>
  <si>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</si>
  <si>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</si>
  <si>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</si>
  <si>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</si>
  <si>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</si>
  <si>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</si>
  <si>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</si>
  <si>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</si>
  <si>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</si>
  <si>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</si>
  <si>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</si>
  <si>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</si>
  <si>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</si>
  <si>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</si>
  <si>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</si>
  <si>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</si>
  <si>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</si>
  <si>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</si>
  <si>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</si>
  <si>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</si>
  <si>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</si>
  <si>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</si>
  <si>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</si>
  <si>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</si>
  <si>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</si>
  <si>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</si>
  <si>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</si>
  <si>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</si>
  <si>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</si>
  <si>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</si>
  <si>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</si>
  <si>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</si>
  <si>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</si>
  <si>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</si>
  <si>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</si>
  <si>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</si>
  <si>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</si>
  <si>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</si>
  <si>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</si>
  <si>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</si>
  <si>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</si>
  <si>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</si>
  <si>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</si>
  <si>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</si>
  <si>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</si>
  <si>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</si>
  <si>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</si>
  <si>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</si>
  <si>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</si>
  <si>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</si>
  <si>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</si>
  <si>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</si>
  <si>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</si>
  <si>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</si>
  <si>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</si>
  <si>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</si>
  <si>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</si>
  <si>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</si>
  <si>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</si>
  <si>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</si>
  <si>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</si>
  <si>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</si>
  <si>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</si>
  <si>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</si>
  <si>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</si>
  <si>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</si>
  <si>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</si>
  <si>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</si>
  <si>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</si>
  <si>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</si>
  <si>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</si>
  <si>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</si>
  <si>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</si>
  <si>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</si>
  <si>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</si>
  <si>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</si>
  <si>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</si>
  <si>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</si>
  <si>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</si>
  <si>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</si>
  <si>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</si>
  <si>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</si>
  <si>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</si>
  <si>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</si>
  <si>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</si>
  <si>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</si>
  <si>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</si>
  <si>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</si>
  <si>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</si>
  <si>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</si>
  <si>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</si>
  <si>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</si>
  <si>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</si>
  <si>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</si>
  <si>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</si>
  <si>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</si>
  <si>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</si>
  <si>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</si>
  <si>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</si>
  <si>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</si>
  <si>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</si>
  <si>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</si>
  <si>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</si>
  <si>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</si>
  <si>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</si>
  <si>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</si>
  <si>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</si>
  <si>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</si>
  <si>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</si>
  <si>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</si>
  <si>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</si>
  <si>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</si>
  <si>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</si>
  <si>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</si>
  <si>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</si>
  <si>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</si>
  <si>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</si>
  <si>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</si>
  <si>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</si>
  <si>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</si>
  <si>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</si>
  <si>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</si>
  <si>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</si>
  <si>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</si>
  <si>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</si>
  <si>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</si>
  <si>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</si>
  <si>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</si>
  <si>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</si>
  <si>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</si>
  <si>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</si>
  <si>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</si>
  <si>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</si>
  <si>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</si>
  <si>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</si>
  <si>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</si>
  <si>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</si>
  <si>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</si>
  <si>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</si>
  <si>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</si>
  <si>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</si>
  <si>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</si>
  <si>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</si>
  <si>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</si>
  <si>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</si>
  <si>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</si>
  <si>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</si>
  <si>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</si>
  <si>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</si>
  <si>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</si>
  <si>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</si>
  <si>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</si>
  <si>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</si>
  <si>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</si>
  <si>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</si>
  <si>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</si>
  <si>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</si>
  <si>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</si>
  <si>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</si>
  <si>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</si>
  <si>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</si>
  <si>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</si>
  <si>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</si>
  <si>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</si>
  <si>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</si>
  <si>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</si>
  <si>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</si>
  <si>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</si>
  <si>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</si>
  <si>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</si>
  <si>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</si>
  <si>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</si>
  <si>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</si>
  <si>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</si>
  <si>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</si>
  <si>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</si>
  <si>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</si>
  <si>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</si>
  <si>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</si>
  <si>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</si>
  <si>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</si>
  <si>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</si>
  <si>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</si>
  <si>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</si>
  <si>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</si>
  <si>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</si>
  <si>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</si>
  <si>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</si>
  <si>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</si>
  <si>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</si>
  <si>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</si>
  <si>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</si>
  <si>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</si>
  <si>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</si>
  <si>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</si>
  <si>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</si>
  <si>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</si>
  <si>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</si>
  <si>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</si>
  <si>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</si>
  <si>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</si>
  <si>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</si>
  <si>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</si>
  <si>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</si>
  <si>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</si>
  <si>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</si>
  <si>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</si>
  <si>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</si>
  <si>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</si>
  <si>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</si>
  <si>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</si>
  <si>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</si>
  <si>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</si>
  <si>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</si>
  <si>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</si>
  <si>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</si>
  <si>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</si>
  <si>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</si>
  <si>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</si>
  <si>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</si>
  <si>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</si>
  <si>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</si>
  <si>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</si>
  <si>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</si>
  <si>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</si>
  <si>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</si>
  <si>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</si>
  <si>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</si>
  <si>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</si>
  <si>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</si>
  <si>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</si>
  <si>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</si>
  <si>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</si>
  <si>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</si>
  <si>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</si>
  <si>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</si>
  <si>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</si>
  <si>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</si>
  <si>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</si>
  <si>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</si>
  <si>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</si>
  <si>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</si>
  <si>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</si>
  <si>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</si>
  <si>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</si>
  <si>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</si>
  <si>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</si>
  <si>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</si>
  <si>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</si>
  <si>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</si>
  <si>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</si>
  <si>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</si>
  <si>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</si>
  <si>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</si>
  <si>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</si>
  <si>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</si>
  <si>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</si>
  <si>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</si>
  <si>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</si>
  <si>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</si>
  <si>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</si>
  <si>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</si>
  <si>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</si>
  <si>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</si>
  <si>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</si>
  <si>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</si>
  <si>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</si>
  <si>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</si>
  <si>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</si>
  <si>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</si>
  <si>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</si>
  <si>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</si>
  <si>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</si>
  <si>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</si>
  <si>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</si>
  <si>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</si>
  <si>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</si>
  <si>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</si>
  <si>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</si>
  <si>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</si>
  <si>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</si>
  <si>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</si>
  <si>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</si>
  <si>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</si>
  <si>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</si>
  <si>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</si>
  <si>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</si>
  <si>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</si>
  <si>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</si>
  <si>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</si>
  <si>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</si>
  <si>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</si>
  <si>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</si>
  <si>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</si>
  <si>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</si>
  <si>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</si>
  <si>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</si>
  <si>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</si>
  <si>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</si>
  <si>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</si>
  <si>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</si>
  <si>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</si>
  <si>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</si>
  <si>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</si>
  <si>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</si>
  <si>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</si>
  <si>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</si>
  <si>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</si>
  <si>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</si>
  <si>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</si>
  <si>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</si>
  <si>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</si>
  <si>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</si>
  <si>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</si>
  <si>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</si>
  <si>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</si>
  <si>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</si>
  <si>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</si>
  <si>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</si>
  <si>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</si>
  <si>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</si>
  <si>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</si>
  <si>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</si>
  <si>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</si>
  <si>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</si>
  <si>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</si>
  <si>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</si>
  <si>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</si>
  <si>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</si>
  <si>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</si>
  <si>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</si>
  <si>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</si>
  <si>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</si>
  <si>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</si>
  <si>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</si>
  <si>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</si>
  <si>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</si>
  <si>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</si>
  <si>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</si>
  <si>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</si>
  <si>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</si>
  <si>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</si>
  <si>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</si>
  <si>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</si>
  <si>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</si>
  <si>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</si>
  <si>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</si>
  <si>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</si>
  <si>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</si>
  <si>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</si>
  <si>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</si>
  <si>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</si>
  <si>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</si>
  <si>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</si>
  <si>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</si>
  <si>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</si>
  <si>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</si>
  <si>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</si>
  <si>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</si>
  <si>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</si>
  <si>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</si>
  <si>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</si>
  <si>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</si>
  <si>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</si>
  <si>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</si>
  <si>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</si>
  <si>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</si>
  <si>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</si>
  <si>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</si>
  <si>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</si>
  <si>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</si>
  <si>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</si>
  <si>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</si>
  <si>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</si>
  <si>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</si>
  <si>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</si>
  <si>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</si>
  <si>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</si>
  <si>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</si>
  <si>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</si>
  <si>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</si>
  <si>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</si>
  <si>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</si>
  <si>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</si>
  <si>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</si>
  <si>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</si>
  <si>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</si>
  <si>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</si>
  <si>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</si>
  <si>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</si>
  <si>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</si>
  <si>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</si>
  <si>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</si>
  <si>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</si>
  <si>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</si>
  <si>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</si>
  <si>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</si>
  <si>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</si>
  <si>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</si>
  <si>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</si>
  <si>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</si>
  <si>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</si>
  <si>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</si>
  <si>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</si>
  <si>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</si>
  <si>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</si>
  <si>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</si>
  <si>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</si>
  <si>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</si>
  <si>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</si>
  <si>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</si>
  <si>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</si>
  <si>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</si>
  <si>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</si>
  <si>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</si>
  <si>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</si>
  <si>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</si>
  <si>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</si>
  <si>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</si>
  <si>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</si>
  <si>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</si>
  <si>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</si>
  <si>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</si>
  <si>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</si>
  <si>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vehicles</t>
  </si>
  <si>
    <t>AIR</t>
  </si>
  <si>
    <t>FREIGHT LDV</t>
  </si>
  <si>
    <t>FINAL</t>
  </si>
  <si>
    <t>FREIGHT HDV</t>
  </si>
  <si>
    <t>total energy</t>
  </si>
  <si>
    <t>thing miles</t>
  </si>
  <si>
    <t>miles</t>
  </si>
  <si>
    <t>percent</t>
  </si>
  <si>
    <t>AEO.2025.ALTTRNP.UNC_NA_TRN_NA_NA_NA_NA_PCT.A</t>
  </si>
  <si>
    <t>Light-Duty Vehicle Miles Traveled: Price Effects: Licensing Rate: Alternative Transportation</t>
  </si>
  <si>
    <t>Licensing Rate</t>
  </si>
  <si>
    <t>1987 $/mi</t>
  </si>
  <si>
    <t>AEO.2025.ALTTRNP.ECI_COD_TRN_NA_NA_NA_NA_87DLRPMII.A</t>
  </si>
  <si>
    <t>Light-Duty Vehicle Miles Traveled: Price Effects: Real Cost of Driving per Mile: Alternative Transportation</t>
  </si>
  <si>
    <t>Real Cost of Driving per Mile (1987 cents)</t>
  </si>
  <si>
    <t>AEO.2025.ALTTRNP.EFI_HOUS_TRN_LDV_NA_NA_NA_MPGGASEQ.A</t>
  </si>
  <si>
    <t>Light-Duty Vehicle Miles Traveled: Price Effects: Household Stock Miles per Gallon: Alternative Transportation</t>
  </si>
  <si>
    <t>Household Stock Miles per Gallon</t>
  </si>
  <si>
    <t>AEO.2025.ALTTRNP.PRCE_NA_TRN_NA_MGS_NA_NA_87DLRPMBTU.A</t>
  </si>
  <si>
    <t>Light-Duty Vehicle Miles Traveled: Price Effects: Motor Gasoline Price: Alternative Transportation</t>
  </si>
  <si>
    <t>Motor Gasoline Price (1987 $/MMBtu)</t>
  </si>
  <si>
    <t>AEO.2025.ALTTRNP.DMG_NA_TRN_LIC_NA_NA_NA_MILL.A</t>
  </si>
  <si>
    <t>Light-Duty Vehicle Miles Traveled: VMT Equation Components: Driving Population: Alternative Transportation</t>
  </si>
  <si>
    <t>Licensed Drivers (million)</t>
  </si>
  <si>
    <t>thousand miles</t>
  </si>
  <si>
    <t>AEO.2025.ALTTRNP.DMG_NA_TRN_VMT_NA_NA_NA_THMLS.A</t>
  </si>
  <si>
    <t>Light-Duty Vehicle Miles Traveled: VMT Equation Components: VMT/Driving Population: Alternative Transportation</t>
  </si>
  <si>
    <t>VMT/Licensed Driver (thousand miles)</t>
  </si>
  <si>
    <t>AEO.2025.ALTTRNP.ECI_LDV_TRN_VMT_NA_NA_NA_BLNMLS.A</t>
  </si>
  <si>
    <t>Light-Duty Vehicle Miles Traveled: VMT Equation Components: Total VMT: Alternative Transportation</t>
  </si>
  <si>
    <t>Total VMT (billion miles)</t>
  </si>
  <si>
    <t>AEO.2025.ALTTRNP.ECI_LDV_TRN_VMT_FCH_NA_NA_BLNMLS.A</t>
  </si>
  <si>
    <t>Light-Duty Vehicle Miles Traveled: Alternative-Fuel Vehicles: Fuel Cell Hydrogen: Alternative Transportation</t>
  </si>
  <si>
    <t>AEO.2025.ALTTRNP.ECI_LDV_TRN_VMT_FCLMTH_NA_NA_BLNMLS.A</t>
  </si>
  <si>
    <t>Light-Duty Vehicle Miles Traveled: Alternative-Fuel Vehicles: Fuel Cell Methanol: Alternative Transportation</t>
  </si>
  <si>
    <t>AEO.2025.ALTTRNP.ECI_LDV_TRN_VMT_PBF_NA_NA_BLNMLS.A</t>
  </si>
  <si>
    <t>Light-Duty Vehicle Miles Traveled: Alternative-Fuel Vehicles: Propane Bi-fuel: Alternative Transportation</t>
  </si>
  <si>
    <t>AEO.2025.ALTTRNP.ECI_LDV_TRN_VMT_PROP_NA_NA_BLNMLS.A</t>
  </si>
  <si>
    <t>Light-Duty Vehicle Miles Traveled: Alternative-Fuel Vehicles: Propane ICE: Alternative Transportation</t>
  </si>
  <si>
    <t>AEO.2025.ALTTRNP.ECI_LDV_TRN_VMT_NBF_NA_NA_BLNMLS.A</t>
  </si>
  <si>
    <t>Light-Duty Vehicle Miles Traveled: Alternative-Fuel Vehicles: Natural Gas Bi-fuel: Alternative Transportation</t>
  </si>
  <si>
    <t>AEO.2025.ALTTRNP.ECI_LDV_TRN_VMT_NGI_NA_NA_BLNMLS.A</t>
  </si>
  <si>
    <t>Light-Duty Vehicle Miles Traveled: Alternative-Fuel Vehicles: Natural Gas ICE: Alternative Transportation</t>
  </si>
  <si>
    <t>AEO.2025.ALTTRNP.ECI_LDV_TRN_VMT_EGH_NA_NA_BLNMLS.A</t>
  </si>
  <si>
    <t>Light-Duty Vehicle Miles Traveled: Alternative-Fuel Vehicles: Electric-Gasoline Hybrid: Alternative Transportation</t>
  </si>
  <si>
    <t>AEO.2025.ALTTRNP.ECI_LDV_TRN_VMT_EDH_NA_NA_BLNMLS.A</t>
  </si>
  <si>
    <t>Light-Duty Vehicle Miles Traveled: Alternative-Fuel Vehicles: Electric-Diesel Hybrid: Alternative Transportation</t>
  </si>
  <si>
    <t>AEO.2025.ALTTRNP.ECI_LDV_TRN_VMT_PI50GH_NA_NA_BLNMLS.A</t>
  </si>
  <si>
    <t>Light-Duty Vehicle Miles Traveled: Alternative-Fuel Vehicles: Plug-in 50 Gasoline Hybrid: Alternative Transportation</t>
  </si>
  <si>
    <t>AEO.2025.ALTTRNP.ECI_LDV_TRN_VMT_PI20GH_NA_NA_BLNMLS.A</t>
  </si>
  <si>
    <t>Light-Duty Vehicle Miles Traveled: Alternative-Fuel Vehicles: Plug-in 20 Gasoline Hybrid: Alternative Transportation</t>
  </si>
  <si>
    <t>AEO.2025.ALTTRNP.ECI_LDV_TRN_VMT_300MIEV_NA_NA_BLNMLS.A</t>
  </si>
  <si>
    <t>Light-Duty Vehicle Miles Traveled: Alternative-Fuel Vehicles: 300-Mile Electric Vehicle: Alternative Transportation</t>
  </si>
  <si>
    <t>AEO.2025.ALTTRNP.ECI_LDV_TRN_VMT_200MIEV_NA_NA_BLNMLS.A</t>
  </si>
  <si>
    <t>Light-Duty Vehicle Miles Traveled: Alternative-Fuel Vehicles: 200-Mile Electric Vehicle: Alternative Transportation</t>
  </si>
  <si>
    <t>AEO.2025.ALTTRNP.ECI_LDV_TRN_VMT_100MIEV_NA_NA_BLNMLS.A</t>
  </si>
  <si>
    <t>Light-Duty Vehicle Miles Traveled: Alternative-Fuel Vehicles: 100-Mile Electric Vehicle: Alternative Transportation</t>
  </si>
  <si>
    <t>AEO.2025.ALTTRNP.ECI_LDV_TRN_VMT_EFFI_NA_NA_BLNMLS.A</t>
  </si>
  <si>
    <t>Light-Duty Vehicle Miles Traveled: Alternative-Fuel Vehicles: Ethanol-Flex Fuel ICE: Alternative Transportation</t>
  </si>
  <si>
    <t>AEO.2025.ALTTRNP.ECI_LDV_TRN_VMT_TDS_NA_NA_BLNMLS.A</t>
  </si>
  <si>
    <t>Light-Duty Vehicle Miles Traveled: Conventional Vehicles: TDI Diesel: Alternative Transportation</t>
  </si>
  <si>
    <t>AEO.2025.ALTTRNP.ECI_LDV_TRN_VMT_GSL_NA_NA_BLNMLS.A</t>
  </si>
  <si>
    <t>Light-Duty Vehicle Miles Traveled: Conventional Vehicles: Gasoline: Alternative Transportation</t>
  </si>
  <si>
    <t>Fri Dec 05 2025 14:50:12 GMT-0800 (Pacific Standard Time)</t>
  </si>
  <si>
    <t>https://www.eia.gov/outlooks/aeo/data/browser/#/?id=51-AEO2025&amp;cases=alttrnp&amp;sourcekey=0</t>
  </si>
  <si>
    <t>Table 41.  Light-Duty Vehicle Miles Traveled by Technology Type</t>
  </si>
  <si>
    <t>AEO.2025.ALTTRNP.CNSM_NA_TRN_LDV_NA_NA_NA_TRLBTU.A</t>
  </si>
  <si>
    <t>Transportation Energy Use: Light-Duty Vehicles: Total: Alternative Transportation</t>
  </si>
  <si>
    <t>AEO.2025.ALTTRNP.CNSM_NA_TRN_LDV_ALF1_NA_NA_TRLBTU.A</t>
  </si>
  <si>
    <t>Transportation Energy Use: Light-Duty Vehicles: Alternative-Fuel: Total: Alternative Transportation</t>
  </si>
  <si>
    <t>AEO.2025.ALTTRNP.CNSM_NA_TRN_LDV_ALF1_FCH_NA_TRLBTU.A</t>
  </si>
  <si>
    <t>Transportation Energy Use: Light-Duty Vehicles: Alternative-Fuel: Fuel Cell Hydrogen: Alternative Transportation</t>
  </si>
  <si>
    <t>AEO.2025.ALTTRNP.CNSM_NA_TRN_LDV_ALF1_FCLMTH_NA_TRLBTU.A</t>
  </si>
  <si>
    <t>Transportation Energy Use: Light-Duty Vehicles: Alternative-Fuel: Fuel Cell Methanol: Alternative Transportation</t>
  </si>
  <si>
    <t>AEO.2025.ALTTRNP.CNSM_NA_TRN_LDV_ALF1_PBF_NA_TRLBTU.A</t>
  </si>
  <si>
    <t>Transportation Energy Use: Light-Duty Vehicles: Alternative-Fuel: Propane Bi-fuel: Alternative Transportation</t>
  </si>
  <si>
    <t>AEO.2025.ALTTRNP.CNSM_NA_TRN_LDV_ALF1_PROP_NA_TRLBTU.A</t>
  </si>
  <si>
    <t>Transportation Energy Use: Light-Duty Vehicles: Alternative-Fuel: Propane ICE: Alternative Transportation</t>
  </si>
  <si>
    <t>AEO.2025.ALTTRNP.CNSM_NA_TRN_LDV_ALF1_NBF_NA_TRLBTU.A</t>
  </si>
  <si>
    <t>Transportation Energy Use: Light-Duty Vehicles: Alternative-Fuel: Natural Gas Bi-fuel: Alternative Transportation</t>
  </si>
  <si>
    <t>AEO.2025.ALTTRNP.CNSM_NA_TRN_LDV_ALF1_NGI_NA_TRLBTU.A</t>
  </si>
  <si>
    <t>Transportation Energy Use: Light-Duty Vehicles: Alternative-Fuel: Natural Gas ICE: Alternative Transportation</t>
  </si>
  <si>
    <t>AEO.2025.ALTTRNP.CNSM_NA_TRN_LDV_ALF1_EGH_NA_TRLBTU.A</t>
  </si>
  <si>
    <t>Transportation Energy Use: Light-Duty Vehicles: Alternative-Fuel: Electric-Gasoline Hybrid: Alternative Transportation</t>
  </si>
  <si>
    <t>AEO.2025.ALTTRNP.CNSM_NA_TRN_LDV_ALF1_EDH_NA_TRLBTU.A</t>
  </si>
  <si>
    <t>Transportation Energy Use: Light-Duty Vehicles: Alternative-Fuel: Electric-Diesel Hybrid: Alternative Transportation</t>
  </si>
  <si>
    <t>AEO.2025.ALTTRNP.CNSM_NA_TRN_LDV_ALF1_PI50GH_NA_TRLBTU.A</t>
  </si>
  <si>
    <t>Transportation Energy Use: Light-Duty Vehicles: Alternative-Fuel: Plug-in 50 Gasoline Hybrid: Alternative Transportation</t>
  </si>
  <si>
    <t>AEO.2025.ALTTRNP.CNSM_NA_TRN_LDV_ALF1_PI20GH_NA_TRLBTU.A</t>
  </si>
  <si>
    <t>Transportation Energy Use: Light-Duty Vehicles: Alternative-Fuel: Plug-in 20 Gasoline Hybrid: Alternative Transportation</t>
  </si>
  <si>
    <t>AEO.2025.ALTTRNP.CNSM_NA_TRN_LDV_ALF1_300EV_NA_TRLBTU.A</t>
  </si>
  <si>
    <t>Transportation Energy Use: Light-Duty Vehicles: Alternative-Fuel: 300-Mile Electric Vehicle: Alternative Transportation</t>
  </si>
  <si>
    <t>AEO.2025.ALTTRNP.CNSM_NA_TRN_LDV_ALF1_200EV_NA_TRLBTU.A</t>
  </si>
  <si>
    <t>Transportation Energy Use: Light-Duty Vehicles: Alternative-Fuel: 200-Mile Electric Vehicle: Alternative Transportation</t>
  </si>
  <si>
    <t>AEO.2025.ALTTRNP.CNSM_NA_TRN_LDV_ALF1_100EV_NA_TRLBTU.A</t>
  </si>
  <si>
    <t>Transportation Energy Use: Light-Duty Vehicles: Alternative-Fuel: 100-Mile Electric Vehicle: Alternative Transportation</t>
  </si>
  <si>
    <t>AEO.2025.ALTTRNP.CNSM_NA_TRN_LDV_ALF1_ETHF_NA_TRLBTU.A</t>
  </si>
  <si>
    <t>Transportation Energy Use: Light-Duty Vehicles: Alternative-Fuel: Ethanol Flex: Alternative Transportation</t>
  </si>
  <si>
    <t>AEO.2025.ALTTRNP.CNSM_NA_TRN_LDV_CNV_NA_NA_TRLBTU.A</t>
  </si>
  <si>
    <t>Transportation Energy Use: Light-Duty Vehicles: Conventional: Total: Alternative Transportation</t>
  </si>
  <si>
    <t>AEO.2025.ALTTRNP.CNSM_NA_TRN_LDV_CNV_TDS_NA_TRLBTU.A</t>
  </si>
  <si>
    <t>Transportation Energy Use: Light-Duty Vehicles: Conventional: TDI Diesel: Alternative Transportation</t>
  </si>
  <si>
    <t>AEO.2025.ALTTRNP.CNSM_NA_TRN_LDV_CNV_GIC_NA_TRLBTU.A</t>
  </si>
  <si>
    <t>Transportation Energy Use: Light-Duty Vehicles: Conventional: Gasoline: Alternative Transportation</t>
  </si>
  <si>
    <t>Fri Dec 05 2025 14:49:19 GMT-0800 (Pacific Standard Time)</t>
  </si>
  <si>
    <t>https://www.eia.gov/outlooks/aeo/data/browser/#/?id=47-AEO2025&amp;cases=alttrnp&amp;sourcekey=0</t>
  </si>
  <si>
    <t>Transportation: Total Energy Use: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</si>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</sst>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7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
      <patternFill patternType="solid">
        <fgColor rgb="FF00B0F0"/>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25">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11" fontId="0" fillId="32"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0" fontId="2" fillId="0" borderId="0" xfId="154" applyNumberFormat="1" applyFont="1" applyFill="1"/>
    <xf numFmtId="0" fontId="0" fillId="78" borderId="0" xfId="0" applyFill="1"/>
    <xf numFmtId="170" fontId="0" fillId="78" borderId="0" xfId="154" applyNumberFormat="1" applyFont="1" applyFill="1"/>
    <xf numFmtId="11" fontId="0" fillId="78" borderId="0" xfId="154" applyNumberFormat="1" applyFont="1" applyFill="1"/>
    <xf numFmtId="0" fontId="2" fillId="0" borderId="0" xfId="0" applyFont="1" applyAlignment="1">
      <alignment horizontal="right"/>
    </xf>
    <xf numFmtId="0" fontId="0" fillId="0" borderId="0" xfId="0" applyFill="1"/>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7.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4.25"/>
  <cols>
    <col min="1" max="1" width="13.3984375" customWidth="1"/>
    <col min="2" max="2" width="68.7304687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2024</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4.25"/>
  <cols>
    <col min="1" max="1" width="44.3984375" customWidth="1"/>
    <col min="2" max="2" width="12.597656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6" t="s">
        <v>631</v>
      </c>
      <c r="B18" s="196">
        <v>8</v>
      </c>
      <c r="C18" s="196">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6" t="s">
        <v>626</v>
      </c>
      <c r="B29" s="196">
        <v>7</v>
      </c>
      <c r="C29" s="196">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4.2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4.2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4.25"/>
  <cols>
    <col min="4" max="5" width="12.265625" bestFit="1" customWidth="1"/>
    <col min="9" max="9" width="12.59765625" customWidth="1"/>
    <col min="10" max="10" width="13.1328125" customWidth="1"/>
  </cols>
  <sheetData>
    <row r="1" spans="1:11" s="57" customFormat="1" ht="42.7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3046875" customWidth="1"/>
    <col min="2" max="2" width="45.730468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cols>
    <col min="2" max="2" width="43.531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199" customFormat="1">
      <c r="A29" s="199" t="s">
        <v>1105</v>
      </c>
      <c r="B29" s="199" t="s">
        <v>1106</v>
      </c>
      <c r="C29" s="199" t="s">
        <v>1107</v>
      </c>
      <c r="D29" s="199" t="s">
        <v>354</v>
      </c>
      <c r="F29" s="199">
        <v>4207.2714839999999</v>
      </c>
      <c r="G29" s="199">
        <v>4138.3046880000002</v>
      </c>
      <c r="H29" s="199">
        <v>4077.726807</v>
      </c>
      <c r="I29" s="199">
        <v>4039</v>
      </c>
      <c r="J29" s="199">
        <v>4013.0432129999999</v>
      </c>
      <c r="K29" s="199">
        <v>3976.7475589999999</v>
      </c>
      <c r="L29" s="199">
        <v>3937.7006839999999</v>
      </c>
      <c r="M29" s="199">
        <v>3887.5866700000001</v>
      </c>
      <c r="N29" s="199">
        <v>3833.3549800000001</v>
      </c>
      <c r="O29" s="199">
        <v>3784.2954100000002</v>
      </c>
      <c r="P29" s="199">
        <v>3747.7138669999999</v>
      </c>
      <c r="Q29" s="199">
        <v>3710.2224120000001</v>
      </c>
      <c r="R29" s="199">
        <v>3677.4086910000001</v>
      </c>
      <c r="S29" s="199">
        <v>3652.3420409999999</v>
      </c>
      <c r="T29" s="199">
        <v>3627.3435060000002</v>
      </c>
      <c r="U29" s="199">
        <v>3611.4228520000001</v>
      </c>
      <c r="V29" s="199">
        <v>3599.4960940000001</v>
      </c>
      <c r="W29" s="199">
        <v>3588.51001</v>
      </c>
      <c r="X29" s="199">
        <v>3582.46875</v>
      </c>
      <c r="Y29" s="199">
        <v>3579.7341310000002</v>
      </c>
      <c r="Z29" s="199">
        <v>3579.54126</v>
      </c>
      <c r="AA29" s="199">
        <v>3578.6533199999999</v>
      </c>
      <c r="AB29" s="199">
        <v>3575.9597170000002</v>
      </c>
      <c r="AC29" s="199">
        <v>3570.5195309999999</v>
      </c>
      <c r="AD29" s="199">
        <v>3568.015625</v>
      </c>
      <c r="AE29" s="199">
        <v>3565.4650879999999</v>
      </c>
      <c r="AF29" s="199">
        <v>3558.26001</v>
      </c>
      <c r="AG29" s="199">
        <v>3552.2463379999999</v>
      </c>
      <c r="AH29" s="199">
        <v>3556.4165039999998</v>
      </c>
      <c r="AI29" s="200">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96"/>
  <sheetViews>
    <sheetView workbookViewId="0"/>
  </sheetViews>
  <sheetFormatPr defaultRowHeight="14.25"/>
  <cols>
    <col min="1" max="1" width="21.3984375" customWidth="1"/>
    <col min="2" max="2" width="43.86328125" customWidth="1"/>
    <col min="3" max="3" width="79.59765625" bestFit="1" customWidth="1"/>
    <col min="5" max="5" width="13.86328125" customWidth="1"/>
    <col min="6" max="7" width="0" hidden="1" customWidth="1"/>
  </cols>
  <sheetData>
    <row r="1" spans="2:37">
      <c r="B1" t="s">
        <v>301</v>
      </c>
    </row>
    <row r="2" spans="2:37">
      <c r="B2" t="s">
        <v>1185</v>
      </c>
    </row>
    <row r="3" spans="2:37">
      <c r="B3" t="s">
        <v>1186</v>
      </c>
    </row>
    <row r="4" spans="2:37">
      <c r="B4" t="s">
        <v>302</v>
      </c>
    </row>
    <row r="5" spans="2:37">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c r="AK5" t="s">
        <v>540</v>
      </c>
    </row>
    <row r="6" spans="2:37">
      <c r="B6" t="s">
        <v>276</v>
      </c>
      <c r="C6" t="s">
        <v>1187</v>
      </c>
      <c r="D6" t="s">
        <v>1188</v>
      </c>
      <c r="E6" t="s">
        <v>354</v>
      </c>
      <c r="G6">
        <v>14541.972656</v>
      </c>
      <c r="H6">
        <v>14586.113281</v>
      </c>
      <c r="I6">
        <v>14429.691406</v>
      </c>
      <c r="J6">
        <v>14201.924805000001</v>
      </c>
      <c r="K6">
        <v>14016.908203000001</v>
      </c>
      <c r="L6">
        <v>13860.761719</v>
      </c>
      <c r="M6">
        <v>13679.085938</v>
      </c>
      <c r="N6">
        <v>13473.831055000001</v>
      </c>
      <c r="O6">
        <v>13253.083008</v>
      </c>
      <c r="P6">
        <v>13044.084961</v>
      </c>
      <c r="Q6">
        <v>12836.977539</v>
      </c>
      <c r="R6">
        <v>12674.038086</v>
      </c>
      <c r="S6">
        <v>12534.655273</v>
      </c>
      <c r="T6">
        <v>12394.663086</v>
      </c>
      <c r="U6">
        <v>12251.546875</v>
      </c>
      <c r="V6">
        <v>12130.821289</v>
      </c>
      <c r="W6">
        <v>12028.415039</v>
      </c>
      <c r="X6">
        <v>11933.921875</v>
      </c>
      <c r="Y6">
        <v>11864.000977</v>
      </c>
      <c r="Z6">
        <v>11805.395508</v>
      </c>
      <c r="AA6">
        <v>11762.741211</v>
      </c>
      <c r="AB6">
        <v>11733.643555000001</v>
      </c>
      <c r="AC6">
        <v>11725.385742</v>
      </c>
      <c r="AD6">
        <v>11735.774414</v>
      </c>
      <c r="AE6">
        <v>11770.762694999999</v>
      </c>
      <c r="AF6">
        <v>11824.348633</v>
      </c>
      <c r="AG6">
        <v>11889.714844</v>
      </c>
      <c r="AH6">
        <v>11962.909180000001</v>
      </c>
      <c r="AI6">
        <v>12054.454102</v>
      </c>
      <c r="AJ6" s="31">
        <v>-7.0000000000000001E-3</v>
      </c>
      <c r="AK6" s="31">
        <v>0</v>
      </c>
    </row>
    <row r="7" spans="2:37">
      <c r="B7" t="s">
        <v>304</v>
      </c>
      <c r="C7" t="s">
        <v>1189</v>
      </c>
      <c r="D7" t="s">
        <v>1190</v>
      </c>
      <c r="E7" t="s">
        <v>354</v>
      </c>
      <c r="G7">
        <v>14415.272461</v>
      </c>
      <c r="H7">
        <v>14443.935546999999</v>
      </c>
      <c r="I7">
        <v>14272.423828000001</v>
      </c>
      <c r="J7">
        <v>14024.321289</v>
      </c>
      <c r="K7">
        <v>13815.495117</v>
      </c>
      <c r="L7">
        <v>13632.25</v>
      </c>
      <c r="M7">
        <v>13419.692383</v>
      </c>
      <c r="N7">
        <v>13179.959961</v>
      </c>
      <c r="O7">
        <v>12922.150390999999</v>
      </c>
      <c r="P7">
        <v>12678.574219</v>
      </c>
      <c r="Q7">
        <v>12437.037109000001</v>
      </c>
      <c r="R7">
        <v>12238.958984000001</v>
      </c>
      <c r="S7">
        <v>12063.409180000001</v>
      </c>
      <c r="T7">
        <v>11887.983398</v>
      </c>
      <c r="U7">
        <v>11710.702148</v>
      </c>
      <c r="V7">
        <v>11556.080078000001</v>
      </c>
      <c r="W7">
        <v>11421.212890999999</v>
      </c>
      <c r="X7">
        <v>11295.928711</v>
      </c>
      <c r="Y7">
        <v>11196.765625</v>
      </c>
      <c r="Z7">
        <v>11110.766602</v>
      </c>
      <c r="AA7">
        <v>11042.224609000001</v>
      </c>
      <c r="AB7">
        <v>10988.434569999999</v>
      </c>
      <c r="AC7">
        <v>10958.347656</v>
      </c>
      <c r="AD7">
        <v>10949.109375</v>
      </c>
      <c r="AE7">
        <v>10963.973633</v>
      </c>
      <c r="AF7">
        <v>10998.306640999999</v>
      </c>
      <c r="AG7">
        <v>11045.133789</v>
      </c>
      <c r="AH7">
        <v>11100.259765999999</v>
      </c>
      <c r="AI7">
        <v>11174.059569999999</v>
      </c>
      <c r="AJ7" s="31">
        <v>-8.9999999999999993E-3</v>
      </c>
      <c r="AK7" s="31">
        <v>-1E-3</v>
      </c>
    </row>
    <row r="8" spans="2:37">
      <c r="B8" t="s">
        <v>305</v>
      </c>
      <c r="C8" t="s">
        <v>1191</v>
      </c>
      <c r="D8" t="s">
        <v>1192</v>
      </c>
      <c r="E8" t="s">
        <v>354</v>
      </c>
      <c r="G8">
        <v>31.110834000000001</v>
      </c>
      <c r="H8">
        <v>31.640059999999998</v>
      </c>
      <c r="I8">
        <v>29.552766999999999</v>
      </c>
      <c r="J8">
        <v>29.441513</v>
      </c>
      <c r="K8">
        <v>28.728484999999999</v>
      </c>
      <c r="L8">
        <v>27.952176999999999</v>
      </c>
      <c r="M8">
        <v>27.018059000000001</v>
      </c>
      <c r="N8">
        <v>25.972712999999999</v>
      </c>
      <c r="O8">
        <v>24.873795000000001</v>
      </c>
      <c r="P8">
        <v>23.800640000000001</v>
      </c>
      <c r="Q8">
        <v>22.75461</v>
      </c>
      <c r="R8">
        <v>21.823027</v>
      </c>
      <c r="S8">
        <v>20.987984000000001</v>
      </c>
      <c r="T8">
        <v>20.244168999999999</v>
      </c>
      <c r="U8">
        <v>19.537762000000001</v>
      </c>
      <c r="V8">
        <v>19.024712000000001</v>
      </c>
      <c r="W8">
        <v>18.648620999999999</v>
      </c>
      <c r="X8">
        <v>18.398510000000002</v>
      </c>
      <c r="Y8">
        <v>18.275644</v>
      </c>
      <c r="Z8">
        <v>18.222812999999999</v>
      </c>
      <c r="AA8">
        <v>18.236134</v>
      </c>
      <c r="AB8">
        <v>18.340064999999999</v>
      </c>
      <c r="AC8">
        <v>18.452594999999999</v>
      </c>
      <c r="AD8">
        <v>18.609615000000002</v>
      </c>
      <c r="AE8">
        <v>18.756809000000001</v>
      </c>
      <c r="AF8">
        <v>19.004078</v>
      </c>
      <c r="AG8">
        <v>19.229309000000001</v>
      </c>
      <c r="AH8">
        <v>19.515996999999999</v>
      </c>
      <c r="AI8">
        <v>19.788425</v>
      </c>
      <c r="AJ8" s="31">
        <v>-1.6E-2</v>
      </c>
      <c r="AK8" s="31">
        <v>4.0000000000000001E-3</v>
      </c>
    </row>
    <row r="9" spans="2:37">
      <c r="B9" t="s">
        <v>306</v>
      </c>
      <c r="C9" t="s">
        <v>1193</v>
      </c>
      <c r="D9" t="s">
        <v>1194</v>
      </c>
      <c r="E9" t="s">
        <v>354</v>
      </c>
      <c r="G9">
        <v>61.460402999999999</v>
      </c>
      <c r="H9">
        <v>64.699020000000004</v>
      </c>
      <c r="I9">
        <v>67.503647000000001</v>
      </c>
      <c r="J9">
        <v>70.684073999999995</v>
      </c>
      <c r="K9">
        <v>74.503555000000006</v>
      </c>
      <c r="L9">
        <v>77.632530000000003</v>
      </c>
      <c r="M9">
        <v>81.324982000000006</v>
      </c>
      <c r="N9">
        <v>84.520767000000006</v>
      </c>
      <c r="O9">
        <v>86.959732000000002</v>
      </c>
      <c r="P9">
        <v>89.758049</v>
      </c>
      <c r="Q9">
        <v>91.490157999999994</v>
      </c>
      <c r="R9">
        <v>93.247542999999993</v>
      </c>
      <c r="S9">
        <v>95.158996999999999</v>
      </c>
      <c r="T9">
        <v>96.641707999999994</v>
      </c>
      <c r="U9">
        <v>98.053237999999993</v>
      </c>
      <c r="V9">
        <v>99.864699999999999</v>
      </c>
      <c r="W9">
        <v>101.36190000000001</v>
      </c>
      <c r="X9">
        <v>102.785622</v>
      </c>
      <c r="Y9">
        <v>104.47521999999999</v>
      </c>
      <c r="Z9">
        <v>105.749611</v>
      </c>
      <c r="AA9">
        <v>107.324608</v>
      </c>
      <c r="AB9">
        <v>109.779274</v>
      </c>
      <c r="AC9">
        <v>110.920013</v>
      </c>
      <c r="AD9">
        <v>111.97983600000001</v>
      </c>
      <c r="AE9">
        <v>113.441277</v>
      </c>
      <c r="AF9">
        <v>115.037064</v>
      </c>
      <c r="AG9">
        <v>116.75106</v>
      </c>
      <c r="AH9">
        <v>118.593468</v>
      </c>
      <c r="AI9">
        <v>120.69574</v>
      </c>
      <c r="AJ9" s="31">
        <v>2.4E-2</v>
      </c>
      <c r="AK9" s="31">
        <v>2.5000000000000001E-2</v>
      </c>
    </row>
    <row r="10" spans="2:37">
      <c r="B10" t="s">
        <v>307</v>
      </c>
      <c r="C10" t="s">
        <v>1195</v>
      </c>
      <c r="D10" t="s">
        <v>1196</v>
      </c>
      <c r="E10" t="s">
        <v>354</v>
      </c>
      <c r="G10">
        <v>0.71288799999999997</v>
      </c>
      <c r="H10">
        <v>0.67766800000000005</v>
      </c>
      <c r="I10">
        <v>0.53775200000000001</v>
      </c>
      <c r="J10">
        <v>0.51500500000000005</v>
      </c>
      <c r="K10">
        <v>0.507019</v>
      </c>
      <c r="L10">
        <v>0.49244300000000002</v>
      </c>
      <c r="M10">
        <v>0.48183900000000002</v>
      </c>
      <c r="N10">
        <v>0.470472</v>
      </c>
      <c r="O10">
        <v>0.44594200000000001</v>
      </c>
      <c r="P10">
        <v>0.44344499999999998</v>
      </c>
      <c r="Q10">
        <v>0.43788300000000002</v>
      </c>
      <c r="R10">
        <v>0.43343399999999999</v>
      </c>
      <c r="S10">
        <v>0.43173299999999998</v>
      </c>
      <c r="T10">
        <v>0.43049900000000002</v>
      </c>
      <c r="U10">
        <v>0.42709599999999998</v>
      </c>
      <c r="V10">
        <v>0.42463099999999998</v>
      </c>
      <c r="W10">
        <v>0.42622700000000002</v>
      </c>
      <c r="X10">
        <v>0.37802400000000003</v>
      </c>
      <c r="Y10">
        <v>0.33532600000000001</v>
      </c>
      <c r="Z10">
        <v>0.34005299999999999</v>
      </c>
      <c r="AA10">
        <v>0.343781</v>
      </c>
      <c r="AB10">
        <v>0.34665600000000002</v>
      </c>
      <c r="AC10">
        <v>0.34931299999999998</v>
      </c>
      <c r="AD10">
        <v>0.35186400000000001</v>
      </c>
      <c r="AE10">
        <v>0.35644799999999999</v>
      </c>
      <c r="AF10">
        <v>0.36170999999999998</v>
      </c>
      <c r="AG10">
        <v>0.367786</v>
      </c>
      <c r="AH10">
        <v>0.37404300000000001</v>
      </c>
      <c r="AI10">
        <v>0.38108199999999998</v>
      </c>
      <c r="AJ10" s="31">
        <v>-2.1999999999999999E-2</v>
      </c>
      <c r="AK10" s="31">
        <v>-1E-3</v>
      </c>
    </row>
    <row r="11" spans="2:37">
      <c r="B11" t="s">
        <v>308</v>
      </c>
      <c r="C11" t="s">
        <v>1197</v>
      </c>
      <c r="D11" t="s">
        <v>1198</v>
      </c>
      <c r="E11" t="s">
        <v>354</v>
      </c>
      <c r="G11">
        <v>0.79738799999999999</v>
      </c>
      <c r="H11">
        <v>0.735487</v>
      </c>
      <c r="I11">
        <v>0.54745600000000005</v>
      </c>
      <c r="J11">
        <v>0.54066800000000004</v>
      </c>
      <c r="K11">
        <v>0.54419300000000004</v>
      </c>
      <c r="L11">
        <v>0.56128199999999995</v>
      </c>
      <c r="M11">
        <v>0.31209199999999998</v>
      </c>
      <c r="N11">
        <v>0.33013999999999999</v>
      </c>
      <c r="O11">
        <v>0.384077</v>
      </c>
      <c r="P11">
        <v>0.43762600000000001</v>
      </c>
      <c r="Q11">
        <v>0.48971900000000002</v>
      </c>
      <c r="R11">
        <v>0.54025400000000001</v>
      </c>
      <c r="S11">
        <v>0.59017699999999995</v>
      </c>
      <c r="T11">
        <v>0.63807599999999998</v>
      </c>
      <c r="U11">
        <v>0.68416399999999999</v>
      </c>
      <c r="V11">
        <v>0.72875999999999996</v>
      </c>
      <c r="W11">
        <v>0.77158599999999999</v>
      </c>
      <c r="X11">
        <v>0.81298700000000002</v>
      </c>
      <c r="Y11">
        <v>0.85285</v>
      </c>
      <c r="Z11">
        <v>0.89180899999999996</v>
      </c>
      <c r="AA11">
        <v>0.93071300000000001</v>
      </c>
      <c r="AB11">
        <v>0.96862199999999998</v>
      </c>
      <c r="AC11">
        <v>1.007558</v>
      </c>
      <c r="AD11">
        <v>1.0480309999999999</v>
      </c>
      <c r="AE11">
        <v>1.0965309999999999</v>
      </c>
      <c r="AF11">
        <v>1.1502429999999999</v>
      </c>
      <c r="AG11">
        <v>1.2091620000000001</v>
      </c>
      <c r="AH11">
        <v>1.2718959999999999</v>
      </c>
      <c r="AI11">
        <v>1.341161</v>
      </c>
      <c r="AJ11" s="31">
        <v>1.9E-2</v>
      </c>
      <c r="AK11" s="31">
        <v>-7.0000000000000001E-3</v>
      </c>
    </row>
    <row r="12" spans="2:37">
      <c r="B12" t="s">
        <v>309</v>
      </c>
      <c r="C12" t="s">
        <v>1199</v>
      </c>
      <c r="D12" t="s">
        <v>1200</v>
      </c>
      <c r="E12" t="s">
        <v>354</v>
      </c>
      <c r="G12">
        <v>32.193668000000002</v>
      </c>
      <c r="H12">
        <v>43.907116000000002</v>
      </c>
      <c r="I12">
        <v>58.529483999999997</v>
      </c>
      <c r="J12">
        <v>75.757942</v>
      </c>
      <c r="K12">
        <v>96.391159000000002</v>
      </c>
      <c r="L12">
        <v>121.066132</v>
      </c>
      <c r="M12">
        <v>149.37681599999999</v>
      </c>
      <c r="N12">
        <v>181.62849399999999</v>
      </c>
      <c r="O12">
        <v>217.248322</v>
      </c>
      <c r="P12">
        <v>249.97737100000001</v>
      </c>
      <c r="Q12">
        <v>283.60272200000003</v>
      </c>
      <c r="R12">
        <v>317.79742399999998</v>
      </c>
      <c r="S12">
        <v>352.768036</v>
      </c>
      <c r="T12">
        <v>387.34478799999999</v>
      </c>
      <c r="U12">
        <v>420.69439699999998</v>
      </c>
      <c r="V12">
        <v>453.186218</v>
      </c>
      <c r="W12">
        <v>484.42330900000002</v>
      </c>
      <c r="X12">
        <v>513.99560499999995</v>
      </c>
      <c r="Y12">
        <v>541.63085899999999</v>
      </c>
      <c r="Z12">
        <v>567.72460899999999</v>
      </c>
      <c r="AA12">
        <v>591.95019500000001</v>
      </c>
      <c r="AB12">
        <v>614.02081299999998</v>
      </c>
      <c r="AC12">
        <v>634.53887899999995</v>
      </c>
      <c r="AD12">
        <v>652.89733899999999</v>
      </c>
      <c r="AE12">
        <v>671.348206</v>
      </c>
      <c r="AF12">
        <v>688.68969700000002</v>
      </c>
      <c r="AG12">
        <v>705.21575900000005</v>
      </c>
      <c r="AH12">
        <v>721.08111599999995</v>
      </c>
      <c r="AI12">
        <v>736.37286400000005</v>
      </c>
      <c r="AJ12" s="31">
        <v>0.11799999999999999</v>
      </c>
      <c r="AK12" s="31">
        <v>0.10100000000000001</v>
      </c>
    </row>
    <row r="13" spans="2:37">
      <c r="B13" t="s">
        <v>310</v>
      </c>
      <c r="C13" t="s">
        <v>1201</v>
      </c>
      <c r="D13" t="s">
        <v>1202</v>
      </c>
      <c r="E13" t="s">
        <v>354</v>
      </c>
      <c r="G13">
        <v>0.42613899999999999</v>
      </c>
      <c r="H13">
        <v>0.51818299999999995</v>
      </c>
      <c r="I13">
        <v>0.59576700000000005</v>
      </c>
      <c r="J13">
        <v>0.66511799999999999</v>
      </c>
      <c r="K13">
        <v>0.73787199999999997</v>
      </c>
      <c r="L13">
        <v>0.80678000000000005</v>
      </c>
      <c r="M13">
        <v>0.87969799999999998</v>
      </c>
      <c r="N13">
        <v>0.94835800000000003</v>
      </c>
      <c r="O13">
        <v>1.0205519999999999</v>
      </c>
      <c r="P13">
        <v>1.0934459999999999</v>
      </c>
      <c r="Q13">
        <v>1.1656569999999999</v>
      </c>
      <c r="R13">
        <v>1.2371049999999999</v>
      </c>
      <c r="S13">
        <v>1.3096950000000001</v>
      </c>
      <c r="T13">
        <v>1.3809180000000001</v>
      </c>
      <c r="U13">
        <v>1.4474880000000001</v>
      </c>
      <c r="V13">
        <v>1.512508</v>
      </c>
      <c r="W13">
        <v>1.570883</v>
      </c>
      <c r="X13">
        <v>1.623062</v>
      </c>
      <c r="Y13">
        <v>1.665691</v>
      </c>
      <c r="Z13">
        <v>1.699897</v>
      </c>
      <c r="AA13">
        <v>1.7316929999999999</v>
      </c>
      <c r="AB13">
        <v>1.7536229999999999</v>
      </c>
      <c r="AC13">
        <v>1.769871</v>
      </c>
      <c r="AD13">
        <v>1.7791170000000001</v>
      </c>
      <c r="AE13">
        <v>1.7894969999999999</v>
      </c>
      <c r="AF13">
        <v>1.800149</v>
      </c>
      <c r="AG13">
        <v>1.8077129999999999</v>
      </c>
      <c r="AH13">
        <v>1.8132870000000001</v>
      </c>
      <c r="AI13">
        <v>1.8167770000000001</v>
      </c>
      <c r="AJ13" s="31">
        <v>5.2999999999999999E-2</v>
      </c>
      <c r="AK13" s="31">
        <v>3.7999999999999999E-2</v>
      </c>
    </row>
    <row r="14" spans="2:37">
      <c r="B14" t="s">
        <v>311</v>
      </c>
      <c r="C14" t="s">
        <v>1203</v>
      </c>
      <c r="D14" t="s">
        <v>1204</v>
      </c>
      <c r="E14" t="s">
        <v>354</v>
      </c>
      <c r="G14">
        <v>951.50280799999996</v>
      </c>
      <c r="H14">
        <v>942.55828899999995</v>
      </c>
      <c r="I14">
        <v>925.34039299999995</v>
      </c>
      <c r="J14">
        <v>912.45153800000003</v>
      </c>
      <c r="K14">
        <v>903.11096199999997</v>
      </c>
      <c r="L14">
        <v>894.80664100000001</v>
      </c>
      <c r="M14">
        <v>888.38452099999995</v>
      </c>
      <c r="N14">
        <v>882.99560499999995</v>
      </c>
      <c r="O14">
        <v>877.03247099999999</v>
      </c>
      <c r="P14">
        <v>872.79089399999998</v>
      </c>
      <c r="Q14">
        <v>871.79064900000003</v>
      </c>
      <c r="R14">
        <v>871.86755400000004</v>
      </c>
      <c r="S14">
        <v>873.03363000000002</v>
      </c>
      <c r="T14">
        <v>875.073486</v>
      </c>
      <c r="U14">
        <v>877.49945100000002</v>
      </c>
      <c r="V14">
        <v>881.02331500000003</v>
      </c>
      <c r="W14">
        <v>885.54095500000005</v>
      </c>
      <c r="X14">
        <v>889.79608199999996</v>
      </c>
      <c r="Y14">
        <v>896.14636199999995</v>
      </c>
      <c r="Z14">
        <v>903.92437700000005</v>
      </c>
      <c r="AA14">
        <v>911.92645300000004</v>
      </c>
      <c r="AB14">
        <v>919.04620399999999</v>
      </c>
      <c r="AC14">
        <v>925.47399900000005</v>
      </c>
      <c r="AD14">
        <v>932.77233899999999</v>
      </c>
      <c r="AE14">
        <v>941.28070100000002</v>
      </c>
      <c r="AF14">
        <v>951.49883999999997</v>
      </c>
      <c r="AG14">
        <v>960.51415999999995</v>
      </c>
      <c r="AH14">
        <v>969.57879600000001</v>
      </c>
      <c r="AI14">
        <v>981.59570299999996</v>
      </c>
      <c r="AJ14" s="31">
        <v>1E-3</v>
      </c>
      <c r="AK14" s="31">
        <v>8.9999999999999993E-3</v>
      </c>
    </row>
    <row r="15" spans="2:37">
      <c r="B15" t="s">
        <v>304</v>
      </c>
      <c r="C15" t="s">
        <v>1205</v>
      </c>
      <c r="D15" t="s">
        <v>1206</v>
      </c>
      <c r="E15" t="s">
        <v>354</v>
      </c>
      <c r="G15">
        <v>657.76745600000004</v>
      </c>
      <c r="H15">
        <v>651.25982699999997</v>
      </c>
      <c r="I15">
        <v>640.80761700000005</v>
      </c>
      <c r="J15">
        <v>634.44543499999997</v>
      </c>
      <c r="K15">
        <v>630.82428000000004</v>
      </c>
      <c r="L15">
        <v>624.78125</v>
      </c>
      <c r="M15">
        <v>620.947632</v>
      </c>
      <c r="N15">
        <v>618.08074999999997</v>
      </c>
      <c r="O15">
        <v>615.03594999999996</v>
      </c>
      <c r="P15">
        <v>613.48315400000001</v>
      </c>
      <c r="Q15">
        <v>614.07128899999998</v>
      </c>
      <c r="R15">
        <v>615.42193599999996</v>
      </c>
      <c r="S15">
        <v>617.641479</v>
      </c>
      <c r="T15">
        <v>620.38317900000004</v>
      </c>
      <c r="U15">
        <v>623.32220500000005</v>
      </c>
      <c r="V15">
        <v>627.02630599999998</v>
      </c>
      <c r="W15">
        <v>631.23345900000004</v>
      </c>
      <c r="X15">
        <v>635.20404099999996</v>
      </c>
      <c r="Y15">
        <v>640.80859399999997</v>
      </c>
      <c r="Z15">
        <v>646.77948000000004</v>
      </c>
      <c r="AA15">
        <v>653.38256799999999</v>
      </c>
      <c r="AB15">
        <v>659.03369099999998</v>
      </c>
      <c r="AC15">
        <v>663.90283199999999</v>
      </c>
      <c r="AD15">
        <v>669.03552200000001</v>
      </c>
      <c r="AE15">
        <v>675.10998500000005</v>
      </c>
      <c r="AF15">
        <v>682.46606399999996</v>
      </c>
      <c r="AG15">
        <v>688.97082499999999</v>
      </c>
      <c r="AH15">
        <v>695.63995399999999</v>
      </c>
      <c r="AI15">
        <v>704.23315400000001</v>
      </c>
      <c r="AJ15" s="31">
        <v>2E-3</v>
      </c>
      <c r="AK15" s="31">
        <v>8.0000000000000002E-3</v>
      </c>
    </row>
    <row r="16" spans="2:37">
      <c r="B16" t="s">
        <v>305</v>
      </c>
      <c r="C16" t="s">
        <v>1207</v>
      </c>
      <c r="D16" t="s">
        <v>1208</v>
      </c>
      <c r="E16" t="s">
        <v>354</v>
      </c>
      <c r="G16">
        <v>3.5136699999999998</v>
      </c>
      <c r="H16">
        <v>3.389497</v>
      </c>
      <c r="I16">
        <v>2.991625</v>
      </c>
      <c r="J16">
        <v>2.9037060000000001</v>
      </c>
      <c r="K16">
        <v>2.7676799999999999</v>
      </c>
      <c r="L16">
        <v>2.7080980000000001</v>
      </c>
      <c r="M16">
        <v>2.6648450000000001</v>
      </c>
      <c r="N16">
        <v>2.6710020000000001</v>
      </c>
      <c r="O16">
        <v>2.68058</v>
      </c>
      <c r="P16">
        <v>2.705457</v>
      </c>
      <c r="Q16">
        <v>2.745193</v>
      </c>
      <c r="R16">
        <v>2.803118</v>
      </c>
      <c r="S16">
        <v>2.8754189999999999</v>
      </c>
      <c r="T16">
        <v>2.972388</v>
      </c>
      <c r="U16">
        <v>3.075218</v>
      </c>
      <c r="V16">
        <v>3.2065070000000002</v>
      </c>
      <c r="W16">
        <v>3.3501609999999999</v>
      </c>
      <c r="X16">
        <v>3.5010400000000002</v>
      </c>
      <c r="Y16">
        <v>3.6667809999999998</v>
      </c>
      <c r="Z16">
        <v>3.843432</v>
      </c>
      <c r="AA16">
        <v>4.0169430000000004</v>
      </c>
      <c r="AB16">
        <v>4.194909</v>
      </c>
      <c r="AC16">
        <v>4.3540520000000003</v>
      </c>
      <c r="AD16">
        <v>4.5155190000000003</v>
      </c>
      <c r="AE16">
        <v>4.6677289999999996</v>
      </c>
      <c r="AF16">
        <v>4.8359430000000003</v>
      </c>
      <c r="AG16">
        <v>4.9793599999999998</v>
      </c>
      <c r="AH16">
        <v>5.1316860000000002</v>
      </c>
      <c r="AI16">
        <v>5.2824540000000004</v>
      </c>
      <c r="AJ16" s="31">
        <v>1.4999999999999999E-2</v>
      </c>
      <c r="AK16" s="31">
        <v>4.7E-2</v>
      </c>
    </row>
    <row r="17" spans="2:37">
      <c r="B17" t="s">
        <v>306</v>
      </c>
      <c r="C17" t="s">
        <v>1209</v>
      </c>
      <c r="D17" t="s">
        <v>1210</v>
      </c>
      <c r="E17" t="s">
        <v>354</v>
      </c>
      <c r="G17">
        <v>289.12039199999998</v>
      </c>
      <c r="H17">
        <v>286.82144199999999</v>
      </c>
      <c r="I17">
        <v>280.46920799999998</v>
      </c>
      <c r="J17">
        <v>274.07836900000001</v>
      </c>
      <c r="K17">
        <v>268.54092400000002</v>
      </c>
      <c r="L17">
        <v>266.37576300000001</v>
      </c>
      <c r="M17">
        <v>263.84298699999999</v>
      </c>
      <c r="N17">
        <v>261.31542999999999</v>
      </c>
      <c r="O17">
        <v>258.401184</v>
      </c>
      <c r="P17">
        <v>255.69387800000001</v>
      </c>
      <c r="Q17">
        <v>254.05813599999999</v>
      </c>
      <c r="R17">
        <v>252.705139</v>
      </c>
      <c r="S17">
        <v>251.542633</v>
      </c>
      <c r="T17">
        <v>250.69047499999999</v>
      </c>
      <c r="U17">
        <v>250.00555399999999</v>
      </c>
      <c r="V17">
        <v>249.60524000000001</v>
      </c>
      <c r="W17">
        <v>249.66021699999999</v>
      </c>
      <c r="X17">
        <v>249.65734900000001</v>
      </c>
      <c r="Y17">
        <v>250.07077000000001</v>
      </c>
      <c r="Z17">
        <v>251.505585</v>
      </c>
      <c r="AA17">
        <v>252.50730899999999</v>
      </c>
      <c r="AB17">
        <v>253.54638700000001</v>
      </c>
      <c r="AC17">
        <v>254.66670199999999</v>
      </c>
      <c r="AD17">
        <v>256.36206099999998</v>
      </c>
      <c r="AE17">
        <v>258.30450400000001</v>
      </c>
      <c r="AF17">
        <v>260.63464399999998</v>
      </c>
      <c r="AG17">
        <v>262.62152099999997</v>
      </c>
      <c r="AH17">
        <v>264.464203</v>
      </c>
      <c r="AI17">
        <v>267.307861</v>
      </c>
      <c r="AJ17" s="31">
        <v>-3.0000000000000001E-3</v>
      </c>
      <c r="AK17" s="31">
        <v>8.0000000000000002E-3</v>
      </c>
    </row>
    <row r="18" spans="2:37">
      <c r="B18" t="s">
        <v>308</v>
      </c>
      <c r="C18" t="s">
        <v>1211</v>
      </c>
      <c r="D18" t="s">
        <v>1212</v>
      </c>
      <c r="E18" t="s">
        <v>354</v>
      </c>
      <c r="G18">
        <v>1.1919999999999999E-3</v>
      </c>
      <c r="H18">
        <v>5.9367000000000003E-2</v>
      </c>
      <c r="I18">
        <v>0.11705</v>
      </c>
      <c r="J18">
        <v>0.17241300000000001</v>
      </c>
      <c r="K18">
        <v>0.22949800000000001</v>
      </c>
      <c r="L18">
        <v>0.28361900000000001</v>
      </c>
      <c r="M18">
        <v>0.33646300000000001</v>
      </c>
      <c r="N18">
        <v>0.39336500000000002</v>
      </c>
      <c r="O18">
        <v>0.43659700000000001</v>
      </c>
      <c r="P18">
        <v>0.48442800000000003</v>
      </c>
      <c r="Q18">
        <v>0.53945200000000004</v>
      </c>
      <c r="R18">
        <v>0.60183900000000001</v>
      </c>
      <c r="S18">
        <v>0.67321399999999998</v>
      </c>
      <c r="T18">
        <v>0.75634199999999996</v>
      </c>
      <c r="U18">
        <v>0.853271</v>
      </c>
      <c r="V18">
        <v>0.96770199999999995</v>
      </c>
      <c r="W18">
        <v>1.1022019999999999</v>
      </c>
      <c r="X18">
        <v>1.257558</v>
      </c>
      <c r="Y18">
        <v>1.4395659999999999</v>
      </c>
      <c r="Z18">
        <v>1.649748</v>
      </c>
      <c r="AA18">
        <v>1.8861079999999999</v>
      </c>
      <c r="AB18">
        <v>2.1497600000000001</v>
      </c>
      <c r="AC18">
        <v>2.4400059999999999</v>
      </c>
      <c r="AD18">
        <v>2.7592599999999998</v>
      </c>
      <c r="AE18">
        <v>3.1105109999999998</v>
      </c>
      <c r="AF18">
        <v>3.4898639999999999</v>
      </c>
      <c r="AG18">
        <v>3.885303</v>
      </c>
      <c r="AH18">
        <v>4.2978630000000004</v>
      </c>
      <c r="AI18">
        <v>4.7380370000000003</v>
      </c>
      <c r="AJ18" s="31">
        <v>0.34399999999999997</v>
      </c>
      <c r="AK18" s="31">
        <v>8.7999999999999995E-2</v>
      </c>
    </row>
    <row r="19" spans="2:37">
      <c r="B19" t="s">
        <v>307</v>
      </c>
      <c r="C19" t="s">
        <v>1213</v>
      </c>
      <c r="D19" t="s">
        <v>1214</v>
      </c>
      <c r="E19" t="s">
        <v>354</v>
      </c>
      <c r="G19">
        <v>1.100109</v>
      </c>
      <c r="H19">
        <v>1.0280959999999999</v>
      </c>
      <c r="I19">
        <v>0.95485699999999996</v>
      </c>
      <c r="J19">
        <v>0.85162800000000005</v>
      </c>
      <c r="K19">
        <v>0.74851699999999999</v>
      </c>
      <c r="L19">
        <v>0.657968</v>
      </c>
      <c r="M19">
        <v>0.59255500000000005</v>
      </c>
      <c r="N19">
        <v>0.53501100000000001</v>
      </c>
      <c r="O19">
        <v>0.478159</v>
      </c>
      <c r="P19">
        <v>0.42399300000000001</v>
      </c>
      <c r="Q19">
        <v>0.376664</v>
      </c>
      <c r="R19">
        <v>0.33548499999999998</v>
      </c>
      <c r="S19">
        <v>0.30089100000000002</v>
      </c>
      <c r="T19">
        <v>0.27107300000000001</v>
      </c>
      <c r="U19">
        <v>0.243198</v>
      </c>
      <c r="V19">
        <v>0.217586</v>
      </c>
      <c r="W19">
        <v>0.19492699999999999</v>
      </c>
      <c r="X19">
        <v>0.17607900000000001</v>
      </c>
      <c r="Y19">
        <v>0.160581</v>
      </c>
      <c r="Z19">
        <v>0.14618200000000001</v>
      </c>
      <c r="AA19">
        <v>0.133464</v>
      </c>
      <c r="AB19">
        <v>0.121475</v>
      </c>
      <c r="AC19">
        <v>0.110383</v>
      </c>
      <c r="AD19">
        <v>9.9973999999999993E-2</v>
      </c>
      <c r="AE19">
        <v>8.7946999999999997E-2</v>
      </c>
      <c r="AF19">
        <v>7.2319999999999995E-2</v>
      </c>
      <c r="AG19">
        <v>5.7146000000000002E-2</v>
      </c>
      <c r="AH19">
        <v>4.5075999999999998E-2</v>
      </c>
      <c r="AI19">
        <v>3.4169999999999999E-2</v>
      </c>
      <c r="AJ19" s="31">
        <v>-0.11700000000000001</v>
      </c>
      <c r="AK19" s="31">
        <v>-1.2999999999999999E-2</v>
      </c>
    </row>
    <row r="20" spans="2:37">
      <c r="B20" t="s">
        <v>309</v>
      </c>
      <c r="C20" t="s">
        <v>1215</v>
      </c>
      <c r="D20" t="s">
        <v>1216</v>
      </c>
      <c r="E20" t="s">
        <v>354</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117</v>
      </c>
      <c r="AK20" s="31">
        <v>0.115</v>
      </c>
    </row>
    <row r="21" spans="2:37">
      <c r="B21" t="s">
        <v>310</v>
      </c>
      <c r="C21" t="s">
        <v>1217</v>
      </c>
      <c r="D21" t="s">
        <v>1218</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117</v>
      </c>
      <c r="AK21" t="s">
        <v>117</v>
      </c>
    </row>
    <row r="22" spans="2:37">
      <c r="B22" t="s">
        <v>312</v>
      </c>
      <c r="C22" t="s">
        <v>1219</v>
      </c>
      <c r="D22" t="s">
        <v>1220</v>
      </c>
      <c r="E22" t="s">
        <v>354</v>
      </c>
      <c r="G22">
        <v>5922.7910160000001</v>
      </c>
      <c r="H22">
        <v>5816.7055659999996</v>
      </c>
      <c r="I22">
        <v>5728.0952150000003</v>
      </c>
      <c r="J22">
        <v>5673.0986329999996</v>
      </c>
      <c r="K22">
        <v>5638.8964839999999</v>
      </c>
      <c r="L22">
        <v>5591.7084960000002</v>
      </c>
      <c r="M22">
        <v>5543.7119140000004</v>
      </c>
      <c r="N22">
        <v>5483.6694340000004</v>
      </c>
      <c r="O22">
        <v>5422.388672</v>
      </c>
      <c r="P22">
        <v>5371.3027339999999</v>
      </c>
      <c r="Q22">
        <v>5340.158203</v>
      </c>
      <c r="R22">
        <v>5306.5048829999996</v>
      </c>
      <c r="S22">
        <v>5278.7797849999997</v>
      </c>
      <c r="T22">
        <v>5261.2470700000003</v>
      </c>
      <c r="U22">
        <v>5242.9990230000003</v>
      </c>
      <c r="V22">
        <v>5237.6972660000001</v>
      </c>
      <c r="W22">
        <v>5236.3618159999996</v>
      </c>
      <c r="X22">
        <v>5238.3041990000002</v>
      </c>
      <c r="Y22">
        <v>5247.9145509999998</v>
      </c>
      <c r="Z22">
        <v>5263.2084960000002</v>
      </c>
      <c r="AA22">
        <v>5281.4541019999997</v>
      </c>
      <c r="AB22">
        <v>5299.6816410000001</v>
      </c>
      <c r="AC22">
        <v>5316.7680659999996</v>
      </c>
      <c r="AD22">
        <v>5331.7001950000003</v>
      </c>
      <c r="AE22">
        <v>5353.1992190000001</v>
      </c>
      <c r="AF22">
        <v>5376.3164059999999</v>
      </c>
      <c r="AG22">
        <v>5393.3178710000002</v>
      </c>
      <c r="AH22">
        <v>5413.4169920000004</v>
      </c>
      <c r="AI22">
        <v>5450.0122069999998</v>
      </c>
      <c r="AJ22" s="31">
        <v>-3.0000000000000001E-3</v>
      </c>
      <c r="AK22" s="31">
        <v>5.0000000000000001E-3</v>
      </c>
    </row>
    <row r="23" spans="2:37">
      <c r="B23" t="s">
        <v>313</v>
      </c>
      <c r="C23" t="s">
        <v>1221</v>
      </c>
      <c r="D23" t="s">
        <v>1222</v>
      </c>
      <c r="E23" t="s">
        <v>354</v>
      </c>
      <c r="G23">
        <v>616.20519999999999</v>
      </c>
      <c r="H23">
        <v>611.60089100000005</v>
      </c>
      <c r="I23">
        <v>610.37268100000006</v>
      </c>
      <c r="J23">
        <v>612.19366500000001</v>
      </c>
      <c r="K23">
        <v>616.92590299999995</v>
      </c>
      <c r="L23">
        <v>620.02862500000003</v>
      </c>
      <c r="M23">
        <v>623.435608</v>
      </c>
      <c r="N23">
        <v>626.11090100000001</v>
      </c>
      <c r="O23">
        <v>629.31872599999997</v>
      </c>
      <c r="P23">
        <v>633.79577600000005</v>
      </c>
      <c r="Q23">
        <v>641.25616500000001</v>
      </c>
      <c r="R23">
        <v>647.76110800000004</v>
      </c>
      <c r="S23">
        <v>654.28460700000005</v>
      </c>
      <c r="T23">
        <v>661.13012700000002</v>
      </c>
      <c r="U23">
        <v>667.05139199999996</v>
      </c>
      <c r="V23">
        <v>674.55737299999998</v>
      </c>
      <c r="W23">
        <v>681.19171100000005</v>
      </c>
      <c r="X23">
        <v>688.82940699999995</v>
      </c>
      <c r="Y23">
        <v>697.06719999999996</v>
      </c>
      <c r="Z23">
        <v>706.54357900000002</v>
      </c>
      <c r="AA23">
        <v>715.970642</v>
      </c>
      <c r="AB23">
        <v>725.08044400000006</v>
      </c>
      <c r="AC23">
        <v>734.180969</v>
      </c>
      <c r="AD23">
        <v>743.18780500000003</v>
      </c>
      <c r="AE23">
        <v>753.50970500000005</v>
      </c>
      <c r="AF23">
        <v>764.21655299999998</v>
      </c>
      <c r="AG23">
        <v>774.01879899999994</v>
      </c>
      <c r="AH23">
        <v>784.56542999999999</v>
      </c>
      <c r="AI23">
        <v>797.65808100000004</v>
      </c>
      <c r="AJ23" s="31">
        <v>8.9999999999999993E-3</v>
      </c>
      <c r="AK23" s="31">
        <v>1.7000000000000001E-2</v>
      </c>
    </row>
    <row r="24" spans="2:37">
      <c r="B24" t="s">
        <v>306</v>
      </c>
      <c r="C24" t="s">
        <v>1223</v>
      </c>
      <c r="D24" t="s">
        <v>1224</v>
      </c>
      <c r="E24" t="s">
        <v>354</v>
      </c>
      <c r="G24">
        <v>5252.3305659999996</v>
      </c>
      <c r="H24">
        <v>5150.2441410000001</v>
      </c>
      <c r="I24">
        <v>5062.3154299999997</v>
      </c>
      <c r="J24">
        <v>5004.9750979999999</v>
      </c>
      <c r="K24">
        <v>4965.6987300000001</v>
      </c>
      <c r="L24">
        <v>4915.5693359999996</v>
      </c>
      <c r="M24">
        <v>4864.6591799999997</v>
      </c>
      <c r="N24">
        <v>4802.8212890000004</v>
      </c>
      <c r="O24">
        <v>4739.4140619999998</v>
      </c>
      <c r="P24">
        <v>4684.7788090000004</v>
      </c>
      <c r="Q24">
        <v>4646.6831050000001</v>
      </c>
      <c r="R24">
        <v>4606.6586909999996</v>
      </c>
      <c r="S24">
        <v>4572.0830079999996</v>
      </c>
      <c r="T24">
        <v>4546.9648440000001</v>
      </c>
      <c r="U24">
        <v>4521.8164059999999</v>
      </c>
      <c r="V24">
        <v>4507.6464839999999</v>
      </c>
      <c r="W24">
        <v>4498.0512699999999</v>
      </c>
      <c r="X24">
        <v>4490.4604490000002</v>
      </c>
      <c r="Y24">
        <v>4489.5615230000003</v>
      </c>
      <c r="Z24">
        <v>4492.7368159999996</v>
      </c>
      <c r="AA24">
        <v>4498.6596680000002</v>
      </c>
      <c r="AB24">
        <v>4504.6669920000004</v>
      </c>
      <c r="AC24">
        <v>4509.3803710000002</v>
      </c>
      <c r="AD24">
        <v>4511.908203</v>
      </c>
      <c r="AE24">
        <v>4519.439453</v>
      </c>
      <c r="AF24">
        <v>4527.9907229999999</v>
      </c>
      <c r="AG24">
        <v>4531.3125</v>
      </c>
      <c r="AH24">
        <v>4536.8085940000001</v>
      </c>
      <c r="AI24">
        <v>4555.8002930000002</v>
      </c>
      <c r="AJ24" s="31">
        <v>-5.0000000000000001E-3</v>
      </c>
      <c r="AK24" s="31">
        <v>3.0000000000000001E-3</v>
      </c>
    </row>
    <row r="25" spans="2:37">
      <c r="B25" t="s">
        <v>307</v>
      </c>
      <c r="C25" t="s">
        <v>1225</v>
      </c>
      <c r="D25" t="s">
        <v>1226</v>
      </c>
      <c r="E25" t="s">
        <v>354</v>
      </c>
      <c r="G25">
        <v>51.344929</v>
      </c>
      <c r="H25">
        <v>51.773192999999999</v>
      </c>
      <c r="I25">
        <v>51.965775000000001</v>
      </c>
      <c r="J25">
        <v>52.061793999999999</v>
      </c>
      <c r="K25">
        <v>52.003608999999997</v>
      </c>
      <c r="L25">
        <v>51.453991000000002</v>
      </c>
      <c r="M25">
        <v>50.587242000000003</v>
      </c>
      <c r="N25">
        <v>49.357909999999997</v>
      </c>
      <c r="O25">
        <v>47.935226</v>
      </c>
      <c r="P25">
        <v>46.656028999999997</v>
      </c>
      <c r="Q25">
        <v>45.774757000000001</v>
      </c>
      <c r="R25">
        <v>45.265822999999997</v>
      </c>
      <c r="S25">
        <v>45.213749</v>
      </c>
      <c r="T25">
        <v>45.570152</v>
      </c>
      <c r="U25">
        <v>46.181812000000001</v>
      </c>
      <c r="V25">
        <v>47.148071000000002</v>
      </c>
      <c r="W25">
        <v>48.373516000000002</v>
      </c>
      <c r="X25">
        <v>49.850357000000002</v>
      </c>
      <c r="Y25">
        <v>51.657871</v>
      </c>
      <c r="Z25">
        <v>53.784999999999997</v>
      </c>
      <c r="AA25">
        <v>56.128627999999999</v>
      </c>
      <c r="AB25">
        <v>58.653038000000002</v>
      </c>
      <c r="AC25">
        <v>61.322830000000003</v>
      </c>
      <c r="AD25">
        <v>64.089225999999996</v>
      </c>
      <c r="AE25">
        <v>67.060805999999999</v>
      </c>
      <c r="AF25">
        <v>70.195708999999994</v>
      </c>
      <c r="AG25">
        <v>73.347763</v>
      </c>
      <c r="AH25">
        <v>76.647514000000001</v>
      </c>
      <c r="AI25">
        <v>80.336478999999997</v>
      </c>
      <c r="AJ25" s="31">
        <v>1.6E-2</v>
      </c>
      <c r="AK25" s="31">
        <v>2.1999999999999999E-2</v>
      </c>
    </row>
    <row r="26" spans="2:37">
      <c r="B26" t="s">
        <v>308</v>
      </c>
      <c r="C26" t="s">
        <v>1227</v>
      </c>
      <c r="D26" t="s">
        <v>1228</v>
      </c>
      <c r="E26" t="s">
        <v>354</v>
      </c>
      <c r="G26">
        <v>1.2452650000000001</v>
      </c>
      <c r="H26">
        <v>1.3861779999999999</v>
      </c>
      <c r="I26">
        <v>1.5248809999999999</v>
      </c>
      <c r="J26">
        <v>1.6560079999999999</v>
      </c>
      <c r="K26">
        <v>1.7862659999999999</v>
      </c>
      <c r="L26">
        <v>1.903707</v>
      </c>
      <c r="M26">
        <v>2.0105780000000002</v>
      </c>
      <c r="N26">
        <v>2.0996890000000001</v>
      </c>
      <c r="O26">
        <v>2.1804990000000002</v>
      </c>
      <c r="P26">
        <v>2.2604649999999999</v>
      </c>
      <c r="Q26">
        <v>2.3478089999999998</v>
      </c>
      <c r="R26">
        <v>2.4404729999999999</v>
      </c>
      <c r="S26">
        <v>2.5412210000000002</v>
      </c>
      <c r="T26">
        <v>2.6449829999999999</v>
      </c>
      <c r="U26">
        <v>2.752405</v>
      </c>
      <c r="V26">
        <v>2.87385</v>
      </c>
      <c r="W26">
        <v>3.004591</v>
      </c>
      <c r="X26">
        <v>3.1495850000000001</v>
      </c>
      <c r="Y26">
        <v>3.3139080000000001</v>
      </c>
      <c r="Z26">
        <v>3.5006020000000002</v>
      </c>
      <c r="AA26">
        <v>3.7020719999999998</v>
      </c>
      <c r="AB26">
        <v>3.9170069999999999</v>
      </c>
      <c r="AC26">
        <v>4.1414160000000004</v>
      </c>
      <c r="AD26">
        <v>4.3768849999999997</v>
      </c>
      <c r="AE26">
        <v>4.632447</v>
      </c>
      <c r="AF26">
        <v>4.9017460000000002</v>
      </c>
      <c r="AG26">
        <v>5.1746309999999998</v>
      </c>
      <c r="AH26">
        <v>5.4474770000000001</v>
      </c>
      <c r="AI26">
        <v>5.7450359999999998</v>
      </c>
      <c r="AJ26" s="31">
        <v>5.6000000000000001E-2</v>
      </c>
      <c r="AK26" s="31">
        <v>4.4999999999999998E-2</v>
      </c>
    </row>
    <row r="27" spans="2:37">
      <c r="B27" t="s">
        <v>305</v>
      </c>
      <c r="C27" t="s">
        <v>1229</v>
      </c>
      <c r="D27" t="s">
        <v>1230</v>
      </c>
      <c r="E27" t="s">
        <v>354</v>
      </c>
      <c r="G27">
        <v>1.575329</v>
      </c>
      <c r="H27">
        <v>1.59209</v>
      </c>
      <c r="I27">
        <v>1.542675</v>
      </c>
      <c r="J27">
        <v>1.6006830000000001</v>
      </c>
      <c r="K27">
        <v>1.6393420000000001</v>
      </c>
      <c r="L27">
        <v>1.678971</v>
      </c>
      <c r="M27">
        <v>1.7193179999999999</v>
      </c>
      <c r="N27">
        <v>1.762707</v>
      </c>
      <c r="O27">
        <v>1.813895</v>
      </c>
      <c r="P27">
        <v>1.879181</v>
      </c>
      <c r="Q27">
        <v>1.9543600000000001</v>
      </c>
      <c r="R27">
        <v>2.0339360000000002</v>
      </c>
      <c r="S27">
        <v>2.113308</v>
      </c>
      <c r="T27">
        <v>2.196958</v>
      </c>
      <c r="U27">
        <v>2.2686670000000002</v>
      </c>
      <c r="V27">
        <v>2.3534449999999998</v>
      </c>
      <c r="W27">
        <v>2.433783</v>
      </c>
      <c r="X27">
        <v>2.5157970000000001</v>
      </c>
      <c r="Y27">
        <v>2.6119849999999998</v>
      </c>
      <c r="Z27">
        <v>2.7199399999999998</v>
      </c>
      <c r="AA27">
        <v>2.8330769999999998</v>
      </c>
      <c r="AB27">
        <v>2.961128</v>
      </c>
      <c r="AC27">
        <v>3.087059</v>
      </c>
      <c r="AD27">
        <v>3.2187969999999999</v>
      </c>
      <c r="AE27">
        <v>3.346063</v>
      </c>
      <c r="AF27">
        <v>3.488648</v>
      </c>
      <c r="AG27">
        <v>3.6174729999999999</v>
      </c>
      <c r="AH27">
        <v>3.75576</v>
      </c>
      <c r="AI27">
        <v>3.8951479999999998</v>
      </c>
      <c r="AJ27" s="31">
        <v>3.3000000000000002E-2</v>
      </c>
      <c r="AK27" s="31">
        <v>6.7000000000000004E-2</v>
      </c>
    </row>
    <row r="28" spans="2:37">
      <c r="B28" t="s">
        <v>309</v>
      </c>
      <c r="C28" t="s">
        <v>1231</v>
      </c>
      <c r="D28" t="s">
        <v>1232</v>
      </c>
      <c r="E28" t="s">
        <v>354</v>
      </c>
      <c r="G28">
        <v>9.0132000000000004E-2</v>
      </c>
      <c r="H28">
        <v>0.10914600000000001</v>
      </c>
      <c r="I28">
        <v>0.14400499999999999</v>
      </c>
      <c r="J28">
        <v>0.16340499999999999</v>
      </c>
      <c r="K28">
        <v>0.180895</v>
      </c>
      <c r="L28">
        <v>0.19575699999999999</v>
      </c>
      <c r="M28">
        <v>0.20827399999999999</v>
      </c>
      <c r="N28">
        <v>0.21801599999999999</v>
      </c>
      <c r="O28">
        <v>0.225574</v>
      </c>
      <c r="P28">
        <v>0.231714</v>
      </c>
      <c r="Q28">
        <v>0.23694499999999999</v>
      </c>
      <c r="R28">
        <v>0.240285</v>
      </c>
      <c r="S28">
        <v>0.24247299999999999</v>
      </c>
      <c r="T28">
        <v>0.244232</v>
      </c>
      <c r="U28">
        <v>0.245169</v>
      </c>
      <c r="V28">
        <v>0.24673500000000001</v>
      </c>
      <c r="W28">
        <v>0.24945500000000001</v>
      </c>
      <c r="X28">
        <v>0.25267000000000001</v>
      </c>
      <c r="Y28">
        <v>0.25714399999999998</v>
      </c>
      <c r="Z28">
        <v>0.26399899999999998</v>
      </c>
      <c r="AA28">
        <v>0.27311400000000002</v>
      </c>
      <c r="AB28">
        <v>0.28285100000000002</v>
      </c>
      <c r="AC28">
        <v>0.293846</v>
      </c>
      <c r="AD28">
        <v>0.30659700000000001</v>
      </c>
      <c r="AE28">
        <v>0.32178200000000001</v>
      </c>
      <c r="AF28">
        <v>0.33802500000000002</v>
      </c>
      <c r="AG28">
        <v>0.35486499999999999</v>
      </c>
      <c r="AH28">
        <v>0.37290400000000001</v>
      </c>
      <c r="AI28">
        <v>0.39289000000000002</v>
      </c>
      <c r="AJ28" s="31">
        <v>5.3999999999999999E-2</v>
      </c>
      <c r="AK28" s="31">
        <v>0.123</v>
      </c>
    </row>
    <row r="29" spans="2:37">
      <c r="B29" t="s">
        <v>310</v>
      </c>
      <c r="C29" t="s">
        <v>1233</v>
      </c>
      <c r="D29" t="s">
        <v>1234</v>
      </c>
      <c r="E29" t="s">
        <v>354</v>
      </c>
      <c r="G29">
        <v>0</v>
      </c>
      <c r="H29">
        <v>0</v>
      </c>
      <c r="I29">
        <v>0.22972699999999999</v>
      </c>
      <c r="J29">
        <v>0.44725199999999998</v>
      </c>
      <c r="K29">
        <v>0.66231200000000001</v>
      </c>
      <c r="L29">
        <v>0.87751500000000004</v>
      </c>
      <c r="M29">
        <v>1.0912500000000001</v>
      </c>
      <c r="N29">
        <v>1.2990360000000001</v>
      </c>
      <c r="O29">
        <v>1.5006790000000001</v>
      </c>
      <c r="P29">
        <v>1.7007650000000001</v>
      </c>
      <c r="Q29">
        <v>1.904776</v>
      </c>
      <c r="R29">
        <v>2.1047159999999998</v>
      </c>
      <c r="S29">
        <v>2.3014619999999999</v>
      </c>
      <c r="T29">
        <v>2.4959410000000002</v>
      </c>
      <c r="U29">
        <v>2.6833969999999998</v>
      </c>
      <c r="V29">
        <v>2.8711519999999999</v>
      </c>
      <c r="W29">
        <v>3.0575350000000001</v>
      </c>
      <c r="X29">
        <v>3.245911</v>
      </c>
      <c r="Y29">
        <v>3.4448439999999998</v>
      </c>
      <c r="Z29">
        <v>3.6585719999999999</v>
      </c>
      <c r="AA29">
        <v>3.886771</v>
      </c>
      <c r="AB29">
        <v>4.1203969999999996</v>
      </c>
      <c r="AC29">
        <v>4.3612700000000002</v>
      </c>
      <c r="AD29">
        <v>4.6121660000000002</v>
      </c>
      <c r="AE29">
        <v>4.8889959999999997</v>
      </c>
      <c r="AF29">
        <v>5.184831</v>
      </c>
      <c r="AG29">
        <v>5.4921150000000001</v>
      </c>
      <c r="AH29">
        <v>5.8197830000000002</v>
      </c>
      <c r="AI29">
        <v>6.1840799999999998</v>
      </c>
      <c r="AJ29" t="s">
        <v>117</v>
      </c>
      <c r="AK29" s="31">
        <v>0.13400000000000001</v>
      </c>
    </row>
    <row r="30" spans="2:37">
      <c r="B30" t="s">
        <v>314</v>
      </c>
      <c r="C30" t="s">
        <v>1235</v>
      </c>
      <c r="D30" t="s">
        <v>1236</v>
      </c>
      <c r="E30" t="s">
        <v>354</v>
      </c>
      <c r="G30">
        <v>481.38171399999999</v>
      </c>
      <c r="H30">
        <v>474.82238799999999</v>
      </c>
      <c r="I30">
        <v>494.12914999999998</v>
      </c>
      <c r="J30">
        <v>482.20422400000001</v>
      </c>
      <c r="K30">
        <v>461.88034099999999</v>
      </c>
      <c r="L30">
        <v>446.09524499999998</v>
      </c>
      <c r="M30">
        <v>439.745361</v>
      </c>
      <c r="N30">
        <v>444.52569599999998</v>
      </c>
      <c r="O30">
        <v>441.89193699999998</v>
      </c>
      <c r="P30">
        <v>443.42330900000002</v>
      </c>
      <c r="Q30">
        <v>447.43722500000001</v>
      </c>
      <c r="R30">
        <v>450.64798000000002</v>
      </c>
      <c r="S30">
        <v>452.66558800000001</v>
      </c>
      <c r="T30">
        <v>455.51504499999999</v>
      </c>
      <c r="U30">
        <v>455.89370700000001</v>
      </c>
      <c r="V30">
        <v>456.86227400000001</v>
      </c>
      <c r="W30">
        <v>458.27462800000001</v>
      </c>
      <c r="X30">
        <v>457.60876500000001</v>
      </c>
      <c r="Y30">
        <v>458.12835699999999</v>
      </c>
      <c r="Z30">
        <v>461.673248</v>
      </c>
      <c r="AA30">
        <v>464.588348</v>
      </c>
      <c r="AB30">
        <v>464.93649299999998</v>
      </c>
      <c r="AC30">
        <v>464.922821</v>
      </c>
      <c r="AD30">
        <v>464.770691</v>
      </c>
      <c r="AE30">
        <v>465.76678500000003</v>
      </c>
      <c r="AF30">
        <v>468.15533399999998</v>
      </c>
      <c r="AG30">
        <v>471.33984400000003</v>
      </c>
      <c r="AH30">
        <v>472.59906000000001</v>
      </c>
      <c r="AI30">
        <v>475.72866800000003</v>
      </c>
      <c r="AJ30" s="31">
        <v>0</v>
      </c>
      <c r="AK30" s="31">
        <v>1E-3</v>
      </c>
    </row>
    <row r="31" spans="2:37">
      <c r="B31" t="s">
        <v>306</v>
      </c>
      <c r="C31" t="s">
        <v>1237</v>
      </c>
      <c r="D31" t="s">
        <v>1238</v>
      </c>
      <c r="E31" t="s">
        <v>354</v>
      </c>
      <c r="G31">
        <v>480.86654700000003</v>
      </c>
      <c r="H31">
        <v>473.79251099999999</v>
      </c>
      <c r="I31">
        <v>492.51501500000001</v>
      </c>
      <c r="J31">
        <v>480.10034200000001</v>
      </c>
      <c r="K31">
        <v>459.17535400000003</v>
      </c>
      <c r="L31">
        <v>442.59573399999999</v>
      </c>
      <c r="M31">
        <v>435.204926</v>
      </c>
      <c r="N31">
        <v>438.61608899999999</v>
      </c>
      <c r="O31">
        <v>434.49127199999998</v>
      </c>
      <c r="P31">
        <v>434.25302099999999</v>
      </c>
      <c r="Q31">
        <v>435.99301100000002</v>
      </c>
      <c r="R31">
        <v>436.48690800000003</v>
      </c>
      <c r="S31">
        <v>435.37204000000003</v>
      </c>
      <c r="T31">
        <v>434.60772700000001</v>
      </c>
      <c r="U31">
        <v>431.05429099999998</v>
      </c>
      <c r="V31">
        <v>427.65039100000001</v>
      </c>
      <c r="W31">
        <v>424.25372299999998</v>
      </c>
      <c r="X31">
        <v>418.55365</v>
      </c>
      <c r="Y31">
        <v>413.58151199999998</v>
      </c>
      <c r="Z31">
        <v>410.946777</v>
      </c>
      <c r="AA31">
        <v>407.33846999999997</v>
      </c>
      <c r="AB31">
        <v>401.121399</v>
      </c>
      <c r="AC31">
        <v>394.29074100000003</v>
      </c>
      <c r="AD31">
        <v>387.06680299999999</v>
      </c>
      <c r="AE31">
        <v>380.52633700000001</v>
      </c>
      <c r="AF31">
        <v>373.70101899999997</v>
      </c>
      <c r="AG31">
        <v>367.609375</v>
      </c>
      <c r="AH31">
        <v>360.13336199999998</v>
      </c>
      <c r="AI31">
        <v>354.19946299999998</v>
      </c>
      <c r="AJ31" s="31">
        <v>-1.0999999999999999E-2</v>
      </c>
      <c r="AK31" s="31">
        <v>-1.7000000000000001E-2</v>
      </c>
    </row>
    <row r="32" spans="2:37">
      <c r="B32" t="s">
        <v>315</v>
      </c>
      <c r="C32" t="s">
        <v>1239</v>
      </c>
      <c r="D32" t="s">
        <v>1240</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K32" t="s">
        <v>117</v>
      </c>
    </row>
    <row r="33" spans="2:37">
      <c r="B33" t="s">
        <v>316</v>
      </c>
      <c r="C33" t="s">
        <v>1241</v>
      </c>
      <c r="D33" t="s">
        <v>1242</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K33" t="s">
        <v>117</v>
      </c>
    </row>
    <row r="34" spans="2:37">
      <c r="B34" t="s">
        <v>317</v>
      </c>
      <c r="C34" t="s">
        <v>1243</v>
      </c>
      <c r="D34" t="s">
        <v>1244</v>
      </c>
      <c r="E34" t="s">
        <v>354</v>
      </c>
      <c r="G34">
        <v>0.51516300000000004</v>
      </c>
      <c r="H34">
        <v>1.02989</v>
      </c>
      <c r="I34">
        <v>1.6141289999999999</v>
      </c>
      <c r="J34">
        <v>2.1038670000000002</v>
      </c>
      <c r="K34">
        <v>2.7049910000000001</v>
      </c>
      <c r="L34">
        <v>3.499511</v>
      </c>
      <c r="M34">
        <v>4.5404369999999998</v>
      </c>
      <c r="N34">
        <v>5.9096029999999997</v>
      </c>
      <c r="O34">
        <v>7.4006509999999999</v>
      </c>
      <c r="P34">
        <v>9.1702840000000005</v>
      </c>
      <c r="Q34">
        <v>11.444215</v>
      </c>
      <c r="R34">
        <v>14.161068</v>
      </c>
      <c r="S34">
        <v>17.293554</v>
      </c>
      <c r="T34">
        <v>20.907318</v>
      </c>
      <c r="U34">
        <v>24.839417000000001</v>
      </c>
      <c r="V34">
        <v>29.211893</v>
      </c>
      <c r="W34">
        <v>34.020896999999998</v>
      </c>
      <c r="X34">
        <v>39.055110999999997</v>
      </c>
      <c r="Y34">
        <v>44.546832999999999</v>
      </c>
      <c r="Z34">
        <v>50.726470999999997</v>
      </c>
      <c r="AA34">
        <v>57.249889000000003</v>
      </c>
      <c r="AB34">
        <v>63.815086000000001</v>
      </c>
      <c r="AC34">
        <v>70.632087999999996</v>
      </c>
      <c r="AD34">
        <v>77.703888000000006</v>
      </c>
      <c r="AE34">
        <v>85.240448000000001</v>
      </c>
      <c r="AF34">
        <v>94.454329999999999</v>
      </c>
      <c r="AG34">
        <v>103.730484</v>
      </c>
      <c r="AH34">
        <v>112.465706</v>
      </c>
      <c r="AI34">
        <v>121.52919799999999</v>
      </c>
      <c r="AJ34" s="31">
        <v>0.215</v>
      </c>
      <c r="AK34" s="31">
        <v>0.223</v>
      </c>
    </row>
    <row r="35" spans="2:37">
      <c r="B35" t="s">
        <v>213</v>
      </c>
      <c r="C35" t="s">
        <v>1245</v>
      </c>
      <c r="D35" t="s">
        <v>1246</v>
      </c>
      <c r="E35" t="s">
        <v>354</v>
      </c>
      <c r="G35">
        <v>98.239020999999994</v>
      </c>
      <c r="H35">
        <v>98.920753000000005</v>
      </c>
      <c r="I35">
        <v>98.114661999999996</v>
      </c>
      <c r="J35">
        <v>97.346069</v>
      </c>
      <c r="K35">
        <v>96.685867000000002</v>
      </c>
      <c r="L35">
        <v>95.823470999999998</v>
      </c>
      <c r="M35">
        <v>94.964698999999996</v>
      </c>
      <c r="N35">
        <v>93.890502999999995</v>
      </c>
      <c r="O35">
        <v>92.919189000000003</v>
      </c>
      <c r="P35">
        <v>92.029815999999997</v>
      </c>
      <c r="Q35">
        <v>91.401107999999994</v>
      </c>
      <c r="R35">
        <v>90.674225000000007</v>
      </c>
      <c r="S35">
        <v>89.934028999999995</v>
      </c>
      <c r="T35">
        <v>89.168869000000001</v>
      </c>
      <c r="U35">
        <v>88.333008000000007</v>
      </c>
      <c r="V35">
        <v>87.614966999999993</v>
      </c>
      <c r="W35">
        <v>86.833350999999993</v>
      </c>
      <c r="X35">
        <v>86.156693000000004</v>
      </c>
      <c r="Y35">
        <v>85.473595000000003</v>
      </c>
      <c r="Z35">
        <v>84.846123000000006</v>
      </c>
      <c r="AA35">
        <v>84.273765999999995</v>
      </c>
      <c r="AB35">
        <v>83.705399</v>
      </c>
      <c r="AC35">
        <v>83.103454999999997</v>
      </c>
      <c r="AD35">
        <v>82.418205</v>
      </c>
      <c r="AE35">
        <v>81.856209000000007</v>
      </c>
      <c r="AF35">
        <v>81.249022999999994</v>
      </c>
      <c r="AG35">
        <v>80.573120000000003</v>
      </c>
      <c r="AH35">
        <v>79.990395000000007</v>
      </c>
      <c r="AI35">
        <v>79.592849999999999</v>
      </c>
      <c r="AJ35" s="31">
        <v>-7.0000000000000001E-3</v>
      </c>
      <c r="AK35" s="31">
        <v>-1.4E-2</v>
      </c>
    </row>
    <row r="36" spans="2:37">
      <c r="B36" t="s">
        <v>306</v>
      </c>
      <c r="C36" t="s">
        <v>1247</v>
      </c>
      <c r="D36" t="s">
        <v>1248</v>
      </c>
      <c r="E36" t="s">
        <v>354</v>
      </c>
      <c r="G36">
        <v>95.724982999999995</v>
      </c>
      <c r="H36">
        <v>96.410872999999995</v>
      </c>
      <c r="I36">
        <v>95.648369000000002</v>
      </c>
      <c r="J36">
        <v>94.922400999999994</v>
      </c>
      <c r="K36">
        <v>94.299674999999993</v>
      </c>
      <c r="L36">
        <v>93.480141000000003</v>
      </c>
      <c r="M36">
        <v>92.663535999999993</v>
      </c>
      <c r="N36">
        <v>91.636002000000005</v>
      </c>
      <c r="O36">
        <v>90.709732000000002</v>
      </c>
      <c r="P36">
        <v>89.864052000000001</v>
      </c>
      <c r="Q36">
        <v>89.271820000000005</v>
      </c>
      <c r="R36">
        <v>88.583907999999994</v>
      </c>
      <c r="S36">
        <v>87.881882000000004</v>
      </c>
      <c r="T36">
        <v>87.154610000000005</v>
      </c>
      <c r="U36">
        <v>86.355025999999995</v>
      </c>
      <c r="V36">
        <v>85.672011999999995</v>
      </c>
      <c r="W36">
        <v>84.929305999999997</v>
      </c>
      <c r="X36">
        <v>84.290549999999996</v>
      </c>
      <c r="Y36">
        <v>83.598647999999997</v>
      </c>
      <c r="Z36">
        <v>82.885955999999993</v>
      </c>
      <c r="AA36">
        <v>82.221778999999998</v>
      </c>
      <c r="AB36">
        <v>81.555756000000002</v>
      </c>
      <c r="AC36">
        <v>80.850998000000004</v>
      </c>
      <c r="AD36">
        <v>80.058989999999994</v>
      </c>
      <c r="AE36">
        <v>79.380050999999995</v>
      </c>
      <c r="AF36">
        <v>78.650115999999997</v>
      </c>
      <c r="AG36">
        <v>77.846335999999994</v>
      </c>
      <c r="AH36">
        <v>77.124741</v>
      </c>
      <c r="AI36">
        <v>76.572761999999997</v>
      </c>
      <c r="AJ36" s="31">
        <v>-8.0000000000000002E-3</v>
      </c>
      <c r="AK36" s="31">
        <v>-1.4E-2</v>
      </c>
    </row>
    <row r="37" spans="2:37">
      <c r="B37" t="s">
        <v>318</v>
      </c>
      <c r="C37" t="s">
        <v>1249</v>
      </c>
      <c r="D37" t="s">
        <v>1250</v>
      </c>
      <c r="E37" t="s">
        <v>354</v>
      </c>
      <c r="G37">
        <v>1.875904</v>
      </c>
      <c r="H37">
        <v>1.8078829999999999</v>
      </c>
      <c r="I37">
        <v>1.7136819999999999</v>
      </c>
      <c r="J37">
        <v>1.621937</v>
      </c>
      <c r="K37">
        <v>1.5413140000000001</v>
      </c>
      <c r="L37">
        <v>1.455168</v>
      </c>
      <c r="M37">
        <v>1.371278</v>
      </c>
      <c r="N37">
        <v>1.2863249999999999</v>
      </c>
      <c r="O37">
        <v>1.1999850000000001</v>
      </c>
      <c r="P37">
        <v>1.1125510000000001</v>
      </c>
      <c r="Q37">
        <v>1.0315639999999999</v>
      </c>
      <c r="R37">
        <v>0.94839600000000002</v>
      </c>
      <c r="S37">
        <v>0.86860599999999999</v>
      </c>
      <c r="T37">
        <v>0.79182399999999997</v>
      </c>
      <c r="U37">
        <v>0.72530600000000001</v>
      </c>
      <c r="V37">
        <v>0.65481</v>
      </c>
      <c r="W37">
        <v>0.57531900000000002</v>
      </c>
      <c r="X37">
        <v>0.49192999999999998</v>
      </c>
      <c r="Y37">
        <v>0.417902</v>
      </c>
      <c r="Z37">
        <v>0.41475499999999998</v>
      </c>
      <c r="AA37">
        <v>0.41187499999999999</v>
      </c>
      <c r="AB37">
        <v>0.40901599999999999</v>
      </c>
      <c r="AC37">
        <v>0.40599000000000002</v>
      </c>
      <c r="AD37">
        <v>0.40254800000000002</v>
      </c>
      <c r="AE37">
        <v>0.39974100000000001</v>
      </c>
      <c r="AF37">
        <v>0.396733</v>
      </c>
      <c r="AG37">
        <v>0.39335599999999998</v>
      </c>
      <c r="AH37">
        <v>0.39045299999999999</v>
      </c>
      <c r="AI37">
        <v>0.38850499999999999</v>
      </c>
      <c r="AJ37" s="31">
        <v>-5.5E-2</v>
      </c>
      <c r="AK37" s="31">
        <v>-6.0999999999999999E-2</v>
      </c>
    </row>
    <row r="38" spans="2:37">
      <c r="B38" t="s">
        <v>316</v>
      </c>
      <c r="C38" t="s">
        <v>1251</v>
      </c>
      <c r="D38" t="s">
        <v>1252</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117</v>
      </c>
      <c r="AK38" t="s">
        <v>117</v>
      </c>
    </row>
    <row r="39" spans="2:37">
      <c r="B39" t="s">
        <v>317</v>
      </c>
      <c r="C39" t="s">
        <v>1253</v>
      </c>
      <c r="D39" t="s">
        <v>1254</v>
      </c>
      <c r="E39" t="s">
        <v>354</v>
      </c>
      <c r="G39">
        <v>0.638131</v>
      </c>
      <c r="H39">
        <v>0.70199999999999996</v>
      </c>
      <c r="I39">
        <v>0.75260700000000003</v>
      </c>
      <c r="J39">
        <v>0.80172500000000002</v>
      </c>
      <c r="K39">
        <v>0.84487999999999996</v>
      </c>
      <c r="L39">
        <v>0.88815699999999997</v>
      </c>
      <c r="M39">
        <v>0.92988400000000004</v>
      </c>
      <c r="N39">
        <v>0.96818099999999996</v>
      </c>
      <c r="O39">
        <v>1.009477</v>
      </c>
      <c r="P39">
        <v>1.053212</v>
      </c>
      <c r="Q39">
        <v>1.0977250000000001</v>
      </c>
      <c r="R39">
        <v>1.1419189999999999</v>
      </c>
      <c r="S39">
        <v>1.183538</v>
      </c>
      <c r="T39">
        <v>1.2224330000000001</v>
      </c>
      <c r="U39">
        <v>1.252678</v>
      </c>
      <c r="V39">
        <v>1.2881480000000001</v>
      </c>
      <c r="W39">
        <v>1.3287279999999999</v>
      </c>
      <c r="X39">
        <v>1.374214</v>
      </c>
      <c r="Y39">
        <v>1.4570460000000001</v>
      </c>
      <c r="Z39">
        <v>1.54541</v>
      </c>
      <c r="AA39">
        <v>1.640115</v>
      </c>
      <c r="AB39">
        <v>1.7406269999999999</v>
      </c>
      <c r="AC39">
        <v>1.8464670000000001</v>
      </c>
      <c r="AD39">
        <v>1.956663</v>
      </c>
      <c r="AE39">
        <v>2.0764179999999999</v>
      </c>
      <c r="AF39">
        <v>2.2021730000000002</v>
      </c>
      <c r="AG39">
        <v>2.3334239999999999</v>
      </c>
      <c r="AH39">
        <v>2.4752070000000002</v>
      </c>
      <c r="AI39">
        <v>2.6315870000000001</v>
      </c>
      <c r="AJ39" s="31">
        <v>5.1999999999999998E-2</v>
      </c>
      <c r="AK39" s="31">
        <v>4.8000000000000001E-2</v>
      </c>
    </row>
    <row r="40" spans="2:37">
      <c r="B40" t="s">
        <v>212</v>
      </c>
      <c r="C40" t="s">
        <v>1255</v>
      </c>
      <c r="D40" t="s">
        <v>1256</v>
      </c>
      <c r="E40" t="s">
        <v>354</v>
      </c>
      <c r="G40">
        <v>935.02770999999996</v>
      </c>
      <c r="H40">
        <v>881.83038299999998</v>
      </c>
      <c r="I40">
        <v>877.72729500000003</v>
      </c>
      <c r="J40">
        <v>878.60412599999995</v>
      </c>
      <c r="K40">
        <v>871.25030500000003</v>
      </c>
      <c r="L40">
        <v>868.44872999999995</v>
      </c>
      <c r="M40">
        <v>862.68933100000004</v>
      </c>
      <c r="N40">
        <v>859.14196800000002</v>
      </c>
      <c r="O40">
        <v>856.63439900000003</v>
      </c>
      <c r="P40">
        <v>857.13647500000002</v>
      </c>
      <c r="Q40">
        <v>857.43701199999998</v>
      </c>
      <c r="R40">
        <v>858.00024399999995</v>
      </c>
      <c r="S40">
        <v>857.76019299999996</v>
      </c>
      <c r="T40">
        <v>858.217896</v>
      </c>
      <c r="U40">
        <v>857.54724099999999</v>
      </c>
      <c r="V40">
        <v>857.61346400000002</v>
      </c>
      <c r="W40">
        <v>857.63464399999998</v>
      </c>
      <c r="X40">
        <v>857.34979199999998</v>
      </c>
      <c r="Y40">
        <v>857.24542199999996</v>
      </c>
      <c r="Z40">
        <v>857.30096400000002</v>
      </c>
      <c r="AA40">
        <v>857.82971199999997</v>
      </c>
      <c r="AB40">
        <v>857.81982400000004</v>
      </c>
      <c r="AC40">
        <v>858.04791299999999</v>
      </c>
      <c r="AD40">
        <v>858.06762700000002</v>
      </c>
      <c r="AE40">
        <v>860.63342299999999</v>
      </c>
      <c r="AF40">
        <v>860.92425500000002</v>
      </c>
      <c r="AG40">
        <v>859.83441200000004</v>
      </c>
      <c r="AH40">
        <v>859.12170400000002</v>
      </c>
      <c r="AI40">
        <v>858.094604</v>
      </c>
      <c r="AJ40" s="31">
        <v>-3.0000000000000001E-3</v>
      </c>
      <c r="AK40" s="31">
        <v>2E-3</v>
      </c>
    </row>
    <row r="41" spans="2:37">
      <c r="B41" t="s">
        <v>306</v>
      </c>
      <c r="C41" t="s">
        <v>1257</v>
      </c>
      <c r="D41" t="s">
        <v>1258</v>
      </c>
      <c r="E41" t="s">
        <v>354</v>
      </c>
      <c r="G41">
        <v>222.93867499999999</v>
      </c>
      <c r="H41">
        <v>318.21374500000002</v>
      </c>
      <c r="I41">
        <v>318.50683600000002</v>
      </c>
      <c r="J41">
        <v>321.42748999999998</v>
      </c>
      <c r="K41">
        <v>326.40893599999998</v>
      </c>
      <c r="L41">
        <v>331.75039700000002</v>
      </c>
      <c r="M41">
        <v>339.13262900000001</v>
      </c>
      <c r="N41">
        <v>343.65380900000002</v>
      </c>
      <c r="O41">
        <v>348.44000199999999</v>
      </c>
      <c r="P41">
        <v>348.61184700000001</v>
      </c>
      <c r="Q41">
        <v>349.93618800000002</v>
      </c>
      <c r="R41">
        <v>351.71850599999999</v>
      </c>
      <c r="S41">
        <v>354.40063500000002</v>
      </c>
      <c r="T41">
        <v>355.17700200000002</v>
      </c>
      <c r="U41">
        <v>356.67022700000001</v>
      </c>
      <c r="V41">
        <v>356.87670900000001</v>
      </c>
      <c r="W41">
        <v>358.82894900000002</v>
      </c>
      <c r="X41">
        <v>358.93920900000001</v>
      </c>
      <c r="Y41">
        <v>360.572205</v>
      </c>
      <c r="Z41">
        <v>361.26196299999998</v>
      </c>
      <c r="AA41">
        <v>361.28478999999999</v>
      </c>
      <c r="AB41">
        <v>360.64623999999998</v>
      </c>
      <c r="AC41">
        <v>360.38775600000002</v>
      </c>
      <c r="AD41">
        <v>360.05560300000002</v>
      </c>
      <c r="AE41">
        <v>358.46176100000002</v>
      </c>
      <c r="AF41">
        <v>357.26376299999998</v>
      </c>
      <c r="AG41">
        <v>357.07412699999998</v>
      </c>
      <c r="AH41">
        <v>355.22808800000001</v>
      </c>
      <c r="AI41">
        <v>354.51147500000002</v>
      </c>
      <c r="AJ41" s="31">
        <v>1.7000000000000001E-2</v>
      </c>
      <c r="AK41" s="31">
        <v>-0.01</v>
      </c>
    </row>
    <row r="42" spans="2:37">
      <c r="B42" t="s">
        <v>318</v>
      </c>
      <c r="C42" t="s">
        <v>1259</v>
      </c>
      <c r="D42" t="s">
        <v>1260</v>
      </c>
      <c r="E42" t="s">
        <v>354</v>
      </c>
      <c r="G42">
        <v>685.66516100000001</v>
      </c>
      <c r="H42">
        <v>532.149719</v>
      </c>
      <c r="I42">
        <v>519.35320999999999</v>
      </c>
      <c r="J42">
        <v>520.34844999999996</v>
      </c>
      <c r="K42">
        <v>497.46441700000003</v>
      </c>
      <c r="L42">
        <v>487.75363199999998</v>
      </c>
      <c r="M42">
        <v>469.75631700000002</v>
      </c>
      <c r="N42">
        <v>458.26986699999998</v>
      </c>
      <c r="O42">
        <v>449.82733200000001</v>
      </c>
      <c r="P42">
        <v>449.95632899999998</v>
      </c>
      <c r="Q42">
        <v>449.27517699999999</v>
      </c>
      <c r="R42">
        <v>449.44375600000001</v>
      </c>
      <c r="S42">
        <v>447.34497099999999</v>
      </c>
      <c r="T42">
        <v>447.23684700000001</v>
      </c>
      <c r="U42">
        <v>444.02316300000001</v>
      </c>
      <c r="V42">
        <v>442.96899400000001</v>
      </c>
      <c r="W42">
        <v>441.815674</v>
      </c>
      <c r="X42">
        <v>439.63165300000003</v>
      </c>
      <c r="Y42">
        <v>437.97662400000002</v>
      </c>
      <c r="Z42">
        <v>436.76757800000001</v>
      </c>
      <c r="AA42">
        <v>436.80938700000002</v>
      </c>
      <c r="AB42">
        <v>435.24386600000003</v>
      </c>
      <c r="AC42">
        <v>434.29315200000002</v>
      </c>
      <c r="AD42">
        <v>432.733093</v>
      </c>
      <c r="AE42">
        <v>438.45755000000003</v>
      </c>
      <c r="AF42">
        <v>437.70047</v>
      </c>
      <c r="AG42">
        <v>432.92089800000002</v>
      </c>
      <c r="AH42">
        <v>429.24749800000001</v>
      </c>
      <c r="AI42">
        <v>424.56079099999999</v>
      </c>
      <c r="AJ42" s="31">
        <v>-1.7000000000000001E-2</v>
      </c>
      <c r="AK42" s="31">
        <v>5.0000000000000001E-3</v>
      </c>
    </row>
    <row r="43" spans="2:37">
      <c r="B43" t="s">
        <v>316</v>
      </c>
      <c r="C43" t="s">
        <v>1261</v>
      </c>
      <c r="D43" t="s">
        <v>1262</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117</v>
      </c>
      <c r="AK43" t="s">
        <v>117</v>
      </c>
    </row>
    <row r="44" spans="2:37">
      <c r="B44" t="s">
        <v>317</v>
      </c>
      <c r="C44" t="s">
        <v>1263</v>
      </c>
      <c r="D44" t="s">
        <v>1264</v>
      </c>
      <c r="E44" t="s">
        <v>354</v>
      </c>
      <c r="G44">
        <v>26.423862</v>
      </c>
      <c r="H44">
        <v>31.466925</v>
      </c>
      <c r="I44">
        <v>39.867241</v>
      </c>
      <c r="J44">
        <v>36.828189999999999</v>
      </c>
      <c r="K44">
        <v>47.376953</v>
      </c>
      <c r="L44">
        <v>48.944679000000001</v>
      </c>
      <c r="M44">
        <v>53.800423000000002</v>
      </c>
      <c r="N44">
        <v>57.218277</v>
      </c>
      <c r="O44">
        <v>58.367088000000003</v>
      </c>
      <c r="P44">
        <v>58.568268000000003</v>
      </c>
      <c r="Q44">
        <v>58.225639000000001</v>
      </c>
      <c r="R44">
        <v>56.838042999999999</v>
      </c>
      <c r="S44">
        <v>56.014595</v>
      </c>
      <c r="T44">
        <v>55.804080999999996</v>
      </c>
      <c r="U44">
        <v>56.853912000000001</v>
      </c>
      <c r="V44">
        <v>57.767783999999999</v>
      </c>
      <c r="W44">
        <v>56.989986000000002</v>
      </c>
      <c r="X44">
        <v>58.778945999999998</v>
      </c>
      <c r="Y44">
        <v>58.696617000000003</v>
      </c>
      <c r="Z44">
        <v>59.2714</v>
      </c>
      <c r="AA44">
        <v>59.735518999999996</v>
      </c>
      <c r="AB44">
        <v>61.929656999999999</v>
      </c>
      <c r="AC44">
        <v>63.367027</v>
      </c>
      <c r="AD44">
        <v>65.278946000000005</v>
      </c>
      <c r="AE44">
        <v>63.714081</v>
      </c>
      <c r="AF44">
        <v>65.960021999999995</v>
      </c>
      <c r="AG44">
        <v>69.839432000000002</v>
      </c>
      <c r="AH44">
        <v>74.646148999999994</v>
      </c>
      <c r="AI44">
        <v>79.022368999999998</v>
      </c>
      <c r="AJ44" s="31">
        <v>0.04</v>
      </c>
      <c r="AK44" s="31">
        <v>6.0999999999999999E-2</v>
      </c>
    </row>
    <row r="45" spans="2:37">
      <c r="B45" t="s">
        <v>277</v>
      </c>
      <c r="C45" t="s">
        <v>1265</v>
      </c>
      <c r="D45" t="s">
        <v>1109</v>
      </c>
      <c r="E45" t="s">
        <v>354</v>
      </c>
      <c r="G45">
        <v>2802.8073730000001</v>
      </c>
      <c r="H45">
        <v>3008.1679690000001</v>
      </c>
      <c r="I45">
        <v>3051.2026369999999</v>
      </c>
      <c r="J45">
        <v>3057.110596</v>
      </c>
      <c r="K45">
        <v>3095.898193</v>
      </c>
      <c r="L45">
        <v>3134.226807</v>
      </c>
      <c r="M45">
        <v>3164.5515140000002</v>
      </c>
      <c r="N45">
        <v>3187.108154</v>
      </c>
      <c r="O45">
        <v>3202.938232</v>
      </c>
      <c r="P45">
        <v>3218.7827149999998</v>
      </c>
      <c r="Q45">
        <v>3243.936279</v>
      </c>
      <c r="R45">
        <v>3270.4479980000001</v>
      </c>
      <c r="S45">
        <v>3294.4030760000001</v>
      </c>
      <c r="T45">
        <v>3322.9240719999998</v>
      </c>
      <c r="U45">
        <v>3359.8247070000002</v>
      </c>
      <c r="V45">
        <v>3403.8945309999999</v>
      </c>
      <c r="W45">
        <v>3450.171875</v>
      </c>
      <c r="X45">
        <v>3498.4882809999999</v>
      </c>
      <c r="Y45">
        <v>3554.6437989999999</v>
      </c>
      <c r="Z45">
        <v>3608.4033199999999</v>
      </c>
      <c r="AA45">
        <v>3663.0974120000001</v>
      </c>
      <c r="AB45">
        <v>3718.6245119999999</v>
      </c>
      <c r="AC45">
        <v>3774.0097660000001</v>
      </c>
      <c r="AD45">
        <v>3827.9187010000001</v>
      </c>
      <c r="AE45">
        <v>3880.4333499999998</v>
      </c>
      <c r="AF45">
        <v>3936.7380370000001</v>
      </c>
      <c r="AG45">
        <v>3993.6040039999998</v>
      </c>
      <c r="AH45">
        <v>4049.650635</v>
      </c>
      <c r="AI45">
        <v>4112.1577150000003</v>
      </c>
      <c r="AJ45" s="31">
        <v>1.4E-2</v>
      </c>
      <c r="AK45" s="31">
        <v>2.5999999999999999E-2</v>
      </c>
    </row>
    <row r="46" spans="2:37">
      <c r="B46" t="s">
        <v>319</v>
      </c>
      <c r="C46" t="s">
        <v>1266</v>
      </c>
      <c r="D46" t="s">
        <v>1267</v>
      </c>
      <c r="E46" t="s">
        <v>354</v>
      </c>
      <c r="G46">
        <v>2780.3857419999999</v>
      </c>
      <c r="H46">
        <v>2985.7573240000002</v>
      </c>
      <c r="I46">
        <v>3028.8010250000002</v>
      </c>
      <c r="J46">
        <v>3034.7165530000002</v>
      </c>
      <c r="K46">
        <v>3073.5104980000001</v>
      </c>
      <c r="L46">
        <v>3111.8442380000001</v>
      </c>
      <c r="M46">
        <v>3142.173096</v>
      </c>
      <c r="N46">
        <v>3164.733154</v>
      </c>
      <c r="O46">
        <v>3180.5661620000001</v>
      </c>
      <c r="P46">
        <v>3196.413086</v>
      </c>
      <c r="Q46">
        <v>3221.5686040000001</v>
      </c>
      <c r="R46">
        <v>3248.0820309999999</v>
      </c>
      <c r="S46">
        <v>3272.0385740000002</v>
      </c>
      <c r="T46">
        <v>3300.560547</v>
      </c>
      <c r="U46">
        <v>3337.4621579999998</v>
      </c>
      <c r="V46">
        <v>3381.5327149999998</v>
      </c>
      <c r="W46">
        <v>3427.8107909999999</v>
      </c>
      <c r="X46">
        <v>3476.1276859999998</v>
      </c>
      <c r="Y46">
        <v>3532.2836910000001</v>
      </c>
      <c r="Z46">
        <v>3586.0437010000001</v>
      </c>
      <c r="AA46">
        <v>3640.7380370000001</v>
      </c>
      <c r="AB46">
        <v>3696.2653810000002</v>
      </c>
      <c r="AC46">
        <v>3751.6508789999998</v>
      </c>
      <c r="AD46">
        <v>3805.5598140000002</v>
      </c>
      <c r="AE46">
        <v>3858.0747070000002</v>
      </c>
      <c r="AF46">
        <v>3914.3793949999999</v>
      </c>
      <c r="AG46">
        <v>3971.2456050000001</v>
      </c>
      <c r="AH46">
        <v>4027.2922359999998</v>
      </c>
      <c r="AI46">
        <v>4089.7993160000001</v>
      </c>
      <c r="AJ46" s="31">
        <v>1.4E-2</v>
      </c>
      <c r="AK46" s="31">
        <v>2.7E-2</v>
      </c>
    </row>
    <row r="47" spans="2:37">
      <c r="B47" t="s">
        <v>320</v>
      </c>
      <c r="C47" t="s">
        <v>1268</v>
      </c>
      <c r="D47" t="s">
        <v>1269</v>
      </c>
      <c r="E47" t="s">
        <v>354</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31">
        <v>0</v>
      </c>
      <c r="AK47" s="31">
        <v>0</v>
      </c>
    </row>
    <row r="48" spans="2:37">
      <c r="B48" t="s">
        <v>278</v>
      </c>
      <c r="C48" t="s">
        <v>1270</v>
      </c>
      <c r="D48" t="s">
        <v>1271</v>
      </c>
      <c r="E48" t="s">
        <v>354</v>
      </c>
      <c r="G48">
        <v>430.83187900000001</v>
      </c>
      <c r="H48">
        <v>433.13122600000003</v>
      </c>
      <c r="I48">
        <v>433.96752900000001</v>
      </c>
      <c r="J48">
        <v>434.62820399999998</v>
      </c>
      <c r="K48">
        <v>435.16168199999998</v>
      </c>
      <c r="L48">
        <v>435.947113</v>
      </c>
      <c r="M48">
        <v>436.50567599999999</v>
      </c>
      <c r="N48">
        <v>436.95120200000002</v>
      </c>
      <c r="O48">
        <v>437.33203099999997</v>
      </c>
      <c r="P48">
        <v>437.57638500000002</v>
      </c>
      <c r="Q48">
        <v>437.74392699999999</v>
      </c>
      <c r="R48">
        <v>437.826752</v>
      </c>
      <c r="S48">
        <v>437.85824600000001</v>
      </c>
      <c r="T48">
        <v>437.879456</v>
      </c>
      <c r="U48">
        <v>438.00381499999997</v>
      </c>
      <c r="V48">
        <v>438.20288099999999</v>
      </c>
      <c r="W48">
        <v>438.41198700000001</v>
      </c>
      <c r="X48">
        <v>438.63055400000002</v>
      </c>
      <c r="Y48">
        <v>438.85791</v>
      </c>
      <c r="Z48">
        <v>439.09307899999999</v>
      </c>
      <c r="AA48">
        <v>439.33535799999999</v>
      </c>
      <c r="AB48">
        <v>439.584137</v>
      </c>
      <c r="AC48">
        <v>439.83880599999998</v>
      </c>
      <c r="AD48">
        <v>440.09887700000002</v>
      </c>
      <c r="AE48">
        <v>440.36389200000002</v>
      </c>
      <c r="AF48">
        <v>440.63324</v>
      </c>
      <c r="AG48">
        <v>440.906677</v>
      </c>
      <c r="AH48">
        <v>441.18383799999998</v>
      </c>
      <c r="AI48">
        <v>441.46450800000002</v>
      </c>
      <c r="AJ48" s="31">
        <v>1E-3</v>
      </c>
      <c r="AK48" s="31">
        <v>0</v>
      </c>
    </row>
    <row r="49" spans="1:37">
      <c r="B49" t="s">
        <v>321</v>
      </c>
      <c r="C49" t="s">
        <v>1272</v>
      </c>
      <c r="D49" t="s">
        <v>1273</v>
      </c>
      <c r="E49" t="s">
        <v>354</v>
      </c>
      <c r="G49">
        <v>334.448914</v>
      </c>
      <c r="H49">
        <v>336.233856</v>
      </c>
      <c r="I49">
        <v>336.88305700000001</v>
      </c>
      <c r="J49">
        <v>337.39593500000001</v>
      </c>
      <c r="K49">
        <v>337.81005900000002</v>
      </c>
      <c r="L49">
        <v>338.41980000000001</v>
      </c>
      <c r="M49">
        <v>338.85339399999998</v>
      </c>
      <c r="N49">
        <v>339.19924900000001</v>
      </c>
      <c r="O49">
        <v>339.49490400000002</v>
      </c>
      <c r="P49">
        <v>339.68457000000001</v>
      </c>
      <c r="Q49">
        <v>339.81463600000001</v>
      </c>
      <c r="R49">
        <v>339.87893700000001</v>
      </c>
      <c r="S49">
        <v>339.90338100000002</v>
      </c>
      <c r="T49">
        <v>339.91986100000003</v>
      </c>
      <c r="U49">
        <v>340.01638800000001</v>
      </c>
      <c r="V49">
        <v>340.170929</v>
      </c>
      <c r="W49">
        <v>340.33325200000002</v>
      </c>
      <c r="X49">
        <v>340.50292999999999</v>
      </c>
      <c r="Y49">
        <v>340.67941300000001</v>
      </c>
      <c r="Z49">
        <v>340.86196899999999</v>
      </c>
      <c r="AA49">
        <v>341.050049</v>
      </c>
      <c r="AB49">
        <v>341.24316399999998</v>
      </c>
      <c r="AC49">
        <v>341.44085699999999</v>
      </c>
      <c r="AD49">
        <v>341.64276100000001</v>
      </c>
      <c r="AE49">
        <v>341.84848</v>
      </c>
      <c r="AF49">
        <v>342.05758700000001</v>
      </c>
      <c r="AG49">
        <v>342.269836</v>
      </c>
      <c r="AH49">
        <v>342.48501599999997</v>
      </c>
      <c r="AI49">
        <v>342.70288099999999</v>
      </c>
      <c r="AJ49" s="31">
        <v>1E-3</v>
      </c>
      <c r="AK49" s="31">
        <v>0</v>
      </c>
    </row>
    <row r="50" spans="1:37">
      <c r="B50" t="s">
        <v>315</v>
      </c>
      <c r="C50" t="s">
        <v>1274</v>
      </c>
      <c r="D50" t="s">
        <v>1275</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117</v>
      </c>
      <c r="AK50" s="31">
        <v>0</v>
      </c>
    </row>
    <row r="51" spans="1:37">
      <c r="B51" t="s">
        <v>322</v>
      </c>
      <c r="C51" t="s">
        <v>1276</v>
      </c>
      <c r="D51" t="s">
        <v>1277</v>
      </c>
      <c r="E51" t="s">
        <v>354</v>
      </c>
      <c r="G51">
        <v>96.382973000000007</v>
      </c>
      <c r="H51">
        <v>96.897368999999998</v>
      </c>
      <c r="I51">
        <v>97.084457</v>
      </c>
      <c r="J51">
        <v>97.232269000000002</v>
      </c>
      <c r="K51">
        <v>97.351607999999999</v>
      </c>
      <c r="L51">
        <v>97.527321000000001</v>
      </c>
      <c r="M51">
        <v>97.652275000000003</v>
      </c>
      <c r="N51">
        <v>97.751960999999994</v>
      </c>
      <c r="O51">
        <v>97.837142999999998</v>
      </c>
      <c r="P51">
        <v>97.891814999999994</v>
      </c>
      <c r="Q51">
        <v>97.929291000000006</v>
      </c>
      <c r="R51">
        <v>97.947815000000006</v>
      </c>
      <c r="S51">
        <v>97.954857000000004</v>
      </c>
      <c r="T51">
        <v>97.959594999999993</v>
      </c>
      <c r="U51">
        <v>97.987419000000003</v>
      </c>
      <c r="V51">
        <v>98.031966999999995</v>
      </c>
      <c r="W51">
        <v>98.078743000000003</v>
      </c>
      <c r="X51">
        <v>98.12764</v>
      </c>
      <c r="Y51">
        <v>98.178512999999995</v>
      </c>
      <c r="Z51">
        <v>98.231116999999998</v>
      </c>
      <c r="AA51">
        <v>98.285308999999998</v>
      </c>
      <c r="AB51">
        <v>98.340964999999997</v>
      </c>
      <c r="AC51">
        <v>98.397942</v>
      </c>
      <c r="AD51">
        <v>98.456130999999999</v>
      </c>
      <c r="AE51">
        <v>98.515411</v>
      </c>
      <c r="AF51">
        <v>98.575667999999993</v>
      </c>
      <c r="AG51">
        <v>98.636825999999999</v>
      </c>
      <c r="AH51">
        <v>98.698836999999997</v>
      </c>
      <c r="AI51">
        <v>98.761627000000004</v>
      </c>
      <c r="AJ51" s="31">
        <v>1E-3</v>
      </c>
      <c r="AK51" s="31">
        <v>0</v>
      </c>
    </row>
    <row r="52" spans="1:37">
      <c r="B52" t="s">
        <v>279</v>
      </c>
      <c r="C52" t="s">
        <v>1278</v>
      </c>
      <c r="D52" t="s">
        <v>1279</v>
      </c>
      <c r="E52" t="s">
        <v>354</v>
      </c>
      <c r="G52">
        <v>210.97721899999999</v>
      </c>
      <c r="H52">
        <v>220.80746500000001</v>
      </c>
      <c r="I52">
        <v>225.15119899999999</v>
      </c>
      <c r="J52">
        <v>225.93090799999999</v>
      </c>
      <c r="K52">
        <v>226.441757</v>
      </c>
      <c r="L52">
        <v>226.74642900000001</v>
      </c>
      <c r="M52">
        <v>226.787048</v>
      </c>
      <c r="N52">
        <v>226.390717</v>
      </c>
      <c r="O52">
        <v>225.62441999999999</v>
      </c>
      <c r="P52">
        <v>224.46057099999999</v>
      </c>
      <c r="Q52">
        <v>223.250336</v>
      </c>
      <c r="R52">
        <v>223.04595900000001</v>
      </c>
      <c r="S52">
        <v>222.35723899999999</v>
      </c>
      <c r="T52">
        <v>221.455566</v>
      </c>
      <c r="U52">
        <v>220.40602100000001</v>
      </c>
      <c r="V52">
        <v>218.77555799999999</v>
      </c>
      <c r="W52">
        <v>217.16113300000001</v>
      </c>
      <c r="X52">
        <v>215.39122</v>
      </c>
      <c r="Y52">
        <v>213.471802</v>
      </c>
      <c r="Z52">
        <v>211.40820299999999</v>
      </c>
      <c r="AA52">
        <v>209.23976099999999</v>
      </c>
      <c r="AB52">
        <v>206.76431299999999</v>
      </c>
      <c r="AC52">
        <v>204.38597100000001</v>
      </c>
      <c r="AD52">
        <v>201.858643</v>
      </c>
      <c r="AE52">
        <v>199.42544599999999</v>
      </c>
      <c r="AF52">
        <v>196.48846399999999</v>
      </c>
      <c r="AG52">
        <v>193.40808100000001</v>
      </c>
      <c r="AH52">
        <v>189.779068</v>
      </c>
      <c r="AI52">
        <v>186.44667100000001</v>
      </c>
      <c r="AJ52" s="31">
        <v>-4.0000000000000001E-3</v>
      </c>
      <c r="AK52" s="31">
        <v>1.9E-2</v>
      </c>
    </row>
    <row r="53" spans="1:37">
      <c r="B53" t="s">
        <v>323</v>
      </c>
      <c r="C53" t="s">
        <v>1280</v>
      </c>
      <c r="D53" t="s">
        <v>1281</v>
      </c>
      <c r="E53" t="s">
        <v>354</v>
      </c>
      <c r="G53">
        <v>92.212233999999995</v>
      </c>
      <c r="H53">
        <v>95.837829999999997</v>
      </c>
      <c r="I53">
        <v>98.320953000000003</v>
      </c>
      <c r="J53">
        <v>98.870079000000004</v>
      </c>
      <c r="K53">
        <v>99.844643000000005</v>
      </c>
      <c r="L53">
        <v>100.614418</v>
      </c>
      <c r="M53">
        <v>101.247078</v>
      </c>
      <c r="N53">
        <v>101.616623</v>
      </c>
      <c r="O53">
        <v>101.724174</v>
      </c>
      <c r="P53">
        <v>101.53801</v>
      </c>
      <c r="Q53">
        <v>101.311256</v>
      </c>
      <c r="R53">
        <v>100.97640199999999</v>
      </c>
      <c r="S53">
        <v>100.756874</v>
      </c>
      <c r="T53">
        <v>100.295074</v>
      </c>
      <c r="U53">
        <v>99.678466999999998</v>
      </c>
      <c r="V53">
        <v>98.421806000000004</v>
      </c>
      <c r="W53">
        <v>97.683716000000004</v>
      </c>
      <c r="X53">
        <v>96.918678</v>
      </c>
      <c r="Y53">
        <v>96.071006999999994</v>
      </c>
      <c r="Z53">
        <v>95.130722000000006</v>
      </c>
      <c r="AA53">
        <v>94.233086</v>
      </c>
      <c r="AB53">
        <v>93.123824999999997</v>
      </c>
      <c r="AC53">
        <v>92.204300000000003</v>
      </c>
      <c r="AD53">
        <v>91.250327999999996</v>
      </c>
      <c r="AE53">
        <v>90.658730000000006</v>
      </c>
      <c r="AF53">
        <v>89.694473000000002</v>
      </c>
      <c r="AG53">
        <v>88.826485000000005</v>
      </c>
      <c r="AH53">
        <v>87.819648999999998</v>
      </c>
      <c r="AI53">
        <v>86.904647999999995</v>
      </c>
      <c r="AJ53" s="31">
        <v>-2E-3</v>
      </c>
      <c r="AK53" s="31">
        <v>0.01</v>
      </c>
    </row>
    <row r="54" spans="1:37">
      <c r="A54" t="s">
        <v>113</v>
      </c>
      <c r="B54" t="s">
        <v>313</v>
      </c>
      <c r="C54" t="s">
        <v>1282</v>
      </c>
      <c r="D54" t="s">
        <v>1283</v>
      </c>
      <c r="E54" t="s">
        <v>354</v>
      </c>
      <c r="G54">
        <v>12.007432</v>
      </c>
      <c r="H54">
        <v>12.465114</v>
      </c>
      <c r="I54">
        <v>12.775763</v>
      </c>
      <c r="J54">
        <v>12.835153999999999</v>
      </c>
      <c r="K54">
        <v>12.958027</v>
      </c>
      <c r="L54">
        <v>13.056922</v>
      </c>
      <c r="M54">
        <v>13.141268999999999</v>
      </c>
      <c r="N54">
        <v>13.190033</v>
      </c>
      <c r="O54">
        <v>13.202685000000001</v>
      </c>
      <c r="P54">
        <v>13.177554000000001</v>
      </c>
      <c r="Q54">
        <v>13.150479000000001</v>
      </c>
      <c r="R54">
        <v>13.109432999999999</v>
      </c>
      <c r="S54">
        <v>13.083599</v>
      </c>
      <c r="T54">
        <v>13.026247</v>
      </c>
      <c r="U54">
        <v>12.949903000000001</v>
      </c>
      <c r="V54">
        <v>12.790073</v>
      </c>
      <c r="W54">
        <v>12.696982999999999</v>
      </c>
      <c r="X54">
        <v>12.600635</v>
      </c>
      <c r="Y54">
        <v>12.493633000000001</v>
      </c>
      <c r="Z54">
        <v>12.374180000000001</v>
      </c>
      <c r="AA54">
        <v>12.260481</v>
      </c>
      <c r="AB54">
        <v>12.119045</v>
      </c>
      <c r="AC54">
        <v>12.002355</v>
      </c>
      <c r="AD54">
        <v>11.880788000000001</v>
      </c>
      <c r="AE54">
        <v>11.808579999999999</v>
      </c>
      <c r="AF54">
        <v>11.685587</v>
      </c>
      <c r="AG54">
        <v>11.575792</v>
      </c>
      <c r="AH54">
        <v>11.447132</v>
      </c>
      <c r="AI54">
        <v>11.331303999999999</v>
      </c>
      <c r="AJ54" s="31">
        <v>-2E-3</v>
      </c>
      <c r="AK54" s="31">
        <v>1.0999999999999999E-2</v>
      </c>
    </row>
    <row r="55" spans="1:37">
      <c r="A55" t="s">
        <v>113</v>
      </c>
      <c r="B55" t="s">
        <v>305</v>
      </c>
      <c r="C55" t="s">
        <v>1284</v>
      </c>
      <c r="D55" t="s">
        <v>1285</v>
      </c>
      <c r="E55" t="s">
        <v>354</v>
      </c>
      <c r="G55">
        <v>7.4320000000000002E-3</v>
      </c>
      <c r="H55">
        <v>7.7629999999999999E-3</v>
      </c>
      <c r="I55">
        <v>7.9489999999999995E-3</v>
      </c>
      <c r="J55">
        <v>8.0289999999999997E-3</v>
      </c>
      <c r="K55">
        <v>8.1410000000000007E-3</v>
      </c>
      <c r="L55">
        <v>8.2100000000000003E-3</v>
      </c>
      <c r="M55">
        <v>8.2570000000000005E-3</v>
      </c>
      <c r="N55">
        <v>8.2789999999999999E-3</v>
      </c>
      <c r="O55">
        <v>8.2830000000000004E-3</v>
      </c>
      <c r="P55">
        <v>8.2609999999999992E-3</v>
      </c>
      <c r="Q55">
        <v>8.2290000000000002E-3</v>
      </c>
      <c r="R55">
        <v>8.1890000000000001E-3</v>
      </c>
      <c r="S55">
        <v>8.1569999999999993E-3</v>
      </c>
      <c r="T55">
        <v>8.1069999999999996E-3</v>
      </c>
      <c r="U55">
        <v>8.0420000000000005E-3</v>
      </c>
      <c r="V55">
        <v>7.9609999999999993E-3</v>
      </c>
      <c r="W55">
        <v>7.8829999999999994E-3</v>
      </c>
      <c r="X55">
        <v>7.803E-3</v>
      </c>
      <c r="Y55">
        <v>7.7130000000000002E-3</v>
      </c>
      <c r="Z55">
        <v>7.6150000000000002E-3</v>
      </c>
      <c r="AA55">
        <v>7.5209999999999999E-3</v>
      </c>
      <c r="AB55">
        <v>7.3980000000000001E-3</v>
      </c>
      <c r="AC55">
        <v>7.3070000000000001E-3</v>
      </c>
      <c r="AD55">
        <v>7.2150000000000001E-3</v>
      </c>
      <c r="AE55">
        <v>7.143E-3</v>
      </c>
      <c r="AF55">
        <v>7.0499999999999998E-3</v>
      </c>
      <c r="AG55">
        <v>6.9610000000000002E-3</v>
      </c>
      <c r="AH55">
        <v>6.8640000000000003E-3</v>
      </c>
      <c r="AI55">
        <v>6.7689999999999998E-3</v>
      </c>
      <c r="AJ55" s="31">
        <v>-3.0000000000000001E-3</v>
      </c>
      <c r="AK55" s="31">
        <v>3.0000000000000001E-3</v>
      </c>
    </row>
    <row r="56" spans="1:37">
      <c r="A56" t="s">
        <v>114</v>
      </c>
      <c r="B56" t="s">
        <v>306</v>
      </c>
      <c r="C56" t="s">
        <v>1286</v>
      </c>
      <c r="D56" t="s">
        <v>1287</v>
      </c>
      <c r="E56" t="s">
        <v>354</v>
      </c>
      <c r="G56">
        <v>52.012611</v>
      </c>
      <c r="H56">
        <v>54.015754999999999</v>
      </c>
      <c r="I56">
        <v>55.245651000000002</v>
      </c>
      <c r="J56">
        <v>55.522506999999997</v>
      </c>
      <c r="K56">
        <v>56.047764000000001</v>
      </c>
      <c r="L56">
        <v>56.442497000000003</v>
      </c>
      <c r="M56">
        <v>56.754584999999999</v>
      </c>
      <c r="N56">
        <v>56.903236</v>
      </c>
      <c r="O56">
        <v>56.888607</v>
      </c>
      <c r="P56">
        <v>56.712851999999998</v>
      </c>
      <c r="Q56">
        <v>56.517417999999999</v>
      </c>
      <c r="R56">
        <v>56.260185</v>
      </c>
      <c r="S56">
        <v>56.054282999999998</v>
      </c>
      <c r="T56">
        <v>55.704571000000001</v>
      </c>
      <c r="U56">
        <v>55.261519999999997</v>
      </c>
      <c r="V56">
        <v>54.562843000000001</v>
      </c>
      <c r="W56">
        <v>54.018444000000002</v>
      </c>
      <c r="X56">
        <v>53.439864999999998</v>
      </c>
      <c r="Y56">
        <v>52.799095000000001</v>
      </c>
      <c r="Z56">
        <v>52.084651999999998</v>
      </c>
      <c r="AA56">
        <v>51.363410999999999</v>
      </c>
      <c r="AB56">
        <v>50.487484000000002</v>
      </c>
      <c r="AC56">
        <v>49.676124999999999</v>
      </c>
      <c r="AD56">
        <v>48.788139000000001</v>
      </c>
      <c r="AE56">
        <v>48.012000999999998</v>
      </c>
      <c r="AF56">
        <v>46.925766000000003</v>
      </c>
      <c r="AG56">
        <v>45.703896</v>
      </c>
      <c r="AH56">
        <v>44.05574</v>
      </c>
      <c r="AI56">
        <v>42.693801999999998</v>
      </c>
      <c r="AJ56" s="31">
        <v>-7.0000000000000001E-3</v>
      </c>
      <c r="AK56" s="31">
        <v>5.0000000000000001E-3</v>
      </c>
    </row>
    <row r="57" spans="1:37">
      <c r="A57" t="s">
        <v>112</v>
      </c>
      <c r="B57" t="s">
        <v>307</v>
      </c>
      <c r="C57" t="s">
        <v>1288</v>
      </c>
      <c r="D57" t="s">
        <v>1289</v>
      </c>
      <c r="E57" t="s">
        <v>354</v>
      </c>
      <c r="G57">
        <v>26.102913000000001</v>
      </c>
      <c r="H57">
        <v>27.152719000000001</v>
      </c>
      <c r="I57">
        <v>27.997173</v>
      </c>
      <c r="J57">
        <v>28.156234999999999</v>
      </c>
      <c r="K57">
        <v>28.412040999999999</v>
      </c>
      <c r="L57">
        <v>28.617826000000001</v>
      </c>
      <c r="M57">
        <v>28.781718999999999</v>
      </c>
      <c r="N57">
        <v>28.881858999999999</v>
      </c>
      <c r="O57">
        <v>28.919270999999998</v>
      </c>
      <c r="P57">
        <v>28.863105999999998</v>
      </c>
      <c r="Q57">
        <v>28.782406000000002</v>
      </c>
      <c r="R57">
        <v>28.664639000000001</v>
      </c>
      <c r="S57">
        <v>28.58287</v>
      </c>
      <c r="T57">
        <v>28.431080000000001</v>
      </c>
      <c r="U57">
        <v>28.230478000000002</v>
      </c>
      <c r="V57">
        <v>27.752499</v>
      </c>
      <c r="W57">
        <v>27.526546</v>
      </c>
      <c r="X57">
        <v>27.295058999999998</v>
      </c>
      <c r="Y57">
        <v>27.037399000000001</v>
      </c>
      <c r="Z57">
        <v>26.753869999999999</v>
      </c>
      <c r="AA57">
        <v>26.484290999999999</v>
      </c>
      <c r="AB57">
        <v>26.160323999999999</v>
      </c>
      <c r="AC57">
        <v>25.885159999999999</v>
      </c>
      <c r="AD57">
        <v>25.601519</v>
      </c>
      <c r="AE57">
        <v>25.421154000000001</v>
      </c>
      <c r="AF57">
        <v>25.134627999999999</v>
      </c>
      <c r="AG57">
        <v>24.876854000000002</v>
      </c>
      <c r="AH57">
        <v>24.580860000000001</v>
      </c>
      <c r="AI57">
        <v>24.309217</v>
      </c>
      <c r="AJ57" s="31">
        <v>-3.0000000000000001E-3</v>
      </c>
      <c r="AK57" s="31">
        <v>0.01</v>
      </c>
    </row>
    <row r="58" spans="1:37">
      <c r="A58" t="s">
        <v>257</v>
      </c>
      <c r="B58" t="s">
        <v>308</v>
      </c>
      <c r="C58" t="s">
        <v>1290</v>
      </c>
      <c r="D58" t="s">
        <v>1291</v>
      </c>
      <c r="E58" t="s">
        <v>354</v>
      </c>
      <c r="G58">
        <v>1.4757659999999999</v>
      </c>
      <c r="H58">
        <v>1.5326839999999999</v>
      </c>
      <c r="I58">
        <v>1.572022</v>
      </c>
      <c r="J58">
        <v>1.5786210000000001</v>
      </c>
      <c r="K58">
        <v>1.5959749999999999</v>
      </c>
      <c r="L58">
        <v>1.6095010000000001</v>
      </c>
      <c r="M58">
        <v>1.6204449999999999</v>
      </c>
      <c r="N58">
        <v>1.6276649999999999</v>
      </c>
      <c r="O58">
        <v>1.6309739999999999</v>
      </c>
      <c r="P58">
        <v>1.629221</v>
      </c>
      <c r="Q58">
        <v>1.6268180000000001</v>
      </c>
      <c r="R58">
        <v>1.622336</v>
      </c>
      <c r="S58">
        <v>1.6196390000000001</v>
      </c>
      <c r="T58">
        <v>1.613038</v>
      </c>
      <c r="U58">
        <v>1.6045199999999999</v>
      </c>
      <c r="V58">
        <v>1.5851</v>
      </c>
      <c r="W58">
        <v>1.57385</v>
      </c>
      <c r="X58">
        <v>1.56229</v>
      </c>
      <c r="Y58">
        <v>1.549139</v>
      </c>
      <c r="Z58">
        <v>1.5342830000000001</v>
      </c>
      <c r="AA58">
        <v>1.520311</v>
      </c>
      <c r="AB58">
        <v>1.501987</v>
      </c>
      <c r="AC58">
        <v>1.4879849999999999</v>
      </c>
      <c r="AD58">
        <v>1.4732160000000001</v>
      </c>
      <c r="AE58">
        <v>1.4655290000000001</v>
      </c>
      <c r="AF58">
        <v>1.450458</v>
      </c>
      <c r="AG58">
        <v>1.437376</v>
      </c>
      <c r="AH58">
        <v>1.4216249999999999</v>
      </c>
      <c r="AI58">
        <v>1.4077189999999999</v>
      </c>
      <c r="AJ58" s="31">
        <v>-2E-3</v>
      </c>
      <c r="AK58" s="31">
        <v>1.6E-2</v>
      </c>
    </row>
    <row r="59" spans="1:37">
      <c r="A59" t="s">
        <v>111</v>
      </c>
      <c r="B59" t="s">
        <v>309</v>
      </c>
      <c r="C59" t="s">
        <v>1292</v>
      </c>
      <c r="D59" t="s">
        <v>1293</v>
      </c>
      <c r="E59" t="s">
        <v>354</v>
      </c>
      <c r="G59">
        <v>0.58296300000000001</v>
      </c>
      <c r="H59">
        <v>0.63977200000000001</v>
      </c>
      <c r="I59">
        <v>0.69745900000000005</v>
      </c>
      <c r="J59">
        <v>0.74443499999999996</v>
      </c>
      <c r="K59">
        <v>0.79736899999999999</v>
      </c>
      <c r="L59">
        <v>0.85397599999999996</v>
      </c>
      <c r="M59">
        <v>0.91521699999999995</v>
      </c>
      <c r="N59">
        <v>0.97990200000000005</v>
      </c>
      <c r="O59">
        <v>1.0486899999999999</v>
      </c>
      <c r="P59">
        <v>1.1214440000000001</v>
      </c>
      <c r="Q59">
        <v>1.2004459999999999</v>
      </c>
      <c r="R59">
        <v>1.2863150000000001</v>
      </c>
      <c r="S59">
        <v>1.3831500000000001</v>
      </c>
      <c r="T59">
        <v>1.48702</v>
      </c>
      <c r="U59">
        <v>1.599227</v>
      </c>
      <c r="V59">
        <v>1.699166</v>
      </c>
      <c r="W59">
        <v>1.8360780000000001</v>
      </c>
      <c r="X59">
        <v>1.989325</v>
      </c>
      <c r="Y59">
        <v>2.1605850000000002</v>
      </c>
      <c r="Z59">
        <v>2.3529599999999999</v>
      </c>
      <c r="AA59">
        <v>2.5741770000000002</v>
      </c>
      <c r="AB59">
        <v>2.8250199999999999</v>
      </c>
      <c r="AC59">
        <v>3.1230699999999998</v>
      </c>
      <c r="AD59">
        <v>3.4774289999999999</v>
      </c>
      <c r="AE59">
        <v>3.922498</v>
      </c>
      <c r="AF59">
        <v>4.4694479999999999</v>
      </c>
      <c r="AG59">
        <v>5.2043210000000002</v>
      </c>
      <c r="AH59">
        <v>6.2864370000000003</v>
      </c>
      <c r="AI59">
        <v>7.1351089999999999</v>
      </c>
      <c r="AJ59" s="31">
        <v>9.4E-2</v>
      </c>
      <c r="AK59" s="31">
        <v>0.106</v>
      </c>
    </row>
    <row r="60" spans="1:37">
      <c r="A60" t="s">
        <v>258</v>
      </c>
      <c r="B60" t="s">
        <v>310</v>
      </c>
      <c r="C60" t="s">
        <v>1294</v>
      </c>
      <c r="D60" t="s">
        <v>1295</v>
      </c>
      <c r="E60" t="s">
        <v>354</v>
      </c>
      <c r="G60">
        <v>2.3116999999999999E-2</v>
      </c>
      <c r="H60">
        <v>2.4035000000000001E-2</v>
      </c>
      <c r="I60">
        <v>2.4938999999999999E-2</v>
      </c>
      <c r="J60">
        <v>2.5099E-2</v>
      </c>
      <c r="K60">
        <v>2.5319000000000001E-2</v>
      </c>
      <c r="L60">
        <v>2.5482000000000001E-2</v>
      </c>
      <c r="M60">
        <v>2.5596000000000001E-2</v>
      </c>
      <c r="N60">
        <v>2.5651E-2</v>
      </c>
      <c r="O60">
        <v>2.5658E-2</v>
      </c>
      <c r="P60">
        <v>2.5572999999999999E-2</v>
      </c>
      <c r="Q60">
        <v>2.5453E-2</v>
      </c>
      <c r="R60">
        <v>2.5301000000000001E-2</v>
      </c>
      <c r="S60">
        <v>2.5183000000000001E-2</v>
      </c>
      <c r="T60">
        <v>2.5003000000000001E-2</v>
      </c>
      <c r="U60">
        <v>2.4774000000000001E-2</v>
      </c>
      <c r="V60">
        <v>2.4169E-2</v>
      </c>
      <c r="W60">
        <v>2.3938999999999998E-2</v>
      </c>
      <c r="X60">
        <v>2.3702000000000001E-2</v>
      </c>
      <c r="Y60">
        <v>2.3444E-2</v>
      </c>
      <c r="Z60">
        <v>2.3163E-2</v>
      </c>
      <c r="AA60">
        <v>2.2893E-2</v>
      </c>
      <c r="AB60">
        <v>2.2575000000000001E-2</v>
      </c>
      <c r="AC60">
        <v>2.2303E-2</v>
      </c>
      <c r="AD60">
        <v>2.2027000000000001E-2</v>
      </c>
      <c r="AE60">
        <v>2.1822999999999999E-2</v>
      </c>
      <c r="AF60">
        <v>2.1545000000000002E-2</v>
      </c>
      <c r="AG60">
        <v>2.1284000000000001E-2</v>
      </c>
      <c r="AH60">
        <v>2.0996999999999998E-2</v>
      </c>
      <c r="AI60">
        <v>2.0722999999999998E-2</v>
      </c>
      <c r="AJ60" s="31">
        <v>-4.0000000000000001E-3</v>
      </c>
      <c r="AK60" s="31">
        <v>1.2E-2</v>
      </c>
    </row>
    <row r="61" spans="1:37">
      <c r="B61" t="s">
        <v>324</v>
      </c>
      <c r="C61" t="s">
        <v>1296</v>
      </c>
      <c r="D61" t="s">
        <v>1297</v>
      </c>
      <c r="E61" t="s">
        <v>354</v>
      </c>
      <c r="G61">
        <v>26.118862</v>
      </c>
      <c r="H61">
        <v>28.024412000000002</v>
      </c>
      <c r="I61">
        <v>29.477226000000002</v>
      </c>
      <c r="J61">
        <v>30.571621</v>
      </c>
      <c r="K61">
        <v>31.3964</v>
      </c>
      <c r="L61">
        <v>32.010112999999997</v>
      </c>
      <c r="M61">
        <v>32.464531000000001</v>
      </c>
      <c r="N61">
        <v>32.799759000000002</v>
      </c>
      <c r="O61">
        <v>33.046233999999998</v>
      </c>
      <c r="P61">
        <v>33.226050999999998</v>
      </c>
      <c r="Q61">
        <v>33.352477999999998</v>
      </c>
      <c r="R61">
        <v>33.43018</v>
      </c>
      <c r="S61">
        <v>33.466476</v>
      </c>
      <c r="T61">
        <v>33.469250000000002</v>
      </c>
      <c r="U61">
        <v>33.445160000000001</v>
      </c>
      <c r="V61">
        <v>33.397396000000001</v>
      </c>
      <c r="W61">
        <v>33.349758000000001</v>
      </c>
      <c r="X61">
        <v>33.294384000000001</v>
      </c>
      <c r="Y61">
        <v>33.234276000000001</v>
      </c>
      <c r="Z61">
        <v>33.167285999999997</v>
      </c>
      <c r="AA61">
        <v>33.096901000000003</v>
      </c>
      <c r="AB61">
        <v>33.025081999999998</v>
      </c>
      <c r="AC61">
        <v>32.951076999999998</v>
      </c>
      <c r="AD61">
        <v>32.875145000000003</v>
      </c>
      <c r="AE61">
        <v>32.799278000000001</v>
      </c>
      <c r="AF61">
        <v>32.723492</v>
      </c>
      <c r="AG61">
        <v>32.646706000000002</v>
      </c>
      <c r="AH61">
        <v>32.569450000000003</v>
      </c>
      <c r="AI61">
        <v>32.494362000000002</v>
      </c>
      <c r="AJ61" s="31">
        <v>8.0000000000000002E-3</v>
      </c>
      <c r="AK61" s="31">
        <v>2.1999999999999999E-2</v>
      </c>
    </row>
    <row r="62" spans="1:37">
      <c r="A62" t="s">
        <v>113</v>
      </c>
      <c r="B62" t="s">
        <v>313</v>
      </c>
      <c r="C62" t="s">
        <v>1298</v>
      </c>
      <c r="D62" t="s">
        <v>1299</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117</v>
      </c>
      <c r="AK62" t="s">
        <v>117</v>
      </c>
    </row>
    <row r="63" spans="1:37">
      <c r="A63" t="s">
        <v>113</v>
      </c>
      <c r="B63" t="s">
        <v>305</v>
      </c>
      <c r="C63" t="s">
        <v>1300</v>
      </c>
      <c r="D63" t="s">
        <v>1301</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117</v>
      </c>
      <c r="AK63" t="s">
        <v>117</v>
      </c>
    </row>
    <row r="64" spans="1:37">
      <c r="A64" t="s">
        <v>114</v>
      </c>
      <c r="B64" t="s">
        <v>306</v>
      </c>
      <c r="C64" t="s">
        <v>1302</v>
      </c>
      <c r="D64" t="s">
        <v>1303</v>
      </c>
      <c r="E64" t="s">
        <v>354</v>
      </c>
      <c r="G64">
        <v>26.118862</v>
      </c>
      <c r="H64">
        <v>28.024412000000002</v>
      </c>
      <c r="I64">
        <v>29.477226000000002</v>
      </c>
      <c r="J64">
        <v>30.571621</v>
      </c>
      <c r="K64">
        <v>31.3964</v>
      </c>
      <c r="L64">
        <v>32.010112999999997</v>
      </c>
      <c r="M64">
        <v>32.464531000000001</v>
      </c>
      <c r="N64">
        <v>32.799759000000002</v>
      </c>
      <c r="O64">
        <v>33.046233999999998</v>
      </c>
      <c r="P64">
        <v>33.226050999999998</v>
      </c>
      <c r="Q64">
        <v>33.352477999999998</v>
      </c>
      <c r="R64">
        <v>33.43018</v>
      </c>
      <c r="S64">
        <v>33.466476</v>
      </c>
      <c r="T64">
        <v>33.469250000000002</v>
      </c>
      <c r="U64">
        <v>33.445160000000001</v>
      </c>
      <c r="V64">
        <v>33.397396000000001</v>
      </c>
      <c r="W64">
        <v>33.349758000000001</v>
      </c>
      <c r="X64">
        <v>33.294384000000001</v>
      </c>
      <c r="Y64">
        <v>33.234276000000001</v>
      </c>
      <c r="Z64">
        <v>33.167285999999997</v>
      </c>
      <c r="AA64">
        <v>33.096901000000003</v>
      </c>
      <c r="AB64">
        <v>33.025081999999998</v>
      </c>
      <c r="AC64">
        <v>32.951076999999998</v>
      </c>
      <c r="AD64">
        <v>32.875145000000003</v>
      </c>
      <c r="AE64">
        <v>32.799278000000001</v>
      </c>
      <c r="AF64">
        <v>32.723492</v>
      </c>
      <c r="AG64">
        <v>32.646706000000002</v>
      </c>
      <c r="AH64">
        <v>32.569450000000003</v>
      </c>
      <c r="AI64">
        <v>32.494362000000002</v>
      </c>
      <c r="AJ64" s="31">
        <v>8.0000000000000002E-3</v>
      </c>
      <c r="AK64" s="31">
        <v>2.1999999999999999E-2</v>
      </c>
    </row>
    <row r="65" spans="1:37">
      <c r="A65" t="s">
        <v>112</v>
      </c>
      <c r="B65" t="s">
        <v>307</v>
      </c>
      <c r="C65" t="s">
        <v>1304</v>
      </c>
      <c r="D65" t="s">
        <v>1305</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117</v>
      </c>
      <c r="AK65" t="s">
        <v>117</v>
      </c>
    </row>
    <row r="66" spans="1:37">
      <c r="A66" t="s">
        <v>257</v>
      </c>
      <c r="B66" t="s">
        <v>308</v>
      </c>
      <c r="C66" t="s">
        <v>1306</v>
      </c>
      <c r="D66" t="s">
        <v>1307</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K66" t="s">
        <v>117</v>
      </c>
    </row>
    <row r="67" spans="1:37">
      <c r="A67" t="s">
        <v>111</v>
      </c>
      <c r="B67" t="s">
        <v>309</v>
      </c>
      <c r="C67" t="s">
        <v>1308</v>
      </c>
      <c r="D67" t="s">
        <v>1309</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117</v>
      </c>
      <c r="AK67" t="s">
        <v>117</v>
      </c>
    </row>
    <row r="68" spans="1:37">
      <c r="A68" t="s">
        <v>258</v>
      </c>
      <c r="B68" t="s">
        <v>310</v>
      </c>
      <c r="C68" t="s">
        <v>1310</v>
      </c>
      <c r="D68" t="s">
        <v>1311</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117</v>
      </c>
      <c r="AK68" t="s">
        <v>117</v>
      </c>
    </row>
    <row r="69" spans="1:37">
      <c r="B69" t="s">
        <v>325</v>
      </c>
      <c r="C69" t="s">
        <v>1312</v>
      </c>
      <c r="D69" t="s">
        <v>1313</v>
      </c>
      <c r="E69" t="s">
        <v>354</v>
      </c>
      <c r="G69">
        <v>93.831894000000005</v>
      </c>
      <c r="H69">
        <v>98.450194999999994</v>
      </c>
      <c r="I69">
        <v>99.158546000000001</v>
      </c>
      <c r="J69">
        <v>98.571014000000005</v>
      </c>
      <c r="K69">
        <v>97.556511</v>
      </c>
      <c r="L69">
        <v>96.613395999999995</v>
      </c>
      <c r="M69">
        <v>95.691032000000007</v>
      </c>
      <c r="N69">
        <v>94.739861000000005</v>
      </c>
      <c r="O69">
        <v>93.777550000000005</v>
      </c>
      <c r="P69">
        <v>92.791618</v>
      </c>
      <c r="Q69">
        <v>91.866196000000002</v>
      </c>
      <c r="R69">
        <v>91.598052999999993</v>
      </c>
      <c r="S69">
        <v>91.112289000000004</v>
      </c>
      <c r="T69">
        <v>90.708870000000005</v>
      </c>
      <c r="U69">
        <v>90.372649999999993</v>
      </c>
      <c r="V69">
        <v>90.121039999999994</v>
      </c>
      <c r="W69">
        <v>89.542336000000006</v>
      </c>
      <c r="X69">
        <v>88.885452000000001</v>
      </c>
      <c r="Y69">
        <v>88.194603000000001</v>
      </c>
      <c r="Z69">
        <v>87.485648999999995</v>
      </c>
      <c r="AA69">
        <v>86.702445999999995</v>
      </c>
      <c r="AB69">
        <v>85.868294000000006</v>
      </c>
      <c r="AC69">
        <v>84.998230000000007</v>
      </c>
      <c r="AD69">
        <v>84.089134000000001</v>
      </c>
      <c r="AE69">
        <v>83.076744000000005</v>
      </c>
      <c r="AF69">
        <v>82.045021000000006</v>
      </c>
      <c r="AG69">
        <v>80.986785999999995</v>
      </c>
      <c r="AH69">
        <v>79.893326000000002</v>
      </c>
      <c r="AI69">
        <v>78.783607000000003</v>
      </c>
      <c r="AJ69" s="31">
        <v>-6.0000000000000001E-3</v>
      </c>
      <c r="AK69" s="31">
        <v>3.3000000000000002E-2</v>
      </c>
    </row>
    <row r="70" spans="1:37">
      <c r="A70" t="s">
        <v>113</v>
      </c>
      <c r="B70" t="s">
        <v>313</v>
      </c>
      <c r="C70" t="s">
        <v>1314</v>
      </c>
      <c r="D70" t="s">
        <v>1315</v>
      </c>
      <c r="E70" t="s">
        <v>354</v>
      </c>
      <c r="G70">
        <v>9.4941010000000006</v>
      </c>
      <c r="H70">
        <v>9.9847319999999993</v>
      </c>
      <c r="I70">
        <v>10.080206</v>
      </c>
      <c r="J70">
        <v>10.044081</v>
      </c>
      <c r="K70">
        <v>9.9641859999999998</v>
      </c>
      <c r="L70">
        <v>9.8772070000000003</v>
      </c>
      <c r="M70">
        <v>9.7906929999999992</v>
      </c>
      <c r="N70">
        <v>9.7035470000000004</v>
      </c>
      <c r="O70">
        <v>9.6156869999999994</v>
      </c>
      <c r="P70">
        <v>9.5264279999999992</v>
      </c>
      <c r="Q70">
        <v>9.4439309999999992</v>
      </c>
      <c r="R70">
        <v>9.3760180000000002</v>
      </c>
      <c r="S70">
        <v>9.3193699999999993</v>
      </c>
      <c r="T70">
        <v>9.2722660000000001</v>
      </c>
      <c r="U70">
        <v>9.2344460000000002</v>
      </c>
      <c r="V70">
        <v>9.2065929999999998</v>
      </c>
      <c r="W70">
        <v>9.1597399999999993</v>
      </c>
      <c r="X70">
        <v>9.1076730000000001</v>
      </c>
      <c r="Y70">
        <v>9.0532129999999995</v>
      </c>
      <c r="Z70">
        <v>8.9974880000000006</v>
      </c>
      <c r="AA70">
        <v>8.9384180000000004</v>
      </c>
      <c r="AB70">
        <v>8.8755819999999996</v>
      </c>
      <c r="AC70">
        <v>8.8098559999999999</v>
      </c>
      <c r="AD70">
        <v>8.7419480000000007</v>
      </c>
      <c r="AE70">
        <v>8.6711120000000008</v>
      </c>
      <c r="AF70">
        <v>8.599361</v>
      </c>
      <c r="AG70">
        <v>8.5273749999999993</v>
      </c>
      <c r="AH70">
        <v>8.4545519999999996</v>
      </c>
      <c r="AI70">
        <v>8.3815580000000001</v>
      </c>
      <c r="AJ70" s="31">
        <v>-4.0000000000000001E-3</v>
      </c>
      <c r="AK70" s="31">
        <v>3.3000000000000002E-2</v>
      </c>
    </row>
    <row r="71" spans="1:37">
      <c r="A71" t="s">
        <v>113</v>
      </c>
      <c r="B71" t="s">
        <v>305</v>
      </c>
      <c r="C71" t="s">
        <v>1316</v>
      </c>
      <c r="D71" t="s">
        <v>1317</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114</v>
      </c>
      <c r="B72" t="s">
        <v>306</v>
      </c>
      <c r="C72" t="s">
        <v>1318</v>
      </c>
      <c r="D72" t="s">
        <v>1319</v>
      </c>
      <c r="E72" t="s">
        <v>354</v>
      </c>
      <c r="G72">
        <v>75.219893999999996</v>
      </c>
      <c r="H72">
        <v>78.605819999999994</v>
      </c>
      <c r="I72">
        <v>78.857498000000007</v>
      </c>
      <c r="J72">
        <v>78.076453999999998</v>
      </c>
      <c r="K72">
        <v>76.964111000000003</v>
      </c>
      <c r="L72">
        <v>76.079750000000004</v>
      </c>
      <c r="M72">
        <v>75.233322000000001</v>
      </c>
      <c r="N72">
        <v>74.338866999999993</v>
      </c>
      <c r="O72">
        <v>73.430572999999995</v>
      </c>
      <c r="P72">
        <v>72.491912999999997</v>
      </c>
      <c r="Q72">
        <v>71.594031999999999</v>
      </c>
      <c r="R72">
        <v>71.837708000000006</v>
      </c>
      <c r="S72">
        <v>71.512496999999996</v>
      </c>
      <c r="T72">
        <v>71.239052000000001</v>
      </c>
      <c r="U72">
        <v>70.989593999999997</v>
      </c>
      <c r="V72">
        <v>70.790924000000004</v>
      </c>
      <c r="W72">
        <v>70.163764999999998</v>
      </c>
      <c r="X72">
        <v>69.442642000000006</v>
      </c>
      <c r="Y72">
        <v>68.681884999999994</v>
      </c>
      <c r="Z72">
        <v>67.900276000000005</v>
      </c>
      <c r="AA72">
        <v>67.010056000000006</v>
      </c>
      <c r="AB72">
        <v>66.063095000000004</v>
      </c>
      <c r="AC72">
        <v>65.078491</v>
      </c>
      <c r="AD72">
        <v>64.041968999999995</v>
      </c>
      <c r="AE72">
        <v>62.83419</v>
      </c>
      <c r="AF72">
        <v>61.602939999999997</v>
      </c>
      <c r="AG72">
        <v>60.321541000000003</v>
      </c>
      <c r="AH72">
        <v>58.979691000000003</v>
      </c>
      <c r="AI72">
        <v>57.607379999999999</v>
      </c>
      <c r="AJ72" s="31">
        <v>-8.9999999999999993E-3</v>
      </c>
      <c r="AK72" s="31">
        <v>3.3000000000000002E-2</v>
      </c>
    </row>
    <row r="73" spans="1:37">
      <c r="A73" t="s">
        <v>112</v>
      </c>
      <c r="B73" t="s">
        <v>307</v>
      </c>
      <c r="C73" t="s">
        <v>1320</v>
      </c>
      <c r="D73" t="s">
        <v>1321</v>
      </c>
      <c r="E73" t="s">
        <v>354</v>
      </c>
      <c r="G73">
        <v>0.92408599999999996</v>
      </c>
      <c r="H73">
        <v>1.0108280000000001</v>
      </c>
      <c r="I73">
        <v>1.0536110000000001</v>
      </c>
      <c r="J73">
        <v>1.083197</v>
      </c>
      <c r="K73">
        <v>1.1043369999999999</v>
      </c>
      <c r="L73">
        <v>1.1235299999999999</v>
      </c>
      <c r="M73">
        <v>1.1408499999999999</v>
      </c>
      <c r="N73">
        <v>1.1560729999999999</v>
      </c>
      <c r="O73">
        <v>1.171249</v>
      </c>
      <c r="P73">
        <v>1.185954</v>
      </c>
      <c r="Q73">
        <v>1.2014899999999999</v>
      </c>
      <c r="R73">
        <v>1.2187190000000001</v>
      </c>
      <c r="S73">
        <v>1.237236</v>
      </c>
      <c r="T73">
        <v>1.256583</v>
      </c>
      <c r="U73">
        <v>1.277304</v>
      </c>
      <c r="V73">
        <v>1.299385</v>
      </c>
      <c r="W73">
        <v>1.318905</v>
      </c>
      <c r="X73">
        <v>1.3373429999999999</v>
      </c>
      <c r="Y73">
        <v>1.355548</v>
      </c>
      <c r="Z73">
        <v>1.373292</v>
      </c>
      <c r="AA73">
        <v>1.390433</v>
      </c>
      <c r="AB73">
        <v>1.4067000000000001</v>
      </c>
      <c r="AC73">
        <v>1.4226700000000001</v>
      </c>
      <c r="AD73">
        <v>1.4381809999999999</v>
      </c>
      <c r="AE73">
        <v>1.4527399999999999</v>
      </c>
      <c r="AF73">
        <v>1.4629570000000001</v>
      </c>
      <c r="AG73">
        <v>1.4730529999999999</v>
      </c>
      <c r="AH73">
        <v>1.482996</v>
      </c>
      <c r="AI73">
        <v>1.4928939999999999</v>
      </c>
      <c r="AJ73" s="31">
        <v>1.7000000000000001E-2</v>
      </c>
      <c r="AK73" s="31">
        <v>0.05</v>
      </c>
    </row>
    <row r="74" spans="1:37">
      <c r="A74" t="s">
        <v>257</v>
      </c>
      <c r="B74" t="s">
        <v>308</v>
      </c>
      <c r="C74" t="s">
        <v>1322</v>
      </c>
      <c r="D74" t="s">
        <v>1323</v>
      </c>
      <c r="E74" t="s">
        <v>354</v>
      </c>
      <c r="G74">
        <v>7.6215450000000002</v>
      </c>
      <c r="H74">
        <v>8.0154069999999997</v>
      </c>
      <c r="I74">
        <v>8.0920509999999997</v>
      </c>
      <c r="J74">
        <v>8.0630500000000005</v>
      </c>
      <c r="K74">
        <v>7.9989129999999999</v>
      </c>
      <c r="L74">
        <v>7.9290890000000003</v>
      </c>
      <c r="M74">
        <v>7.8596399999999997</v>
      </c>
      <c r="N74">
        <v>7.7896799999999997</v>
      </c>
      <c r="O74">
        <v>7.71915</v>
      </c>
      <c r="P74">
        <v>7.6474950000000002</v>
      </c>
      <c r="Q74">
        <v>7.5812689999999998</v>
      </c>
      <c r="R74">
        <v>7.5267520000000001</v>
      </c>
      <c r="S74">
        <v>7.4812770000000004</v>
      </c>
      <c r="T74">
        <v>7.4434630000000004</v>
      </c>
      <c r="U74">
        <v>7.4131020000000003</v>
      </c>
      <c r="V74">
        <v>7.3907420000000004</v>
      </c>
      <c r="W74">
        <v>7.3531319999999996</v>
      </c>
      <c r="X74">
        <v>7.3113330000000003</v>
      </c>
      <c r="Y74">
        <v>7.2676160000000003</v>
      </c>
      <c r="Z74">
        <v>7.22288</v>
      </c>
      <c r="AA74">
        <v>7.1754610000000003</v>
      </c>
      <c r="AB74">
        <v>7.125019</v>
      </c>
      <c r="AC74">
        <v>7.0722560000000003</v>
      </c>
      <c r="AD74">
        <v>7.017741</v>
      </c>
      <c r="AE74">
        <v>6.960877</v>
      </c>
      <c r="AF74">
        <v>6.9032780000000002</v>
      </c>
      <c r="AG74">
        <v>6.8454899999999999</v>
      </c>
      <c r="AH74">
        <v>6.7870299999999997</v>
      </c>
      <c r="AI74">
        <v>6.7284329999999999</v>
      </c>
      <c r="AJ74" s="31">
        <v>-4.0000000000000001E-3</v>
      </c>
      <c r="AK74" s="31">
        <v>3.3000000000000002E-2</v>
      </c>
    </row>
    <row r="75" spans="1:37">
      <c r="A75" t="s">
        <v>111</v>
      </c>
      <c r="B75" t="s">
        <v>309</v>
      </c>
      <c r="C75" t="s">
        <v>1324</v>
      </c>
      <c r="D75" t="s">
        <v>1325</v>
      </c>
      <c r="E75" t="s">
        <v>354</v>
      </c>
      <c r="G75">
        <v>0.57226500000000002</v>
      </c>
      <c r="H75">
        <v>0.83341600000000005</v>
      </c>
      <c r="I75">
        <v>1.075178</v>
      </c>
      <c r="J75">
        <v>1.30423</v>
      </c>
      <c r="K75">
        <v>1.524958</v>
      </c>
      <c r="L75">
        <v>1.603828</v>
      </c>
      <c r="M75">
        <v>1.6665300000000001</v>
      </c>
      <c r="N75">
        <v>1.7516910000000001</v>
      </c>
      <c r="O75">
        <v>1.8409</v>
      </c>
      <c r="P75">
        <v>1.9398230000000001</v>
      </c>
      <c r="Q75">
        <v>2.045474</v>
      </c>
      <c r="R75">
        <v>1.638865</v>
      </c>
      <c r="S75">
        <v>1.561909</v>
      </c>
      <c r="T75">
        <v>1.4974970000000001</v>
      </c>
      <c r="U75">
        <v>1.458207</v>
      </c>
      <c r="V75">
        <v>1.4334020000000001</v>
      </c>
      <c r="W75">
        <v>1.546791</v>
      </c>
      <c r="X75">
        <v>1.686464</v>
      </c>
      <c r="Y75">
        <v>1.8363419999999999</v>
      </c>
      <c r="Z75">
        <v>1.9917119999999999</v>
      </c>
      <c r="AA75">
        <v>2.1880760000000001</v>
      </c>
      <c r="AB75">
        <v>2.3979050000000002</v>
      </c>
      <c r="AC75">
        <v>2.6149490000000002</v>
      </c>
      <c r="AD75">
        <v>2.8492980000000001</v>
      </c>
      <c r="AE75">
        <v>3.1578240000000002</v>
      </c>
      <c r="AF75">
        <v>3.4764889999999999</v>
      </c>
      <c r="AG75">
        <v>3.8193260000000002</v>
      </c>
      <c r="AH75">
        <v>4.1890539999999996</v>
      </c>
      <c r="AI75">
        <v>4.5733420000000002</v>
      </c>
      <c r="AJ75" s="31">
        <v>7.6999999999999999E-2</v>
      </c>
      <c r="AK75" t="s">
        <v>117</v>
      </c>
    </row>
    <row r="76" spans="1:37">
      <c r="A76" t="s">
        <v>258</v>
      </c>
      <c r="B76" t="s">
        <v>310</v>
      </c>
      <c r="C76" t="s">
        <v>1326</v>
      </c>
      <c r="D76" t="s">
        <v>1327</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s="181" customFormat="1">
      <c r="B77" s="181" t="s">
        <v>280</v>
      </c>
      <c r="C77" s="181" t="s">
        <v>1328</v>
      </c>
      <c r="D77" s="181" t="s">
        <v>1329</v>
      </c>
      <c r="E77" s="181" t="s">
        <v>354</v>
      </c>
      <c r="G77" s="181">
        <v>43.913421999999997</v>
      </c>
      <c r="H77" s="181">
        <v>45.563988000000002</v>
      </c>
      <c r="I77" s="181">
        <v>46.540951</v>
      </c>
      <c r="J77" s="181">
        <v>47.205399</v>
      </c>
      <c r="K77" s="181">
        <v>47.900013000000001</v>
      </c>
      <c r="L77" s="181">
        <v>48.570526000000001</v>
      </c>
      <c r="M77" s="181">
        <v>49.132919000000001</v>
      </c>
      <c r="N77" s="181">
        <v>49.707282999999997</v>
      </c>
      <c r="O77" s="181">
        <v>50.150032000000003</v>
      </c>
      <c r="P77" s="181">
        <v>50.598678999999997</v>
      </c>
      <c r="Q77" s="181">
        <v>51.139499999999998</v>
      </c>
      <c r="R77" s="181">
        <v>51.726661999999997</v>
      </c>
      <c r="S77" s="181">
        <v>52.369225</v>
      </c>
      <c r="T77" s="181">
        <v>52.923794000000001</v>
      </c>
      <c r="U77" s="181">
        <v>53.456974000000002</v>
      </c>
      <c r="V77" s="181">
        <v>53.972693999999997</v>
      </c>
      <c r="W77" s="181">
        <v>54.509743</v>
      </c>
      <c r="X77" s="181">
        <v>55.033695000000002</v>
      </c>
      <c r="Y77" s="181">
        <v>55.626582999999997</v>
      </c>
      <c r="Z77" s="181">
        <v>56.181145000000001</v>
      </c>
      <c r="AA77" s="181">
        <v>56.753779999999999</v>
      </c>
      <c r="AB77" s="181">
        <v>57.257598999999999</v>
      </c>
      <c r="AC77" s="181">
        <v>57.815627999999997</v>
      </c>
      <c r="AD77" s="181">
        <v>58.366591999999997</v>
      </c>
      <c r="AE77" s="181">
        <v>59.116034999999997</v>
      </c>
      <c r="AF77" s="181">
        <v>59.751427</v>
      </c>
      <c r="AG77" s="181">
        <v>60.444682999999998</v>
      </c>
      <c r="AH77" s="181">
        <v>61.080703999999997</v>
      </c>
      <c r="AI77" s="181">
        <v>61.848125000000003</v>
      </c>
      <c r="AJ77" s="189">
        <v>1.2E-2</v>
      </c>
      <c r="AK77" s="189">
        <v>2.7E-2</v>
      </c>
    </row>
    <row r="78" spans="1:37" s="181" customFormat="1">
      <c r="B78" s="181" t="s">
        <v>326</v>
      </c>
      <c r="C78" s="181" t="s">
        <v>1330</v>
      </c>
      <c r="D78" s="181" t="s">
        <v>1331</v>
      </c>
      <c r="E78" s="181" t="s">
        <v>354</v>
      </c>
      <c r="G78" s="181">
        <v>7.5946369999999996</v>
      </c>
      <c r="H78" s="181">
        <v>8.2708110000000001</v>
      </c>
      <c r="I78" s="181">
        <v>8.8117520000000003</v>
      </c>
      <c r="J78" s="181">
        <v>9.2425239999999995</v>
      </c>
      <c r="K78" s="181">
        <v>9.5890699999999995</v>
      </c>
      <c r="L78" s="181">
        <v>9.8712160000000004</v>
      </c>
      <c r="M78" s="181">
        <v>10.105147000000001</v>
      </c>
      <c r="N78" s="181">
        <v>10.303372</v>
      </c>
      <c r="O78" s="181">
        <v>10.475068</v>
      </c>
      <c r="P78" s="181">
        <v>10.626023999999999</v>
      </c>
      <c r="Q78" s="181">
        <v>10.758953999999999</v>
      </c>
      <c r="R78" s="181">
        <v>10.875567999999999</v>
      </c>
      <c r="S78" s="181">
        <v>10.979032999999999</v>
      </c>
      <c r="T78" s="181">
        <v>11.071654000000001</v>
      </c>
      <c r="U78" s="181">
        <v>11.154877000000001</v>
      </c>
      <c r="V78" s="181">
        <v>11.229654999999999</v>
      </c>
      <c r="W78" s="181">
        <v>11.304667</v>
      </c>
      <c r="X78" s="181">
        <v>11.377219</v>
      </c>
      <c r="Y78" s="181">
        <v>11.447278000000001</v>
      </c>
      <c r="Z78" s="181">
        <v>11.515231999999999</v>
      </c>
      <c r="AA78" s="181">
        <v>11.582255999999999</v>
      </c>
      <c r="AB78" s="181">
        <v>11.648866999999999</v>
      </c>
      <c r="AC78" s="181">
        <v>11.715138</v>
      </c>
      <c r="AD78" s="181">
        <v>11.781057000000001</v>
      </c>
      <c r="AE78" s="181">
        <v>11.847011999999999</v>
      </c>
      <c r="AF78" s="181">
        <v>11.912785</v>
      </c>
      <c r="AG78" s="181">
        <v>11.978335</v>
      </c>
      <c r="AH78" s="181">
        <v>12.043905000000001</v>
      </c>
      <c r="AI78" s="181">
        <v>12.109465</v>
      </c>
      <c r="AJ78" s="189">
        <v>1.7000000000000001E-2</v>
      </c>
      <c r="AK78" s="189">
        <v>0.03</v>
      </c>
    </row>
    <row r="79" spans="1:37" s="181" customFormat="1">
      <c r="B79" s="181" t="s">
        <v>309</v>
      </c>
      <c r="C79" s="181" t="s">
        <v>1332</v>
      </c>
      <c r="D79" s="181" t="s">
        <v>1333</v>
      </c>
      <c r="E79" s="181" t="s">
        <v>354</v>
      </c>
      <c r="G79" s="181">
        <v>0.923149</v>
      </c>
      <c r="H79" s="181">
        <v>1.0053399999999999</v>
      </c>
      <c r="I79" s="181">
        <v>1.0710919999999999</v>
      </c>
      <c r="J79" s="181">
        <v>1.123454</v>
      </c>
      <c r="K79" s="181">
        <v>1.165578</v>
      </c>
      <c r="L79" s="181">
        <v>1.199873</v>
      </c>
      <c r="M79" s="181">
        <v>1.228308</v>
      </c>
      <c r="N79" s="181">
        <v>1.2524029999999999</v>
      </c>
      <c r="O79" s="181">
        <v>1.2732730000000001</v>
      </c>
      <c r="P79" s="181">
        <v>1.291622</v>
      </c>
      <c r="Q79" s="181">
        <v>1.3077799999999999</v>
      </c>
      <c r="R79" s="181">
        <v>1.321955</v>
      </c>
      <c r="S79" s="181">
        <v>1.3345309999999999</v>
      </c>
      <c r="T79" s="181">
        <v>1.34579</v>
      </c>
      <c r="U79" s="181">
        <v>1.3559060000000001</v>
      </c>
      <c r="V79" s="181">
        <v>1.364995</v>
      </c>
      <c r="W79" s="181">
        <v>1.3741129999999999</v>
      </c>
      <c r="X79" s="181">
        <v>1.3829320000000001</v>
      </c>
      <c r="Y79" s="181">
        <v>1.391448</v>
      </c>
      <c r="Z79" s="181">
        <v>1.399708</v>
      </c>
      <c r="AA79" s="181">
        <v>1.4078550000000001</v>
      </c>
      <c r="AB79" s="181">
        <v>1.4159520000000001</v>
      </c>
      <c r="AC79" s="181">
        <v>1.4240060000000001</v>
      </c>
      <c r="AD79" s="181">
        <v>1.4320189999999999</v>
      </c>
      <c r="AE79" s="181">
        <v>1.440037</v>
      </c>
      <c r="AF79" s="181">
        <v>1.4480310000000001</v>
      </c>
      <c r="AG79" s="181">
        <v>1.455999</v>
      </c>
      <c r="AH79" s="181">
        <v>1.4639690000000001</v>
      </c>
      <c r="AI79" s="181">
        <v>1.471938</v>
      </c>
      <c r="AJ79" s="189">
        <v>1.7000000000000001E-2</v>
      </c>
      <c r="AK79" s="189">
        <v>0.03</v>
      </c>
    </row>
    <row r="80" spans="1:37" s="181" customFormat="1">
      <c r="B80" s="181" t="s">
        <v>327</v>
      </c>
      <c r="C80" s="181" t="s">
        <v>1334</v>
      </c>
      <c r="D80" s="181" t="s">
        <v>1335</v>
      </c>
      <c r="E80" s="181" t="s">
        <v>354</v>
      </c>
      <c r="G80" s="181">
        <v>6.6714880000000001</v>
      </c>
      <c r="H80" s="181">
        <v>7.2654709999999998</v>
      </c>
      <c r="I80" s="181">
        <v>7.7406600000000001</v>
      </c>
      <c r="J80" s="181">
        <v>8.1190700000000007</v>
      </c>
      <c r="K80" s="181">
        <v>8.4234919999999995</v>
      </c>
      <c r="L80" s="181">
        <v>8.6713430000000002</v>
      </c>
      <c r="M80" s="181">
        <v>8.8768399999999996</v>
      </c>
      <c r="N80" s="181">
        <v>9.0509690000000003</v>
      </c>
      <c r="O80" s="181">
        <v>9.2017959999999999</v>
      </c>
      <c r="P80" s="181">
        <v>9.3344020000000008</v>
      </c>
      <c r="Q80" s="181">
        <v>9.451174</v>
      </c>
      <c r="R80" s="181">
        <v>9.5536139999999996</v>
      </c>
      <c r="S80" s="181">
        <v>9.6445030000000003</v>
      </c>
      <c r="T80" s="181">
        <v>9.7258639999999996</v>
      </c>
      <c r="U80" s="181">
        <v>9.7989709999999999</v>
      </c>
      <c r="V80" s="181">
        <v>9.8646600000000007</v>
      </c>
      <c r="W80" s="181">
        <v>9.9305540000000008</v>
      </c>
      <c r="X80" s="181">
        <v>9.9942869999999999</v>
      </c>
      <c r="Y80" s="181">
        <v>10.05583</v>
      </c>
      <c r="Z80" s="181">
        <v>10.115524000000001</v>
      </c>
      <c r="AA80" s="181">
        <v>10.174401</v>
      </c>
      <c r="AB80" s="181">
        <v>10.232915</v>
      </c>
      <c r="AC80" s="181">
        <v>10.291131999999999</v>
      </c>
      <c r="AD80" s="181">
        <v>10.349038</v>
      </c>
      <c r="AE80" s="181">
        <v>10.406974999999999</v>
      </c>
      <c r="AF80" s="181">
        <v>10.464753</v>
      </c>
      <c r="AG80" s="181">
        <v>10.522335999999999</v>
      </c>
      <c r="AH80" s="181">
        <v>10.579936</v>
      </c>
      <c r="AI80" s="181">
        <v>10.637527</v>
      </c>
      <c r="AJ80" s="189">
        <v>1.7000000000000001E-2</v>
      </c>
      <c r="AK80" s="189">
        <v>0.03</v>
      </c>
    </row>
    <row r="81" spans="1:37" s="181" customFormat="1">
      <c r="B81" s="181" t="s">
        <v>316</v>
      </c>
      <c r="C81" s="181" t="s">
        <v>1336</v>
      </c>
      <c r="D81" s="181" t="s">
        <v>1337</v>
      </c>
      <c r="E81" s="181" t="s">
        <v>354</v>
      </c>
      <c r="G81" s="181">
        <v>0</v>
      </c>
      <c r="H81" s="181">
        <v>0</v>
      </c>
      <c r="I81" s="181">
        <v>0</v>
      </c>
      <c r="J81" s="181">
        <v>0</v>
      </c>
      <c r="K81" s="181">
        <v>0</v>
      </c>
      <c r="L81" s="181">
        <v>0</v>
      </c>
      <c r="M81" s="181">
        <v>0</v>
      </c>
      <c r="N81" s="181">
        <v>0</v>
      </c>
      <c r="O81" s="181">
        <v>0</v>
      </c>
      <c r="P81" s="181">
        <v>0</v>
      </c>
      <c r="Q81" s="181">
        <v>0</v>
      </c>
      <c r="R81" s="181">
        <v>0</v>
      </c>
      <c r="S81" s="181">
        <v>0</v>
      </c>
      <c r="T81" s="181">
        <v>0</v>
      </c>
      <c r="U81" s="181">
        <v>0</v>
      </c>
      <c r="V81" s="181">
        <v>0</v>
      </c>
      <c r="W81" s="181">
        <v>0</v>
      </c>
      <c r="X81" s="181">
        <v>0</v>
      </c>
      <c r="Y81" s="181">
        <v>0</v>
      </c>
      <c r="Z81" s="181">
        <v>0</v>
      </c>
      <c r="AA81" s="181">
        <v>0</v>
      </c>
      <c r="AB81" s="181">
        <v>0</v>
      </c>
      <c r="AC81" s="181">
        <v>0</v>
      </c>
      <c r="AD81" s="181">
        <v>0</v>
      </c>
      <c r="AE81" s="181">
        <v>0</v>
      </c>
      <c r="AF81" s="181">
        <v>0</v>
      </c>
      <c r="AG81" s="181">
        <v>0</v>
      </c>
      <c r="AH81" s="181">
        <v>0</v>
      </c>
      <c r="AI81" s="181">
        <v>0</v>
      </c>
      <c r="AJ81" s="181" t="s">
        <v>117</v>
      </c>
      <c r="AK81" s="181" t="s">
        <v>117</v>
      </c>
    </row>
    <row r="82" spans="1:37" s="181" customFormat="1">
      <c r="B82" s="181" t="s">
        <v>317</v>
      </c>
      <c r="C82" s="181" t="s">
        <v>1338</v>
      </c>
      <c r="D82" s="181" t="s">
        <v>1339</v>
      </c>
      <c r="E82" s="181" t="s">
        <v>354</v>
      </c>
      <c r="G82" s="181">
        <v>0</v>
      </c>
      <c r="H82" s="181">
        <v>0</v>
      </c>
      <c r="I82" s="181">
        <v>0</v>
      </c>
      <c r="J82" s="181">
        <v>0</v>
      </c>
      <c r="K82" s="181">
        <v>0</v>
      </c>
      <c r="L82" s="181">
        <v>0</v>
      </c>
      <c r="M82" s="181">
        <v>0</v>
      </c>
      <c r="N82" s="181">
        <v>0</v>
      </c>
      <c r="O82" s="181">
        <v>0</v>
      </c>
      <c r="P82" s="181">
        <v>0</v>
      </c>
      <c r="Q82" s="181">
        <v>0</v>
      </c>
      <c r="R82" s="181">
        <v>0</v>
      </c>
      <c r="S82" s="181">
        <v>0</v>
      </c>
      <c r="T82" s="181">
        <v>0</v>
      </c>
      <c r="U82" s="181">
        <v>0</v>
      </c>
      <c r="V82" s="181">
        <v>0</v>
      </c>
      <c r="W82" s="181">
        <v>0</v>
      </c>
      <c r="X82" s="181">
        <v>0</v>
      </c>
      <c r="Y82" s="181">
        <v>0</v>
      </c>
      <c r="Z82" s="181">
        <v>0</v>
      </c>
      <c r="AA82" s="181">
        <v>0</v>
      </c>
      <c r="AB82" s="181">
        <v>0</v>
      </c>
      <c r="AC82" s="181">
        <v>0</v>
      </c>
      <c r="AD82" s="181">
        <v>0</v>
      </c>
      <c r="AE82" s="181">
        <v>0</v>
      </c>
      <c r="AF82" s="181">
        <v>0</v>
      </c>
      <c r="AG82" s="181">
        <v>0</v>
      </c>
      <c r="AH82" s="181">
        <v>0</v>
      </c>
      <c r="AI82" s="181">
        <v>0</v>
      </c>
      <c r="AJ82" s="181" t="s">
        <v>117</v>
      </c>
      <c r="AK82" s="181" t="s">
        <v>117</v>
      </c>
    </row>
    <row r="83" spans="1:37" s="181" customFormat="1">
      <c r="B83" s="181" t="s">
        <v>328</v>
      </c>
      <c r="C83" s="181" t="s">
        <v>1340</v>
      </c>
      <c r="D83" s="181" t="s">
        <v>1341</v>
      </c>
      <c r="E83" s="181" t="s">
        <v>354</v>
      </c>
      <c r="G83" s="181">
        <v>17.032639</v>
      </c>
      <c r="H83" s="181">
        <v>17.333525000000002</v>
      </c>
      <c r="I83" s="181">
        <v>17.471111000000001</v>
      </c>
      <c r="J83" s="181">
        <v>17.514868</v>
      </c>
      <c r="K83" s="181">
        <v>17.667708999999999</v>
      </c>
      <c r="L83" s="181">
        <v>17.921016999999999</v>
      </c>
      <c r="M83" s="181">
        <v>18.139037999999999</v>
      </c>
      <c r="N83" s="181">
        <v>18.293453</v>
      </c>
      <c r="O83" s="181">
        <v>18.389309000000001</v>
      </c>
      <c r="P83" s="181">
        <v>18.446940999999999</v>
      </c>
      <c r="Q83" s="181">
        <v>18.571213</v>
      </c>
      <c r="R83" s="181">
        <v>18.730657999999998</v>
      </c>
      <c r="S83" s="181">
        <v>18.930088000000001</v>
      </c>
      <c r="T83" s="181">
        <v>19.092124999999999</v>
      </c>
      <c r="U83" s="181">
        <v>19.259436000000001</v>
      </c>
      <c r="V83" s="181">
        <v>19.415512</v>
      </c>
      <c r="W83" s="181">
        <v>19.584526</v>
      </c>
      <c r="X83" s="181">
        <v>19.751868999999999</v>
      </c>
      <c r="Y83" s="181">
        <v>19.950641999999998</v>
      </c>
      <c r="Z83" s="181">
        <v>20.133372999999999</v>
      </c>
      <c r="AA83" s="181">
        <v>20.325230000000001</v>
      </c>
      <c r="AB83" s="181">
        <v>20.481424000000001</v>
      </c>
      <c r="AC83" s="181">
        <v>20.667052999999999</v>
      </c>
      <c r="AD83" s="181">
        <v>20.844881000000001</v>
      </c>
      <c r="AE83" s="181">
        <v>21.123301999999999</v>
      </c>
      <c r="AF83" s="181">
        <v>21.333514999999998</v>
      </c>
      <c r="AG83" s="181">
        <v>21.575635999999999</v>
      </c>
      <c r="AH83" s="181">
        <v>21.790666999999999</v>
      </c>
      <c r="AI83" s="181">
        <v>22.070596999999999</v>
      </c>
      <c r="AJ83" s="189">
        <v>8.9999999999999993E-3</v>
      </c>
      <c r="AK83" s="189">
        <v>2.5999999999999999E-2</v>
      </c>
    </row>
    <row r="84" spans="1:37" s="181" customFormat="1">
      <c r="B84" s="181" t="s">
        <v>309</v>
      </c>
      <c r="C84" s="181" t="s">
        <v>1342</v>
      </c>
      <c r="D84" s="181" t="s">
        <v>1343</v>
      </c>
      <c r="E84" s="181" t="s">
        <v>354</v>
      </c>
      <c r="G84" s="181">
        <v>17.032639</v>
      </c>
      <c r="H84" s="181">
        <v>17.333525000000002</v>
      </c>
      <c r="I84" s="181">
        <v>17.471111000000001</v>
      </c>
      <c r="J84" s="181">
        <v>17.514868</v>
      </c>
      <c r="K84" s="181">
        <v>17.667708999999999</v>
      </c>
      <c r="L84" s="181">
        <v>17.921016999999999</v>
      </c>
      <c r="M84" s="181">
        <v>18.139037999999999</v>
      </c>
      <c r="N84" s="181">
        <v>18.293453</v>
      </c>
      <c r="O84" s="181">
        <v>18.389309000000001</v>
      </c>
      <c r="P84" s="181">
        <v>18.446940999999999</v>
      </c>
      <c r="Q84" s="181">
        <v>18.571213</v>
      </c>
      <c r="R84" s="181">
        <v>18.730657999999998</v>
      </c>
      <c r="S84" s="181">
        <v>18.930088000000001</v>
      </c>
      <c r="T84" s="181">
        <v>19.092124999999999</v>
      </c>
      <c r="U84" s="181">
        <v>19.259436000000001</v>
      </c>
      <c r="V84" s="181">
        <v>19.415512</v>
      </c>
      <c r="W84" s="181">
        <v>19.584526</v>
      </c>
      <c r="X84" s="181">
        <v>19.751868999999999</v>
      </c>
      <c r="Y84" s="181">
        <v>19.950641999999998</v>
      </c>
      <c r="Z84" s="181">
        <v>20.133372999999999</v>
      </c>
      <c r="AA84" s="181">
        <v>20.325230000000001</v>
      </c>
      <c r="AB84" s="181">
        <v>20.481424000000001</v>
      </c>
      <c r="AC84" s="181">
        <v>20.667052999999999</v>
      </c>
      <c r="AD84" s="181">
        <v>20.844881000000001</v>
      </c>
      <c r="AE84" s="181">
        <v>21.123301999999999</v>
      </c>
      <c r="AF84" s="181">
        <v>21.333514999999998</v>
      </c>
      <c r="AG84" s="181">
        <v>21.575635999999999</v>
      </c>
      <c r="AH84" s="181">
        <v>21.790666999999999</v>
      </c>
      <c r="AI84" s="181">
        <v>22.070596999999999</v>
      </c>
      <c r="AJ84" s="189">
        <v>8.9999999999999993E-3</v>
      </c>
      <c r="AK84" s="189">
        <v>2.5999999999999999E-2</v>
      </c>
    </row>
    <row r="85" spans="1:37" s="181" customFormat="1">
      <c r="B85" s="181" t="s">
        <v>329</v>
      </c>
      <c r="C85" s="181" t="s">
        <v>1344</v>
      </c>
      <c r="D85" s="181" t="s">
        <v>1345</v>
      </c>
      <c r="E85" s="181" t="s">
        <v>354</v>
      </c>
      <c r="G85" s="181">
        <v>19.286148000000001</v>
      </c>
      <c r="H85" s="181">
        <v>19.959654</v>
      </c>
      <c r="I85" s="181">
        <v>20.258087</v>
      </c>
      <c r="J85" s="181">
        <v>20.448008000000002</v>
      </c>
      <c r="K85" s="181">
        <v>20.643234</v>
      </c>
      <c r="L85" s="181">
        <v>20.778293999999999</v>
      </c>
      <c r="M85" s="181">
        <v>20.888736999999999</v>
      </c>
      <c r="N85" s="181">
        <v>21.11046</v>
      </c>
      <c r="O85" s="181">
        <v>21.285655999999999</v>
      </c>
      <c r="P85" s="181">
        <v>21.525711000000001</v>
      </c>
      <c r="Q85" s="181">
        <v>21.809334</v>
      </c>
      <c r="R85" s="181">
        <v>22.120438</v>
      </c>
      <c r="S85" s="181">
        <v>22.460100000000001</v>
      </c>
      <c r="T85" s="181">
        <v>22.760014000000002</v>
      </c>
      <c r="U85" s="181">
        <v>23.042663999999998</v>
      </c>
      <c r="V85" s="181">
        <v>23.327525999999999</v>
      </c>
      <c r="W85" s="181">
        <v>23.620547999999999</v>
      </c>
      <c r="X85" s="181">
        <v>23.904606000000001</v>
      </c>
      <c r="Y85" s="181">
        <v>24.228663999999998</v>
      </c>
      <c r="Z85" s="181">
        <v>24.532539</v>
      </c>
      <c r="AA85" s="181">
        <v>24.846294</v>
      </c>
      <c r="AB85" s="181">
        <v>25.127307999999999</v>
      </c>
      <c r="AC85" s="181">
        <v>25.433437000000001</v>
      </c>
      <c r="AD85" s="181">
        <v>25.740656000000001</v>
      </c>
      <c r="AE85" s="181">
        <v>26.145723</v>
      </c>
      <c r="AF85" s="181">
        <v>26.505127000000002</v>
      </c>
      <c r="AG85" s="181">
        <v>26.890711</v>
      </c>
      <c r="AH85" s="181">
        <v>27.246131999999999</v>
      </c>
      <c r="AI85" s="181">
        <v>27.668061999999999</v>
      </c>
      <c r="AJ85" s="189">
        <v>1.2999999999999999E-2</v>
      </c>
      <c r="AK85" s="189">
        <v>2.5000000000000001E-2</v>
      </c>
    </row>
    <row r="86" spans="1:37" s="181" customFormat="1">
      <c r="B86" s="181" t="s">
        <v>309</v>
      </c>
      <c r="C86" s="181" t="s">
        <v>1346</v>
      </c>
      <c r="D86" s="181" t="s">
        <v>1347</v>
      </c>
      <c r="E86" s="181" t="s">
        <v>354</v>
      </c>
      <c r="G86" s="181">
        <v>6.9668039999999998</v>
      </c>
      <c r="H86" s="181">
        <v>7.2055709999999999</v>
      </c>
      <c r="I86" s="181">
        <v>7.3069870000000003</v>
      </c>
      <c r="J86" s="181">
        <v>7.3605080000000003</v>
      </c>
      <c r="K86" s="181">
        <v>7.3962209999999997</v>
      </c>
      <c r="L86" s="181">
        <v>7.4034529999999998</v>
      </c>
      <c r="M86" s="181">
        <v>7.4034849999999999</v>
      </c>
      <c r="N86" s="181">
        <v>7.4601230000000003</v>
      </c>
      <c r="O86" s="181">
        <v>7.5075329999999996</v>
      </c>
      <c r="P86" s="181">
        <v>7.6063049999999999</v>
      </c>
      <c r="Q86" s="181">
        <v>7.7227600000000001</v>
      </c>
      <c r="R86" s="181">
        <v>7.8505010000000004</v>
      </c>
      <c r="S86" s="181">
        <v>7.987139</v>
      </c>
      <c r="T86" s="181">
        <v>8.1068239999999996</v>
      </c>
      <c r="U86" s="181">
        <v>8.2209280000000007</v>
      </c>
      <c r="V86" s="181">
        <v>8.3371739999999992</v>
      </c>
      <c r="W86" s="181">
        <v>8.4559110000000004</v>
      </c>
      <c r="X86" s="181">
        <v>8.5701509999999992</v>
      </c>
      <c r="Y86" s="181">
        <v>8.700564</v>
      </c>
      <c r="Z86" s="181">
        <v>8.8238339999999997</v>
      </c>
      <c r="AA86" s="181">
        <v>8.9493679999999998</v>
      </c>
      <c r="AB86" s="181">
        <v>9.0625599999999995</v>
      </c>
      <c r="AC86" s="181">
        <v>9.1843959999999996</v>
      </c>
      <c r="AD86" s="181">
        <v>9.3055529999999997</v>
      </c>
      <c r="AE86" s="181">
        <v>9.4632129999999997</v>
      </c>
      <c r="AF86" s="181">
        <v>9.6034579999999998</v>
      </c>
      <c r="AG86" s="181">
        <v>9.7528290000000002</v>
      </c>
      <c r="AH86" s="181">
        <v>9.890326</v>
      </c>
      <c r="AI86" s="181">
        <v>10.053587</v>
      </c>
      <c r="AJ86" s="189">
        <v>1.2999999999999999E-2</v>
      </c>
      <c r="AK86" s="189">
        <v>2.5000000000000001E-2</v>
      </c>
    </row>
    <row r="87" spans="1:37" s="181" customFormat="1">
      <c r="B87" s="181" t="s">
        <v>327</v>
      </c>
      <c r="C87" s="181" t="s">
        <v>1348</v>
      </c>
      <c r="D87" s="181" t="s">
        <v>1349</v>
      </c>
      <c r="E87" s="181" t="s">
        <v>354</v>
      </c>
      <c r="G87" s="181">
        <v>12.319345</v>
      </c>
      <c r="H87" s="181">
        <v>12.754084000000001</v>
      </c>
      <c r="I87" s="181">
        <v>12.951098999999999</v>
      </c>
      <c r="J87" s="181">
        <v>13.0875</v>
      </c>
      <c r="K87" s="181">
        <v>13.247013000000001</v>
      </c>
      <c r="L87" s="181">
        <v>13.374840000000001</v>
      </c>
      <c r="M87" s="181">
        <v>13.485250000000001</v>
      </c>
      <c r="N87" s="181">
        <v>13.650337</v>
      </c>
      <c r="O87" s="181">
        <v>13.778123000000001</v>
      </c>
      <c r="P87" s="181">
        <v>13.919407</v>
      </c>
      <c r="Q87" s="181">
        <v>14.086574000000001</v>
      </c>
      <c r="R87" s="181">
        <v>14.269936</v>
      </c>
      <c r="S87" s="181">
        <v>14.47296</v>
      </c>
      <c r="T87" s="181">
        <v>14.65319</v>
      </c>
      <c r="U87" s="181">
        <v>14.821736</v>
      </c>
      <c r="V87" s="181">
        <v>14.990353000000001</v>
      </c>
      <c r="W87" s="181">
        <v>15.164637000000001</v>
      </c>
      <c r="X87" s="181">
        <v>15.334455</v>
      </c>
      <c r="Y87" s="181">
        <v>15.528098999999999</v>
      </c>
      <c r="Z87" s="181">
        <v>15.708705999999999</v>
      </c>
      <c r="AA87" s="181">
        <v>15.896927</v>
      </c>
      <c r="AB87" s="181">
        <v>16.064747000000001</v>
      </c>
      <c r="AC87" s="181">
        <v>16.249043</v>
      </c>
      <c r="AD87" s="181">
        <v>16.435102000000001</v>
      </c>
      <c r="AE87" s="181">
        <v>16.682510000000001</v>
      </c>
      <c r="AF87" s="181">
        <v>16.901668999999998</v>
      </c>
      <c r="AG87" s="181">
        <v>17.137882000000001</v>
      </c>
      <c r="AH87" s="181">
        <v>17.355803999999999</v>
      </c>
      <c r="AI87" s="181">
        <v>17.614474999999999</v>
      </c>
      <c r="AJ87" s="189">
        <v>1.2999999999999999E-2</v>
      </c>
      <c r="AK87" s="189">
        <v>2.5999999999999999E-2</v>
      </c>
    </row>
    <row r="88" spans="1:37" s="181" customFormat="1">
      <c r="B88" s="181" t="s">
        <v>316</v>
      </c>
      <c r="C88" s="181" t="s">
        <v>1350</v>
      </c>
      <c r="D88" s="181" t="s">
        <v>1351</v>
      </c>
      <c r="E88" s="181" t="s">
        <v>354</v>
      </c>
      <c r="G88" s="181">
        <v>0</v>
      </c>
      <c r="H88" s="181">
        <v>0</v>
      </c>
      <c r="I88" s="181">
        <v>0</v>
      </c>
      <c r="J88" s="181">
        <v>0</v>
      </c>
      <c r="K88" s="181">
        <v>0</v>
      </c>
      <c r="L88" s="181">
        <v>0</v>
      </c>
      <c r="M88" s="181">
        <v>0</v>
      </c>
      <c r="N88" s="181">
        <v>0</v>
      </c>
      <c r="O88" s="181">
        <v>0</v>
      </c>
      <c r="P88" s="181">
        <v>0</v>
      </c>
      <c r="Q88" s="181">
        <v>0</v>
      </c>
      <c r="R88" s="181">
        <v>0</v>
      </c>
      <c r="S88" s="181">
        <v>0</v>
      </c>
      <c r="T88" s="181">
        <v>0</v>
      </c>
      <c r="U88" s="181">
        <v>0</v>
      </c>
      <c r="V88" s="181">
        <v>0</v>
      </c>
      <c r="W88" s="181">
        <v>0</v>
      </c>
      <c r="X88" s="181">
        <v>0</v>
      </c>
      <c r="Y88" s="181">
        <v>0</v>
      </c>
      <c r="Z88" s="181">
        <v>0</v>
      </c>
      <c r="AA88" s="181">
        <v>0</v>
      </c>
      <c r="AB88" s="181">
        <v>0</v>
      </c>
      <c r="AC88" s="181">
        <v>0</v>
      </c>
      <c r="AD88" s="181">
        <v>0</v>
      </c>
      <c r="AE88" s="181">
        <v>0</v>
      </c>
      <c r="AF88" s="181">
        <v>0</v>
      </c>
      <c r="AG88" s="181">
        <v>0</v>
      </c>
      <c r="AH88" s="181">
        <v>0</v>
      </c>
      <c r="AI88" s="181">
        <v>0</v>
      </c>
      <c r="AJ88" s="181" t="s">
        <v>117</v>
      </c>
      <c r="AK88" s="181" t="s">
        <v>117</v>
      </c>
    </row>
    <row r="89" spans="1:37" s="181" customFormat="1">
      <c r="B89" s="181" t="s">
        <v>317</v>
      </c>
      <c r="C89" s="181" t="s">
        <v>1352</v>
      </c>
      <c r="D89" s="181" t="s">
        <v>1353</v>
      </c>
      <c r="E89" s="181" t="s">
        <v>354</v>
      </c>
      <c r="G89" s="181">
        <v>0</v>
      </c>
      <c r="H89" s="181">
        <v>0</v>
      </c>
      <c r="I89" s="181">
        <v>0</v>
      </c>
      <c r="J89" s="181">
        <v>0</v>
      </c>
      <c r="K89" s="181">
        <v>0</v>
      </c>
      <c r="L89" s="181">
        <v>0</v>
      </c>
      <c r="M89" s="181">
        <v>0</v>
      </c>
      <c r="N89" s="181">
        <v>0</v>
      </c>
      <c r="O89" s="181">
        <v>0</v>
      </c>
      <c r="P89" s="181">
        <v>0</v>
      </c>
      <c r="Q89" s="181">
        <v>0</v>
      </c>
      <c r="R89" s="181">
        <v>0</v>
      </c>
      <c r="S89" s="181">
        <v>0</v>
      </c>
      <c r="T89" s="181">
        <v>0</v>
      </c>
      <c r="U89" s="181">
        <v>0</v>
      </c>
      <c r="V89" s="181">
        <v>0</v>
      </c>
      <c r="W89" s="181">
        <v>0</v>
      </c>
      <c r="X89" s="181">
        <v>0</v>
      </c>
      <c r="Y89" s="181">
        <v>0</v>
      </c>
      <c r="Z89" s="181">
        <v>0</v>
      </c>
      <c r="AA89" s="181">
        <v>0</v>
      </c>
      <c r="AB89" s="181">
        <v>0</v>
      </c>
      <c r="AC89" s="181">
        <v>0</v>
      </c>
      <c r="AD89" s="181">
        <v>0</v>
      </c>
      <c r="AE89" s="181">
        <v>0</v>
      </c>
      <c r="AF89" s="181">
        <v>0</v>
      </c>
      <c r="AG89" s="181">
        <v>0</v>
      </c>
      <c r="AH89" s="181">
        <v>0</v>
      </c>
      <c r="AI89" s="181">
        <v>0</v>
      </c>
      <c r="AJ89" s="181" t="s">
        <v>117</v>
      </c>
      <c r="AK89" s="181" t="s">
        <v>117</v>
      </c>
    </row>
    <row r="90" spans="1:37">
      <c r="B90" t="s">
        <v>281</v>
      </c>
      <c r="C90" t="s">
        <v>1354</v>
      </c>
      <c r="D90" t="s">
        <v>1355</v>
      </c>
      <c r="E90" t="s">
        <v>354</v>
      </c>
      <c r="G90">
        <v>202.83663899999999</v>
      </c>
      <c r="H90">
        <v>199.16296399999999</v>
      </c>
      <c r="I90">
        <v>195.80548099999999</v>
      </c>
      <c r="J90">
        <v>193.737213</v>
      </c>
      <c r="K90">
        <v>192.813141</v>
      </c>
      <c r="L90">
        <v>191.8974</v>
      </c>
      <c r="M90">
        <v>190.73350500000001</v>
      </c>
      <c r="N90">
        <v>189.210464</v>
      </c>
      <c r="O90">
        <v>187.40353400000001</v>
      </c>
      <c r="P90">
        <v>185.676941</v>
      </c>
      <c r="Q90">
        <v>184.46688800000001</v>
      </c>
      <c r="R90">
        <v>183.61003099999999</v>
      </c>
      <c r="S90">
        <v>182.77757299999999</v>
      </c>
      <c r="T90">
        <v>181.99818400000001</v>
      </c>
      <c r="U90">
        <v>181.450287</v>
      </c>
      <c r="V90">
        <v>181.105515</v>
      </c>
      <c r="W90">
        <v>180.74588</v>
      </c>
      <c r="X90">
        <v>180.38298</v>
      </c>
      <c r="Y90">
        <v>180.29542499999999</v>
      </c>
      <c r="Z90">
        <v>180.16119399999999</v>
      </c>
      <c r="AA90">
        <v>179.988022</v>
      </c>
      <c r="AB90">
        <v>179.81350699999999</v>
      </c>
      <c r="AC90">
        <v>179.55651900000001</v>
      </c>
      <c r="AD90">
        <v>179.24385100000001</v>
      </c>
      <c r="AE90">
        <v>178.94970699999999</v>
      </c>
      <c r="AF90">
        <v>178.72766100000001</v>
      </c>
      <c r="AG90">
        <v>178.49087499999999</v>
      </c>
      <c r="AH90">
        <v>178.228363</v>
      </c>
      <c r="AI90">
        <v>178.15554800000001</v>
      </c>
      <c r="AJ90" s="31">
        <v>-5.0000000000000001E-3</v>
      </c>
      <c r="AK90" s="31">
        <v>-3.0000000000000001E-3</v>
      </c>
    </row>
    <row r="91" spans="1:37">
      <c r="A91" t="s">
        <v>113</v>
      </c>
      <c r="B91" t="s">
        <v>330</v>
      </c>
      <c r="C91" t="s">
        <v>1356</v>
      </c>
      <c r="D91" t="s">
        <v>1357</v>
      </c>
      <c r="E91" t="s">
        <v>354</v>
      </c>
      <c r="G91">
        <v>163.608734</v>
      </c>
      <c r="H91">
        <v>160.38700900000001</v>
      </c>
      <c r="I91">
        <v>157.42775</v>
      </c>
      <c r="J91">
        <v>155.51083399999999</v>
      </c>
      <c r="K91">
        <v>154.51499899999999</v>
      </c>
      <c r="L91">
        <v>153.52697800000001</v>
      </c>
      <c r="M91">
        <v>152.34193400000001</v>
      </c>
      <c r="N91">
        <v>150.872345</v>
      </c>
      <c r="O91">
        <v>149.17961099999999</v>
      </c>
      <c r="P91">
        <v>147.55435199999999</v>
      </c>
      <c r="Q91">
        <v>146.34231600000001</v>
      </c>
      <c r="R91">
        <v>145.41207900000001</v>
      </c>
      <c r="S91">
        <v>144.50224299999999</v>
      </c>
      <c r="T91">
        <v>143.63537600000001</v>
      </c>
      <c r="U91">
        <v>142.95182800000001</v>
      </c>
      <c r="V91">
        <v>142.42834500000001</v>
      </c>
      <c r="W91">
        <v>141.89295999999999</v>
      </c>
      <c r="X91">
        <v>141.35481300000001</v>
      </c>
      <c r="Y91">
        <v>141.03187600000001</v>
      </c>
      <c r="Z91">
        <v>140.67157</v>
      </c>
      <c r="AA91">
        <v>140.28007500000001</v>
      </c>
      <c r="AB91">
        <v>139.886841</v>
      </c>
      <c r="AC91">
        <v>139.42889400000001</v>
      </c>
      <c r="AD91">
        <v>138.927322</v>
      </c>
      <c r="AE91">
        <v>138.439819</v>
      </c>
      <c r="AF91">
        <v>138.00765999999999</v>
      </c>
      <c r="AG91">
        <v>137.56359900000001</v>
      </c>
      <c r="AH91">
        <v>137.09927400000001</v>
      </c>
      <c r="AI91">
        <v>136.780182</v>
      </c>
      <c r="AJ91" s="31">
        <v>-6.0000000000000001E-3</v>
      </c>
      <c r="AK91" s="31">
        <v>-5.0000000000000001E-3</v>
      </c>
    </row>
    <row r="92" spans="1:37">
      <c r="A92" t="s">
        <v>114</v>
      </c>
      <c r="B92" t="s">
        <v>306</v>
      </c>
      <c r="C92" t="s">
        <v>1358</v>
      </c>
      <c r="D92" t="s">
        <v>1359</v>
      </c>
      <c r="E92" t="s">
        <v>354</v>
      </c>
      <c r="G92">
        <v>39.227898000000003</v>
      </c>
      <c r="H92">
        <v>38.775948</v>
      </c>
      <c r="I92">
        <v>38.377730999999997</v>
      </c>
      <c r="J92">
        <v>38.226379000000001</v>
      </c>
      <c r="K92">
        <v>38.298149000000002</v>
      </c>
      <c r="L92">
        <v>38.370418999999998</v>
      </c>
      <c r="M92">
        <v>38.391570999999999</v>
      </c>
      <c r="N92">
        <v>38.338120000000004</v>
      </c>
      <c r="O92">
        <v>38.223914999999998</v>
      </c>
      <c r="P92">
        <v>38.122588999999998</v>
      </c>
      <c r="Q92">
        <v>38.124577000000002</v>
      </c>
      <c r="R92">
        <v>38.197955999999998</v>
      </c>
      <c r="S92">
        <v>38.275326</v>
      </c>
      <c r="T92">
        <v>38.362803999999997</v>
      </c>
      <c r="U92">
        <v>38.498458999999997</v>
      </c>
      <c r="V92">
        <v>38.677174000000001</v>
      </c>
      <c r="W92">
        <v>38.852927999999999</v>
      </c>
      <c r="X92">
        <v>39.028163999999997</v>
      </c>
      <c r="Y92">
        <v>39.263545999999998</v>
      </c>
      <c r="Z92">
        <v>39.489632</v>
      </c>
      <c r="AA92">
        <v>39.707951000000001</v>
      </c>
      <c r="AB92">
        <v>39.926662</v>
      </c>
      <c r="AC92">
        <v>40.127631999999998</v>
      </c>
      <c r="AD92">
        <v>40.316527999999998</v>
      </c>
      <c r="AE92">
        <v>40.509892000000001</v>
      </c>
      <c r="AF92">
        <v>40.720008999999997</v>
      </c>
      <c r="AG92">
        <v>40.927284</v>
      </c>
      <c r="AH92">
        <v>41.129097000000002</v>
      </c>
      <c r="AI92">
        <v>41.375362000000003</v>
      </c>
      <c r="AJ92" s="31">
        <v>2E-3</v>
      </c>
      <c r="AK92" s="31">
        <v>3.0000000000000001E-3</v>
      </c>
    </row>
    <row r="93" spans="1:37">
      <c r="B93" t="s">
        <v>282</v>
      </c>
      <c r="C93" t="s">
        <v>1360</v>
      </c>
      <c r="D93" t="s">
        <v>1141</v>
      </c>
      <c r="E93" t="s">
        <v>354</v>
      </c>
      <c r="G93">
        <v>125.945221</v>
      </c>
      <c r="H93">
        <v>125.92506400000001</v>
      </c>
      <c r="I93">
        <v>126.01237500000001</v>
      </c>
      <c r="J93">
        <v>126.049858</v>
      </c>
      <c r="K93">
        <v>126.11367</v>
      </c>
      <c r="L93">
        <v>125.98440600000001</v>
      </c>
      <c r="M93">
        <v>125.852997</v>
      </c>
      <c r="N93">
        <v>125.755234</v>
      </c>
      <c r="O93">
        <v>125.652069</v>
      </c>
      <c r="P93">
        <v>125.54579200000001</v>
      </c>
      <c r="Q93">
        <v>125.439178</v>
      </c>
      <c r="R93">
        <v>125.330147</v>
      </c>
      <c r="S93">
        <v>125.250381</v>
      </c>
      <c r="T93">
        <v>125.225021</v>
      </c>
      <c r="U93">
        <v>125.255257</v>
      </c>
      <c r="V93">
        <v>125.318207</v>
      </c>
      <c r="W93">
        <v>125.411896</v>
      </c>
      <c r="X93">
        <v>125.52668799999999</v>
      </c>
      <c r="Y93">
        <v>125.666534</v>
      </c>
      <c r="Z93">
        <v>125.797371</v>
      </c>
      <c r="AA93">
        <v>125.925034</v>
      </c>
      <c r="AB93">
        <v>126.04557</v>
      </c>
      <c r="AC93">
        <v>126.16628300000001</v>
      </c>
      <c r="AD93">
        <v>126.32028200000001</v>
      </c>
      <c r="AE93">
        <v>126.49239300000001</v>
      </c>
      <c r="AF93">
        <v>126.66081200000001</v>
      </c>
      <c r="AG93">
        <v>126.811455</v>
      </c>
      <c r="AH93">
        <v>126.974289</v>
      </c>
      <c r="AI93">
        <v>127.158676</v>
      </c>
      <c r="AJ93" s="31">
        <v>0</v>
      </c>
      <c r="AK93" s="31">
        <v>1E-3</v>
      </c>
    </row>
    <row r="94" spans="1:37">
      <c r="B94" t="s">
        <v>283</v>
      </c>
      <c r="C94" t="s">
        <v>1181</v>
      </c>
      <c r="D94" t="s">
        <v>1143</v>
      </c>
      <c r="E94" t="s">
        <v>354</v>
      </c>
      <c r="G94">
        <v>905.73223900000005</v>
      </c>
      <c r="H94">
        <v>820.54260299999999</v>
      </c>
      <c r="I94">
        <v>760.982483</v>
      </c>
      <c r="J94">
        <v>726.75244099999998</v>
      </c>
      <c r="K94">
        <v>695.850098</v>
      </c>
      <c r="L94">
        <v>653.98541299999999</v>
      </c>
      <c r="M94">
        <v>613.92791699999998</v>
      </c>
      <c r="N94">
        <v>612.03295900000001</v>
      </c>
      <c r="O94">
        <v>610.31640600000003</v>
      </c>
      <c r="P94">
        <v>611.89654499999995</v>
      </c>
      <c r="Q94">
        <v>617.76355000000001</v>
      </c>
      <c r="R94">
        <v>626.28515600000003</v>
      </c>
      <c r="S94">
        <v>630.76672399999995</v>
      </c>
      <c r="T94">
        <v>633.47729500000003</v>
      </c>
      <c r="U94">
        <v>634.00311299999998</v>
      </c>
      <c r="V94">
        <v>632.96820100000002</v>
      </c>
      <c r="W94">
        <v>637.83142099999998</v>
      </c>
      <c r="X94">
        <v>636.66796899999997</v>
      </c>
      <c r="Y94">
        <v>645.807007</v>
      </c>
      <c r="Z94">
        <v>652.42675799999995</v>
      </c>
      <c r="AA94">
        <v>658.166382</v>
      </c>
      <c r="AB94">
        <v>660.99408000000005</v>
      </c>
      <c r="AC94">
        <v>665.09454300000004</v>
      </c>
      <c r="AD94">
        <v>669.20263699999998</v>
      </c>
      <c r="AE94">
        <v>674.53369099999998</v>
      </c>
      <c r="AF94">
        <v>682.13464399999998</v>
      </c>
      <c r="AG94">
        <v>689.49054000000001</v>
      </c>
      <c r="AH94">
        <v>691.88214100000005</v>
      </c>
      <c r="AI94">
        <v>696.77728300000001</v>
      </c>
      <c r="AJ94" s="31">
        <v>-8.9999999999999993E-3</v>
      </c>
      <c r="AK94" s="31">
        <v>4.0000000000000001E-3</v>
      </c>
    </row>
    <row r="95" spans="1:37">
      <c r="B95" t="s">
        <v>1144</v>
      </c>
      <c r="C95" t="s">
        <v>1182</v>
      </c>
      <c r="D95" t="s">
        <v>1146</v>
      </c>
      <c r="E95" t="s">
        <v>354</v>
      </c>
      <c r="G95">
        <v>332.52310199999999</v>
      </c>
      <c r="H95">
        <v>377.97052000000002</v>
      </c>
      <c r="I95">
        <v>384.00460800000002</v>
      </c>
      <c r="J95">
        <v>408.78292800000003</v>
      </c>
      <c r="K95">
        <v>446.260651</v>
      </c>
      <c r="L95">
        <v>477.17263800000001</v>
      </c>
      <c r="M95">
        <v>503.61007699999999</v>
      </c>
      <c r="N95">
        <v>527.57086200000003</v>
      </c>
      <c r="O95">
        <v>577.96905500000003</v>
      </c>
      <c r="P95">
        <v>628.36724900000002</v>
      </c>
      <c r="Q95">
        <v>680.00372300000004</v>
      </c>
      <c r="R95">
        <v>729.163635</v>
      </c>
      <c r="S95">
        <v>771.16210899999999</v>
      </c>
      <c r="T95">
        <v>796.36120600000004</v>
      </c>
      <c r="U95">
        <v>814.39892599999996</v>
      </c>
      <c r="V95">
        <v>829.96002199999998</v>
      </c>
      <c r="W95">
        <v>838.35974099999999</v>
      </c>
      <c r="X95">
        <v>838.35974099999999</v>
      </c>
      <c r="Y95">
        <v>839.59802200000001</v>
      </c>
      <c r="Z95">
        <v>838.35974099999999</v>
      </c>
      <c r="AA95">
        <v>838.35974099999999</v>
      </c>
      <c r="AB95">
        <v>838.35974099999999</v>
      </c>
      <c r="AC95">
        <v>839.59802200000001</v>
      </c>
      <c r="AD95">
        <v>838.35974099999999</v>
      </c>
      <c r="AE95">
        <v>838.35974099999999</v>
      </c>
      <c r="AF95">
        <v>838.35974099999999</v>
      </c>
      <c r="AG95">
        <v>839.59802200000001</v>
      </c>
      <c r="AH95">
        <v>838.35974099999999</v>
      </c>
      <c r="AI95">
        <v>838.35974099999999</v>
      </c>
      <c r="AJ95" s="31">
        <v>3.4000000000000002E-2</v>
      </c>
      <c r="AK95" s="31">
        <v>5.0000000000000001E-3</v>
      </c>
    </row>
    <row r="96" spans="1:37">
      <c r="B96" t="s">
        <v>195</v>
      </c>
      <c r="C96" t="s">
        <v>1361</v>
      </c>
      <c r="D96" t="s">
        <v>1184</v>
      </c>
      <c r="E96" t="s">
        <v>354</v>
      </c>
      <c r="G96">
        <v>27986.478515999999</v>
      </c>
      <c r="H96">
        <v>28032.220702999999</v>
      </c>
      <c r="I96">
        <v>27776.765625</v>
      </c>
      <c r="J96">
        <v>27465.828125</v>
      </c>
      <c r="K96">
        <v>27255.169922000001</v>
      </c>
      <c r="L96">
        <v>27052.175781000002</v>
      </c>
      <c r="M96">
        <v>26819.683593999998</v>
      </c>
      <c r="N96">
        <v>26592.78125</v>
      </c>
      <c r="O96">
        <v>26361.335938</v>
      </c>
      <c r="P96">
        <v>26163.675781000002</v>
      </c>
      <c r="Q96">
        <v>26008.943359000001</v>
      </c>
      <c r="R96">
        <v>25899.167968999998</v>
      </c>
      <c r="S96">
        <v>25803.771484000001</v>
      </c>
      <c r="T96">
        <v>25706.130859000001</v>
      </c>
      <c r="U96">
        <v>25600.619140999999</v>
      </c>
      <c r="V96">
        <v>25535.832031000002</v>
      </c>
      <c r="W96">
        <v>25495.666015999999</v>
      </c>
      <c r="X96">
        <v>25451.617188</v>
      </c>
      <c r="Y96">
        <v>25462.876952999999</v>
      </c>
      <c r="Z96">
        <v>25488.181640999999</v>
      </c>
      <c r="AA96">
        <v>25533.677734000001</v>
      </c>
      <c r="AB96">
        <v>25586.275390999999</v>
      </c>
      <c r="AC96">
        <v>25660.166015999999</v>
      </c>
      <c r="AD96">
        <v>25746.871093999998</v>
      </c>
      <c r="AE96">
        <v>25871.171875</v>
      </c>
      <c r="AF96">
        <v>26021.988281000002</v>
      </c>
      <c r="AG96">
        <v>26178.046875</v>
      </c>
      <c r="AH96">
        <v>26334.755859000001</v>
      </c>
      <c r="AI96">
        <v>26541.847656000002</v>
      </c>
      <c r="AJ96"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4.25"/>
  <cols>
    <col min="1" max="1" width="21.73046875" bestFit="1" customWidth="1"/>
    <col min="2" max="2" width="17.59765625" customWidth="1"/>
    <col min="4" max="4" width="63.597656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4.25"/>
  <cols>
    <col min="1" max="1" width="16.796875" customWidth="1"/>
    <col min="2" max="2" width="23.73046875" bestFit="1" customWidth="1"/>
    <col min="3" max="3" width="45.73046875" customWidth="1"/>
  </cols>
  <sheetData>
    <row r="1" spans="1:35" ht="14.6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4.6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4.6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4.6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4.6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3046875" bestFit="1" customWidth="1"/>
    <col min="2" max="2" width="28.398437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ht="14.25">
      <c r="B10" t="s">
        <v>355</v>
      </c>
    </row>
    <row r="11" spans="2:38" ht="14.25">
      <c r="B11" t="s">
        <v>1426</v>
      </c>
    </row>
    <row r="12" spans="2:38" ht="14.25">
      <c r="B12" t="s">
        <v>1427</v>
      </c>
    </row>
    <row r="13" spans="2:38" ht="14.25">
      <c r="B13" t="s">
        <v>302</v>
      </c>
    </row>
    <row r="14" spans="2:38" ht="14.2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ht="14.25">
      <c r="B15" t="s">
        <v>356</v>
      </c>
    </row>
    <row r="16" spans="2:38" ht="14.25">
      <c r="B16" t="s">
        <v>357</v>
      </c>
    </row>
    <row r="17" spans="2:38" ht="14.25">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ht="14.25">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ht="14.25">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ht="14.25">
      <c r="B20" t="s">
        <v>361</v>
      </c>
    </row>
    <row r="21" spans="2:38" ht="14.25">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ht="14.25">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ht="14.25">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ht="14.25">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ht="14.25">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ht="14.25">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ht="14.25">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ht="14.25">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ht="14.25">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ht="14.25">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ht="14.25">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ht="14.25">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ht="14.25">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ht="14.25">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ht="14.25">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ht="14.25">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ht="14.25">
      <c r="B37" t="s">
        <v>335</v>
      </c>
    </row>
    <row r="38" spans="2:38" ht="14.25">
      <c r="B38" t="s">
        <v>373</v>
      </c>
    </row>
    <row r="39" spans="2:38" ht="14.25">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ht="14.25">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ht="14.25">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ht="14.25">
      <c r="B42" t="s">
        <v>375</v>
      </c>
    </row>
    <row r="43" spans="2:38" ht="14.25">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ht="14.25">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ht="14.25">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ht="14.25">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ht="14.25">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ht="14.25">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ht="14.25">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ht="14.25">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ht="14.25">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ht="14.25">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ht="14.25">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ht="14.25">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ht="14.25">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ht="14.25">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ht="14.25">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ht="14.25">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ht="14.25">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ht="14.25">
      <c r="B60" s="190" t="s">
        <v>311</v>
      </c>
    </row>
    <row r="61" spans="1:38" s="190" customFormat="1" ht="14.25">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ht="14.25">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ht="14.25">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ht="14.25">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ht="14.25">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ht="14.25">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ht="14.25">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ht="14.25">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ht="14.25">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ht="14.25">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328125" customWidth="1"/>
    <col min="2" max="2" width="35.1328125" customWidth="1"/>
    <col min="3" max="3" width="93.8632812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ht="14.25">
      <c r="B10" t="s">
        <v>384</v>
      </c>
    </row>
    <row r="11" spans="2:36" ht="14.25">
      <c r="B11" t="s">
        <v>1520</v>
      </c>
    </row>
    <row r="12" spans="2:36" ht="14.25">
      <c r="B12" t="s">
        <v>1521</v>
      </c>
    </row>
    <row r="13" spans="2:36" ht="14.25">
      <c r="B13" t="s">
        <v>302</v>
      </c>
    </row>
    <row r="14" spans="2:36" ht="14.2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ht="14.25">
      <c r="B15" t="s">
        <v>356</v>
      </c>
    </row>
    <row r="16" spans="2:36" ht="14.25">
      <c r="B16" t="s">
        <v>357</v>
      </c>
    </row>
    <row r="17" spans="2:38" ht="14.25">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ht="14.25">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ht="14.25">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ht="14.25">
      <c r="B20" t="s">
        <v>361</v>
      </c>
    </row>
    <row r="21" spans="2:38" ht="14.25">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ht="14.25">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ht="14.25">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ht="14.25">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ht="14.25">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ht="14.25">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ht="14.25">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ht="14.25">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ht="14.25">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ht="14.25">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ht="14.25">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ht="14.25">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ht="14.25">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ht="14.25">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ht="14.25">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ht="14.25">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ht="14.25">
      <c r="B37" t="s">
        <v>335</v>
      </c>
    </row>
    <row r="38" spans="2:38" ht="14.25">
      <c r="B38" t="s">
        <v>373</v>
      </c>
    </row>
    <row r="39" spans="2:38" ht="14.25">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ht="14.25">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ht="14.25">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ht="14.25">
      <c r="B42" t="s">
        <v>375</v>
      </c>
    </row>
    <row r="43" spans="2:38" ht="14.25">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ht="14.25">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ht="14.25">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ht="14.25">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ht="14.25">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ht="14.25">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ht="14.25">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ht="14.25">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ht="14.25">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ht="14.25">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ht="14.25">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ht="14.25">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ht="14.25">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ht="14.25">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ht="14.25">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ht="14.25">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ht="14.25">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ht="14.25">
      <c r="B60" s="1" t="s">
        <v>311</v>
      </c>
    </row>
    <row r="61" spans="1:38" ht="14.25">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ht="14.25">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ht="14.25">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28.5">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14.25">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ht="14.25">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ht="14.25">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ht="14.25">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14.25">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ht="14.25">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6328125" customWidth="1"/>
    <col min="2" max="2" width="67.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398437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ht="14.25">
      <c r="A10" t="s">
        <v>455</v>
      </c>
    </row>
    <row r="11" spans="1:37" ht="14.25">
      <c r="A11" t="s">
        <v>2035</v>
      </c>
    </row>
    <row r="12" spans="1:37" ht="14.25">
      <c r="A12" t="s">
        <v>2036</v>
      </c>
    </row>
    <row r="13" spans="1:37" ht="14.25">
      <c r="A13" t="s">
        <v>302</v>
      </c>
    </row>
    <row r="14" spans="1:37" ht="14.2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ht="14.25">
      <c r="A15" t="s">
        <v>127</v>
      </c>
    </row>
    <row r="16" spans="1:37" ht="14.25">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ht="14.25">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ht="14.25">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ht="14.25">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ht="14.25">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ht="14.25">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ht="14.25">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ht="14.25">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ht="14.25">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ht="14.25">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ht="14.25">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ht="14.25">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ht="14.25">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ht="14.25">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ht="14.25">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ht="14.25">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ht="14.25">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ht="14.25">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ht="14.25">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ht="14.25">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ht="14.25">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ht="14.25">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ht="14.25">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ht="14.25">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ht="14.25">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ht="14.25">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ht="14.25">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ht="14.25">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ht="14.25">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ht="14.25">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ht="14.25">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ht="14.25">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ht="14.25">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ht="14.25">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ht="14.25">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ht="14.25">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ht="14.25">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ht="14.25">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ht="14.25">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ht="14.25">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ht="14.25">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ht="14.25">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ht="14.25">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ht="14.25">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ht="14.25">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ht="14.25">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ht="14.25">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ht="14.25">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ht="14.25">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ht="14.25">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ht="14.25">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ht="14.25">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ht="14.25">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ht="14.25">
      <c r="A69" t="s">
        <v>126</v>
      </c>
    </row>
    <row r="70" spans="1:37" s="14" customFormat="1" ht="14.25">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ht="14.25">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ht="14.25">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ht="14.25">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ht="14.25">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ht="14.25">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ht="14.25">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ht="14.25">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ht="14.25">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ht="14.25">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ht="14.25">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ht="14.25">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ht="14.25">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ht="14.25">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ht="14.25">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ht="14.25">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ht="14.25">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ht="14.25">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ht="14.25">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ht="14.25">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ht="14.25">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ht="14.25">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ht="14.25">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ht="14.25">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ht="14.25">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ht="14.25">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ht="14.25">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ht="14.25">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ht="14.25">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ht="14.25">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ht="14.25">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ht="14.25">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ht="14.25">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ht="14.25">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ht="14.25">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ht="14.25">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ht="14.25">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ht="14.25">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ht="14.25">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ht="14.25">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ht="14.25">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ht="14.25">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ht="14.25">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ht="14.25">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ht="14.25">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ht="14.25">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ht="14.25">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ht="14.25">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ht="14.25">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ht="14.25">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ht="14.25">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ht="14.25">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ht="14.25">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ht="14.25">
      <c r="A123" t="s">
        <v>125</v>
      </c>
    </row>
    <row r="124" spans="1:37" ht="14.25">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ht="14.25">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ht="14.25">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ht="14.25">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ht="14.25">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ht="14.25">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ht="14.25">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ht="14.25">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ht="14.25">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ht="14.25">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ht="14.25">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ht="14.25">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ht="14.25">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ht="14.25">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ht="14.25">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ht="14.25">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ht="14.25">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ht="14.25">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ht="14.25">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ht="14.25">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ht="14.25">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ht="14.25">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ht="14.25">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ht="14.25">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ht="14.25">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ht="14.25">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ht="14.25">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ht="14.25">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ht="14.25">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ht="14.25">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ht="14.25">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ht="14.25">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ht="14.25">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ht="14.25">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ht="14.25">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ht="14.25">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ht="14.25">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ht="14.25">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ht="14.25">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ht="14.25">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ht="14.25">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ht="14.25">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ht="14.25">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ht="14.25">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ht="14.25">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ht="14.25">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ht="14.25">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ht="14.25">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ht="14.25">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ht="14.25">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ht="14.25">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ht="14.25">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ht="14.25">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ht="14.25">
      <c r="A177" t="s">
        <v>124</v>
      </c>
    </row>
    <row r="178" spans="1:37" s="14" customFormat="1" ht="14.25">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ht="14.25">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ht="14.25">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ht="14.25">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ht="14.25">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ht="14.25">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ht="14.25">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ht="14.25">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ht="14.25">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ht="14.25">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ht="14.25">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ht="14.25">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ht="14.25">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ht="14.25">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8.73046875" style="23" bestFit="1" customWidth="1"/>
    <col min="2" max="2" width="26.53125" customWidth="1"/>
    <col min="3" max="3" width="82" bestFit="1"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201" t="s">
        <v>114</v>
      </c>
      <c r="B121" s="1" t="s">
        <v>327</v>
      </c>
      <c r="C121" s="1" t="s">
        <v>2567</v>
      </c>
      <c r="D121" s="1" t="s">
        <v>2568</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02">
        <v>8.9999999999999993E-3</v>
      </c>
      <c r="AL121" s="202"/>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50C14-7BC4-4CE4-9EB8-3F60FE20A7C0}">
  <dimension ref="A1:AG119"/>
  <sheetViews>
    <sheetView workbookViewId="0"/>
  </sheetViews>
  <sheetFormatPr defaultRowHeight="14.25"/>
  <cols>
    <col min="1" max="1" width="43.265625" customWidth="1"/>
  </cols>
  <sheetData>
    <row r="1" spans="1:33">
      <c r="A1" t="s">
        <v>2807</v>
      </c>
    </row>
    <row r="2" spans="1:33">
      <c r="A2" t="s">
        <v>2808</v>
      </c>
    </row>
    <row r="3" spans="1:33">
      <c r="A3" t="s">
        <v>2809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101</v>
      </c>
    </row>
    <row r="7" spans="1:33">
      <c r="A7" t="s">
        <v>100</v>
      </c>
    </row>
    <row r="8" spans="1:33">
      <c r="A8" t="s">
        <v>2811</v>
      </c>
    </row>
    <row r="9" spans="1:33">
      <c r="A9" t="s">
        <v>2812</v>
      </c>
      <c r="B9" t="s">
        <v>2813</v>
      </c>
      <c r="C9" t="s">
        <v>2814</v>
      </c>
      <c r="D9" t="s">
        <v>2815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31">
        <v>4.0000000000000001E-3</v>
      </c>
    </row>
    <row r="10" spans="1:33">
      <c r="A10" t="s">
        <v>311</v>
      </c>
      <c r="B10" t="s">
        <v>2816</v>
      </c>
      <c r="C10" t="s">
        <v>2817</v>
      </c>
      <c r="D10" t="s">
        <v>2815</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31">
        <v>-8.0000000000000002E-3</v>
      </c>
    </row>
    <row r="11" spans="1:33">
      <c r="A11" t="s">
        <v>2818</v>
      </c>
      <c r="B11" t="s">
        <v>2819</v>
      </c>
      <c r="C11" t="s">
        <v>2820</v>
      </c>
      <c r="D11" t="s">
        <v>2815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31">
        <v>8.9999999999999993E-3</v>
      </c>
    </row>
    <row r="12" spans="1:33">
      <c r="A12" t="s">
        <v>2821</v>
      </c>
    </row>
    <row r="13" spans="1:33">
      <c r="A13" t="s">
        <v>279</v>
      </c>
      <c r="B13" t="s">
        <v>2822</v>
      </c>
      <c r="C13" t="s">
        <v>2823</v>
      </c>
      <c r="D13" t="s">
        <v>2824</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31">
        <v>2E-3</v>
      </c>
    </row>
    <row r="14" spans="1:33">
      <c r="A14" t="s">
        <v>2825</v>
      </c>
      <c r="B14" t="s">
        <v>2826</v>
      </c>
      <c r="C14" t="s">
        <v>2827</v>
      </c>
      <c r="D14" t="s">
        <v>2824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31">
        <v>0.02</v>
      </c>
    </row>
    <row r="15" spans="1:33">
      <c r="A15" t="s">
        <v>2828</v>
      </c>
    </row>
    <row r="16" spans="1:33">
      <c r="A16" t="s">
        <v>185</v>
      </c>
      <c r="B16" t="s">
        <v>2829</v>
      </c>
      <c r="C16" t="s">
        <v>2830</v>
      </c>
      <c r="D16" t="s">
        <v>2831</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31">
        <v>1.7999999999999999E-2</v>
      </c>
    </row>
    <row r="17" spans="1:33">
      <c r="A17" t="s">
        <v>2832</v>
      </c>
    </row>
    <row r="18" spans="1:33">
      <c r="A18" t="s">
        <v>180</v>
      </c>
      <c r="B18" t="s">
        <v>2833</v>
      </c>
      <c r="C18" t="s">
        <v>2834</v>
      </c>
      <c r="D18" t="s">
        <v>2835</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31">
        <v>-2E-3</v>
      </c>
    </row>
    <row r="19" spans="1:33">
      <c r="A19" t="s">
        <v>213</v>
      </c>
      <c r="B19" t="s">
        <v>2836</v>
      </c>
      <c r="C19" t="s">
        <v>2837</v>
      </c>
      <c r="D19" t="s">
        <v>2835</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31">
        <v>-3.0000000000000001E-3</v>
      </c>
    </row>
    <row r="20" spans="1:33">
      <c r="A20" t="s">
        <v>86</v>
      </c>
    </row>
    <row r="21" spans="1:33">
      <c r="A21" t="s">
        <v>2838</v>
      </c>
    </row>
    <row r="22" spans="1:33">
      <c r="A22" t="s">
        <v>2839</v>
      </c>
      <c r="B22" t="s">
        <v>2840</v>
      </c>
      <c r="C22" t="s">
        <v>2841</v>
      </c>
      <c r="D22" t="s">
        <v>415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31">
        <v>7.0000000000000001E-3</v>
      </c>
    </row>
    <row r="23" spans="1:33">
      <c r="A23" t="s">
        <v>2842</v>
      </c>
      <c r="B23" t="s">
        <v>2843</v>
      </c>
      <c r="C23" t="s">
        <v>2844</v>
      </c>
      <c r="D23" t="s">
        <v>415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31">
        <v>7.0000000000000001E-3</v>
      </c>
    </row>
    <row r="24" spans="1:33">
      <c r="A24" t="s">
        <v>2845</v>
      </c>
      <c r="B24" t="s">
        <v>2846</v>
      </c>
      <c r="C24" t="s">
        <v>2847</v>
      </c>
      <c r="D24" t="s">
        <v>415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31">
        <v>7.0000000000000001E-3</v>
      </c>
    </row>
    <row r="25" spans="1:33">
      <c r="A25" t="s">
        <v>2848</v>
      </c>
      <c r="B25" t="s">
        <v>2849</v>
      </c>
      <c r="C25" t="s">
        <v>2850</v>
      </c>
      <c r="D25" t="s">
        <v>415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31">
        <v>1.2E-2</v>
      </c>
    </row>
    <row r="26" spans="1:33">
      <c r="A26" t="s">
        <v>2842</v>
      </c>
      <c r="B26" t="s">
        <v>2851</v>
      </c>
      <c r="C26" t="s">
        <v>2852</v>
      </c>
      <c r="D26" t="s">
        <v>415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31">
        <v>1.7000000000000001E-2</v>
      </c>
    </row>
    <row r="27" spans="1:33">
      <c r="A27" t="s">
        <v>2845</v>
      </c>
      <c r="B27" t="s">
        <v>2853</v>
      </c>
      <c r="C27" t="s">
        <v>2854</v>
      </c>
      <c r="D27" t="s">
        <v>415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31">
        <v>8.9999999999999993E-3</v>
      </c>
    </row>
    <row r="28" spans="1:33">
      <c r="A28" t="s">
        <v>2855</v>
      </c>
      <c r="B28" t="s">
        <v>2856</v>
      </c>
      <c r="C28" t="s">
        <v>2857</v>
      </c>
      <c r="D28" t="s">
        <v>415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31">
        <v>1.2E-2</v>
      </c>
    </row>
    <row r="29" spans="1:33">
      <c r="A29" t="s">
        <v>2842</v>
      </c>
      <c r="B29" t="s">
        <v>2858</v>
      </c>
      <c r="C29" t="s">
        <v>2859</v>
      </c>
      <c r="D29" t="s">
        <v>415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31">
        <v>1.7999999999999999E-2</v>
      </c>
    </row>
    <row r="30" spans="1:33">
      <c r="A30" t="s">
        <v>2845</v>
      </c>
      <c r="B30" t="s">
        <v>2860</v>
      </c>
      <c r="C30" t="s">
        <v>2861</v>
      </c>
      <c r="D30" t="s">
        <v>415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31">
        <v>8.9999999999999993E-3</v>
      </c>
    </row>
    <row r="31" spans="1:33">
      <c r="A31" t="s">
        <v>2862</v>
      </c>
      <c r="B31" t="s">
        <v>2863</v>
      </c>
      <c r="C31" t="s">
        <v>2864</v>
      </c>
      <c r="D31" t="s">
        <v>415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31">
        <v>1.2E-2</v>
      </c>
    </row>
    <row r="32" spans="1:33">
      <c r="A32" t="s">
        <v>2842</v>
      </c>
      <c r="B32" t="s">
        <v>2865</v>
      </c>
      <c r="C32" t="s">
        <v>2866</v>
      </c>
      <c r="D32" t="s">
        <v>415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31">
        <v>1.7999999999999999E-2</v>
      </c>
    </row>
    <row r="33" spans="1:33">
      <c r="A33" t="s">
        <v>2845</v>
      </c>
      <c r="B33" t="s">
        <v>2867</v>
      </c>
      <c r="C33" t="s">
        <v>2868</v>
      </c>
      <c r="D33" t="s">
        <v>415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31">
        <v>8.9999999999999993E-3</v>
      </c>
    </row>
    <row r="34" spans="1:33">
      <c r="A34" t="s">
        <v>2869</v>
      </c>
      <c r="B34" t="s">
        <v>2870</v>
      </c>
      <c r="C34" t="s">
        <v>2871</v>
      </c>
      <c r="D34" t="s">
        <v>415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31">
        <v>1.4999999999999999E-2</v>
      </c>
    </row>
    <row r="35" spans="1:33">
      <c r="A35" t="s">
        <v>2872</v>
      </c>
      <c r="B35" t="s">
        <v>2873</v>
      </c>
      <c r="C35" t="s">
        <v>2874</v>
      </c>
      <c r="D35" t="s">
        <v>415</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31">
        <v>8.9999999999999993E-3</v>
      </c>
    </row>
    <row r="36" spans="1:33">
      <c r="A36" t="s">
        <v>2875</v>
      </c>
      <c r="B36" t="s">
        <v>2876</v>
      </c>
      <c r="C36" t="s">
        <v>2877</v>
      </c>
      <c r="D36" t="s">
        <v>415</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31">
        <v>7.0000000000000001E-3</v>
      </c>
    </row>
    <row r="37" spans="1:33">
      <c r="A37" t="s">
        <v>2878</v>
      </c>
      <c r="B37" t="s">
        <v>2879</v>
      </c>
      <c r="C37" t="s">
        <v>2880</v>
      </c>
      <c r="D37" t="s">
        <v>415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31">
        <v>8.9999999999999993E-3</v>
      </c>
    </row>
    <row r="38" spans="1:33">
      <c r="A38" t="s">
        <v>2881</v>
      </c>
    </row>
    <row r="39" spans="1:33">
      <c r="A39" t="s">
        <v>2882</v>
      </c>
      <c r="B39" t="s">
        <v>2883</v>
      </c>
      <c r="C39" t="s">
        <v>2884</v>
      </c>
      <c r="D39" t="s">
        <v>454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31">
        <v>8.0000000000000002E-3</v>
      </c>
    </row>
    <row r="40" spans="1:33">
      <c r="A40" t="s">
        <v>2885</v>
      </c>
    </row>
    <row r="41" spans="1:33">
      <c r="A41" t="s">
        <v>180</v>
      </c>
      <c r="B41" t="s">
        <v>2886</v>
      </c>
      <c r="C41" t="s">
        <v>2887</v>
      </c>
      <c r="D41" t="s">
        <v>2888</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31">
        <v>1E-3</v>
      </c>
    </row>
    <row r="42" spans="1:33">
      <c r="A42" t="s">
        <v>213</v>
      </c>
      <c r="B42" t="s">
        <v>2889</v>
      </c>
      <c r="C42" t="s">
        <v>2890</v>
      </c>
      <c r="D42" t="s">
        <v>2888</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31">
        <v>4.0000000000000001E-3</v>
      </c>
    </row>
    <row r="43" spans="1:33">
      <c r="A43" t="s">
        <v>44</v>
      </c>
    </row>
    <row r="44" spans="1:33">
      <c r="A44" t="s">
        <v>2891</v>
      </c>
    </row>
    <row r="45" spans="1:33">
      <c r="A45" t="s">
        <v>333</v>
      </c>
      <c r="B45" t="s">
        <v>2892</v>
      </c>
      <c r="C45" t="s">
        <v>2893</v>
      </c>
      <c r="D45" t="s">
        <v>2894</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31">
        <v>-8.0000000000000002E-3</v>
      </c>
    </row>
    <row r="46" spans="1:33">
      <c r="A46" t="s">
        <v>311</v>
      </c>
      <c r="B46" t="s">
        <v>2895</v>
      </c>
      <c r="C46" t="s">
        <v>2896</v>
      </c>
      <c r="D46" t="s">
        <v>2894</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31">
        <v>-1.4999999999999999E-2</v>
      </c>
    </row>
    <row r="47" spans="1:33">
      <c r="A47" t="s">
        <v>279</v>
      </c>
      <c r="B47" t="s">
        <v>2897</v>
      </c>
      <c r="C47" t="s">
        <v>2898</v>
      </c>
      <c r="D47" t="s">
        <v>2894</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31">
        <v>-5.0000000000000001E-3</v>
      </c>
    </row>
    <row r="48" spans="1:33">
      <c r="A48" t="s">
        <v>312</v>
      </c>
      <c r="B48" t="s">
        <v>2899</v>
      </c>
      <c r="C48" t="s">
        <v>2900</v>
      </c>
      <c r="D48" t="s">
        <v>2894</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31">
        <v>-1E-3</v>
      </c>
    </row>
    <row r="49" spans="1:33">
      <c r="A49" t="s">
        <v>180</v>
      </c>
      <c r="B49" t="s">
        <v>2901</v>
      </c>
      <c r="C49" t="s">
        <v>2902</v>
      </c>
      <c r="D49" t="s">
        <v>2894</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31">
        <v>1.0999999999999999E-2</v>
      </c>
    </row>
    <row r="50" spans="1:33">
      <c r="A50" t="s">
        <v>180</v>
      </c>
      <c r="B50" t="s">
        <v>2903</v>
      </c>
      <c r="C50" t="s">
        <v>2904</v>
      </c>
      <c r="D50" t="s">
        <v>2894</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31">
        <v>-3.0000000000000001E-3</v>
      </c>
    </row>
    <row r="51" spans="1:33">
      <c r="A51" t="s">
        <v>2905</v>
      </c>
      <c r="B51" t="s">
        <v>2906</v>
      </c>
      <c r="C51" t="s">
        <v>2907</v>
      </c>
      <c r="D51" t="s">
        <v>2894</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31">
        <v>-7.0000000000000001E-3</v>
      </c>
    </row>
    <row r="52" spans="1:33">
      <c r="A52" t="s">
        <v>2905</v>
      </c>
      <c r="B52" t="s">
        <v>2908</v>
      </c>
      <c r="C52" t="s">
        <v>2909</v>
      </c>
      <c r="D52" t="s">
        <v>2894</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31">
        <v>8.9999999999999993E-3</v>
      </c>
    </row>
    <row r="53" spans="1:33">
      <c r="A53" t="s">
        <v>281</v>
      </c>
      <c r="B53" t="s">
        <v>2910</v>
      </c>
      <c r="C53" t="s">
        <v>2911</v>
      </c>
      <c r="D53" t="s">
        <v>2894</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31">
        <v>-5.0000000000000001E-3</v>
      </c>
    </row>
    <row r="54" spans="1:33">
      <c r="A54" t="s">
        <v>185</v>
      </c>
      <c r="B54" t="s">
        <v>2912</v>
      </c>
      <c r="C54" t="s">
        <v>2913</v>
      </c>
      <c r="D54" t="s">
        <v>2894</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31">
        <v>8.9999999999999993E-3</v>
      </c>
    </row>
    <row r="55" spans="1:33">
      <c r="A55" t="s">
        <v>278</v>
      </c>
      <c r="B55" t="s">
        <v>2914</v>
      </c>
      <c r="C55" t="s">
        <v>2915</v>
      </c>
      <c r="D55" t="s">
        <v>2894</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31">
        <v>2E-3</v>
      </c>
    </row>
    <row r="56" spans="1:33">
      <c r="A56" t="s">
        <v>282</v>
      </c>
      <c r="B56" t="s">
        <v>2916</v>
      </c>
      <c r="C56" t="s">
        <v>2917</v>
      </c>
      <c r="D56" t="s">
        <v>2894</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31">
        <v>0</v>
      </c>
    </row>
    <row r="57" spans="1:33">
      <c r="A57" t="s">
        <v>2918</v>
      </c>
      <c r="B57" t="s">
        <v>2919</v>
      </c>
      <c r="C57" t="s">
        <v>2920</v>
      </c>
      <c r="D57" t="s">
        <v>2894</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31">
        <v>-4.0000000000000001E-3</v>
      </c>
    </row>
    <row r="58" spans="1:33">
      <c r="A58" t="s">
        <v>1144</v>
      </c>
      <c r="B58" t="s">
        <v>2921</v>
      </c>
      <c r="C58" t="s">
        <v>2922</v>
      </c>
      <c r="D58" t="s">
        <v>2894</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31">
        <v>3.6999999999999998E-2</v>
      </c>
    </row>
    <row r="59" spans="1:33">
      <c r="A59" t="s">
        <v>193</v>
      </c>
      <c r="B59" t="s">
        <v>2923</v>
      </c>
      <c r="C59" t="s">
        <v>2924</v>
      </c>
      <c r="D59" t="s">
        <v>2894</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31">
        <v>-3.0000000000000001E-3</v>
      </c>
    </row>
    <row r="60" spans="1:33">
      <c r="A60" t="s">
        <v>2925</v>
      </c>
    </row>
    <row r="61" spans="1:33">
      <c r="A61" t="s">
        <v>333</v>
      </c>
      <c r="B61" t="s">
        <v>2892</v>
      </c>
      <c r="C61" t="s">
        <v>2926</v>
      </c>
      <c r="D61" t="s">
        <v>2927</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31">
        <v>-8.9999999999999993E-3</v>
      </c>
    </row>
    <row r="62" spans="1:33">
      <c r="A62" t="s">
        <v>311</v>
      </c>
      <c r="B62" t="s">
        <v>2895</v>
      </c>
      <c r="C62" t="s">
        <v>2928</v>
      </c>
      <c r="D62" t="s">
        <v>2927</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31">
        <v>-1.4E-2</v>
      </c>
    </row>
    <row r="63" spans="1:33">
      <c r="A63" t="s">
        <v>279</v>
      </c>
      <c r="B63" t="s">
        <v>2897</v>
      </c>
      <c r="C63" t="s">
        <v>2929</v>
      </c>
      <c r="D63" t="s">
        <v>2927</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31">
        <v>-5.0000000000000001E-3</v>
      </c>
    </row>
    <row r="64" spans="1:33">
      <c r="A64" t="s">
        <v>312</v>
      </c>
      <c r="B64" t="s">
        <v>2899</v>
      </c>
      <c r="C64" t="s">
        <v>2930</v>
      </c>
      <c r="D64" t="s">
        <v>2927</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31">
        <v>-1E-3</v>
      </c>
    </row>
    <row r="65" spans="1:33">
      <c r="A65" t="s">
        <v>180</v>
      </c>
      <c r="B65" t="s">
        <v>2901</v>
      </c>
      <c r="C65" t="s">
        <v>2931</v>
      </c>
      <c r="D65" t="s">
        <v>2927</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31">
        <v>1.0999999999999999E-2</v>
      </c>
    </row>
    <row r="66" spans="1:33">
      <c r="A66" t="s">
        <v>180</v>
      </c>
      <c r="B66" t="s">
        <v>2903</v>
      </c>
      <c r="C66" t="s">
        <v>2932</v>
      </c>
      <c r="D66" t="s">
        <v>2927</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31">
        <v>-3.0000000000000001E-3</v>
      </c>
    </row>
    <row r="67" spans="1:33">
      <c r="A67" t="s">
        <v>2905</v>
      </c>
      <c r="B67" t="s">
        <v>2906</v>
      </c>
      <c r="C67" t="s">
        <v>2933</v>
      </c>
      <c r="D67" t="s">
        <v>2927</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31">
        <v>-7.0000000000000001E-3</v>
      </c>
    </row>
    <row r="68" spans="1:33">
      <c r="A68" t="s">
        <v>2905</v>
      </c>
      <c r="B68" t="s">
        <v>2908</v>
      </c>
      <c r="C68" t="s">
        <v>2934</v>
      </c>
      <c r="D68" t="s">
        <v>2927</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31">
        <v>8.9999999999999993E-3</v>
      </c>
    </row>
    <row r="69" spans="1:33">
      <c r="A69" t="s">
        <v>281</v>
      </c>
      <c r="B69" t="s">
        <v>2910</v>
      </c>
      <c r="C69" t="s">
        <v>2935</v>
      </c>
      <c r="D69" t="s">
        <v>2927</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31">
        <v>-5.0000000000000001E-3</v>
      </c>
    </row>
    <row r="70" spans="1:33">
      <c r="A70" t="s">
        <v>185</v>
      </c>
      <c r="B70" t="s">
        <v>2912</v>
      </c>
      <c r="C70" t="s">
        <v>2936</v>
      </c>
      <c r="D70" t="s">
        <v>2927</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31">
        <v>8.9999999999999993E-3</v>
      </c>
    </row>
    <row r="71" spans="1:33">
      <c r="A71" t="s">
        <v>278</v>
      </c>
      <c r="B71" t="s">
        <v>2914</v>
      </c>
      <c r="C71" t="s">
        <v>2937</v>
      </c>
      <c r="D71" t="s">
        <v>2927</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31">
        <v>2E-3</v>
      </c>
    </row>
    <row r="72" spans="1:33">
      <c r="A72" t="s">
        <v>282</v>
      </c>
      <c r="B72" t="s">
        <v>2916</v>
      </c>
      <c r="C72" t="s">
        <v>2938</v>
      </c>
      <c r="D72" t="s">
        <v>2927</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31">
        <v>0</v>
      </c>
    </row>
    <row r="73" spans="1:33">
      <c r="A73" t="s">
        <v>2918</v>
      </c>
      <c r="B73" t="s">
        <v>2919</v>
      </c>
      <c r="C73" t="s">
        <v>2939</v>
      </c>
      <c r="D73" t="s">
        <v>2927</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31">
        <v>-4.0000000000000001E-3</v>
      </c>
    </row>
    <row r="74" spans="1:33">
      <c r="A74" t="s">
        <v>1144</v>
      </c>
      <c r="B74" t="s">
        <v>2921</v>
      </c>
      <c r="C74" t="s">
        <v>2940</v>
      </c>
      <c r="D74" t="s">
        <v>2927</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31">
        <v>3.6999999999999998E-2</v>
      </c>
    </row>
    <row r="75" spans="1:33">
      <c r="A75" t="s">
        <v>193</v>
      </c>
      <c r="B75" t="s">
        <v>2923</v>
      </c>
      <c r="C75" t="s">
        <v>2941</v>
      </c>
      <c r="D75" t="s">
        <v>2927</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31">
        <v>-3.0000000000000001E-3</v>
      </c>
    </row>
    <row r="76" spans="1:33">
      <c r="A76" t="s">
        <v>2942</v>
      </c>
    </row>
    <row r="77" spans="1:33">
      <c r="A77" t="s">
        <v>333</v>
      </c>
    </row>
    <row r="78" spans="1:33">
      <c r="A78" t="s">
        <v>2943</v>
      </c>
      <c r="B78" t="s">
        <v>2944</v>
      </c>
      <c r="C78" t="s">
        <v>2945</v>
      </c>
      <c r="D78" t="s">
        <v>2946</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31">
        <v>-1.9E-2</v>
      </c>
    </row>
    <row r="79" spans="1:33">
      <c r="A79" t="s">
        <v>2947</v>
      </c>
      <c r="B79" t="s">
        <v>2948</v>
      </c>
      <c r="C79" t="s">
        <v>2945</v>
      </c>
      <c r="D79" t="s">
        <v>2946</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31">
        <v>-2.3E-2</v>
      </c>
    </row>
    <row r="80" spans="1:33">
      <c r="A80" t="s">
        <v>2949</v>
      </c>
      <c r="B80" t="s">
        <v>2950</v>
      </c>
      <c r="C80" t="s">
        <v>2945</v>
      </c>
      <c r="D80" t="s">
        <v>2946</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31">
        <v>-2.3E-2</v>
      </c>
    </row>
    <row r="81" spans="1:33">
      <c r="A81" t="s">
        <v>312</v>
      </c>
    </row>
    <row r="82" spans="1:33">
      <c r="A82" t="s">
        <v>2951</v>
      </c>
      <c r="B82" t="s">
        <v>2952</v>
      </c>
      <c r="C82" t="s">
        <v>2953</v>
      </c>
      <c r="D82" t="s">
        <v>2954</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31">
        <v>-2.3E-2</v>
      </c>
    </row>
    <row r="83" spans="1:33">
      <c r="A83" t="s">
        <v>2955</v>
      </c>
      <c r="B83" t="s">
        <v>2956</v>
      </c>
      <c r="C83" t="s">
        <v>2953</v>
      </c>
      <c r="D83" t="s">
        <v>2954</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31">
        <v>-2.3E-2</v>
      </c>
    </row>
    <row r="84" spans="1:33">
      <c r="A84" t="s">
        <v>2957</v>
      </c>
      <c r="B84" t="s">
        <v>2958</v>
      </c>
      <c r="C84" t="s">
        <v>2953</v>
      </c>
      <c r="D84" t="s">
        <v>2954</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31">
        <v>-2.3E-2</v>
      </c>
    </row>
    <row r="85" spans="1:33">
      <c r="A85" t="s">
        <v>2959</v>
      </c>
      <c r="B85" t="s">
        <v>2960</v>
      </c>
      <c r="C85" t="s">
        <v>2953</v>
      </c>
      <c r="D85" t="s">
        <v>2954</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31">
        <v>-2.3E-2</v>
      </c>
    </row>
    <row r="86" spans="1:33">
      <c r="A86" t="s">
        <v>2949</v>
      </c>
      <c r="B86" t="s">
        <v>2961</v>
      </c>
      <c r="C86" t="s">
        <v>2953</v>
      </c>
      <c r="D86" t="s">
        <v>2954</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31">
        <v>-2.3E-2</v>
      </c>
    </row>
    <row r="87" spans="1:33">
      <c r="A87" t="s">
        <v>2962</v>
      </c>
    </row>
    <row r="88" spans="1:33">
      <c r="A88" t="s">
        <v>2963</v>
      </c>
      <c r="B88" t="s">
        <v>2964</v>
      </c>
      <c r="C88" t="s">
        <v>2965</v>
      </c>
      <c r="D88" t="s">
        <v>2966</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31">
        <v>-4.0000000000000001E-3</v>
      </c>
    </row>
    <row r="89" spans="1:33">
      <c r="A89" t="s">
        <v>333</v>
      </c>
      <c r="B89" t="s">
        <v>2967</v>
      </c>
      <c r="C89" t="s">
        <v>2968</v>
      </c>
      <c r="D89" t="s">
        <v>2966</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31">
        <v>-5.0000000000000001E-3</v>
      </c>
    </row>
    <row r="90" spans="1:33">
      <c r="A90" t="s">
        <v>2969</v>
      </c>
      <c r="B90" t="s">
        <v>2970</v>
      </c>
      <c r="C90" t="s">
        <v>2968</v>
      </c>
      <c r="D90" t="s">
        <v>2966</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31">
        <v>-5.0000000000000001E-3</v>
      </c>
    </row>
    <row r="91" spans="1:33">
      <c r="A91" t="s">
        <v>2971</v>
      </c>
      <c r="B91" t="s">
        <v>2972</v>
      </c>
      <c r="C91" t="s">
        <v>2968</v>
      </c>
      <c r="D91" t="s">
        <v>2966</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31">
        <v>-0.01</v>
      </c>
    </row>
    <row r="92" spans="1:33">
      <c r="A92" t="s">
        <v>2973</v>
      </c>
      <c r="B92" t="s">
        <v>2974</v>
      </c>
      <c r="C92" t="s">
        <v>2968</v>
      </c>
      <c r="D92" t="s">
        <v>2966</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31">
        <v>-0.01</v>
      </c>
    </row>
    <row r="93" spans="1:33">
      <c r="A93" t="s">
        <v>2975</v>
      </c>
      <c r="B93" t="s">
        <v>2976</v>
      </c>
      <c r="C93" t="s">
        <v>2977</v>
      </c>
      <c r="D93" t="s">
        <v>2966</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31">
        <v>-8.0000000000000002E-3</v>
      </c>
    </row>
    <row r="94" spans="1:33">
      <c r="A94" t="s">
        <v>340</v>
      </c>
      <c r="B94" t="s">
        <v>2978</v>
      </c>
      <c r="C94" t="s">
        <v>2977</v>
      </c>
      <c r="D94" t="s">
        <v>2966</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31">
        <v>-8.9999999999999993E-3</v>
      </c>
    </row>
    <row r="95" spans="1:33">
      <c r="A95" t="s">
        <v>338</v>
      </c>
      <c r="B95" t="s">
        <v>2979</v>
      </c>
      <c r="C95" t="s">
        <v>2977</v>
      </c>
      <c r="D95" t="s">
        <v>2966</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31">
        <v>-8.0000000000000002E-3</v>
      </c>
    </row>
    <row r="96" spans="1:33">
      <c r="A96" t="s">
        <v>339</v>
      </c>
      <c r="B96" t="s">
        <v>2980</v>
      </c>
      <c r="C96" t="s">
        <v>2977</v>
      </c>
      <c r="D96" t="s">
        <v>2966</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31">
        <v>-4.0000000000000001E-3</v>
      </c>
    </row>
    <row r="97" spans="1:33">
      <c r="A97" t="s">
        <v>2981</v>
      </c>
      <c r="B97" t="s">
        <v>2982</v>
      </c>
      <c r="C97" t="s">
        <v>2983</v>
      </c>
      <c r="D97" t="s">
        <v>2966</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31">
        <v>-1.6E-2</v>
      </c>
    </row>
    <row r="98" spans="1:33">
      <c r="A98" t="s">
        <v>2984</v>
      </c>
      <c r="B98" t="s">
        <v>2985</v>
      </c>
      <c r="C98" t="s">
        <v>2983</v>
      </c>
      <c r="D98" t="s">
        <v>2966</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31">
        <v>-4.0000000000000001E-3</v>
      </c>
    </row>
    <row r="99" spans="1:33">
      <c r="A99" t="s">
        <v>2986</v>
      </c>
      <c r="B99" t="s">
        <v>2987</v>
      </c>
      <c r="C99" t="s">
        <v>2983</v>
      </c>
      <c r="D99" t="s">
        <v>2966</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31">
        <v>-3.0000000000000001E-3</v>
      </c>
    </row>
    <row r="100" spans="1:33">
      <c r="A100" t="s">
        <v>2988</v>
      </c>
    </row>
    <row r="101" spans="1:33">
      <c r="A101" t="s">
        <v>2984</v>
      </c>
      <c r="B101" t="s">
        <v>2989</v>
      </c>
      <c r="C101" t="s">
        <v>2990</v>
      </c>
      <c r="D101" t="s">
        <v>2966</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31">
        <v>-4.0000000000000001E-3</v>
      </c>
    </row>
    <row r="102" spans="1:33">
      <c r="A102" t="s">
        <v>2986</v>
      </c>
      <c r="B102" t="s">
        <v>2991</v>
      </c>
      <c r="C102" t="s">
        <v>2990</v>
      </c>
      <c r="D102" t="s">
        <v>2966</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31">
        <v>-3.0000000000000001E-3</v>
      </c>
    </row>
    <row r="103" spans="1:33">
      <c r="A103" t="s">
        <v>2992</v>
      </c>
      <c r="B103" t="s">
        <v>2993</v>
      </c>
      <c r="C103" t="s">
        <v>2994</v>
      </c>
      <c r="D103" t="s">
        <v>2995</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31">
        <v>1E-3</v>
      </c>
    </row>
    <row r="104" spans="1:33">
      <c r="A104" t="s">
        <v>2996</v>
      </c>
    </row>
    <row r="105" spans="1:33">
      <c r="A105" t="s">
        <v>316</v>
      </c>
    </row>
    <row r="106" spans="1:33">
      <c r="A106" t="s">
        <v>312</v>
      </c>
      <c r="B106" t="s">
        <v>2997</v>
      </c>
      <c r="C106" t="s">
        <v>2998</v>
      </c>
      <c r="D106" t="s">
        <v>2999</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31">
        <v>3.0000000000000001E-3</v>
      </c>
    </row>
    <row r="107" spans="1:33">
      <c r="A107" t="s">
        <v>2986</v>
      </c>
      <c r="B107" t="s">
        <v>3000</v>
      </c>
      <c r="C107" t="s">
        <v>3001</v>
      </c>
      <c r="D107" t="s">
        <v>2999</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31">
        <v>1E-3</v>
      </c>
    </row>
    <row r="108" spans="1:33">
      <c r="A108" t="s">
        <v>2984</v>
      </c>
      <c r="B108" t="s">
        <v>3002</v>
      </c>
      <c r="C108" t="s">
        <v>3003</v>
      </c>
      <c r="D108" t="s">
        <v>2999</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31">
        <v>1E-3</v>
      </c>
    </row>
    <row r="109" spans="1:33">
      <c r="A109" t="s">
        <v>3004</v>
      </c>
      <c r="B109" t="s">
        <v>3005</v>
      </c>
      <c r="C109" t="s">
        <v>3006</v>
      </c>
      <c r="D109" t="s">
        <v>2999</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117</v>
      </c>
    </row>
    <row r="110" spans="1:33">
      <c r="A110" t="s">
        <v>422</v>
      </c>
      <c r="B110" t="s">
        <v>3007</v>
      </c>
      <c r="C110" t="s">
        <v>3008</v>
      </c>
      <c r="D110" t="s">
        <v>2999</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31">
        <v>4.0000000000000001E-3</v>
      </c>
    </row>
    <row r="111" spans="1:33">
      <c r="A111" t="s">
        <v>423</v>
      </c>
      <c r="B111" t="s">
        <v>3009</v>
      </c>
      <c r="C111" t="s">
        <v>3010</v>
      </c>
      <c r="D111" t="s">
        <v>2999</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31">
        <v>4.0000000000000001E-3</v>
      </c>
    </row>
    <row r="112" spans="1:33">
      <c r="A112" t="s">
        <v>317</v>
      </c>
    </row>
    <row r="113" spans="1:33">
      <c r="A113" t="s">
        <v>312</v>
      </c>
      <c r="B113" t="s">
        <v>3011</v>
      </c>
      <c r="C113" t="s">
        <v>3012</v>
      </c>
      <c r="D113" t="s">
        <v>2999</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31">
        <v>2E-3</v>
      </c>
    </row>
    <row r="114" spans="1:33">
      <c r="A114" t="s">
        <v>2986</v>
      </c>
      <c r="B114" t="s">
        <v>3013</v>
      </c>
      <c r="C114" t="s">
        <v>3014</v>
      </c>
      <c r="D114" t="s">
        <v>2999</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31">
        <v>3.0000000000000001E-3</v>
      </c>
    </row>
    <row r="115" spans="1:33">
      <c r="A115" t="s">
        <v>2984</v>
      </c>
      <c r="B115" t="s">
        <v>3015</v>
      </c>
      <c r="C115" t="s">
        <v>3016</v>
      </c>
      <c r="D115" t="s">
        <v>2999</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31">
        <v>3.0000000000000001E-3</v>
      </c>
    </row>
    <row r="116" spans="1:33">
      <c r="A116" t="s">
        <v>314</v>
      </c>
      <c r="B116" t="s">
        <v>3017</v>
      </c>
      <c r="C116" t="s">
        <v>3018</v>
      </c>
      <c r="D116" t="s">
        <v>2999</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31">
        <v>8.9999999999999993E-3</v>
      </c>
    </row>
    <row r="117" spans="1:33">
      <c r="A117" t="s">
        <v>3004</v>
      </c>
      <c r="B117" t="s">
        <v>3019</v>
      </c>
      <c r="C117" t="s">
        <v>3020</v>
      </c>
      <c r="D117" t="s">
        <v>2999</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31">
        <v>8.9999999999999993E-3</v>
      </c>
    </row>
    <row r="118" spans="1:33">
      <c r="A118" t="s">
        <v>422</v>
      </c>
      <c r="B118" t="s">
        <v>3021</v>
      </c>
      <c r="C118" t="s">
        <v>3022</v>
      </c>
      <c r="D118" t="s">
        <v>2999</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31">
        <v>6.0000000000000001E-3</v>
      </c>
    </row>
    <row r="119" spans="1:33">
      <c r="A119" t="s">
        <v>423</v>
      </c>
      <c r="B119" t="s">
        <v>3023</v>
      </c>
      <c r="C119" t="s">
        <v>3024</v>
      </c>
      <c r="D119" t="s">
        <v>2999</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31">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328125" defaultRowHeight="14.25"/>
  <cols>
    <col min="1" max="1" width="18.73046875" style="175" customWidth="1"/>
    <col min="2" max="2" width="48" style="175" customWidth="1"/>
    <col min="3" max="3" width="9.1328125" style="175"/>
    <col min="4" max="4" width="19.59765625" style="175" customWidth="1"/>
    <col min="5" max="16384" width="9.13281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8330-C73C-434F-93CF-4807081A75F5}">
  <dimension ref="A1:AG61"/>
  <sheetViews>
    <sheetView workbookViewId="0"/>
  </sheetViews>
  <sheetFormatPr defaultRowHeight="14.25"/>
  <cols>
    <col min="1" max="1" width="20.1328125" customWidth="1"/>
  </cols>
  <sheetData>
    <row r="1" spans="1:33">
      <c r="A1" t="s">
        <v>331</v>
      </c>
    </row>
    <row r="2" spans="1:33">
      <c r="A2" t="s">
        <v>4104</v>
      </c>
    </row>
    <row r="3" spans="1:33">
      <c r="A3" t="s">
        <v>4103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44</v>
      </c>
    </row>
    <row r="7" spans="1:33">
      <c r="A7" t="s">
        <v>332</v>
      </c>
    </row>
    <row r="8" spans="1:33">
      <c r="A8" t="s">
        <v>333</v>
      </c>
      <c r="B8" t="s">
        <v>4102</v>
      </c>
      <c r="C8" t="s">
        <v>4101</v>
      </c>
      <c r="D8" t="s">
        <v>354</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31">
        <v>-8.0000000000000002E-3</v>
      </c>
    </row>
    <row r="9" spans="1:33">
      <c r="A9" t="s">
        <v>334</v>
      </c>
      <c r="B9" t="s">
        <v>4100</v>
      </c>
      <c r="C9" t="s">
        <v>4099</v>
      </c>
      <c r="D9" t="s">
        <v>354</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31">
        <v>-2.4E-2</v>
      </c>
    </row>
    <row r="10" spans="1:33">
      <c r="A10" t="s">
        <v>335</v>
      </c>
      <c r="B10" t="s">
        <v>4098</v>
      </c>
      <c r="C10" t="s">
        <v>4097</v>
      </c>
      <c r="D10" t="s">
        <v>354</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31">
        <v>-1E-3</v>
      </c>
    </row>
    <row r="11" spans="1:33">
      <c r="A11" t="s">
        <v>336</v>
      </c>
      <c r="B11" t="s">
        <v>4096</v>
      </c>
      <c r="C11" t="s">
        <v>4095</v>
      </c>
      <c r="D11" t="s">
        <v>354</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31">
        <v>-2.7E-2</v>
      </c>
    </row>
    <row r="12" spans="1:33">
      <c r="A12" t="s">
        <v>311</v>
      </c>
      <c r="B12" t="s">
        <v>4094</v>
      </c>
      <c r="C12" t="s">
        <v>4093</v>
      </c>
      <c r="D12" t="s">
        <v>354</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31">
        <v>-1.4999999999999999E-2</v>
      </c>
    </row>
    <row r="13" spans="1:33">
      <c r="A13" t="s">
        <v>337</v>
      </c>
      <c r="B13" t="s">
        <v>4092</v>
      </c>
      <c r="C13" t="s">
        <v>4091</v>
      </c>
      <c r="D13" t="s">
        <v>354</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31">
        <v>-5.0000000000000001E-3</v>
      </c>
    </row>
    <row r="14" spans="1:33">
      <c r="A14" t="s">
        <v>338</v>
      </c>
      <c r="B14" t="s">
        <v>4090</v>
      </c>
      <c r="C14" t="s">
        <v>4089</v>
      </c>
      <c r="D14" t="s">
        <v>354</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31">
        <v>0</v>
      </c>
    </row>
    <row r="15" spans="1:33">
      <c r="A15" t="s">
        <v>339</v>
      </c>
      <c r="B15" t="s">
        <v>4088</v>
      </c>
      <c r="C15" t="s">
        <v>4087</v>
      </c>
      <c r="D15" t="s">
        <v>354</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31">
        <v>3.0000000000000001E-3</v>
      </c>
    </row>
    <row r="16" spans="1:33">
      <c r="A16" t="s">
        <v>340</v>
      </c>
      <c r="B16" t="s">
        <v>4086</v>
      </c>
      <c r="C16" t="s">
        <v>4085</v>
      </c>
      <c r="D16" t="s">
        <v>354</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31">
        <v>-1.2999999999999999E-2</v>
      </c>
    </row>
    <row r="17" spans="1:33">
      <c r="A17" t="s">
        <v>312</v>
      </c>
      <c r="B17" t="s">
        <v>4084</v>
      </c>
      <c r="C17" t="s">
        <v>4083</v>
      </c>
      <c r="D17" t="s">
        <v>354</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31">
        <v>-1E-3</v>
      </c>
    </row>
    <row r="18" spans="1:33">
      <c r="A18" t="s">
        <v>341</v>
      </c>
      <c r="B18" t="s">
        <v>4082</v>
      </c>
      <c r="C18" t="s">
        <v>4081</v>
      </c>
      <c r="D18" t="s">
        <v>354</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31">
        <v>6.0000000000000001E-3</v>
      </c>
    </row>
    <row r="19" spans="1:33">
      <c r="A19" t="s">
        <v>342</v>
      </c>
      <c r="B19" t="s">
        <v>4080</v>
      </c>
      <c r="C19" t="s">
        <v>4079</v>
      </c>
      <c r="D19" t="s">
        <v>354</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31">
        <v>-7.0000000000000001E-3</v>
      </c>
    </row>
    <row r="20" spans="1:33">
      <c r="A20" t="s">
        <v>392</v>
      </c>
      <c r="B20" t="s">
        <v>4078</v>
      </c>
      <c r="C20" t="s">
        <v>4077</v>
      </c>
      <c r="D20" t="s">
        <v>354</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31">
        <v>-1E-3</v>
      </c>
    </row>
    <row r="21" spans="1:33">
      <c r="A21" t="s">
        <v>343</v>
      </c>
    </row>
    <row r="22" spans="1:33">
      <c r="A22" t="s">
        <v>185</v>
      </c>
      <c r="B22" t="s">
        <v>4076</v>
      </c>
      <c r="C22" t="s">
        <v>3148</v>
      </c>
      <c r="D22" t="s">
        <v>354</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31">
        <v>8.9999999999999993E-3</v>
      </c>
    </row>
    <row r="23" spans="1:33">
      <c r="A23" t="s">
        <v>344</v>
      </c>
      <c r="B23" t="s">
        <v>4075</v>
      </c>
      <c r="C23" t="s">
        <v>4074</v>
      </c>
      <c r="D23" t="s">
        <v>354</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31">
        <v>8.0000000000000002E-3</v>
      </c>
    </row>
    <row r="24" spans="1:33">
      <c r="A24" t="s">
        <v>541</v>
      </c>
      <c r="B24" t="s">
        <v>4073</v>
      </c>
      <c r="C24" t="s">
        <v>4072</v>
      </c>
      <c r="D24" t="s">
        <v>354</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31">
        <v>8.0000000000000002E-3</v>
      </c>
    </row>
    <row r="25" spans="1:33">
      <c r="A25" t="s">
        <v>542</v>
      </c>
      <c r="B25" t="s">
        <v>4071</v>
      </c>
      <c r="C25" t="s">
        <v>4070</v>
      </c>
      <c r="D25" t="s">
        <v>354</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31">
        <v>0.01</v>
      </c>
    </row>
    <row r="26" spans="1:33">
      <c r="A26" t="s">
        <v>543</v>
      </c>
      <c r="B26" t="s">
        <v>4069</v>
      </c>
      <c r="C26" t="s">
        <v>4068</v>
      </c>
      <c r="D26" t="s">
        <v>354</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31">
        <v>0.01</v>
      </c>
    </row>
    <row r="27" spans="1:33">
      <c r="A27" t="s">
        <v>345</v>
      </c>
      <c r="B27" t="s">
        <v>4067</v>
      </c>
      <c r="C27" t="s">
        <v>4066</v>
      </c>
      <c r="D27" t="s">
        <v>354</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31">
        <v>5.0000000000000001E-3</v>
      </c>
    </row>
    <row r="28" spans="1:33">
      <c r="A28" t="s">
        <v>346</v>
      </c>
      <c r="B28" t="s">
        <v>4065</v>
      </c>
      <c r="C28" t="s">
        <v>4064</v>
      </c>
      <c r="D28" t="s">
        <v>354</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31">
        <v>7.0000000000000001E-3</v>
      </c>
    </row>
    <row r="29" spans="1:33">
      <c r="A29" t="s">
        <v>213</v>
      </c>
      <c r="B29" t="s">
        <v>4063</v>
      </c>
      <c r="C29" t="s">
        <v>4062</v>
      </c>
      <c r="D29" t="s">
        <v>354</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31">
        <v>-7.0000000000000001E-3</v>
      </c>
    </row>
    <row r="30" spans="1:33">
      <c r="A30" t="s">
        <v>212</v>
      </c>
      <c r="B30" t="s">
        <v>4061</v>
      </c>
      <c r="C30" t="s">
        <v>4060</v>
      </c>
      <c r="D30" t="s">
        <v>354</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31">
        <v>8.9999999999999993E-3</v>
      </c>
    </row>
    <row r="31" spans="1:33">
      <c r="A31" t="s">
        <v>281</v>
      </c>
      <c r="B31" t="s">
        <v>4059</v>
      </c>
      <c r="C31" t="s">
        <v>4058</v>
      </c>
      <c r="D31" t="s">
        <v>354</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31">
        <v>-5.0000000000000001E-3</v>
      </c>
    </row>
    <row r="32" spans="1:33">
      <c r="A32" t="s">
        <v>180</v>
      </c>
      <c r="B32" t="s">
        <v>4057</v>
      </c>
      <c r="C32" t="s">
        <v>4056</v>
      </c>
      <c r="D32" t="s">
        <v>354</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31">
        <v>-1E-3</v>
      </c>
    </row>
    <row r="33" spans="1:33">
      <c r="A33" t="s">
        <v>346</v>
      </c>
      <c r="B33" t="s">
        <v>4055</v>
      </c>
      <c r="C33" t="s">
        <v>4054</v>
      </c>
      <c r="D33" t="s">
        <v>354</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31">
        <v>-3.0000000000000001E-3</v>
      </c>
    </row>
    <row r="34" spans="1:33">
      <c r="A34" t="s">
        <v>347</v>
      </c>
      <c r="B34" t="s">
        <v>4053</v>
      </c>
      <c r="C34" t="s">
        <v>4052</v>
      </c>
      <c r="D34" t="s">
        <v>354</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31">
        <v>1.0999999999999999E-2</v>
      </c>
    </row>
    <row r="35" spans="1:33">
      <c r="A35" t="s">
        <v>339</v>
      </c>
      <c r="B35" t="s">
        <v>4051</v>
      </c>
      <c r="C35" t="s">
        <v>4050</v>
      </c>
      <c r="D35" t="s">
        <v>354</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31">
        <v>1.2999999999999999E-2</v>
      </c>
    </row>
    <row r="36" spans="1:33">
      <c r="A36" t="s">
        <v>338</v>
      </c>
      <c r="B36" t="s">
        <v>4049</v>
      </c>
      <c r="C36" t="s">
        <v>4048</v>
      </c>
      <c r="D36" t="s">
        <v>354</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31">
        <v>1.2999999999999999E-2</v>
      </c>
    </row>
    <row r="37" spans="1:33">
      <c r="A37" t="s">
        <v>348</v>
      </c>
      <c r="B37" t="s">
        <v>4047</v>
      </c>
      <c r="C37" t="s">
        <v>4046</v>
      </c>
      <c r="D37" t="s">
        <v>354</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31">
        <v>8.9999999999999993E-3</v>
      </c>
    </row>
    <row r="38" spans="1:33">
      <c r="A38" t="s">
        <v>282</v>
      </c>
      <c r="B38" t="s">
        <v>4045</v>
      </c>
      <c r="C38" t="s">
        <v>3244</v>
      </c>
      <c r="D38" t="s">
        <v>354</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31">
        <v>0</v>
      </c>
    </row>
    <row r="39" spans="1:33">
      <c r="A39" t="s">
        <v>283</v>
      </c>
      <c r="B39" t="s">
        <v>4044</v>
      </c>
      <c r="C39" t="s">
        <v>3246</v>
      </c>
      <c r="D39" t="s">
        <v>354</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31">
        <v>-4.0000000000000001E-3</v>
      </c>
    </row>
    <row r="40" spans="1:33">
      <c r="A40" t="s">
        <v>1144</v>
      </c>
      <c r="B40" t="s">
        <v>4043</v>
      </c>
      <c r="C40" t="s">
        <v>3248</v>
      </c>
      <c r="D40" t="s">
        <v>354</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31">
        <v>3.6999999999999998E-2</v>
      </c>
    </row>
    <row r="41" spans="1:33">
      <c r="A41" t="s">
        <v>278</v>
      </c>
      <c r="B41" t="s">
        <v>4042</v>
      </c>
      <c r="C41" t="s">
        <v>4041</v>
      </c>
      <c r="D41" t="s">
        <v>354</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31">
        <v>2E-3</v>
      </c>
    </row>
    <row r="42" spans="1:33">
      <c r="A42" t="s">
        <v>321</v>
      </c>
      <c r="B42" t="s">
        <v>4040</v>
      </c>
      <c r="C42" t="s">
        <v>4039</v>
      </c>
      <c r="D42" t="s">
        <v>354</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31">
        <v>2E-3</v>
      </c>
    </row>
    <row r="43" spans="1:33">
      <c r="A43" t="s">
        <v>315</v>
      </c>
      <c r="B43" t="s">
        <v>4038</v>
      </c>
      <c r="C43" t="s">
        <v>4037</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322</v>
      </c>
      <c r="B44" t="s">
        <v>4036</v>
      </c>
      <c r="C44" t="s">
        <v>4035</v>
      </c>
      <c r="D44" t="s">
        <v>354</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31">
        <v>2E-3</v>
      </c>
    </row>
    <row r="45" spans="1:33">
      <c r="A45" t="s">
        <v>193</v>
      </c>
      <c r="B45" t="s">
        <v>4034</v>
      </c>
      <c r="C45" t="s">
        <v>4033</v>
      </c>
      <c r="D45" t="s">
        <v>354</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31">
        <v>-3.0000000000000001E-3</v>
      </c>
    </row>
    <row r="46" spans="1:33">
      <c r="A46" t="s">
        <v>194</v>
      </c>
    </row>
    <row r="47" spans="1:33">
      <c r="A47" t="s">
        <v>304</v>
      </c>
      <c r="B47" t="s">
        <v>4032</v>
      </c>
      <c r="C47" t="s">
        <v>4031</v>
      </c>
      <c r="D47" t="s">
        <v>354</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31">
        <v>-8.9999999999999993E-3</v>
      </c>
    </row>
    <row r="48" spans="1:33">
      <c r="A48" t="s">
        <v>305</v>
      </c>
      <c r="B48" t="s">
        <v>4030</v>
      </c>
      <c r="C48" t="s">
        <v>4029</v>
      </c>
      <c r="D48" t="s">
        <v>354</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31">
        <v>-4.4999999999999998E-2</v>
      </c>
    </row>
    <row r="49" spans="1:33">
      <c r="A49" t="s">
        <v>327</v>
      </c>
      <c r="B49" t="s">
        <v>4028</v>
      </c>
      <c r="C49" t="s">
        <v>4027</v>
      </c>
      <c r="D49" t="s">
        <v>354</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31">
        <v>-6.0000000000000001E-3</v>
      </c>
    </row>
    <row r="50" spans="1:33">
      <c r="A50" t="s">
        <v>349</v>
      </c>
      <c r="B50" t="s">
        <v>4026</v>
      </c>
      <c r="C50" t="s">
        <v>4025</v>
      </c>
      <c r="D50" t="s">
        <v>354</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31">
        <v>8.0000000000000002E-3</v>
      </c>
    </row>
    <row r="51" spans="1:33">
      <c r="A51" t="s">
        <v>315</v>
      </c>
      <c r="B51" t="s">
        <v>4024</v>
      </c>
      <c r="C51" t="s">
        <v>4023</v>
      </c>
      <c r="D51" t="s">
        <v>354</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31">
        <v>5.0000000000000001E-3</v>
      </c>
    </row>
    <row r="52" spans="1:33">
      <c r="A52" t="s">
        <v>320</v>
      </c>
      <c r="B52" t="s">
        <v>4022</v>
      </c>
      <c r="C52" t="s">
        <v>4021</v>
      </c>
      <c r="D52" t="s">
        <v>354</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31">
        <v>0</v>
      </c>
    </row>
    <row r="53" spans="1:33">
      <c r="A53" t="s">
        <v>308</v>
      </c>
      <c r="B53" t="s">
        <v>4020</v>
      </c>
      <c r="C53" t="s">
        <v>4019</v>
      </c>
      <c r="D53" t="s">
        <v>354</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31">
        <v>-0.01</v>
      </c>
    </row>
    <row r="54" spans="1:33">
      <c r="A54" t="s">
        <v>282</v>
      </c>
      <c r="B54" t="s">
        <v>4018</v>
      </c>
      <c r="C54" t="s">
        <v>4017</v>
      </c>
      <c r="D54" t="s">
        <v>354</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31">
        <v>0</v>
      </c>
    </row>
    <row r="55" spans="1:33">
      <c r="A55" t="s">
        <v>350</v>
      </c>
      <c r="B55" t="s">
        <v>4016</v>
      </c>
      <c r="C55" t="s">
        <v>4015</v>
      </c>
      <c r="D55" t="s">
        <v>354</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31">
        <v>-5.0000000000000001E-3</v>
      </c>
    </row>
    <row r="56" spans="1:33">
      <c r="A56" t="s">
        <v>309</v>
      </c>
      <c r="B56" t="s">
        <v>4014</v>
      </c>
      <c r="C56" t="s">
        <v>4013</v>
      </c>
      <c r="D56" t="s">
        <v>354</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31">
        <v>0.10299999999999999</v>
      </c>
    </row>
    <row r="57" spans="1:33">
      <c r="A57" t="s">
        <v>307</v>
      </c>
      <c r="B57" t="s">
        <v>4012</v>
      </c>
      <c r="C57" t="s">
        <v>4011</v>
      </c>
      <c r="D57" t="s">
        <v>354</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31">
        <v>2.9000000000000001E-2</v>
      </c>
    </row>
    <row r="58" spans="1:33">
      <c r="A58" t="s">
        <v>310</v>
      </c>
      <c r="B58" t="s">
        <v>4010</v>
      </c>
      <c r="C58" t="s">
        <v>4009</v>
      </c>
      <c r="D58" t="s">
        <v>354</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31">
        <v>-4.4999999999999998E-2</v>
      </c>
    </row>
    <row r="59" spans="1:33">
      <c r="A59" t="s">
        <v>283</v>
      </c>
      <c r="B59" t="s">
        <v>3245</v>
      </c>
      <c r="C59" t="s">
        <v>3246</v>
      </c>
      <c r="D59" t="s">
        <v>354</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31">
        <v>-4.0000000000000001E-3</v>
      </c>
    </row>
    <row r="60" spans="1:33">
      <c r="A60" t="s">
        <v>1144</v>
      </c>
      <c r="B60" t="s">
        <v>3247</v>
      </c>
      <c r="C60" t="s">
        <v>3248</v>
      </c>
      <c r="D60" t="s">
        <v>354</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31">
        <v>3.6999999999999998E-2</v>
      </c>
    </row>
    <row r="61" spans="1:33">
      <c r="A61" t="s">
        <v>195</v>
      </c>
      <c r="B61" t="s">
        <v>4008</v>
      </c>
      <c r="C61" t="s">
        <v>3250</v>
      </c>
      <c r="D61" t="s">
        <v>354</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H96"/>
  <sheetViews>
    <sheetView topLeftCell="A53" workbookViewId="0">
      <selection activeCell="A62" sqref="A62"/>
    </sheetView>
  </sheetViews>
  <sheetFormatPr defaultRowHeight="14.25"/>
  <cols>
    <col min="1" max="1" width="21.3984375" customWidth="1"/>
    <col min="2" max="2" width="39.265625" customWidth="1"/>
    <col min="3" max="3" width="89.86328125" bestFit="1" customWidth="1"/>
  </cols>
  <sheetData>
    <row r="1" spans="2:34">
      <c r="B1" t="s">
        <v>301</v>
      </c>
    </row>
    <row r="2" spans="2:34">
      <c r="B2" t="s">
        <v>3067</v>
      </c>
    </row>
    <row r="3" spans="2:34">
      <c r="B3" t="s">
        <v>3068</v>
      </c>
    </row>
    <row r="4" spans="2:34">
      <c r="B4" t="s">
        <v>302</v>
      </c>
    </row>
    <row r="5" spans="2: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2:34">
      <c r="B6" t="s">
        <v>276</v>
      </c>
      <c r="C6" t="s">
        <v>3069</v>
      </c>
      <c r="D6" t="s">
        <v>3070</v>
      </c>
      <c r="E6" t="s">
        <v>354</v>
      </c>
      <c r="G6">
        <v>15264.655273</v>
      </c>
      <c r="H6">
        <v>15318.793944999999</v>
      </c>
      <c r="I6">
        <v>15263.795898</v>
      </c>
      <c r="J6">
        <v>15137.205078000001</v>
      </c>
      <c r="K6">
        <v>14977.219727</v>
      </c>
      <c r="L6">
        <v>14792.021484000001</v>
      </c>
      <c r="M6">
        <v>14586.776367</v>
      </c>
      <c r="N6">
        <v>14410.759765999999</v>
      </c>
      <c r="O6">
        <v>14212.753906</v>
      </c>
      <c r="P6">
        <v>14032.136719</v>
      </c>
      <c r="Q6">
        <v>13876.546875</v>
      </c>
      <c r="R6">
        <v>13716.935546999999</v>
      </c>
      <c r="S6">
        <v>13531.819336</v>
      </c>
      <c r="T6">
        <v>13355.208984000001</v>
      </c>
      <c r="U6">
        <v>13213.083984000001</v>
      </c>
      <c r="V6">
        <v>13074.737305000001</v>
      </c>
      <c r="W6">
        <v>12960.390625</v>
      </c>
      <c r="X6">
        <v>12861.575194999999</v>
      </c>
      <c r="Y6">
        <v>12746.392578000001</v>
      </c>
      <c r="Z6">
        <v>12672.746094</v>
      </c>
      <c r="AA6">
        <v>12583.179688</v>
      </c>
      <c r="AB6">
        <v>12516.974609000001</v>
      </c>
      <c r="AC6">
        <v>12440.612305000001</v>
      </c>
      <c r="AD6">
        <v>12393.320312</v>
      </c>
      <c r="AE6">
        <v>12311.716796999999</v>
      </c>
      <c r="AF6">
        <v>12264.786133</v>
      </c>
      <c r="AG6">
        <v>12255.930664</v>
      </c>
      <c r="AH6" s="31">
        <v>-8.0000000000000002E-3</v>
      </c>
    </row>
    <row r="7" spans="2:34">
      <c r="B7" t="s">
        <v>304</v>
      </c>
      <c r="C7" t="s">
        <v>3071</v>
      </c>
      <c r="D7" t="s">
        <v>3072</v>
      </c>
      <c r="E7" t="s">
        <v>354</v>
      </c>
      <c r="G7">
        <v>15082.832031</v>
      </c>
      <c r="H7">
        <v>15102.086914</v>
      </c>
      <c r="I7">
        <v>15001.700194999999</v>
      </c>
      <c r="J7">
        <v>14826.172852</v>
      </c>
      <c r="K7">
        <v>14611.696289</v>
      </c>
      <c r="L7">
        <v>14370.883789</v>
      </c>
      <c r="M7">
        <v>14109.580078000001</v>
      </c>
      <c r="N7">
        <v>13886.185546999999</v>
      </c>
      <c r="O7">
        <v>13640.148438</v>
      </c>
      <c r="P7">
        <v>13418.370117</v>
      </c>
      <c r="Q7">
        <v>13220.600586</v>
      </c>
      <c r="R7">
        <v>13020.751953000001</v>
      </c>
      <c r="S7">
        <v>12794.552734000001</v>
      </c>
      <c r="T7">
        <v>12576.742188</v>
      </c>
      <c r="U7">
        <v>12394.092773</v>
      </c>
      <c r="V7">
        <v>12215.558594</v>
      </c>
      <c r="W7">
        <v>12062.521484000001</v>
      </c>
      <c r="X7">
        <v>11926.910156</v>
      </c>
      <c r="Y7">
        <v>11776.866211</v>
      </c>
      <c r="Z7">
        <v>11670.566406</v>
      </c>
      <c r="AA7">
        <v>11550.738281</v>
      </c>
      <c r="AB7">
        <v>11456.912109000001</v>
      </c>
      <c r="AC7">
        <v>11354.418944999999</v>
      </c>
      <c r="AD7">
        <v>11282.190430000001</v>
      </c>
      <c r="AE7">
        <v>11177.411133</v>
      </c>
      <c r="AF7">
        <v>11107.422852</v>
      </c>
      <c r="AG7">
        <v>11075.950194999999</v>
      </c>
      <c r="AH7" s="31">
        <v>-1.2E-2</v>
      </c>
    </row>
    <row r="8" spans="2:34">
      <c r="B8" t="s">
        <v>305</v>
      </c>
      <c r="C8" t="s">
        <v>3073</v>
      </c>
      <c r="D8" t="s">
        <v>3074</v>
      </c>
      <c r="E8" t="s">
        <v>354</v>
      </c>
      <c r="G8">
        <v>36.493248000000001</v>
      </c>
      <c r="H8">
        <v>35.324047</v>
      </c>
      <c r="I8">
        <v>33.054344</v>
      </c>
      <c r="J8">
        <v>30.216524</v>
      </c>
      <c r="K8">
        <v>29.000741999999999</v>
      </c>
      <c r="L8">
        <v>27.631107</v>
      </c>
      <c r="M8">
        <v>26.088915</v>
      </c>
      <c r="N8">
        <v>23.857711999999999</v>
      </c>
      <c r="O8">
        <v>21.977796999999999</v>
      </c>
      <c r="P8">
        <v>20.037936999999999</v>
      </c>
      <c r="Q8">
        <v>18.306711</v>
      </c>
      <c r="R8">
        <v>16.690548</v>
      </c>
      <c r="S8">
        <v>15.190678</v>
      </c>
      <c r="T8">
        <v>14.10623</v>
      </c>
      <c r="U8">
        <v>12.678630999999999</v>
      </c>
      <c r="V8">
        <v>11.868214</v>
      </c>
      <c r="W8">
        <v>11.293405999999999</v>
      </c>
      <c r="X8">
        <v>10.778375</v>
      </c>
      <c r="Y8">
        <v>10.287208</v>
      </c>
      <c r="Z8">
        <v>9.9186230000000002</v>
      </c>
      <c r="AA8">
        <v>9.7976939999999999</v>
      </c>
      <c r="AB8">
        <v>9.2459539999999993</v>
      </c>
      <c r="AC8">
        <v>9.049213</v>
      </c>
      <c r="AD8">
        <v>9.1681340000000002</v>
      </c>
      <c r="AE8">
        <v>8.9579869999999993</v>
      </c>
      <c r="AF8">
        <v>8.7842780000000005</v>
      </c>
      <c r="AG8">
        <v>8.5644519999999993</v>
      </c>
      <c r="AH8" s="31">
        <v>-5.3999999999999999E-2</v>
      </c>
    </row>
    <row r="9" spans="2:34">
      <c r="B9" t="s">
        <v>306</v>
      </c>
      <c r="C9" t="s">
        <v>3075</v>
      </c>
      <c r="D9" t="s">
        <v>3076</v>
      </c>
      <c r="E9" t="s">
        <v>354</v>
      </c>
      <c r="G9">
        <v>87.055556999999993</v>
      </c>
      <c r="H9">
        <v>95.813736000000006</v>
      </c>
      <c r="I9">
        <v>104.507935</v>
      </c>
      <c r="J9">
        <v>111.845032</v>
      </c>
      <c r="K9">
        <v>118.39093800000001</v>
      </c>
      <c r="L9">
        <v>125.015457</v>
      </c>
      <c r="M9">
        <v>128.80909700000001</v>
      </c>
      <c r="N9">
        <v>132.43237300000001</v>
      </c>
      <c r="O9">
        <v>135.511551</v>
      </c>
      <c r="P9">
        <v>137.266876</v>
      </c>
      <c r="Q9">
        <v>139.63299599999999</v>
      </c>
      <c r="R9">
        <v>141.013901</v>
      </c>
      <c r="S9">
        <v>142.85320999999999</v>
      </c>
      <c r="T9">
        <v>144.476776</v>
      </c>
      <c r="U9">
        <v>146.03744499999999</v>
      </c>
      <c r="V9">
        <v>147.20349100000001</v>
      </c>
      <c r="W9">
        <v>147.97177099999999</v>
      </c>
      <c r="X9">
        <v>148.60348500000001</v>
      </c>
      <c r="Y9">
        <v>149.49903900000001</v>
      </c>
      <c r="Z9">
        <v>149.937286</v>
      </c>
      <c r="AA9">
        <v>149.69160500000001</v>
      </c>
      <c r="AB9">
        <v>149.08166499999999</v>
      </c>
      <c r="AC9">
        <v>148.949219</v>
      </c>
      <c r="AD9">
        <v>148.95747399999999</v>
      </c>
      <c r="AE9">
        <v>148.59544399999999</v>
      </c>
      <c r="AF9">
        <v>148.537384</v>
      </c>
      <c r="AG9">
        <v>148.52256800000001</v>
      </c>
      <c r="AH9" s="31">
        <v>2.1000000000000001E-2</v>
      </c>
    </row>
    <row r="10" spans="2:34">
      <c r="B10" t="s">
        <v>307</v>
      </c>
      <c r="C10" t="s">
        <v>3077</v>
      </c>
      <c r="D10" t="s">
        <v>3078</v>
      </c>
      <c r="E10" t="s">
        <v>354</v>
      </c>
      <c r="G10">
        <v>0.66039800000000004</v>
      </c>
      <c r="H10">
        <v>0.60518499999999997</v>
      </c>
      <c r="I10">
        <v>0.54915499999999995</v>
      </c>
      <c r="J10">
        <v>0.49468299999999998</v>
      </c>
      <c r="K10">
        <v>0.454592</v>
      </c>
      <c r="L10">
        <v>0.42900500000000003</v>
      </c>
      <c r="M10">
        <v>0.39121800000000001</v>
      </c>
      <c r="N10">
        <v>0.353904</v>
      </c>
      <c r="O10">
        <v>0.32100000000000001</v>
      </c>
      <c r="P10">
        <v>0.29277500000000001</v>
      </c>
      <c r="Q10">
        <v>0.265233</v>
      </c>
      <c r="R10">
        <v>0.20321700000000001</v>
      </c>
      <c r="S10">
        <v>0.180974</v>
      </c>
      <c r="T10">
        <v>0.167022</v>
      </c>
      <c r="U10">
        <v>0.153364</v>
      </c>
      <c r="V10">
        <v>0.14274700000000001</v>
      </c>
      <c r="W10">
        <v>0.133997</v>
      </c>
      <c r="X10">
        <v>0.125782</v>
      </c>
      <c r="Y10">
        <v>0.118071</v>
      </c>
      <c r="Z10">
        <v>0.11083800000000001</v>
      </c>
      <c r="AA10">
        <v>0.104047</v>
      </c>
      <c r="AB10">
        <v>9.7719E-2</v>
      </c>
      <c r="AC10">
        <v>9.1732999999999995E-2</v>
      </c>
      <c r="AD10">
        <v>8.6113999999999996E-2</v>
      </c>
      <c r="AE10">
        <v>8.0839999999999995E-2</v>
      </c>
      <c r="AF10">
        <v>7.5889999999999999E-2</v>
      </c>
      <c r="AG10">
        <v>7.1244000000000002E-2</v>
      </c>
      <c r="AH10" s="31">
        <v>-8.2000000000000003E-2</v>
      </c>
    </row>
    <row r="11" spans="2:34">
      <c r="B11" t="s">
        <v>308</v>
      </c>
      <c r="C11" t="s">
        <v>3079</v>
      </c>
      <c r="D11" t="s">
        <v>3080</v>
      </c>
      <c r="E11" t="s">
        <v>354</v>
      </c>
      <c r="G11">
        <v>0.63888999999999996</v>
      </c>
      <c r="H11">
        <v>0.577901</v>
      </c>
      <c r="I11">
        <v>0.51927299999999998</v>
      </c>
      <c r="J11">
        <v>0.47898499999999999</v>
      </c>
      <c r="K11">
        <v>0.44590800000000003</v>
      </c>
      <c r="L11">
        <v>0.41668899999999998</v>
      </c>
      <c r="M11">
        <v>0.38909300000000002</v>
      </c>
      <c r="N11">
        <v>0.364006</v>
      </c>
      <c r="O11">
        <v>0.33676899999999999</v>
      </c>
      <c r="P11">
        <v>0.31163999999999997</v>
      </c>
      <c r="Q11">
        <v>0.29238500000000001</v>
      </c>
      <c r="R11">
        <v>0.274588</v>
      </c>
      <c r="S11">
        <v>0.25867400000000002</v>
      </c>
      <c r="T11">
        <v>0.24304400000000001</v>
      </c>
      <c r="U11">
        <v>0.22870599999999999</v>
      </c>
      <c r="V11">
        <v>0.215165</v>
      </c>
      <c r="W11">
        <v>0.201597</v>
      </c>
      <c r="X11">
        <v>0.18818499999999999</v>
      </c>
      <c r="Y11">
        <v>0.17565600000000001</v>
      </c>
      <c r="Z11">
        <v>0.16469400000000001</v>
      </c>
      <c r="AA11">
        <v>0.154083</v>
      </c>
      <c r="AB11">
        <v>0.14483299999999999</v>
      </c>
      <c r="AC11">
        <v>0.13509199999999999</v>
      </c>
      <c r="AD11">
        <v>0.126557</v>
      </c>
      <c r="AE11">
        <v>0.118808</v>
      </c>
      <c r="AF11">
        <v>0.11133899999999999</v>
      </c>
      <c r="AG11">
        <v>0.105409</v>
      </c>
      <c r="AH11" s="31">
        <v>-6.7000000000000004E-2</v>
      </c>
    </row>
    <row r="12" spans="2:34">
      <c r="B12" t="s">
        <v>309</v>
      </c>
      <c r="C12" t="s">
        <v>3081</v>
      </c>
      <c r="D12" t="s">
        <v>3082</v>
      </c>
      <c r="E12" t="s">
        <v>354</v>
      </c>
      <c r="G12">
        <v>56.573005999999999</v>
      </c>
      <c r="H12">
        <v>83.956969999999998</v>
      </c>
      <c r="I12">
        <v>123.025932</v>
      </c>
      <c r="J12">
        <v>167.55509900000001</v>
      </c>
      <c r="K12">
        <v>216.78942900000001</v>
      </c>
      <c r="L12">
        <v>267.21673600000003</v>
      </c>
      <c r="M12">
        <v>321.101562</v>
      </c>
      <c r="N12">
        <v>367.16476399999999</v>
      </c>
      <c r="O12">
        <v>414.07318099999998</v>
      </c>
      <c r="P12">
        <v>455.49417099999999</v>
      </c>
      <c r="Q12">
        <v>497.10797100000002</v>
      </c>
      <c r="R12">
        <v>537.68353300000001</v>
      </c>
      <c r="S12">
        <v>578.48742700000003</v>
      </c>
      <c r="T12">
        <v>619.20111099999997</v>
      </c>
      <c r="U12">
        <v>659.64343299999996</v>
      </c>
      <c r="V12">
        <v>699.52166699999998</v>
      </c>
      <c r="W12">
        <v>738.06237799999997</v>
      </c>
      <c r="X12">
        <v>774.78204300000004</v>
      </c>
      <c r="Y12">
        <v>809.27581799999996</v>
      </c>
      <c r="Z12">
        <v>841.89172399999995</v>
      </c>
      <c r="AA12">
        <v>872.54925500000002</v>
      </c>
      <c r="AB12">
        <v>901.35949700000003</v>
      </c>
      <c r="AC12">
        <v>927.84582499999999</v>
      </c>
      <c r="AD12">
        <v>952.67511000000002</v>
      </c>
      <c r="AE12">
        <v>976.43872099999999</v>
      </c>
      <c r="AF12">
        <v>999.74530000000004</v>
      </c>
      <c r="AG12">
        <v>1022.609863</v>
      </c>
      <c r="AH12" s="31">
        <v>0.11799999999999999</v>
      </c>
    </row>
    <row r="13" spans="2:34">
      <c r="B13" t="s">
        <v>310</v>
      </c>
      <c r="C13" t="s">
        <v>3083</v>
      </c>
      <c r="D13" t="s">
        <v>3084</v>
      </c>
      <c r="E13" t="s">
        <v>354</v>
      </c>
      <c r="G13">
        <v>0.40270299999999998</v>
      </c>
      <c r="H13">
        <v>0.428566</v>
      </c>
      <c r="I13">
        <v>0.438523</v>
      </c>
      <c r="J13">
        <v>0.44270799999999999</v>
      </c>
      <c r="K13">
        <v>0.44139400000000001</v>
      </c>
      <c r="L13">
        <v>0.42853200000000002</v>
      </c>
      <c r="M13">
        <v>0.41623500000000002</v>
      </c>
      <c r="N13">
        <v>0.40165200000000001</v>
      </c>
      <c r="O13">
        <v>0.38442700000000002</v>
      </c>
      <c r="P13">
        <v>0.362952</v>
      </c>
      <c r="Q13">
        <v>0.34098000000000001</v>
      </c>
      <c r="R13">
        <v>0.31870199999999999</v>
      </c>
      <c r="S13">
        <v>0.29588700000000001</v>
      </c>
      <c r="T13">
        <v>0.272922</v>
      </c>
      <c r="U13">
        <v>0.250058</v>
      </c>
      <c r="V13">
        <v>0.22815199999999999</v>
      </c>
      <c r="W13">
        <v>0.207236</v>
      </c>
      <c r="X13">
        <v>0.18687400000000001</v>
      </c>
      <c r="Y13">
        <v>0.170434</v>
      </c>
      <c r="Z13">
        <v>0.155837</v>
      </c>
      <c r="AA13">
        <v>0.14472299999999999</v>
      </c>
      <c r="AB13">
        <v>0.13236999999999999</v>
      </c>
      <c r="AC13">
        <v>0.123225</v>
      </c>
      <c r="AD13">
        <v>0.116811</v>
      </c>
      <c r="AE13">
        <v>0.112998</v>
      </c>
      <c r="AF13">
        <v>0.10956299999999999</v>
      </c>
      <c r="AG13">
        <v>0.10698199999999999</v>
      </c>
      <c r="AH13" s="31">
        <v>-0.05</v>
      </c>
    </row>
    <row r="14" spans="2:34">
      <c r="B14" t="s">
        <v>311</v>
      </c>
      <c r="C14" t="s">
        <v>3085</v>
      </c>
      <c r="D14" t="s">
        <v>3086</v>
      </c>
      <c r="E14" t="s">
        <v>354</v>
      </c>
      <c r="G14">
        <v>874.37518299999999</v>
      </c>
      <c r="H14">
        <v>855.73950200000002</v>
      </c>
      <c r="I14">
        <v>839.740723</v>
      </c>
      <c r="J14">
        <v>829.06280500000003</v>
      </c>
      <c r="K14">
        <v>817.03814699999998</v>
      </c>
      <c r="L14">
        <v>806.52307099999996</v>
      </c>
      <c r="M14">
        <v>797.05285600000002</v>
      </c>
      <c r="N14">
        <v>786.66845699999999</v>
      </c>
      <c r="O14">
        <v>776.01849400000003</v>
      </c>
      <c r="P14">
        <v>765.74780299999998</v>
      </c>
      <c r="Q14">
        <v>755.152649</v>
      </c>
      <c r="R14">
        <v>744.23339799999997</v>
      </c>
      <c r="S14">
        <v>733.15368699999999</v>
      </c>
      <c r="T14">
        <v>721.99127199999998</v>
      </c>
      <c r="U14">
        <v>710.85888699999998</v>
      </c>
      <c r="V14">
        <v>699.93121299999996</v>
      </c>
      <c r="W14">
        <v>689.72308299999997</v>
      </c>
      <c r="X14">
        <v>678.65417500000001</v>
      </c>
      <c r="Y14">
        <v>668.12085000000002</v>
      </c>
      <c r="Z14">
        <v>657.26190199999996</v>
      </c>
      <c r="AA14">
        <v>646.87323000000004</v>
      </c>
      <c r="AB14">
        <v>636.53192100000001</v>
      </c>
      <c r="AC14">
        <v>626.424622</v>
      </c>
      <c r="AD14">
        <v>616.49578899999995</v>
      </c>
      <c r="AE14">
        <v>606.53204300000004</v>
      </c>
      <c r="AF14">
        <v>596.60644500000001</v>
      </c>
      <c r="AG14">
        <v>586.682861</v>
      </c>
      <c r="AH14" s="31">
        <v>-1.4999999999999999E-2</v>
      </c>
    </row>
    <row r="15" spans="2:34">
      <c r="B15" t="s">
        <v>304</v>
      </c>
      <c r="C15" t="s">
        <v>3087</v>
      </c>
      <c r="D15" t="s">
        <v>3088</v>
      </c>
      <c r="E15" t="s">
        <v>354</v>
      </c>
      <c r="G15">
        <v>608.84582499999999</v>
      </c>
      <c r="H15">
        <v>602.34234600000002</v>
      </c>
      <c r="I15">
        <v>598.57141100000001</v>
      </c>
      <c r="J15">
        <v>598.02734399999997</v>
      </c>
      <c r="K15">
        <v>597.05413799999997</v>
      </c>
      <c r="L15">
        <v>597.51867700000003</v>
      </c>
      <c r="M15">
        <v>597.57959000000005</v>
      </c>
      <c r="N15">
        <v>597.26855499999999</v>
      </c>
      <c r="O15">
        <v>596.43859899999995</v>
      </c>
      <c r="P15">
        <v>595.41339100000005</v>
      </c>
      <c r="Q15">
        <v>593.97943099999998</v>
      </c>
      <c r="R15">
        <v>591.838257</v>
      </c>
      <c r="S15">
        <v>588.94305399999996</v>
      </c>
      <c r="T15">
        <v>585.04077099999995</v>
      </c>
      <c r="U15">
        <v>580.45666500000004</v>
      </c>
      <c r="V15">
        <v>575.171021</v>
      </c>
      <c r="W15">
        <v>569.657104</v>
      </c>
      <c r="X15">
        <v>563.30285600000002</v>
      </c>
      <c r="Y15">
        <v>556.67156999999997</v>
      </c>
      <c r="Z15">
        <v>549.21490500000004</v>
      </c>
      <c r="AA15">
        <v>541.86505099999999</v>
      </c>
      <c r="AB15">
        <v>534.24523899999997</v>
      </c>
      <c r="AC15">
        <v>526.59002699999996</v>
      </c>
      <c r="AD15">
        <v>518.82629399999996</v>
      </c>
      <c r="AE15">
        <v>510.98663299999998</v>
      </c>
      <c r="AF15">
        <v>503.05392499999999</v>
      </c>
      <c r="AG15">
        <v>495.19235200000003</v>
      </c>
      <c r="AH15" s="31">
        <v>-8.0000000000000002E-3</v>
      </c>
    </row>
    <row r="16" spans="2:34">
      <c r="B16" t="s">
        <v>305</v>
      </c>
      <c r="C16" t="s">
        <v>3089</v>
      </c>
      <c r="D16" t="s">
        <v>3090</v>
      </c>
      <c r="E16" t="s">
        <v>354</v>
      </c>
      <c r="G16">
        <v>3.3636499999999998</v>
      </c>
      <c r="H16">
        <v>3.4067470000000002</v>
      </c>
      <c r="I16">
        <v>3.3543240000000001</v>
      </c>
      <c r="J16">
        <v>3.2885390000000001</v>
      </c>
      <c r="K16">
        <v>3.3905889999999999</v>
      </c>
      <c r="L16">
        <v>3.5174259999999999</v>
      </c>
      <c r="M16">
        <v>3.61917</v>
      </c>
      <c r="N16">
        <v>3.6108020000000001</v>
      </c>
      <c r="O16">
        <v>3.6295920000000002</v>
      </c>
      <c r="P16">
        <v>3.659923</v>
      </c>
      <c r="Q16">
        <v>3.6371609999999999</v>
      </c>
      <c r="R16">
        <v>3.6421950000000001</v>
      </c>
      <c r="S16">
        <v>3.6528450000000001</v>
      </c>
      <c r="T16">
        <v>3.7175240000000001</v>
      </c>
      <c r="U16">
        <v>3.6814689999999999</v>
      </c>
      <c r="V16">
        <v>3.7555809999999998</v>
      </c>
      <c r="W16">
        <v>3.8101099999999999</v>
      </c>
      <c r="X16">
        <v>3.8497219999999999</v>
      </c>
      <c r="Y16">
        <v>3.878349</v>
      </c>
      <c r="Z16">
        <v>3.8791020000000001</v>
      </c>
      <c r="AA16">
        <v>3.9045179999999999</v>
      </c>
      <c r="AB16">
        <v>3.919181</v>
      </c>
      <c r="AC16">
        <v>3.9340229999999998</v>
      </c>
      <c r="AD16">
        <v>3.9450240000000001</v>
      </c>
      <c r="AE16">
        <v>3.9532989999999999</v>
      </c>
      <c r="AF16">
        <v>3.9519769999999999</v>
      </c>
      <c r="AG16">
        <v>3.920096</v>
      </c>
      <c r="AH16" s="31">
        <v>6.0000000000000001E-3</v>
      </c>
    </row>
    <row r="17" spans="2:34">
      <c r="B17" t="s">
        <v>306</v>
      </c>
      <c r="C17" t="s">
        <v>3091</v>
      </c>
      <c r="D17" t="s">
        <v>3092</v>
      </c>
      <c r="E17" t="s">
        <v>354</v>
      </c>
      <c r="G17">
        <v>259.73095699999999</v>
      </c>
      <c r="H17">
        <v>246.746262</v>
      </c>
      <c r="I17">
        <v>233.65933200000001</v>
      </c>
      <c r="J17">
        <v>222.639511</v>
      </c>
      <c r="K17">
        <v>210.52593999999999</v>
      </c>
      <c r="L17">
        <v>198.44125399999999</v>
      </c>
      <c r="M17">
        <v>187.82809399999999</v>
      </c>
      <c r="N17">
        <v>176.83654799999999</v>
      </c>
      <c r="O17">
        <v>165.995453</v>
      </c>
      <c r="P17">
        <v>155.707672</v>
      </c>
      <c r="Q17">
        <v>145.472443</v>
      </c>
      <c r="R17">
        <v>135.48971599999999</v>
      </c>
      <c r="S17">
        <v>125.976921</v>
      </c>
      <c r="T17">
        <v>117.19341300000001</v>
      </c>
      <c r="U17">
        <v>109.041771</v>
      </c>
      <c r="V17">
        <v>101.510696</v>
      </c>
      <c r="W17">
        <v>94.802504999999996</v>
      </c>
      <c r="X17">
        <v>87.939010999999994</v>
      </c>
      <c r="Y17">
        <v>81.827179000000001</v>
      </c>
      <c r="Z17">
        <v>76.176422000000002</v>
      </c>
      <c r="AA17">
        <v>70.805824000000001</v>
      </c>
      <c r="AB17">
        <v>65.785888999999997</v>
      </c>
      <c r="AC17">
        <v>61.069122</v>
      </c>
      <c r="AD17">
        <v>56.668498999999997</v>
      </c>
      <c r="AE17">
        <v>52.409759999999999</v>
      </c>
      <c r="AF17">
        <v>48.369202000000001</v>
      </c>
      <c r="AG17">
        <v>44.395896999999998</v>
      </c>
      <c r="AH17" s="31">
        <v>-6.6000000000000003E-2</v>
      </c>
    </row>
    <row r="18" spans="2:34">
      <c r="B18" t="s">
        <v>308</v>
      </c>
      <c r="C18" t="s">
        <v>3093</v>
      </c>
      <c r="D18" t="s">
        <v>3094</v>
      </c>
      <c r="E18" t="s">
        <v>354</v>
      </c>
      <c r="G18">
        <v>1.0250000000000001E-3</v>
      </c>
      <c r="H18">
        <v>1.3290000000000001E-3</v>
      </c>
      <c r="I18">
        <v>1.686E-3</v>
      </c>
      <c r="J18">
        <v>2.0939999999999999E-3</v>
      </c>
      <c r="K18">
        <v>2.506E-3</v>
      </c>
      <c r="L18">
        <v>2.9390000000000002E-3</v>
      </c>
      <c r="M18">
        <v>3.359E-3</v>
      </c>
      <c r="N18">
        <v>3.686E-3</v>
      </c>
      <c r="O18">
        <v>4.0039999999999997E-3</v>
      </c>
      <c r="P18">
        <v>4.2830000000000003E-3</v>
      </c>
      <c r="Q18">
        <v>4.5339999999999998E-3</v>
      </c>
      <c r="R18">
        <v>4.7619999999999997E-3</v>
      </c>
      <c r="S18">
        <v>4.9760000000000004E-3</v>
      </c>
      <c r="T18">
        <v>5.1679999999999999E-3</v>
      </c>
      <c r="U18">
        <v>5.3449999999999999E-3</v>
      </c>
      <c r="V18">
        <v>5.5059999999999996E-3</v>
      </c>
      <c r="W18">
        <v>5.6420000000000003E-3</v>
      </c>
      <c r="X18">
        <v>5.7540000000000004E-3</v>
      </c>
      <c r="Y18">
        <v>5.8479999999999999E-3</v>
      </c>
      <c r="Z18">
        <v>5.9199999999999999E-3</v>
      </c>
      <c r="AA18">
        <v>5.9769999999999997E-3</v>
      </c>
      <c r="AB18">
        <v>6.019E-3</v>
      </c>
      <c r="AC18">
        <v>6.0489999999999997E-3</v>
      </c>
      <c r="AD18">
        <v>6.0699999999999999E-3</v>
      </c>
      <c r="AE18">
        <v>6.0790000000000002E-3</v>
      </c>
      <c r="AF18">
        <v>6.0800000000000003E-3</v>
      </c>
      <c r="AG18">
        <v>6.0730000000000003E-3</v>
      </c>
      <c r="AH18" s="31">
        <v>7.0999999999999994E-2</v>
      </c>
    </row>
    <row r="19" spans="2:34">
      <c r="B19" t="s">
        <v>307</v>
      </c>
      <c r="C19" t="s">
        <v>3095</v>
      </c>
      <c r="D19" t="s">
        <v>3096</v>
      </c>
      <c r="E19" t="s">
        <v>354</v>
      </c>
      <c r="G19">
        <v>1.3639239999999999</v>
      </c>
      <c r="H19">
        <v>1.6967699999999999</v>
      </c>
      <c r="I19">
        <v>2.1010930000000001</v>
      </c>
      <c r="J19">
        <v>2.5268730000000001</v>
      </c>
      <c r="K19">
        <v>2.9791289999999999</v>
      </c>
      <c r="L19">
        <v>3.5089809999999999</v>
      </c>
      <c r="M19">
        <v>4.0691170000000003</v>
      </c>
      <c r="N19">
        <v>4.5565810000000004</v>
      </c>
      <c r="O19">
        <v>5.0722300000000002</v>
      </c>
      <c r="P19">
        <v>5.5800280000000004</v>
      </c>
      <c r="Q19">
        <v>6.1040279999999996</v>
      </c>
      <c r="R19">
        <v>6.6120320000000001</v>
      </c>
      <c r="S19">
        <v>7.1249989999999999</v>
      </c>
      <c r="T19">
        <v>7.669187</v>
      </c>
      <c r="U19">
        <v>8.2990139999999997</v>
      </c>
      <c r="V19">
        <v>9.0218489999999996</v>
      </c>
      <c r="W19">
        <v>9.8359710000000007</v>
      </c>
      <c r="X19">
        <v>10.729393</v>
      </c>
      <c r="Y19">
        <v>11.652920999999999</v>
      </c>
      <c r="Z19">
        <v>12.597635</v>
      </c>
      <c r="AA19">
        <v>13.58042</v>
      </c>
      <c r="AB19">
        <v>14.560661</v>
      </c>
      <c r="AC19">
        <v>15.533315999999999</v>
      </c>
      <c r="AD19">
        <v>16.514008</v>
      </c>
      <c r="AE19">
        <v>17.471374999999998</v>
      </c>
      <c r="AF19">
        <v>18.412832000000002</v>
      </c>
      <c r="AG19">
        <v>19.309812999999998</v>
      </c>
      <c r="AH19" s="31">
        <v>0.107</v>
      </c>
    </row>
    <row r="20" spans="2:34">
      <c r="B20" t="s">
        <v>309</v>
      </c>
      <c r="C20" t="s">
        <v>3097</v>
      </c>
      <c r="D20" t="s">
        <v>3098</v>
      </c>
      <c r="E20" t="s">
        <v>354</v>
      </c>
      <c r="G20">
        <v>1.0697620000000001</v>
      </c>
      <c r="H20">
        <v>1.5460320000000001</v>
      </c>
      <c r="I20">
        <v>2.0528270000000002</v>
      </c>
      <c r="J20">
        <v>2.5784729999999998</v>
      </c>
      <c r="K20">
        <v>3.0858810000000001</v>
      </c>
      <c r="L20">
        <v>3.5337329999999998</v>
      </c>
      <c r="M20">
        <v>3.9535309999999999</v>
      </c>
      <c r="N20">
        <v>4.3923189999999996</v>
      </c>
      <c r="O20">
        <v>4.878654</v>
      </c>
      <c r="P20">
        <v>5.3824829999999997</v>
      </c>
      <c r="Q20">
        <v>5.9551239999999996</v>
      </c>
      <c r="R20">
        <v>6.6463650000000003</v>
      </c>
      <c r="S20">
        <v>7.4508869999999998</v>
      </c>
      <c r="T20">
        <v>8.365183</v>
      </c>
      <c r="U20">
        <v>9.3746519999999993</v>
      </c>
      <c r="V20">
        <v>10.466586</v>
      </c>
      <c r="W20">
        <v>11.611726000000001</v>
      </c>
      <c r="X20">
        <v>12.827472</v>
      </c>
      <c r="Y20">
        <v>14.085025999999999</v>
      </c>
      <c r="Z20">
        <v>15.387928</v>
      </c>
      <c r="AA20">
        <v>16.711383999999999</v>
      </c>
      <c r="AB20">
        <v>18.014876999999998</v>
      </c>
      <c r="AC20">
        <v>19.292100999999999</v>
      </c>
      <c r="AD20">
        <v>20.535923</v>
      </c>
      <c r="AE20">
        <v>21.704830000000001</v>
      </c>
      <c r="AF20">
        <v>22.812384000000002</v>
      </c>
      <c r="AG20">
        <v>23.858597</v>
      </c>
      <c r="AH20" s="31">
        <v>0.127</v>
      </c>
    </row>
    <row r="21" spans="2:34">
      <c r="B21" t="s">
        <v>310</v>
      </c>
      <c r="C21" t="s">
        <v>3099</v>
      </c>
      <c r="D21" t="s">
        <v>3100</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t="s">
        <v>117</v>
      </c>
    </row>
    <row r="22" spans="2:34">
      <c r="B22" t="s">
        <v>312</v>
      </c>
      <c r="C22" t="s">
        <v>3101</v>
      </c>
      <c r="D22" t="s">
        <v>3102</v>
      </c>
      <c r="E22" t="s">
        <v>354</v>
      </c>
      <c r="G22">
        <v>6005.1274409999996</v>
      </c>
      <c r="H22">
        <v>6058.611328</v>
      </c>
      <c r="I22">
        <v>6062.5527339999999</v>
      </c>
      <c r="J22">
        <v>6052.2768550000001</v>
      </c>
      <c r="K22">
        <v>6018.6782229999999</v>
      </c>
      <c r="L22">
        <v>5988.8549800000001</v>
      </c>
      <c r="M22">
        <v>5960.1284180000002</v>
      </c>
      <c r="N22">
        <v>5923.4799800000001</v>
      </c>
      <c r="O22">
        <v>5889.1928710000002</v>
      </c>
      <c r="P22">
        <v>5851.3447269999997</v>
      </c>
      <c r="Q22">
        <v>5821.859375</v>
      </c>
      <c r="R22">
        <v>5796.4853519999997</v>
      </c>
      <c r="S22">
        <v>5783.0722660000001</v>
      </c>
      <c r="T22">
        <v>5777.6474609999996</v>
      </c>
      <c r="U22">
        <v>5775.5737300000001</v>
      </c>
      <c r="V22">
        <v>5770.5004879999997</v>
      </c>
      <c r="W22">
        <v>5770.6040039999998</v>
      </c>
      <c r="X22">
        <v>5771.0673829999996</v>
      </c>
      <c r="Y22">
        <v>5774.9716799999997</v>
      </c>
      <c r="Z22">
        <v>5776.5786129999997</v>
      </c>
      <c r="AA22">
        <v>5777.7495120000003</v>
      </c>
      <c r="AB22">
        <v>5784.5151370000003</v>
      </c>
      <c r="AC22">
        <v>5789.783203</v>
      </c>
      <c r="AD22">
        <v>5816.3759769999997</v>
      </c>
      <c r="AE22">
        <v>5843.7739259999998</v>
      </c>
      <c r="AF22">
        <v>5867.5810549999997</v>
      </c>
      <c r="AG22">
        <v>5884.5639650000003</v>
      </c>
      <c r="AH22" s="31">
        <v>-1E-3</v>
      </c>
    </row>
    <row r="23" spans="2:34">
      <c r="B23" t="s">
        <v>313</v>
      </c>
      <c r="C23" t="s">
        <v>3103</v>
      </c>
      <c r="D23" t="s">
        <v>3104</v>
      </c>
      <c r="E23" t="s">
        <v>354</v>
      </c>
      <c r="G23">
        <v>682.64904799999999</v>
      </c>
      <c r="H23">
        <v>696.67846699999996</v>
      </c>
      <c r="I23">
        <v>706.45770300000004</v>
      </c>
      <c r="J23">
        <v>715.23767099999998</v>
      </c>
      <c r="K23">
        <v>725.20898399999999</v>
      </c>
      <c r="L23">
        <v>740.442139</v>
      </c>
      <c r="M23">
        <v>759.80108600000005</v>
      </c>
      <c r="N23">
        <v>781.30432099999996</v>
      </c>
      <c r="O23">
        <v>805.93072500000005</v>
      </c>
      <c r="P23">
        <v>832.13165300000003</v>
      </c>
      <c r="Q23">
        <v>860.34063700000002</v>
      </c>
      <c r="R23">
        <v>888.86492899999996</v>
      </c>
      <c r="S23">
        <v>918.140625</v>
      </c>
      <c r="T23">
        <v>947.66625999999997</v>
      </c>
      <c r="U23">
        <v>976.79376200000002</v>
      </c>
      <c r="V23">
        <v>1005.037659</v>
      </c>
      <c r="W23">
        <v>1032.881592</v>
      </c>
      <c r="X23">
        <v>1058.080078</v>
      </c>
      <c r="Y23">
        <v>1081.025513</v>
      </c>
      <c r="Z23">
        <v>1100.698486</v>
      </c>
      <c r="AA23">
        <v>1118.5776370000001</v>
      </c>
      <c r="AB23">
        <v>1136.2543949999999</v>
      </c>
      <c r="AC23">
        <v>1152.5543210000001</v>
      </c>
      <c r="AD23">
        <v>1171.06665</v>
      </c>
      <c r="AE23">
        <v>1187.4848629999999</v>
      </c>
      <c r="AF23">
        <v>1201.6254879999999</v>
      </c>
      <c r="AG23">
        <v>1213.2468260000001</v>
      </c>
      <c r="AH23" s="31">
        <v>2.1999999999999999E-2</v>
      </c>
    </row>
    <row r="24" spans="2:34">
      <c r="B24" t="s">
        <v>306</v>
      </c>
      <c r="C24" t="s">
        <v>3105</v>
      </c>
      <c r="D24" t="s">
        <v>3106</v>
      </c>
      <c r="E24" t="s">
        <v>354</v>
      </c>
      <c r="G24">
        <v>5262.0546880000002</v>
      </c>
      <c r="H24">
        <v>5295.5166019999997</v>
      </c>
      <c r="I24">
        <v>5284.3710940000001</v>
      </c>
      <c r="J24">
        <v>5261.173828</v>
      </c>
      <c r="K24">
        <v>5214.8681640000004</v>
      </c>
      <c r="L24">
        <v>5167.3994140000004</v>
      </c>
      <c r="M24">
        <v>5117.4399409999996</v>
      </c>
      <c r="N24">
        <v>5057.9794920000004</v>
      </c>
      <c r="O24">
        <v>4997.7973629999997</v>
      </c>
      <c r="P24">
        <v>4932.8691410000001</v>
      </c>
      <c r="Q24">
        <v>4873.9633789999998</v>
      </c>
      <c r="R24">
        <v>4818.3222660000001</v>
      </c>
      <c r="S24">
        <v>4773.3173829999996</v>
      </c>
      <c r="T24">
        <v>4735.3779299999997</v>
      </c>
      <c r="U24">
        <v>4700.5795900000003</v>
      </c>
      <c r="V24">
        <v>4663.09375</v>
      </c>
      <c r="W24">
        <v>4630.2001950000003</v>
      </c>
      <c r="X24">
        <v>4599.0820309999999</v>
      </c>
      <c r="Y24">
        <v>4572.8413090000004</v>
      </c>
      <c r="Z24">
        <v>4547.0268550000001</v>
      </c>
      <c r="AA24">
        <v>4522.3266599999997</v>
      </c>
      <c r="AB24">
        <v>4502.796875</v>
      </c>
      <c r="AC24">
        <v>4482.5249020000001</v>
      </c>
      <c r="AD24">
        <v>4479.8339839999999</v>
      </c>
      <c r="AE24">
        <v>4478.9736329999996</v>
      </c>
      <c r="AF24">
        <v>4475.9814450000003</v>
      </c>
      <c r="AG24">
        <v>4467.7338870000003</v>
      </c>
      <c r="AH24" s="31">
        <v>-6.0000000000000001E-3</v>
      </c>
    </row>
    <row r="25" spans="2:34">
      <c r="B25" t="s">
        <v>307</v>
      </c>
      <c r="C25" t="s">
        <v>3107</v>
      </c>
      <c r="D25" t="s">
        <v>3108</v>
      </c>
      <c r="E25" t="s">
        <v>354</v>
      </c>
      <c r="G25">
        <v>55.106686000000003</v>
      </c>
      <c r="H25">
        <v>60.266616999999997</v>
      </c>
      <c r="I25">
        <v>64.839827999999997</v>
      </c>
      <c r="J25">
        <v>68.349625000000003</v>
      </c>
      <c r="K25">
        <v>70.525550999999993</v>
      </c>
      <c r="L25">
        <v>72.469809999999995</v>
      </c>
      <c r="M25">
        <v>73.923186999999999</v>
      </c>
      <c r="N25">
        <v>74.768660999999994</v>
      </c>
      <c r="O25">
        <v>75.424942000000001</v>
      </c>
      <c r="P25">
        <v>75.820374000000001</v>
      </c>
      <c r="Q25">
        <v>76.349898999999994</v>
      </c>
      <c r="R25">
        <v>77.040145999999993</v>
      </c>
      <c r="S25">
        <v>77.877280999999996</v>
      </c>
      <c r="T25">
        <v>79.043143999999998</v>
      </c>
      <c r="U25">
        <v>80.450858999999994</v>
      </c>
      <c r="V25">
        <v>82.033744999999996</v>
      </c>
      <c r="W25">
        <v>84.148926000000003</v>
      </c>
      <c r="X25">
        <v>86.843947999999997</v>
      </c>
      <c r="Y25">
        <v>89.839264</v>
      </c>
      <c r="Z25">
        <v>92.977112000000005</v>
      </c>
      <c r="AA25">
        <v>96.314857000000003</v>
      </c>
      <c r="AB25">
        <v>100.060036</v>
      </c>
      <c r="AC25">
        <v>104.284363</v>
      </c>
      <c r="AD25">
        <v>109.62687699999999</v>
      </c>
      <c r="AE25">
        <v>115.90031399999999</v>
      </c>
      <c r="AF25">
        <v>122.995178</v>
      </c>
      <c r="AG25">
        <v>131.06424000000001</v>
      </c>
      <c r="AH25" s="31">
        <v>3.4000000000000002E-2</v>
      </c>
    </row>
    <row r="26" spans="2:34">
      <c r="B26" t="s">
        <v>308</v>
      </c>
      <c r="C26" t="s">
        <v>3109</v>
      </c>
      <c r="D26" t="s">
        <v>3110</v>
      </c>
      <c r="E26" t="s">
        <v>354</v>
      </c>
      <c r="G26">
        <v>1.63686</v>
      </c>
      <c r="H26">
        <v>1.8039179999999999</v>
      </c>
      <c r="I26">
        <v>1.9553450000000001</v>
      </c>
      <c r="J26">
        <v>2.095329</v>
      </c>
      <c r="K26">
        <v>2.202966</v>
      </c>
      <c r="L26">
        <v>2.2743500000000001</v>
      </c>
      <c r="M26">
        <v>2.341685</v>
      </c>
      <c r="N26">
        <v>2.3793389999999999</v>
      </c>
      <c r="O26">
        <v>2.4041060000000001</v>
      </c>
      <c r="P26">
        <v>2.4123800000000002</v>
      </c>
      <c r="Q26">
        <v>2.4138890000000002</v>
      </c>
      <c r="R26">
        <v>2.405564</v>
      </c>
      <c r="S26">
        <v>2.395575</v>
      </c>
      <c r="T26">
        <v>2.3836390000000001</v>
      </c>
      <c r="U26">
        <v>2.3738160000000001</v>
      </c>
      <c r="V26">
        <v>2.3633470000000001</v>
      </c>
      <c r="W26">
        <v>2.356134</v>
      </c>
      <c r="X26">
        <v>2.346463</v>
      </c>
      <c r="Y26">
        <v>2.3374450000000002</v>
      </c>
      <c r="Z26">
        <v>2.3282379999999998</v>
      </c>
      <c r="AA26">
        <v>2.3202970000000001</v>
      </c>
      <c r="AB26">
        <v>2.3174630000000001</v>
      </c>
      <c r="AC26">
        <v>2.3153820000000001</v>
      </c>
      <c r="AD26">
        <v>2.323302</v>
      </c>
      <c r="AE26">
        <v>2.3276080000000001</v>
      </c>
      <c r="AF26">
        <v>2.3246549999999999</v>
      </c>
      <c r="AG26">
        <v>2.3222160000000001</v>
      </c>
      <c r="AH26" s="31">
        <v>1.4E-2</v>
      </c>
    </row>
    <row r="27" spans="2:34">
      <c r="B27" t="s">
        <v>305</v>
      </c>
      <c r="C27" t="s">
        <v>3111</v>
      </c>
      <c r="D27" t="s">
        <v>3112</v>
      </c>
      <c r="E27" t="s">
        <v>354</v>
      </c>
      <c r="G27">
        <v>1.4276580000000001</v>
      </c>
      <c r="H27">
        <v>1.318281</v>
      </c>
      <c r="I27">
        <v>1.1735040000000001</v>
      </c>
      <c r="J27">
        <v>1.023695</v>
      </c>
      <c r="K27">
        <v>0.946716</v>
      </c>
      <c r="L27">
        <v>0.89150200000000002</v>
      </c>
      <c r="M27">
        <v>0.83629500000000001</v>
      </c>
      <c r="N27">
        <v>0.763683</v>
      </c>
      <c r="O27">
        <v>0.70567800000000003</v>
      </c>
      <c r="P27">
        <v>0.65266599999999997</v>
      </c>
      <c r="Q27">
        <v>0.59577599999999997</v>
      </c>
      <c r="R27">
        <v>0.54799399999999998</v>
      </c>
      <c r="S27">
        <v>0.50356299999999998</v>
      </c>
      <c r="T27">
        <v>0.46726000000000001</v>
      </c>
      <c r="U27">
        <v>0.42045199999999999</v>
      </c>
      <c r="V27">
        <v>0.38884400000000002</v>
      </c>
      <c r="W27">
        <v>0.357379</v>
      </c>
      <c r="X27">
        <v>0.32849600000000001</v>
      </c>
      <c r="Y27">
        <v>0.30108299999999999</v>
      </c>
      <c r="Z27">
        <v>0.27498400000000001</v>
      </c>
      <c r="AA27">
        <v>0.25062299999999998</v>
      </c>
      <c r="AB27">
        <v>0.22716500000000001</v>
      </c>
      <c r="AC27">
        <v>0.20371</v>
      </c>
      <c r="AD27">
        <v>0.18196599999999999</v>
      </c>
      <c r="AE27">
        <v>0.15764400000000001</v>
      </c>
      <c r="AF27">
        <v>0.13266900000000001</v>
      </c>
      <c r="AG27">
        <v>0.106854</v>
      </c>
      <c r="AH27" s="31">
        <v>-9.5000000000000001E-2</v>
      </c>
    </row>
    <row r="28" spans="2:34">
      <c r="B28" t="s">
        <v>309</v>
      </c>
      <c r="C28" t="s">
        <v>3113</v>
      </c>
      <c r="D28" t="s">
        <v>3114</v>
      </c>
      <c r="E28" t="s">
        <v>354</v>
      </c>
      <c r="G28">
        <v>2.2528419999999998</v>
      </c>
      <c r="H28">
        <v>3.0272250000000001</v>
      </c>
      <c r="I28">
        <v>3.7554750000000001</v>
      </c>
      <c r="J28">
        <v>4.3965420000000002</v>
      </c>
      <c r="K28">
        <v>4.9255509999999996</v>
      </c>
      <c r="L28">
        <v>5.3774040000000003</v>
      </c>
      <c r="M28">
        <v>5.785533</v>
      </c>
      <c r="N28">
        <v>6.2847600000000003</v>
      </c>
      <c r="O28">
        <v>6.9303150000000002</v>
      </c>
      <c r="P28">
        <v>7.4577920000000004</v>
      </c>
      <c r="Q28">
        <v>8.1955190000000009</v>
      </c>
      <c r="R28">
        <v>9.3046340000000001</v>
      </c>
      <c r="S28">
        <v>10.838058</v>
      </c>
      <c r="T28">
        <v>12.709625000000001</v>
      </c>
      <c r="U28">
        <v>14.955209</v>
      </c>
      <c r="V28">
        <v>17.583475</v>
      </c>
      <c r="W28">
        <v>20.659679000000001</v>
      </c>
      <c r="X28">
        <v>24.386471</v>
      </c>
      <c r="Y28">
        <v>28.626867000000001</v>
      </c>
      <c r="Z28">
        <v>33.272857999999999</v>
      </c>
      <c r="AA28">
        <v>37.959400000000002</v>
      </c>
      <c r="AB28">
        <v>42.859276000000001</v>
      </c>
      <c r="AC28">
        <v>47.901051000000002</v>
      </c>
      <c r="AD28">
        <v>53.343429999999998</v>
      </c>
      <c r="AE28">
        <v>58.929783</v>
      </c>
      <c r="AF28">
        <v>64.521468999999996</v>
      </c>
      <c r="AG28">
        <v>70.089607000000001</v>
      </c>
      <c r="AH28" s="31">
        <v>0.14099999999999999</v>
      </c>
    </row>
    <row r="29" spans="2:34">
      <c r="B29" t="s">
        <v>310</v>
      </c>
      <c r="C29" t="s">
        <v>3115</v>
      </c>
      <c r="D29" t="s">
        <v>3116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t="s">
        <v>117</v>
      </c>
    </row>
    <row r="30" spans="2:34">
      <c r="B30" t="s">
        <v>314</v>
      </c>
      <c r="C30" t="s">
        <v>3117</v>
      </c>
      <c r="D30" t="s">
        <v>3118</v>
      </c>
      <c r="E30" t="s">
        <v>354</v>
      </c>
      <c r="G30">
        <v>434.230682</v>
      </c>
      <c r="H30">
        <v>443.75869799999998</v>
      </c>
      <c r="I30">
        <v>432.581299</v>
      </c>
      <c r="J30">
        <v>417.75234999999998</v>
      </c>
      <c r="K30">
        <v>417.42465199999998</v>
      </c>
      <c r="L30">
        <v>415.93777499999999</v>
      </c>
      <c r="M30">
        <v>403.47412100000003</v>
      </c>
      <c r="N30">
        <v>403.17804000000001</v>
      </c>
      <c r="O30">
        <v>383.83212300000002</v>
      </c>
      <c r="P30">
        <v>385.30667099999999</v>
      </c>
      <c r="Q30">
        <v>381.27539100000001</v>
      </c>
      <c r="R30">
        <v>381.04003899999998</v>
      </c>
      <c r="S30">
        <v>382.19842499999999</v>
      </c>
      <c r="T30">
        <v>383.73739599999999</v>
      </c>
      <c r="U30">
        <v>388.55950899999999</v>
      </c>
      <c r="V30">
        <v>385.72473100000002</v>
      </c>
      <c r="W30">
        <v>387.17019699999997</v>
      </c>
      <c r="X30">
        <v>387.33422899999999</v>
      </c>
      <c r="Y30">
        <v>388.97726399999999</v>
      </c>
      <c r="Z30">
        <v>390.85006700000002</v>
      </c>
      <c r="AA30">
        <v>391.76263399999999</v>
      </c>
      <c r="AB30">
        <v>392.73843399999998</v>
      </c>
      <c r="AC30">
        <v>392.65093999999999</v>
      </c>
      <c r="AD30">
        <v>396.48129299999999</v>
      </c>
      <c r="AE30">
        <v>399.58117700000003</v>
      </c>
      <c r="AF30">
        <v>402.097534</v>
      </c>
      <c r="AG30">
        <v>402.97448700000001</v>
      </c>
      <c r="AH30" s="31">
        <v>-3.0000000000000001E-3</v>
      </c>
    </row>
    <row r="31" spans="2:34">
      <c r="B31" t="s">
        <v>306</v>
      </c>
      <c r="C31" t="s">
        <v>3119</v>
      </c>
      <c r="D31" t="s">
        <v>3120</v>
      </c>
      <c r="E31" t="s">
        <v>354</v>
      </c>
      <c r="G31">
        <v>434.230682</v>
      </c>
      <c r="H31">
        <v>443.75869799999998</v>
      </c>
      <c r="I31">
        <v>432.581299</v>
      </c>
      <c r="J31">
        <v>417.75234999999998</v>
      </c>
      <c r="K31">
        <v>417.42465199999998</v>
      </c>
      <c r="L31">
        <v>415.93777499999999</v>
      </c>
      <c r="M31">
        <v>403.47412100000003</v>
      </c>
      <c r="N31">
        <v>403.17804000000001</v>
      </c>
      <c r="O31">
        <v>383.83212300000002</v>
      </c>
      <c r="P31">
        <v>385.30667099999999</v>
      </c>
      <c r="Q31">
        <v>381.27539100000001</v>
      </c>
      <c r="R31">
        <v>381.04003899999998</v>
      </c>
      <c r="S31">
        <v>382.19842499999999</v>
      </c>
      <c r="T31">
        <v>383.73739599999999</v>
      </c>
      <c r="U31">
        <v>388.55950899999999</v>
      </c>
      <c r="V31">
        <v>385.72473100000002</v>
      </c>
      <c r="W31">
        <v>387.17019699999997</v>
      </c>
      <c r="X31">
        <v>387.33422899999999</v>
      </c>
      <c r="Y31">
        <v>388.97726399999999</v>
      </c>
      <c r="Z31">
        <v>390.85006700000002</v>
      </c>
      <c r="AA31">
        <v>391.76263399999999</v>
      </c>
      <c r="AB31">
        <v>392.73843399999998</v>
      </c>
      <c r="AC31">
        <v>392.65093999999999</v>
      </c>
      <c r="AD31">
        <v>396.48129299999999</v>
      </c>
      <c r="AE31">
        <v>399.58117700000003</v>
      </c>
      <c r="AF31">
        <v>402.097534</v>
      </c>
      <c r="AG31">
        <v>402.97448700000001</v>
      </c>
      <c r="AH31" s="31">
        <v>-3.0000000000000001E-3</v>
      </c>
    </row>
    <row r="32" spans="2:34">
      <c r="B32" t="s">
        <v>315</v>
      </c>
      <c r="C32" t="s">
        <v>3121</v>
      </c>
      <c r="D32" t="s">
        <v>3122</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t="s">
        <v>117</v>
      </c>
    </row>
    <row r="33" spans="2:34">
      <c r="B33" t="s">
        <v>316</v>
      </c>
      <c r="C33" t="s">
        <v>3123</v>
      </c>
      <c r="D33" t="s">
        <v>3124</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t="s">
        <v>117</v>
      </c>
    </row>
    <row r="34" spans="2:34">
      <c r="B34" t="s">
        <v>317</v>
      </c>
      <c r="C34" t="s">
        <v>3125</v>
      </c>
      <c r="D34" t="s">
        <v>3126</v>
      </c>
      <c r="E34" t="s">
        <v>354</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t="s">
        <v>117</v>
      </c>
    </row>
    <row r="35" spans="2:34">
      <c r="B35" t="s">
        <v>213</v>
      </c>
      <c r="C35" t="s">
        <v>3127</v>
      </c>
      <c r="D35" t="s">
        <v>3128</v>
      </c>
      <c r="E35" t="s">
        <v>354</v>
      </c>
      <c r="G35">
        <v>94.440971000000005</v>
      </c>
      <c r="H35">
        <v>95.330078</v>
      </c>
      <c r="I35">
        <v>94.566444000000004</v>
      </c>
      <c r="J35">
        <v>93.798164</v>
      </c>
      <c r="K35">
        <v>93.107506000000001</v>
      </c>
      <c r="L35">
        <v>92.339127000000005</v>
      </c>
      <c r="M35">
        <v>91.480575999999999</v>
      </c>
      <c r="N35">
        <v>90.543334999999999</v>
      </c>
      <c r="O35">
        <v>89.462424999999996</v>
      </c>
      <c r="P35">
        <v>88.707656999999998</v>
      </c>
      <c r="Q35">
        <v>88.034156999999993</v>
      </c>
      <c r="R35">
        <v>87.319710000000001</v>
      </c>
      <c r="S35">
        <v>86.579650999999998</v>
      </c>
      <c r="T35">
        <v>85.944571999999994</v>
      </c>
      <c r="U35">
        <v>85.341614000000007</v>
      </c>
      <c r="V35">
        <v>84.675208999999995</v>
      </c>
      <c r="W35">
        <v>84.112099000000001</v>
      </c>
      <c r="X35">
        <v>83.540062000000006</v>
      </c>
      <c r="Y35">
        <v>82.973929999999996</v>
      </c>
      <c r="Z35">
        <v>82.355484000000004</v>
      </c>
      <c r="AA35">
        <v>81.679946999999999</v>
      </c>
      <c r="AB35">
        <v>81.034569000000005</v>
      </c>
      <c r="AC35">
        <v>80.382202000000007</v>
      </c>
      <c r="AD35">
        <v>79.953879999999998</v>
      </c>
      <c r="AE35">
        <v>79.430321000000006</v>
      </c>
      <c r="AF35">
        <v>78.866470000000007</v>
      </c>
      <c r="AG35">
        <v>78.277953999999994</v>
      </c>
      <c r="AH35" s="31">
        <v>-7.0000000000000001E-3</v>
      </c>
    </row>
    <row r="36" spans="2:34">
      <c r="B36" t="s">
        <v>306</v>
      </c>
      <c r="C36" t="s">
        <v>3129</v>
      </c>
      <c r="D36" t="s">
        <v>3130</v>
      </c>
      <c r="E36" t="s">
        <v>354</v>
      </c>
      <c r="G36">
        <v>92.332252999999994</v>
      </c>
      <c r="H36">
        <v>93.278983999999994</v>
      </c>
      <c r="I36">
        <v>92.539314000000005</v>
      </c>
      <c r="J36">
        <v>91.795044000000004</v>
      </c>
      <c r="K36">
        <v>91.125641000000002</v>
      </c>
      <c r="L36">
        <v>90.379990000000006</v>
      </c>
      <c r="M36">
        <v>89.546463000000003</v>
      </c>
      <c r="N36">
        <v>88.635925</v>
      </c>
      <c r="O36">
        <v>87.584746999999993</v>
      </c>
      <c r="P36">
        <v>86.852417000000003</v>
      </c>
      <c r="Q36">
        <v>86.199318000000005</v>
      </c>
      <c r="R36">
        <v>85.505904999999998</v>
      </c>
      <c r="S36">
        <v>84.786452999999995</v>
      </c>
      <c r="T36">
        <v>84.170158000000001</v>
      </c>
      <c r="U36">
        <v>83.586044000000001</v>
      </c>
      <c r="V36">
        <v>82.940169999999995</v>
      </c>
      <c r="W36">
        <v>82.351212000000004</v>
      </c>
      <c r="X36">
        <v>81.693588000000005</v>
      </c>
      <c r="Y36">
        <v>81.036438000000004</v>
      </c>
      <c r="Z36">
        <v>80.322616999999994</v>
      </c>
      <c r="AA36">
        <v>79.547393999999997</v>
      </c>
      <c r="AB36">
        <v>78.795531999999994</v>
      </c>
      <c r="AC36">
        <v>78.030472000000003</v>
      </c>
      <c r="AD36">
        <v>77.475707999999997</v>
      </c>
      <c r="AE36">
        <v>76.820853999999997</v>
      </c>
      <c r="AF36">
        <v>76.119011</v>
      </c>
      <c r="AG36">
        <v>75.385009999999994</v>
      </c>
      <c r="AH36" s="31">
        <v>-8.0000000000000002E-3</v>
      </c>
    </row>
    <row r="37" spans="2:34">
      <c r="B37" t="s">
        <v>318</v>
      </c>
      <c r="C37" t="s">
        <v>3131</v>
      </c>
      <c r="D37" t="s">
        <v>3132</v>
      </c>
      <c r="E37" t="s">
        <v>354</v>
      </c>
      <c r="G37">
        <v>1.3822049999999999</v>
      </c>
      <c r="H37">
        <v>1.2632559999999999</v>
      </c>
      <c r="I37">
        <v>1.198018</v>
      </c>
      <c r="J37">
        <v>1.1309709999999999</v>
      </c>
      <c r="K37">
        <v>1.0674129999999999</v>
      </c>
      <c r="L37">
        <v>1.0042279999999999</v>
      </c>
      <c r="M37">
        <v>0.937581</v>
      </c>
      <c r="N37">
        <v>0.868587</v>
      </c>
      <c r="O37">
        <v>0.80069400000000002</v>
      </c>
      <c r="P37">
        <v>0.73563800000000001</v>
      </c>
      <c r="Q37">
        <v>0.673956</v>
      </c>
      <c r="R37">
        <v>0.61449699999999996</v>
      </c>
      <c r="S37">
        <v>0.56326799999999999</v>
      </c>
      <c r="T37">
        <v>0.50884700000000005</v>
      </c>
      <c r="U37">
        <v>0.44785000000000003</v>
      </c>
      <c r="V37">
        <v>0.38284099999999999</v>
      </c>
      <c r="W37">
        <v>0.32558700000000002</v>
      </c>
      <c r="X37">
        <v>0.32329599999999997</v>
      </c>
      <c r="Y37">
        <v>0.321021</v>
      </c>
      <c r="Z37">
        <v>0.31855600000000001</v>
      </c>
      <c r="AA37">
        <v>0.31585600000000003</v>
      </c>
      <c r="AB37">
        <v>0.31325799999999998</v>
      </c>
      <c r="AC37">
        <v>0.310612</v>
      </c>
      <c r="AD37">
        <v>0.30888199999999999</v>
      </c>
      <c r="AE37">
        <v>0.306782</v>
      </c>
      <c r="AF37">
        <v>0.30452499999999999</v>
      </c>
      <c r="AG37">
        <v>0.302176</v>
      </c>
      <c r="AH37" s="31">
        <v>-5.7000000000000002E-2</v>
      </c>
    </row>
    <row r="38" spans="2:34">
      <c r="B38" t="s">
        <v>316</v>
      </c>
      <c r="C38" t="s">
        <v>3133</v>
      </c>
      <c r="D38" t="s">
        <v>3134</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t="s">
        <v>117</v>
      </c>
    </row>
    <row r="39" spans="2:34">
      <c r="B39" t="s">
        <v>317</v>
      </c>
      <c r="C39" t="s">
        <v>3135</v>
      </c>
      <c r="D39" t="s">
        <v>3136</v>
      </c>
      <c r="E39" t="s">
        <v>354</v>
      </c>
      <c r="G39">
        <v>0.72651399999999999</v>
      </c>
      <c r="H39">
        <v>0.78784500000000002</v>
      </c>
      <c r="I39">
        <v>0.82910799999999996</v>
      </c>
      <c r="J39">
        <v>0.87214700000000001</v>
      </c>
      <c r="K39">
        <v>0.91445100000000001</v>
      </c>
      <c r="L39">
        <v>0.95491099999999995</v>
      </c>
      <c r="M39">
        <v>0.99653099999999994</v>
      </c>
      <c r="N39">
        <v>1.038818</v>
      </c>
      <c r="O39">
        <v>1.0769789999999999</v>
      </c>
      <c r="P39">
        <v>1.119599</v>
      </c>
      <c r="Q39">
        <v>1.1608780000000001</v>
      </c>
      <c r="R39">
        <v>1.199308</v>
      </c>
      <c r="S39">
        <v>1.229924</v>
      </c>
      <c r="T39">
        <v>1.2655670000000001</v>
      </c>
      <c r="U39">
        <v>1.3077129999999999</v>
      </c>
      <c r="V39">
        <v>1.352198</v>
      </c>
      <c r="W39">
        <v>1.4353050000000001</v>
      </c>
      <c r="X39">
        <v>1.5231779999999999</v>
      </c>
      <c r="Y39">
        <v>1.616471</v>
      </c>
      <c r="Z39">
        <v>1.7143079999999999</v>
      </c>
      <c r="AA39">
        <v>1.8166960000000001</v>
      </c>
      <c r="AB39">
        <v>1.9257839999999999</v>
      </c>
      <c r="AC39">
        <v>2.0411160000000002</v>
      </c>
      <c r="AD39">
        <v>2.1692900000000002</v>
      </c>
      <c r="AE39">
        <v>2.3026849999999999</v>
      </c>
      <c r="AF39">
        <v>2.44293</v>
      </c>
      <c r="AG39">
        <v>2.590767</v>
      </c>
      <c r="AH39" s="31">
        <v>0.05</v>
      </c>
    </row>
    <row r="40" spans="2:34">
      <c r="B40" t="s">
        <v>212</v>
      </c>
      <c r="C40" t="s">
        <v>3137</v>
      </c>
      <c r="D40" t="s">
        <v>3138</v>
      </c>
      <c r="E40" t="s">
        <v>354</v>
      </c>
      <c r="G40">
        <v>752.11914100000001</v>
      </c>
      <c r="H40">
        <v>733.38183600000002</v>
      </c>
      <c r="I40">
        <v>741.75500499999998</v>
      </c>
      <c r="J40">
        <v>755.32031199999994</v>
      </c>
      <c r="K40">
        <v>766.29522699999995</v>
      </c>
      <c r="L40">
        <v>778.19598399999995</v>
      </c>
      <c r="M40">
        <v>789.92559800000004</v>
      </c>
      <c r="N40">
        <v>800.55590800000004</v>
      </c>
      <c r="O40">
        <v>812.12438999999995</v>
      </c>
      <c r="P40">
        <v>823.286743</v>
      </c>
      <c r="Q40">
        <v>834.92968800000006</v>
      </c>
      <c r="R40">
        <v>844.163635</v>
      </c>
      <c r="S40">
        <v>851.84155299999998</v>
      </c>
      <c r="T40">
        <v>859.28411900000003</v>
      </c>
      <c r="U40">
        <v>865.81829800000003</v>
      </c>
      <c r="V40">
        <v>872.40655500000003</v>
      </c>
      <c r="W40">
        <v>878.26220699999999</v>
      </c>
      <c r="X40">
        <v>883.989014</v>
      </c>
      <c r="Y40">
        <v>889.83532700000001</v>
      </c>
      <c r="Z40">
        <v>895.57183799999996</v>
      </c>
      <c r="AA40">
        <v>901.092896</v>
      </c>
      <c r="AB40">
        <v>906.31549099999995</v>
      </c>
      <c r="AC40">
        <v>910.75854500000003</v>
      </c>
      <c r="AD40">
        <v>916.78363000000002</v>
      </c>
      <c r="AE40">
        <v>923.91906700000004</v>
      </c>
      <c r="AF40">
        <v>930.80413799999997</v>
      </c>
      <c r="AG40">
        <v>937.27282700000001</v>
      </c>
      <c r="AH40" s="31">
        <v>8.9999999999999993E-3</v>
      </c>
    </row>
    <row r="41" spans="2:34">
      <c r="B41" t="s">
        <v>306</v>
      </c>
      <c r="C41" t="s">
        <v>3139</v>
      </c>
      <c r="D41" t="s">
        <v>3140</v>
      </c>
      <c r="E41" t="s">
        <v>354</v>
      </c>
      <c r="G41">
        <v>195.74534600000001</v>
      </c>
      <c r="H41">
        <v>212.661835</v>
      </c>
      <c r="I41">
        <v>224.314606</v>
      </c>
      <c r="J41">
        <v>228.064087</v>
      </c>
      <c r="K41">
        <v>233.18679800000001</v>
      </c>
      <c r="L41">
        <v>235.61990399999999</v>
      </c>
      <c r="M41">
        <v>238.52423099999999</v>
      </c>
      <c r="N41">
        <v>242.35704000000001</v>
      </c>
      <c r="O41">
        <v>248.63774100000001</v>
      </c>
      <c r="P41">
        <v>254.948486</v>
      </c>
      <c r="Q41">
        <v>261.07586700000002</v>
      </c>
      <c r="R41">
        <v>263.98260499999998</v>
      </c>
      <c r="S41">
        <v>266.61132800000001</v>
      </c>
      <c r="T41">
        <v>268.03750600000001</v>
      </c>
      <c r="U41">
        <v>270.21701000000002</v>
      </c>
      <c r="V41">
        <v>272.002228</v>
      </c>
      <c r="W41">
        <v>273.95889299999999</v>
      </c>
      <c r="X41">
        <v>276.39965799999999</v>
      </c>
      <c r="Y41">
        <v>278.885986</v>
      </c>
      <c r="Z41">
        <v>280.99075299999998</v>
      </c>
      <c r="AA41">
        <v>283.009094</v>
      </c>
      <c r="AB41">
        <v>284.52014200000002</v>
      </c>
      <c r="AC41">
        <v>284.75753800000001</v>
      </c>
      <c r="AD41">
        <v>286.24276700000001</v>
      </c>
      <c r="AE41">
        <v>288.10394300000002</v>
      </c>
      <c r="AF41">
        <v>290.23345899999998</v>
      </c>
      <c r="AG41">
        <v>292.11120599999998</v>
      </c>
      <c r="AH41" s="31">
        <v>1.6E-2</v>
      </c>
    </row>
    <row r="42" spans="2:34">
      <c r="B42" t="s">
        <v>318</v>
      </c>
      <c r="C42" t="s">
        <v>3141</v>
      </c>
      <c r="D42" t="s">
        <v>3142</v>
      </c>
      <c r="E42" t="s">
        <v>354</v>
      </c>
      <c r="G42">
        <v>550.43896500000005</v>
      </c>
      <c r="H42">
        <v>514.18347200000005</v>
      </c>
      <c r="I42">
        <v>510.80633499999999</v>
      </c>
      <c r="J42">
        <v>520.583618</v>
      </c>
      <c r="K42">
        <v>526.08252000000005</v>
      </c>
      <c r="L42">
        <v>535.16064500000005</v>
      </c>
      <c r="M42">
        <v>543.52642800000001</v>
      </c>
      <c r="N42">
        <v>549.77069100000006</v>
      </c>
      <c r="O42">
        <v>554.768372</v>
      </c>
      <c r="P42">
        <v>559.316101</v>
      </c>
      <c r="Q42">
        <v>564.45159899999999</v>
      </c>
      <c r="R42">
        <v>570.71923800000002</v>
      </c>
      <c r="S42">
        <v>575.59594700000002</v>
      </c>
      <c r="T42">
        <v>581.43194600000004</v>
      </c>
      <c r="U42">
        <v>585.571777</v>
      </c>
      <c r="V42">
        <v>590.16540499999996</v>
      </c>
      <c r="W42">
        <v>593.91705300000001</v>
      </c>
      <c r="X42">
        <v>597.12823500000002</v>
      </c>
      <c r="Y42">
        <v>600.45532200000002</v>
      </c>
      <c r="Z42">
        <v>603.99230999999997</v>
      </c>
      <c r="AA42">
        <v>607.38354500000003</v>
      </c>
      <c r="AB42">
        <v>610.92431599999998</v>
      </c>
      <c r="AC42">
        <v>615.06170699999996</v>
      </c>
      <c r="AD42">
        <v>619.51269500000001</v>
      </c>
      <c r="AE42">
        <v>624.67334000000005</v>
      </c>
      <c r="AF42">
        <v>629.26171899999997</v>
      </c>
      <c r="AG42">
        <v>633.68322799999999</v>
      </c>
      <c r="AH42" s="31">
        <v>5.0000000000000001E-3</v>
      </c>
    </row>
    <row r="43" spans="2:34">
      <c r="B43" t="s">
        <v>316</v>
      </c>
      <c r="C43" t="s">
        <v>3143</v>
      </c>
      <c r="D43" t="s">
        <v>3144</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t="s">
        <v>117</v>
      </c>
    </row>
    <row r="44" spans="2:34">
      <c r="B44" t="s">
        <v>317</v>
      </c>
      <c r="C44" t="s">
        <v>3145</v>
      </c>
      <c r="D44" t="s">
        <v>3146</v>
      </c>
      <c r="E44" t="s">
        <v>354</v>
      </c>
      <c r="G44">
        <v>5.9348320000000001</v>
      </c>
      <c r="H44">
        <v>6.5364779999999998</v>
      </c>
      <c r="I44">
        <v>6.6340339999999998</v>
      </c>
      <c r="J44">
        <v>6.6726179999999999</v>
      </c>
      <c r="K44">
        <v>7.0259280000000004</v>
      </c>
      <c r="L44">
        <v>7.4154460000000002</v>
      </c>
      <c r="M44">
        <v>7.8749640000000003</v>
      </c>
      <c r="N44">
        <v>8.4281520000000008</v>
      </c>
      <c r="O44">
        <v>8.7182600000000008</v>
      </c>
      <c r="P44">
        <v>9.0221319999999992</v>
      </c>
      <c r="Q44">
        <v>9.4022459999999999</v>
      </c>
      <c r="R44">
        <v>9.4618070000000003</v>
      </c>
      <c r="S44">
        <v>9.6343019999999999</v>
      </c>
      <c r="T44">
        <v>9.8146550000000001</v>
      </c>
      <c r="U44">
        <v>10.029487</v>
      </c>
      <c r="V44">
        <v>10.238963999999999</v>
      </c>
      <c r="W44">
        <v>10.386210999999999</v>
      </c>
      <c r="X44">
        <v>10.461117</v>
      </c>
      <c r="Y44">
        <v>10.493995</v>
      </c>
      <c r="Z44">
        <v>10.588778</v>
      </c>
      <c r="AA44">
        <v>10.700267999999999</v>
      </c>
      <c r="AB44">
        <v>10.871041999999999</v>
      </c>
      <c r="AC44">
        <v>10.939361999999999</v>
      </c>
      <c r="AD44">
        <v>11.028162999999999</v>
      </c>
      <c r="AE44">
        <v>11.141788</v>
      </c>
      <c r="AF44">
        <v>11.308977000000001</v>
      </c>
      <c r="AG44">
        <v>11.478370999999999</v>
      </c>
      <c r="AH44" s="31">
        <v>2.5999999999999999E-2</v>
      </c>
    </row>
    <row r="45" spans="2:34">
      <c r="B45" t="s">
        <v>277</v>
      </c>
      <c r="C45" t="s">
        <v>3147</v>
      </c>
      <c r="D45" t="s">
        <v>3148</v>
      </c>
      <c r="E45" t="s">
        <v>354</v>
      </c>
      <c r="G45">
        <v>3268.3242190000001</v>
      </c>
      <c r="H45">
        <v>3262.0329590000001</v>
      </c>
      <c r="I45">
        <v>3288.7468260000001</v>
      </c>
      <c r="J45">
        <v>3323.875</v>
      </c>
      <c r="K45">
        <v>3351.2607419999999</v>
      </c>
      <c r="L45">
        <v>3383.5483399999998</v>
      </c>
      <c r="M45">
        <v>3411.5720209999999</v>
      </c>
      <c r="N45">
        <v>3430.9506839999999</v>
      </c>
      <c r="O45">
        <v>3454.6044919999999</v>
      </c>
      <c r="P45">
        <v>3479.304932</v>
      </c>
      <c r="Q45">
        <v>3503.2453609999998</v>
      </c>
      <c r="R45">
        <v>3534.0241700000001</v>
      </c>
      <c r="S45">
        <v>3567.5559079999998</v>
      </c>
      <c r="T45">
        <v>3607.15625</v>
      </c>
      <c r="U45">
        <v>3649.6206050000001</v>
      </c>
      <c r="V45">
        <v>3693.141846</v>
      </c>
      <c r="W45">
        <v>3735.9509280000002</v>
      </c>
      <c r="X45">
        <v>3776.4458009999998</v>
      </c>
      <c r="Y45">
        <v>3821.6879880000001</v>
      </c>
      <c r="Z45">
        <v>3863.9777829999998</v>
      </c>
      <c r="AA45">
        <v>3901.1779790000001</v>
      </c>
      <c r="AB45">
        <v>3936.9096679999998</v>
      </c>
      <c r="AC45">
        <v>3970.2233890000002</v>
      </c>
      <c r="AD45">
        <v>4011.1313479999999</v>
      </c>
      <c r="AE45">
        <v>4055.1303710000002</v>
      </c>
      <c r="AF45">
        <v>4094.5153810000002</v>
      </c>
      <c r="AG45">
        <v>4133.5112300000001</v>
      </c>
      <c r="AH45" s="31">
        <v>8.9999999999999993E-3</v>
      </c>
    </row>
    <row r="46" spans="2:34">
      <c r="B46" t="s">
        <v>319</v>
      </c>
      <c r="C46" t="s">
        <v>3149</v>
      </c>
      <c r="D46" t="s">
        <v>3150</v>
      </c>
      <c r="E46" t="s">
        <v>354</v>
      </c>
      <c r="G46">
        <v>3245.922607</v>
      </c>
      <c r="H46">
        <v>3239.6389159999999</v>
      </c>
      <c r="I46">
        <v>3266.3591310000002</v>
      </c>
      <c r="J46">
        <v>3301.492432</v>
      </c>
      <c r="K46">
        <v>3328.8823240000002</v>
      </c>
      <c r="L46">
        <v>3361.1733399999998</v>
      </c>
      <c r="M46">
        <v>3389.1999510000001</v>
      </c>
      <c r="N46">
        <v>3408.5810550000001</v>
      </c>
      <c r="O46">
        <v>3432.2368160000001</v>
      </c>
      <c r="P46">
        <v>3456.9389649999998</v>
      </c>
      <c r="Q46">
        <v>3480.8808589999999</v>
      </c>
      <c r="R46">
        <v>3511.6606449999999</v>
      </c>
      <c r="S46">
        <v>3545.1933589999999</v>
      </c>
      <c r="T46">
        <v>3584.7944339999999</v>
      </c>
      <c r="U46">
        <v>3627.2595209999999</v>
      </c>
      <c r="V46">
        <v>3670.78125</v>
      </c>
      <c r="W46">
        <v>3713.5908199999999</v>
      </c>
      <c r="X46">
        <v>3754.086182</v>
      </c>
      <c r="Y46">
        <v>3799.3286130000001</v>
      </c>
      <c r="Z46">
        <v>3841.6186520000001</v>
      </c>
      <c r="AA46">
        <v>3878.8190920000002</v>
      </c>
      <c r="AB46">
        <v>3914.5507809999999</v>
      </c>
      <c r="AC46">
        <v>3947.8647460000002</v>
      </c>
      <c r="AD46">
        <v>3988.7727049999999</v>
      </c>
      <c r="AE46">
        <v>4032.7719729999999</v>
      </c>
      <c r="AF46">
        <v>4072.156982</v>
      </c>
      <c r="AG46">
        <v>4111.1528319999998</v>
      </c>
      <c r="AH46" s="31">
        <v>8.9999999999999993E-3</v>
      </c>
    </row>
    <row r="47" spans="2:34">
      <c r="B47" t="s">
        <v>320</v>
      </c>
      <c r="C47" t="s">
        <v>3151</v>
      </c>
      <c r="D47" t="s">
        <v>3152</v>
      </c>
      <c r="E47" t="s">
        <v>354</v>
      </c>
      <c r="G47">
        <v>22.401547999999998</v>
      </c>
      <c r="H47">
        <v>22.394031999999999</v>
      </c>
      <c r="I47">
        <v>22.387812</v>
      </c>
      <c r="J47">
        <v>22.382666</v>
      </c>
      <c r="K47">
        <v>22.378406999999999</v>
      </c>
      <c r="L47">
        <v>22.374884000000002</v>
      </c>
      <c r="M47">
        <v>22.371969</v>
      </c>
      <c r="N47">
        <v>22.369558000000001</v>
      </c>
      <c r="O47">
        <v>22.367563000000001</v>
      </c>
      <c r="P47">
        <v>22.365911000000001</v>
      </c>
      <c r="Q47">
        <v>22.364546000000001</v>
      </c>
      <c r="R47">
        <v>22.363416999999998</v>
      </c>
      <c r="S47">
        <v>22.362480000000001</v>
      </c>
      <c r="T47">
        <v>22.361708</v>
      </c>
      <c r="U47">
        <v>22.361066999999998</v>
      </c>
      <c r="V47">
        <v>22.360537999999998</v>
      </c>
      <c r="W47">
        <v>22.360099999999999</v>
      </c>
      <c r="X47">
        <v>22.359736999999999</v>
      </c>
      <c r="Y47">
        <v>22.359438000000001</v>
      </c>
      <c r="Z47">
        <v>22.359190000000002</v>
      </c>
      <c r="AA47">
        <v>22.358984</v>
      </c>
      <c r="AB47">
        <v>22.358813999999999</v>
      </c>
      <c r="AC47">
        <v>22.358673</v>
      </c>
      <c r="AD47">
        <v>22.358557000000001</v>
      </c>
      <c r="AE47">
        <v>22.358460999999998</v>
      </c>
      <c r="AF47">
        <v>22.358381000000001</v>
      </c>
      <c r="AG47">
        <v>22.358315000000001</v>
      </c>
      <c r="AH47" s="31">
        <v>0</v>
      </c>
    </row>
    <row r="48" spans="2:34">
      <c r="B48" t="s">
        <v>278</v>
      </c>
      <c r="C48" t="s">
        <v>3153</v>
      </c>
      <c r="D48" t="s">
        <v>3154</v>
      </c>
      <c r="E48" t="s">
        <v>354</v>
      </c>
      <c r="G48">
        <v>444.78881799999999</v>
      </c>
      <c r="H48">
        <v>449.84466600000002</v>
      </c>
      <c r="I48">
        <v>452.96935999999999</v>
      </c>
      <c r="J48">
        <v>454.89593500000001</v>
      </c>
      <c r="K48">
        <v>455.761932</v>
      </c>
      <c r="L48">
        <v>455.59344499999997</v>
      </c>
      <c r="M48">
        <v>455.377319</v>
      </c>
      <c r="N48">
        <v>455.84149200000002</v>
      </c>
      <c r="O48">
        <v>456.21725500000002</v>
      </c>
      <c r="P48">
        <v>456.609802</v>
      </c>
      <c r="Q48">
        <v>456.93264799999997</v>
      </c>
      <c r="R48">
        <v>457.18493699999999</v>
      </c>
      <c r="S48">
        <v>457.63305700000001</v>
      </c>
      <c r="T48">
        <v>458.22058099999998</v>
      </c>
      <c r="U48">
        <v>458.78735399999999</v>
      </c>
      <c r="V48">
        <v>459.338776</v>
      </c>
      <c r="W48">
        <v>459.87536599999999</v>
      </c>
      <c r="X48">
        <v>460.398956</v>
      </c>
      <c r="Y48">
        <v>460.913971</v>
      </c>
      <c r="Z48">
        <v>461.42312600000002</v>
      </c>
      <c r="AA48">
        <v>461.92681900000002</v>
      </c>
      <c r="AB48">
        <v>462.42492700000003</v>
      </c>
      <c r="AC48">
        <v>462.92233299999998</v>
      </c>
      <c r="AD48">
        <v>463.41894500000001</v>
      </c>
      <c r="AE48">
        <v>463.91293300000001</v>
      </c>
      <c r="AF48">
        <v>464.407623</v>
      </c>
      <c r="AG48">
        <v>464.90356400000002</v>
      </c>
      <c r="AH48" s="31">
        <v>2E-3</v>
      </c>
    </row>
    <row r="49" spans="1:34">
      <c r="B49" t="s">
        <v>321</v>
      </c>
      <c r="C49" t="s">
        <v>3155</v>
      </c>
      <c r="D49" t="s">
        <v>3156</v>
      </c>
      <c r="E49" t="s">
        <v>354</v>
      </c>
      <c r="G49">
        <v>335.94638099999997</v>
      </c>
      <c r="H49">
        <v>339.76504499999999</v>
      </c>
      <c r="I49">
        <v>342.125092</v>
      </c>
      <c r="J49">
        <v>343.58023100000003</v>
      </c>
      <c r="K49">
        <v>344.23431399999998</v>
      </c>
      <c r="L49">
        <v>344.107056</v>
      </c>
      <c r="M49">
        <v>343.94381700000002</v>
      </c>
      <c r="N49">
        <v>344.29440299999999</v>
      </c>
      <c r="O49">
        <v>344.578217</v>
      </c>
      <c r="P49">
        <v>344.87469499999997</v>
      </c>
      <c r="Q49">
        <v>345.11853000000002</v>
      </c>
      <c r="R49">
        <v>345.30908199999999</v>
      </c>
      <c r="S49">
        <v>345.64752199999998</v>
      </c>
      <c r="T49">
        <v>346.09127799999999</v>
      </c>
      <c r="U49">
        <v>346.51937900000001</v>
      </c>
      <c r="V49">
        <v>346.93585200000001</v>
      </c>
      <c r="W49">
        <v>347.34112499999998</v>
      </c>
      <c r="X49">
        <v>347.736603</v>
      </c>
      <c r="Y49">
        <v>348.12558000000001</v>
      </c>
      <c r="Z49">
        <v>348.51016199999998</v>
      </c>
      <c r="AA49">
        <v>348.89059400000002</v>
      </c>
      <c r="AB49">
        <v>349.26681500000001</v>
      </c>
      <c r="AC49">
        <v>349.64248700000002</v>
      </c>
      <c r="AD49">
        <v>350.01757800000001</v>
      </c>
      <c r="AE49">
        <v>350.39068600000002</v>
      </c>
      <c r="AF49">
        <v>350.76431300000002</v>
      </c>
      <c r="AG49">
        <v>351.13888500000002</v>
      </c>
      <c r="AH49" s="31">
        <v>2E-3</v>
      </c>
    </row>
    <row r="50" spans="1:34">
      <c r="B50" t="s">
        <v>315</v>
      </c>
      <c r="C50" t="s">
        <v>3157</v>
      </c>
      <c r="D50" t="s">
        <v>3158</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t="s">
        <v>117</v>
      </c>
    </row>
    <row r="51" spans="1:34">
      <c r="B51" t="s">
        <v>322</v>
      </c>
      <c r="C51" t="s">
        <v>3159</v>
      </c>
      <c r="D51" t="s">
        <v>3160</v>
      </c>
      <c r="E51" t="s">
        <v>354</v>
      </c>
      <c r="G51">
        <v>108.84242999999999</v>
      </c>
      <c r="H51">
        <v>110.079628</v>
      </c>
      <c r="I51">
        <v>110.844261</v>
      </c>
      <c r="J51">
        <v>111.31572</v>
      </c>
      <c r="K51">
        <v>111.527618</v>
      </c>
      <c r="L51">
        <v>111.486397</v>
      </c>
      <c r="M51">
        <v>111.43351699999999</v>
      </c>
      <c r="N51">
        <v>111.547089</v>
      </c>
      <c r="O51">
        <v>111.63904599999999</v>
      </c>
      <c r="P51">
        <v>111.735107</v>
      </c>
      <c r="Q51">
        <v>111.814117</v>
      </c>
      <c r="R51">
        <v>111.87587000000001</v>
      </c>
      <c r="S51">
        <v>111.985519</v>
      </c>
      <c r="T51">
        <v>112.12930299999999</v>
      </c>
      <c r="U51">
        <v>112.26799</v>
      </c>
      <c r="V51">
        <v>112.402924</v>
      </c>
      <c r="W51">
        <v>112.53424099999999</v>
      </c>
      <c r="X51">
        <v>112.66235399999999</v>
      </c>
      <c r="Y51">
        <v>112.788383</v>
      </c>
      <c r="Z51">
        <v>112.912964</v>
      </c>
      <c r="AA51">
        <v>113.03624000000001</v>
      </c>
      <c r="AB51">
        <v>113.15812699999999</v>
      </c>
      <c r="AC51">
        <v>113.27984600000001</v>
      </c>
      <c r="AD51">
        <v>113.401375</v>
      </c>
      <c r="AE51">
        <v>113.52224699999999</v>
      </c>
      <c r="AF51">
        <v>113.643303</v>
      </c>
      <c r="AG51">
        <v>113.764679</v>
      </c>
      <c r="AH51" s="31">
        <v>2E-3</v>
      </c>
    </row>
    <row r="52" spans="1:34">
      <c r="B52" t="s">
        <v>279</v>
      </c>
      <c r="C52" t="s">
        <v>3161</v>
      </c>
      <c r="D52" t="s">
        <v>3162</v>
      </c>
      <c r="E52" t="s">
        <v>354</v>
      </c>
      <c r="G52">
        <v>207.85879499999999</v>
      </c>
      <c r="H52">
        <v>213.51556400000001</v>
      </c>
      <c r="I52">
        <v>216.129898</v>
      </c>
      <c r="J52">
        <v>217.12576300000001</v>
      </c>
      <c r="K52">
        <v>217.48175000000001</v>
      </c>
      <c r="L52">
        <v>217.42764299999999</v>
      </c>
      <c r="M52">
        <v>217.24430799999999</v>
      </c>
      <c r="N52">
        <v>216.24174500000001</v>
      </c>
      <c r="O52">
        <v>214.76506000000001</v>
      </c>
      <c r="P52">
        <v>213.18585200000001</v>
      </c>
      <c r="Q52">
        <v>211.90618900000001</v>
      </c>
      <c r="R52">
        <v>210.37204</v>
      </c>
      <c r="S52">
        <v>208.78291300000001</v>
      </c>
      <c r="T52">
        <v>207.22485399999999</v>
      </c>
      <c r="U52">
        <v>205.64492799999999</v>
      </c>
      <c r="V52">
        <v>203.97955300000001</v>
      </c>
      <c r="W52">
        <v>202.18667600000001</v>
      </c>
      <c r="X52">
        <v>200.30072000000001</v>
      </c>
      <c r="Y52">
        <v>198.29200700000001</v>
      </c>
      <c r="Z52">
        <v>196.336792</v>
      </c>
      <c r="AA52">
        <v>194.28083799999999</v>
      </c>
      <c r="AB52">
        <v>192.319534</v>
      </c>
      <c r="AC52">
        <v>190.19499200000001</v>
      </c>
      <c r="AD52">
        <v>187.95107999999999</v>
      </c>
      <c r="AE52">
        <v>185.79196200000001</v>
      </c>
      <c r="AF52">
        <v>183.69107099999999</v>
      </c>
      <c r="AG52">
        <v>181.903885</v>
      </c>
      <c r="AH52" s="31">
        <v>-5.0000000000000001E-3</v>
      </c>
    </row>
    <row r="53" spans="1:34">
      <c r="B53" t="s">
        <v>323</v>
      </c>
      <c r="C53" t="s">
        <v>3163</v>
      </c>
      <c r="D53" t="s">
        <v>3164</v>
      </c>
      <c r="E53" t="s">
        <v>354</v>
      </c>
      <c r="G53">
        <v>76.710044999999994</v>
      </c>
      <c r="H53">
        <v>81.313903999999994</v>
      </c>
      <c r="I53">
        <v>83.939346</v>
      </c>
      <c r="J53">
        <v>85.569359000000006</v>
      </c>
      <c r="K53">
        <v>86.754188999999997</v>
      </c>
      <c r="L53">
        <v>87.688941999999997</v>
      </c>
      <c r="M53">
        <v>88.627594000000002</v>
      </c>
      <c r="N53">
        <v>88.838866999999993</v>
      </c>
      <c r="O53">
        <v>88.562233000000006</v>
      </c>
      <c r="P53">
        <v>88.112342999999996</v>
      </c>
      <c r="Q53">
        <v>87.900931999999997</v>
      </c>
      <c r="R53">
        <v>87.407082000000003</v>
      </c>
      <c r="S53">
        <v>86.832076999999998</v>
      </c>
      <c r="T53">
        <v>86.239661999999996</v>
      </c>
      <c r="U53">
        <v>85.777709999999999</v>
      </c>
      <c r="V53">
        <v>85.252876000000001</v>
      </c>
      <c r="W53">
        <v>84.619086999999993</v>
      </c>
      <c r="X53">
        <v>83.913132000000004</v>
      </c>
      <c r="Y53">
        <v>83.115341000000001</v>
      </c>
      <c r="Z53">
        <v>82.391418000000002</v>
      </c>
      <c r="AA53">
        <v>81.586922000000001</v>
      </c>
      <c r="AB53">
        <v>80.892448000000002</v>
      </c>
      <c r="AC53">
        <v>80.055817000000005</v>
      </c>
      <c r="AD53">
        <v>79.108192000000003</v>
      </c>
      <c r="AE53">
        <v>78.258156</v>
      </c>
      <c r="AF53">
        <v>77.463318000000001</v>
      </c>
      <c r="AG53">
        <v>76.982123999999999</v>
      </c>
      <c r="AH53" s="31">
        <v>0</v>
      </c>
    </row>
    <row r="54" spans="1:34">
      <c r="A54" t="s">
        <v>113</v>
      </c>
      <c r="B54" t="s">
        <v>313</v>
      </c>
      <c r="C54" t="s">
        <v>3165</v>
      </c>
      <c r="D54" t="s">
        <v>3166</v>
      </c>
      <c r="E54" t="s">
        <v>354</v>
      </c>
      <c r="G54">
        <v>9.1472949999999997</v>
      </c>
      <c r="H54">
        <v>9.6769990000000004</v>
      </c>
      <c r="I54">
        <v>9.9694310000000002</v>
      </c>
      <c r="J54">
        <v>10.140093</v>
      </c>
      <c r="K54">
        <v>10.254068</v>
      </c>
      <c r="L54">
        <v>10.338150000000001</v>
      </c>
      <c r="M54">
        <v>10.423724999999999</v>
      </c>
      <c r="N54">
        <v>10.40757</v>
      </c>
      <c r="O54">
        <v>10.336831</v>
      </c>
      <c r="P54">
        <v>10.245358</v>
      </c>
      <c r="Q54">
        <v>10.182765</v>
      </c>
      <c r="R54">
        <v>10.088881000000001</v>
      </c>
      <c r="S54">
        <v>9.9874010000000002</v>
      </c>
      <c r="T54">
        <v>9.8847330000000007</v>
      </c>
      <c r="U54">
        <v>9.7954469999999993</v>
      </c>
      <c r="V54">
        <v>9.7009380000000007</v>
      </c>
      <c r="W54">
        <v>9.5947750000000003</v>
      </c>
      <c r="X54">
        <v>9.4811399999999999</v>
      </c>
      <c r="Y54">
        <v>9.3583630000000007</v>
      </c>
      <c r="Z54">
        <v>9.2445350000000008</v>
      </c>
      <c r="AA54">
        <v>9.1221510000000006</v>
      </c>
      <c r="AB54">
        <v>9.0127930000000003</v>
      </c>
      <c r="AC54">
        <v>8.8882650000000005</v>
      </c>
      <c r="AD54">
        <v>8.7531800000000004</v>
      </c>
      <c r="AE54">
        <v>8.6299919999999997</v>
      </c>
      <c r="AF54">
        <v>8.5133890000000001</v>
      </c>
      <c r="AG54">
        <v>8.4316549999999992</v>
      </c>
      <c r="AH54" s="31">
        <v>-3.0000000000000001E-3</v>
      </c>
    </row>
    <row r="55" spans="1:34">
      <c r="A55" t="s">
        <v>113</v>
      </c>
      <c r="B55" t="s">
        <v>305</v>
      </c>
      <c r="C55" t="s">
        <v>3167</v>
      </c>
      <c r="D55" t="s">
        <v>3168</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t="s">
        <v>117</v>
      </c>
    </row>
    <row r="56" spans="1:34">
      <c r="A56" t="s">
        <v>114</v>
      </c>
      <c r="B56" t="s">
        <v>306</v>
      </c>
      <c r="C56" t="s">
        <v>3169</v>
      </c>
      <c r="D56" t="s">
        <v>3170</v>
      </c>
      <c r="E56" t="s">
        <v>354</v>
      </c>
      <c r="G56">
        <v>40.625771</v>
      </c>
      <c r="H56">
        <v>43.015372999999997</v>
      </c>
      <c r="I56">
        <v>44.437289999999997</v>
      </c>
      <c r="J56">
        <v>45.333485000000003</v>
      </c>
      <c r="K56">
        <v>45.963813999999999</v>
      </c>
      <c r="L56">
        <v>46.444603000000001</v>
      </c>
      <c r="M56">
        <v>46.903049000000003</v>
      </c>
      <c r="N56">
        <v>46.919742999999997</v>
      </c>
      <c r="O56">
        <v>46.674880999999999</v>
      </c>
      <c r="P56">
        <v>46.334845999999999</v>
      </c>
      <c r="Q56">
        <v>46.093288000000001</v>
      </c>
      <c r="R56">
        <v>45.718204</v>
      </c>
      <c r="S56">
        <v>45.301796000000003</v>
      </c>
      <c r="T56">
        <v>44.889698000000003</v>
      </c>
      <c r="U56">
        <v>44.538803000000001</v>
      </c>
      <c r="V56">
        <v>44.157210999999997</v>
      </c>
      <c r="W56">
        <v>43.730533999999999</v>
      </c>
      <c r="X56">
        <v>43.270508</v>
      </c>
      <c r="Y56">
        <v>42.771523000000002</v>
      </c>
      <c r="Z56">
        <v>42.300243000000002</v>
      </c>
      <c r="AA56">
        <v>41.791203000000003</v>
      </c>
      <c r="AB56">
        <v>41.328612999999997</v>
      </c>
      <c r="AC56">
        <v>40.801394999999999</v>
      </c>
      <c r="AD56">
        <v>40.232635000000002</v>
      </c>
      <c r="AE56">
        <v>39.711196999999999</v>
      </c>
      <c r="AF56">
        <v>39.214508000000002</v>
      </c>
      <c r="AG56">
        <v>38.856288999999997</v>
      </c>
      <c r="AH56" s="31">
        <v>-2E-3</v>
      </c>
    </row>
    <row r="57" spans="1:34">
      <c r="A57" t="s">
        <v>112</v>
      </c>
      <c r="B57" t="s">
        <v>307</v>
      </c>
      <c r="C57" t="s">
        <v>3171</v>
      </c>
      <c r="D57" t="s">
        <v>3172</v>
      </c>
      <c r="E57" t="s">
        <v>354</v>
      </c>
      <c r="G57">
        <v>23.263926999999999</v>
      </c>
      <c r="H57">
        <v>24.442589000000002</v>
      </c>
      <c r="I57">
        <v>24.941652000000001</v>
      </c>
      <c r="J57">
        <v>25.139893000000001</v>
      </c>
      <c r="K57">
        <v>25.233543000000001</v>
      </c>
      <c r="L57">
        <v>25.265585000000002</v>
      </c>
      <c r="M57">
        <v>25.313994999999998</v>
      </c>
      <c r="N57">
        <v>25.225773</v>
      </c>
      <c r="O57">
        <v>25.006153000000001</v>
      </c>
      <c r="P57">
        <v>24.744357999999998</v>
      </c>
      <c r="Q57">
        <v>24.571242999999999</v>
      </c>
      <c r="R57">
        <v>24.309456000000001</v>
      </c>
      <c r="S57">
        <v>24.027180000000001</v>
      </c>
      <c r="T57">
        <v>23.733592999999999</v>
      </c>
      <c r="U57">
        <v>23.491579000000002</v>
      </c>
      <c r="V57">
        <v>23.230962999999999</v>
      </c>
      <c r="W57">
        <v>22.936558000000002</v>
      </c>
      <c r="X57">
        <v>22.624068999999999</v>
      </c>
      <c r="Y57">
        <v>22.285173</v>
      </c>
      <c r="Z57">
        <v>21.978224000000001</v>
      </c>
      <c r="AA57">
        <v>21.652470000000001</v>
      </c>
      <c r="AB57">
        <v>21.36721</v>
      </c>
      <c r="AC57">
        <v>21.043865</v>
      </c>
      <c r="AD57">
        <v>20.685226</v>
      </c>
      <c r="AE57">
        <v>20.358484000000001</v>
      </c>
      <c r="AF57">
        <v>20.053581000000001</v>
      </c>
      <c r="AG57">
        <v>19.847092</v>
      </c>
      <c r="AH57" s="31">
        <v>-6.0000000000000001E-3</v>
      </c>
    </row>
    <row r="58" spans="1:34">
      <c r="A58" t="s">
        <v>257</v>
      </c>
      <c r="B58" t="s">
        <v>308</v>
      </c>
      <c r="C58" t="s">
        <v>3173</v>
      </c>
      <c r="D58" t="s">
        <v>3174</v>
      </c>
      <c r="E58" t="s">
        <v>354</v>
      </c>
      <c r="G58">
        <v>0.88131899999999996</v>
      </c>
      <c r="H58">
        <v>0.94454800000000005</v>
      </c>
      <c r="I58">
        <v>0.985039</v>
      </c>
      <c r="J58">
        <v>1.013336</v>
      </c>
      <c r="K58">
        <v>1.035471</v>
      </c>
      <c r="L58">
        <v>1.055701</v>
      </c>
      <c r="M58">
        <v>1.0791539999999999</v>
      </c>
      <c r="N58">
        <v>1.082665</v>
      </c>
      <c r="O58">
        <v>1.0780879999999999</v>
      </c>
      <c r="P58">
        <v>1.072206</v>
      </c>
      <c r="Q58">
        <v>1.070856</v>
      </c>
      <c r="R58">
        <v>1.066365</v>
      </c>
      <c r="S58">
        <v>1.0616030000000001</v>
      </c>
      <c r="T58">
        <v>1.0564439999999999</v>
      </c>
      <c r="U58">
        <v>1.052379</v>
      </c>
      <c r="V58">
        <v>1.0480579999999999</v>
      </c>
      <c r="W58">
        <v>1.041927</v>
      </c>
      <c r="X58">
        <v>1.034816</v>
      </c>
      <c r="Y58">
        <v>1.0266090000000001</v>
      </c>
      <c r="Z58">
        <v>1.019739</v>
      </c>
      <c r="AA58">
        <v>1.0114700000000001</v>
      </c>
      <c r="AB58">
        <v>1.0050490000000001</v>
      </c>
      <c r="AC58">
        <v>0.99636899999999995</v>
      </c>
      <c r="AD58">
        <v>0.98636299999999999</v>
      </c>
      <c r="AE58">
        <v>0.97801499999999997</v>
      </c>
      <c r="AF58">
        <v>0.970356</v>
      </c>
      <c r="AG58">
        <v>0.96767199999999998</v>
      </c>
      <c r="AH58" s="31">
        <v>4.0000000000000001E-3</v>
      </c>
    </row>
    <row r="59" spans="1:34">
      <c r="A59" t="s">
        <v>111</v>
      </c>
      <c r="B59" t="s">
        <v>309</v>
      </c>
      <c r="C59" t="s">
        <v>3175</v>
      </c>
      <c r="D59" t="s">
        <v>3176</v>
      </c>
      <c r="E59" t="s">
        <v>354</v>
      </c>
      <c r="G59">
        <v>2.7587679999999999</v>
      </c>
      <c r="H59">
        <v>3.1998139999999999</v>
      </c>
      <c r="I59">
        <v>3.570894</v>
      </c>
      <c r="J59">
        <v>3.9074979999999999</v>
      </c>
      <c r="K59">
        <v>4.2323620000000002</v>
      </c>
      <c r="L59">
        <v>4.5501690000000004</v>
      </c>
      <c r="M59">
        <v>4.8731359999999997</v>
      </c>
      <c r="N59">
        <v>5.1687770000000004</v>
      </c>
      <c r="O59">
        <v>5.4324050000000002</v>
      </c>
      <c r="P59">
        <v>5.682207</v>
      </c>
      <c r="Q59">
        <v>5.9497499999999999</v>
      </c>
      <c r="R59">
        <v>6.1916260000000003</v>
      </c>
      <c r="S59">
        <v>6.422059</v>
      </c>
      <c r="T59">
        <v>6.6436789999999997</v>
      </c>
      <c r="U59">
        <v>6.8684979999999998</v>
      </c>
      <c r="V59">
        <v>7.0852009999999996</v>
      </c>
      <c r="W59">
        <v>7.285336</v>
      </c>
      <c r="X59">
        <v>7.4732219999999998</v>
      </c>
      <c r="Y59">
        <v>7.6448970000000003</v>
      </c>
      <c r="Z59">
        <v>7.8204669999999998</v>
      </c>
      <c r="AA59">
        <v>7.9819779999999998</v>
      </c>
      <c r="AB59">
        <v>8.1516319999999993</v>
      </c>
      <c r="AC59">
        <v>8.2993310000000005</v>
      </c>
      <c r="AD59">
        <v>8.4247949999999996</v>
      </c>
      <c r="AE59">
        <v>8.5550510000000006</v>
      </c>
      <c r="AF59">
        <v>8.6866050000000001</v>
      </c>
      <c r="AG59">
        <v>8.8549120000000006</v>
      </c>
      <c r="AH59" s="31">
        <v>4.5999999999999999E-2</v>
      </c>
    </row>
    <row r="60" spans="1:34">
      <c r="A60" t="s">
        <v>258</v>
      </c>
      <c r="B60" t="s">
        <v>310</v>
      </c>
      <c r="C60" t="s">
        <v>3177</v>
      </c>
      <c r="D60" t="s">
        <v>3178</v>
      </c>
      <c r="E60" t="s">
        <v>354</v>
      </c>
      <c r="G60">
        <v>3.2971E-2</v>
      </c>
      <c r="H60">
        <v>3.4576999999999997E-2</v>
      </c>
      <c r="I60">
        <v>3.5043999999999999E-2</v>
      </c>
      <c r="J60">
        <v>3.5052E-2</v>
      </c>
      <c r="K60">
        <v>3.4937999999999997E-2</v>
      </c>
      <c r="L60">
        <v>3.4730999999999998E-2</v>
      </c>
      <c r="M60">
        <v>3.4534000000000002E-2</v>
      </c>
      <c r="N60">
        <v>3.4341999999999998E-2</v>
      </c>
      <c r="O60">
        <v>3.3877999999999998E-2</v>
      </c>
      <c r="P60">
        <v>3.3368000000000002E-2</v>
      </c>
      <c r="Q60">
        <v>3.3023999999999998E-2</v>
      </c>
      <c r="R60">
        <v>3.2548000000000001E-2</v>
      </c>
      <c r="S60">
        <v>3.2044999999999997E-2</v>
      </c>
      <c r="T60">
        <v>3.1515000000000001E-2</v>
      </c>
      <c r="U60">
        <v>3.1008000000000001E-2</v>
      </c>
      <c r="V60">
        <v>3.0508E-2</v>
      </c>
      <c r="W60">
        <v>2.9954999999999999E-2</v>
      </c>
      <c r="X60">
        <v>2.9382999999999999E-2</v>
      </c>
      <c r="Y60">
        <v>2.8767999999999998E-2</v>
      </c>
      <c r="Z60">
        <v>2.8216000000000001E-2</v>
      </c>
      <c r="AA60">
        <v>2.7647000000000001E-2</v>
      </c>
      <c r="AB60">
        <v>2.7149E-2</v>
      </c>
      <c r="AC60">
        <v>2.6599000000000001E-2</v>
      </c>
      <c r="AD60">
        <v>2.5984E-2</v>
      </c>
      <c r="AE60">
        <v>2.5413999999999999E-2</v>
      </c>
      <c r="AF60">
        <v>2.4882000000000001E-2</v>
      </c>
      <c r="AG60">
        <v>2.4500000000000001E-2</v>
      </c>
      <c r="AH60" s="31">
        <v>-1.0999999999999999E-2</v>
      </c>
    </row>
    <row r="61" spans="1:34">
      <c r="B61" t="s">
        <v>324</v>
      </c>
      <c r="C61" t="s">
        <v>3179</v>
      </c>
      <c r="D61" t="s">
        <v>3180</v>
      </c>
      <c r="E61" t="s">
        <v>354</v>
      </c>
      <c r="G61">
        <v>30.108592999999999</v>
      </c>
      <c r="H61">
        <v>31.324183000000001</v>
      </c>
      <c r="I61">
        <v>32.204268999999996</v>
      </c>
      <c r="J61">
        <v>32.814284999999998</v>
      </c>
      <c r="K61">
        <v>33.256686999999999</v>
      </c>
      <c r="L61">
        <v>33.580925000000001</v>
      </c>
      <c r="M61">
        <v>33.812759</v>
      </c>
      <c r="N61">
        <v>33.971854999999998</v>
      </c>
      <c r="O61">
        <v>34.074733999999999</v>
      </c>
      <c r="P61">
        <v>34.127521999999999</v>
      </c>
      <c r="Q61">
        <v>34.138331999999998</v>
      </c>
      <c r="R61">
        <v>34.117863</v>
      </c>
      <c r="S61">
        <v>34.071151999999998</v>
      </c>
      <c r="T61">
        <v>34.002563000000002</v>
      </c>
      <c r="U61">
        <v>33.932445999999999</v>
      </c>
      <c r="V61">
        <v>33.850540000000002</v>
      </c>
      <c r="W61">
        <v>33.759456999999998</v>
      </c>
      <c r="X61">
        <v>33.660358000000002</v>
      </c>
      <c r="Y61">
        <v>33.556801</v>
      </c>
      <c r="Z61">
        <v>33.447479000000001</v>
      </c>
      <c r="AA61">
        <v>33.332580999999998</v>
      </c>
      <c r="AB61">
        <v>33.213673</v>
      </c>
      <c r="AC61">
        <v>33.091960999999998</v>
      </c>
      <c r="AD61">
        <v>32.971535000000003</v>
      </c>
      <c r="AE61">
        <v>32.850974999999998</v>
      </c>
      <c r="AF61">
        <v>32.727406000000002</v>
      </c>
      <c r="AG61">
        <v>32.602530999999999</v>
      </c>
      <c r="AH61" s="31">
        <v>3.0000000000000001E-3</v>
      </c>
    </row>
    <row r="62" spans="1:34">
      <c r="A62" t="s">
        <v>113</v>
      </c>
      <c r="B62" t="s">
        <v>313</v>
      </c>
      <c r="C62" t="s">
        <v>3181</v>
      </c>
      <c r="D62" t="s">
        <v>3182</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t="s">
        <v>117</v>
      </c>
    </row>
    <row r="63" spans="1:34">
      <c r="A63" t="s">
        <v>113</v>
      </c>
      <c r="B63" t="s">
        <v>305</v>
      </c>
      <c r="C63" t="s">
        <v>3183</v>
      </c>
      <c r="D63" t="s">
        <v>3184</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t="s">
        <v>117</v>
      </c>
    </row>
    <row r="64" spans="1:34">
      <c r="A64" t="s">
        <v>114</v>
      </c>
      <c r="B64" t="s">
        <v>306</v>
      </c>
      <c r="C64" t="s">
        <v>3185</v>
      </c>
      <c r="D64" t="s">
        <v>3186</v>
      </c>
      <c r="E64" t="s">
        <v>354</v>
      </c>
      <c r="G64">
        <v>30.108592999999999</v>
      </c>
      <c r="H64">
        <v>31.324183000000001</v>
      </c>
      <c r="I64">
        <v>32.204268999999996</v>
      </c>
      <c r="J64">
        <v>32.814284999999998</v>
      </c>
      <c r="K64">
        <v>33.256686999999999</v>
      </c>
      <c r="L64">
        <v>33.580925000000001</v>
      </c>
      <c r="M64">
        <v>33.812759</v>
      </c>
      <c r="N64">
        <v>33.971854999999998</v>
      </c>
      <c r="O64">
        <v>34.074733999999999</v>
      </c>
      <c r="P64">
        <v>34.127521999999999</v>
      </c>
      <c r="Q64">
        <v>34.138331999999998</v>
      </c>
      <c r="R64">
        <v>34.117863</v>
      </c>
      <c r="S64">
        <v>34.071151999999998</v>
      </c>
      <c r="T64">
        <v>34.002563000000002</v>
      </c>
      <c r="U64">
        <v>33.932445999999999</v>
      </c>
      <c r="V64">
        <v>33.850540000000002</v>
      </c>
      <c r="W64">
        <v>33.759456999999998</v>
      </c>
      <c r="X64">
        <v>33.660358000000002</v>
      </c>
      <c r="Y64">
        <v>33.556801</v>
      </c>
      <c r="Z64">
        <v>33.447479000000001</v>
      </c>
      <c r="AA64">
        <v>33.332580999999998</v>
      </c>
      <c r="AB64">
        <v>33.213673</v>
      </c>
      <c r="AC64">
        <v>33.091960999999998</v>
      </c>
      <c r="AD64">
        <v>32.971535000000003</v>
      </c>
      <c r="AE64">
        <v>32.850974999999998</v>
      </c>
      <c r="AF64">
        <v>32.727406000000002</v>
      </c>
      <c r="AG64">
        <v>32.602530999999999</v>
      </c>
      <c r="AH64" s="31">
        <v>3.0000000000000001E-3</v>
      </c>
    </row>
    <row r="65" spans="1:34">
      <c r="A65" t="s">
        <v>112</v>
      </c>
      <c r="B65" t="s">
        <v>307</v>
      </c>
      <c r="C65" t="s">
        <v>3187</v>
      </c>
      <c r="D65" t="s">
        <v>3188</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t="s">
        <v>117</v>
      </c>
    </row>
    <row r="66" spans="1:34">
      <c r="A66" t="s">
        <v>257</v>
      </c>
      <c r="B66" t="s">
        <v>308</v>
      </c>
      <c r="C66" t="s">
        <v>3189</v>
      </c>
      <c r="D66" t="s">
        <v>3190</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t="s">
        <v>117</v>
      </c>
    </row>
    <row r="67" spans="1:34">
      <c r="A67" t="s">
        <v>111</v>
      </c>
      <c r="B67" t="s">
        <v>309</v>
      </c>
      <c r="C67" t="s">
        <v>3191</v>
      </c>
      <c r="D67" t="s">
        <v>3192</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t="s">
        <v>117</v>
      </c>
    </row>
    <row r="68" spans="1:34">
      <c r="A68" t="s">
        <v>258</v>
      </c>
      <c r="B68" t="s">
        <v>310</v>
      </c>
      <c r="C68" t="s">
        <v>3193</v>
      </c>
      <c r="D68" t="s">
        <v>3194</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t="s">
        <v>117</v>
      </c>
    </row>
    <row r="69" spans="1:34">
      <c r="B69" t="s">
        <v>325</v>
      </c>
      <c r="C69" t="s">
        <v>3195</v>
      </c>
      <c r="D69" t="s">
        <v>3196</v>
      </c>
      <c r="E69" t="s">
        <v>354</v>
      </c>
      <c r="G69">
        <v>101.04016900000001</v>
      </c>
      <c r="H69">
        <v>100.87748000000001</v>
      </c>
      <c r="I69">
        <v>99.986282000000003</v>
      </c>
      <c r="J69">
        <v>98.742125999999999</v>
      </c>
      <c r="K69">
        <v>97.470871000000002</v>
      </c>
      <c r="L69">
        <v>96.157784000000007</v>
      </c>
      <c r="M69">
        <v>94.803955000000002</v>
      </c>
      <c r="N69">
        <v>93.431022999999996</v>
      </c>
      <c r="O69">
        <v>92.128097999999994</v>
      </c>
      <c r="P69">
        <v>90.945992000000004</v>
      </c>
      <c r="Q69">
        <v>89.866919999999993</v>
      </c>
      <c r="R69">
        <v>88.847099</v>
      </c>
      <c r="S69">
        <v>87.879683999999997</v>
      </c>
      <c r="T69">
        <v>86.982628000000005</v>
      </c>
      <c r="U69">
        <v>85.934760999999995</v>
      </c>
      <c r="V69">
        <v>84.876143999999996</v>
      </c>
      <c r="W69">
        <v>83.808136000000005</v>
      </c>
      <c r="X69">
        <v>82.727233999999996</v>
      </c>
      <c r="Y69">
        <v>81.619865000000004</v>
      </c>
      <c r="Z69">
        <v>80.497901999999996</v>
      </c>
      <c r="AA69">
        <v>79.361335999999994</v>
      </c>
      <c r="AB69">
        <v>78.213408999999999</v>
      </c>
      <c r="AC69">
        <v>77.047211000000004</v>
      </c>
      <c r="AD69">
        <v>75.871360999999993</v>
      </c>
      <c r="AE69">
        <v>74.682838000000004</v>
      </c>
      <c r="AF69">
        <v>73.500343000000001</v>
      </c>
      <c r="AG69">
        <v>72.319229000000007</v>
      </c>
      <c r="AH69" s="31">
        <v>-1.2999999999999999E-2</v>
      </c>
    </row>
    <row r="70" spans="1:34">
      <c r="A70" t="s">
        <v>113</v>
      </c>
      <c r="B70" t="s">
        <v>313</v>
      </c>
      <c r="C70" t="s">
        <v>3197</v>
      </c>
      <c r="D70" t="s">
        <v>3198</v>
      </c>
      <c r="E70" t="s">
        <v>354</v>
      </c>
      <c r="G70">
        <v>10.011436</v>
      </c>
      <c r="H70">
        <v>9.9641760000000001</v>
      </c>
      <c r="I70">
        <v>9.8488229999999994</v>
      </c>
      <c r="J70">
        <v>9.6992469999999997</v>
      </c>
      <c r="K70">
        <v>9.5474689999999995</v>
      </c>
      <c r="L70">
        <v>9.3920720000000006</v>
      </c>
      <c r="M70">
        <v>9.2331830000000004</v>
      </c>
      <c r="N70">
        <v>9.0729570000000006</v>
      </c>
      <c r="O70">
        <v>8.9200700000000008</v>
      </c>
      <c r="P70">
        <v>8.7795740000000002</v>
      </c>
      <c r="Q70">
        <v>8.6495519999999999</v>
      </c>
      <c r="R70">
        <v>8.5256270000000001</v>
      </c>
      <c r="S70">
        <v>8.4073440000000002</v>
      </c>
      <c r="T70">
        <v>8.2961869999999998</v>
      </c>
      <c r="U70">
        <v>8.170966</v>
      </c>
      <c r="V70">
        <v>8.0451110000000003</v>
      </c>
      <c r="W70">
        <v>7.9187659999999997</v>
      </c>
      <c r="X70">
        <v>7.7916499999999997</v>
      </c>
      <c r="Y70">
        <v>7.6625310000000004</v>
      </c>
      <c r="Z70">
        <v>7.5325889999999998</v>
      </c>
      <c r="AA70">
        <v>7.4017710000000001</v>
      </c>
      <c r="AB70">
        <v>7.2704040000000001</v>
      </c>
      <c r="AC70">
        <v>7.1378089999999998</v>
      </c>
      <c r="AD70">
        <v>7.0048300000000001</v>
      </c>
      <c r="AE70">
        <v>6.8712419999999996</v>
      </c>
      <c r="AF70">
        <v>6.738766</v>
      </c>
      <c r="AG70">
        <v>6.6069699999999996</v>
      </c>
      <c r="AH70" s="31">
        <v>-1.6E-2</v>
      </c>
    </row>
    <row r="71" spans="1:34">
      <c r="A71" t="s">
        <v>113</v>
      </c>
      <c r="B71" t="s">
        <v>305</v>
      </c>
      <c r="C71" t="s">
        <v>3199</v>
      </c>
      <c r="D71" t="s">
        <v>3200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t="s">
        <v>117</v>
      </c>
    </row>
    <row r="72" spans="1:34">
      <c r="A72" t="s">
        <v>114</v>
      </c>
      <c r="B72" t="s">
        <v>306</v>
      </c>
      <c r="C72" t="s">
        <v>3201</v>
      </c>
      <c r="D72" t="s">
        <v>3202</v>
      </c>
      <c r="E72" t="s">
        <v>354</v>
      </c>
      <c r="G72">
        <v>81.477958999999998</v>
      </c>
      <c r="H72">
        <v>81.093315000000004</v>
      </c>
      <c r="I72">
        <v>80.154510000000002</v>
      </c>
      <c r="J72">
        <v>78.937209999999993</v>
      </c>
      <c r="K72">
        <v>77.701949999999997</v>
      </c>
      <c r="L72">
        <v>76.437241</v>
      </c>
      <c r="M72">
        <v>75.144149999999996</v>
      </c>
      <c r="N72">
        <v>73.840141000000003</v>
      </c>
      <c r="O72">
        <v>72.595862999999994</v>
      </c>
      <c r="P72">
        <v>71.452445999999995</v>
      </c>
      <c r="Q72">
        <v>70.394264000000007</v>
      </c>
      <c r="R72">
        <v>69.385695999999996</v>
      </c>
      <c r="S72">
        <v>68.423064999999994</v>
      </c>
      <c r="T72">
        <v>67.518416999999999</v>
      </c>
      <c r="U72">
        <v>66.499297999999996</v>
      </c>
      <c r="V72">
        <v>65.475020999999998</v>
      </c>
      <c r="W72">
        <v>64.446776999999997</v>
      </c>
      <c r="X72">
        <v>63.412239</v>
      </c>
      <c r="Y72">
        <v>62.361404</v>
      </c>
      <c r="Z72">
        <v>61.303871000000001</v>
      </c>
      <c r="AA72">
        <v>60.239207999999998</v>
      </c>
      <c r="AB72">
        <v>59.170093999999999</v>
      </c>
      <c r="AC72">
        <v>58.090964999999997</v>
      </c>
      <c r="AD72">
        <v>57.008719999999997</v>
      </c>
      <c r="AE72">
        <v>55.921512999999997</v>
      </c>
      <c r="AF72">
        <v>54.843356999999997</v>
      </c>
      <c r="AG72">
        <v>53.770729000000003</v>
      </c>
      <c r="AH72" s="31">
        <v>-1.6E-2</v>
      </c>
    </row>
    <row r="73" spans="1:34">
      <c r="A73" t="s">
        <v>112</v>
      </c>
      <c r="B73" t="s">
        <v>307</v>
      </c>
      <c r="C73" t="s">
        <v>3203</v>
      </c>
      <c r="D73" t="s">
        <v>3204</v>
      </c>
      <c r="E73" t="s">
        <v>354</v>
      </c>
      <c r="G73">
        <v>1.08043</v>
      </c>
      <c r="H73">
        <v>1.1090009999999999</v>
      </c>
      <c r="I73">
        <v>1.123974</v>
      </c>
      <c r="J73">
        <v>1.1334029999999999</v>
      </c>
      <c r="K73">
        <v>1.1428229999999999</v>
      </c>
      <c r="L73">
        <v>1.1520589999999999</v>
      </c>
      <c r="M73">
        <v>1.1612290000000001</v>
      </c>
      <c r="N73">
        <v>1.1705110000000001</v>
      </c>
      <c r="O73">
        <v>1.18072</v>
      </c>
      <c r="P73">
        <v>1.190545</v>
      </c>
      <c r="Q73">
        <v>1.200944</v>
      </c>
      <c r="R73">
        <v>1.21228</v>
      </c>
      <c r="S73">
        <v>1.222046</v>
      </c>
      <c r="T73">
        <v>1.232391</v>
      </c>
      <c r="U73">
        <v>1.241193</v>
      </c>
      <c r="V73">
        <v>1.250219</v>
      </c>
      <c r="W73">
        <v>1.2594339999999999</v>
      </c>
      <c r="X73">
        <v>1.2684489999999999</v>
      </c>
      <c r="Y73">
        <v>1.276748</v>
      </c>
      <c r="Z73">
        <v>1.284117</v>
      </c>
      <c r="AA73">
        <v>1.2912060000000001</v>
      </c>
      <c r="AB73">
        <v>1.297987</v>
      </c>
      <c r="AC73">
        <v>1.3048919999999999</v>
      </c>
      <c r="AD73">
        <v>1.3117749999999999</v>
      </c>
      <c r="AE73">
        <v>1.3181830000000001</v>
      </c>
      <c r="AF73">
        <v>1.324549</v>
      </c>
      <c r="AG73">
        <v>1.330867</v>
      </c>
      <c r="AH73" s="31">
        <v>8.0000000000000002E-3</v>
      </c>
    </row>
    <row r="74" spans="1:34">
      <c r="A74" t="s">
        <v>257</v>
      </c>
      <c r="B74" t="s">
        <v>308</v>
      </c>
      <c r="C74" t="s">
        <v>3205</v>
      </c>
      <c r="D74" t="s">
        <v>3206</v>
      </c>
      <c r="E74" t="s">
        <v>354</v>
      </c>
      <c r="G74">
        <v>8.0368440000000003</v>
      </c>
      <c r="H74">
        <v>7.9989049999999997</v>
      </c>
      <c r="I74">
        <v>7.9063030000000003</v>
      </c>
      <c r="J74">
        <v>7.7862289999999996</v>
      </c>
      <c r="K74">
        <v>7.6643869999999996</v>
      </c>
      <c r="L74">
        <v>7.5396390000000002</v>
      </c>
      <c r="M74">
        <v>7.4120889999999999</v>
      </c>
      <c r="N74">
        <v>7.2834640000000004</v>
      </c>
      <c r="O74">
        <v>7.1607320000000003</v>
      </c>
      <c r="P74">
        <v>7.0479469999999997</v>
      </c>
      <c r="Q74">
        <v>6.9435690000000001</v>
      </c>
      <c r="R74">
        <v>6.8440859999999999</v>
      </c>
      <c r="S74">
        <v>6.7491329999999996</v>
      </c>
      <c r="T74">
        <v>6.6599000000000004</v>
      </c>
      <c r="U74">
        <v>6.5593760000000003</v>
      </c>
      <c r="V74">
        <v>6.4583440000000003</v>
      </c>
      <c r="W74">
        <v>6.3569190000000004</v>
      </c>
      <c r="X74">
        <v>6.254874</v>
      </c>
      <c r="Y74">
        <v>6.1512209999999996</v>
      </c>
      <c r="Z74">
        <v>6.0469080000000002</v>
      </c>
      <c r="AA74">
        <v>5.9418920000000002</v>
      </c>
      <c r="AB74">
        <v>5.836436</v>
      </c>
      <c r="AC74">
        <v>5.7299930000000003</v>
      </c>
      <c r="AD74">
        <v>5.6232410000000002</v>
      </c>
      <c r="AE74">
        <v>5.5160020000000003</v>
      </c>
      <c r="AF74">
        <v>5.4096539999999997</v>
      </c>
      <c r="AG74">
        <v>5.3038530000000002</v>
      </c>
      <c r="AH74" s="31">
        <v>-1.6E-2</v>
      </c>
    </row>
    <row r="75" spans="1:34">
      <c r="A75" t="s">
        <v>111</v>
      </c>
      <c r="B75" t="s">
        <v>309</v>
      </c>
      <c r="C75" t="s">
        <v>3207</v>
      </c>
      <c r="D75" t="s">
        <v>3208</v>
      </c>
      <c r="E75" t="s">
        <v>354</v>
      </c>
      <c r="G75">
        <v>0.43350100000000003</v>
      </c>
      <c r="H75">
        <v>0.71207500000000001</v>
      </c>
      <c r="I75">
        <v>0.95266899999999999</v>
      </c>
      <c r="J75">
        <v>1.1860360000000001</v>
      </c>
      <c r="K75">
        <v>1.414234</v>
      </c>
      <c r="L75">
        <v>1.6367689999999999</v>
      </c>
      <c r="M75">
        <v>1.853299</v>
      </c>
      <c r="N75">
        <v>2.063949</v>
      </c>
      <c r="O75">
        <v>2.2707190000000002</v>
      </c>
      <c r="P75">
        <v>2.4754809999999998</v>
      </c>
      <c r="Q75">
        <v>2.6785960000000002</v>
      </c>
      <c r="R75">
        <v>2.8794080000000002</v>
      </c>
      <c r="S75">
        <v>3.0781019999999999</v>
      </c>
      <c r="T75">
        <v>3.2757350000000001</v>
      </c>
      <c r="U75">
        <v>3.463921</v>
      </c>
      <c r="V75">
        <v>3.6474440000000001</v>
      </c>
      <c r="W75">
        <v>3.8262390000000002</v>
      </c>
      <c r="X75">
        <v>4.0000239999999998</v>
      </c>
      <c r="Y75">
        <v>4.1679579999999996</v>
      </c>
      <c r="Z75">
        <v>4.3304239999999998</v>
      </c>
      <c r="AA75">
        <v>4.4872579999999997</v>
      </c>
      <c r="AB75">
        <v>4.6384879999999997</v>
      </c>
      <c r="AC75">
        <v>4.7835470000000004</v>
      </c>
      <c r="AD75">
        <v>4.9227959999999999</v>
      </c>
      <c r="AE75">
        <v>5.0558969999999999</v>
      </c>
      <c r="AF75">
        <v>5.1840140000000003</v>
      </c>
      <c r="AG75">
        <v>5.3068090000000003</v>
      </c>
      <c r="AH75" s="31">
        <v>0.10100000000000001</v>
      </c>
    </row>
    <row r="76" spans="1:34">
      <c r="A76" t="s">
        <v>258</v>
      </c>
      <c r="B76" t="s">
        <v>310</v>
      </c>
      <c r="C76" t="s">
        <v>3209</v>
      </c>
      <c r="D76" t="s">
        <v>3210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t="s">
        <v>117</v>
      </c>
    </row>
    <row r="77" spans="1:34" s="127" customFormat="1">
      <c r="A77" s="181"/>
      <c r="B77" s="127" t="s">
        <v>280</v>
      </c>
      <c r="C77" s="127" t="s">
        <v>3211</v>
      </c>
      <c r="D77" s="127" t="s">
        <v>3212</v>
      </c>
      <c r="E77" s="127" t="s">
        <v>354</v>
      </c>
      <c r="G77" s="127">
        <v>43.892204</v>
      </c>
      <c r="H77" s="127">
        <v>46.490710999999997</v>
      </c>
      <c r="I77" s="127">
        <v>47.928882999999999</v>
      </c>
      <c r="J77" s="127">
        <v>48.711205</v>
      </c>
      <c r="K77" s="127">
        <v>49.231833999999999</v>
      </c>
      <c r="L77" s="127">
        <v>49.773636000000003</v>
      </c>
      <c r="M77" s="127">
        <v>50.393982000000001</v>
      </c>
      <c r="N77" s="127">
        <v>50.846916</v>
      </c>
      <c r="O77" s="127">
        <v>51.249969</v>
      </c>
      <c r="P77" s="127">
        <v>51.578491</v>
      </c>
      <c r="Q77" s="127">
        <v>51.858665000000002</v>
      </c>
      <c r="R77" s="127">
        <v>52.283653000000001</v>
      </c>
      <c r="S77" s="127">
        <v>52.821021999999999</v>
      </c>
      <c r="T77" s="127">
        <v>53.370353999999999</v>
      </c>
      <c r="U77" s="127">
        <v>53.936473999999997</v>
      </c>
      <c r="V77" s="127">
        <v>54.449078</v>
      </c>
      <c r="W77" s="127">
        <v>54.919967999999997</v>
      </c>
      <c r="X77" s="127">
        <v>55.340308999999998</v>
      </c>
      <c r="Y77" s="127">
        <v>55.737267000000003</v>
      </c>
      <c r="Z77" s="127">
        <v>56.129337</v>
      </c>
      <c r="AA77" s="127">
        <v>56.455002</v>
      </c>
      <c r="AB77" s="127">
        <v>56.804771000000002</v>
      </c>
      <c r="AC77" s="127">
        <v>57.083145000000002</v>
      </c>
      <c r="AD77" s="127">
        <v>57.392547999999998</v>
      </c>
      <c r="AE77" s="127">
        <v>57.764831999999998</v>
      </c>
      <c r="AF77" s="127">
        <v>58.136749000000002</v>
      </c>
      <c r="AG77" s="127">
        <v>58.625304999999997</v>
      </c>
      <c r="AH77" s="187">
        <v>1.0999999999999999E-2</v>
      </c>
    </row>
    <row r="78" spans="1:34" s="127" customFormat="1">
      <c r="A78" s="181"/>
      <c r="B78" s="127" t="s">
        <v>326</v>
      </c>
      <c r="C78" s="127" t="s">
        <v>3213</v>
      </c>
      <c r="D78" s="127" t="s">
        <v>3214</v>
      </c>
      <c r="E78" s="127" t="s">
        <v>354</v>
      </c>
      <c r="G78" s="127">
        <v>8.7423819999999992</v>
      </c>
      <c r="H78" s="127">
        <v>9.3800589999999993</v>
      </c>
      <c r="I78" s="127">
        <v>9.8378320000000006</v>
      </c>
      <c r="J78" s="127">
        <v>10.165743000000001</v>
      </c>
      <c r="K78" s="127">
        <v>10.415087</v>
      </c>
      <c r="L78" s="127">
        <v>10.611311000000001</v>
      </c>
      <c r="M78" s="127">
        <v>10.771235000000001</v>
      </c>
      <c r="N78" s="127">
        <v>10.905773999999999</v>
      </c>
      <c r="O78" s="127">
        <v>11.020588</v>
      </c>
      <c r="P78" s="127">
        <v>11.119541</v>
      </c>
      <c r="Q78" s="127">
        <v>11.206322</v>
      </c>
      <c r="R78" s="127">
        <v>11.283692</v>
      </c>
      <c r="S78" s="127">
        <v>11.353813000000001</v>
      </c>
      <c r="T78" s="127">
        <v>11.417555</v>
      </c>
      <c r="U78" s="127">
        <v>11.481839000000001</v>
      </c>
      <c r="V78" s="127">
        <v>11.543386999999999</v>
      </c>
      <c r="W78" s="127">
        <v>11.602665</v>
      </c>
      <c r="X78" s="127">
        <v>11.660023000000001</v>
      </c>
      <c r="Y78" s="127">
        <v>11.716011999999999</v>
      </c>
      <c r="Z78" s="127">
        <v>11.770652999999999</v>
      </c>
      <c r="AA78" s="127">
        <v>11.824216</v>
      </c>
      <c r="AB78" s="127">
        <v>11.876847</v>
      </c>
      <c r="AC78" s="127">
        <v>11.928874</v>
      </c>
      <c r="AD78" s="127">
        <v>11.980318</v>
      </c>
      <c r="AE78" s="127">
        <v>12.031491000000001</v>
      </c>
      <c r="AF78" s="127">
        <v>12.082007000000001</v>
      </c>
      <c r="AG78" s="127">
        <v>12.132166</v>
      </c>
      <c r="AH78" s="187">
        <v>1.2999999999999999E-2</v>
      </c>
    </row>
    <row r="79" spans="1:34" s="127" customFormat="1">
      <c r="A79" s="181"/>
      <c r="B79" s="127" t="s">
        <v>309</v>
      </c>
      <c r="C79" s="127" t="s">
        <v>3215</v>
      </c>
      <c r="D79" s="127" t="s">
        <v>3216</v>
      </c>
      <c r="E79" s="127" t="s">
        <v>354</v>
      </c>
      <c r="G79" s="127">
        <v>1.0626599999999999</v>
      </c>
      <c r="H79" s="127">
        <v>1.140172</v>
      </c>
      <c r="I79" s="127">
        <v>1.1958150000000001</v>
      </c>
      <c r="J79" s="127">
        <v>1.2356739999999999</v>
      </c>
      <c r="K79" s="127">
        <v>1.2659819999999999</v>
      </c>
      <c r="L79" s="127">
        <v>1.2898339999999999</v>
      </c>
      <c r="M79" s="127">
        <v>1.3092729999999999</v>
      </c>
      <c r="N79" s="127">
        <v>1.325626</v>
      </c>
      <c r="O79" s="127">
        <v>1.3395820000000001</v>
      </c>
      <c r="P79" s="127">
        <v>1.35161</v>
      </c>
      <c r="Q79" s="127">
        <v>1.3621589999999999</v>
      </c>
      <c r="R79" s="127">
        <v>1.3715630000000001</v>
      </c>
      <c r="S79" s="127">
        <v>1.3800870000000001</v>
      </c>
      <c r="T79" s="127">
        <v>1.3878349999999999</v>
      </c>
      <c r="U79" s="127">
        <v>1.3956489999999999</v>
      </c>
      <c r="V79" s="127">
        <v>1.40313</v>
      </c>
      <c r="W79" s="127">
        <v>1.410336</v>
      </c>
      <c r="X79" s="127">
        <v>1.4173070000000001</v>
      </c>
      <c r="Y79" s="127">
        <v>1.424113</v>
      </c>
      <c r="Z79" s="127">
        <v>1.430755</v>
      </c>
      <c r="AA79" s="127">
        <v>1.437265</v>
      </c>
      <c r="AB79" s="127">
        <v>1.4436629999999999</v>
      </c>
      <c r="AC79" s="127">
        <v>1.449986</v>
      </c>
      <c r="AD79" s="127">
        <v>1.45624</v>
      </c>
      <c r="AE79" s="127">
        <v>1.462461</v>
      </c>
      <c r="AF79" s="127">
        <v>1.4685999999999999</v>
      </c>
      <c r="AG79" s="127">
        <v>1.4746980000000001</v>
      </c>
      <c r="AH79" s="187">
        <v>1.2999999999999999E-2</v>
      </c>
    </row>
    <row r="80" spans="1:34" s="127" customFormat="1">
      <c r="A80" s="181"/>
      <c r="B80" s="127" t="s">
        <v>327</v>
      </c>
      <c r="C80" s="127" t="s">
        <v>3217</v>
      </c>
      <c r="D80" s="127" t="s">
        <v>3218</v>
      </c>
      <c r="E80" s="127" t="s">
        <v>354</v>
      </c>
      <c r="G80" s="127">
        <v>7.6797219999999999</v>
      </c>
      <c r="H80" s="127">
        <v>8.2398869999999995</v>
      </c>
      <c r="I80" s="127">
        <v>8.6420169999999992</v>
      </c>
      <c r="J80" s="127">
        <v>8.9300689999999996</v>
      </c>
      <c r="K80" s="127">
        <v>9.1491050000000005</v>
      </c>
      <c r="L80" s="127">
        <v>9.3214769999999998</v>
      </c>
      <c r="M80" s="127">
        <v>9.4619630000000008</v>
      </c>
      <c r="N80" s="127">
        <v>9.5801479999999994</v>
      </c>
      <c r="O80" s="127">
        <v>9.6810050000000007</v>
      </c>
      <c r="P80" s="127">
        <v>9.7679310000000008</v>
      </c>
      <c r="Q80" s="127">
        <v>9.844163</v>
      </c>
      <c r="R80" s="127">
        <v>9.9121290000000002</v>
      </c>
      <c r="S80" s="127">
        <v>9.9737259999999992</v>
      </c>
      <c r="T80" s="127">
        <v>10.029719999999999</v>
      </c>
      <c r="U80" s="127">
        <v>10.08619</v>
      </c>
      <c r="V80" s="127">
        <v>10.140257999999999</v>
      </c>
      <c r="W80" s="127">
        <v>10.192329000000001</v>
      </c>
      <c r="X80" s="127">
        <v>10.242716</v>
      </c>
      <c r="Y80" s="127">
        <v>10.291899000000001</v>
      </c>
      <c r="Z80" s="127">
        <v>10.339898</v>
      </c>
      <c r="AA80" s="127">
        <v>10.386950000000001</v>
      </c>
      <c r="AB80" s="127">
        <v>10.433185</v>
      </c>
      <c r="AC80" s="127">
        <v>10.478888</v>
      </c>
      <c r="AD80" s="127">
        <v>10.524077999999999</v>
      </c>
      <c r="AE80" s="127">
        <v>10.569031000000001</v>
      </c>
      <c r="AF80" s="127">
        <v>10.613407</v>
      </c>
      <c r="AG80" s="127">
        <v>10.657468</v>
      </c>
      <c r="AH80" s="187">
        <v>1.2999999999999999E-2</v>
      </c>
    </row>
    <row r="81" spans="1:34" s="127" customFormat="1">
      <c r="A81" s="181"/>
      <c r="B81" s="127" t="s">
        <v>316</v>
      </c>
      <c r="C81" s="127" t="s">
        <v>3219</v>
      </c>
      <c r="D81" s="127" t="s">
        <v>3220</v>
      </c>
      <c r="E81" s="127" t="s">
        <v>354</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v>0</v>
      </c>
      <c r="AH81" s="127" t="s">
        <v>117</v>
      </c>
    </row>
    <row r="82" spans="1:34" s="127" customFormat="1">
      <c r="A82" s="181"/>
      <c r="B82" s="127" t="s">
        <v>317</v>
      </c>
      <c r="C82" s="127" t="s">
        <v>3221</v>
      </c>
      <c r="D82" s="127" t="s">
        <v>3222</v>
      </c>
      <c r="E82" s="127" t="s">
        <v>354</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v>0</v>
      </c>
      <c r="AH82" s="127" t="s">
        <v>117</v>
      </c>
    </row>
    <row r="83" spans="1:34" s="127" customFormat="1">
      <c r="A83" s="181"/>
      <c r="B83" s="127" t="s">
        <v>328</v>
      </c>
      <c r="C83" s="127" t="s">
        <v>3223</v>
      </c>
      <c r="D83" s="127" t="s">
        <v>3224</v>
      </c>
      <c r="E83" s="127" t="s">
        <v>354</v>
      </c>
      <c r="G83" s="127">
        <v>14.508388999999999</v>
      </c>
      <c r="H83" s="127">
        <v>15.421035</v>
      </c>
      <c r="I83" s="127">
        <v>16.002700999999998</v>
      </c>
      <c r="J83" s="127">
        <v>16.428796999999999</v>
      </c>
      <c r="K83" s="127">
        <v>16.870525000000001</v>
      </c>
      <c r="L83" s="127">
        <v>17.287436</v>
      </c>
      <c r="M83" s="127">
        <v>17.607780000000002</v>
      </c>
      <c r="N83" s="127">
        <v>17.836908000000001</v>
      </c>
      <c r="O83" s="127">
        <v>18.041525</v>
      </c>
      <c r="P83" s="127">
        <v>18.197558999999998</v>
      </c>
      <c r="Q83" s="127">
        <v>18.347023</v>
      </c>
      <c r="R83" s="127">
        <v>18.543555999999999</v>
      </c>
      <c r="S83" s="127">
        <v>18.732952000000001</v>
      </c>
      <c r="T83" s="127">
        <v>18.925523999999999</v>
      </c>
      <c r="U83" s="127">
        <v>19.122789000000001</v>
      </c>
      <c r="V83" s="127">
        <v>19.294951999999999</v>
      </c>
      <c r="W83" s="127">
        <v>19.444386000000002</v>
      </c>
      <c r="X83" s="127">
        <v>19.568449000000001</v>
      </c>
      <c r="Y83" s="127">
        <v>19.677353</v>
      </c>
      <c r="Z83" s="127">
        <v>19.784870000000002</v>
      </c>
      <c r="AA83" s="127">
        <v>19.860029000000001</v>
      </c>
      <c r="AB83" s="127">
        <v>19.946988999999999</v>
      </c>
      <c r="AC83" s="127">
        <v>19.998484000000001</v>
      </c>
      <c r="AD83" s="127">
        <v>20.058503999999999</v>
      </c>
      <c r="AE83" s="127">
        <v>20.148382000000002</v>
      </c>
      <c r="AF83" s="127">
        <v>20.242802000000001</v>
      </c>
      <c r="AG83" s="127">
        <v>20.400482</v>
      </c>
      <c r="AH83" s="187">
        <v>1.2999999999999999E-2</v>
      </c>
    </row>
    <row r="84" spans="1:34" s="127" customFormat="1">
      <c r="A84" s="181"/>
      <c r="B84" s="127" t="s">
        <v>309</v>
      </c>
      <c r="C84" s="127" t="s">
        <v>3225</v>
      </c>
      <c r="D84" s="127" t="s">
        <v>3226</v>
      </c>
      <c r="E84" s="127" t="s">
        <v>354</v>
      </c>
      <c r="G84" s="127">
        <v>14.508388999999999</v>
      </c>
      <c r="H84" s="127">
        <v>15.421035</v>
      </c>
      <c r="I84" s="127">
        <v>16.002700999999998</v>
      </c>
      <c r="J84" s="127">
        <v>16.428796999999999</v>
      </c>
      <c r="K84" s="127">
        <v>16.870525000000001</v>
      </c>
      <c r="L84" s="127">
        <v>17.287436</v>
      </c>
      <c r="M84" s="127">
        <v>17.607780000000002</v>
      </c>
      <c r="N84" s="127">
        <v>17.836908000000001</v>
      </c>
      <c r="O84" s="127">
        <v>18.041525</v>
      </c>
      <c r="P84" s="127">
        <v>18.197558999999998</v>
      </c>
      <c r="Q84" s="127">
        <v>18.347023</v>
      </c>
      <c r="R84" s="127">
        <v>18.543555999999999</v>
      </c>
      <c r="S84" s="127">
        <v>18.732952000000001</v>
      </c>
      <c r="T84" s="127">
        <v>18.925523999999999</v>
      </c>
      <c r="U84" s="127">
        <v>19.122789000000001</v>
      </c>
      <c r="V84" s="127">
        <v>19.294951999999999</v>
      </c>
      <c r="W84" s="127">
        <v>19.444386000000002</v>
      </c>
      <c r="X84" s="127">
        <v>19.568449000000001</v>
      </c>
      <c r="Y84" s="127">
        <v>19.677353</v>
      </c>
      <c r="Z84" s="127">
        <v>19.784870000000002</v>
      </c>
      <c r="AA84" s="127">
        <v>19.860029000000001</v>
      </c>
      <c r="AB84" s="127">
        <v>19.946988999999999</v>
      </c>
      <c r="AC84" s="127">
        <v>19.998484000000001</v>
      </c>
      <c r="AD84" s="127">
        <v>20.058503999999999</v>
      </c>
      <c r="AE84" s="127">
        <v>20.148382000000002</v>
      </c>
      <c r="AF84" s="127">
        <v>20.242802000000001</v>
      </c>
      <c r="AG84" s="127">
        <v>20.400482</v>
      </c>
      <c r="AH84" s="187">
        <v>1.2999999999999999E-2</v>
      </c>
    </row>
    <row r="85" spans="1:34" s="127" customFormat="1">
      <c r="A85" s="181"/>
      <c r="B85" s="127" t="s">
        <v>329</v>
      </c>
      <c r="C85" s="127" t="s">
        <v>3227</v>
      </c>
      <c r="D85" s="127" t="s">
        <v>3228</v>
      </c>
      <c r="E85" s="127" t="s">
        <v>354</v>
      </c>
      <c r="G85" s="127">
        <v>20.641434</v>
      </c>
      <c r="H85" s="127">
        <v>21.689616999999998</v>
      </c>
      <c r="I85" s="127">
        <v>22.088348</v>
      </c>
      <c r="J85" s="127">
        <v>22.116669000000002</v>
      </c>
      <c r="K85" s="127">
        <v>21.94622</v>
      </c>
      <c r="L85" s="127">
        <v>21.874889</v>
      </c>
      <c r="M85" s="127">
        <v>22.014965</v>
      </c>
      <c r="N85" s="127">
        <v>22.104230999999999</v>
      </c>
      <c r="O85" s="127">
        <v>22.187854999999999</v>
      </c>
      <c r="P85" s="127">
        <v>22.261389000000001</v>
      </c>
      <c r="Q85" s="127">
        <v>22.305319000000001</v>
      </c>
      <c r="R85" s="127">
        <v>22.456403999999999</v>
      </c>
      <c r="S85" s="127">
        <v>22.734255000000001</v>
      </c>
      <c r="T85" s="127">
        <v>23.027270999999999</v>
      </c>
      <c r="U85" s="127">
        <v>23.331844</v>
      </c>
      <c r="V85" s="127">
        <v>23.610738999999999</v>
      </c>
      <c r="W85" s="127">
        <v>23.872917000000001</v>
      </c>
      <c r="X85" s="127">
        <v>24.111839</v>
      </c>
      <c r="Y85" s="127">
        <v>24.343903000000001</v>
      </c>
      <c r="Z85" s="127">
        <v>24.573816000000001</v>
      </c>
      <c r="AA85" s="127">
        <v>24.770754</v>
      </c>
      <c r="AB85" s="127">
        <v>24.980931999999999</v>
      </c>
      <c r="AC85" s="127">
        <v>25.155787</v>
      </c>
      <c r="AD85" s="127">
        <v>25.353729000000001</v>
      </c>
      <c r="AE85" s="127">
        <v>25.584959000000001</v>
      </c>
      <c r="AF85" s="127">
        <v>25.811942999999999</v>
      </c>
      <c r="AG85" s="127">
        <v>26.092656999999999</v>
      </c>
      <c r="AH85" s="187">
        <v>8.9999999999999993E-3</v>
      </c>
    </row>
    <row r="86" spans="1:34" s="127" customFormat="1">
      <c r="A86" s="181"/>
      <c r="B86" s="127" t="s">
        <v>309</v>
      </c>
      <c r="C86" s="127" t="s">
        <v>3229</v>
      </c>
      <c r="D86" s="127" t="s">
        <v>3230</v>
      </c>
      <c r="E86" s="127" t="s">
        <v>354</v>
      </c>
      <c r="G86" s="127">
        <v>7.5111889999999999</v>
      </c>
      <c r="H86" s="127">
        <v>7.855988</v>
      </c>
      <c r="I86" s="127">
        <v>8.0141960000000001</v>
      </c>
      <c r="J86" s="127">
        <v>8.0560130000000001</v>
      </c>
      <c r="K86" s="127">
        <v>8.0277329999999996</v>
      </c>
      <c r="L86" s="127">
        <v>8.0724560000000007</v>
      </c>
      <c r="M86" s="127">
        <v>8.107094</v>
      </c>
      <c r="N86" s="127">
        <v>8.1060300000000005</v>
      </c>
      <c r="O86" s="127">
        <v>8.1130739999999992</v>
      </c>
      <c r="P86" s="127">
        <v>8.1194109999999995</v>
      </c>
      <c r="Q86" s="127">
        <v>8.102843</v>
      </c>
      <c r="R86" s="127">
        <v>8.1355620000000002</v>
      </c>
      <c r="S86" s="127">
        <v>8.2269900000000007</v>
      </c>
      <c r="T86" s="127">
        <v>8.3286890000000007</v>
      </c>
      <c r="U86" s="127">
        <v>8.4335880000000003</v>
      </c>
      <c r="V86" s="127">
        <v>8.5265900000000006</v>
      </c>
      <c r="W86" s="127">
        <v>8.6186360000000004</v>
      </c>
      <c r="X86" s="127">
        <v>8.7029239999999994</v>
      </c>
      <c r="Y86" s="127">
        <v>8.7860029999999991</v>
      </c>
      <c r="Z86" s="127">
        <v>8.8617150000000002</v>
      </c>
      <c r="AA86" s="127">
        <v>8.9281100000000002</v>
      </c>
      <c r="AB86" s="127">
        <v>8.9928310000000007</v>
      </c>
      <c r="AC86" s="127">
        <v>9.0486979999999999</v>
      </c>
      <c r="AD86" s="127">
        <v>9.1163530000000002</v>
      </c>
      <c r="AE86" s="127">
        <v>9.1924899999999994</v>
      </c>
      <c r="AF86" s="127">
        <v>9.2656609999999997</v>
      </c>
      <c r="AG86" s="127">
        <v>9.3441930000000006</v>
      </c>
      <c r="AH86" s="187">
        <v>8.0000000000000002E-3</v>
      </c>
    </row>
    <row r="87" spans="1:34" s="127" customFormat="1">
      <c r="A87" s="181"/>
      <c r="B87" s="127" t="s">
        <v>327</v>
      </c>
      <c r="C87" s="127" t="s">
        <v>3231</v>
      </c>
      <c r="D87" s="127" t="s">
        <v>3232</v>
      </c>
      <c r="E87" s="127" t="s">
        <v>354</v>
      </c>
      <c r="G87" s="127">
        <v>13.130245</v>
      </c>
      <c r="H87" s="127">
        <v>13.833631</v>
      </c>
      <c r="I87" s="127">
        <v>14.074153000000001</v>
      </c>
      <c r="J87" s="127">
        <v>14.060656</v>
      </c>
      <c r="K87" s="127">
        <v>13.918488</v>
      </c>
      <c r="L87" s="127">
        <v>13.802433000000001</v>
      </c>
      <c r="M87" s="127">
        <v>13.907870000000001</v>
      </c>
      <c r="N87" s="127">
        <v>13.998201</v>
      </c>
      <c r="O87" s="127">
        <v>14.074781</v>
      </c>
      <c r="P87" s="127">
        <v>14.141977000000001</v>
      </c>
      <c r="Q87" s="127">
        <v>14.202476000000001</v>
      </c>
      <c r="R87" s="127">
        <v>14.320842000000001</v>
      </c>
      <c r="S87" s="127">
        <v>14.507265</v>
      </c>
      <c r="T87" s="127">
        <v>14.698584</v>
      </c>
      <c r="U87" s="127">
        <v>14.898256999999999</v>
      </c>
      <c r="V87" s="127">
        <v>15.084148000000001</v>
      </c>
      <c r="W87" s="127">
        <v>15.25428</v>
      </c>
      <c r="X87" s="127">
        <v>15.408915</v>
      </c>
      <c r="Y87" s="127">
        <v>15.5579</v>
      </c>
      <c r="Z87" s="127">
        <v>15.712101000000001</v>
      </c>
      <c r="AA87" s="127">
        <v>15.842644</v>
      </c>
      <c r="AB87" s="127">
        <v>15.988101</v>
      </c>
      <c r="AC87" s="127">
        <v>16.107088000000001</v>
      </c>
      <c r="AD87" s="127">
        <v>16.237375</v>
      </c>
      <c r="AE87" s="127">
        <v>16.392468999999998</v>
      </c>
      <c r="AF87" s="127">
        <v>16.546282000000001</v>
      </c>
      <c r="AG87" s="127">
        <v>16.748464999999999</v>
      </c>
      <c r="AH87" s="187">
        <v>8.9999999999999993E-3</v>
      </c>
    </row>
    <row r="88" spans="1:34" s="127" customFormat="1">
      <c r="A88" s="181"/>
      <c r="B88" s="127" t="s">
        <v>316</v>
      </c>
      <c r="C88" s="127" t="s">
        <v>3233</v>
      </c>
      <c r="D88" s="127" t="s">
        <v>3234</v>
      </c>
      <c r="E88" s="127" t="s">
        <v>354</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v>0</v>
      </c>
      <c r="AH88" s="127" t="s">
        <v>117</v>
      </c>
    </row>
    <row r="89" spans="1:34" s="127" customFormat="1">
      <c r="A89" s="181"/>
      <c r="B89" s="127" t="s">
        <v>317</v>
      </c>
      <c r="C89" s="127" t="s">
        <v>3235</v>
      </c>
      <c r="D89" s="127" t="s">
        <v>3236</v>
      </c>
      <c r="E89" s="127" t="s">
        <v>354</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v>0</v>
      </c>
      <c r="AH89" s="127" t="s">
        <v>117</v>
      </c>
    </row>
    <row r="90" spans="1:34">
      <c r="B90" t="s">
        <v>281</v>
      </c>
      <c r="C90" t="s">
        <v>3237</v>
      </c>
      <c r="D90" t="s">
        <v>3238</v>
      </c>
      <c r="E90" t="s">
        <v>354</v>
      </c>
      <c r="G90">
        <v>207.60502600000001</v>
      </c>
      <c r="H90">
        <v>206.044724</v>
      </c>
      <c r="I90">
        <v>205.25169399999999</v>
      </c>
      <c r="J90">
        <v>204.43426500000001</v>
      </c>
      <c r="K90">
        <v>203.14537000000001</v>
      </c>
      <c r="L90">
        <v>202.085342</v>
      </c>
      <c r="M90">
        <v>200.752869</v>
      </c>
      <c r="N90">
        <v>199.064514</v>
      </c>
      <c r="O90">
        <v>197.718536</v>
      </c>
      <c r="P90">
        <v>196.50250199999999</v>
      </c>
      <c r="Q90">
        <v>195.25280799999999</v>
      </c>
      <c r="R90">
        <v>194.23524499999999</v>
      </c>
      <c r="S90">
        <v>193.26904300000001</v>
      </c>
      <c r="T90">
        <v>192.45489499999999</v>
      </c>
      <c r="U90">
        <v>191.70195000000001</v>
      </c>
      <c r="V90">
        <v>190.90595999999999</v>
      </c>
      <c r="W90">
        <v>190.125854</v>
      </c>
      <c r="X90">
        <v>189.31890899999999</v>
      </c>
      <c r="Y90">
        <v>188.616241</v>
      </c>
      <c r="Z90">
        <v>187.856247</v>
      </c>
      <c r="AA90">
        <v>186.963165</v>
      </c>
      <c r="AB90">
        <v>186.014847</v>
      </c>
      <c r="AC90">
        <v>185.01559399999999</v>
      </c>
      <c r="AD90">
        <v>184.28604100000001</v>
      </c>
      <c r="AE90">
        <v>183.61746199999999</v>
      </c>
      <c r="AF90">
        <v>182.85122699999999</v>
      </c>
      <c r="AG90">
        <v>182.05470299999999</v>
      </c>
      <c r="AH90" s="31">
        <v>-5.0000000000000001E-3</v>
      </c>
    </row>
    <row r="91" spans="1:34">
      <c r="A91" t="s">
        <v>113</v>
      </c>
      <c r="B91" t="s">
        <v>330</v>
      </c>
      <c r="C91" t="s">
        <v>3239</v>
      </c>
      <c r="D91" t="s">
        <v>3240</v>
      </c>
      <c r="E91" t="s">
        <v>354</v>
      </c>
      <c r="G91">
        <v>166.91459699999999</v>
      </c>
      <c r="H91">
        <v>165.389938</v>
      </c>
      <c r="I91">
        <v>164.48289500000001</v>
      </c>
      <c r="J91">
        <v>163.55706799999999</v>
      </c>
      <c r="K91">
        <v>162.255493</v>
      </c>
      <c r="L91">
        <v>161.13850400000001</v>
      </c>
      <c r="M91">
        <v>159.80613700000001</v>
      </c>
      <c r="N91">
        <v>158.19323700000001</v>
      </c>
      <c r="O91">
        <v>156.85519400000001</v>
      </c>
      <c r="P91">
        <v>155.62240600000001</v>
      </c>
      <c r="Q91">
        <v>154.36505099999999</v>
      </c>
      <c r="R91">
        <v>153.29302999999999</v>
      </c>
      <c r="S91">
        <v>152.26300000000001</v>
      </c>
      <c r="T91">
        <v>151.353928</v>
      </c>
      <c r="U91">
        <v>150.49392700000001</v>
      </c>
      <c r="V91">
        <v>149.60101299999999</v>
      </c>
      <c r="W91">
        <v>148.721497</v>
      </c>
      <c r="X91">
        <v>147.821991</v>
      </c>
      <c r="Y91">
        <v>147.00477599999999</v>
      </c>
      <c r="Z91">
        <v>146.14373800000001</v>
      </c>
      <c r="AA91">
        <v>145.180283</v>
      </c>
      <c r="AB91">
        <v>144.175354</v>
      </c>
      <c r="AC91">
        <v>143.13253800000001</v>
      </c>
      <c r="AD91">
        <v>142.29965200000001</v>
      </c>
      <c r="AE91">
        <v>141.514679</v>
      </c>
      <c r="AF91">
        <v>140.65533400000001</v>
      </c>
      <c r="AG91">
        <v>139.773788</v>
      </c>
      <c r="AH91" s="31">
        <v>-7.0000000000000001E-3</v>
      </c>
    </row>
    <row r="92" spans="1:34">
      <c r="A92" t="s">
        <v>114</v>
      </c>
      <c r="B92" t="s">
        <v>306</v>
      </c>
      <c r="C92" t="s">
        <v>3241</v>
      </c>
      <c r="D92" t="s">
        <v>3242</v>
      </c>
      <c r="E92" t="s">
        <v>354</v>
      </c>
      <c r="G92">
        <v>40.690426000000002</v>
      </c>
      <c r="H92">
        <v>40.654781</v>
      </c>
      <c r="I92">
        <v>40.768794999999997</v>
      </c>
      <c r="J92">
        <v>40.877197000000002</v>
      </c>
      <c r="K92">
        <v>40.889881000000003</v>
      </c>
      <c r="L92">
        <v>40.946841999999997</v>
      </c>
      <c r="M92">
        <v>40.946728</v>
      </c>
      <c r="N92">
        <v>40.871284000000003</v>
      </c>
      <c r="O92">
        <v>40.863349999999997</v>
      </c>
      <c r="P92">
        <v>40.880088999999998</v>
      </c>
      <c r="Q92">
        <v>40.887752999999996</v>
      </c>
      <c r="R92">
        <v>40.942219000000001</v>
      </c>
      <c r="S92">
        <v>41.006045999999998</v>
      </c>
      <c r="T92">
        <v>41.100960000000001</v>
      </c>
      <c r="U92">
        <v>41.208027000000001</v>
      </c>
      <c r="V92">
        <v>41.304946999999999</v>
      </c>
      <c r="W92">
        <v>41.404350000000001</v>
      </c>
      <c r="X92">
        <v>41.496921999999998</v>
      </c>
      <c r="Y92">
        <v>41.611457999999999</v>
      </c>
      <c r="Z92">
        <v>41.712508999999997</v>
      </c>
      <c r="AA92">
        <v>41.782890000000002</v>
      </c>
      <c r="AB92">
        <v>41.839492999999997</v>
      </c>
      <c r="AC92">
        <v>41.88306</v>
      </c>
      <c r="AD92">
        <v>41.986381999999999</v>
      </c>
      <c r="AE92">
        <v>42.102791000000003</v>
      </c>
      <c r="AF92">
        <v>42.195900000000002</v>
      </c>
      <c r="AG92">
        <v>42.280914000000003</v>
      </c>
      <c r="AH92" s="31">
        <v>1E-3</v>
      </c>
    </row>
    <row r="93" spans="1:34">
      <c r="B93" t="s">
        <v>282</v>
      </c>
      <c r="C93" t="s">
        <v>3243</v>
      </c>
      <c r="D93" t="s">
        <v>3244</v>
      </c>
      <c r="E93" t="s">
        <v>354</v>
      </c>
      <c r="G93">
        <v>134.26944</v>
      </c>
      <c r="H93">
        <v>134.664963</v>
      </c>
      <c r="I93">
        <v>135.304733</v>
      </c>
      <c r="J93">
        <v>135.76445000000001</v>
      </c>
      <c r="K93">
        <v>135.97155799999999</v>
      </c>
      <c r="L93">
        <v>136.08528100000001</v>
      </c>
      <c r="M93">
        <v>136.12858600000001</v>
      </c>
      <c r="N93">
        <v>136.05534399999999</v>
      </c>
      <c r="O93">
        <v>135.95806899999999</v>
      </c>
      <c r="P93">
        <v>135.90976000000001</v>
      </c>
      <c r="Q93">
        <v>135.892471</v>
      </c>
      <c r="R93">
        <v>135.86319</v>
      </c>
      <c r="S93">
        <v>135.82115200000001</v>
      </c>
      <c r="T93">
        <v>135.77626000000001</v>
      </c>
      <c r="U93">
        <v>135.75709499999999</v>
      </c>
      <c r="V93">
        <v>135.764038</v>
      </c>
      <c r="W93">
        <v>135.76824999999999</v>
      </c>
      <c r="X93">
        <v>135.74340799999999</v>
      </c>
      <c r="Y93">
        <v>135.698792</v>
      </c>
      <c r="Z93">
        <v>135.63441499999999</v>
      </c>
      <c r="AA93">
        <v>135.56684899999999</v>
      </c>
      <c r="AB93">
        <v>135.500809</v>
      </c>
      <c r="AC93">
        <v>135.41752600000001</v>
      </c>
      <c r="AD93">
        <v>135.32342499999999</v>
      </c>
      <c r="AE93">
        <v>135.19622799999999</v>
      </c>
      <c r="AF93">
        <v>135.05600000000001</v>
      </c>
      <c r="AG93">
        <v>134.919434</v>
      </c>
      <c r="AH93" s="31">
        <v>0</v>
      </c>
    </row>
    <row r="94" spans="1:34">
      <c r="B94" t="s">
        <v>283</v>
      </c>
      <c r="C94" t="s">
        <v>3245</v>
      </c>
      <c r="D94" t="s">
        <v>3246</v>
      </c>
      <c r="E94" t="s">
        <v>354</v>
      </c>
      <c r="G94">
        <v>924.15820299999996</v>
      </c>
      <c r="H94">
        <v>870.21014400000001</v>
      </c>
      <c r="I94">
        <v>863.57080099999996</v>
      </c>
      <c r="J94">
        <v>835.60900900000001</v>
      </c>
      <c r="K94">
        <v>791.56463599999995</v>
      </c>
      <c r="L94">
        <v>757.790344</v>
      </c>
      <c r="M94">
        <v>713.010986</v>
      </c>
      <c r="N94">
        <v>703.35260000000005</v>
      </c>
      <c r="O94">
        <v>716.09576400000003</v>
      </c>
      <c r="P94">
        <v>709.19616699999995</v>
      </c>
      <c r="Q94">
        <v>701.62231399999996</v>
      </c>
      <c r="R94">
        <v>701.98468000000003</v>
      </c>
      <c r="S94">
        <v>707.069885</v>
      </c>
      <c r="T94">
        <v>716.51238999999998</v>
      </c>
      <c r="U94">
        <v>726.48242200000004</v>
      </c>
      <c r="V94">
        <v>737.60986300000002</v>
      </c>
      <c r="W94">
        <v>746.22839399999998</v>
      </c>
      <c r="X94">
        <v>752.33184800000004</v>
      </c>
      <c r="Y94">
        <v>756.95684800000004</v>
      </c>
      <c r="Z94">
        <v>765.15093999999999</v>
      </c>
      <c r="AA94">
        <v>774.86108400000001</v>
      </c>
      <c r="AB94">
        <v>781.81097399999999</v>
      </c>
      <c r="AC94">
        <v>792.942993</v>
      </c>
      <c r="AD94">
        <v>801.18463099999997</v>
      </c>
      <c r="AE94">
        <v>810.29339600000003</v>
      </c>
      <c r="AF94">
        <v>819.83679199999995</v>
      </c>
      <c r="AG94">
        <v>831.59936500000003</v>
      </c>
      <c r="AH94" s="31">
        <v>-4.0000000000000001E-3</v>
      </c>
    </row>
    <row r="95" spans="1:34">
      <c r="B95" t="s">
        <v>1144</v>
      </c>
      <c r="C95" t="s">
        <v>3247</v>
      </c>
      <c r="D95" t="s">
        <v>3248</v>
      </c>
      <c r="E95" t="s">
        <v>354</v>
      </c>
      <c r="G95">
        <v>367.99011200000001</v>
      </c>
      <c r="H95">
        <v>420.41076700000002</v>
      </c>
      <c r="I95">
        <v>447.69332900000001</v>
      </c>
      <c r="J95">
        <v>448.49334700000003</v>
      </c>
      <c r="K95">
        <v>534.99713099999997</v>
      </c>
      <c r="L95">
        <v>595.58819600000004</v>
      </c>
      <c r="M95">
        <v>658.57672100000002</v>
      </c>
      <c r="N95">
        <v>700.78753700000004</v>
      </c>
      <c r="O95">
        <v>769.51843299999996</v>
      </c>
      <c r="P95">
        <v>835.05316200000004</v>
      </c>
      <c r="Q95">
        <v>877.011169</v>
      </c>
      <c r="R95">
        <v>893.79437299999995</v>
      </c>
      <c r="S95">
        <v>912.175659</v>
      </c>
      <c r="T95">
        <v>927.36077899999998</v>
      </c>
      <c r="U95">
        <v>935.75238000000002</v>
      </c>
      <c r="V95">
        <v>935.75238000000002</v>
      </c>
      <c r="W95">
        <v>937.35046399999999</v>
      </c>
      <c r="X95">
        <v>935.75238000000002</v>
      </c>
      <c r="Y95">
        <v>935.74237100000005</v>
      </c>
      <c r="Z95">
        <v>930.754456</v>
      </c>
      <c r="AA95">
        <v>932.171021</v>
      </c>
      <c r="AB95">
        <v>929.52716099999998</v>
      </c>
      <c r="AC95">
        <v>934.68682899999999</v>
      </c>
      <c r="AD95">
        <v>934.997253</v>
      </c>
      <c r="AE95">
        <v>936.23211700000002</v>
      </c>
      <c r="AF95">
        <v>934.12908900000002</v>
      </c>
      <c r="AG95">
        <v>935.01782200000002</v>
      </c>
      <c r="AH95" s="31">
        <v>3.6999999999999998E-2</v>
      </c>
    </row>
    <row r="96" spans="1:34">
      <c r="B96" t="s">
        <v>195</v>
      </c>
      <c r="C96" t="s">
        <v>3249</v>
      </c>
      <c r="D96" t="s">
        <v>3250</v>
      </c>
      <c r="E96" t="s">
        <v>354</v>
      </c>
      <c r="G96">
        <v>29023.835938</v>
      </c>
      <c r="H96">
        <v>29108.828125</v>
      </c>
      <c r="I96">
        <v>29092.589843999998</v>
      </c>
      <c r="J96">
        <v>28954.326172000001</v>
      </c>
      <c r="K96">
        <v>28829.177734000001</v>
      </c>
      <c r="L96">
        <v>28671.765625</v>
      </c>
      <c r="M96">
        <v>28471.894531000002</v>
      </c>
      <c r="N96">
        <v>28308.326172000001</v>
      </c>
      <c r="O96">
        <v>28159.509765999999</v>
      </c>
      <c r="P96">
        <v>28023.871093999998</v>
      </c>
      <c r="Q96">
        <v>27891.519531000002</v>
      </c>
      <c r="R96">
        <v>27749.921875</v>
      </c>
      <c r="S96">
        <v>27603.794922000001</v>
      </c>
      <c r="T96">
        <v>27481.890625</v>
      </c>
      <c r="U96">
        <v>27396.919922000001</v>
      </c>
      <c r="V96">
        <v>27298.917968999998</v>
      </c>
      <c r="W96">
        <v>27232.666015999999</v>
      </c>
      <c r="X96">
        <v>27171.791015999999</v>
      </c>
      <c r="Y96">
        <v>27104.916015999999</v>
      </c>
      <c r="Z96">
        <v>27072.626952999999</v>
      </c>
      <c r="AA96">
        <v>27025.742188</v>
      </c>
      <c r="AB96">
        <v>26999.423827999999</v>
      </c>
      <c r="AC96">
        <v>26969.097656000002</v>
      </c>
      <c r="AD96">
        <v>26995.09375</v>
      </c>
      <c r="AE96">
        <v>26992.894531000002</v>
      </c>
      <c r="AF96">
        <v>27013.367188</v>
      </c>
      <c r="AG96">
        <v>27068.238281000002</v>
      </c>
      <c r="AH96" s="31">
        <v>-3.0000000000000001E-3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020E-0C28-490F-8295-2A30749AEB3C}">
  <dimension ref="A1:AH35"/>
  <sheetViews>
    <sheetView workbookViewId="0">
      <selection activeCell="A19" sqref="A19"/>
    </sheetView>
  </sheetViews>
  <sheetFormatPr defaultRowHeight="14.25"/>
  <cols>
    <col min="1" max="1" width="21.73046875" bestFit="1" customWidth="1"/>
    <col min="2" max="2" width="26.265625" customWidth="1"/>
  </cols>
  <sheetData>
    <row r="1" spans="1:34">
      <c r="B1" t="s">
        <v>544</v>
      </c>
    </row>
    <row r="2" spans="1:34">
      <c r="B2" t="s">
        <v>4007</v>
      </c>
    </row>
    <row r="3" spans="1:34">
      <c r="B3" t="s">
        <v>4006</v>
      </c>
    </row>
    <row r="4" spans="1:34">
      <c r="B4" t="s">
        <v>302</v>
      </c>
    </row>
    <row r="5" spans="1: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1:34">
      <c r="B6" t="s">
        <v>1415</v>
      </c>
    </row>
    <row r="7" spans="1:34">
      <c r="A7" s="23"/>
      <c r="B7" t="s">
        <v>1414</v>
      </c>
    </row>
    <row r="8" spans="1:34">
      <c r="A8" s="150" t="s">
        <v>113</v>
      </c>
      <c r="B8" t="s">
        <v>358</v>
      </c>
      <c r="C8" t="s">
        <v>4005</v>
      </c>
      <c r="D8" t="s">
        <v>4004</v>
      </c>
      <c r="E8" t="s">
        <v>354</v>
      </c>
      <c r="G8">
        <v>14598.941406</v>
      </c>
      <c r="H8">
        <v>14564.489258</v>
      </c>
      <c r="I8">
        <v>14393.391602</v>
      </c>
      <c r="J8">
        <v>14154.651367</v>
      </c>
      <c r="K8">
        <v>13874.483398</v>
      </c>
      <c r="L8">
        <v>13569.370117</v>
      </c>
      <c r="M8">
        <v>13240.822265999999</v>
      </c>
      <c r="N8">
        <v>12947.981444999999</v>
      </c>
      <c r="O8">
        <v>12635.142578000001</v>
      </c>
      <c r="P8">
        <v>12347.101562</v>
      </c>
      <c r="Q8">
        <v>12082.978515999999</v>
      </c>
      <c r="R8">
        <v>11818.994140999999</v>
      </c>
      <c r="S8">
        <v>11528.292969</v>
      </c>
      <c r="T8">
        <v>11246.833984000001</v>
      </c>
      <c r="U8">
        <v>11000.954102</v>
      </c>
      <c r="V8">
        <v>10761.922852</v>
      </c>
      <c r="W8">
        <v>10547.476562</v>
      </c>
      <c r="X8">
        <v>10356.016602</v>
      </c>
      <c r="Y8">
        <v>10152.399414</v>
      </c>
      <c r="Z8">
        <v>9995.0888670000004</v>
      </c>
      <c r="AA8">
        <v>9829.0380860000005</v>
      </c>
      <c r="AB8">
        <v>9689.0244139999995</v>
      </c>
      <c r="AC8">
        <v>9546.8369139999995</v>
      </c>
      <c r="AD8">
        <v>9434.3310550000006</v>
      </c>
      <c r="AE8">
        <v>9287.9492190000001</v>
      </c>
      <c r="AF8">
        <v>9176.1953119999998</v>
      </c>
      <c r="AG8">
        <v>9105.1972659999992</v>
      </c>
      <c r="AH8" s="31">
        <v>-1.7999999999999999E-2</v>
      </c>
    </row>
    <row r="9" spans="1:34">
      <c r="A9" s="150" t="s">
        <v>114</v>
      </c>
      <c r="B9" t="s">
        <v>359</v>
      </c>
      <c r="C9" t="s">
        <v>4003</v>
      </c>
      <c r="D9" t="s">
        <v>4002</v>
      </c>
      <c r="E9" t="s">
        <v>354</v>
      </c>
      <c r="G9">
        <v>87.055549999999997</v>
      </c>
      <c r="H9">
        <v>95.813736000000006</v>
      </c>
      <c r="I9">
        <v>104.507942</v>
      </c>
      <c r="J9">
        <v>111.84504699999999</v>
      </c>
      <c r="K9">
        <v>118.39093</v>
      </c>
      <c r="L9">
        <v>125.01545</v>
      </c>
      <c r="M9">
        <v>128.80909700000001</v>
      </c>
      <c r="N9">
        <v>132.432388</v>
      </c>
      <c r="O9">
        <v>135.51156599999999</v>
      </c>
      <c r="P9">
        <v>137.266876</v>
      </c>
      <c r="Q9">
        <v>139.63301100000001</v>
      </c>
      <c r="R9">
        <v>141.013901</v>
      </c>
      <c r="S9">
        <v>142.85320999999999</v>
      </c>
      <c r="T9">
        <v>144.476776</v>
      </c>
      <c r="U9">
        <v>146.03744499999999</v>
      </c>
      <c r="V9">
        <v>147.20349100000001</v>
      </c>
      <c r="W9">
        <v>147.971756</v>
      </c>
      <c r="X9">
        <v>148.60346999999999</v>
      </c>
      <c r="Y9">
        <v>149.49903900000001</v>
      </c>
      <c r="Z9">
        <v>149.93731700000001</v>
      </c>
      <c r="AA9">
        <v>149.69162</v>
      </c>
      <c r="AB9">
        <v>149.08168000000001</v>
      </c>
      <c r="AC9">
        <v>148.94920300000001</v>
      </c>
      <c r="AD9">
        <v>148.95747399999999</v>
      </c>
      <c r="AE9">
        <v>148.59544399999999</v>
      </c>
      <c r="AF9">
        <v>148.537384</v>
      </c>
      <c r="AG9">
        <v>148.52256800000001</v>
      </c>
      <c r="AH9" s="31">
        <v>2.1000000000000001E-2</v>
      </c>
    </row>
    <row r="10" spans="1:34">
      <c r="A10" s="150"/>
      <c r="B10" t="s">
        <v>1409</v>
      </c>
      <c r="C10" t="s">
        <v>4001</v>
      </c>
      <c r="D10" t="s">
        <v>4000</v>
      </c>
      <c r="E10" t="s">
        <v>354</v>
      </c>
      <c r="G10">
        <v>14685.997069999999</v>
      </c>
      <c r="H10">
        <v>14660.302734000001</v>
      </c>
      <c r="I10">
        <v>14497.899414</v>
      </c>
      <c r="J10">
        <v>14266.496094</v>
      </c>
      <c r="K10">
        <v>13992.874023</v>
      </c>
      <c r="L10">
        <v>13694.385742</v>
      </c>
      <c r="M10">
        <v>13369.631836</v>
      </c>
      <c r="N10">
        <v>13080.414062</v>
      </c>
      <c r="O10">
        <v>12770.654296999999</v>
      </c>
      <c r="P10">
        <v>12484.368164</v>
      </c>
      <c r="Q10">
        <v>12222.611328000001</v>
      </c>
      <c r="R10">
        <v>11960.007812</v>
      </c>
      <c r="S10">
        <v>11671.146484000001</v>
      </c>
      <c r="T10">
        <v>11391.310546999999</v>
      </c>
      <c r="U10">
        <v>11146.991211</v>
      </c>
      <c r="V10">
        <v>10909.125977</v>
      </c>
      <c r="W10">
        <v>10695.448242</v>
      </c>
      <c r="X10">
        <v>10504.620117</v>
      </c>
      <c r="Y10">
        <v>10301.898438</v>
      </c>
      <c r="Z10">
        <v>10145.026367</v>
      </c>
      <c r="AA10">
        <v>9978.7294920000004</v>
      </c>
      <c r="AB10">
        <v>9838.1064449999994</v>
      </c>
      <c r="AC10">
        <v>9695.7861329999996</v>
      </c>
      <c r="AD10">
        <v>9583.2880860000005</v>
      </c>
      <c r="AE10">
        <v>9436.5449219999991</v>
      </c>
      <c r="AF10">
        <v>9324.7324219999991</v>
      </c>
      <c r="AG10">
        <v>9253.7197269999997</v>
      </c>
      <c r="AH10" s="31">
        <v>-1.7999999999999999E-2</v>
      </c>
    </row>
    <row r="11" spans="1:34">
      <c r="A11" s="23"/>
      <c r="B11" t="s">
        <v>1406</v>
      </c>
    </row>
    <row r="12" spans="1:34">
      <c r="A12" s="150" t="s">
        <v>113</v>
      </c>
      <c r="B12" t="s">
        <v>362</v>
      </c>
      <c r="C12" t="s">
        <v>3999</v>
      </c>
      <c r="D12" t="s">
        <v>3998</v>
      </c>
      <c r="E12" t="s">
        <v>354</v>
      </c>
      <c r="G12">
        <v>1521.5115969999999</v>
      </c>
      <c r="H12">
        <v>1451.3376459999999</v>
      </c>
      <c r="I12">
        <v>1366.715332</v>
      </c>
      <c r="J12">
        <v>1275.356812</v>
      </c>
      <c r="K12">
        <v>1179.8957519999999</v>
      </c>
      <c r="L12">
        <v>1084.209595</v>
      </c>
      <c r="M12">
        <v>989.82806400000004</v>
      </c>
      <c r="N12">
        <v>897.85528599999998</v>
      </c>
      <c r="O12">
        <v>811.62115500000004</v>
      </c>
      <c r="P12">
        <v>723.75408900000002</v>
      </c>
      <c r="Q12">
        <v>654.58050500000002</v>
      </c>
      <c r="R12">
        <v>586.59533699999997</v>
      </c>
      <c r="S12">
        <v>524.71722399999999</v>
      </c>
      <c r="T12">
        <v>472.65966800000001</v>
      </c>
      <c r="U12">
        <v>423.96023600000001</v>
      </c>
      <c r="V12">
        <v>384.88867199999999</v>
      </c>
      <c r="W12">
        <v>357.286316</v>
      </c>
      <c r="X12">
        <v>333.69287100000003</v>
      </c>
      <c r="Y12">
        <v>312.698151</v>
      </c>
      <c r="Z12">
        <v>297.58154300000001</v>
      </c>
      <c r="AA12">
        <v>288.29440299999999</v>
      </c>
      <c r="AB12">
        <v>267.252228</v>
      </c>
      <c r="AC12">
        <v>256.88736</v>
      </c>
      <c r="AD12">
        <v>255.48391699999999</v>
      </c>
      <c r="AE12">
        <v>245.34071399999999</v>
      </c>
      <c r="AF12">
        <v>236.763184</v>
      </c>
      <c r="AG12">
        <v>228.82487499999999</v>
      </c>
      <c r="AH12" s="31">
        <v>-7.0000000000000007E-2</v>
      </c>
    </row>
    <row r="13" spans="1:34">
      <c r="A13" s="150" t="s">
        <v>111</v>
      </c>
      <c r="B13" t="s">
        <v>1403</v>
      </c>
      <c r="C13" t="s">
        <v>3997</v>
      </c>
      <c r="D13" t="s">
        <v>3996</v>
      </c>
      <c r="E13" t="s">
        <v>354</v>
      </c>
      <c r="G13">
        <v>2.4846949999999999</v>
      </c>
      <c r="H13">
        <v>3.071904</v>
      </c>
      <c r="I13">
        <v>3.7698870000000002</v>
      </c>
      <c r="J13">
        <v>4.7045950000000003</v>
      </c>
      <c r="K13">
        <v>5.5536859999999999</v>
      </c>
      <c r="L13">
        <v>6.2012890000000001</v>
      </c>
      <c r="M13">
        <v>6.5061090000000004</v>
      </c>
      <c r="N13">
        <v>6.7387589999999999</v>
      </c>
      <c r="O13">
        <v>7.5135249999999996</v>
      </c>
      <c r="P13">
        <v>8.0617020000000004</v>
      </c>
      <c r="Q13">
        <v>8.5891669999999998</v>
      </c>
      <c r="R13">
        <v>9.2951250000000005</v>
      </c>
      <c r="S13">
        <v>9.8864409999999996</v>
      </c>
      <c r="T13">
        <v>10.412896999999999</v>
      </c>
      <c r="U13">
        <v>10.948007</v>
      </c>
      <c r="V13">
        <v>11.695228</v>
      </c>
      <c r="W13">
        <v>12.338374999999999</v>
      </c>
      <c r="X13">
        <v>12.899608000000001</v>
      </c>
      <c r="Y13">
        <v>13.394261</v>
      </c>
      <c r="Z13">
        <v>13.889972</v>
      </c>
      <c r="AA13">
        <v>14.349182000000001</v>
      </c>
      <c r="AB13">
        <v>14.805362000000001</v>
      </c>
      <c r="AC13">
        <v>15.205448000000001</v>
      </c>
      <c r="AD13">
        <v>15.561527999999999</v>
      </c>
      <c r="AE13">
        <v>15.889066</v>
      </c>
      <c r="AF13">
        <v>16.208393000000001</v>
      </c>
      <c r="AG13">
        <v>16.589396000000001</v>
      </c>
      <c r="AH13" s="31">
        <v>7.5999999999999998E-2</v>
      </c>
    </row>
    <row r="14" spans="1:34">
      <c r="A14" s="150" t="s">
        <v>111</v>
      </c>
      <c r="B14" t="s">
        <v>1401</v>
      </c>
      <c r="C14" t="s">
        <v>3995</v>
      </c>
      <c r="D14" t="s">
        <v>3994</v>
      </c>
      <c r="E14" t="s">
        <v>354</v>
      </c>
      <c r="G14">
        <v>7.590325</v>
      </c>
      <c r="H14">
        <v>11.124387</v>
      </c>
      <c r="I14">
        <v>17.016725999999998</v>
      </c>
      <c r="J14">
        <v>23.222683</v>
      </c>
      <c r="K14">
        <v>29.942232000000001</v>
      </c>
      <c r="L14">
        <v>36.667614</v>
      </c>
      <c r="M14">
        <v>43.167136999999997</v>
      </c>
      <c r="N14">
        <v>48.737957000000002</v>
      </c>
      <c r="O14">
        <v>55.932212999999997</v>
      </c>
      <c r="P14">
        <v>62.844245999999998</v>
      </c>
      <c r="Q14">
        <v>70.338234</v>
      </c>
      <c r="R14">
        <v>78.746200999999999</v>
      </c>
      <c r="S14">
        <v>87.375998999999993</v>
      </c>
      <c r="T14">
        <v>96.391281000000006</v>
      </c>
      <c r="U14">
        <v>105.638092</v>
      </c>
      <c r="V14">
        <v>115.67845199999999</v>
      </c>
      <c r="W14">
        <v>125.595871</v>
      </c>
      <c r="X14">
        <v>135.43344099999999</v>
      </c>
      <c r="Y14">
        <v>144.95266699999999</v>
      </c>
      <c r="Z14">
        <v>154.22631799999999</v>
      </c>
      <c r="AA14">
        <v>163.146332</v>
      </c>
      <c r="AB14">
        <v>171.69850199999999</v>
      </c>
      <c r="AC14">
        <v>179.89584400000001</v>
      </c>
      <c r="AD14">
        <v>187.841568</v>
      </c>
      <c r="AE14">
        <v>195.46928399999999</v>
      </c>
      <c r="AF14">
        <v>202.816956</v>
      </c>
      <c r="AG14">
        <v>210.02973900000001</v>
      </c>
      <c r="AH14" s="31">
        <v>0.13600000000000001</v>
      </c>
    </row>
    <row r="15" spans="1:34">
      <c r="A15" s="150" t="s">
        <v>111</v>
      </c>
      <c r="B15" t="s">
        <v>1399</v>
      </c>
      <c r="C15" t="s">
        <v>3993</v>
      </c>
      <c r="D15" t="s">
        <v>3992</v>
      </c>
      <c r="E15" t="s">
        <v>354</v>
      </c>
      <c r="G15">
        <v>33.426341999999998</v>
      </c>
      <c r="H15">
        <v>51.062820000000002</v>
      </c>
      <c r="I15">
        <v>74.679473999999999</v>
      </c>
      <c r="J15">
        <v>104.04657</v>
      </c>
      <c r="K15">
        <v>136.93808000000001</v>
      </c>
      <c r="L15">
        <v>172.27294900000001</v>
      </c>
      <c r="M15">
        <v>209.35940600000001</v>
      </c>
      <c r="N15">
        <v>240.064087</v>
      </c>
      <c r="O15">
        <v>270.05487099999999</v>
      </c>
      <c r="P15">
        <v>296.18158</v>
      </c>
      <c r="Q15">
        <v>322.17065400000001</v>
      </c>
      <c r="R15">
        <v>346.93804899999998</v>
      </c>
      <c r="S15">
        <v>371.15737899999999</v>
      </c>
      <c r="T15">
        <v>394.81243899999998</v>
      </c>
      <c r="U15">
        <v>417.75891100000001</v>
      </c>
      <c r="V15">
        <v>439.55920400000002</v>
      </c>
      <c r="W15">
        <v>460.36200000000002</v>
      </c>
      <c r="X15">
        <v>479.92013500000002</v>
      </c>
      <c r="Y15">
        <v>497.91906699999998</v>
      </c>
      <c r="Z15">
        <v>514.39721699999996</v>
      </c>
      <c r="AA15">
        <v>529.42218000000003</v>
      </c>
      <c r="AB15">
        <v>542.89123500000005</v>
      </c>
      <c r="AC15">
        <v>555.82849099999999</v>
      </c>
      <c r="AD15">
        <v>568.28784199999996</v>
      </c>
      <c r="AE15">
        <v>580.08068800000001</v>
      </c>
      <c r="AF15">
        <v>591.61602800000003</v>
      </c>
      <c r="AG15">
        <v>603.24456799999996</v>
      </c>
      <c r="AH15" s="31">
        <v>0.11799999999999999</v>
      </c>
    </row>
    <row r="16" spans="1:34">
      <c r="A16" s="150" t="s">
        <v>115</v>
      </c>
      <c r="B16" t="s">
        <v>1397</v>
      </c>
      <c r="C16" t="s">
        <v>3991</v>
      </c>
      <c r="D16" t="s">
        <v>3990</v>
      </c>
      <c r="E16" t="s">
        <v>354</v>
      </c>
      <c r="G16">
        <v>32.817379000000003</v>
      </c>
      <c r="H16">
        <v>43.016792000000002</v>
      </c>
      <c r="I16">
        <v>60.886909000000003</v>
      </c>
      <c r="J16">
        <v>74.089737</v>
      </c>
      <c r="K16">
        <v>90.411186000000001</v>
      </c>
      <c r="L16">
        <v>103.803955</v>
      </c>
      <c r="M16">
        <v>116.88549</v>
      </c>
      <c r="N16">
        <v>130.30316199999999</v>
      </c>
      <c r="O16">
        <v>142.779358</v>
      </c>
      <c r="P16">
        <v>152.97470100000001</v>
      </c>
      <c r="Q16">
        <v>162.67871099999999</v>
      </c>
      <c r="R16">
        <v>171.028854</v>
      </c>
      <c r="S16">
        <v>178.97622699999999</v>
      </c>
      <c r="T16">
        <v>187.27452099999999</v>
      </c>
      <c r="U16">
        <v>195.42085299999999</v>
      </c>
      <c r="V16">
        <v>203.45126300000001</v>
      </c>
      <c r="W16">
        <v>211.36871300000001</v>
      </c>
      <c r="X16">
        <v>218.50588999999999</v>
      </c>
      <c r="Y16">
        <v>225.164185</v>
      </c>
      <c r="Z16">
        <v>231.74902299999999</v>
      </c>
      <c r="AA16">
        <v>237.690842</v>
      </c>
      <c r="AB16">
        <v>244.76306199999999</v>
      </c>
      <c r="AC16">
        <v>249.137192</v>
      </c>
      <c r="AD16">
        <v>252.977585</v>
      </c>
      <c r="AE16">
        <v>257.22729500000003</v>
      </c>
      <c r="AF16">
        <v>260.56091300000003</v>
      </c>
      <c r="AG16">
        <v>263.61874399999999</v>
      </c>
      <c r="AH16" s="31">
        <v>8.3000000000000004E-2</v>
      </c>
    </row>
    <row r="17" spans="1:34">
      <c r="A17" s="150" t="s">
        <v>115</v>
      </c>
      <c r="B17" t="s">
        <v>1394</v>
      </c>
      <c r="C17" t="s">
        <v>3989</v>
      </c>
      <c r="D17" t="s">
        <v>3988</v>
      </c>
      <c r="E17" t="s">
        <v>354</v>
      </c>
      <c r="G17">
        <v>7.4586899999999998</v>
      </c>
      <c r="H17">
        <v>13.538569000000001</v>
      </c>
      <c r="I17">
        <v>21.477561999999999</v>
      </c>
      <c r="J17">
        <v>31.364913999999999</v>
      </c>
      <c r="K17">
        <v>40.461727000000003</v>
      </c>
      <c r="L17">
        <v>48.916420000000002</v>
      </c>
      <c r="M17">
        <v>61.804763999999999</v>
      </c>
      <c r="N17">
        <v>73.608931999999996</v>
      </c>
      <c r="O17">
        <v>85.942436000000001</v>
      </c>
      <c r="P17">
        <v>97.018669000000003</v>
      </c>
      <c r="Q17">
        <v>107.86917099999999</v>
      </c>
      <c r="R17">
        <v>118.085449</v>
      </c>
      <c r="S17">
        <v>129.76442</v>
      </c>
      <c r="T17">
        <v>141.37219200000001</v>
      </c>
      <c r="U17">
        <v>153.48573300000001</v>
      </c>
      <c r="V17">
        <v>165.21603400000001</v>
      </c>
      <c r="W17">
        <v>176.53350800000001</v>
      </c>
      <c r="X17">
        <v>187.31257600000001</v>
      </c>
      <c r="Y17">
        <v>197.669983</v>
      </c>
      <c r="Z17">
        <v>207.82943700000001</v>
      </c>
      <c r="AA17">
        <v>218.101517</v>
      </c>
      <c r="AB17">
        <v>227.74508700000001</v>
      </c>
      <c r="AC17">
        <v>236.19162</v>
      </c>
      <c r="AD17">
        <v>243.00694300000001</v>
      </c>
      <c r="AE17">
        <v>249.36700400000001</v>
      </c>
      <c r="AF17">
        <v>256.53649899999999</v>
      </c>
      <c r="AG17">
        <v>263.02487200000002</v>
      </c>
      <c r="AH17" s="31">
        <v>0.14699999999999999</v>
      </c>
    </row>
    <row r="18" spans="1:34">
      <c r="A18" s="150" t="s">
        <v>114</v>
      </c>
      <c r="B18" t="s">
        <v>363</v>
      </c>
      <c r="C18" t="s">
        <v>3987</v>
      </c>
      <c r="D18" t="s">
        <v>3986</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t="s">
        <v>117</v>
      </c>
    </row>
    <row r="19" spans="1:34">
      <c r="A19" s="150" t="s">
        <v>113</v>
      </c>
      <c r="B19" t="s">
        <v>364</v>
      </c>
      <c r="C19" t="s">
        <v>3985</v>
      </c>
      <c r="D19" t="s">
        <v>3984</v>
      </c>
      <c r="E19" t="s">
        <v>354</v>
      </c>
      <c r="G19">
        <v>286.90777600000001</v>
      </c>
      <c r="H19">
        <v>335.19018599999998</v>
      </c>
      <c r="I19">
        <v>389.67614700000001</v>
      </c>
      <c r="J19">
        <v>438.80304000000001</v>
      </c>
      <c r="K19">
        <v>488.89623999999998</v>
      </c>
      <c r="L19">
        <v>539.27740500000004</v>
      </c>
      <c r="M19">
        <v>592.94995100000006</v>
      </c>
      <c r="N19">
        <v>648.69067399999994</v>
      </c>
      <c r="O19">
        <v>701.92742899999996</v>
      </c>
      <c r="P19">
        <v>758.0625</v>
      </c>
      <c r="Q19">
        <v>812.43786599999999</v>
      </c>
      <c r="R19">
        <v>866.77862500000003</v>
      </c>
      <c r="S19">
        <v>920.31701699999996</v>
      </c>
      <c r="T19">
        <v>972.58990500000004</v>
      </c>
      <c r="U19">
        <v>1024.205078</v>
      </c>
      <c r="V19">
        <v>1073.544678</v>
      </c>
      <c r="W19">
        <v>1123.966064</v>
      </c>
      <c r="X19">
        <v>1169.5706789999999</v>
      </c>
      <c r="Y19">
        <v>1213.1235349999999</v>
      </c>
      <c r="Z19">
        <v>1254.579956</v>
      </c>
      <c r="AA19">
        <v>1291.881836</v>
      </c>
      <c r="AB19">
        <v>1329.6499020000001</v>
      </c>
      <c r="AC19">
        <v>1362.5242920000001</v>
      </c>
      <c r="AD19">
        <v>1396.6538089999999</v>
      </c>
      <c r="AE19">
        <v>1432.734375</v>
      </c>
      <c r="AF19">
        <v>1468.8634030000001</v>
      </c>
      <c r="AG19">
        <v>1503.212524</v>
      </c>
      <c r="AH19" s="31">
        <v>6.6000000000000003E-2</v>
      </c>
    </row>
    <row r="20" spans="1:34">
      <c r="A20" s="150" t="s">
        <v>112</v>
      </c>
      <c r="B20" t="s">
        <v>365</v>
      </c>
      <c r="C20" t="s">
        <v>3983</v>
      </c>
      <c r="D20" t="s">
        <v>3982</v>
      </c>
      <c r="E20" t="s">
        <v>354</v>
      </c>
      <c r="G20">
        <v>0.55969899999999995</v>
      </c>
      <c r="H20">
        <v>0.51078900000000005</v>
      </c>
      <c r="I20">
        <v>0.46062500000000001</v>
      </c>
      <c r="J20">
        <v>0.41163100000000002</v>
      </c>
      <c r="K20">
        <v>0.37667600000000001</v>
      </c>
      <c r="L20">
        <v>0.35589700000000002</v>
      </c>
      <c r="M20">
        <v>0.32261800000000002</v>
      </c>
      <c r="N20">
        <v>0.28953299999999998</v>
      </c>
      <c r="O20">
        <v>0.260604</v>
      </c>
      <c r="P20">
        <v>0.23610800000000001</v>
      </c>
      <c r="Q20">
        <v>0.21204500000000001</v>
      </c>
      <c r="R20">
        <v>0.153307</v>
      </c>
      <c r="S20">
        <v>0.134135</v>
      </c>
      <c r="T20">
        <v>0.12306599999999999</v>
      </c>
      <c r="U20">
        <v>0.112112</v>
      </c>
      <c r="V20">
        <v>0.10403</v>
      </c>
      <c r="W20">
        <v>9.7663E-2</v>
      </c>
      <c r="X20">
        <v>9.1687000000000005E-2</v>
      </c>
      <c r="Y20">
        <v>8.6077000000000001E-2</v>
      </c>
      <c r="Z20">
        <v>8.0810999999999994E-2</v>
      </c>
      <c r="AA20">
        <v>7.5868000000000005E-2</v>
      </c>
      <c r="AB20">
        <v>7.1228E-2</v>
      </c>
      <c r="AC20">
        <v>6.6872000000000001E-2</v>
      </c>
      <c r="AD20">
        <v>6.2782000000000004E-2</v>
      </c>
      <c r="AE20">
        <v>5.8944000000000003E-2</v>
      </c>
      <c r="AF20">
        <v>5.534E-2</v>
      </c>
      <c r="AG20">
        <v>5.1957000000000003E-2</v>
      </c>
      <c r="AH20" s="31">
        <v>-8.6999999999999994E-2</v>
      </c>
    </row>
    <row r="21" spans="1:34">
      <c r="A21" s="150" t="s">
        <v>112</v>
      </c>
      <c r="B21" t="s">
        <v>366</v>
      </c>
      <c r="C21" t="s">
        <v>3981</v>
      </c>
      <c r="D21" t="s">
        <v>3980</v>
      </c>
      <c r="E21" t="s">
        <v>354</v>
      </c>
      <c r="G21">
        <v>0.14622099999999999</v>
      </c>
      <c r="H21">
        <v>0.13718</v>
      </c>
      <c r="I21">
        <v>0.12870000000000001</v>
      </c>
      <c r="J21">
        <v>0.12074600000000001</v>
      </c>
      <c r="K21">
        <v>0.113285</v>
      </c>
      <c r="L21">
        <v>0.10628700000000001</v>
      </c>
      <c r="M21">
        <v>9.9722000000000005E-2</v>
      </c>
      <c r="N21">
        <v>9.3564999999999995E-2</v>
      </c>
      <c r="O21">
        <v>8.7789000000000006E-2</v>
      </c>
      <c r="P21">
        <v>8.2369999999999999E-2</v>
      </c>
      <c r="Q21">
        <v>7.7287999999999996E-2</v>
      </c>
      <c r="R21">
        <v>7.2519E-2</v>
      </c>
      <c r="S21">
        <v>6.8046999999999996E-2</v>
      </c>
      <c r="T21">
        <v>6.3851000000000005E-2</v>
      </c>
      <c r="U21">
        <v>5.9914000000000002E-2</v>
      </c>
      <c r="V21">
        <v>5.6221E-2</v>
      </c>
      <c r="W21">
        <v>5.2756999999999998E-2</v>
      </c>
      <c r="X21">
        <v>4.9506000000000001E-2</v>
      </c>
      <c r="Y21">
        <v>4.6456999999999998E-2</v>
      </c>
      <c r="Z21">
        <v>4.3596000000000003E-2</v>
      </c>
      <c r="AA21">
        <v>4.0911999999999997E-2</v>
      </c>
      <c r="AB21">
        <v>3.8393999999999998E-2</v>
      </c>
      <c r="AC21">
        <v>3.6031000000000001E-2</v>
      </c>
      <c r="AD21">
        <v>3.3813999999999997E-2</v>
      </c>
      <c r="AE21">
        <v>3.1733999999999998E-2</v>
      </c>
      <c r="AF21">
        <v>2.9783E-2</v>
      </c>
      <c r="AG21">
        <v>2.7951E-2</v>
      </c>
      <c r="AH21" s="31">
        <v>-6.2E-2</v>
      </c>
    </row>
    <row r="22" spans="1:34">
      <c r="A22" s="150" t="s">
        <v>257</v>
      </c>
      <c r="B22" t="s">
        <v>367</v>
      </c>
      <c r="C22" t="s">
        <v>3979</v>
      </c>
      <c r="D22" t="s">
        <v>3978</v>
      </c>
      <c r="E22" t="s">
        <v>354</v>
      </c>
      <c r="G22">
        <v>0.40195500000000001</v>
      </c>
      <c r="H22">
        <v>0.36667100000000002</v>
      </c>
      <c r="I22">
        <v>0.33657100000000001</v>
      </c>
      <c r="J22">
        <v>0.31036599999999998</v>
      </c>
      <c r="K22">
        <v>0.29120699999999999</v>
      </c>
      <c r="L22">
        <v>0.27323500000000001</v>
      </c>
      <c r="M22">
        <v>0.25637500000000002</v>
      </c>
      <c r="N22">
        <v>0.240559</v>
      </c>
      <c r="O22">
        <v>0.22572200000000001</v>
      </c>
      <c r="P22">
        <v>0.21180299999999999</v>
      </c>
      <c r="Q22">
        <v>0.198745</v>
      </c>
      <c r="R22">
        <v>0.18649399999999999</v>
      </c>
      <c r="S22">
        <v>0.17500099999999999</v>
      </c>
      <c r="T22">
        <v>0.164219</v>
      </c>
      <c r="U22">
        <v>0.15410299999999999</v>
      </c>
      <c r="V22">
        <v>0.14461199999999999</v>
      </c>
      <c r="W22">
        <v>0.13570699999999999</v>
      </c>
      <c r="X22">
        <v>0.12735299999999999</v>
      </c>
      <c r="Y22">
        <v>0.119514</v>
      </c>
      <c r="Z22">
        <v>0.11216</v>
      </c>
      <c r="AA22">
        <v>0.10525900000000001</v>
      </c>
      <c r="AB22">
        <v>9.8784999999999998E-2</v>
      </c>
      <c r="AC22">
        <v>9.2710000000000001E-2</v>
      </c>
      <c r="AD22">
        <v>8.7009000000000003E-2</v>
      </c>
      <c r="AE22">
        <v>8.1659999999999996E-2</v>
      </c>
      <c r="AF22">
        <v>7.6642000000000002E-2</v>
      </c>
      <c r="AG22">
        <v>7.1931999999999996E-2</v>
      </c>
      <c r="AH22" s="31">
        <v>-6.4000000000000001E-2</v>
      </c>
    </row>
    <row r="23" spans="1:34">
      <c r="A23" s="150" t="s">
        <v>257</v>
      </c>
      <c r="B23" t="s">
        <v>368</v>
      </c>
      <c r="C23" t="s">
        <v>3977</v>
      </c>
      <c r="D23" t="s">
        <v>3976</v>
      </c>
      <c r="E23" t="s">
        <v>354</v>
      </c>
      <c r="G23">
        <v>0.43596800000000002</v>
      </c>
      <c r="H23">
        <v>0.40012799999999998</v>
      </c>
      <c r="I23">
        <v>0.37045099999999997</v>
      </c>
      <c r="J23">
        <v>0.34571200000000002</v>
      </c>
      <c r="K23">
        <v>0.32392599999999999</v>
      </c>
      <c r="L23">
        <v>0.30396899999999999</v>
      </c>
      <c r="M23">
        <v>0.28524500000000003</v>
      </c>
      <c r="N23">
        <v>0.267677</v>
      </c>
      <c r="O23">
        <v>0.251195</v>
      </c>
      <c r="P23">
        <v>0.23573</v>
      </c>
      <c r="Q23">
        <v>0.221221</v>
      </c>
      <c r="R23">
        <v>0.20760600000000001</v>
      </c>
      <c r="S23">
        <v>0.19483200000000001</v>
      </c>
      <c r="T23">
        <v>0.18284700000000001</v>
      </c>
      <c r="U23">
        <v>0.1716</v>
      </c>
      <c r="V23">
        <v>0.161048</v>
      </c>
      <c r="W23">
        <v>0.151146</v>
      </c>
      <c r="X23">
        <v>0.14185500000000001</v>
      </c>
      <c r="Y23">
        <v>0.133136</v>
      </c>
      <c r="Z23">
        <v>0.124955</v>
      </c>
      <c r="AA23">
        <v>0.11727799999999999</v>
      </c>
      <c r="AB23">
        <v>0.11007400000000001</v>
      </c>
      <c r="AC23">
        <v>0.103314</v>
      </c>
      <c r="AD23">
        <v>9.6970000000000001E-2</v>
      </c>
      <c r="AE23">
        <v>9.1017000000000001E-2</v>
      </c>
      <c r="AF23">
        <v>8.5430000000000006E-2</v>
      </c>
      <c r="AG23">
        <v>8.0186999999999994E-2</v>
      </c>
      <c r="AH23" s="31">
        <v>-6.3E-2</v>
      </c>
    </row>
    <row r="24" spans="1:34">
      <c r="A24" s="150" t="s">
        <v>258</v>
      </c>
      <c r="B24" t="s">
        <v>369</v>
      </c>
      <c r="C24" t="s">
        <v>3975</v>
      </c>
      <c r="D24" t="s">
        <v>3974</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t="s">
        <v>117</v>
      </c>
    </row>
    <row r="25" spans="1:34">
      <c r="A25" s="150" t="s">
        <v>258</v>
      </c>
      <c r="B25" t="s">
        <v>370</v>
      </c>
      <c r="C25" t="s">
        <v>3973</v>
      </c>
      <c r="D25" t="s">
        <v>3972</v>
      </c>
      <c r="E25" t="s">
        <v>354</v>
      </c>
      <c r="G25">
        <v>0.40270299999999998</v>
      </c>
      <c r="H25">
        <v>0.428566</v>
      </c>
      <c r="I25">
        <v>0.438523</v>
      </c>
      <c r="J25">
        <v>0.44270799999999999</v>
      </c>
      <c r="K25">
        <v>0.44139400000000001</v>
      </c>
      <c r="L25">
        <v>0.42853200000000002</v>
      </c>
      <c r="M25">
        <v>0.41623500000000002</v>
      </c>
      <c r="N25">
        <v>0.40165200000000001</v>
      </c>
      <c r="O25">
        <v>0.38442700000000002</v>
      </c>
      <c r="P25">
        <v>0.362952</v>
      </c>
      <c r="Q25">
        <v>0.34098000000000001</v>
      </c>
      <c r="R25">
        <v>0.31870199999999999</v>
      </c>
      <c r="S25">
        <v>0.29588700000000001</v>
      </c>
      <c r="T25">
        <v>0.272922</v>
      </c>
      <c r="U25">
        <v>0.250058</v>
      </c>
      <c r="V25">
        <v>0.22815199999999999</v>
      </c>
      <c r="W25">
        <v>0.207236</v>
      </c>
      <c r="X25">
        <v>0.18687400000000001</v>
      </c>
      <c r="Y25">
        <v>0.170434</v>
      </c>
      <c r="Z25">
        <v>0.155837</v>
      </c>
      <c r="AA25">
        <v>0.14472299999999999</v>
      </c>
      <c r="AB25">
        <v>0.13236999999999999</v>
      </c>
      <c r="AC25">
        <v>0.123225</v>
      </c>
      <c r="AD25">
        <v>0.116811</v>
      </c>
      <c r="AE25">
        <v>0.112998</v>
      </c>
      <c r="AF25">
        <v>0.10956299999999999</v>
      </c>
      <c r="AG25">
        <v>0.10698199999999999</v>
      </c>
      <c r="AH25" s="31">
        <v>-0.05</v>
      </c>
    </row>
    <row r="26" spans="1:34">
      <c r="A26" s="23"/>
      <c r="B26" t="s">
        <v>1375</v>
      </c>
      <c r="C26" t="s">
        <v>3971</v>
      </c>
      <c r="D26" t="s">
        <v>3970</v>
      </c>
      <c r="E26" t="s">
        <v>354</v>
      </c>
      <c r="G26">
        <v>1894.1435550000001</v>
      </c>
      <c r="H26">
        <v>1910.1857910000001</v>
      </c>
      <c r="I26">
        <v>1935.9567870000001</v>
      </c>
      <c r="J26">
        <v>1953.2196039999999</v>
      </c>
      <c r="K26">
        <v>1973.6455080000001</v>
      </c>
      <c r="L26">
        <v>1992.8172609999999</v>
      </c>
      <c r="M26">
        <v>2021.8811040000001</v>
      </c>
      <c r="N26">
        <v>2047.29187</v>
      </c>
      <c r="O26">
        <v>2076.9809570000002</v>
      </c>
      <c r="P26">
        <v>2100.0266109999998</v>
      </c>
      <c r="Q26">
        <v>2139.7145999999998</v>
      </c>
      <c r="R26">
        <v>2178.40625</v>
      </c>
      <c r="S26">
        <v>2223.0625</v>
      </c>
      <c r="T26">
        <v>2276.3198240000002</v>
      </c>
      <c r="U26">
        <v>2332.1645509999998</v>
      </c>
      <c r="V26">
        <v>2394.7277829999998</v>
      </c>
      <c r="W26">
        <v>2468.0954590000001</v>
      </c>
      <c r="X26">
        <v>2537.9323730000001</v>
      </c>
      <c r="Y26">
        <v>2605.477539</v>
      </c>
      <c r="Z26">
        <v>2674.7707519999999</v>
      </c>
      <c r="AA26">
        <v>2743.3703609999998</v>
      </c>
      <c r="AB26">
        <v>2799.2563479999999</v>
      </c>
      <c r="AC26">
        <v>2856.092529</v>
      </c>
      <c r="AD26">
        <v>2920.2104490000002</v>
      </c>
      <c r="AE26">
        <v>2976.4846189999998</v>
      </c>
      <c r="AF26">
        <v>3033.7221679999998</v>
      </c>
      <c r="AG26">
        <v>3088.883789</v>
      </c>
      <c r="AH26" s="31">
        <v>1.9E-2</v>
      </c>
    </row>
    <row r="27" spans="1:34">
      <c r="A27" s="23"/>
      <c r="B27" t="s">
        <v>193</v>
      </c>
      <c r="C27" t="s">
        <v>3969</v>
      </c>
      <c r="D27" t="s">
        <v>3968</v>
      </c>
      <c r="E27" t="s">
        <v>354</v>
      </c>
      <c r="G27">
        <v>16580.140625</v>
      </c>
      <c r="H27">
        <v>16570.488281000002</v>
      </c>
      <c r="I27">
        <v>16433.855468999998</v>
      </c>
      <c r="J27">
        <v>16219.715819999999</v>
      </c>
      <c r="K27">
        <v>15966.519531</v>
      </c>
      <c r="L27">
        <v>15687.203125</v>
      </c>
      <c r="M27">
        <v>15391.512694999999</v>
      </c>
      <c r="N27">
        <v>15127.706055000001</v>
      </c>
      <c r="O27">
        <v>14847.634765999999</v>
      </c>
      <c r="P27">
        <v>14584.394531</v>
      </c>
      <c r="Q27">
        <v>14362.326171999999</v>
      </c>
      <c r="R27">
        <v>14138.414062</v>
      </c>
      <c r="S27">
        <v>13894.208984000001</v>
      </c>
      <c r="T27">
        <v>13667.630859000001</v>
      </c>
      <c r="U27">
        <v>13479.15625</v>
      </c>
      <c r="V27">
        <v>13303.853515999999</v>
      </c>
      <c r="W27">
        <v>13163.543944999999</v>
      </c>
      <c r="X27">
        <v>13042.552734000001</v>
      </c>
      <c r="Y27">
        <v>12907.375977</v>
      </c>
      <c r="Z27">
        <v>12819.796875</v>
      </c>
      <c r="AA27">
        <v>12722.099609000001</v>
      </c>
      <c r="AB27">
        <v>12637.363281</v>
      </c>
      <c r="AC27">
        <v>12551.878906</v>
      </c>
      <c r="AD27">
        <v>12503.498046999999</v>
      </c>
      <c r="AE27">
        <v>12413.029296999999</v>
      </c>
      <c r="AF27">
        <v>12358.455078000001</v>
      </c>
      <c r="AG27">
        <v>12342.603515999999</v>
      </c>
      <c r="AH27" s="31">
        <v>-1.0999999999999999E-2</v>
      </c>
    </row>
    <row r="28" spans="1:34">
      <c r="A28" s="23"/>
    </row>
    <row r="29" spans="1:34">
      <c r="A29" s="23"/>
    </row>
    <row r="30" spans="1:34">
      <c r="A30" s="23"/>
    </row>
    <row r="31" spans="1:34">
      <c r="A31" s="23"/>
    </row>
    <row r="32" spans="1:34">
      <c r="A32" s="23"/>
    </row>
    <row r="33" spans="1:1">
      <c r="A33" s="23"/>
    </row>
    <row r="34" spans="1:1">
      <c r="A34" s="23"/>
    </row>
    <row r="35" spans="1:1">
      <c r="A35" s="2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3CB4-C4C0-4191-BCD3-30845FB34774}">
  <dimension ref="B1:AI32"/>
  <sheetViews>
    <sheetView topLeftCell="A5" workbookViewId="0">
      <selection activeCell="A15" sqref="A15"/>
    </sheetView>
  </sheetViews>
  <sheetFormatPr defaultRowHeight="14.25"/>
  <cols>
    <col min="2" max="2" width="18.73046875" bestFit="1" customWidth="1"/>
    <col min="3" max="3" width="20.06640625" customWidth="1"/>
  </cols>
  <sheetData>
    <row r="1" spans="2:35">
      <c r="C1" t="s">
        <v>3967</v>
      </c>
    </row>
    <row r="2" spans="2:35">
      <c r="C2" t="s">
        <v>3966</v>
      </c>
    </row>
    <row r="3" spans="2:35">
      <c r="C3" t="s">
        <v>3965</v>
      </c>
    </row>
    <row r="4" spans="2:35">
      <c r="C4" t="s">
        <v>302</v>
      </c>
    </row>
    <row r="5" spans="2:35">
      <c r="D5" t="s">
        <v>303</v>
      </c>
      <c r="E5" t="s">
        <v>351</v>
      </c>
      <c r="F5" t="s">
        <v>352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2810</v>
      </c>
    </row>
    <row r="6" spans="2:35">
      <c r="C6" t="s">
        <v>1414</v>
      </c>
    </row>
    <row r="7" spans="2:35">
      <c r="B7" t="s">
        <v>113</v>
      </c>
      <c r="C7" t="s">
        <v>358</v>
      </c>
      <c r="D7" t="s">
        <v>3964</v>
      </c>
      <c r="E7" t="s">
        <v>3963</v>
      </c>
      <c r="F7" t="s">
        <v>387</v>
      </c>
      <c r="H7">
        <v>2623.436768</v>
      </c>
      <c r="I7">
        <v>2637.7065429999998</v>
      </c>
      <c r="J7">
        <v>2622.0197750000002</v>
      </c>
      <c r="K7">
        <v>2596.7016600000002</v>
      </c>
      <c r="L7">
        <v>2563.0585940000001</v>
      </c>
      <c r="M7">
        <v>2529.1450199999999</v>
      </c>
      <c r="N7">
        <v>2492.8142090000001</v>
      </c>
      <c r="O7">
        <v>2461.5766600000002</v>
      </c>
      <c r="P7">
        <v>2423.4028320000002</v>
      </c>
      <c r="Q7">
        <v>2386.905518</v>
      </c>
      <c r="R7">
        <v>2348.8376459999999</v>
      </c>
      <c r="S7">
        <v>2308.774414</v>
      </c>
      <c r="T7">
        <v>2270.158203</v>
      </c>
      <c r="U7">
        <v>2235.8388669999999</v>
      </c>
      <c r="V7">
        <v>2204.2360840000001</v>
      </c>
      <c r="W7">
        <v>2172.5085450000001</v>
      </c>
      <c r="X7">
        <v>2142.3222660000001</v>
      </c>
      <c r="Y7">
        <v>2114.1513669999999</v>
      </c>
      <c r="Z7">
        <v>2087.4833979999999</v>
      </c>
      <c r="AA7">
        <v>2061.4104000000002</v>
      </c>
      <c r="AB7">
        <v>2036.9970699999999</v>
      </c>
      <c r="AC7">
        <v>2012.7761230000001</v>
      </c>
      <c r="AD7">
        <v>1991.7661129999999</v>
      </c>
      <c r="AE7">
        <v>1973.6920170000001</v>
      </c>
      <c r="AF7">
        <v>1957.340942</v>
      </c>
      <c r="AG7">
        <v>1942.6235349999999</v>
      </c>
      <c r="AH7">
        <v>1929.5913089999999</v>
      </c>
      <c r="AI7" s="31">
        <v>-1.2E-2</v>
      </c>
    </row>
    <row r="8" spans="2:35">
      <c r="B8" t="s">
        <v>114</v>
      </c>
      <c r="C8" t="s">
        <v>359</v>
      </c>
      <c r="D8" t="s">
        <v>3962</v>
      </c>
      <c r="E8" t="s">
        <v>3961</v>
      </c>
      <c r="F8" t="s">
        <v>387</v>
      </c>
      <c r="H8">
        <v>17.678726000000001</v>
      </c>
      <c r="I8">
        <v>19.287455000000001</v>
      </c>
      <c r="J8">
        <v>20.826401000000001</v>
      </c>
      <c r="K8">
        <v>22.128098000000001</v>
      </c>
      <c r="L8">
        <v>23.285748000000002</v>
      </c>
      <c r="M8">
        <v>24.41581</v>
      </c>
      <c r="N8">
        <v>24.965506000000001</v>
      </c>
      <c r="O8">
        <v>25.501348</v>
      </c>
      <c r="P8">
        <v>25.969877</v>
      </c>
      <c r="Q8">
        <v>26.333431000000001</v>
      </c>
      <c r="R8">
        <v>26.637089</v>
      </c>
      <c r="S8">
        <v>26.812365</v>
      </c>
      <c r="T8">
        <v>27.099083</v>
      </c>
      <c r="U8">
        <v>27.364311000000001</v>
      </c>
      <c r="V8">
        <v>27.618855</v>
      </c>
      <c r="W8">
        <v>27.819272999999999</v>
      </c>
      <c r="X8">
        <v>27.879057</v>
      </c>
      <c r="Y8">
        <v>28.015280000000001</v>
      </c>
      <c r="Z8">
        <v>28.141026</v>
      </c>
      <c r="AA8">
        <v>28.178196</v>
      </c>
      <c r="AB8">
        <v>28.143318000000001</v>
      </c>
      <c r="AC8">
        <v>27.980774</v>
      </c>
      <c r="AD8">
        <v>27.925937999999999</v>
      </c>
      <c r="AE8">
        <v>27.905180000000001</v>
      </c>
      <c r="AF8">
        <v>27.808883999999999</v>
      </c>
      <c r="AG8">
        <v>27.776104</v>
      </c>
      <c r="AH8">
        <v>27.751465</v>
      </c>
      <c r="AI8" s="31">
        <v>1.7000000000000001E-2</v>
      </c>
    </row>
    <row r="9" spans="2:35">
      <c r="C9" s="1" t="s">
        <v>1406</v>
      </c>
    </row>
    <row r="10" spans="2:35">
      <c r="B10" t="s">
        <v>113</v>
      </c>
      <c r="C10" t="s">
        <v>362</v>
      </c>
      <c r="D10" t="s">
        <v>3960</v>
      </c>
      <c r="E10" t="s">
        <v>3959</v>
      </c>
      <c r="F10" t="s">
        <v>387</v>
      </c>
      <c r="H10">
        <v>227.34983800000001</v>
      </c>
      <c r="I10">
        <v>217.08696</v>
      </c>
      <c r="J10">
        <v>204.56449900000001</v>
      </c>
      <c r="K10">
        <v>190.60505699999999</v>
      </c>
      <c r="L10">
        <v>176.20373499999999</v>
      </c>
      <c r="M10">
        <v>161.89666700000001</v>
      </c>
      <c r="N10">
        <v>147.63659699999999</v>
      </c>
      <c r="O10">
        <v>134.09382600000001</v>
      </c>
      <c r="P10">
        <v>121.195335</v>
      </c>
      <c r="Q10">
        <v>109.176537</v>
      </c>
      <c r="R10">
        <v>97.926376000000005</v>
      </c>
      <c r="S10">
        <v>87.598716999999994</v>
      </c>
      <c r="T10">
        <v>78.528717</v>
      </c>
      <c r="U10">
        <v>70.769454999999994</v>
      </c>
      <c r="V10">
        <v>64.238190000000003</v>
      </c>
      <c r="W10">
        <v>58.898223999999999</v>
      </c>
      <c r="X10">
        <v>54.524493999999997</v>
      </c>
      <c r="Y10">
        <v>50.738224000000002</v>
      </c>
      <c r="Z10">
        <v>47.637169</v>
      </c>
      <c r="AA10">
        <v>44.981273999999999</v>
      </c>
      <c r="AB10">
        <v>42.797237000000003</v>
      </c>
      <c r="AC10">
        <v>40.879497999999998</v>
      </c>
      <c r="AD10">
        <v>39.273997999999999</v>
      </c>
      <c r="AE10">
        <v>37.833148999999999</v>
      </c>
      <c r="AF10">
        <v>36.486289999999997</v>
      </c>
      <c r="AG10">
        <v>35.239452</v>
      </c>
      <c r="AH10">
        <v>34.077469000000001</v>
      </c>
      <c r="AI10" s="31">
        <v>-7.0000000000000007E-2</v>
      </c>
    </row>
    <row r="11" spans="2:35">
      <c r="B11" t="s">
        <v>111</v>
      </c>
      <c r="C11" t="s">
        <v>1403</v>
      </c>
      <c r="D11" t="s">
        <v>3958</v>
      </c>
      <c r="E11" t="s">
        <v>3957</v>
      </c>
      <c r="F11" t="s">
        <v>387</v>
      </c>
      <c r="H11">
        <v>1.2054039999999999</v>
      </c>
      <c r="I11">
        <v>1.2725029999999999</v>
      </c>
      <c r="J11">
        <v>1.3133649999999999</v>
      </c>
      <c r="K11">
        <v>1.385605</v>
      </c>
      <c r="L11">
        <v>1.463217</v>
      </c>
      <c r="M11">
        <v>1.5426070000000001</v>
      </c>
      <c r="N11">
        <v>1.618784</v>
      </c>
      <c r="O11">
        <v>1.5838589999999999</v>
      </c>
      <c r="P11">
        <v>1.5512459999999999</v>
      </c>
      <c r="Q11">
        <v>1.503568</v>
      </c>
      <c r="R11">
        <v>1.4675879999999999</v>
      </c>
      <c r="S11">
        <v>1.4373819999999999</v>
      </c>
      <c r="T11">
        <v>1.419794</v>
      </c>
      <c r="U11">
        <v>1.409038</v>
      </c>
      <c r="V11">
        <v>1.4158649999999999</v>
      </c>
      <c r="W11">
        <v>1.4278200000000001</v>
      </c>
      <c r="X11">
        <v>1.4457720000000001</v>
      </c>
      <c r="Y11">
        <v>1.470386</v>
      </c>
      <c r="Z11">
        <v>1.4982059999999999</v>
      </c>
      <c r="AA11">
        <v>1.530392</v>
      </c>
      <c r="AB11">
        <v>1.5632619999999999</v>
      </c>
      <c r="AC11">
        <v>1.594311</v>
      </c>
      <c r="AD11">
        <v>1.6247069999999999</v>
      </c>
      <c r="AE11">
        <v>1.6545799999999999</v>
      </c>
      <c r="AF11">
        <v>1.6855150000000001</v>
      </c>
      <c r="AG11">
        <v>1.716235</v>
      </c>
      <c r="AH11">
        <v>1.750154</v>
      </c>
      <c r="AI11" s="31">
        <v>1.4E-2</v>
      </c>
    </row>
    <row r="12" spans="2:35">
      <c r="B12" t="s">
        <v>111</v>
      </c>
      <c r="C12" t="s">
        <v>1401</v>
      </c>
      <c r="D12" t="s">
        <v>3956</v>
      </c>
      <c r="E12" t="s">
        <v>3955</v>
      </c>
      <c r="F12" t="s">
        <v>387</v>
      </c>
      <c r="H12">
        <v>6.1778040000000001</v>
      </c>
      <c r="I12">
        <v>9.0846839999999993</v>
      </c>
      <c r="J12">
        <v>13.92764</v>
      </c>
      <c r="K12">
        <v>19.019038999999999</v>
      </c>
      <c r="L12">
        <v>24.548573999999999</v>
      </c>
      <c r="M12">
        <v>30.094479</v>
      </c>
      <c r="N12">
        <v>35.671551000000001</v>
      </c>
      <c r="O12">
        <v>40.503078000000002</v>
      </c>
      <c r="P12">
        <v>47.040320999999999</v>
      </c>
      <c r="Q12">
        <v>53.489758000000002</v>
      </c>
      <c r="R12">
        <v>60.544144000000003</v>
      </c>
      <c r="S12">
        <v>68.558166999999997</v>
      </c>
      <c r="T12">
        <v>76.790947000000003</v>
      </c>
      <c r="U12">
        <v>85.409721000000005</v>
      </c>
      <c r="V12">
        <v>94.238692999999998</v>
      </c>
      <c r="W12">
        <v>103.86404400000001</v>
      </c>
      <c r="X12">
        <v>113.36642500000001</v>
      </c>
      <c r="Y12">
        <v>122.791656</v>
      </c>
      <c r="Z12">
        <v>131.89782700000001</v>
      </c>
      <c r="AA12">
        <v>140.756989</v>
      </c>
      <c r="AB12">
        <v>149.25915499999999</v>
      </c>
      <c r="AC12">
        <v>157.369812</v>
      </c>
      <c r="AD12">
        <v>165.133118</v>
      </c>
      <c r="AE12">
        <v>172.6362</v>
      </c>
      <c r="AF12">
        <v>179.83914200000001</v>
      </c>
      <c r="AG12">
        <v>186.67259200000001</v>
      </c>
      <c r="AH12">
        <v>193.37832599999999</v>
      </c>
      <c r="AI12" s="31">
        <v>0.14199999999999999</v>
      </c>
    </row>
    <row r="13" spans="2:35">
      <c r="B13" t="s">
        <v>111</v>
      </c>
      <c r="C13" t="s">
        <v>1399</v>
      </c>
      <c r="D13" t="s">
        <v>3954</v>
      </c>
      <c r="E13" t="s">
        <v>3953</v>
      </c>
      <c r="F13" t="s">
        <v>387</v>
      </c>
      <c r="H13">
        <v>31.292504999999998</v>
      </c>
      <c r="I13">
        <v>48.648594000000003</v>
      </c>
      <c r="J13">
        <v>71.785942000000006</v>
      </c>
      <c r="K13">
        <v>100.158844</v>
      </c>
      <c r="L13">
        <v>131.608215</v>
      </c>
      <c r="M13">
        <v>165.374954</v>
      </c>
      <c r="N13">
        <v>201.30834999999999</v>
      </c>
      <c r="O13">
        <v>231.05517599999999</v>
      </c>
      <c r="P13">
        <v>259.93966699999999</v>
      </c>
      <c r="Q13">
        <v>285.20742799999999</v>
      </c>
      <c r="R13">
        <v>310.31802399999998</v>
      </c>
      <c r="S13">
        <v>334.06652800000001</v>
      </c>
      <c r="T13">
        <v>357.11611900000003</v>
      </c>
      <c r="U13">
        <v>379.46163899999999</v>
      </c>
      <c r="V13">
        <v>400.94500699999998</v>
      </c>
      <c r="W13">
        <v>421.10592700000001</v>
      </c>
      <c r="X13">
        <v>440.173676</v>
      </c>
      <c r="Y13">
        <v>457.85394300000002</v>
      </c>
      <c r="Z13">
        <v>473.92501800000002</v>
      </c>
      <c r="AA13">
        <v>488.38305700000001</v>
      </c>
      <c r="AB13">
        <v>501.36956800000002</v>
      </c>
      <c r="AC13">
        <v>512.808044</v>
      </c>
      <c r="AD13">
        <v>523.61523399999999</v>
      </c>
      <c r="AE13">
        <v>534.02160600000002</v>
      </c>
      <c r="AF13">
        <v>544.03112799999997</v>
      </c>
      <c r="AG13">
        <v>553.47430399999996</v>
      </c>
      <c r="AH13">
        <v>562.88214100000005</v>
      </c>
      <c r="AI13" s="31">
        <v>0.11799999999999999</v>
      </c>
    </row>
    <row r="14" spans="2:35">
      <c r="B14" t="s">
        <v>115</v>
      </c>
      <c r="C14" t="s">
        <v>1397</v>
      </c>
      <c r="D14" t="s">
        <v>3952</v>
      </c>
      <c r="E14" t="s">
        <v>3951</v>
      </c>
      <c r="F14" t="s">
        <v>387</v>
      </c>
      <c r="H14">
        <v>10.633583</v>
      </c>
      <c r="I14">
        <v>13.339897000000001</v>
      </c>
      <c r="J14">
        <v>18.432396000000001</v>
      </c>
      <c r="K14">
        <v>21.875589000000002</v>
      </c>
      <c r="L14">
        <v>26.271076000000001</v>
      </c>
      <c r="M14">
        <v>29.792583</v>
      </c>
      <c r="N14">
        <v>33.179554000000003</v>
      </c>
      <c r="O14">
        <v>36.715026999999999</v>
      </c>
      <c r="P14">
        <v>39.966118000000002</v>
      </c>
      <c r="Q14">
        <v>42.580894000000001</v>
      </c>
      <c r="R14">
        <v>45.103110999999998</v>
      </c>
      <c r="S14">
        <v>47.229075999999999</v>
      </c>
      <c r="T14">
        <v>49.279499000000001</v>
      </c>
      <c r="U14">
        <v>51.461120999999999</v>
      </c>
      <c r="V14">
        <v>53.598185999999998</v>
      </c>
      <c r="W14">
        <v>55.719692000000002</v>
      </c>
      <c r="X14">
        <v>57.804183999999999</v>
      </c>
      <c r="Y14">
        <v>59.694243999999998</v>
      </c>
      <c r="Z14">
        <v>61.461081999999998</v>
      </c>
      <c r="AA14">
        <v>63.201473</v>
      </c>
      <c r="AB14">
        <v>64.800933999999998</v>
      </c>
      <c r="AC14">
        <v>66.773398999999998</v>
      </c>
      <c r="AD14">
        <v>67.908828999999997</v>
      </c>
      <c r="AE14">
        <v>68.842262000000005</v>
      </c>
      <c r="AF14">
        <v>69.893523999999999</v>
      </c>
      <c r="AG14">
        <v>70.781577999999996</v>
      </c>
      <c r="AH14">
        <v>71.631180000000001</v>
      </c>
      <c r="AI14" s="31">
        <v>7.5999999999999998E-2</v>
      </c>
    </row>
    <row r="15" spans="2:35">
      <c r="B15" t="s">
        <v>115</v>
      </c>
      <c r="C15" t="s">
        <v>1394</v>
      </c>
      <c r="D15" t="s">
        <v>3950</v>
      </c>
      <c r="E15" t="s">
        <v>3949</v>
      </c>
      <c r="F15" t="s">
        <v>387</v>
      </c>
      <c r="H15">
        <v>3.8085260000000001</v>
      </c>
      <c r="I15">
        <v>5.8327059999999999</v>
      </c>
      <c r="J15">
        <v>8.502383</v>
      </c>
      <c r="K15">
        <v>11.829996</v>
      </c>
      <c r="L15">
        <v>14.920923999999999</v>
      </c>
      <c r="M15">
        <v>17.793755999999998</v>
      </c>
      <c r="N15">
        <v>22.150753000000002</v>
      </c>
      <c r="O15">
        <v>26.188922999999999</v>
      </c>
      <c r="P15">
        <v>30.387373</v>
      </c>
      <c r="Q15">
        <v>34.157257000000001</v>
      </c>
      <c r="R15">
        <v>37.864994000000003</v>
      </c>
      <c r="S15">
        <v>41.345230000000001</v>
      </c>
      <c r="T15">
        <v>45.296436</v>
      </c>
      <c r="U15">
        <v>49.195976000000002</v>
      </c>
      <c r="V15">
        <v>53.255538999999999</v>
      </c>
      <c r="W15">
        <v>57.177470999999997</v>
      </c>
      <c r="X15">
        <v>60.988723999999998</v>
      </c>
      <c r="Y15">
        <v>64.584395999999998</v>
      </c>
      <c r="Z15">
        <v>68.039787000000004</v>
      </c>
      <c r="AA15">
        <v>71.431061</v>
      </c>
      <c r="AB15">
        <v>74.838172999999998</v>
      </c>
      <c r="AC15">
        <v>78.024315000000001</v>
      </c>
      <c r="AD15">
        <v>80.820969000000005</v>
      </c>
      <c r="AE15">
        <v>83.097442999999998</v>
      </c>
      <c r="AF15">
        <v>85.181258999999997</v>
      </c>
      <c r="AG15">
        <v>87.537375999999995</v>
      </c>
      <c r="AH15">
        <v>89.682907</v>
      </c>
      <c r="AI15" s="31">
        <v>0.129</v>
      </c>
    </row>
    <row r="16" spans="2:35">
      <c r="B16" t="s">
        <v>114</v>
      </c>
      <c r="C16" t="s">
        <v>363</v>
      </c>
      <c r="D16" t="s">
        <v>3948</v>
      </c>
      <c r="E16" t="s">
        <v>3947</v>
      </c>
      <c r="F16" t="s">
        <v>387</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t="s">
        <v>117</v>
      </c>
    </row>
    <row r="17" spans="2:35">
      <c r="B17" t="s">
        <v>113</v>
      </c>
      <c r="C17" t="s">
        <v>364</v>
      </c>
      <c r="D17" t="s">
        <v>3946</v>
      </c>
      <c r="E17" t="s">
        <v>3945</v>
      </c>
      <c r="F17" t="s">
        <v>387</v>
      </c>
      <c r="H17">
        <v>91.694725000000005</v>
      </c>
      <c r="I17">
        <v>105.665741</v>
      </c>
      <c r="J17">
        <v>121.643951</v>
      </c>
      <c r="K17">
        <v>135.89033499999999</v>
      </c>
      <c r="L17">
        <v>150.46112099999999</v>
      </c>
      <c r="M17">
        <v>165.13211100000001</v>
      </c>
      <c r="N17">
        <v>180.451401</v>
      </c>
      <c r="O17">
        <v>196.437881</v>
      </c>
      <c r="P17">
        <v>211.650238</v>
      </c>
      <c r="Q17">
        <v>227.48126199999999</v>
      </c>
      <c r="R17">
        <v>242.92744400000001</v>
      </c>
      <c r="S17">
        <v>258.26385499999998</v>
      </c>
      <c r="T17">
        <v>273.475708</v>
      </c>
      <c r="U17">
        <v>288.36425800000001</v>
      </c>
      <c r="V17">
        <v>303.19842499999999</v>
      </c>
      <c r="W17">
        <v>317.39855999999997</v>
      </c>
      <c r="X17">
        <v>331.82507299999997</v>
      </c>
      <c r="Y17">
        <v>344.76446499999997</v>
      </c>
      <c r="Z17">
        <v>357.03595000000001</v>
      </c>
      <c r="AA17">
        <v>368.82076999999998</v>
      </c>
      <c r="AB17">
        <v>379.44000199999999</v>
      </c>
      <c r="AC17">
        <v>390.11138899999997</v>
      </c>
      <c r="AD17">
        <v>399.33251999999999</v>
      </c>
      <c r="AE17">
        <v>408.77862499999998</v>
      </c>
      <c r="AF17">
        <v>418.97531099999998</v>
      </c>
      <c r="AG17">
        <v>429.12570199999999</v>
      </c>
      <c r="AH17">
        <v>439.02261399999998</v>
      </c>
      <c r="AI17" s="31">
        <v>6.2E-2</v>
      </c>
    </row>
    <row r="18" spans="2:35">
      <c r="B18" t="s">
        <v>112</v>
      </c>
      <c r="C18" t="s">
        <v>365</v>
      </c>
      <c r="D18" t="s">
        <v>3944</v>
      </c>
      <c r="E18" t="s">
        <v>3943</v>
      </c>
      <c r="F18" t="s">
        <v>387</v>
      </c>
      <c r="H18">
        <v>9.3828999999999996E-2</v>
      </c>
      <c r="I18">
        <v>8.5961999999999997E-2</v>
      </c>
      <c r="J18">
        <v>7.8173000000000006E-2</v>
      </c>
      <c r="K18">
        <v>7.0470000000000005E-2</v>
      </c>
      <c r="L18">
        <v>6.3085000000000002E-2</v>
      </c>
      <c r="M18">
        <v>5.6184999999999999E-2</v>
      </c>
      <c r="N18">
        <v>5.0345000000000001E-2</v>
      </c>
      <c r="O18">
        <v>4.4814E-2</v>
      </c>
      <c r="P18">
        <v>3.9855000000000002E-2</v>
      </c>
      <c r="Q18">
        <v>3.5506000000000003E-2</v>
      </c>
      <c r="R18">
        <v>3.1813000000000001E-2</v>
      </c>
      <c r="S18">
        <v>2.8652E-2</v>
      </c>
      <c r="T18">
        <v>2.5992999999999999E-2</v>
      </c>
      <c r="U18">
        <v>2.4108999999999998E-2</v>
      </c>
      <c r="V18">
        <v>2.2449E-2</v>
      </c>
      <c r="W18">
        <v>2.1033E-2</v>
      </c>
      <c r="X18">
        <v>1.9747000000000001E-2</v>
      </c>
      <c r="Y18">
        <v>1.8540000000000001E-2</v>
      </c>
      <c r="Z18">
        <v>1.7406000000000001E-2</v>
      </c>
      <c r="AA18">
        <v>1.6341999999999999E-2</v>
      </c>
      <c r="AB18">
        <v>1.5344E-2</v>
      </c>
      <c r="AC18">
        <v>1.4406E-2</v>
      </c>
      <c r="AD18">
        <v>1.3526E-2</v>
      </c>
      <c r="AE18">
        <v>1.2699E-2</v>
      </c>
      <c r="AF18">
        <v>1.1923E-2</v>
      </c>
      <c r="AG18">
        <v>1.1195E-2</v>
      </c>
      <c r="AH18">
        <v>1.0511E-2</v>
      </c>
      <c r="AI18" s="31">
        <v>-8.1000000000000003E-2</v>
      </c>
    </row>
    <row r="19" spans="2:35">
      <c r="B19" t="s">
        <v>112</v>
      </c>
      <c r="C19" t="s">
        <v>366</v>
      </c>
      <c r="D19" t="s">
        <v>3942</v>
      </c>
      <c r="E19" t="s">
        <v>3941</v>
      </c>
      <c r="F19" t="s">
        <v>387</v>
      </c>
      <c r="H19">
        <v>1.9400000000000001E-2</v>
      </c>
      <c r="I19">
        <v>1.8200999999999998E-2</v>
      </c>
      <c r="J19">
        <v>1.7076000000000001E-2</v>
      </c>
      <c r="K19">
        <v>1.6021000000000001E-2</v>
      </c>
      <c r="L19">
        <v>1.5032E-2</v>
      </c>
      <c r="M19">
        <v>1.4102999999999999E-2</v>
      </c>
      <c r="N19">
        <v>1.3233E-2</v>
      </c>
      <c r="O19">
        <v>1.2416E-2</v>
      </c>
      <c r="P19">
        <v>1.1650000000000001E-2</v>
      </c>
      <c r="Q19">
        <v>1.0931E-2</v>
      </c>
      <c r="R19">
        <v>1.0257E-2</v>
      </c>
      <c r="S19">
        <v>9.6240000000000006E-3</v>
      </c>
      <c r="T19">
        <v>9.0310000000000008E-3</v>
      </c>
      <c r="U19">
        <v>8.4740000000000006E-3</v>
      </c>
      <c r="V19">
        <v>7.9520000000000007E-3</v>
      </c>
      <c r="W19">
        <v>7.4619999999999999E-3</v>
      </c>
      <c r="X19">
        <v>7.0020000000000004E-3</v>
      </c>
      <c r="Y19">
        <v>6.5709999999999996E-3</v>
      </c>
      <c r="Z19">
        <v>6.1659999999999996E-3</v>
      </c>
      <c r="AA19">
        <v>5.7869999999999996E-3</v>
      </c>
      <c r="AB19">
        <v>5.4299999999999999E-3</v>
      </c>
      <c r="AC19">
        <v>5.0959999999999998E-3</v>
      </c>
      <c r="AD19">
        <v>4.7829999999999999E-3</v>
      </c>
      <c r="AE19">
        <v>4.4889999999999999E-3</v>
      </c>
      <c r="AF19">
        <v>4.2119999999999996E-3</v>
      </c>
      <c r="AG19">
        <v>3.954E-3</v>
      </c>
      <c r="AH19">
        <v>3.7100000000000002E-3</v>
      </c>
      <c r="AI19" s="31">
        <v>-6.2E-2</v>
      </c>
    </row>
    <row r="20" spans="2:35">
      <c r="B20" t="s">
        <v>257</v>
      </c>
      <c r="C20" t="s">
        <v>367</v>
      </c>
      <c r="D20" t="s">
        <v>3940</v>
      </c>
      <c r="E20" t="s">
        <v>3939</v>
      </c>
      <c r="F20" t="s">
        <v>387</v>
      </c>
      <c r="H20">
        <v>5.5437E-2</v>
      </c>
      <c r="I20">
        <v>5.0043999999999998E-2</v>
      </c>
      <c r="J20">
        <v>4.6110999999999999E-2</v>
      </c>
      <c r="K20">
        <v>4.3152999999999997E-2</v>
      </c>
      <c r="L20">
        <v>4.0490999999999999E-2</v>
      </c>
      <c r="M20">
        <v>3.7994E-2</v>
      </c>
      <c r="N20">
        <v>3.5651000000000002E-2</v>
      </c>
      <c r="O20">
        <v>3.3453999999999998E-2</v>
      </c>
      <c r="P20">
        <v>3.1392000000000003E-2</v>
      </c>
      <c r="Q20">
        <v>2.9457000000000001E-2</v>
      </c>
      <c r="R20">
        <v>2.7642E-2</v>
      </c>
      <c r="S20">
        <v>2.5940000000000001E-2</v>
      </c>
      <c r="T20">
        <v>2.4341999999999999E-2</v>
      </c>
      <c r="U20">
        <v>2.2842999999999999E-2</v>
      </c>
      <c r="V20">
        <v>2.1437000000000001E-2</v>
      </c>
      <c r="W20">
        <v>2.0118E-2</v>
      </c>
      <c r="X20">
        <v>1.8880000000000001E-2</v>
      </c>
      <c r="Y20">
        <v>1.7718000000000001E-2</v>
      </c>
      <c r="Z20">
        <v>1.6628E-2</v>
      </c>
      <c r="AA20">
        <v>1.5606E-2</v>
      </c>
      <c r="AB20">
        <v>1.4645999999999999E-2</v>
      </c>
      <c r="AC20">
        <v>1.3746E-2</v>
      </c>
      <c r="AD20">
        <v>1.2900999999999999E-2</v>
      </c>
      <c r="AE20">
        <v>1.2108000000000001E-2</v>
      </c>
      <c r="AF20">
        <v>1.1364000000000001E-2</v>
      </c>
      <c r="AG20">
        <v>1.0666E-2</v>
      </c>
      <c r="AH20">
        <v>1.0011000000000001E-2</v>
      </c>
      <c r="AI20" s="31">
        <v>-6.4000000000000001E-2</v>
      </c>
    </row>
    <row r="21" spans="2:35">
      <c r="B21" t="s">
        <v>257</v>
      </c>
      <c r="C21" t="s">
        <v>368</v>
      </c>
      <c r="D21" t="s">
        <v>3938</v>
      </c>
      <c r="E21" t="s">
        <v>3937</v>
      </c>
      <c r="F21" t="s">
        <v>387</v>
      </c>
      <c r="H21">
        <v>6.2593999999999997E-2</v>
      </c>
      <c r="I21">
        <v>5.7144E-2</v>
      </c>
      <c r="J21">
        <v>5.2768000000000002E-2</v>
      </c>
      <c r="K21">
        <v>4.9305000000000002E-2</v>
      </c>
      <c r="L21">
        <v>4.6163000000000003E-2</v>
      </c>
      <c r="M21">
        <v>4.3321999999999999E-2</v>
      </c>
      <c r="N21">
        <v>4.0656999999999999E-2</v>
      </c>
      <c r="O21">
        <v>3.8156000000000002E-2</v>
      </c>
      <c r="P21">
        <v>3.5809000000000001E-2</v>
      </c>
      <c r="Q21">
        <v>3.3605999999999997E-2</v>
      </c>
      <c r="R21">
        <v>3.1539999999999999E-2</v>
      </c>
      <c r="S21">
        <v>2.9600999999999999E-2</v>
      </c>
      <c r="T21">
        <v>2.7782000000000001E-2</v>
      </c>
      <c r="U21">
        <v>2.6074E-2</v>
      </c>
      <c r="V21">
        <v>2.4472000000000001E-2</v>
      </c>
      <c r="W21">
        <v>2.2969E-2</v>
      </c>
      <c r="X21">
        <v>2.1558000000000001E-2</v>
      </c>
      <c r="Y21">
        <v>2.0233999999999999E-2</v>
      </c>
      <c r="Z21">
        <v>1.8991000000000001E-2</v>
      </c>
      <c r="AA21">
        <v>1.7825000000000001E-2</v>
      </c>
      <c r="AB21">
        <v>1.6730999999999999E-2</v>
      </c>
      <c r="AC21">
        <v>1.5703999999999999E-2</v>
      </c>
      <c r="AD21">
        <v>1.4741000000000001E-2</v>
      </c>
      <c r="AE21">
        <v>1.3835999999999999E-2</v>
      </c>
      <c r="AF21">
        <v>1.2988E-2</v>
      </c>
      <c r="AG21">
        <v>1.2191E-2</v>
      </c>
      <c r="AH21">
        <v>1.1443E-2</v>
      </c>
      <c r="AI21" s="31">
        <v>-6.3E-2</v>
      </c>
    </row>
    <row r="22" spans="2:35">
      <c r="B22" t="s">
        <v>258</v>
      </c>
      <c r="C22" t="s">
        <v>369</v>
      </c>
      <c r="D22" t="s">
        <v>3936</v>
      </c>
      <c r="E22" t="s">
        <v>3935</v>
      </c>
      <c r="F22" t="s">
        <v>387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117</v>
      </c>
    </row>
    <row r="23" spans="2:35">
      <c r="B23" t="s">
        <v>258</v>
      </c>
      <c r="C23" t="s">
        <v>370</v>
      </c>
      <c r="D23" t="s">
        <v>3934</v>
      </c>
      <c r="E23" t="s">
        <v>3933</v>
      </c>
      <c r="F23" t="s">
        <v>387</v>
      </c>
      <c r="H23">
        <v>0.220414</v>
      </c>
      <c r="I23">
        <v>0.23516899999999999</v>
      </c>
      <c r="J23">
        <v>0.24113399999999999</v>
      </c>
      <c r="K23">
        <v>0.24398700000000001</v>
      </c>
      <c r="L23">
        <v>0.243755</v>
      </c>
      <c r="M23">
        <v>0.23689399999999999</v>
      </c>
      <c r="N23">
        <v>0.23035</v>
      </c>
      <c r="O23">
        <v>0.22249099999999999</v>
      </c>
      <c r="P23">
        <v>0.21315100000000001</v>
      </c>
      <c r="Q23">
        <v>0.20141200000000001</v>
      </c>
      <c r="R23">
        <v>0.18939500000000001</v>
      </c>
      <c r="S23">
        <v>0.17722199999999999</v>
      </c>
      <c r="T23">
        <v>0.16473399999999999</v>
      </c>
      <c r="U23">
        <v>0.15212700000000001</v>
      </c>
      <c r="V23">
        <v>0.139538</v>
      </c>
      <c r="W23">
        <v>0.12745500000000001</v>
      </c>
      <c r="X23">
        <v>0.115909</v>
      </c>
      <c r="Y23">
        <v>0.10467899999999999</v>
      </c>
      <c r="Z23">
        <v>9.5548999999999995E-2</v>
      </c>
      <c r="AA23">
        <v>8.7376999999999996E-2</v>
      </c>
      <c r="AB23">
        <v>8.0935999999999994E-2</v>
      </c>
      <c r="AC23">
        <v>7.4652999999999997E-2</v>
      </c>
      <c r="AD23">
        <v>6.9734000000000004E-2</v>
      </c>
      <c r="AE23">
        <v>6.6073000000000007E-2</v>
      </c>
      <c r="AF23">
        <v>6.3857999999999998E-2</v>
      </c>
      <c r="AG23">
        <v>6.2052000000000003E-2</v>
      </c>
      <c r="AH23">
        <v>6.0727000000000003E-2</v>
      </c>
      <c r="AI23" s="31">
        <v>-4.8000000000000001E-2</v>
      </c>
    </row>
    <row r="24" spans="2:35">
      <c r="C24" t="s">
        <v>579</v>
      </c>
    </row>
    <row r="25" spans="2:35">
      <c r="C25" t="s">
        <v>3932</v>
      </c>
      <c r="D25" t="s">
        <v>3931</v>
      </c>
      <c r="E25" t="s">
        <v>3930</v>
      </c>
      <c r="F25" t="s">
        <v>387</v>
      </c>
      <c r="H25">
        <v>3013.7297359999998</v>
      </c>
      <c r="I25">
        <v>3058.3715820000002</v>
      </c>
      <c r="J25">
        <v>3083.451172</v>
      </c>
      <c r="K25">
        <v>3100.0170899999998</v>
      </c>
      <c r="L25">
        <v>3112.2297359999998</v>
      </c>
      <c r="M25">
        <v>3125.576172</v>
      </c>
      <c r="N25">
        <v>3140.1669919999999</v>
      </c>
      <c r="O25">
        <v>3154.0073240000002</v>
      </c>
      <c r="P25">
        <v>3161.4350589999999</v>
      </c>
      <c r="Q25">
        <v>3167.1464839999999</v>
      </c>
      <c r="R25">
        <v>3171.9169919999999</v>
      </c>
      <c r="S25">
        <v>3174.3566890000002</v>
      </c>
      <c r="T25">
        <v>3179.41626</v>
      </c>
      <c r="U25">
        <v>3189.5078119999998</v>
      </c>
      <c r="V25">
        <v>3202.960693</v>
      </c>
      <c r="W25">
        <v>3216.1186520000001</v>
      </c>
      <c r="X25">
        <v>3230.5129390000002</v>
      </c>
      <c r="Y25">
        <v>3244.2316890000002</v>
      </c>
      <c r="Z25">
        <v>3257.2741700000001</v>
      </c>
      <c r="AA25">
        <v>3268.8366700000001</v>
      </c>
      <c r="AB25">
        <v>3279.341797</v>
      </c>
      <c r="AC25">
        <v>3288.4411620000001</v>
      </c>
      <c r="AD25">
        <v>3297.5173340000001</v>
      </c>
      <c r="AE25">
        <v>3308.5703119999998</v>
      </c>
      <c r="AF25">
        <v>3321.3464359999998</v>
      </c>
      <c r="AG25">
        <v>3335.046875</v>
      </c>
      <c r="AH25">
        <v>3349.8640140000002</v>
      </c>
      <c r="AI25" s="31">
        <v>4.0000000000000001E-3</v>
      </c>
    </row>
    <row r="26" spans="2:35">
      <c r="C26" t="s">
        <v>3929</v>
      </c>
      <c r="D26" t="s">
        <v>3928</v>
      </c>
      <c r="E26" t="s">
        <v>3927</v>
      </c>
      <c r="F26" t="s">
        <v>3926</v>
      </c>
      <c r="H26">
        <v>12.632863</v>
      </c>
      <c r="I26">
        <v>12.6976</v>
      </c>
      <c r="J26">
        <v>12.719298</v>
      </c>
      <c r="K26">
        <v>12.726963</v>
      </c>
      <c r="L26">
        <v>12.719049</v>
      </c>
      <c r="M26">
        <v>12.714320000000001</v>
      </c>
      <c r="N26">
        <v>12.712285</v>
      </c>
      <c r="O26">
        <v>12.708377</v>
      </c>
      <c r="P26">
        <v>12.684131000000001</v>
      </c>
      <c r="Q26">
        <v>12.660517</v>
      </c>
      <c r="R26">
        <v>12.639695</v>
      </c>
      <c r="S26">
        <v>12.614544</v>
      </c>
      <c r="T26">
        <v>12.597507999999999</v>
      </c>
      <c r="U26">
        <v>12.595806</v>
      </c>
      <c r="V26">
        <v>12.604687</v>
      </c>
      <c r="W26">
        <v>12.617718999999999</v>
      </c>
      <c r="X26">
        <v>12.635503</v>
      </c>
      <c r="Y26">
        <v>12.655177</v>
      </c>
      <c r="Z26">
        <v>12.675048</v>
      </c>
      <c r="AA26">
        <v>12.694362999999999</v>
      </c>
      <c r="AB26">
        <v>12.712054999999999</v>
      </c>
      <c r="AC26">
        <v>12.726727</v>
      </c>
      <c r="AD26">
        <v>12.743015</v>
      </c>
      <c r="AE26">
        <v>12.765904000000001</v>
      </c>
      <c r="AF26">
        <v>12.793575000000001</v>
      </c>
      <c r="AG26">
        <v>12.824799000000001</v>
      </c>
      <c r="AH26">
        <v>12.861134</v>
      </c>
      <c r="AI26" s="31">
        <v>1E-3</v>
      </c>
    </row>
    <row r="27" spans="2:35">
      <c r="C27" t="s">
        <v>3925</v>
      </c>
      <c r="D27" t="s">
        <v>3924</v>
      </c>
      <c r="E27" t="s">
        <v>3923</v>
      </c>
      <c r="F27" t="s">
        <v>416</v>
      </c>
      <c r="H27">
        <v>238.56268299999999</v>
      </c>
      <c r="I27">
        <v>240.862167</v>
      </c>
      <c r="J27">
        <v>242.42304999999999</v>
      </c>
      <c r="K27">
        <v>243.57870500000001</v>
      </c>
      <c r="L27">
        <v>244.69046</v>
      </c>
      <c r="M27">
        <v>245.83116100000001</v>
      </c>
      <c r="N27">
        <v>247.01829499999999</v>
      </c>
      <c r="O27">
        <v>248.183334</v>
      </c>
      <c r="P27">
        <v>249.24333200000001</v>
      </c>
      <c r="Q27">
        <v>250.15933200000001</v>
      </c>
      <c r="R27">
        <v>250.94885300000001</v>
      </c>
      <c r="S27">
        <v>251.64260899999999</v>
      </c>
      <c r="T27">
        <v>252.38453699999999</v>
      </c>
      <c r="U27">
        <v>253.21983299999999</v>
      </c>
      <c r="V27">
        <v>254.10871900000001</v>
      </c>
      <c r="W27">
        <v>254.889084</v>
      </c>
      <c r="X27">
        <v>255.66952499999999</v>
      </c>
      <c r="Y27">
        <v>256.35607900000002</v>
      </c>
      <c r="Z27">
        <v>256.98318499999999</v>
      </c>
      <c r="AA27">
        <v>257.50302099999999</v>
      </c>
      <c r="AB27">
        <v>257.97100799999998</v>
      </c>
      <c r="AC27">
        <v>258.38861100000003</v>
      </c>
      <c r="AD27">
        <v>258.77056900000002</v>
      </c>
      <c r="AE27">
        <v>259.17242399999998</v>
      </c>
      <c r="AF27">
        <v>259.61050399999999</v>
      </c>
      <c r="AG27">
        <v>260.04672199999999</v>
      </c>
      <c r="AH27">
        <v>260.46414199999998</v>
      </c>
      <c r="AI27" s="31">
        <v>3.0000000000000001E-3</v>
      </c>
    </row>
    <row r="28" spans="2:35">
      <c r="C28" t="s">
        <v>586</v>
      </c>
    </row>
    <row r="29" spans="2:35">
      <c r="C29" t="s">
        <v>3922</v>
      </c>
      <c r="D29" t="s">
        <v>3921</v>
      </c>
      <c r="E29" t="s">
        <v>3920</v>
      </c>
      <c r="F29" t="s">
        <v>452</v>
      </c>
      <c r="H29">
        <v>11.072175</v>
      </c>
      <c r="I29">
        <v>10.989207</v>
      </c>
      <c r="J29">
        <v>10.772219</v>
      </c>
      <c r="K29">
        <v>10.595737</v>
      </c>
      <c r="L29">
        <v>10.474872</v>
      </c>
      <c r="M29">
        <v>10.493524000000001</v>
      </c>
      <c r="N29">
        <v>10.551238</v>
      </c>
      <c r="O29">
        <v>10.61871</v>
      </c>
      <c r="P29">
        <v>10.598647</v>
      </c>
      <c r="Q29">
        <v>10.602679</v>
      </c>
      <c r="R29">
        <v>10.855601</v>
      </c>
      <c r="S29">
        <v>11.030699</v>
      </c>
      <c r="T29">
        <v>11.128284000000001</v>
      </c>
      <c r="U29">
        <v>11.184184999999999</v>
      </c>
      <c r="V29">
        <v>11.276982</v>
      </c>
      <c r="W29">
        <v>11.385999</v>
      </c>
      <c r="X29">
        <v>11.392191</v>
      </c>
      <c r="Y29">
        <v>11.389072000000001</v>
      </c>
      <c r="Z29">
        <v>11.348050000000001</v>
      </c>
      <c r="AA29">
        <v>11.420823</v>
      </c>
      <c r="AB29">
        <v>11.421824000000001</v>
      </c>
      <c r="AC29">
        <v>11.530760000000001</v>
      </c>
      <c r="AD29">
        <v>11.544772999999999</v>
      </c>
      <c r="AE29">
        <v>11.516560999999999</v>
      </c>
      <c r="AF29">
        <v>11.558902</v>
      </c>
      <c r="AG29">
        <v>11.613436</v>
      </c>
      <c r="AH29">
        <v>11.918524</v>
      </c>
      <c r="AI29" s="31">
        <v>3.0000000000000001E-3</v>
      </c>
    </row>
    <row r="30" spans="2:35">
      <c r="C30" t="s">
        <v>3919</v>
      </c>
      <c r="D30" t="s">
        <v>3918</v>
      </c>
      <c r="E30" t="s">
        <v>3917</v>
      </c>
      <c r="F30" t="s">
        <v>414</v>
      </c>
      <c r="H30">
        <v>22.698512999999998</v>
      </c>
      <c r="I30">
        <v>23.025316</v>
      </c>
      <c r="J30">
        <v>23.390398000000001</v>
      </c>
      <c r="K30">
        <v>23.807403999999998</v>
      </c>
      <c r="L30">
        <v>24.270475000000001</v>
      </c>
      <c r="M30">
        <v>24.807924</v>
      </c>
      <c r="N30">
        <v>25.406624000000001</v>
      </c>
      <c r="O30">
        <v>25.966094999999999</v>
      </c>
      <c r="P30">
        <v>26.522801999999999</v>
      </c>
      <c r="Q30">
        <v>27.060917</v>
      </c>
      <c r="R30">
        <v>27.532969999999999</v>
      </c>
      <c r="S30">
        <v>28.000629</v>
      </c>
      <c r="T30">
        <v>28.546972</v>
      </c>
      <c r="U30">
        <v>29.123341</v>
      </c>
      <c r="V30">
        <v>29.667120000000001</v>
      </c>
      <c r="W30">
        <v>30.192613999999999</v>
      </c>
      <c r="X30">
        <v>30.662116999999999</v>
      </c>
      <c r="Y30">
        <v>31.090136000000001</v>
      </c>
      <c r="Z30">
        <v>31.555025000000001</v>
      </c>
      <c r="AA30">
        <v>31.897570000000002</v>
      </c>
      <c r="AB30">
        <v>32.255496999999998</v>
      </c>
      <c r="AC30">
        <v>32.578896</v>
      </c>
      <c r="AD30">
        <v>32.905796000000002</v>
      </c>
      <c r="AE30">
        <v>33.153111000000003</v>
      </c>
      <c r="AF30">
        <v>33.536633000000002</v>
      </c>
      <c r="AG30">
        <v>33.834964999999997</v>
      </c>
      <c r="AH30">
        <v>34.03566</v>
      </c>
      <c r="AI30" s="31">
        <v>1.6E-2</v>
      </c>
    </row>
    <row r="31" spans="2:35">
      <c r="C31" t="s">
        <v>3916</v>
      </c>
      <c r="D31" t="s">
        <v>3915</v>
      </c>
      <c r="E31" t="s">
        <v>3914</v>
      </c>
      <c r="F31" t="s">
        <v>3913</v>
      </c>
      <c r="H31">
        <v>8.0318509999999996</v>
      </c>
      <c r="I31">
        <v>7.8498109999999999</v>
      </c>
      <c r="J31">
        <v>7.5682790000000004</v>
      </c>
      <c r="K31">
        <v>7.3078370000000001</v>
      </c>
      <c r="L31">
        <v>7.0830419999999998</v>
      </c>
      <c r="M31">
        <v>6.9407300000000003</v>
      </c>
      <c r="N31">
        <v>6.8145769999999999</v>
      </c>
      <c r="O31">
        <v>6.7097100000000003</v>
      </c>
      <c r="P31">
        <v>6.5560859999999996</v>
      </c>
      <c r="Q31">
        <v>6.4295309999999999</v>
      </c>
      <c r="R31">
        <v>6.472245</v>
      </c>
      <c r="S31">
        <v>6.4681819999999997</v>
      </c>
      <c r="T31">
        <v>6.4015500000000003</v>
      </c>
      <c r="U31">
        <v>6.3077629999999996</v>
      </c>
      <c r="V31">
        <v>6.2451809999999996</v>
      </c>
      <c r="W31">
        <v>6.1970539999999996</v>
      </c>
      <c r="X31">
        <v>6.1066580000000004</v>
      </c>
      <c r="Y31">
        <v>6.0225270000000002</v>
      </c>
      <c r="Z31">
        <v>5.9137110000000002</v>
      </c>
      <c r="AA31">
        <v>5.89039</v>
      </c>
      <c r="AB31">
        <v>5.8259540000000003</v>
      </c>
      <c r="AC31">
        <v>5.8250549999999999</v>
      </c>
      <c r="AD31">
        <v>5.7753379999999996</v>
      </c>
      <c r="AE31">
        <v>5.7186820000000003</v>
      </c>
      <c r="AF31">
        <v>5.6746720000000002</v>
      </c>
      <c r="AG31">
        <v>5.6517109999999997</v>
      </c>
      <c r="AH31">
        <v>5.7658420000000001</v>
      </c>
      <c r="AI31" s="31">
        <v>-1.2999999999999999E-2</v>
      </c>
    </row>
    <row r="32" spans="2:35">
      <c r="C32" t="s">
        <v>3912</v>
      </c>
      <c r="D32" t="s">
        <v>3911</v>
      </c>
      <c r="E32" t="s">
        <v>3910</v>
      </c>
      <c r="F32" t="s">
        <v>3909</v>
      </c>
      <c r="H32">
        <v>0.84764700000000004</v>
      </c>
      <c r="I32">
        <v>0.84704100000000004</v>
      </c>
      <c r="J32">
        <v>0.84578299999999995</v>
      </c>
      <c r="K32">
        <v>0.84481499999999998</v>
      </c>
      <c r="L32">
        <v>0.84391099999999997</v>
      </c>
      <c r="M32">
        <v>0.84319599999999995</v>
      </c>
      <c r="N32">
        <v>0.84269799999999995</v>
      </c>
      <c r="O32">
        <v>0.84220899999999999</v>
      </c>
      <c r="P32">
        <v>0.84160299999999999</v>
      </c>
      <c r="Q32">
        <v>0.84086000000000005</v>
      </c>
      <c r="R32">
        <v>0.84003000000000005</v>
      </c>
      <c r="S32">
        <v>0.83919600000000005</v>
      </c>
      <c r="T32">
        <v>0.83879800000000004</v>
      </c>
      <c r="U32">
        <v>0.83899999999999997</v>
      </c>
      <c r="V32">
        <v>0.83922300000000005</v>
      </c>
      <c r="W32">
        <v>0.83921900000000005</v>
      </c>
      <c r="X32">
        <v>0.839333</v>
      </c>
      <c r="Y32">
        <v>0.83925000000000005</v>
      </c>
      <c r="Z32">
        <v>0.83905600000000002</v>
      </c>
      <c r="AA32">
        <v>0.83860299999999999</v>
      </c>
      <c r="AB32">
        <v>0.838059</v>
      </c>
      <c r="AC32">
        <v>0.837422</v>
      </c>
      <c r="AD32">
        <v>0.83672100000000005</v>
      </c>
      <c r="AE32">
        <v>0.83613400000000004</v>
      </c>
      <c r="AF32">
        <v>0.83569400000000005</v>
      </c>
      <c r="AG32">
        <v>0.83530400000000005</v>
      </c>
      <c r="AH32">
        <v>0.83488899999999999</v>
      </c>
      <c r="AI32" s="31">
        <v>-1E-3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workbookViewId="0"/>
  </sheetViews>
  <sheetFormatPr defaultRowHeight="14.25"/>
  <cols>
    <col min="1" max="1" width="22.06640625" customWidth="1"/>
    <col min="2" max="2" width="59.796875" customWidth="1"/>
  </cols>
  <sheetData>
    <row r="1" spans="1:33">
      <c r="A1" t="s">
        <v>388</v>
      </c>
    </row>
    <row r="2" spans="1:33">
      <c r="A2" t="s">
        <v>3794</v>
      </c>
    </row>
    <row r="3" spans="1:33">
      <c r="A3" t="s">
        <v>3793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3792</v>
      </c>
      <c r="C9" t="s">
        <v>3791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3790</v>
      </c>
      <c r="C10" t="s">
        <v>3789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3788</v>
      </c>
      <c r="C11" t="s">
        <v>3787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3786</v>
      </c>
      <c r="C12" t="s">
        <v>3785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3784</v>
      </c>
      <c r="C13" t="s">
        <v>3783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3782</v>
      </c>
      <c r="C14" t="s">
        <v>3781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3780</v>
      </c>
      <c r="C15" t="s">
        <v>3779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3778</v>
      </c>
      <c r="C16" t="s">
        <v>3777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3776</v>
      </c>
      <c r="C17" t="s">
        <v>3775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3298</v>
      </c>
      <c r="B18" t="s">
        <v>3774</v>
      </c>
      <c r="C18" t="s">
        <v>3773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3295</v>
      </c>
      <c r="B19" t="s">
        <v>3772</v>
      </c>
      <c r="C19" t="s">
        <v>3771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3292</v>
      </c>
      <c r="B20" t="s">
        <v>3770</v>
      </c>
      <c r="C20" t="s">
        <v>3769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3768</v>
      </c>
      <c r="C21" t="s">
        <v>3767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3766</v>
      </c>
      <c r="C23" t="s">
        <v>3765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3764</v>
      </c>
      <c r="C24" t="s">
        <v>3763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3762</v>
      </c>
      <c r="C25" t="s">
        <v>3761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3760</v>
      </c>
      <c r="C26" t="s">
        <v>3759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3758</v>
      </c>
      <c r="C27" t="s">
        <v>3757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3756</v>
      </c>
      <c r="C28" t="s">
        <v>3755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3754</v>
      </c>
      <c r="C29" t="s">
        <v>3753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3752</v>
      </c>
      <c r="C30" t="s">
        <v>3751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3750</v>
      </c>
      <c r="C31" t="s">
        <v>3749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3298</v>
      </c>
      <c r="B32" t="s">
        <v>3748</v>
      </c>
      <c r="C32" t="s">
        <v>3747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3295</v>
      </c>
      <c r="B33" t="s">
        <v>3746</v>
      </c>
      <c r="C33" t="s">
        <v>3745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3292</v>
      </c>
      <c r="B34" t="s">
        <v>3744</v>
      </c>
      <c r="C34" t="s">
        <v>3743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3742</v>
      </c>
      <c r="C35" t="s">
        <v>3741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3740</v>
      </c>
      <c r="C37" t="s">
        <v>3739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3738</v>
      </c>
      <c r="C38" t="s">
        <v>3737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3736</v>
      </c>
      <c r="C39" t="s">
        <v>3735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3734</v>
      </c>
      <c r="C40" t="s">
        <v>3733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3732</v>
      </c>
      <c r="C41" t="s">
        <v>3731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3730</v>
      </c>
      <c r="C42" t="s">
        <v>3729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3728</v>
      </c>
      <c r="C43" t="s">
        <v>3727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3726</v>
      </c>
      <c r="C44" t="s">
        <v>3725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3724</v>
      </c>
      <c r="C45" t="s">
        <v>3723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3298</v>
      </c>
      <c r="B46" t="s">
        <v>3722</v>
      </c>
      <c r="C46" t="s">
        <v>3721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3295</v>
      </c>
      <c r="B47" t="s">
        <v>3720</v>
      </c>
      <c r="C47" t="s">
        <v>3719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3292</v>
      </c>
      <c r="B48" t="s">
        <v>3718</v>
      </c>
      <c r="C48" t="s">
        <v>3717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3716</v>
      </c>
      <c r="C49" t="s">
        <v>3715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3714</v>
      </c>
      <c r="C50" t="s">
        <v>3713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3712</v>
      </c>
      <c r="C53" t="s">
        <v>3711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3710</v>
      </c>
      <c r="C54" s="29" t="s">
        <v>3709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5">
        <v>-1.7000000000000001E-2</v>
      </c>
    </row>
    <row r="55" spans="1:33">
      <c r="A55" t="s">
        <v>308</v>
      </c>
      <c r="B55" t="s">
        <v>3708</v>
      </c>
      <c r="C55" t="s">
        <v>3707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3706</v>
      </c>
      <c r="C56" t="s">
        <v>3705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3704</v>
      </c>
      <c r="C57" s="29" t="s">
        <v>3703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5">
        <v>-0.114</v>
      </c>
    </row>
    <row r="58" spans="1:33">
      <c r="A58" t="s">
        <v>379</v>
      </c>
      <c r="B58" t="s">
        <v>3702</v>
      </c>
      <c r="C58" t="s">
        <v>3701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3700</v>
      </c>
      <c r="C59" t="s">
        <v>3699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3698</v>
      </c>
      <c r="C60" t="s">
        <v>3697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3696</v>
      </c>
      <c r="C61" t="s">
        <v>3695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3298</v>
      </c>
      <c r="B62" t="s">
        <v>3694</v>
      </c>
      <c r="C62" t="s">
        <v>3693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3295</v>
      </c>
      <c r="B63" t="s">
        <v>3692</v>
      </c>
      <c r="C63" t="s">
        <v>3691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3292</v>
      </c>
      <c r="B64" t="s">
        <v>3690</v>
      </c>
      <c r="C64" t="s">
        <v>3689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3688</v>
      </c>
      <c r="C65" t="s">
        <v>3687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3686</v>
      </c>
      <c r="C67" t="s">
        <v>3685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3684</v>
      </c>
      <c r="C68" s="29" t="s">
        <v>3683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5">
        <v>-8.0000000000000002E-3</v>
      </c>
    </row>
    <row r="69" spans="1:33">
      <c r="A69" t="s">
        <v>308</v>
      </c>
      <c r="B69" t="s">
        <v>3682</v>
      </c>
      <c r="C69" t="s">
        <v>3681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3680</v>
      </c>
      <c r="C70" t="s">
        <v>3679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3678</v>
      </c>
      <c r="C71" s="29" t="s">
        <v>3677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5">
        <v>-9.5000000000000001E-2</v>
      </c>
    </row>
    <row r="72" spans="1:33">
      <c r="A72" t="s">
        <v>379</v>
      </c>
      <c r="B72" t="s">
        <v>3676</v>
      </c>
      <c r="C72" t="s">
        <v>3675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3674</v>
      </c>
      <c r="C73" t="s">
        <v>3673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3672</v>
      </c>
      <c r="C74" t="s">
        <v>3671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3670</v>
      </c>
      <c r="C75" t="s">
        <v>3669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3298</v>
      </c>
      <c r="B76" t="s">
        <v>3668</v>
      </c>
      <c r="C76" t="s">
        <v>3667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3295</v>
      </c>
      <c r="B77" t="s">
        <v>3666</v>
      </c>
      <c r="C77" t="s">
        <v>3665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3292</v>
      </c>
      <c r="B78" t="s">
        <v>3664</v>
      </c>
      <c r="C78" t="s">
        <v>3663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3662</v>
      </c>
      <c r="C79" t="s">
        <v>3661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3660</v>
      </c>
      <c r="C81" t="s">
        <v>3659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3658</v>
      </c>
      <c r="C82" t="s">
        <v>3657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3656</v>
      </c>
      <c r="C83" t="s">
        <v>3655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3654</v>
      </c>
      <c r="C84" t="s">
        <v>3653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3652</v>
      </c>
      <c r="C85" t="s">
        <v>3651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3650</v>
      </c>
      <c r="C86" t="s">
        <v>3649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3648</v>
      </c>
      <c r="C87" t="s">
        <v>3647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3646</v>
      </c>
      <c r="C88" t="s">
        <v>3645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3644</v>
      </c>
      <c r="C89" t="s">
        <v>3643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3298</v>
      </c>
      <c r="B90" t="s">
        <v>3642</v>
      </c>
      <c r="C90" t="s">
        <v>3641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3295</v>
      </c>
      <c r="B91" t="s">
        <v>3640</v>
      </c>
      <c r="C91" t="s">
        <v>3639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3292</v>
      </c>
      <c r="B92" t="s">
        <v>3638</v>
      </c>
      <c r="C92" t="s">
        <v>3637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3636</v>
      </c>
      <c r="C93" t="s">
        <v>3635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3634</v>
      </c>
      <c r="C95" t="s">
        <v>3633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3632</v>
      </c>
      <c r="C96" t="s">
        <v>3631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3630</v>
      </c>
      <c r="C97" t="s">
        <v>3629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3628</v>
      </c>
      <c r="C98" t="s">
        <v>3627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3626</v>
      </c>
      <c r="C99" t="s">
        <v>3625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3624</v>
      </c>
      <c r="C100" t="s">
        <v>3623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3622</v>
      </c>
      <c r="C101" t="s">
        <v>3621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3620</v>
      </c>
      <c r="C102" t="s">
        <v>3619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3618</v>
      </c>
      <c r="C103" t="s">
        <v>3617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3298</v>
      </c>
      <c r="B104" t="s">
        <v>3616</v>
      </c>
      <c r="C104" t="s">
        <v>3615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3295</v>
      </c>
      <c r="B105" t="s">
        <v>3614</v>
      </c>
      <c r="C105" t="s">
        <v>3613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3292</v>
      </c>
      <c r="B106" t="s">
        <v>3612</v>
      </c>
      <c r="C106" t="s">
        <v>3611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3610</v>
      </c>
      <c r="C107" t="s">
        <v>3609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3608</v>
      </c>
      <c r="C110" t="s">
        <v>3607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3606</v>
      </c>
      <c r="C111" t="s">
        <v>3605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3604</v>
      </c>
      <c r="C112" t="s">
        <v>3603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3602</v>
      </c>
      <c r="C113" t="s">
        <v>3601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3600</v>
      </c>
      <c r="C114" t="s">
        <v>3599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3598</v>
      </c>
      <c r="C115" t="s">
        <v>3597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3596</v>
      </c>
      <c r="C116" t="s">
        <v>3595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3594</v>
      </c>
      <c r="C117" t="s">
        <v>3593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3592</v>
      </c>
      <c r="C118" t="s">
        <v>3591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3298</v>
      </c>
      <c r="B119" t="s">
        <v>3590</v>
      </c>
      <c r="C119" t="s">
        <v>3589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3295</v>
      </c>
      <c r="B120" t="s">
        <v>3588</v>
      </c>
      <c r="C120" t="s">
        <v>3587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3292</v>
      </c>
      <c r="B121" t="s">
        <v>3586</v>
      </c>
      <c r="C121" t="s">
        <v>3585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3584</v>
      </c>
      <c r="C122" t="s">
        <v>3583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3582</v>
      </c>
      <c r="C124" t="s">
        <v>3581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3580</v>
      </c>
      <c r="C125" t="s">
        <v>3579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3578</v>
      </c>
      <c r="C126" t="s">
        <v>3577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3576</v>
      </c>
      <c r="C127" t="s">
        <v>3575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3574</v>
      </c>
      <c r="C128" t="s">
        <v>3573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3572</v>
      </c>
      <c r="C129" t="s">
        <v>3571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3570</v>
      </c>
      <c r="C130" t="s">
        <v>3569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3568</v>
      </c>
      <c r="C131" t="s">
        <v>3567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3566</v>
      </c>
      <c r="C132" t="s">
        <v>3565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3298</v>
      </c>
      <c r="B133" t="s">
        <v>3564</v>
      </c>
      <c r="C133" t="s">
        <v>3563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3295</v>
      </c>
      <c r="B134" t="s">
        <v>3562</v>
      </c>
      <c r="C134" t="s">
        <v>3561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3292</v>
      </c>
      <c r="B135" t="s">
        <v>3560</v>
      </c>
      <c r="C135" t="s">
        <v>3559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3558</v>
      </c>
      <c r="C136" t="s">
        <v>3557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3556</v>
      </c>
      <c r="C138" s="1" t="s">
        <v>3555</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02">
        <v>8.0000000000000002E-3</v>
      </c>
    </row>
    <row r="139" spans="1:33">
      <c r="A139" t="s">
        <v>313</v>
      </c>
      <c r="B139" t="s">
        <v>3554</v>
      </c>
      <c r="C139" t="s">
        <v>3553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3552</v>
      </c>
      <c r="C140" t="s">
        <v>3551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3550</v>
      </c>
      <c r="C141" t="s">
        <v>3549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3548</v>
      </c>
      <c r="C142" t="s">
        <v>3547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s="1" customFormat="1">
      <c r="A143" s="1" t="s">
        <v>379</v>
      </c>
      <c r="B143" s="1" t="s">
        <v>3546</v>
      </c>
      <c r="C143" s="1" t="s">
        <v>3545</v>
      </c>
      <c r="D143" s="1" t="s">
        <v>413</v>
      </c>
      <c r="F143" s="1">
        <v>13.988659</v>
      </c>
      <c r="G143" s="1">
        <v>13.883277</v>
      </c>
      <c r="H143" s="1">
        <v>13.850619999999999</v>
      </c>
      <c r="I143" s="1">
        <v>13.859565999999999</v>
      </c>
      <c r="J143" s="1">
        <v>13.895028999999999</v>
      </c>
      <c r="K143" s="1">
        <v>13.954997000000001</v>
      </c>
      <c r="L143" s="1">
        <v>14.030798000000001</v>
      </c>
      <c r="M143" s="1">
        <v>14.115463999999999</v>
      </c>
      <c r="N143" s="1">
        <v>14.211738</v>
      </c>
      <c r="O143" s="1">
        <v>14.318835999999999</v>
      </c>
      <c r="P143" s="1">
        <v>14.423564000000001</v>
      </c>
      <c r="Q143" s="1">
        <v>14.524480000000001</v>
      </c>
      <c r="R143" s="1">
        <v>14.620310999999999</v>
      </c>
      <c r="S143" s="1">
        <v>14.710813999999999</v>
      </c>
      <c r="T143" s="1">
        <v>14.79519</v>
      </c>
      <c r="U143" s="1">
        <v>14.872324000000001</v>
      </c>
      <c r="V143" s="1">
        <v>14.941452999999999</v>
      </c>
      <c r="W143" s="1">
        <v>15.002162</v>
      </c>
      <c r="X143" s="1">
        <v>15.054307</v>
      </c>
      <c r="Y143" s="1">
        <v>15.098464999999999</v>
      </c>
      <c r="Z143" s="1">
        <v>15.13503</v>
      </c>
      <c r="AA143" s="1">
        <v>15.16474</v>
      </c>
      <c r="AB143" s="1">
        <v>15.188535</v>
      </c>
      <c r="AC143" s="1">
        <v>15.207722</v>
      </c>
      <c r="AD143" s="1">
        <v>15.223267</v>
      </c>
      <c r="AE143" s="1">
        <v>15.235799</v>
      </c>
      <c r="AF143" s="1">
        <v>15.245944</v>
      </c>
      <c r="AG143" s="202">
        <v>3.0000000000000001E-3</v>
      </c>
    </row>
    <row r="144" spans="1:33">
      <c r="A144" t="s">
        <v>381</v>
      </c>
      <c r="B144" t="s">
        <v>3544</v>
      </c>
      <c r="C144" t="s">
        <v>3543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3542</v>
      </c>
      <c r="C145" t="s">
        <v>3541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3540</v>
      </c>
      <c r="C146" t="s">
        <v>3539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3298</v>
      </c>
      <c r="B147" t="s">
        <v>3538</v>
      </c>
      <c r="C147" t="s">
        <v>3537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3295</v>
      </c>
      <c r="B148" t="s">
        <v>3536</v>
      </c>
      <c r="C148" t="s">
        <v>3535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3292</v>
      </c>
      <c r="B149" t="s">
        <v>3534</v>
      </c>
      <c r="C149" t="s">
        <v>3533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3532</v>
      </c>
      <c r="C150" t="s">
        <v>3531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3530</v>
      </c>
      <c r="C151" t="s">
        <v>3529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3528</v>
      </c>
      <c r="C154" t="s">
        <v>3527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3526</v>
      </c>
      <c r="C155" t="s">
        <v>3525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3524</v>
      </c>
      <c r="C156" t="s">
        <v>3523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3522</v>
      </c>
      <c r="C157" t="s">
        <v>3521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3520</v>
      </c>
      <c r="C158" t="s">
        <v>3519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3518</v>
      </c>
      <c r="C159" t="s">
        <v>3517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3516</v>
      </c>
      <c r="C160" t="s">
        <v>3515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3514</v>
      </c>
      <c r="C161" t="s">
        <v>3513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3512</v>
      </c>
      <c r="C162" t="s">
        <v>3511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3298</v>
      </c>
      <c r="B163" t="s">
        <v>3510</v>
      </c>
      <c r="C163" t="s">
        <v>3509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3295</v>
      </c>
      <c r="B164" t="s">
        <v>3508</v>
      </c>
      <c r="C164" t="s">
        <v>3507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3292</v>
      </c>
      <c r="B165" t="s">
        <v>3506</v>
      </c>
      <c r="C165" t="s">
        <v>3505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3504</v>
      </c>
      <c r="C166" t="s">
        <v>3503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3502</v>
      </c>
      <c r="C168" t="s">
        <v>3501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3500</v>
      </c>
      <c r="C169" t="s">
        <v>3499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3498</v>
      </c>
      <c r="C170" t="s">
        <v>3497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3496</v>
      </c>
      <c r="C171" t="s">
        <v>3495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3494</v>
      </c>
      <c r="C172" t="s">
        <v>3493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3492</v>
      </c>
      <c r="C173" t="s">
        <v>3491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3490</v>
      </c>
      <c r="C174" t="s">
        <v>3489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3488</v>
      </c>
      <c r="C175" t="s">
        <v>3487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3486</v>
      </c>
      <c r="C176" t="s">
        <v>3485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3298</v>
      </c>
      <c r="B177" t="s">
        <v>3484</v>
      </c>
      <c r="C177" t="s">
        <v>3483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3295</v>
      </c>
      <c r="B178" t="s">
        <v>3482</v>
      </c>
      <c r="C178" t="s">
        <v>3481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3292</v>
      </c>
      <c r="B179" t="s">
        <v>3480</v>
      </c>
      <c r="C179" t="s">
        <v>3479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3478</v>
      </c>
      <c r="C180" t="s">
        <v>3477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3476</v>
      </c>
      <c r="C182" t="s">
        <v>3475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3474</v>
      </c>
      <c r="C183" t="s">
        <v>3473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3472</v>
      </c>
      <c r="C184" t="s">
        <v>3471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3470</v>
      </c>
      <c r="C185" t="s">
        <v>3469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3468</v>
      </c>
      <c r="C186" t="s">
        <v>3467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3466</v>
      </c>
      <c r="C187" t="s">
        <v>3465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3464</v>
      </c>
      <c r="C188" t="s">
        <v>3463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3462</v>
      </c>
      <c r="C189" t="s">
        <v>3461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3460</v>
      </c>
      <c r="C190" t="s">
        <v>3459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3298</v>
      </c>
      <c r="B191" t="s">
        <v>3458</v>
      </c>
      <c r="C191" t="s">
        <v>3457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3295</v>
      </c>
      <c r="B192" t="s">
        <v>3456</v>
      </c>
      <c r="C192" t="s">
        <v>3455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3292</v>
      </c>
      <c r="B193" t="s">
        <v>3454</v>
      </c>
      <c r="C193" t="s">
        <v>3453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3452</v>
      </c>
      <c r="C194" t="s">
        <v>3451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3450</v>
      </c>
      <c r="C195" t="s">
        <v>3449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3448</v>
      </c>
      <c r="C199" t="s">
        <v>3447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3446</v>
      </c>
      <c r="C200" t="s">
        <v>3445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3444</v>
      </c>
      <c r="C201" t="s">
        <v>3443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3442</v>
      </c>
      <c r="C202" t="s">
        <v>3441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3440</v>
      </c>
      <c r="C203" t="s">
        <v>3439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3438</v>
      </c>
      <c r="C204" t="s">
        <v>3437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3436</v>
      </c>
      <c r="C205" t="s">
        <v>3435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3434</v>
      </c>
      <c r="C206" t="s">
        <v>3433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3432</v>
      </c>
      <c r="C207" t="s">
        <v>3431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3298</v>
      </c>
      <c r="B208" t="s">
        <v>3430</v>
      </c>
      <c r="C208" t="s">
        <v>3429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3295</v>
      </c>
      <c r="B209" t="s">
        <v>3428</v>
      </c>
      <c r="C209" t="s">
        <v>3427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3292</v>
      </c>
      <c r="B210" t="s">
        <v>3426</v>
      </c>
      <c r="C210" t="s">
        <v>3425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3424</v>
      </c>
      <c r="C211" t="s">
        <v>3423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3422</v>
      </c>
      <c r="C213" t="s">
        <v>3421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3420</v>
      </c>
      <c r="C214" t="s">
        <v>3419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3418</v>
      </c>
      <c r="C215" t="s">
        <v>3417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3416</v>
      </c>
      <c r="C216" t="s">
        <v>3415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3414</v>
      </c>
      <c r="C217" t="s">
        <v>3413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3412</v>
      </c>
      <c r="C218" t="s">
        <v>3411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3410</v>
      </c>
      <c r="C219" t="s">
        <v>3409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3408</v>
      </c>
      <c r="C220" t="s">
        <v>3407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3406</v>
      </c>
      <c r="C221" t="s">
        <v>3405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3298</v>
      </c>
      <c r="B222" t="s">
        <v>3404</v>
      </c>
      <c r="C222" t="s">
        <v>3403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3295</v>
      </c>
      <c r="B223" t="s">
        <v>3402</v>
      </c>
      <c r="C223" t="s">
        <v>3401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3292</v>
      </c>
      <c r="B224" t="s">
        <v>3400</v>
      </c>
      <c r="C224" t="s">
        <v>3399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3398</v>
      </c>
      <c r="C225" t="s">
        <v>3397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3396</v>
      </c>
      <c r="C227" t="s">
        <v>3395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3394</v>
      </c>
      <c r="C228" t="s">
        <v>3393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3392</v>
      </c>
      <c r="C229" t="s">
        <v>3391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3390</v>
      </c>
      <c r="C230" t="s">
        <v>3389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3388</v>
      </c>
      <c r="C231" t="s">
        <v>3387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3386</v>
      </c>
      <c r="C232" t="s">
        <v>3385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3384</v>
      </c>
      <c r="C233" t="s">
        <v>3383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3382</v>
      </c>
      <c r="C234" t="s">
        <v>3381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3380</v>
      </c>
      <c r="C235" t="s">
        <v>3379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3298</v>
      </c>
      <c r="B236" t="s">
        <v>3378</v>
      </c>
      <c r="C236" t="s">
        <v>3377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3295</v>
      </c>
      <c r="B237" t="s">
        <v>3376</v>
      </c>
      <c r="C237" t="s">
        <v>3375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3292</v>
      </c>
      <c r="B238" t="s">
        <v>3374</v>
      </c>
      <c r="C238" t="s">
        <v>3373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3372</v>
      </c>
      <c r="C239" t="s">
        <v>3371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3370</v>
      </c>
      <c r="C240" t="s">
        <v>3369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3368</v>
      </c>
      <c r="C243" t="s">
        <v>3367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3366</v>
      </c>
      <c r="C244" t="s">
        <v>3365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3364</v>
      </c>
      <c r="C245" t="s">
        <v>3363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3362</v>
      </c>
      <c r="C246" t="s">
        <v>3361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3360</v>
      </c>
      <c r="C247" t="s">
        <v>3359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3358</v>
      </c>
      <c r="C248" t="s">
        <v>3357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3356</v>
      </c>
      <c r="C249" t="s">
        <v>3355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3354</v>
      </c>
      <c r="C250" t="s">
        <v>3353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3352</v>
      </c>
      <c r="C251" t="s">
        <v>3351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3298</v>
      </c>
      <c r="B252" t="s">
        <v>3350</v>
      </c>
      <c r="C252" t="s">
        <v>3349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3295</v>
      </c>
      <c r="B253" t="s">
        <v>3348</v>
      </c>
      <c r="C253" t="s">
        <v>3347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3292</v>
      </c>
      <c r="B254" t="s">
        <v>3346</v>
      </c>
      <c r="C254" t="s">
        <v>3345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3344</v>
      </c>
      <c r="C255" t="s">
        <v>3343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3342</v>
      </c>
      <c r="C257" t="s">
        <v>3341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3340</v>
      </c>
      <c r="C258" t="s">
        <v>3339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3338</v>
      </c>
      <c r="C259" t="s">
        <v>3337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3336</v>
      </c>
      <c r="C260" t="s">
        <v>3335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3334</v>
      </c>
      <c r="C261" t="s">
        <v>3333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3332</v>
      </c>
      <c r="C262" t="s">
        <v>3331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3330</v>
      </c>
      <c r="C263" t="s">
        <v>3329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3328</v>
      </c>
      <c r="C264" t="s">
        <v>3327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3326</v>
      </c>
      <c r="C265" t="s">
        <v>3325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3298</v>
      </c>
      <c r="B266" t="s">
        <v>3324</v>
      </c>
      <c r="C266" t="s">
        <v>3323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3295</v>
      </c>
      <c r="B267" t="s">
        <v>3322</v>
      </c>
      <c r="C267" t="s">
        <v>3321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3292</v>
      </c>
      <c r="B268" t="s">
        <v>3320</v>
      </c>
      <c r="C268" t="s">
        <v>3319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3318</v>
      </c>
      <c r="C269" t="s">
        <v>3317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3316</v>
      </c>
      <c r="C271" t="s">
        <v>3315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3314</v>
      </c>
      <c r="C272" t="s">
        <v>3313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3312</v>
      </c>
      <c r="C273" t="s">
        <v>3311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3310</v>
      </c>
      <c r="C274" t="s">
        <v>3309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3308</v>
      </c>
      <c r="C275" t="s">
        <v>3307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3306</v>
      </c>
      <c r="C276" t="s">
        <v>3305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3304</v>
      </c>
      <c r="C277" t="s">
        <v>3303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3302</v>
      </c>
      <c r="C278" t="s">
        <v>3301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3300</v>
      </c>
      <c r="C279" t="s">
        <v>3299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3298</v>
      </c>
      <c r="B280" t="s">
        <v>3297</v>
      </c>
      <c r="C280" t="s">
        <v>3296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3295</v>
      </c>
      <c r="B281" t="s">
        <v>3294</v>
      </c>
      <c r="C281" t="s">
        <v>3293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3292</v>
      </c>
      <c r="B282" t="s">
        <v>3291</v>
      </c>
      <c r="C282" t="s">
        <v>3290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3289</v>
      </c>
      <c r="C283" t="s">
        <v>3288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3287</v>
      </c>
      <c r="C284" t="s">
        <v>3286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3285</v>
      </c>
      <c r="C286" t="s">
        <v>3284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3283</v>
      </c>
      <c r="C287" t="s">
        <v>3282</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3281</v>
      </c>
      <c r="C289" t="s">
        <v>3280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3279</v>
      </c>
      <c r="C290" t="s">
        <v>3278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3277</v>
      </c>
      <c r="C291" t="s">
        <v>3276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3275</v>
      </c>
      <c r="C292" t="s">
        <v>3274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3273</v>
      </c>
      <c r="C294" t="s">
        <v>3272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3271</v>
      </c>
      <c r="C295" t="s">
        <v>3270</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3269</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3268</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3267</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3266</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3265</v>
      </c>
      <c r="C302" t="s">
        <v>3264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3263</v>
      </c>
      <c r="C303" t="s">
        <v>3262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3261</v>
      </c>
      <c r="C304" t="s">
        <v>3260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3259</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3258</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3257</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3256</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workbookViewId="0"/>
  </sheetViews>
  <sheetFormatPr defaultRowHeight="14.25"/>
  <cols>
    <col min="2" max="2" width="59" customWidth="1"/>
  </cols>
  <sheetData>
    <row r="1" spans="1:33">
      <c r="A1" t="s">
        <v>355</v>
      </c>
    </row>
    <row r="2" spans="1:33">
      <c r="A2" t="s">
        <v>3900</v>
      </c>
    </row>
    <row r="3" spans="1:33">
      <c r="A3" t="s">
        <v>3899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3898</v>
      </c>
      <c r="C8" t="s">
        <v>3897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3896</v>
      </c>
      <c r="C9" t="s">
        <v>3895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3894</v>
      </c>
      <c r="C10" t="s">
        <v>3893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3892</v>
      </c>
      <c r="C12" t="s">
        <v>3891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3890</v>
      </c>
      <c r="C13" t="s">
        <v>3889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3888</v>
      </c>
      <c r="C14" t="s">
        <v>3887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3886</v>
      </c>
      <c r="C15" t="s">
        <v>3885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3884</v>
      </c>
      <c r="C16" t="s">
        <v>3883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3882</v>
      </c>
      <c r="C17" t="s">
        <v>3881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3880</v>
      </c>
      <c r="C18" t="s">
        <v>3879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3878</v>
      </c>
      <c r="C19" t="s">
        <v>3877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3876</v>
      </c>
      <c r="C20" t="s">
        <v>3875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3874</v>
      </c>
      <c r="C21" t="s">
        <v>3873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3872</v>
      </c>
      <c r="C22" t="s">
        <v>3871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3870</v>
      </c>
      <c r="C23" t="s">
        <v>3869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3868</v>
      </c>
      <c r="C24" t="s">
        <v>3867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3866</v>
      </c>
      <c r="C25" t="s">
        <v>3865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3864</v>
      </c>
      <c r="C26" t="s">
        <v>3863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3862</v>
      </c>
      <c r="C27" t="s">
        <v>3861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3860</v>
      </c>
      <c r="C30" t="s">
        <v>3859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3858</v>
      </c>
      <c r="C31" t="s">
        <v>3857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3856</v>
      </c>
      <c r="C32" t="s">
        <v>3855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3854</v>
      </c>
      <c r="C34" t="s">
        <v>3853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3852</v>
      </c>
      <c r="C35" t="s">
        <v>3851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3850</v>
      </c>
      <c r="C36" t="s">
        <v>3849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3848</v>
      </c>
      <c r="C37" t="s">
        <v>3847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3846</v>
      </c>
      <c r="C38" t="s">
        <v>3845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3844</v>
      </c>
      <c r="C39" t="s">
        <v>3843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3842</v>
      </c>
      <c r="C40" t="s">
        <v>3841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3840</v>
      </c>
      <c r="C41" t="s">
        <v>3839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3838</v>
      </c>
      <c r="C42" t="s">
        <v>3837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3836</v>
      </c>
      <c r="C43" t="s">
        <v>3835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3834</v>
      </c>
      <c r="C44" t="s">
        <v>3833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3832</v>
      </c>
      <c r="C45" t="s">
        <v>3831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3830</v>
      </c>
      <c r="C46" t="s">
        <v>3829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3828</v>
      </c>
      <c r="C47" t="s">
        <v>3827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3826</v>
      </c>
      <c r="C48" t="s">
        <v>3825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3824</v>
      </c>
      <c r="C49" t="s">
        <v>3823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3822</v>
      </c>
      <c r="C50" t="s">
        <v>3821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3820</v>
      </c>
      <c r="C51" s="29" t="s">
        <v>3819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5">
        <v>-0.03</v>
      </c>
    </row>
    <row r="52" spans="1:33">
      <c r="A52" t="s">
        <v>327</v>
      </c>
      <c r="B52" t="s">
        <v>3818</v>
      </c>
      <c r="C52" t="s">
        <v>3817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3816</v>
      </c>
      <c r="C53" t="s">
        <v>3815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3814</v>
      </c>
      <c r="C54" t="s">
        <v>3813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3812</v>
      </c>
      <c r="C55" s="29" t="s">
        <v>3811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5">
        <v>-0.01</v>
      </c>
    </row>
    <row r="56" spans="1:33">
      <c r="A56" t="s">
        <v>379</v>
      </c>
      <c r="B56" t="s">
        <v>3810</v>
      </c>
      <c r="C56" t="s">
        <v>3809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3808</v>
      </c>
      <c r="C57" t="s">
        <v>3807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3806</v>
      </c>
      <c r="C58" t="s">
        <v>3805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3804</v>
      </c>
      <c r="C59" t="s">
        <v>3803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3298</v>
      </c>
      <c r="B60" t="s">
        <v>3802</v>
      </c>
      <c r="C60" t="s">
        <v>3801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3295</v>
      </c>
      <c r="B61" t="s">
        <v>3800</v>
      </c>
      <c r="C61" t="s">
        <v>3799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3292</v>
      </c>
      <c r="B62" t="s">
        <v>3798</v>
      </c>
      <c r="C62" t="s">
        <v>3797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3796</v>
      </c>
      <c r="C63" t="s">
        <v>3795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heetViews>
  <sheetFormatPr defaultRowHeight="14.25"/>
  <sheetData>
    <row r="1" spans="1:11">
      <c r="A1" t="s">
        <v>255</v>
      </c>
      <c r="B1" t="s">
        <v>111</v>
      </c>
      <c r="C1" t="s">
        <v>112</v>
      </c>
      <c r="D1" t="s">
        <v>113</v>
      </c>
      <c r="E1" t="s">
        <v>114</v>
      </c>
      <c r="F1" t="s">
        <v>115</v>
      </c>
      <c r="G1" t="s">
        <v>257</v>
      </c>
      <c r="H1" t="s">
        <v>258</v>
      </c>
    </row>
    <row r="2" spans="1:11">
      <c r="A2" t="s">
        <v>219</v>
      </c>
      <c r="B2">
        <v>4769953</v>
      </c>
      <c r="C2">
        <v>14506</v>
      </c>
      <c r="D2">
        <v>257649823</v>
      </c>
      <c r="E2">
        <v>1553093</v>
      </c>
      <c r="F2">
        <v>1417825</v>
      </c>
      <c r="G2">
        <v>13525</v>
      </c>
      <c r="H2">
        <v>17094</v>
      </c>
    </row>
    <row r="3" spans="1:11">
      <c r="A3" t="s">
        <v>134</v>
      </c>
      <c r="B3">
        <v>300</v>
      </c>
      <c r="C3">
        <v>128402</v>
      </c>
      <c r="D3">
        <v>101051</v>
      </c>
      <c r="E3">
        <v>802832</v>
      </c>
      <c r="F3">
        <v>0</v>
      </c>
      <c r="G3">
        <v>47038</v>
      </c>
      <c r="H3">
        <v>174</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10214830</v>
      </c>
      <c r="E6">
        <v>2490170</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4.25"/>
  <sheetData>
    <row r="1" spans="1:8" s="57" customFormat="1" ht="42.75">
      <c r="A1" s="57" t="s">
        <v>255</v>
      </c>
      <c r="B1" s="57" t="s">
        <v>111</v>
      </c>
      <c r="C1" s="57" t="s">
        <v>112</v>
      </c>
      <c r="D1" s="57" t="s">
        <v>113</v>
      </c>
      <c r="E1" s="57" t="s">
        <v>114</v>
      </c>
      <c r="F1" s="57" t="s">
        <v>115</v>
      </c>
      <c r="G1" s="57" t="s">
        <v>257</v>
      </c>
      <c r="H1" s="57" t="s">
        <v>258</v>
      </c>
    </row>
    <row r="2" spans="1:8">
      <c r="A2" t="s">
        <v>219</v>
      </c>
      <c r="B2">
        <v>43386</v>
      </c>
      <c r="C2">
        <v>25537</v>
      </c>
      <c r="D2">
        <v>12855699</v>
      </c>
      <c r="E2">
        <v>10752831</v>
      </c>
      <c r="F2">
        <v>0</v>
      </c>
      <c r="G2">
        <v>2325</v>
      </c>
      <c r="H2">
        <v>0</v>
      </c>
    </row>
    <row r="3" spans="1:8">
      <c r="A3" t="s">
        <v>134</v>
      </c>
      <c r="B3">
        <v>2114</v>
      </c>
      <c r="C3">
        <v>57392</v>
      </c>
      <c r="D3">
        <v>38136</v>
      </c>
      <c r="E3">
        <v>5453223</v>
      </c>
      <c r="F3">
        <v>0</v>
      </c>
      <c r="G3">
        <v>3057</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164</v>
      </c>
      <c r="F6">
        <v>0</v>
      </c>
      <c r="G6">
        <v>0</v>
      </c>
      <c r="H6">
        <v>0</v>
      </c>
    </row>
    <row r="7" spans="1:8">
      <c r="A7" t="s">
        <v>222</v>
      </c>
      <c r="B7">
        <v>0</v>
      </c>
      <c r="C7">
        <v>0</v>
      </c>
      <c r="D7">
        <v>0</v>
      </c>
      <c r="E7">
        <v>0</v>
      </c>
      <c r="F7">
        <v>0</v>
      </c>
      <c r="G7">
        <v>0</v>
      </c>
      <c r="H7">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4.2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11354</v>
      </c>
      <c r="C2" s="64">
        <v>11354</v>
      </c>
      <c r="D2" s="64">
        <v>10518</v>
      </c>
      <c r="E2" s="64">
        <v>10488</v>
      </c>
      <c r="F2" s="64">
        <v>10461</v>
      </c>
      <c r="G2" s="64">
        <v>10399</v>
      </c>
      <c r="H2" s="64">
        <v>10327</v>
      </c>
      <c r="I2" s="64">
        <v>10237</v>
      </c>
      <c r="J2" s="64">
        <v>10141</v>
      </c>
      <c r="K2" s="64">
        <v>10051</v>
      </c>
      <c r="L2" s="64">
        <v>9948</v>
      </c>
      <c r="M2" s="64">
        <v>9859</v>
      </c>
      <c r="N2" s="64">
        <v>9767</v>
      </c>
      <c r="O2" s="64">
        <v>9694</v>
      </c>
      <c r="P2" s="64">
        <v>9628</v>
      </c>
      <c r="Q2" s="64">
        <v>9565</v>
      </c>
      <c r="R2" s="64">
        <v>9500</v>
      </c>
      <c r="S2" s="64">
        <v>9440</v>
      </c>
      <c r="T2" s="64">
        <v>9380</v>
      </c>
      <c r="U2" s="64">
        <v>9325</v>
      </c>
      <c r="V2" s="64">
        <v>9274</v>
      </c>
      <c r="W2" s="64">
        <v>9232</v>
      </c>
      <c r="X2" s="64">
        <v>9195</v>
      </c>
      <c r="Y2" s="64">
        <v>9164</v>
      </c>
      <c r="Z2" s="64">
        <v>9133</v>
      </c>
      <c r="AA2" s="64">
        <v>9112</v>
      </c>
      <c r="AB2" s="64">
        <v>9095</v>
      </c>
      <c r="AC2" s="64">
        <v>9092</v>
      </c>
      <c r="AD2" s="64"/>
      <c r="AE2" s="64"/>
      <c r="AF2" s="64"/>
    </row>
    <row r="3" spans="1:32">
      <c r="A3" t="s">
        <v>134</v>
      </c>
      <c r="B3" s="64">
        <v>16361</v>
      </c>
      <c r="C3" s="64">
        <v>16361</v>
      </c>
      <c r="D3" s="64">
        <v>16361</v>
      </c>
      <c r="E3" s="64">
        <v>16361</v>
      </c>
      <c r="F3" s="64">
        <v>16361</v>
      </c>
      <c r="G3" s="64">
        <v>16361</v>
      </c>
      <c r="H3" s="64">
        <v>16361</v>
      </c>
      <c r="I3" s="64">
        <v>16361</v>
      </c>
      <c r="J3" s="64">
        <v>16361</v>
      </c>
      <c r="K3" s="64">
        <v>16361</v>
      </c>
      <c r="L3" s="64">
        <v>16361</v>
      </c>
      <c r="M3" s="64">
        <v>16361</v>
      </c>
      <c r="N3" s="64">
        <v>16361</v>
      </c>
      <c r="O3" s="64">
        <v>16361</v>
      </c>
      <c r="P3" s="64">
        <v>16361</v>
      </c>
      <c r="Q3" s="64">
        <v>16361</v>
      </c>
      <c r="R3" s="64">
        <v>16361</v>
      </c>
      <c r="S3" s="64">
        <v>16361</v>
      </c>
      <c r="T3" s="64">
        <v>16361</v>
      </c>
      <c r="U3" s="64">
        <v>16361</v>
      </c>
      <c r="V3" s="64">
        <v>16361</v>
      </c>
      <c r="W3" s="64">
        <v>16361</v>
      </c>
      <c r="X3" s="64">
        <v>16361</v>
      </c>
      <c r="Y3" s="64">
        <v>16361</v>
      </c>
      <c r="Z3" s="64">
        <v>16361</v>
      </c>
      <c r="AA3" s="64">
        <v>16361</v>
      </c>
      <c r="AB3" s="64">
        <v>16361</v>
      </c>
      <c r="AC3" s="64">
        <v>16361</v>
      </c>
      <c r="AD3" s="64"/>
      <c r="AE3" s="64"/>
      <c r="AF3" s="64"/>
    </row>
    <row r="4" spans="1:32">
      <c r="A4" t="s">
        <v>131</v>
      </c>
      <c r="B4" s="64">
        <v>1038833</v>
      </c>
      <c r="C4" s="64">
        <v>1038833</v>
      </c>
      <c r="D4" s="64">
        <v>1038833</v>
      </c>
      <c r="E4" s="64">
        <v>1038833</v>
      </c>
      <c r="F4" s="64">
        <v>1038833</v>
      </c>
      <c r="G4" s="64">
        <v>1038833</v>
      </c>
      <c r="H4" s="64">
        <v>1038833</v>
      </c>
      <c r="I4" s="64">
        <v>1038833</v>
      </c>
      <c r="J4" s="64">
        <v>1038833</v>
      </c>
      <c r="K4" s="64">
        <v>1038833</v>
      </c>
      <c r="L4" s="64">
        <v>1038833</v>
      </c>
      <c r="M4" s="64">
        <v>1038833</v>
      </c>
      <c r="N4" s="64">
        <v>1038833</v>
      </c>
      <c r="O4" s="64">
        <v>1038833</v>
      </c>
      <c r="P4" s="64">
        <v>1038833</v>
      </c>
      <c r="Q4" s="64">
        <v>1038833</v>
      </c>
      <c r="R4" s="64">
        <v>1038833</v>
      </c>
      <c r="S4" s="64">
        <v>1038833</v>
      </c>
      <c r="T4" s="64">
        <v>1038833</v>
      </c>
      <c r="U4" s="64">
        <v>1038833</v>
      </c>
      <c r="V4" s="64">
        <v>1038833</v>
      </c>
      <c r="W4" s="64">
        <v>1038833</v>
      </c>
      <c r="X4" s="64">
        <v>1038833</v>
      </c>
      <c r="Y4" s="64">
        <v>1038833</v>
      </c>
      <c r="Z4" s="64">
        <v>1038833</v>
      </c>
      <c r="AA4" s="64">
        <v>1038833</v>
      </c>
      <c r="AB4" s="64">
        <v>1038833</v>
      </c>
      <c r="AC4" s="64">
        <v>1038833</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8561</v>
      </c>
      <c r="C7" s="64">
        <v>8561</v>
      </c>
      <c r="D7" s="64">
        <v>8561</v>
      </c>
      <c r="E7" s="64">
        <v>8561</v>
      </c>
      <c r="F7" s="64">
        <v>8561</v>
      </c>
      <c r="G7" s="64">
        <v>8561</v>
      </c>
      <c r="H7" s="64">
        <v>8561</v>
      </c>
      <c r="I7" s="64">
        <v>8561</v>
      </c>
      <c r="J7" s="64">
        <v>8561</v>
      </c>
      <c r="K7" s="64">
        <v>8561</v>
      </c>
      <c r="L7" s="64">
        <v>8561</v>
      </c>
      <c r="M7" s="64">
        <v>8561</v>
      </c>
      <c r="N7" s="64">
        <v>8561</v>
      </c>
      <c r="O7" s="64">
        <v>8561</v>
      </c>
      <c r="P7" s="64">
        <v>8561</v>
      </c>
      <c r="Q7" s="64">
        <v>8561</v>
      </c>
      <c r="R7" s="64">
        <v>8561</v>
      </c>
      <c r="S7" s="64">
        <v>8561</v>
      </c>
      <c r="T7" s="64">
        <v>8561</v>
      </c>
      <c r="U7" s="64">
        <v>8561</v>
      </c>
      <c r="V7" s="64">
        <v>8561</v>
      </c>
      <c r="W7" s="64">
        <v>8561</v>
      </c>
      <c r="X7" s="64">
        <v>8561</v>
      </c>
      <c r="Y7" s="64">
        <v>8561</v>
      </c>
      <c r="Z7" s="64">
        <v>8561</v>
      </c>
      <c r="AA7" s="64">
        <v>8561</v>
      </c>
      <c r="AB7" s="64">
        <v>8561</v>
      </c>
      <c r="AC7" s="64">
        <v>8561</v>
      </c>
      <c r="AD7" s="64"/>
      <c r="AE7" s="64"/>
      <c r="AF7" s="6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heetViews>
  <sheetFormatPr defaultRowHeight="14.2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9916</v>
      </c>
      <c r="C2">
        <v>9916</v>
      </c>
      <c r="D2">
        <v>9916</v>
      </c>
      <c r="E2">
        <v>9916</v>
      </c>
      <c r="F2">
        <v>9916</v>
      </c>
      <c r="G2">
        <v>9916</v>
      </c>
      <c r="H2">
        <v>9916</v>
      </c>
      <c r="I2">
        <v>9916</v>
      </c>
      <c r="J2">
        <v>9916</v>
      </c>
      <c r="K2">
        <v>9916</v>
      </c>
      <c r="L2">
        <v>9916</v>
      </c>
      <c r="M2">
        <v>9916</v>
      </c>
      <c r="N2">
        <v>9916</v>
      </c>
      <c r="O2">
        <v>9916</v>
      </c>
      <c r="P2">
        <v>9916</v>
      </c>
      <c r="Q2">
        <v>9916</v>
      </c>
      <c r="R2">
        <v>9916</v>
      </c>
      <c r="S2">
        <v>9916</v>
      </c>
      <c r="T2">
        <v>9916</v>
      </c>
      <c r="U2">
        <v>9916</v>
      </c>
      <c r="V2">
        <v>9916</v>
      </c>
      <c r="W2">
        <v>9916</v>
      </c>
      <c r="X2">
        <v>9916</v>
      </c>
      <c r="Y2">
        <v>9916</v>
      </c>
      <c r="Z2">
        <v>9916</v>
      </c>
      <c r="AA2">
        <v>9916</v>
      </c>
      <c r="AB2">
        <v>9916</v>
      </c>
      <c r="AC2">
        <v>9916</v>
      </c>
    </row>
    <row r="3" spans="1:29">
      <c r="A3" t="s">
        <v>134</v>
      </c>
      <c r="B3">
        <v>35195</v>
      </c>
      <c r="C3">
        <v>35195</v>
      </c>
      <c r="D3">
        <v>35195</v>
      </c>
      <c r="E3">
        <v>35195</v>
      </c>
      <c r="F3">
        <v>35195</v>
      </c>
      <c r="G3">
        <v>35195</v>
      </c>
      <c r="H3">
        <v>35195</v>
      </c>
      <c r="I3">
        <v>35195</v>
      </c>
      <c r="J3">
        <v>35195</v>
      </c>
      <c r="K3">
        <v>35195</v>
      </c>
      <c r="L3">
        <v>35195</v>
      </c>
      <c r="M3">
        <v>35195</v>
      </c>
      <c r="N3">
        <v>35195</v>
      </c>
      <c r="O3">
        <v>35195</v>
      </c>
      <c r="P3">
        <v>35195</v>
      </c>
      <c r="Q3">
        <v>35195</v>
      </c>
      <c r="R3">
        <v>35195</v>
      </c>
      <c r="S3">
        <v>35195</v>
      </c>
      <c r="T3">
        <v>35195</v>
      </c>
      <c r="U3">
        <v>35195</v>
      </c>
      <c r="V3">
        <v>35195</v>
      </c>
      <c r="W3">
        <v>35195</v>
      </c>
      <c r="X3">
        <v>35195</v>
      </c>
      <c r="Y3">
        <v>35195</v>
      </c>
      <c r="Z3">
        <v>35195</v>
      </c>
      <c r="AA3">
        <v>35195</v>
      </c>
      <c r="AB3">
        <v>35195</v>
      </c>
      <c r="AC3">
        <v>35195</v>
      </c>
    </row>
    <row r="4" spans="1:29">
      <c r="A4" t="s">
        <v>131</v>
      </c>
      <c r="B4">
        <v>1146274</v>
      </c>
      <c r="C4">
        <v>1146274</v>
      </c>
      <c r="D4">
        <v>1146274</v>
      </c>
      <c r="E4">
        <v>1146274</v>
      </c>
      <c r="F4">
        <v>1146274</v>
      </c>
      <c r="G4">
        <v>1146274</v>
      </c>
      <c r="H4">
        <v>1146274</v>
      </c>
      <c r="I4">
        <v>1146274</v>
      </c>
      <c r="J4">
        <v>1146274</v>
      </c>
      <c r="K4">
        <v>1146274</v>
      </c>
      <c r="L4">
        <v>1146274</v>
      </c>
      <c r="M4">
        <v>1146274</v>
      </c>
      <c r="N4">
        <v>1146274</v>
      </c>
      <c r="O4">
        <v>1146274</v>
      </c>
      <c r="P4">
        <v>1146274</v>
      </c>
      <c r="Q4">
        <v>1146274</v>
      </c>
      <c r="R4">
        <v>1146274</v>
      </c>
      <c r="S4">
        <v>1146274</v>
      </c>
      <c r="T4">
        <v>1146274</v>
      </c>
      <c r="U4">
        <v>1146274</v>
      </c>
      <c r="V4">
        <v>1146274</v>
      </c>
      <c r="W4">
        <v>1146274</v>
      </c>
      <c r="X4">
        <v>1146274</v>
      </c>
      <c r="Y4">
        <v>1146274</v>
      </c>
      <c r="Z4">
        <v>1146274</v>
      </c>
      <c r="AA4">
        <v>1146274</v>
      </c>
      <c r="AB4">
        <v>1146274</v>
      </c>
      <c r="AC4">
        <v>1146274</v>
      </c>
    </row>
    <row r="5" spans="1:29">
      <c r="A5" t="s">
        <v>220</v>
      </c>
      <c r="B5">
        <v>17005</v>
      </c>
      <c r="C5">
        <v>17005</v>
      </c>
      <c r="D5">
        <v>17005</v>
      </c>
      <c r="E5">
        <v>17005</v>
      </c>
      <c r="F5">
        <v>17005</v>
      </c>
      <c r="G5">
        <v>17005</v>
      </c>
      <c r="H5">
        <v>17005</v>
      </c>
      <c r="I5">
        <v>17005</v>
      </c>
      <c r="J5">
        <v>17005</v>
      </c>
      <c r="K5">
        <v>17005</v>
      </c>
      <c r="L5">
        <v>17005</v>
      </c>
      <c r="M5">
        <v>17005</v>
      </c>
      <c r="N5">
        <v>17005</v>
      </c>
      <c r="O5">
        <v>17005</v>
      </c>
      <c r="P5">
        <v>17005</v>
      </c>
      <c r="Q5">
        <v>17005</v>
      </c>
      <c r="R5">
        <v>17005</v>
      </c>
      <c r="S5">
        <v>17005</v>
      </c>
      <c r="T5">
        <v>17005</v>
      </c>
      <c r="U5">
        <v>17005</v>
      </c>
      <c r="V5">
        <v>17005</v>
      </c>
      <c r="W5">
        <v>17005</v>
      </c>
      <c r="X5">
        <v>17005</v>
      </c>
      <c r="Y5">
        <v>17005</v>
      </c>
      <c r="Z5">
        <v>17005</v>
      </c>
      <c r="AA5">
        <v>17005</v>
      </c>
      <c r="AB5">
        <v>17005</v>
      </c>
      <c r="AC5">
        <v>17005</v>
      </c>
    </row>
    <row r="6" spans="1:29">
      <c r="A6" t="s">
        <v>221</v>
      </c>
      <c r="B6">
        <v>7513092</v>
      </c>
      <c r="C6">
        <v>7513092</v>
      </c>
      <c r="D6">
        <v>7513092</v>
      </c>
      <c r="E6">
        <v>7513092</v>
      </c>
      <c r="F6">
        <v>7513092</v>
      </c>
      <c r="G6">
        <v>7513092</v>
      </c>
      <c r="H6">
        <v>7513092</v>
      </c>
      <c r="I6">
        <v>7513092</v>
      </c>
      <c r="J6">
        <v>7513092</v>
      </c>
      <c r="K6">
        <v>7513092</v>
      </c>
      <c r="L6">
        <v>7513092</v>
      </c>
      <c r="M6">
        <v>7513092</v>
      </c>
      <c r="N6">
        <v>7513092</v>
      </c>
      <c r="O6">
        <v>7513092</v>
      </c>
      <c r="P6">
        <v>7513092</v>
      </c>
      <c r="Q6">
        <v>7513092</v>
      </c>
      <c r="R6">
        <v>7513092</v>
      </c>
      <c r="S6">
        <v>7513092</v>
      </c>
      <c r="T6">
        <v>7513092</v>
      </c>
      <c r="U6">
        <v>7513092</v>
      </c>
      <c r="V6">
        <v>7513092</v>
      </c>
      <c r="W6">
        <v>7513092</v>
      </c>
      <c r="X6">
        <v>7513092</v>
      </c>
      <c r="Y6">
        <v>7513092</v>
      </c>
      <c r="Z6">
        <v>7513092</v>
      </c>
      <c r="AA6">
        <v>7513092</v>
      </c>
      <c r="AB6">
        <v>7513092</v>
      </c>
      <c r="AC6">
        <v>7513092</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3046875" style="41" customWidth="1"/>
    <col min="2" max="32" width="8.86328125" style="41" hidden="1" customWidth="1"/>
    <col min="33" max="35" width="8.86328125" style="41" bestFit="1" customWidth="1"/>
    <col min="36" max="37" width="8.86328125" style="41" customWidth="1"/>
    <col min="38" max="245" width="9.1328125" style="41"/>
    <col min="246" max="246" width="37.73046875" style="41" customWidth="1"/>
    <col min="247" max="273" width="12.1328125" style="41" customWidth="1"/>
    <col min="274" max="274" width="12.73046875" style="41" customWidth="1"/>
    <col min="275" max="276" width="9.1328125" style="41"/>
    <col min="277" max="278" width="13.3984375" style="41" customWidth="1"/>
    <col min="279" max="279" width="13.86328125" style="41" customWidth="1"/>
    <col min="280" max="501" width="9.1328125" style="41"/>
    <col min="502" max="502" width="37.73046875" style="41" customWidth="1"/>
    <col min="503" max="529" width="12.1328125" style="41" customWidth="1"/>
    <col min="530" max="530" width="12.73046875" style="41" customWidth="1"/>
    <col min="531" max="532" width="9.1328125" style="41"/>
    <col min="533" max="534" width="13.3984375" style="41" customWidth="1"/>
    <col min="535" max="535" width="13.86328125" style="41" customWidth="1"/>
    <col min="536" max="757" width="9.1328125" style="41"/>
    <col min="758" max="758" width="37.73046875" style="41" customWidth="1"/>
    <col min="759" max="785" width="12.1328125" style="41" customWidth="1"/>
    <col min="786" max="786" width="12.73046875" style="41" customWidth="1"/>
    <col min="787" max="788" width="9.1328125" style="41"/>
    <col min="789" max="790" width="13.3984375" style="41" customWidth="1"/>
    <col min="791" max="791" width="13.86328125" style="41" customWidth="1"/>
    <col min="792" max="1013" width="9.1328125" style="41"/>
    <col min="1014" max="1014" width="37.73046875" style="41" customWidth="1"/>
    <col min="1015" max="1041" width="12.1328125" style="41" customWidth="1"/>
    <col min="1042" max="1042" width="12.73046875" style="41" customWidth="1"/>
    <col min="1043" max="1044" width="9.1328125" style="41"/>
    <col min="1045" max="1046" width="13.3984375" style="41" customWidth="1"/>
    <col min="1047" max="1047" width="13.86328125" style="41" customWidth="1"/>
    <col min="1048" max="1269" width="9.1328125" style="41"/>
    <col min="1270" max="1270" width="37.73046875" style="41" customWidth="1"/>
    <col min="1271" max="1297" width="12.1328125" style="41" customWidth="1"/>
    <col min="1298" max="1298" width="12.73046875" style="41" customWidth="1"/>
    <col min="1299" max="1300" width="9.1328125" style="41"/>
    <col min="1301" max="1302" width="13.3984375" style="41" customWidth="1"/>
    <col min="1303" max="1303" width="13.86328125" style="41" customWidth="1"/>
    <col min="1304" max="1525" width="9.1328125" style="41"/>
    <col min="1526" max="1526" width="37.73046875" style="41" customWidth="1"/>
    <col min="1527" max="1553" width="12.1328125" style="41" customWidth="1"/>
    <col min="1554" max="1554" width="12.73046875" style="41" customWidth="1"/>
    <col min="1555" max="1556" width="9.1328125" style="41"/>
    <col min="1557" max="1558" width="13.3984375" style="41" customWidth="1"/>
    <col min="1559" max="1559" width="13.86328125" style="41" customWidth="1"/>
    <col min="1560" max="1781" width="9.1328125" style="41"/>
    <col min="1782" max="1782" width="37.73046875" style="41" customWidth="1"/>
    <col min="1783" max="1809" width="12.1328125" style="41" customWidth="1"/>
    <col min="1810" max="1810" width="12.73046875" style="41" customWidth="1"/>
    <col min="1811" max="1812" width="9.1328125" style="41"/>
    <col min="1813" max="1814" width="13.3984375" style="41" customWidth="1"/>
    <col min="1815" max="1815" width="13.86328125" style="41" customWidth="1"/>
    <col min="1816" max="2037" width="9.1328125" style="41"/>
    <col min="2038" max="2038" width="37.73046875" style="41" customWidth="1"/>
    <col min="2039" max="2065" width="12.1328125" style="41" customWidth="1"/>
    <col min="2066" max="2066" width="12.73046875" style="41" customWidth="1"/>
    <col min="2067" max="2068" width="9.1328125" style="41"/>
    <col min="2069" max="2070" width="13.3984375" style="41" customWidth="1"/>
    <col min="2071" max="2071" width="13.86328125" style="41" customWidth="1"/>
    <col min="2072" max="2293" width="9.1328125" style="41"/>
    <col min="2294" max="2294" width="37.73046875" style="41" customWidth="1"/>
    <col min="2295" max="2321" width="12.1328125" style="41" customWidth="1"/>
    <col min="2322" max="2322" width="12.73046875" style="41" customWidth="1"/>
    <col min="2323" max="2324" width="9.1328125" style="41"/>
    <col min="2325" max="2326" width="13.3984375" style="41" customWidth="1"/>
    <col min="2327" max="2327" width="13.86328125" style="41" customWidth="1"/>
    <col min="2328" max="2549" width="9.1328125" style="41"/>
    <col min="2550" max="2550" width="37.73046875" style="41" customWidth="1"/>
    <col min="2551" max="2577" width="12.1328125" style="41" customWidth="1"/>
    <col min="2578" max="2578" width="12.73046875" style="41" customWidth="1"/>
    <col min="2579" max="2580" width="9.1328125" style="41"/>
    <col min="2581" max="2582" width="13.3984375" style="41" customWidth="1"/>
    <col min="2583" max="2583" width="13.86328125" style="41" customWidth="1"/>
    <col min="2584" max="2805" width="9.1328125" style="41"/>
    <col min="2806" max="2806" width="37.73046875" style="41" customWidth="1"/>
    <col min="2807" max="2833" width="12.1328125" style="41" customWidth="1"/>
    <col min="2834" max="2834" width="12.73046875" style="41" customWidth="1"/>
    <col min="2835" max="2836" width="9.1328125" style="41"/>
    <col min="2837" max="2838" width="13.3984375" style="41" customWidth="1"/>
    <col min="2839" max="2839" width="13.86328125" style="41" customWidth="1"/>
    <col min="2840" max="3061" width="9.1328125" style="41"/>
    <col min="3062" max="3062" width="37.73046875" style="41" customWidth="1"/>
    <col min="3063" max="3089" width="12.1328125" style="41" customWidth="1"/>
    <col min="3090" max="3090" width="12.73046875" style="41" customWidth="1"/>
    <col min="3091" max="3092" width="9.1328125" style="41"/>
    <col min="3093" max="3094" width="13.3984375" style="41" customWidth="1"/>
    <col min="3095" max="3095" width="13.86328125" style="41" customWidth="1"/>
    <col min="3096" max="3317" width="9.1328125" style="41"/>
    <col min="3318" max="3318" width="37.73046875" style="41" customWidth="1"/>
    <col min="3319" max="3345" width="12.1328125" style="41" customWidth="1"/>
    <col min="3346" max="3346" width="12.73046875" style="41" customWidth="1"/>
    <col min="3347" max="3348" width="9.1328125" style="41"/>
    <col min="3349" max="3350" width="13.3984375" style="41" customWidth="1"/>
    <col min="3351" max="3351" width="13.86328125" style="41" customWidth="1"/>
    <col min="3352" max="3573" width="9.1328125" style="41"/>
    <col min="3574" max="3574" width="37.73046875" style="41" customWidth="1"/>
    <col min="3575" max="3601" width="12.1328125" style="41" customWidth="1"/>
    <col min="3602" max="3602" width="12.73046875" style="41" customWidth="1"/>
    <col min="3603" max="3604" width="9.1328125" style="41"/>
    <col min="3605" max="3606" width="13.3984375" style="41" customWidth="1"/>
    <col min="3607" max="3607" width="13.86328125" style="41" customWidth="1"/>
    <col min="3608" max="3829" width="9.1328125" style="41"/>
    <col min="3830" max="3830" width="37.73046875" style="41" customWidth="1"/>
    <col min="3831" max="3857" width="12.1328125" style="41" customWidth="1"/>
    <col min="3858" max="3858" width="12.73046875" style="41" customWidth="1"/>
    <col min="3859" max="3860" width="9.1328125" style="41"/>
    <col min="3861" max="3862" width="13.3984375" style="41" customWidth="1"/>
    <col min="3863" max="3863" width="13.86328125" style="41" customWidth="1"/>
    <col min="3864" max="4085" width="9.1328125" style="41"/>
    <col min="4086" max="4086" width="37.73046875" style="41" customWidth="1"/>
    <col min="4087" max="4113" width="12.1328125" style="41" customWidth="1"/>
    <col min="4114" max="4114" width="12.73046875" style="41" customWidth="1"/>
    <col min="4115" max="4116" width="9.1328125" style="41"/>
    <col min="4117" max="4118" width="13.3984375" style="41" customWidth="1"/>
    <col min="4119" max="4119" width="13.86328125" style="41" customWidth="1"/>
    <col min="4120" max="4341" width="9.1328125" style="41"/>
    <col min="4342" max="4342" width="37.73046875" style="41" customWidth="1"/>
    <col min="4343" max="4369" width="12.1328125" style="41" customWidth="1"/>
    <col min="4370" max="4370" width="12.73046875" style="41" customWidth="1"/>
    <col min="4371" max="4372" width="9.1328125" style="41"/>
    <col min="4373" max="4374" width="13.3984375" style="41" customWidth="1"/>
    <col min="4375" max="4375" width="13.86328125" style="41" customWidth="1"/>
    <col min="4376" max="4597" width="9.1328125" style="41"/>
    <col min="4598" max="4598" width="37.73046875" style="41" customWidth="1"/>
    <col min="4599" max="4625" width="12.1328125" style="41" customWidth="1"/>
    <col min="4626" max="4626" width="12.73046875" style="41" customWidth="1"/>
    <col min="4627" max="4628" width="9.1328125" style="41"/>
    <col min="4629" max="4630" width="13.3984375" style="41" customWidth="1"/>
    <col min="4631" max="4631" width="13.86328125" style="41" customWidth="1"/>
    <col min="4632" max="4853" width="9.1328125" style="41"/>
    <col min="4854" max="4854" width="37.73046875" style="41" customWidth="1"/>
    <col min="4855" max="4881" width="12.1328125" style="41" customWidth="1"/>
    <col min="4882" max="4882" width="12.73046875" style="41" customWidth="1"/>
    <col min="4883" max="4884" width="9.1328125" style="41"/>
    <col min="4885" max="4886" width="13.3984375" style="41" customWidth="1"/>
    <col min="4887" max="4887" width="13.86328125" style="41" customWidth="1"/>
    <col min="4888" max="5109" width="9.1328125" style="41"/>
    <col min="5110" max="5110" width="37.73046875" style="41" customWidth="1"/>
    <col min="5111" max="5137" width="12.1328125" style="41" customWidth="1"/>
    <col min="5138" max="5138" width="12.73046875" style="41" customWidth="1"/>
    <col min="5139" max="5140" width="9.1328125" style="41"/>
    <col min="5141" max="5142" width="13.3984375" style="41" customWidth="1"/>
    <col min="5143" max="5143" width="13.86328125" style="41" customWidth="1"/>
    <col min="5144" max="5365" width="9.1328125" style="41"/>
    <col min="5366" max="5366" width="37.73046875" style="41" customWidth="1"/>
    <col min="5367" max="5393" width="12.1328125" style="41" customWidth="1"/>
    <col min="5394" max="5394" width="12.73046875" style="41" customWidth="1"/>
    <col min="5395" max="5396" width="9.1328125" style="41"/>
    <col min="5397" max="5398" width="13.3984375" style="41" customWidth="1"/>
    <col min="5399" max="5399" width="13.86328125" style="41" customWidth="1"/>
    <col min="5400" max="5621" width="9.1328125" style="41"/>
    <col min="5622" max="5622" width="37.73046875" style="41" customWidth="1"/>
    <col min="5623" max="5649" width="12.1328125" style="41" customWidth="1"/>
    <col min="5650" max="5650" width="12.73046875" style="41" customWidth="1"/>
    <col min="5651" max="5652" width="9.1328125" style="41"/>
    <col min="5653" max="5654" width="13.3984375" style="41" customWidth="1"/>
    <col min="5655" max="5655" width="13.86328125" style="41" customWidth="1"/>
    <col min="5656" max="5877" width="9.1328125" style="41"/>
    <col min="5878" max="5878" width="37.73046875" style="41" customWidth="1"/>
    <col min="5879" max="5905" width="12.1328125" style="41" customWidth="1"/>
    <col min="5906" max="5906" width="12.73046875" style="41" customWidth="1"/>
    <col min="5907" max="5908" width="9.1328125" style="41"/>
    <col min="5909" max="5910" width="13.3984375" style="41" customWidth="1"/>
    <col min="5911" max="5911" width="13.86328125" style="41" customWidth="1"/>
    <col min="5912" max="6133" width="9.1328125" style="41"/>
    <col min="6134" max="6134" width="37.73046875" style="41" customWidth="1"/>
    <col min="6135" max="6161" width="12.1328125" style="41" customWidth="1"/>
    <col min="6162" max="6162" width="12.73046875" style="41" customWidth="1"/>
    <col min="6163" max="6164" width="9.1328125" style="41"/>
    <col min="6165" max="6166" width="13.3984375" style="41" customWidth="1"/>
    <col min="6167" max="6167" width="13.86328125" style="41" customWidth="1"/>
    <col min="6168" max="6389" width="9.1328125" style="41"/>
    <col min="6390" max="6390" width="37.73046875" style="41" customWidth="1"/>
    <col min="6391" max="6417" width="12.1328125" style="41" customWidth="1"/>
    <col min="6418" max="6418" width="12.73046875" style="41" customWidth="1"/>
    <col min="6419" max="6420" width="9.1328125" style="41"/>
    <col min="6421" max="6422" width="13.3984375" style="41" customWidth="1"/>
    <col min="6423" max="6423" width="13.86328125" style="41" customWidth="1"/>
    <col min="6424" max="6645" width="9.1328125" style="41"/>
    <col min="6646" max="6646" width="37.73046875" style="41" customWidth="1"/>
    <col min="6647" max="6673" width="12.1328125" style="41" customWidth="1"/>
    <col min="6674" max="6674" width="12.73046875" style="41" customWidth="1"/>
    <col min="6675" max="6676" width="9.1328125" style="41"/>
    <col min="6677" max="6678" width="13.3984375" style="41" customWidth="1"/>
    <col min="6679" max="6679" width="13.86328125" style="41" customWidth="1"/>
    <col min="6680" max="6901" width="9.1328125" style="41"/>
    <col min="6902" max="6902" width="37.73046875" style="41" customWidth="1"/>
    <col min="6903" max="6929" width="12.1328125" style="41" customWidth="1"/>
    <col min="6930" max="6930" width="12.73046875" style="41" customWidth="1"/>
    <col min="6931" max="6932" width="9.1328125" style="41"/>
    <col min="6933" max="6934" width="13.3984375" style="41" customWidth="1"/>
    <col min="6935" max="6935" width="13.86328125" style="41" customWidth="1"/>
    <col min="6936" max="7157" width="9.1328125" style="41"/>
    <col min="7158" max="7158" width="37.73046875" style="41" customWidth="1"/>
    <col min="7159" max="7185" width="12.1328125" style="41" customWidth="1"/>
    <col min="7186" max="7186" width="12.73046875" style="41" customWidth="1"/>
    <col min="7187" max="7188" width="9.1328125" style="41"/>
    <col min="7189" max="7190" width="13.3984375" style="41" customWidth="1"/>
    <col min="7191" max="7191" width="13.86328125" style="41" customWidth="1"/>
    <col min="7192" max="7413" width="9.1328125" style="41"/>
    <col min="7414" max="7414" width="37.73046875" style="41" customWidth="1"/>
    <col min="7415" max="7441" width="12.1328125" style="41" customWidth="1"/>
    <col min="7442" max="7442" width="12.73046875" style="41" customWidth="1"/>
    <col min="7443" max="7444" width="9.1328125" style="41"/>
    <col min="7445" max="7446" width="13.3984375" style="41" customWidth="1"/>
    <col min="7447" max="7447" width="13.86328125" style="41" customWidth="1"/>
    <col min="7448" max="7669" width="9.1328125" style="41"/>
    <col min="7670" max="7670" width="37.73046875" style="41" customWidth="1"/>
    <col min="7671" max="7697" width="12.1328125" style="41" customWidth="1"/>
    <col min="7698" max="7698" width="12.73046875" style="41" customWidth="1"/>
    <col min="7699" max="7700" width="9.1328125" style="41"/>
    <col min="7701" max="7702" width="13.3984375" style="41" customWidth="1"/>
    <col min="7703" max="7703" width="13.86328125" style="41" customWidth="1"/>
    <col min="7704" max="7925" width="9.1328125" style="41"/>
    <col min="7926" max="7926" width="37.73046875" style="41" customWidth="1"/>
    <col min="7927" max="7953" width="12.1328125" style="41" customWidth="1"/>
    <col min="7954" max="7954" width="12.73046875" style="41" customWidth="1"/>
    <col min="7955" max="7956" width="9.1328125" style="41"/>
    <col min="7957" max="7958" width="13.3984375" style="41" customWidth="1"/>
    <col min="7959" max="7959" width="13.86328125" style="41" customWidth="1"/>
    <col min="7960" max="8181" width="9.1328125" style="41"/>
    <col min="8182" max="8182" width="37.73046875" style="41" customWidth="1"/>
    <col min="8183" max="8209" width="12.1328125" style="41" customWidth="1"/>
    <col min="8210" max="8210" width="12.73046875" style="41" customWidth="1"/>
    <col min="8211" max="8212" width="9.1328125" style="41"/>
    <col min="8213" max="8214" width="13.3984375" style="41" customWidth="1"/>
    <col min="8215" max="8215" width="13.86328125" style="41" customWidth="1"/>
    <col min="8216" max="8437" width="9.1328125" style="41"/>
    <col min="8438" max="8438" width="37.73046875" style="41" customWidth="1"/>
    <col min="8439" max="8465" width="12.1328125" style="41" customWidth="1"/>
    <col min="8466" max="8466" width="12.73046875" style="41" customWidth="1"/>
    <col min="8467" max="8468" width="9.1328125" style="41"/>
    <col min="8469" max="8470" width="13.3984375" style="41" customWidth="1"/>
    <col min="8471" max="8471" width="13.86328125" style="41" customWidth="1"/>
    <col min="8472" max="8693" width="9.1328125" style="41"/>
    <col min="8694" max="8694" width="37.73046875" style="41" customWidth="1"/>
    <col min="8695" max="8721" width="12.1328125" style="41" customWidth="1"/>
    <col min="8722" max="8722" width="12.73046875" style="41" customWidth="1"/>
    <col min="8723" max="8724" width="9.1328125" style="41"/>
    <col min="8725" max="8726" width="13.3984375" style="41" customWidth="1"/>
    <col min="8727" max="8727" width="13.86328125" style="41" customWidth="1"/>
    <col min="8728" max="8949" width="9.1328125" style="41"/>
    <col min="8950" max="8950" width="37.73046875" style="41" customWidth="1"/>
    <col min="8951" max="8977" width="12.1328125" style="41" customWidth="1"/>
    <col min="8978" max="8978" width="12.73046875" style="41" customWidth="1"/>
    <col min="8979" max="8980" width="9.1328125" style="41"/>
    <col min="8981" max="8982" width="13.3984375" style="41" customWidth="1"/>
    <col min="8983" max="8983" width="13.86328125" style="41" customWidth="1"/>
    <col min="8984" max="9205" width="9.1328125" style="41"/>
    <col min="9206" max="9206" width="37.73046875" style="41" customWidth="1"/>
    <col min="9207" max="9233" width="12.1328125" style="41" customWidth="1"/>
    <col min="9234" max="9234" width="12.73046875" style="41" customWidth="1"/>
    <col min="9235" max="9236" width="9.1328125" style="41"/>
    <col min="9237" max="9238" width="13.3984375" style="41" customWidth="1"/>
    <col min="9239" max="9239" width="13.86328125" style="41" customWidth="1"/>
    <col min="9240" max="9461" width="9.1328125" style="41"/>
    <col min="9462" max="9462" width="37.73046875" style="41" customWidth="1"/>
    <col min="9463" max="9489" width="12.1328125" style="41" customWidth="1"/>
    <col min="9490" max="9490" width="12.73046875" style="41" customWidth="1"/>
    <col min="9491" max="9492" width="9.1328125" style="41"/>
    <col min="9493" max="9494" width="13.3984375" style="41" customWidth="1"/>
    <col min="9495" max="9495" width="13.86328125" style="41" customWidth="1"/>
    <col min="9496" max="9717" width="9.1328125" style="41"/>
    <col min="9718" max="9718" width="37.73046875" style="41" customWidth="1"/>
    <col min="9719" max="9745" width="12.1328125" style="41" customWidth="1"/>
    <col min="9746" max="9746" width="12.73046875" style="41" customWidth="1"/>
    <col min="9747" max="9748" width="9.1328125" style="41"/>
    <col min="9749" max="9750" width="13.3984375" style="41" customWidth="1"/>
    <col min="9751" max="9751" width="13.86328125" style="41" customWidth="1"/>
    <col min="9752" max="9973" width="9.1328125" style="41"/>
    <col min="9974" max="9974" width="37.73046875" style="41" customWidth="1"/>
    <col min="9975" max="10001" width="12.1328125" style="41" customWidth="1"/>
    <col min="10002" max="10002" width="12.73046875" style="41" customWidth="1"/>
    <col min="10003" max="10004" width="9.1328125" style="41"/>
    <col min="10005" max="10006" width="13.3984375" style="41" customWidth="1"/>
    <col min="10007" max="10007" width="13.86328125" style="41" customWidth="1"/>
    <col min="10008" max="10229" width="9.1328125" style="41"/>
    <col min="10230" max="10230" width="37.73046875" style="41" customWidth="1"/>
    <col min="10231" max="10257" width="12.1328125" style="41" customWidth="1"/>
    <col min="10258" max="10258" width="12.73046875" style="41" customWidth="1"/>
    <col min="10259" max="10260" width="9.1328125" style="41"/>
    <col min="10261" max="10262" width="13.3984375" style="41" customWidth="1"/>
    <col min="10263" max="10263" width="13.86328125" style="41" customWidth="1"/>
    <col min="10264" max="10485" width="9.1328125" style="41"/>
    <col min="10486" max="10486" width="37.73046875" style="41" customWidth="1"/>
    <col min="10487" max="10513" width="12.1328125" style="41" customWidth="1"/>
    <col min="10514" max="10514" width="12.73046875" style="41" customWidth="1"/>
    <col min="10515" max="10516" width="9.1328125" style="41"/>
    <col min="10517" max="10518" width="13.3984375" style="41" customWidth="1"/>
    <col min="10519" max="10519" width="13.86328125" style="41" customWidth="1"/>
    <col min="10520" max="10741" width="9.1328125" style="41"/>
    <col min="10742" max="10742" width="37.73046875" style="41" customWidth="1"/>
    <col min="10743" max="10769" width="12.1328125" style="41" customWidth="1"/>
    <col min="10770" max="10770" width="12.73046875" style="41" customWidth="1"/>
    <col min="10771" max="10772" width="9.1328125" style="41"/>
    <col min="10773" max="10774" width="13.3984375" style="41" customWidth="1"/>
    <col min="10775" max="10775" width="13.86328125" style="41" customWidth="1"/>
    <col min="10776" max="10997" width="9.1328125" style="41"/>
    <col min="10998" max="10998" width="37.73046875" style="41" customWidth="1"/>
    <col min="10999" max="11025" width="12.1328125" style="41" customWidth="1"/>
    <col min="11026" max="11026" width="12.73046875" style="41" customWidth="1"/>
    <col min="11027" max="11028" width="9.1328125" style="41"/>
    <col min="11029" max="11030" width="13.3984375" style="41" customWidth="1"/>
    <col min="11031" max="11031" width="13.86328125" style="41" customWidth="1"/>
    <col min="11032" max="11253" width="9.1328125" style="41"/>
    <col min="11254" max="11254" width="37.73046875" style="41" customWidth="1"/>
    <col min="11255" max="11281" width="12.1328125" style="41" customWidth="1"/>
    <col min="11282" max="11282" width="12.73046875" style="41" customWidth="1"/>
    <col min="11283" max="11284" width="9.1328125" style="41"/>
    <col min="11285" max="11286" width="13.3984375" style="41" customWidth="1"/>
    <col min="11287" max="11287" width="13.86328125" style="41" customWidth="1"/>
    <col min="11288" max="11509" width="9.1328125" style="41"/>
    <col min="11510" max="11510" width="37.73046875" style="41" customWidth="1"/>
    <col min="11511" max="11537" width="12.1328125" style="41" customWidth="1"/>
    <col min="11538" max="11538" width="12.73046875" style="41" customWidth="1"/>
    <col min="11539" max="11540" width="9.1328125" style="41"/>
    <col min="11541" max="11542" width="13.3984375" style="41" customWidth="1"/>
    <col min="11543" max="11543" width="13.86328125" style="41" customWidth="1"/>
    <col min="11544" max="11765" width="9.1328125" style="41"/>
    <col min="11766" max="11766" width="37.73046875" style="41" customWidth="1"/>
    <col min="11767" max="11793" width="12.1328125" style="41" customWidth="1"/>
    <col min="11794" max="11794" width="12.73046875" style="41" customWidth="1"/>
    <col min="11795" max="11796" width="9.1328125" style="41"/>
    <col min="11797" max="11798" width="13.3984375" style="41" customWidth="1"/>
    <col min="11799" max="11799" width="13.86328125" style="41" customWidth="1"/>
    <col min="11800" max="12021" width="9.1328125" style="41"/>
    <col min="12022" max="12022" width="37.73046875" style="41" customWidth="1"/>
    <col min="12023" max="12049" width="12.1328125" style="41" customWidth="1"/>
    <col min="12050" max="12050" width="12.73046875" style="41" customWidth="1"/>
    <col min="12051" max="12052" width="9.1328125" style="41"/>
    <col min="12053" max="12054" width="13.3984375" style="41" customWidth="1"/>
    <col min="12055" max="12055" width="13.86328125" style="41" customWidth="1"/>
    <col min="12056" max="12277" width="9.1328125" style="41"/>
    <col min="12278" max="12278" width="37.73046875" style="41" customWidth="1"/>
    <col min="12279" max="12305" width="12.1328125" style="41" customWidth="1"/>
    <col min="12306" max="12306" width="12.73046875" style="41" customWidth="1"/>
    <col min="12307" max="12308" width="9.1328125" style="41"/>
    <col min="12309" max="12310" width="13.3984375" style="41" customWidth="1"/>
    <col min="12311" max="12311" width="13.86328125" style="41" customWidth="1"/>
    <col min="12312" max="12533" width="9.1328125" style="41"/>
    <col min="12534" max="12534" width="37.73046875" style="41" customWidth="1"/>
    <col min="12535" max="12561" width="12.1328125" style="41" customWidth="1"/>
    <col min="12562" max="12562" width="12.73046875" style="41" customWidth="1"/>
    <col min="12563" max="12564" width="9.1328125" style="41"/>
    <col min="12565" max="12566" width="13.3984375" style="41" customWidth="1"/>
    <col min="12567" max="12567" width="13.86328125" style="41" customWidth="1"/>
    <col min="12568" max="12789" width="9.1328125" style="41"/>
    <col min="12790" max="12790" width="37.73046875" style="41" customWidth="1"/>
    <col min="12791" max="12817" width="12.1328125" style="41" customWidth="1"/>
    <col min="12818" max="12818" width="12.73046875" style="41" customWidth="1"/>
    <col min="12819" max="12820" width="9.1328125" style="41"/>
    <col min="12821" max="12822" width="13.3984375" style="41" customWidth="1"/>
    <col min="12823" max="12823" width="13.86328125" style="41" customWidth="1"/>
    <col min="12824" max="13045" width="9.1328125" style="41"/>
    <col min="13046" max="13046" width="37.73046875" style="41" customWidth="1"/>
    <col min="13047" max="13073" width="12.1328125" style="41" customWidth="1"/>
    <col min="13074" max="13074" width="12.73046875" style="41" customWidth="1"/>
    <col min="13075" max="13076" width="9.1328125" style="41"/>
    <col min="13077" max="13078" width="13.3984375" style="41" customWidth="1"/>
    <col min="13079" max="13079" width="13.86328125" style="41" customWidth="1"/>
    <col min="13080" max="13301" width="9.1328125" style="41"/>
    <col min="13302" max="13302" width="37.73046875" style="41" customWidth="1"/>
    <col min="13303" max="13329" width="12.1328125" style="41" customWidth="1"/>
    <col min="13330" max="13330" width="12.73046875" style="41" customWidth="1"/>
    <col min="13331" max="13332" width="9.1328125" style="41"/>
    <col min="13333" max="13334" width="13.3984375" style="41" customWidth="1"/>
    <col min="13335" max="13335" width="13.86328125" style="41" customWidth="1"/>
    <col min="13336" max="13557" width="9.1328125" style="41"/>
    <col min="13558" max="13558" width="37.73046875" style="41" customWidth="1"/>
    <col min="13559" max="13585" width="12.1328125" style="41" customWidth="1"/>
    <col min="13586" max="13586" width="12.73046875" style="41" customWidth="1"/>
    <col min="13587" max="13588" width="9.1328125" style="41"/>
    <col min="13589" max="13590" width="13.3984375" style="41" customWidth="1"/>
    <col min="13591" max="13591" width="13.86328125" style="41" customWidth="1"/>
    <col min="13592" max="13813" width="9.1328125" style="41"/>
    <col min="13814" max="13814" width="37.73046875" style="41" customWidth="1"/>
    <col min="13815" max="13841" width="12.1328125" style="41" customWidth="1"/>
    <col min="13842" max="13842" width="12.73046875" style="41" customWidth="1"/>
    <col min="13843" max="13844" width="9.1328125" style="41"/>
    <col min="13845" max="13846" width="13.3984375" style="41" customWidth="1"/>
    <col min="13847" max="13847" width="13.86328125" style="41" customWidth="1"/>
    <col min="13848" max="14069" width="9.1328125" style="41"/>
    <col min="14070" max="14070" width="37.73046875" style="41" customWidth="1"/>
    <col min="14071" max="14097" width="12.1328125" style="41" customWidth="1"/>
    <col min="14098" max="14098" width="12.73046875" style="41" customWidth="1"/>
    <col min="14099" max="14100" width="9.1328125" style="41"/>
    <col min="14101" max="14102" width="13.3984375" style="41" customWidth="1"/>
    <col min="14103" max="14103" width="13.86328125" style="41" customWidth="1"/>
    <col min="14104" max="14325" width="9.1328125" style="41"/>
    <col min="14326" max="14326" width="37.73046875" style="41" customWidth="1"/>
    <col min="14327" max="14353" width="12.1328125" style="41" customWidth="1"/>
    <col min="14354" max="14354" width="12.73046875" style="41" customWidth="1"/>
    <col min="14355" max="14356" width="9.1328125" style="41"/>
    <col min="14357" max="14358" width="13.3984375" style="41" customWidth="1"/>
    <col min="14359" max="14359" width="13.86328125" style="41" customWidth="1"/>
    <col min="14360" max="14581" width="9.1328125" style="41"/>
    <col min="14582" max="14582" width="37.73046875" style="41" customWidth="1"/>
    <col min="14583" max="14609" width="12.1328125" style="41" customWidth="1"/>
    <col min="14610" max="14610" width="12.73046875" style="41" customWidth="1"/>
    <col min="14611" max="14612" width="9.1328125" style="41"/>
    <col min="14613" max="14614" width="13.3984375" style="41" customWidth="1"/>
    <col min="14615" max="14615" width="13.86328125" style="41" customWidth="1"/>
    <col min="14616" max="14837" width="9.1328125" style="41"/>
    <col min="14838" max="14838" width="37.73046875" style="41" customWidth="1"/>
    <col min="14839" max="14865" width="12.1328125" style="41" customWidth="1"/>
    <col min="14866" max="14866" width="12.73046875" style="41" customWidth="1"/>
    <col min="14867" max="14868" width="9.1328125" style="41"/>
    <col min="14869" max="14870" width="13.3984375" style="41" customWidth="1"/>
    <col min="14871" max="14871" width="13.86328125" style="41" customWidth="1"/>
    <col min="14872" max="15093" width="9.1328125" style="41"/>
    <col min="15094" max="15094" width="37.73046875" style="41" customWidth="1"/>
    <col min="15095" max="15121" width="12.1328125" style="41" customWidth="1"/>
    <col min="15122" max="15122" width="12.73046875" style="41" customWidth="1"/>
    <col min="15123" max="15124" width="9.1328125" style="41"/>
    <col min="15125" max="15126" width="13.3984375" style="41" customWidth="1"/>
    <col min="15127" max="15127" width="13.86328125" style="41" customWidth="1"/>
    <col min="15128" max="15349" width="9.1328125" style="41"/>
    <col min="15350" max="15350" width="37.73046875" style="41" customWidth="1"/>
    <col min="15351" max="15377" width="12.1328125" style="41" customWidth="1"/>
    <col min="15378" max="15378" width="12.73046875" style="41" customWidth="1"/>
    <col min="15379" max="15380" width="9.1328125" style="41"/>
    <col min="15381" max="15382" width="13.3984375" style="41" customWidth="1"/>
    <col min="15383" max="15383" width="13.86328125" style="41" customWidth="1"/>
    <col min="15384" max="15605" width="9.1328125" style="41"/>
    <col min="15606" max="15606" width="37.73046875" style="41" customWidth="1"/>
    <col min="15607" max="15633" width="12.1328125" style="41" customWidth="1"/>
    <col min="15634" max="15634" width="12.73046875" style="41" customWidth="1"/>
    <col min="15635" max="15636" width="9.1328125" style="41"/>
    <col min="15637" max="15638" width="13.3984375" style="41" customWidth="1"/>
    <col min="15639" max="15639" width="13.86328125" style="41" customWidth="1"/>
    <col min="15640" max="15861" width="9.1328125" style="41"/>
    <col min="15862" max="15862" width="37.73046875" style="41" customWidth="1"/>
    <col min="15863" max="15889" width="12.1328125" style="41" customWidth="1"/>
    <col min="15890" max="15890" width="12.73046875" style="41" customWidth="1"/>
    <col min="15891" max="15892" width="9.1328125" style="41"/>
    <col min="15893" max="15894" width="13.3984375" style="41" customWidth="1"/>
    <col min="15895" max="15895" width="13.86328125" style="41" customWidth="1"/>
    <col min="15896" max="16117" width="9.1328125" style="41"/>
    <col min="16118" max="16118" width="37.73046875" style="41" customWidth="1"/>
    <col min="16119" max="16145" width="12.1328125" style="41" customWidth="1"/>
    <col min="16146" max="16146" width="12.73046875" style="41" customWidth="1"/>
    <col min="16147" max="16148" width="9.1328125" style="41"/>
    <col min="16149" max="16150" width="13.3984375" style="41" customWidth="1"/>
    <col min="16151" max="16151" width="13.86328125" style="41" customWidth="1"/>
    <col min="16152" max="16384" width="9.1328125" style="41"/>
  </cols>
  <sheetData>
    <row r="1" spans="1:38" s="34" customFormat="1" ht="16.5" customHeight="1" thickBot="1">
      <c r="A1" s="216" t="s">
        <v>186</v>
      </c>
      <c r="B1" s="216"/>
      <c r="C1" s="216"/>
      <c r="D1" s="216"/>
      <c r="E1" s="216"/>
      <c r="F1" s="216"/>
      <c r="G1" s="216"/>
      <c r="H1" s="216"/>
      <c r="I1" s="216"/>
      <c r="J1" s="216"/>
      <c r="K1" s="216"/>
      <c r="L1" s="216"/>
      <c r="M1" s="216"/>
      <c r="N1" s="216"/>
      <c r="O1" s="216"/>
      <c r="P1" s="216"/>
      <c r="Q1" s="216"/>
      <c r="R1" s="216"/>
      <c r="S1" s="216"/>
      <c r="T1" s="216"/>
      <c r="U1" s="216"/>
      <c r="V1" s="216"/>
      <c r="W1" s="216"/>
      <c r="X1" s="216"/>
      <c r="Y1" s="216"/>
      <c r="Z1" s="216"/>
      <c r="AA1" s="216"/>
      <c r="AB1" s="216"/>
      <c r="AC1" s="216"/>
      <c r="AD1" s="216"/>
      <c r="AE1" s="216"/>
      <c r="AF1" s="216"/>
      <c r="AG1" s="216"/>
      <c r="AH1" s="216"/>
      <c r="AI1" s="216"/>
      <c r="AJ1" s="216"/>
      <c r="AK1" s="216"/>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17" t="s">
        <v>475</v>
      </c>
      <c r="B26" s="217"/>
      <c r="C26" s="217"/>
      <c r="D26" s="217"/>
      <c r="E26" s="217"/>
      <c r="F26" s="217"/>
      <c r="G26" s="217"/>
      <c r="H26" s="217"/>
      <c r="I26" s="217"/>
      <c r="J26" s="217"/>
      <c r="K26" s="217"/>
      <c r="L26" s="217"/>
      <c r="M26" s="217"/>
      <c r="N26" s="217"/>
      <c r="O26" s="217"/>
      <c r="P26" s="217"/>
      <c r="Q26" s="217"/>
      <c r="R26" s="217"/>
      <c r="S26" s="217"/>
      <c r="T26" s="217"/>
      <c r="U26" s="217"/>
      <c r="V26" s="217"/>
      <c r="W26" s="217"/>
      <c r="X26" s="217"/>
      <c r="Y26" s="217"/>
      <c r="Z26" s="217"/>
    </row>
    <row r="27" spans="1:38" s="56" customFormat="1" ht="12.75" customHeight="1">
      <c r="A27" s="218"/>
      <c r="B27" s="218"/>
      <c r="C27" s="218"/>
      <c r="D27" s="218"/>
      <c r="E27" s="218"/>
      <c r="F27" s="218"/>
      <c r="G27" s="218"/>
      <c r="H27" s="218"/>
      <c r="I27" s="218"/>
      <c r="J27" s="218"/>
      <c r="K27" s="218"/>
      <c r="L27" s="218"/>
      <c r="M27" s="218"/>
      <c r="N27" s="218"/>
      <c r="O27" s="218"/>
      <c r="P27" s="218"/>
      <c r="Q27" s="218"/>
      <c r="R27" s="218"/>
      <c r="S27" s="218"/>
      <c r="T27" s="218"/>
      <c r="U27" s="218"/>
      <c r="V27" s="218"/>
      <c r="W27" s="218"/>
      <c r="X27" s="218"/>
      <c r="Y27" s="218"/>
      <c r="Z27" s="218"/>
    </row>
    <row r="28" spans="1:38" s="44" customFormat="1" ht="38.25" customHeight="1">
      <c r="A28" s="206" t="s">
        <v>476</v>
      </c>
      <c r="B28" s="206"/>
      <c r="C28" s="206"/>
      <c r="D28" s="206"/>
      <c r="E28" s="206"/>
      <c r="F28" s="206"/>
      <c r="G28" s="206"/>
      <c r="H28" s="206"/>
      <c r="I28" s="206"/>
      <c r="J28" s="206"/>
      <c r="K28" s="206"/>
      <c r="L28" s="206"/>
      <c r="M28" s="206"/>
      <c r="N28" s="206"/>
      <c r="O28" s="206"/>
      <c r="P28" s="206"/>
      <c r="Q28" s="206"/>
      <c r="R28" s="206"/>
      <c r="S28" s="206"/>
      <c r="T28" s="206"/>
      <c r="U28" s="206"/>
      <c r="V28" s="206"/>
      <c r="W28" s="206"/>
      <c r="X28" s="206"/>
      <c r="Y28" s="206"/>
      <c r="Z28" s="206"/>
    </row>
    <row r="29" spans="1:38" s="44" customFormat="1" ht="12.75" customHeight="1">
      <c r="A29" s="206" t="s">
        <v>477</v>
      </c>
      <c r="B29" s="206"/>
      <c r="C29" s="206"/>
      <c r="D29" s="206"/>
      <c r="E29" s="206"/>
      <c r="F29" s="206"/>
      <c r="G29" s="206"/>
      <c r="H29" s="206"/>
      <c r="I29" s="206"/>
      <c r="J29" s="206"/>
      <c r="K29" s="206"/>
      <c r="L29" s="206"/>
      <c r="M29" s="206"/>
      <c r="N29" s="206"/>
      <c r="O29" s="206"/>
      <c r="P29" s="206"/>
      <c r="Q29" s="206"/>
      <c r="R29" s="206"/>
      <c r="S29" s="206"/>
      <c r="T29" s="206"/>
      <c r="U29" s="206"/>
      <c r="V29" s="206"/>
      <c r="W29" s="206"/>
      <c r="X29" s="206"/>
      <c r="Y29" s="206"/>
      <c r="Z29" s="206"/>
    </row>
    <row r="30" spans="1:38" s="44" customFormat="1" ht="12.75" customHeight="1">
      <c r="A30" s="206" t="s">
        <v>478</v>
      </c>
      <c r="B30" s="206"/>
      <c r="C30" s="206"/>
      <c r="D30" s="206"/>
      <c r="E30" s="206"/>
      <c r="F30" s="206"/>
      <c r="G30" s="206"/>
      <c r="H30" s="206"/>
      <c r="I30" s="206"/>
      <c r="J30" s="206"/>
      <c r="K30" s="206"/>
      <c r="L30" s="206"/>
      <c r="M30" s="206"/>
      <c r="N30" s="206"/>
      <c r="O30" s="206"/>
      <c r="P30" s="206"/>
      <c r="Q30" s="206"/>
      <c r="R30" s="206"/>
      <c r="S30" s="206"/>
      <c r="T30" s="206"/>
      <c r="U30" s="206"/>
      <c r="V30" s="206"/>
      <c r="W30" s="206"/>
      <c r="X30" s="206"/>
      <c r="Y30" s="206"/>
      <c r="Z30" s="206"/>
    </row>
    <row r="31" spans="1:38" s="44" customFormat="1" ht="25.5" customHeight="1">
      <c r="A31" s="206" t="s">
        <v>479</v>
      </c>
      <c r="B31" s="206"/>
      <c r="C31" s="206"/>
      <c r="D31" s="206"/>
      <c r="E31" s="206"/>
      <c r="F31" s="206"/>
      <c r="G31" s="206"/>
      <c r="H31" s="206"/>
      <c r="I31" s="206"/>
      <c r="J31" s="206"/>
      <c r="K31" s="206"/>
      <c r="L31" s="206"/>
      <c r="M31" s="206"/>
      <c r="N31" s="206"/>
      <c r="O31" s="206"/>
      <c r="P31" s="206"/>
      <c r="Q31" s="206"/>
      <c r="R31" s="206"/>
      <c r="S31" s="206"/>
      <c r="T31" s="206"/>
      <c r="U31" s="206"/>
      <c r="V31" s="206"/>
      <c r="W31" s="206"/>
      <c r="X31" s="206"/>
      <c r="Y31" s="206"/>
      <c r="Z31" s="206"/>
    </row>
    <row r="32" spans="1:38" s="44" customFormat="1" ht="12.75" customHeight="1">
      <c r="A32" s="206" t="s">
        <v>480</v>
      </c>
      <c r="B32" s="206"/>
      <c r="C32" s="206"/>
      <c r="D32" s="206"/>
      <c r="E32" s="206"/>
      <c r="F32" s="206"/>
      <c r="G32" s="206"/>
      <c r="H32" s="206"/>
      <c r="I32" s="206"/>
      <c r="J32" s="206"/>
      <c r="K32" s="206"/>
      <c r="L32" s="206"/>
      <c r="M32" s="206"/>
      <c r="N32" s="206"/>
      <c r="O32" s="206"/>
      <c r="P32" s="206"/>
      <c r="Q32" s="206"/>
      <c r="R32" s="206"/>
      <c r="S32" s="206"/>
      <c r="T32" s="206"/>
      <c r="U32" s="206"/>
      <c r="V32" s="206"/>
      <c r="W32" s="206"/>
      <c r="X32" s="206"/>
      <c r="Y32" s="206"/>
      <c r="Z32" s="206"/>
    </row>
    <row r="33" spans="1:26" s="44" customFormat="1" ht="12.75" customHeight="1">
      <c r="A33" s="206" t="s">
        <v>481</v>
      </c>
      <c r="B33" s="206"/>
      <c r="C33" s="206"/>
      <c r="D33" s="206"/>
      <c r="E33" s="206"/>
      <c r="F33" s="206"/>
      <c r="G33" s="206"/>
      <c r="H33" s="206"/>
      <c r="I33" s="206"/>
      <c r="J33" s="206"/>
      <c r="K33" s="206"/>
      <c r="L33" s="206"/>
      <c r="M33" s="206"/>
      <c r="N33" s="206"/>
      <c r="O33" s="206"/>
      <c r="P33" s="206"/>
      <c r="Q33" s="206"/>
      <c r="R33" s="206"/>
      <c r="S33" s="206"/>
      <c r="T33" s="206"/>
      <c r="U33" s="206"/>
      <c r="V33" s="206"/>
      <c r="W33" s="206"/>
      <c r="X33" s="206"/>
      <c r="Y33" s="206"/>
      <c r="Z33" s="206"/>
    </row>
    <row r="34" spans="1:26" s="44" customFormat="1" ht="12.75" customHeight="1">
      <c r="A34" s="206" t="s">
        <v>482</v>
      </c>
      <c r="B34" s="206"/>
      <c r="C34" s="206"/>
      <c r="D34" s="206"/>
      <c r="E34" s="206"/>
      <c r="F34" s="206"/>
      <c r="G34" s="206"/>
      <c r="H34" s="206"/>
      <c r="I34" s="206"/>
      <c r="J34" s="206"/>
      <c r="K34" s="206"/>
      <c r="L34" s="206"/>
      <c r="M34" s="206"/>
      <c r="N34" s="206"/>
      <c r="O34" s="206"/>
      <c r="P34" s="206"/>
      <c r="Q34" s="206"/>
      <c r="R34" s="206"/>
      <c r="S34" s="206"/>
      <c r="T34" s="206"/>
      <c r="U34" s="206"/>
      <c r="V34" s="206"/>
      <c r="W34" s="206"/>
      <c r="X34" s="206"/>
      <c r="Y34" s="206"/>
      <c r="Z34" s="206"/>
    </row>
    <row r="35" spans="1:26" s="44" customFormat="1" ht="12.75" customHeight="1">
      <c r="A35" s="207" t="s">
        <v>483</v>
      </c>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row>
    <row r="36" spans="1:26" s="44" customFormat="1" ht="12.75" customHeight="1">
      <c r="A36" s="206" t="s">
        <v>484</v>
      </c>
      <c r="B36" s="206"/>
      <c r="C36" s="206"/>
      <c r="D36" s="206"/>
      <c r="E36" s="206"/>
      <c r="F36" s="206"/>
      <c r="G36" s="206"/>
      <c r="H36" s="206"/>
      <c r="I36" s="206"/>
      <c r="J36" s="206"/>
      <c r="K36" s="206"/>
      <c r="L36" s="206"/>
      <c r="M36" s="206"/>
      <c r="N36" s="206"/>
      <c r="O36" s="206"/>
      <c r="P36" s="206"/>
      <c r="Q36" s="206"/>
      <c r="R36" s="206"/>
      <c r="S36" s="206"/>
      <c r="T36" s="206"/>
      <c r="U36" s="206"/>
      <c r="V36" s="206"/>
      <c r="W36" s="206"/>
      <c r="X36" s="206"/>
      <c r="Y36" s="206"/>
      <c r="Z36" s="206"/>
    </row>
    <row r="37" spans="1:26" s="44" customFormat="1" ht="25.5" customHeight="1">
      <c r="A37" s="206" t="s">
        <v>485</v>
      </c>
      <c r="B37" s="206"/>
      <c r="C37" s="206"/>
      <c r="D37" s="206"/>
      <c r="E37" s="206"/>
      <c r="F37" s="206"/>
      <c r="G37" s="206"/>
      <c r="H37" s="206"/>
      <c r="I37" s="206"/>
      <c r="J37" s="206"/>
      <c r="K37" s="206"/>
      <c r="L37" s="206"/>
      <c r="M37" s="206"/>
      <c r="N37" s="206"/>
      <c r="O37" s="206"/>
      <c r="P37" s="206"/>
      <c r="Q37" s="206"/>
      <c r="R37" s="206"/>
      <c r="S37" s="206"/>
      <c r="T37" s="206"/>
      <c r="U37" s="206"/>
      <c r="V37" s="206"/>
      <c r="W37" s="206"/>
      <c r="X37" s="206"/>
      <c r="Y37" s="206"/>
      <c r="Z37" s="206"/>
    </row>
    <row r="38" spans="1:26" s="44" customFormat="1" ht="12.75" customHeight="1">
      <c r="A38" s="203"/>
      <c r="B38" s="203"/>
      <c r="C38" s="203"/>
      <c r="D38" s="203"/>
      <c r="E38" s="203"/>
      <c r="F38" s="203"/>
      <c r="G38" s="203"/>
      <c r="H38" s="203"/>
      <c r="I38" s="203"/>
      <c r="J38" s="203"/>
      <c r="K38" s="203"/>
      <c r="L38" s="203"/>
      <c r="M38" s="203"/>
      <c r="N38" s="203"/>
      <c r="O38" s="203"/>
      <c r="P38" s="203"/>
      <c r="Q38" s="203"/>
      <c r="R38" s="203"/>
      <c r="S38" s="203"/>
      <c r="T38" s="203"/>
      <c r="U38" s="203"/>
      <c r="V38" s="203"/>
      <c r="W38" s="203"/>
      <c r="X38" s="203"/>
      <c r="Y38" s="203"/>
      <c r="Z38" s="203"/>
    </row>
    <row r="39" spans="1:26" s="44" customFormat="1" ht="12.75" customHeight="1">
      <c r="A39" s="204" t="s">
        <v>177</v>
      </c>
      <c r="B39" s="204"/>
      <c r="C39" s="204"/>
      <c r="D39" s="204"/>
      <c r="E39" s="204"/>
      <c r="F39" s="204"/>
      <c r="G39" s="204"/>
      <c r="H39" s="204"/>
      <c r="I39" s="204"/>
      <c r="J39" s="204"/>
      <c r="K39" s="204"/>
      <c r="L39" s="204"/>
      <c r="M39" s="204"/>
      <c r="N39" s="204"/>
      <c r="O39" s="204"/>
      <c r="P39" s="204"/>
      <c r="Q39" s="204"/>
      <c r="R39" s="204"/>
      <c r="S39" s="204"/>
      <c r="T39" s="204"/>
      <c r="U39" s="204"/>
      <c r="V39" s="204"/>
      <c r="W39" s="204"/>
      <c r="X39" s="204"/>
      <c r="Y39" s="204"/>
      <c r="Z39" s="204"/>
    </row>
    <row r="40" spans="1:26" s="44" customFormat="1" ht="12.75" customHeight="1">
      <c r="A40" s="205" t="s">
        <v>486</v>
      </c>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row>
    <row r="41" spans="1:26" s="44" customFormat="1" ht="38.25" customHeight="1">
      <c r="A41" s="205" t="s">
        <v>176</v>
      </c>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row>
    <row r="42" spans="1:26" s="44" customFormat="1" ht="25.5" customHeight="1">
      <c r="A42" s="205" t="s">
        <v>487</v>
      </c>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5"/>
      <c r="Z42" s="205"/>
    </row>
    <row r="43" spans="1:26" s="44" customFormat="1" ht="25.5" customHeight="1">
      <c r="A43" s="205" t="s">
        <v>488</v>
      </c>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row>
    <row r="44" spans="1:26" s="44" customFormat="1" ht="12.75" customHeight="1">
      <c r="A44" s="208" t="s">
        <v>175</v>
      </c>
      <c r="B44" s="208"/>
      <c r="C44" s="208"/>
      <c r="D44" s="208"/>
      <c r="E44" s="208"/>
      <c r="F44" s="208"/>
      <c r="G44" s="208"/>
      <c r="H44" s="208"/>
      <c r="I44" s="208"/>
      <c r="J44" s="208"/>
      <c r="K44" s="208"/>
      <c r="L44" s="208"/>
      <c r="M44" s="208"/>
      <c r="N44" s="208"/>
      <c r="O44" s="208"/>
      <c r="P44" s="208"/>
      <c r="Q44" s="208"/>
      <c r="R44" s="208"/>
      <c r="S44" s="208"/>
      <c r="T44" s="208"/>
      <c r="U44" s="208"/>
      <c r="V44" s="208"/>
      <c r="W44" s="208"/>
      <c r="X44" s="208"/>
      <c r="Y44" s="208"/>
      <c r="Z44" s="208"/>
    </row>
    <row r="45" spans="1:26" s="44" customFormat="1" ht="24.75" customHeight="1">
      <c r="A45" s="208" t="s">
        <v>489</v>
      </c>
      <c r="B45" s="208"/>
      <c r="C45" s="208"/>
      <c r="D45" s="208"/>
      <c r="E45" s="208"/>
      <c r="F45" s="208"/>
      <c r="G45" s="208"/>
      <c r="H45" s="208"/>
      <c r="I45" s="208"/>
      <c r="J45" s="208"/>
      <c r="K45" s="208"/>
      <c r="L45" s="208"/>
      <c r="M45" s="208"/>
      <c r="N45" s="208"/>
      <c r="O45" s="208"/>
      <c r="P45" s="208"/>
      <c r="Q45" s="208"/>
      <c r="R45" s="208"/>
      <c r="S45" s="208"/>
      <c r="T45" s="208"/>
      <c r="U45" s="208"/>
      <c r="V45" s="208"/>
      <c r="W45" s="208"/>
      <c r="X45" s="208"/>
      <c r="Y45" s="208"/>
      <c r="Z45" s="208"/>
    </row>
    <row r="46" spans="1:26" s="44" customFormat="1" ht="12.75" customHeight="1">
      <c r="A46" s="209" t="s">
        <v>490</v>
      </c>
      <c r="B46" s="209"/>
      <c r="C46" s="209"/>
      <c r="D46" s="209"/>
      <c r="E46" s="209"/>
      <c r="F46" s="209"/>
      <c r="G46" s="209"/>
      <c r="H46" s="209"/>
      <c r="I46" s="209"/>
      <c r="J46" s="209"/>
      <c r="K46" s="209"/>
      <c r="L46" s="209"/>
      <c r="M46" s="209"/>
      <c r="N46" s="209"/>
      <c r="O46" s="209"/>
      <c r="P46" s="209"/>
      <c r="Q46" s="209"/>
      <c r="R46" s="209"/>
      <c r="S46" s="209"/>
      <c r="T46" s="209"/>
      <c r="U46" s="209"/>
      <c r="V46" s="209"/>
      <c r="W46" s="209"/>
      <c r="X46" s="209"/>
      <c r="Y46" s="209"/>
      <c r="Z46" s="209"/>
    </row>
    <row r="47" spans="1:26" s="44" customFormat="1" ht="12.75" customHeight="1">
      <c r="A47" s="210" t="s">
        <v>174</v>
      </c>
      <c r="B47" s="210"/>
      <c r="C47" s="210"/>
      <c r="D47" s="210"/>
      <c r="E47" s="210"/>
      <c r="F47" s="210"/>
      <c r="G47" s="210"/>
      <c r="H47" s="210"/>
      <c r="I47" s="210"/>
      <c r="J47" s="210"/>
      <c r="K47" s="210"/>
      <c r="L47" s="210"/>
      <c r="M47" s="210"/>
      <c r="N47" s="210"/>
      <c r="O47" s="210"/>
      <c r="P47" s="210"/>
      <c r="Q47" s="210"/>
      <c r="R47" s="210"/>
      <c r="S47" s="210"/>
      <c r="T47" s="210"/>
      <c r="U47" s="210"/>
      <c r="V47" s="210"/>
      <c r="W47" s="210"/>
      <c r="X47" s="210"/>
      <c r="Y47" s="210"/>
      <c r="Z47" s="210"/>
    </row>
    <row r="48" spans="1:26" s="44" customFormat="1" ht="12.75" customHeight="1">
      <c r="A48" s="205" t="s">
        <v>173</v>
      </c>
      <c r="B48" s="205"/>
      <c r="C48" s="205"/>
      <c r="D48" s="205"/>
      <c r="E48" s="205"/>
      <c r="F48" s="205"/>
      <c r="G48" s="205"/>
      <c r="H48" s="205"/>
      <c r="I48" s="205"/>
      <c r="J48" s="205"/>
      <c r="K48" s="205"/>
      <c r="L48" s="205"/>
      <c r="M48" s="205"/>
      <c r="N48" s="205"/>
      <c r="O48" s="205"/>
      <c r="P48" s="205"/>
      <c r="Q48" s="205"/>
      <c r="R48" s="205"/>
      <c r="S48" s="205"/>
      <c r="T48" s="205"/>
      <c r="U48" s="205"/>
      <c r="V48" s="205"/>
      <c r="W48" s="205"/>
      <c r="X48" s="205"/>
      <c r="Y48" s="205"/>
      <c r="Z48" s="205"/>
    </row>
    <row r="49" spans="1:26" s="44" customFormat="1" ht="12.75" customHeight="1">
      <c r="A49" s="205" t="s">
        <v>491</v>
      </c>
      <c r="B49" s="205"/>
      <c r="C49" s="205"/>
      <c r="D49" s="205"/>
      <c r="E49" s="205"/>
      <c r="F49" s="205"/>
      <c r="G49" s="205"/>
      <c r="H49" s="205"/>
      <c r="I49" s="205"/>
      <c r="J49" s="205"/>
      <c r="K49" s="205"/>
      <c r="L49" s="205"/>
      <c r="M49" s="205"/>
      <c r="N49" s="205"/>
      <c r="O49" s="205"/>
      <c r="P49" s="205"/>
      <c r="Q49" s="205"/>
      <c r="R49" s="205"/>
      <c r="S49" s="205"/>
      <c r="T49" s="205"/>
      <c r="U49" s="205"/>
      <c r="V49" s="205"/>
      <c r="W49" s="205"/>
      <c r="X49" s="205"/>
      <c r="Y49" s="205"/>
      <c r="Z49" s="205"/>
    </row>
    <row r="50" spans="1:26" s="44" customFormat="1" ht="12.75" customHeight="1">
      <c r="A50" s="209"/>
      <c r="B50" s="209"/>
      <c r="C50" s="209"/>
      <c r="D50" s="209"/>
      <c r="E50" s="209"/>
      <c r="F50" s="209"/>
      <c r="G50" s="209"/>
      <c r="H50" s="209"/>
      <c r="I50" s="209"/>
      <c r="J50" s="209"/>
      <c r="K50" s="209"/>
      <c r="L50" s="209"/>
      <c r="M50" s="209"/>
      <c r="N50" s="209"/>
      <c r="O50" s="209"/>
      <c r="P50" s="209"/>
      <c r="Q50" s="209"/>
      <c r="R50" s="209"/>
      <c r="S50" s="209"/>
      <c r="T50" s="209"/>
      <c r="U50" s="209"/>
      <c r="V50" s="209"/>
      <c r="W50" s="209"/>
      <c r="X50" s="209"/>
      <c r="Y50" s="209"/>
      <c r="Z50" s="209"/>
    </row>
    <row r="51" spans="1:26" s="44" customFormat="1" ht="12.75" customHeight="1">
      <c r="A51" s="211" t="s">
        <v>172</v>
      </c>
      <c r="B51" s="211"/>
      <c r="C51" s="211"/>
      <c r="D51" s="211"/>
      <c r="E51" s="211"/>
      <c r="F51" s="211"/>
      <c r="G51" s="211"/>
      <c r="H51" s="211"/>
      <c r="I51" s="211"/>
      <c r="J51" s="211"/>
      <c r="K51" s="211"/>
      <c r="L51" s="211"/>
      <c r="M51" s="211"/>
      <c r="N51" s="211"/>
      <c r="O51" s="211"/>
      <c r="P51" s="211"/>
      <c r="Q51" s="211"/>
      <c r="R51" s="211"/>
      <c r="S51" s="211"/>
      <c r="T51" s="211"/>
      <c r="U51" s="211"/>
      <c r="V51" s="211"/>
      <c r="W51" s="211"/>
      <c r="X51" s="211"/>
      <c r="Y51" s="211"/>
      <c r="Z51" s="211"/>
    </row>
    <row r="52" spans="1:26" s="44" customFormat="1" ht="12.75" customHeight="1">
      <c r="A52" s="211" t="s">
        <v>171</v>
      </c>
      <c r="B52" s="211"/>
      <c r="C52" s="211"/>
      <c r="D52" s="211"/>
      <c r="E52" s="211"/>
      <c r="F52" s="211"/>
      <c r="G52" s="211"/>
      <c r="H52" s="211"/>
      <c r="I52" s="211"/>
      <c r="J52" s="211"/>
      <c r="K52" s="211"/>
      <c r="L52" s="211"/>
      <c r="M52" s="211"/>
      <c r="N52" s="211"/>
      <c r="O52" s="211"/>
      <c r="P52" s="211"/>
      <c r="Q52" s="211"/>
      <c r="R52" s="211"/>
      <c r="S52" s="211"/>
      <c r="T52" s="211"/>
      <c r="U52" s="211"/>
      <c r="V52" s="211"/>
      <c r="W52" s="211"/>
      <c r="X52" s="211"/>
      <c r="Y52" s="211"/>
      <c r="Z52" s="211"/>
    </row>
    <row r="53" spans="1:26" s="44" customFormat="1" ht="12.75" customHeight="1">
      <c r="A53" s="212" t="s">
        <v>492</v>
      </c>
      <c r="B53" s="212"/>
      <c r="C53" s="212"/>
      <c r="D53" s="212"/>
      <c r="E53" s="212"/>
      <c r="F53" s="212"/>
      <c r="G53" s="212"/>
      <c r="H53" s="212"/>
      <c r="I53" s="212"/>
      <c r="J53" s="212"/>
      <c r="K53" s="212"/>
      <c r="L53" s="212"/>
      <c r="M53" s="212"/>
      <c r="N53" s="212"/>
      <c r="O53" s="212"/>
      <c r="P53" s="212"/>
      <c r="Q53" s="212"/>
      <c r="R53" s="212"/>
      <c r="S53" s="212"/>
      <c r="T53" s="212"/>
      <c r="U53" s="212"/>
      <c r="V53" s="212"/>
      <c r="W53" s="212"/>
      <c r="X53" s="212"/>
      <c r="Y53" s="212"/>
      <c r="Z53" s="212"/>
    </row>
    <row r="54" spans="1:26" s="44" customFormat="1" ht="12.75" customHeight="1">
      <c r="A54" s="213" t="s">
        <v>170</v>
      </c>
      <c r="B54" s="213"/>
      <c r="C54" s="213"/>
      <c r="D54" s="213"/>
      <c r="E54" s="213"/>
      <c r="F54" s="213"/>
      <c r="G54" s="213"/>
      <c r="H54" s="213"/>
      <c r="I54" s="213"/>
      <c r="J54" s="213"/>
      <c r="K54" s="213"/>
      <c r="L54" s="213"/>
      <c r="M54" s="213"/>
      <c r="N54" s="213"/>
      <c r="O54" s="213"/>
      <c r="P54" s="213"/>
      <c r="Q54" s="213"/>
      <c r="R54" s="213"/>
      <c r="S54" s="213"/>
      <c r="T54" s="213"/>
      <c r="U54" s="213"/>
      <c r="V54" s="213"/>
      <c r="W54" s="213"/>
      <c r="X54" s="213"/>
      <c r="Y54" s="213"/>
      <c r="Z54" s="213"/>
    </row>
    <row r="55" spans="1:26" s="44" customFormat="1" ht="12.75" customHeight="1">
      <c r="A55" s="213" t="s">
        <v>493</v>
      </c>
      <c r="B55" s="213"/>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row>
    <row r="56" spans="1:26" s="44" customFormat="1" ht="12.75" customHeight="1">
      <c r="A56" s="209" t="s">
        <v>494</v>
      </c>
      <c r="B56" s="209"/>
      <c r="C56" s="209"/>
      <c r="D56" s="209"/>
      <c r="E56" s="209"/>
      <c r="F56" s="209"/>
      <c r="G56" s="209"/>
      <c r="H56" s="209"/>
      <c r="I56" s="209"/>
      <c r="J56" s="209"/>
      <c r="K56" s="209"/>
      <c r="L56" s="209"/>
      <c r="M56" s="209"/>
      <c r="N56" s="209"/>
      <c r="O56" s="209"/>
      <c r="P56" s="209"/>
      <c r="Q56" s="209"/>
      <c r="R56" s="209"/>
      <c r="S56" s="209"/>
      <c r="T56" s="209"/>
      <c r="U56" s="209"/>
      <c r="V56" s="209"/>
      <c r="W56" s="209"/>
      <c r="X56" s="209"/>
      <c r="Y56" s="209"/>
      <c r="Z56" s="209"/>
    </row>
    <row r="57" spans="1:26" s="44" customFormat="1" ht="12.75" customHeight="1">
      <c r="A57" s="209" t="s">
        <v>495</v>
      </c>
      <c r="B57" s="209"/>
      <c r="C57" s="209"/>
      <c r="D57" s="209"/>
      <c r="E57" s="209"/>
      <c r="F57" s="209"/>
      <c r="G57" s="209"/>
      <c r="H57" s="209"/>
      <c r="I57" s="209"/>
      <c r="J57" s="209"/>
      <c r="K57" s="209"/>
      <c r="L57" s="209"/>
      <c r="M57" s="209"/>
      <c r="N57" s="209"/>
      <c r="O57" s="209"/>
      <c r="P57" s="209"/>
      <c r="Q57" s="209"/>
      <c r="R57" s="209"/>
      <c r="S57" s="209"/>
      <c r="T57" s="209"/>
      <c r="U57" s="209"/>
      <c r="V57" s="209"/>
      <c r="W57" s="209"/>
      <c r="X57" s="209"/>
      <c r="Y57" s="209"/>
      <c r="Z57" s="209"/>
    </row>
    <row r="58" spans="1:26" s="44" customFormat="1" ht="12.95" customHeight="1">
      <c r="A58" s="212" t="s">
        <v>496</v>
      </c>
      <c r="B58" s="212"/>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row>
    <row r="59" spans="1:26" s="44" customFormat="1" ht="12.95" customHeight="1">
      <c r="A59" s="209" t="s">
        <v>497</v>
      </c>
      <c r="B59" s="209"/>
      <c r="C59" s="209"/>
      <c r="D59" s="209"/>
      <c r="E59" s="209"/>
      <c r="F59" s="209"/>
      <c r="G59" s="209"/>
      <c r="H59" s="209"/>
      <c r="I59" s="209"/>
      <c r="J59" s="209"/>
      <c r="K59" s="209"/>
      <c r="L59" s="209"/>
      <c r="M59" s="209"/>
      <c r="N59" s="209"/>
      <c r="O59" s="209"/>
      <c r="P59" s="209"/>
      <c r="Q59" s="209"/>
      <c r="R59" s="209"/>
      <c r="S59" s="209"/>
      <c r="T59" s="209"/>
      <c r="U59" s="209"/>
      <c r="V59" s="209"/>
      <c r="W59" s="209"/>
      <c r="X59" s="209"/>
      <c r="Y59" s="209"/>
      <c r="Z59" s="209"/>
    </row>
    <row r="60" spans="1:26" s="44" customFormat="1" ht="12.75" customHeight="1">
      <c r="A60" s="214" t="s">
        <v>169</v>
      </c>
      <c r="B60" s="214"/>
      <c r="C60" s="214"/>
      <c r="D60" s="214"/>
      <c r="E60" s="214"/>
      <c r="F60" s="214"/>
      <c r="G60" s="214"/>
      <c r="H60" s="214"/>
      <c r="I60" s="214"/>
      <c r="J60" s="214"/>
      <c r="K60" s="214"/>
      <c r="L60" s="214"/>
      <c r="M60" s="214"/>
      <c r="N60" s="214"/>
      <c r="O60" s="214"/>
      <c r="P60" s="214"/>
      <c r="Q60" s="214"/>
      <c r="R60" s="214"/>
      <c r="S60" s="214"/>
      <c r="T60" s="214"/>
      <c r="U60" s="214"/>
      <c r="V60" s="214"/>
      <c r="W60" s="214"/>
      <c r="X60" s="214"/>
      <c r="Y60" s="214"/>
      <c r="Z60" s="214"/>
    </row>
    <row r="61" spans="1:26" s="44" customFormat="1" ht="12.75" customHeight="1">
      <c r="A61" s="215" t="s">
        <v>498</v>
      </c>
      <c r="B61" s="215"/>
      <c r="C61" s="215"/>
      <c r="D61" s="215"/>
      <c r="E61" s="215"/>
      <c r="F61" s="215"/>
      <c r="G61" s="215"/>
      <c r="H61" s="215"/>
      <c r="I61" s="215"/>
      <c r="J61" s="215"/>
      <c r="K61" s="215"/>
      <c r="L61" s="215"/>
      <c r="M61" s="215"/>
      <c r="N61" s="215"/>
      <c r="O61" s="215"/>
      <c r="P61" s="215"/>
      <c r="Q61" s="215"/>
      <c r="R61" s="215"/>
      <c r="S61" s="215"/>
      <c r="T61" s="215"/>
      <c r="U61" s="215"/>
      <c r="V61" s="215"/>
      <c r="W61" s="215"/>
      <c r="X61" s="215"/>
      <c r="Y61" s="215"/>
      <c r="Z61" s="215"/>
    </row>
    <row r="62" spans="1:26" s="44" customFormat="1" ht="12.75" customHeight="1">
      <c r="A62" s="209" t="s">
        <v>499</v>
      </c>
      <c r="B62" s="209"/>
      <c r="C62" s="209"/>
      <c r="D62" s="209"/>
      <c r="E62" s="209"/>
      <c r="F62" s="209"/>
      <c r="G62" s="209"/>
      <c r="H62" s="209"/>
      <c r="I62" s="209"/>
      <c r="J62" s="209"/>
      <c r="K62" s="209"/>
      <c r="L62" s="209"/>
      <c r="M62" s="209"/>
      <c r="N62" s="209"/>
      <c r="O62" s="209"/>
      <c r="P62" s="209"/>
      <c r="Q62" s="209"/>
      <c r="R62" s="209"/>
      <c r="S62" s="209"/>
      <c r="T62" s="209"/>
      <c r="U62" s="209"/>
      <c r="V62" s="209"/>
      <c r="W62" s="209"/>
      <c r="X62" s="209"/>
      <c r="Y62" s="209"/>
      <c r="Z62" s="209"/>
    </row>
    <row r="63" spans="1:26" s="45" customFormat="1" ht="12.75" customHeight="1">
      <c r="A63" s="213" t="s">
        <v>500</v>
      </c>
      <c r="B63" s="213"/>
      <c r="C63" s="213"/>
      <c r="D63" s="213"/>
      <c r="E63" s="213"/>
      <c r="F63" s="213"/>
      <c r="G63" s="213"/>
      <c r="H63" s="213"/>
      <c r="I63" s="213"/>
      <c r="J63" s="213"/>
      <c r="K63" s="213"/>
      <c r="L63" s="213"/>
      <c r="M63" s="213"/>
      <c r="N63" s="213"/>
      <c r="O63" s="213"/>
      <c r="P63" s="213"/>
      <c r="Q63" s="213"/>
      <c r="R63" s="213"/>
      <c r="S63" s="213"/>
      <c r="T63" s="213"/>
      <c r="U63" s="213"/>
      <c r="V63" s="213"/>
      <c r="W63" s="213"/>
      <c r="X63" s="213"/>
      <c r="Y63" s="213"/>
      <c r="Z63" s="213"/>
    </row>
    <row r="64" spans="1:26" s="45" customFormat="1" ht="12.75" customHeight="1">
      <c r="A64" s="215" t="s">
        <v>164</v>
      </c>
      <c r="B64" s="215"/>
      <c r="C64" s="215"/>
      <c r="D64" s="215"/>
      <c r="E64" s="215"/>
      <c r="F64" s="215"/>
      <c r="G64" s="215"/>
      <c r="H64" s="215"/>
      <c r="I64" s="215"/>
      <c r="J64" s="215"/>
      <c r="K64" s="215"/>
      <c r="L64" s="215"/>
      <c r="M64" s="215"/>
      <c r="N64" s="215"/>
      <c r="O64" s="215"/>
      <c r="P64" s="215"/>
      <c r="Q64" s="215"/>
      <c r="R64" s="215"/>
      <c r="S64" s="215"/>
      <c r="T64" s="215"/>
      <c r="U64" s="215"/>
      <c r="V64" s="215"/>
      <c r="W64" s="215"/>
      <c r="X64" s="215"/>
      <c r="Y64" s="215"/>
      <c r="Z64" s="215"/>
    </row>
    <row r="65" spans="1:26" s="44" customFormat="1" ht="12.75" customHeight="1">
      <c r="A65" s="209" t="s">
        <v>501</v>
      </c>
      <c r="B65" s="209"/>
      <c r="C65" s="209"/>
      <c r="D65" s="209"/>
      <c r="E65" s="209"/>
      <c r="F65" s="209"/>
      <c r="G65" s="209"/>
      <c r="H65" s="209"/>
      <c r="I65" s="209"/>
      <c r="J65" s="209"/>
      <c r="K65" s="209"/>
      <c r="L65" s="209"/>
      <c r="M65" s="209"/>
      <c r="N65" s="209"/>
      <c r="O65" s="209"/>
      <c r="P65" s="209"/>
      <c r="Q65" s="209"/>
      <c r="R65" s="209"/>
      <c r="S65" s="209"/>
      <c r="T65" s="209"/>
      <c r="U65" s="209"/>
      <c r="V65" s="209"/>
      <c r="W65" s="209"/>
      <c r="X65" s="209"/>
      <c r="Y65" s="209"/>
      <c r="Z65" s="209"/>
    </row>
    <row r="66" spans="1:26" s="45" customFormat="1" ht="12.75" customHeight="1">
      <c r="A66" s="213" t="s">
        <v>502</v>
      </c>
      <c r="B66" s="213"/>
      <c r="C66" s="213"/>
      <c r="D66" s="213"/>
      <c r="E66" s="213"/>
      <c r="F66" s="213"/>
      <c r="G66" s="213"/>
      <c r="H66" s="213"/>
      <c r="I66" s="213"/>
      <c r="J66" s="213"/>
      <c r="K66" s="213"/>
      <c r="L66" s="213"/>
      <c r="M66" s="213"/>
      <c r="N66" s="213"/>
      <c r="O66" s="213"/>
      <c r="P66" s="213"/>
      <c r="Q66" s="213"/>
      <c r="R66" s="213"/>
      <c r="S66" s="213"/>
      <c r="T66" s="213"/>
      <c r="U66" s="213"/>
      <c r="V66" s="213"/>
      <c r="W66" s="213"/>
      <c r="X66" s="213"/>
      <c r="Y66" s="213"/>
      <c r="Z66" s="213"/>
    </row>
    <row r="67" spans="1:26" s="45" customFormat="1" ht="12.75" customHeight="1">
      <c r="A67" s="214" t="s">
        <v>168</v>
      </c>
      <c r="B67" s="214"/>
      <c r="C67" s="214"/>
      <c r="D67" s="214"/>
      <c r="E67" s="214"/>
      <c r="F67" s="214"/>
      <c r="G67" s="214"/>
      <c r="H67" s="214"/>
      <c r="I67" s="214"/>
      <c r="J67" s="214"/>
      <c r="K67" s="214"/>
      <c r="L67" s="214"/>
      <c r="M67" s="214"/>
      <c r="N67" s="214"/>
      <c r="O67" s="214"/>
      <c r="P67" s="214"/>
      <c r="Q67" s="214"/>
      <c r="R67" s="214"/>
      <c r="S67" s="214"/>
      <c r="T67" s="214"/>
      <c r="U67" s="214"/>
      <c r="V67" s="214"/>
      <c r="W67" s="214"/>
      <c r="X67" s="214"/>
      <c r="Y67" s="214"/>
      <c r="Z67" s="214"/>
    </row>
    <row r="68" spans="1:26" s="45" customFormat="1" ht="12.75" customHeight="1">
      <c r="A68" s="215" t="s">
        <v>167</v>
      </c>
      <c r="B68" s="215"/>
      <c r="C68" s="215"/>
      <c r="D68" s="215"/>
      <c r="E68" s="215"/>
      <c r="F68" s="215"/>
      <c r="G68" s="215"/>
      <c r="H68" s="215"/>
      <c r="I68" s="215"/>
      <c r="J68" s="215"/>
      <c r="K68" s="215"/>
      <c r="L68" s="215"/>
      <c r="M68" s="215"/>
      <c r="N68" s="215"/>
      <c r="O68" s="215"/>
      <c r="P68" s="215"/>
      <c r="Q68" s="215"/>
      <c r="R68" s="215"/>
      <c r="S68" s="215"/>
      <c r="T68" s="215"/>
      <c r="U68" s="215"/>
      <c r="V68" s="215"/>
      <c r="W68" s="215"/>
      <c r="X68" s="215"/>
      <c r="Y68" s="215"/>
      <c r="Z68" s="215"/>
    </row>
    <row r="69" spans="1:26" s="45" customFormat="1" ht="12.75" customHeight="1">
      <c r="A69" s="213" t="s">
        <v>166</v>
      </c>
      <c r="B69" s="213"/>
      <c r="C69" s="213"/>
      <c r="D69" s="213"/>
      <c r="E69" s="213"/>
      <c r="F69" s="213"/>
      <c r="G69" s="213"/>
      <c r="H69" s="213"/>
      <c r="I69" s="213"/>
      <c r="J69" s="213"/>
      <c r="K69" s="213"/>
      <c r="L69" s="213"/>
      <c r="M69" s="213"/>
      <c r="N69" s="213"/>
      <c r="O69" s="213"/>
      <c r="P69" s="213"/>
      <c r="Q69" s="213"/>
      <c r="R69" s="213"/>
      <c r="S69" s="213"/>
      <c r="T69" s="213"/>
      <c r="U69" s="213"/>
      <c r="V69" s="213"/>
      <c r="W69" s="213"/>
      <c r="X69" s="213"/>
      <c r="Y69" s="213"/>
      <c r="Z69" s="213"/>
    </row>
    <row r="70" spans="1:26" s="44" customFormat="1" ht="12.75" customHeight="1">
      <c r="A70" s="213" t="s">
        <v>165</v>
      </c>
      <c r="B70" s="213"/>
      <c r="C70" s="213"/>
      <c r="D70" s="213"/>
      <c r="E70" s="213"/>
      <c r="F70" s="213"/>
      <c r="G70" s="213"/>
      <c r="H70" s="213"/>
      <c r="I70" s="213"/>
      <c r="J70" s="213"/>
      <c r="K70" s="213"/>
      <c r="L70" s="213"/>
      <c r="M70" s="213"/>
      <c r="N70" s="213"/>
      <c r="O70" s="213"/>
      <c r="P70" s="213"/>
      <c r="Q70" s="213"/>
      <c r="R70" s="213"/>
      <c r="S70" s="213"/>
      <c r="T70" s="213"/>
      <c r="U70" s="213"/>
      <c r="V70" s="213"/>
      <c r="W70" s="213"/>
      <c r="X70" s="213"/>
      <c r="Y70" s="213"/>
      <c r="Z70" s="213"/>
    </row>
    <row r="71" spans="1:26" s="44" customFormat="1" ht="12.75" customHeight="1">
      <c r="A71" s="213" t="s">
        <v>503</v>
      </c>
      <c r="B71" s="213"/>
      <c r="C71" s="213"/>
      <c r="D71" s="213"/>
      <c r="E71" s="213"/>
      <c r="F71" s="213"/>
      <c r="G71" s="213"/>
      <c r="H71" s="213"/>
      <c r="I71" s="213"/>
      <c r="J71" s="213"/>
      <c r="K71" s="213"/>
      <c r="L71" s="213"/>
      <c r="M71" s="213"/>
      <c r="N71" s="213"/>
      <c r="O71" s="213"/>
      <c r="P71" s="213"/>
      <c r="Q71" s="213"/>
      <c r="R71" s="213"/>
      <c r="S71" s="213"/>
      <c r="T71" s="213"/>
      <c r="U71" s="213"/>
      <c r="V71" s="213"/>
      <c r="W71" s="213"/>
      <c r="X71" s="213"/>
      <c r="Y71" s="213"/>
      <c r="Z71" s="213"/>
    </row>
    <row r="72" spans="1:26" s="44" customFormat="1" ht="12.75" customHeight="1">
      <c r="A72" s="213" t="s">
        <v>504</v>
      </c>
      <c r="B72" s="213"/>
      <c r="C72" s="213"/>
      <c r="D72" s="213"/>
      <c r="E72" s="213"/>
      <c r="F72" s="213"/>
      <c r="G72" s="213"/>
      <c r="H72" s="213"/>
      <c r="I72" s="213"/>
      <c r="J72" s="213"/>
      <c r="K72" s="213"/>
      <c r="L72" s="213"/>
      <c r="M72" s="213"/>
      <c r="N72" s="213"/>
      <c r="O72" s="213"/>
      <c r="P72" s="213"/>
      <c r="Q72" s="213"/>
      <c r="R72" s="213"/>
      <c r="S72" s="213"/>
      <c r="T72" s="213"/>
      <c r="U72" s="213"/>
      <c r="V72" s="213"/>
      <c r="W72" s="213"/>
      <c r="X72" s="213"/>
      <c r="Y72" s="213"/>
      <c r="Z72" s="213"/>
    </row>
    <row r="73" spans="1:26" s="44" customFormat="1" ht="12.75" customHeight="1">
      <c r="A73" s="215" t="s">
        <v>164</v>
      </c>
      <c r="B73" s="215"/>
      <c r="C73" s="215"/>
      <c r="D73" s="215"/>
      <c r="E73" s="215"/>
      <c r="F73" s="215"/>
      <c r="G73" s="215"/>
      <c r="H73" s="215"/>
      <c r="I73" s="215"/>
      <c r="J73" s="215"/>
      <c r="K73" s="215"/>
      <c r="L73" s="215"/>
      <c r="M73" s="215"/>
      <c r="N73" s="215"/>
      <c r="O73" s="215"/>
      <c r="P73" s="215"/>
      <c r="Q73" s="215"/>
      <c r="R73" s="215"/>
      <c r="S73" s="215"/>
      <c r="T73" s="215"/>
      <c r="U73" s="215"/>
      <c r="V73" s="215"/>
      <c r="W73" s="215"/>
      <c r="X73" s="215"/>
      <c r="Y73" s="215"/>
      <c r="Z73" s="215"/>
    </row>
    <row r="74" spans="1:26" s="45" customFormat="1" ht="12.75" customHeight="1">
      <c r="A74" s="213" t="s">
        <v>163</v>
      </c>
      <c r="B74" s="213"/>
      <c r="C74" s="213"/>
      <c r="D74" s="213"/>
      <c r="E74" s="213"/>
      <c r="F74" s="213"/>
      <c r="G74" s="213"/>
      <c r="H74" s="213"/>
      <c r="I74" s="213"/>
      <c r="J74" s="213"/>
      <c r="K74" s="213"/>
      <c r="L74" s="213"/>
      <c r="M74" s="213"/>
      <c r="N74" s="213"/>
      <c r="O74" s="213"/>
      <c r="P74" s="213"/>
      <c r="Q74" s="213"/>
      <c r="R74" s="213"/>
      <c r="S74" s="213"/>
      <c r="T74" s="213"/>
      <c r="U74" s="213"/>
      <c r="V74" s="213"/>
      <c r="W74" s="213"/>
      <c r="X74" s="213"/>
      <c r="Y74" s="213"/>
      <c r="Z74" s="213"/>
    </row>
    <row r="75" spans="1:26" s="44" customFormat="1" ht="12.75" customHeight="1">
      <c r="A75" s="213" t="s">
        <v>505</v>
      </c>
      <c r="B75" s="213"/>
      <c r="C75" s="213"/>
      <c r="D75" s="213"/>
      <c r="E75" s="213"/>
      <c r="F75" s="213"/>
      <c r="G75" s="213"/>
      <c r="H75" s="213"/>
      <c r="I75" s="213"/>
      <c r="J75" s="213"/>
      <c r="K75" s="213"/>
      <c r="L75" s="213"/>
      <c r="M75" s="213"/>
      <c r="N75" s="213"/>
      <c r="O75" s="213"/>
      <c r="P75" s="213"/>
      <c r="Q75" s="213"/>
      <c r="R75" s="213"/>
      <c r="S75" s="213"/>
      <c r="T75" s="213"/>
      <c r="U75" s="213"/>
      <c r="V75" s="213"/>
      <c r="W75" s="213"/>
      <c r="X75" s="213"/>
      <c r="Y75" s="213"/>
      <c r="Z75" s="213"/>
    </row>
    <row r="76" spans="1:26" s="44" customFormat="1" ht="12.75" customHeight="1">
      <c r="A76" s="213" t="s">
        <v>506</v>
      </c>
      <c r="B76" s="213"/>
      <c r="C76" s="213"/>
      <c r="D76" s="213"/>
      <c r="E76" s="213"/>
      <c r="F76" s="213"/>
      <c r="G76" s="213"/>
      <c r="H76" s="213"/>
      <c r="I76" s="213"/>
      <c r="J76" s="213"/>
      <c r="K76" s="213"/>
      <c r="L76" s="213"/>
      <c r="M76" s="213"/>
      <c r="N76" s="213"/>
      <c r="O76" s="213"/>
      <c r="P76" s="213"/>
      <c r="Q76" s="213"/>
      <c r="R76" s="213"/>
      <c r="S76" s="213"/>
      <c r="T76" s="213"/>
      <c r="U76" s="213"/>
      <c r="V76" s="213"/>
      <c r="W76" s="213"/>
      <c r="X76" s="213"/>
      <c r="Y76" s="213"/>
      <c r="Z76" s="213"/>
    </row>
    <row r="77" spans="1:26" s="44" customFormat="1" ht="12.75" customHeight="1">
      <c r="A77" s="214" t="s">
        <v>507</v>
      </c>
      <c r="B77" s="214"/>
      <c r="C77" s="214"/>
      <c r="D77" s="214"/>
      <c r="E77" s="214"/>
      <c r="F77" s="214"/>
      <c r="G77" s="214"/>
      <c r="H77" s="214"/>
      <c r="I77" s="214"/>
      <c r="J77" s="214"/>
      <c r="K77" s="214"/>
      <c r="L77" s="214"/>
      <c r="M77" s="214"/>
      <c r="N77" s="214"/>
      <c r="O77" s="214"/>
      <c r="P77" s="214"/>
      <c r="Q77" s="214"/>
      <c r="R77" s="214"/>
      <c r="S77" s="214"/>
      <c r="T77" s="214"/>
      <c r="U77" s="214"/>
      <c r="V77" s="214"/>
      <c r="W77" s="214"/>
      <c r="X77" s="214"/>
      <c r="Y77" s="214"/>
      <c r="Z77" s="214"/>
    </row>
    <row r="78" spans="1:26" s="44" customFormat="1" ht="12.75" customHeight="1">
      <c r="A78" s="213" t="s">
        <v>162</v>
      </c>
      <c r="B78" s="213"/>
      <c r="C78" s="213"/>
      <c r="D78" s="213"/>
      <c r="E78" s="213"/>
      <c r="F78" s="213"/>
      <c r="G78" s="213"/>
      <c r="H78" s="213"/>
      <c r="I78" s="213"/>
      <c r="J78" s="213"/>
      <c r="K78" s="213"/>
      <c r="L78" s="213"/>
      <c r="M78" s="213"/>
      <c r="N78" s="213"/>
      <c r="O78" s="213"/>
      <c r="P78" s="213"/>
      <c r="Q78" s="213"/>
      <c r="R78" s="213"/>
      <c r="S78" s="213"/>
      <c r="T78" s="213"/>
      <c r="U78" s="213"/>
      <c r="V78" s="213"/>
      <c r="W78" s="213"/>
      <c r="X78" s="213"/>
      <c r="Y78" s="213"/>
      <c r="Z78" s="213"/>
    </row>
    <row r="79" spans="1:26" s="44" customFormat="1" ht="12.75" customHeight="1">
      <c r="A79" s="213" t="s">
        <v>161</v>
      </c>
      <c r="B79" s="213"/>
      <c r="C79" s="213"/>
      <c r="D79" s="213"/>
      <c r="E79" s="213"/>
      <c r="F79" s="213"/>
      <c r="G79" s="213"/>
      <c r="H79" s="213"/>
      <c r="I79" s="213"/>
      <c r="J79" s="213"/>
      <c r="K79" s="213"/>
      <c r="L79" s="213"/>
      <c r="M79" s="213"/>
      <c r="N79" s="213"/>
      <c r="O79" s="213"/>
      <c r="P79" s="213"/>
      <c r="Q79" s="213"/>
      <c r="R79" s="213"/>
      <c r="S79" s="213"/>
      <c r="T79" s="213"/>
      <c r="U79" s="213"/>
      <c r="V79" s="213"/>
      <c r="W79" s="213"/>
      <c r="X79" s="213"/>
      <c r="Y79" s="213"/>
      <c r="Z79" s="213"/>
    </row>
    <row r="80" spans="1:26" s="44" customFormat="1" ht="12.75" customHeight="1">
      <c r="A80" s="213" t="s">
        <v>508</v>
      </c>
      <c r="B80" s="213"/>
      <c r="C80" s="213"/>
      <c r="D80" s="213"/>
      <c r="E80" s="213"/>
      <c r="F80" s="213"/>
      <c r="G80" s="213"/>
      <c r="H80" s="213"/>
      <c r="I80" s="213"/>
      <c r="J80" s="213"/>
      <c r="K80" s="213"/>
      <c r="L80" s="213"/>
      <c r="M80" s="213"/>
      <c r="N80" s="213"/>
      <c r="O80" s="213"/>
      <c r="P80" s="213"/>
      <c r="Q80" s="213"/>
      <c r="R80" s="213"/>
      <c r="S80" s="213"/>
      <c r="T80" s="213"/>
      <c r="U80" s="213"/>
      <c r="V80" s="213"/>
      <c r="W80" s="213"/>
      <c r="X80" s="213"/>
      <c r="Y80" s="213"/>
      <c r="Z80" s="213"/>
    </row>
    <row r="81" spans="1:26" ht="12.75" customHeight="1">
      <c r="A81" s="213" t="s">
        <v>509</v>
      </c>
      <c r="B81" s="213"/>
      <c r="C81" s="213"/>
      <c r="D81" s="213"/>
      <c r="E81" s="213"/>
      <c r="F81" s="213"/>
      <c r="G81" s="213"/>
      <c r="H81" s="213"/>
      <c r="I81" s="213"/>
      <c r="J81" s="213"/>
      <c r="K81" s="213"/>
      <c r="L81" s="213"/>
      <c r="M81" s="213"/>
      <c r="N81" s="213"/>
      <c r="O81" s="213"/>
      <c r="P81" s="213"/>
      <c r="Q81" s="213"/>
      <c r="R81" s="213"/>
      <c r="S81" s="213"/>
      <c r="T81" s="213"/>
      <c r="U81" s="213"/>
      <c r="V81" s="213"/>
      <c r="W81" s="213"/>
      <c r="X81" s="213"/>
      <c r="Y81" s="213"/>
      <c r="Z81" s="213"/>
    </row>
    <row r="82" spans="1:26" ht="12.75" customHeight="1">
      <c r="A82" s="214" t="s">
        <v>510</v>
      </c>
      <c r="B82" s="214"/>
      <c r="C82" s="214"/>
      <c r="D82" s="214"/>
      <c r="E82" s="214"/>
      <c r="F82" s="214"/>
      <c r="G82" s="214"/>
      <c r="H82" s="214"/>
      <c r="I82" s="214"/>
      <c r="J82" s="214"/>
      <c r="K82" s="214"/>
      <c r="L82" s="214"/>
      <c r="M82" s="214"/>
      <c r="N82" s="214"/>
      <c r="O82" s="214"/>
      <c r="P82" s="214"/>
      <c r="Q82" s="214"/>
      <c r="R82" s="214"/>
      <c r="S82" s="214"/>
      <c r="T82" s="214"/>
      <c r="U82" s="214"/>
      <c r="V82" s="214"/>
      <c r="W82" s="214"/>
      <c r="X82" s="214"/>
      <c r="Y82" s="214"/>
      <c r="Z82" s="214"/>
    </row>
    <row r="83" spans="1:26" ht="12.75" customHeight="1">
      <c r="A83" s="213" t="s">
        <v>511</v>
      </c>
      <c r="B83" s="213"/>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137</v>
      </c>
    </row>
    <row r="2" spans="1:7">
      <c r="A2" s="1"/>
    </row>
    <row r="3" spans="1:7" ht="42.7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4.25"/>
  <cols>
    <col min="14" max="14" width="9.1328125" style="92"/>
    <col min="15" max="23" width="0" hidden="1" customWidth="1"/>
    <col min="24" max="24" width="11.3984375" style="92" customWidth="1"/>
    <col min="25" max="45" width="0" hidden="1" customWidth="1"/>
    <col min="46" max="46" width="13.59765625" style="92" customWidth="1"/>
  </cols>
  <sheetData>
    <row r="1" spans="1:50" ht="61.9">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4.25"/>
  <cols>
    <col min="2" max="2" width="37.86328125" bestFit="1" customWidth="1"/>
    <col min="3" max="3" width="17.59765625" bestFit="1" customWidth="1"/>
    <col min="4" max="4" width="13.59765625" bestFit="1" customWidth="1"/>
    <col min="5" max="6" width="13.26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4.25"/>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4.25"/>
  <cols>
    <col min="1" max="1" width="12.265625" customWidth="1"/>
    <col min="2" max="2" width="21.86328125" customWidth="1"/>
    <col min="3" max="3" width="18.1328125" customWidth="1"/>
    <col min="4" max="5" width="16.73046875" customWidth="1"/>
    <col min="6" max="8" width="20.597656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4.25"/>
  <cols>
    <col min="2" max="2" width="18.265625" customWidth="1"/>
    <col min="3" max="3" width="12"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T'!$G$77:$G$89,'AEO 2025 Table 36 Alt T'!$B$77:$B$89,B7)*10^12</f>
        <v>23082237999999.996</v>
      </c>
      <c r="D7" s="1"/>
      <c r="E7" s="1"/>
      <c r="F7" s="1"/>
    </row>
    <row r="8" spans="2:22">
      <c r="B8" t="s">
        <v>207</v>
      </c>
      <c r="C8" s="188">
        <f>SUMIFS('AEO 2025 Table 36 Alt T'!$G$77:$G$89,'AEO 2025 Table 36 Alt T'!$B$77:$B$89,B8)*10^12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election activeCell="G16" sqref="G16"/>
    </sheetView>
  </sheetViews>
  <sheetFormatPr defaultRowHeight="14.25"/>
  <cols>
    <col min="1" max="1" width="26.06640625" customWidth="1"/>
    <col min="2" max="3" width="10.265625" customWidth="1"/>
    <col min="4" max="4" width="56.19921875" bestFit="1" customWidth="1"/>
    <col min="5" max="31" width="10.26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s="220">
        <f>'AEO 2023 48'!F1</f>
        <v>2022</v>
      </c>
      <c r="D2" s="220">
        <f>'AEO 2023 48'!G1</f>
        <v>2023</v>
      </c>
      <c r="E2" s="220">
        <f>'AEO 2023 48'!H1</f>
        <v>2024</v>
      </c>
      <c r="F2" s="220">
        <f>'AEO 2023 48'!I1</f>
        <v>2025</v>
      </c>
      <c r="G2" s="220">
        <f>'AEO 2023 48'!J1</f>
        <v>2026</v>
      </c>
      <c r="H2" s="220">
        <f>'AEO 2023 48'!K1</f>
        <v>2027</v>
      </c>
      <c r="I2" s="220">
        <f>'AEO 2023 48'!L1</f>
        <v>2028</v>
      </c>
      <c r="J2" s="220">
        <f>'AEO 2023 48'!M1</f>
        <v>2029</v>
      </c>
      <c r="K2" s="220">
        <f>'AEO 2023 48'!N1</f>
        <v>2030</v>
      </c>
      <c r="L2" s="220">
        <f>'AEO 2023 48'!O1</f>
        <v>2031</v>
      </c>
      <c r="M2" s="220">
        <f>'AEO 2023 48'!P1</f>
        <v>2032</v>
      </c>
      <c r="N2" s="220">
        <f>'AEO 2023 48'!Q1</f>
        <v>2033</v>
      </c>
      <c r="O2" s="220">
        <f>'AEO 2023 48'!R1</f>
        <v>2034</v>
      </c>
      <c r="P2" s="220">
        <f>'AEO 2023 48'!S1</f>
        <v>2035</v>
      </c>
      <c r="Q2" s="220">
        <f>'AEO 2023 48'!T1</f>
        <v>2036</v>
      </c>
      <c r="R2" s="220">
        <f>'AEO 2023 48'!U1</f>
        <v>2037</v>
      </c>
      <c r="S2" s="220">
        <f>'AEO 2023 48'!V1</f>
        <v>2038</v>
      </c>
      <c r="T2" s="220">
        <f>'AEO 2023 48'!W1</f>
        <v>2039</v>
      </c>
      <c r="U2" s="220">
        <f>'AEO 2023 48'!X1</f>
        <v>2040</v>
      </c>
      <c r="V2" s="220">
        <f>'AEO 2023 48'!Y1</f>
        <v>2041</v>
      </c>
      <c r="W2" s="220">
        <f>'AEO 2023 48'!Z1</f>
        <v>2042</v>
      </c>
      <c r="X2" s="220">
        <f>'AEO 2023 48'!AA1</f>
        <v>2043</v>
      </c>
      <c r="Y2" s="220">
        <f>'AEO 2023 48'!AB1</f>
        <v>2044</v>
      </c>
      <c r="Z2" s="220">
        <f>'AEO 2023 48'!AC1</f>
        <v>2045</v>
      </c>
      <c r="AA2" s="220">
        <f>'AEO 2023 48'!AD1</f>
        <v>2046</v>
      </c>
      <c r="AB2" s="220">
        <f>'AEO 2023 48'!AE1</f>
        <v>2047</v>
      </c>
      <c r="AC2" s="220">
        <f>'AEO 2023 48'!AF1</f>
        <v>2048</v>
      </c>
      <c r="AD2" s="220">
        <f>'AEO 2023 48'!AG1</f>
        <v>2049</v>
      </c>
      <c r="AE2" s="220">
        <f>'AEO 2023 48'!AH1</f>
        <v>2050</v>
      </c>
    </row>
    <row r="3" spans="1:36">
      <c r="A3" t="s">
        <v>128</v>
      </c>
      <c r="C3" s="220">
        <f>('AEO 2023 48'!F70-'AEO 2023 48'!F178)/'AEO 2023 48'!F70</f>
        <v>0.77213254116841057</v>
      </c>
      <c r="D3" s="220">
        <f>('AEO 2023 48'!G70-'AEO 2023 48'!G178)/'AEO 2023 48'!G70</f>
        <v>0.88933514835103555</v>
      </c>
      <c r="E3" s="220">
        <f>('AEO 2023 48'!H70-'AEO 2023 48'!H178)/'AEO 2023 48'!H70</f>
        <v>0.92087600109298473</v>
      </c>
      <c r="F3" s="220">
        <f>('AEO 2023 48'!I70-'AEO 2023 48'!I178)/'AEO 2023 48'!I70</f>
        <v>0.92643694361547047</v>
      </c>
      <c r="G3" s="220">
        <f>('AEO 2023 48'!J70-'AEO 2023 48'!J178)/'AEO 2023 48'!J70</f>
        <v>0.93029714969284272</v>
      </c>
      <c r="H3" s="220">
        <f>('AEO 2023 48'!K70-'AEO 2023 48'!K178)/'AEO 2023 48'!K70</f>
        <v>0.93282335871244138</v>
      </c>
      <c r="I3" s="220">
        <f>('AEO 2023 48'!L70-'AEO 2023 48'!L178)/'AEO 2023 48'!L70</f>
        <v>0.93498868255087331</v>
      </c>
      <c r="J3" s="220">
        <f>('AEO 2023 48'!M70-'AEO 2023 48'!M178)/'AEO 2023 48'!M70</f>
        <v>0.93713946140143756</v>
      </c>
      <c r="K3" s="220">
        <f>('AEO 2023 48'!N70-'AEO 2023 48'!N178)/'AEO 2023 48'!N70</f>
        <v>0.9392600856057034</v>
      </c>
      <c r="L3" s="220">
        <f>('AEO 2023 48'!O70-'AEO 2023 48'!O178)/'AEO 2023 48'!O70</f>
        <v>0.9413395077522464</v>
      </c>
      <c r="M3" s="220">
        <f>('AEO 2023 48'!P70-'AEO 2023 48'!P178)/'AEO 2023 48'!P70</f>
        <v>0.94335871372742264</v>
      </c>
      <c r="N3" s="220">
        <f>('AEO 2023 48'!Q70-'AEO 2023 48'!Q178)/'AEO 2023 48'!Q70</f>
        <v>0.94531086681276733</v>
      </c>
      <c r="O3" s="220">
        <f>('AEO 2023 48'!R70-'AEO 2023 48'!R178)/'AEO 2023 48'!R70</f>
        <v>0.9471951672807547</v>
      </c>
      <c r="P3" s="220">
        <f>('AEO 2023 48'!S70-'AEO 2023 48'!S178)/'AEO 2023 48'!S70</f>
        <v>0.94901177442071949</v>
      </c>
      <c r="Q3" s="220">
        <f>('AEO 2023 48'!T70-'AEO 2023 48'!T178)/'AEO 2023 48'!T70</f>
        <v>0.95077987054419311</v>
      </c>
      <c r="R3" s="220">
        <f>('AEO 2023 48'!U70-'AEO 2023 48'!U178)/'AEO 2023 48'!U70</f>
        <v>0.9524842310779349</v>
      </c>
      <c r="S3" s="220">
        <f>('AEO 2023 48'!V70-'AEO 2023 48'!V178)/'AEO 2023 48'!V70</f>
        <v>0.95412346413599314</v>
      </c>
      <c r="T3" s="220">
        <f>('AEO 2023 48'!W70-'AEO 2023 48'!W178)/'AEO 2023 48'!W70</f>
        <v>0.95569870706585602</v>
      </c>
      <c r="U3" s="220">
        <f>('AEO 2023 48'!X70-'AEO 2023 48'!X178)/'AEO 2023 48'!X70</f>
        <v>0.95721227004289489</v>
      </c>
      <c r="V3" s="220">
        <f>('AEO 2023 48'!Y70-'AEO 2023 48'!Y178)/'AEO 2023 48'!Y70</f>
        <v>0.95867860233902413</v>
      </c>
      <c r="W3" s="220">
        <f>('AEO 2023 48'!Z70-'AEO 2023 48'!Z178)/'AEO 2023 48'!Z70</f>
        <v>0.96008729663561421</v>
      </c>
      <c r="X3" s="220">
        <f>('AEO 2023 48'!AA70-'AEO 2023 48'!AA178)/'AEO 2023 48'!AA70</f>
        <v>0.96143916614783365</v>
      </c>
      <c r="Y3" s="220">
        <f>('AEO 2023 48'!AB70-'AEO 2023 48'!AB178)/'AEO 2023 48'!AB70</f>
        <v>0.96273653509540569</v>
      </c>
      <c r="Z3" s="220">
        <f>('AEO 2023 48'!AC70-'AEO 2023 48'!AC178)/'AEO 2023 48'!AC70</f>
        <v>0.96398250062767687</v>
      </c>
      <c r="AA3" s="220">
        <f>('AEO 2023 48'!AD70-'AEO 2023 48'!AD178)/'AEO 2023 48'!AD70</f>
        <v>0.96518615411565822</v>
      </c>
      <c r="AB3" s="220">
        <f>('AEO 2023 48'!AE70-'AEO 2023 48'!AE178)/'AEO 2023 48'!AE70</f>
        <v>0.96634163717768629</v>
      </c>
      <c r="AC3" s="220">
        <f>('AEO 2023 48'!AF70-'AEO 2023 48'!AF178)/'AEO 2023 48'!AF70</f>
        <v>0.96745033110492351</v>
      </c>
      <c r="AD3" s="220">
        <f>('AEO 2023 48'!AG70-'AEO 2023 48'!AG178)/'AEO 2023 48'!AG70</f>
        <v>0.96851424870119418</v>
      </c>
      <c r="AE3" s="220">
        <f>('AEO 2023 48'!AH70-'AEO 2023 48'!AH178)/'AEO 2023 48'!AH70</f>
        <v>0.96953592176213643</v>
      </c>
    </row>
    <row r="4" spans="1:36">
      <c r="A4" t="s">
        <v>129</v>
      </c>
      <c r="C4" s="220">
        <f>'AEO 2023 48'!F178/'AEO 2023 48'!F70</f>
        <v>0.22786745883158938</v>
      </c>
      <c r="D4" s="220">
        <f>'AEO 2023 48'!G178/'AEO 2023 48'!G70</f>
        <v>0.11066485164896439</v>
      </c>
      <c r="E4" s="220">
        <f>'AEO 2023 48'!H178/'AEO 2023 48'!H70</f>
        <v>7.9123998907015214E-2</v>
      </c>
      <c r="F4" s="220">
        <f>'AEO 2023 48'!I178/'AEO 2023 48'!I70</f>
        <v>7.3563056384529465E-2</v>
      </c>
      <c r="G4" s="220">
        <f>'AEO 2023 48'!J178/'AEO 2023 48'!J70</f>
        <v>6.9702850307157213E-2</v>
      </c>
      <c r="H4" s="220">
        <f>'AEO 2023 48'!K178/'AEO 2023 48'!K70</f>
        <v>6.7176641287558597E-2</v>
      </c>
      <c r="I4" s="220">
        <f>'AEO 2023 48'!L178/'AEO 2023 48'!L70</f>
        <v>6.5011317449126638E-2</v>
      </c>
      <c r="J4" s="220">
        <f>'AEO 2023 48'!M178/'AEO 2023 48'!M70</f>
        <v>6.286053859856236E-2</v>
      </c>
      <c r="K4" s="220">
        <f>'AEO 2023 48'!N178/'AEO 2023 48'!N70</f>
        <v>6.073991439429656E-2</v>
      </c>
      <c r="L4" s="220">
        <f>'AEO 2023 48'!O178/'AEO 2023 48'!O70</f>
        <v>5.8660492247753604E-2</v>
      </c>
      <c r="M4" s="220">
        <f>'AEO 2023 48'!P178/'AEO 2023 48'!P70</f>
        <v>5.6641286272577356E-2</v>
      </c>
      <c r="N4" s="220">
        <f>'AEO 2023 48'!Q178/'AEO 2023 48'!Q70</f>
        <v>5.4689133187232591E-2</v>
      </c>
      <c r="O4" s="220">
        <f>'AEO 2023 48'!R178/'AEO 2023 48'!R70</f>
        <v>5.2804832719245305E-2</v>
      </c>
      <c r="P4" s="220">
        <f>'AEO 2023 48'!S178/'AEO 2023 48'!S70</f>
        <v>5.098822557928042E-2</v>
      </c>
      <c r="Q4" s="220">
        <f>'AEO 2023 48'!T178/'AEO 2023 48'!T70</f>
        <v>4.922012945580681E-2</v>
      </c>
      <c r="R4" s="220">
        <f>'AEO 2023 48'!U178/'AEO 2023 48'!U70</f>
        <v>4.7515768922065091E-2</v>
      </c>
      <c r="S4" s="220">
        <f>'AEO 2023 48'!V178/'AEO 2023 48'!V70</f>
        <v>4.5876535864006793E-2</v>
      </c>
      <c r="T4" s="220">
        <f>'AEO 2023 48'!W178/'AEO 2023 48'!W70</f>
        <v>4.4301292934143963E-2</v>
      </c>
      <c r="U4" s="220">
        <f>'AEO 2023 48'!X178/'AEO 2023 48'!X70</f>
        <v>4.2787729957105065E-2</v>
      </c>
      <c r="V4" s="220">
        <f>'AEO 2023 48'!Y178/'AEO 2023 48'!Y70</f>
        <v>4.1321397660975881E-2</v>
      </c>
      <c r="W4" s="220">
        <f>'AEO 2023 48'!Z178/'AEO 2023 48'!Z70</f>
        <v>3.9912703364385745E-2</v>
      </c>
      <c r="X4" s="220">
        <f>'AEO 2023 48'!AA178/'AEO 2023 48'!AA70</f>
        <v>3.8560833852166305E-2</v>
      </c>
      <c r="Y4" s="220">
        <f>'AEO 2023 48'!AB178/'AEO 2023 48'!AB70</f>
        <v>3.7263464904594312E-2</v>
      </c>
      <c r="Z4" s="220">
        <f>'AEO 2023 48'!AC178/'AEO 2023 48'!AC70</f>
        <v>3.6017499372323084E-2</v>
      </c>
      <c r="AA4" s="220">
        <f>'AEO 2023 48'!AD178/'AEO 2023 48'!AD70</f>
        <v>3.4813845884341769E-2</v>
      </c>
      <c r="AB4" s="220">
        <f>'AEO 2023 48'!AE178/'AEO 2023 48'!AE70</f>
        <v>3.3658362822313721E-2</v>
      </c>
      <c r="AC4" s="220">
        <f>'AEO 2023 48'!AF178/'AEO 2023 48'!AF70</f>
        <v>3.2549668895076475E-2</v>
      </c>
      <c r="AD4" s="220">
        <f>'AEO 2023 48'!AG178/'AEO 2023 48'!AG70</f>
        <v>3.1485751298805743E-2</v>
      </c>
      <c r="AE4" s="220">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21">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22">
        <f>SUM('AEO 2023 36'!H79,'AEO 2023 36'!H84,'AEO 2023 36'!H86)*10^12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22">
        <f>SUM('AEO 2023 36'!H80,'AEO 2023 36'!H87)*10^12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104"/>
  <sheetViews>
    <sheetView topLeftCell="A65" zoomScale="90" zoomScaleNormal="90" workbookViewId="0">
      <selection activeCell="M84" sqref="M84"/>
    </sheetView>
  </sheetViews>
  <sheetFormatPr defaultRowHeight="14.25"/>
  <cols>
    <col min="2" max="2" width="22.86328125" customWidth="1"/>
    <col min="3" max="5" width="11.1328125" customWidth="1"/>
    <col min="6" max="6" width="13.1328125" customWidth="1"/>
    <col min="7" max="7" width="11.1328125" customWidth="1"/>
    <col min="8" max="8" width="13" bestFit="1" customWidth="1"/>
    <col min="9" max="9" width="11.1328125" customWidth="1"/>
  </cols>
  <sheetData>
    <row r="1" spans="1:4" s="197" customFormat="1">
      <c r="A1" s="197" t="s">
        <v>3902</v>
      </c>
    </row>
    <row r="2" spans="1:4">
      <c r="C2">
        <v>2023</v>
      </c>
      <c r="D2">
        <v>2024</v>
      </c>
    </row>
    <row r="3" spans="1:4">
      <c r="B3" s="1" t="s">
        <v>2806</v>
      </c>
      <c r="C3" s="1">
        <f>'AEO 2023 7'!D65*10^15</f>
        <v>3008168000000000</v>
      </c>
      <c r="D3" s="1">
        <f>'AEO 2025 Table 7 Alt T'!F54*10^15</f>
        <v>3268324000000000</v>
      </c>
    </row>
    <row r="4" spans="1:4">
      <c r="B4" s="1" t="s">
        <v>3065</v>
      </c>
      <c r="C4" s="21">
        <f>'EPA-Annex3-Table A94'!E100/SUM('EPA-Annex3-Table A94'!$E$100:$E$101)</f>
        <v>0.67140255009107463</v>
      </c>
      <c r="D4" s="16">
        <f>C4</f>
        <v>0.67140255009107463</v>
      </c>
    </row>
    <row r="5" spans="1:4">
      <c r="B5" s="184" t="s">
        <v>3066</v>
      </c>
      <c r="C5" s="185">
        <f>C3*C4</f>
        <v>2019691666302367.8</v>
      </c>
      <c r="D5" s="185">
        <f>D3*D4</f>
        <v>2194361068123861.5</v>
      </c>
    </row>
    <row r="6" spans="1:4">
      <c r="B6" t="s">
        <v>3025</v>
      </c>
      <c r="C6" s="121">
        <f>'SYVbT-passenger'!E4</f>
        <v>6646</v>
      </c>
      <c r="D6" s="186">
        <v>6646.0996089999999</v>
      </c>
    </row>
    <row r="7" spans="1:4">
      <c r="B7" t="s">
        <v>3026</v>
      </c>
      <c r="C7" s="121">
        <f>'SYVbT-freight'!E4</f>
        <v>1069</v>
      </c>
      <c r="D7" s="186">
        <v>1068.7120359999999</v>
      </c>
    </row>
    <row r="8" spans="1:4">
      <c r="B8" t="s">
        <v>3027</v>
      </c>
      <c r="C8">
        <f>'AVLo-passengers'!B4</f>
        <v>111.39416306433705</v>
      </c>
      <c r="D8">
        <f>'AVLo-passengers'!C4</f>
        <v>111.39416306433705</v>
      </c>
    </row>
    <row r="9" spans="1:4">
      <c r="B9" t="s">
        <v>3028</v>
      </c>
      <c r="C9">
        <f>'AVLo-freight'!B4</f>
        <v>41.989116133258747</v>
      </c>
      <c r="D9">
        <f>'AVLo-freight'!C4</f>
        <v>41.989116133258747</v>
      </c>
    </row>
    <row r="10" spans="1:4">
      <c r="B10" t="s">
        <v>3029</v>
      </c>
      <c r="C10" s="64">
        <f>'BAADTbVT-passenger'!B4</f>
        <v>1038833</v>
      </c>
      <c r="D10" s="64">
        <f>'BAADTbVT-passenger'!C4</f>
        <v>1038833</v>
      </c>
    </row>
    <row r="11" spans="1:4">
      <c r="B11" t="s">
        <v>3030</v>
      </c>
      <c r="C11">
        <f>'BAADTbVT-frgt'!B4</f>
        <v>1146274</v>
      </c>
      <c r="D11">
        <f>'BAADTbVT-frgt'!C4</f>
        <v>1146274</v>
      </c>
    </row>
    <row r="12" spans="1:4">
      <c r="B12" t="s">
        <v>3031</v>
      </c>
      <c r="C12" s="21">
        <f>C6/SUM(C$6:C$7)</f>
        <v>0.86143875567077122</v>
      </c>
      <c r="D12" s="21">
        <f>D6/SUM(D$6:D$7)</f>
        <v>0.86147269885809374</v>
      </c>
    </row>
    <row r="13" spans="1:4">
      <c r="B13" t="s">
        <v>3032</v>
      </c>
      <c r="C13" s="21">
        <f>C7/SUM(C$6:C$7)</f>
        <v>0.13856124432922878</v>
      </c>
      <c r="D13" s="21">
        <f>D7/SUM(D$6:D$7)</f>
        <v>0.13852730114190623</v>
      </c>
    </row>
    <row r="14" spans="1:4">
      <c r="B14" t="s">
        <v>3033</v>
      </c>
      <c r="C14" s="30">
        <f>C12*C$5</f>
        <v>1739840675858138.3</v>
      </c>
      <c r="D14" s="30">
        <f>D12*D$5</f>
        <v>1890382151625792.3</v>
      </c>
    </row>
    <row r="15" spans="1:4">
      <c r="B15" t="s">
        <v>3034</v>
      </c>
      <c r="C15" s="30">
        <f>C13*C$5</f>
        <v>279850990444229.59</v>
      </c>
      <c r="D15" s="30">
        <f>D13*D$5</f>
        <v>303978916498069.19</v>
      </c>
    </row>
    <row r="16" spans="1:4">
      <c r="B16" s="181" t="s">
        <v>3035</v>
      </c>
      <c r="C16" s="182">
        <f>C6*C8*C10/C14</f>
        <v>4.4203741338043069E-4</v>
      </c>
      <c r="D16" s="182">
        <f>D6*D8*D10/D14</f>
        <v>4.0684165269742829E-4</v>
      </c>
    </row>
    <row r="17" spans="1:9">
      <c r="B17" s="181" t="s">
        <v>3036</v>
      </c>
      <c r="C17" s="182">
        <f>C7*C9*C11/C15</f>
        <v>1.8385524825269338E-4</v>
      </c>
      <c r="D17" s="182">
        <f>D7*D9*D11/D15</f>
        <v>1.6921638483991092E-4</v>
      </c>
    </row>
    <row r="19" spans="1:9">
      <c r="A19" s="197" t="s">
        <v>3903</v>
      </c>
      <c r="B19" s="197"/>
      <c r="C19" s="197"/>
      <c r="D19" s="197"/>
      <c r="E19" s="197"/>
      <c r="F19" s="197"/>
      <c r="G19" s="197"/>
      <c r="H19" s="197"/>
      <c r="I19" s="197"/>
    </row>
    <row r="20" spans="1:9" ht="28.5">
      <c r="B20" s="164" t="s">
        <v>111</v>
      </c>
      <c r="C20" s="164" t="s">
        <v>112</v>
      </c>
      <c r="D20" s="164" t="s">
        <v>113</v>
      </c>
      <c r="E20" s="164" t="s">
        <v>114</v>
      </c>
      <c r="F20" s="164" t="s">
        <v>115</v>
      </c>
      <c r="G20" s="164" t="s">
        <v>257</v>
      </c>
      <c r="H20" s="172" t="s">
        <v>258</v>
      </c>
      <c r="I20" s="172" t="s">
        <v>2805</v>
      </c>
    </row>
    <row r="21" spans="1:9">
      <c r="A21" t="s">
        <v>1050</v>
      </c>
      <c r="B21" s="173">
        <f>SUMIFS('AEO 2023 46'!$H$61:$H$70,'AEO 2023 46'!$A$61:$A$70,calcs!B$20)</f>
        <v>0</v>
      </c>
      <c r="C21" s="173">
        <f>SUMIFS('AEO 2023 46'!$H$61:$H$70,'AEO 2023 46'!$A$61:$A$70,calcs!C$20)</f>
        <v>7.7089000000000005E-2</v>
      </c>
      <c r="D21" s="173">
        <f>SUMIFS('AEO 2023 46'!$H$61:$H$70,'AEO 2023 46'!$A$61:$A$70,calcs!D$20)</f>
        <v>68.065060000000003</v>
      </c>
      <c r="E21" s="173">
        <f>SUMIFS('AEO 2023 46'!$H$61:$H$70,'AEO 2023 46'!$A$61:$A$70,calcs!E$20)</f>
        <v>35.168990999999998</v>
      </c>
      <c r="F21" s="173">
        <f>SUMIFS('AEO 2023 46'!$H$61:$H$70,'AEO 2023 46'!$A$61:$A$70,calcs!F$20)</f>
        <v>2.5620999999999998E-2</v>
      </c>
      <c r="G21" s="173">
        <f>SUMIFS('AEO 2023 46'!$H$61:$H$70,'AEO 2023 46'!$A$61:$A$70,calcs!G$20)</f>
        <v>6.7080000000000004E-3</v>
      </c>
      <c r="H21" s="173">
        <f>SUMIFS('AEO 2023 46'!$I$61:$I$70,'AEO 2023 46'!$A$61:$A$70,calcs!H$20)</f>
        <v>0</v>
      </c>
    </row>
    <row r="22" spans="1:9">
      <c r="A22" t="s">
        <v>1051</v>
      </c>
      <c r="B22" s="174">
        <f>SUMIFS('AEO 2023 49'!$H$19:$H$28,'AEO 2023 49'!$A$19:$A$28,calcs!B$20)</f>
        <v>7.2599999999999997E-4</v>
      </c>
      <c r="C22" s="174">
        <f>SUMIFS('AEO 2023 49'!$H$19:$H$28,'AEO 2023 49'!$A$19:$A$28,calcs!C$20)</f>
        <v>1.3986E-2</v>
      </c>
      <c r="D22" s="174">
        <f>SUMIFS('AEO 2023 49'!$H$19:$H$28,'AEO 2023 49'!$A$19:$A$28,calcs!D$20)</f>
        <v>21.495881000000001</v>
      </c>
      <c r="E22" s="174">
        <f>SUMIFS('AEO 2023 49'!$H$19:$H$28,'AEO 2023 49'!$A$19:$A$28,calcs!E$20)</f>
        <v>53.187412000000002</v>
      </c>
      <c r="F22" s="174">
        <f>SUMIFS('AEO 2023 49'!$H$19:$H$28,'AEO 2023 49'!$A$19:$A$28,calcs!F$20)</f>
        <v>1.1816E-2</v>
      </c>
      <c r="G22" s="174">
        <f>SUMIFS('AEO 2023 49'!$H$19:$H$28,'AEO 2023 49'!$A$19:$A$28,calcs!G$20)</f>
        <v>7.6309999999999998E-3</v>
      </c>
      <c r="H22" s="174">
        <f>SUMIFS('AEO 2023 49'!$I$19:$I$28,'AEO 2023 49'!$A$19:$A$28,calcs!H$20)</f>
        <v>1.9999999999999999E-6</v>
      </c>
    </row>
    <row r="23" spans="1:9">
      <c r="A23" t="s">
        <v>1052</v>
      </c>
      <c r="B23" s="3">
        <f>SUMIFS('AEO 2023 49'!$H$30:$H$39,'AEO 2023 49'!$A$30:$A$39,calcs!B$20)</f>
        <v>5.7080000000000004E-3</v>
      </c>
      <c r="C23" s="3">
        <f>SUMIFS('AEO 2023 49'!$H$30:$H$39,'AEO 2023 49'!$A$30:$A$39,calcs!C$20)</f>
        <v>3.8744000000000001E-2</v>
      </c>
      <c r="D23" s="3">
        <f>SUMIFS('AEO 2023 49'!$H$30:$H$39,'AEO 2023 49'!$A$30:$A$39,calcs!D$20)</f>
        <v>19.813300999999999</v>
      </c>
      <c r="E23" s="3">
        <f>SUMIFS('AEO 2023 49'!$H$30:$H$39,'AEO 2023 49'!$A$30:$A$39,calcs!E$20)</f>
        <v>39.337626999999998</v>
      </c>
      <c r="F23" s="3">
        <f>SUMIFS('AEO 2023 49'!$H$30:$H$39,'AEO 2023 49'!$A$30:$A$39,calcs!F$20)</f>
        <v>0</v>
      </c>
      <c r="G23" s="3">
        <f>SUMIFS('AEO 2023 49'!$H$30:$H$39,'AEO 2023 49'!$A$30:$A$39,calcs!G$20)</f>
        <v>3.6849E-2</v>
      </c>
      <c r="H23" s="3">
        <f>SUMIFS('AEO 2023 49'!$I$30:$I$39,'AEO 2023 49'!$A$30:$A$39,calcs!H$20)</f>
        <v>8.0780000000000001E-3</v>
      </c>
    </row>
    <row r="25" spans="1:9">
      <c r="A25" t="s">
        <v>1053</v>
      </c>
      <c r="B25">
        <f>SUMIFS('AEO 2023 43'!$H$61:$H$70,'AEO 2023 43'!$A$61:$A$70,calcs!B20)*10^15</f>
        <v>0</v>
      </c>
      <c r="C25">
        <f>SUMIFS('AEO 2023 43'!$H$61:$H$70,'AEO 2023 43'!$A$61:$A$70,calcs!C20)*10^15</f>
        <v>1028095999999999.9</v>
      </c>
      <c r="D25">
        <f>SUMIFS('AEO 2023 43'!$H$61:$H$70,'AEO 2023 43'!$A$61:$A$70,calcs!D20)*10^15</f>
        <v>6.5457269300000013E+17</v>
      </c>
      <c r="E25">
        <f>SUMIFS('AEO 2023 43'!$H$61:$H$70,'AEO 2023 43'!$A$61:$A$70,calcs!E20)*10^15</f>
        <v>2.8675845299999997E+17</v>
      </c>
      <c r="F25">
        <f>SUMIFS('AEO 2023 43'!$H$61:$H$70,'AEO 2023 43'!$A$61:$A$70,calcs!F20)*10^15</f>
        <v>139625000000000</v>
      </c>
      <c r="G25">
        <f>SUMIFS('AEO 2023 43'!$H$61:$H$70,'AEO 2023 43'!$A$61:$A$70,calcs!H20)*10^15</f>
        <v>0</v>
      </c>
      <c r="H25">
        <f>SUMIFS('AEO 2023 43'!$H$61:$H$70,'AEO 2023 43'!$A$61:$A$70,calcs!H20)*10^15</f>
        <v>0</v>
      </c>
    </row>
    <row r="27" spans="1:9" ht="28.5">
      <c r="B27" s="164" t="s">
        <v>111</v>
      </c>
      <c r="C27" s="164" t="s">
        <v>112</v>
      </c>
      <c r="D27" s="164" t="s">
        <v>113</v>
      </c>
      <c r="E27" s="164" t="s">
        <v>114</v>
      </c>
      <c r="F27" s="164" t="s">
        <v>115</v>
      </c>
      <c r="G27" s="164" t="s">
        <v>257</v>
      </c>
      <c r="H27" s="164" t="s">
        <v>258</v>
      </c>
    </row>
    <row r="28" spans="1:9">
      <c r="A28" t="s">
        <v>1054</v>
      </c>
      <c r="B28">
        <f>IFERROR(B21*10^12/B25,0)</f>
        <v>0</v>
      </c>
      <c r="C28">
        <f>C21*10^12/C25</f>
        <v>7.4982297373007981E-5</v>
      </c>
      <c r="D28">
        <f>D21*10^12/D25</f>
        <v>1.0398395889087292E-4</v>
      </c>
      <c r="E28">
        <f>E21*10^12/E25</f>
        <v>1.2264325822681154E-4</v>
      </c>
      <c r="F28">
        <f>F21*10^12/F25</f>
        <v>1.8349865711727841E-4</v>
      </c>
      <c r="G28">
        <f>IFERROR(G21*10^12/G25,0)</f>
        <v>0</v>
      </c>
      <c r="H28">
        <v>0</v>
      </c>
    </row>
    <row r="29" spans="1:9">
      <c r="A29" t="s">
        <v>1055</v>
      </c>
      <c r="B29">
        <f>'AEO 2023 49'!H104/'Calculations Etc'!B26</f>
        <v>1.7548417629426998E-4</v>
      </c>
      <c r="C29">
        <f>'AEO 2023 49'!H102/'Calculations Etc'!B25</f>
        <v>8.3321574421461539E-5</v>
      </c>
      <c r="D29">
        <f>'AEO 2023 49'!H100/'Calculations Etc'!B25</f>
        <v>9.1546158571001687E-5</v>
      </c>
      <c r="E29">
        <f>'AEO 2023 49'!H99/'Calculations Etc'!B26</f>
        <v>1.1070407123941448E-4</v>
      </c>
      <c r="F29">
        <f>'AEO 2023 49'!H106/'Calculations Etc'!B25</f>
        <v>1.5737443972243433E-4</v>
      </c>
      <c r="G29">
        <f>'AEO 2023 49'!H101/'Calculations Etc'!B25</f>
        <v>1.0018607025465652E-4</v>
      </c>
      <c r="H29">
        <f>'AEO 2023 49'!I107/'Calculations Etc'!B26</f>
        <v>1.3524129150539827E-4</v>
      </c>
    </row>
    <row r="30" spans="1:9">
      <c r="A30" t="s">
        <v>1056</v>
      </c>
      <c r="B30">
        <f>'AEO 2023 49'!H115/'Calculations Etc'!B26</f>
        <v>1.2676730058493147E-4</v>
      </c>
      <c r="C30">
        <f>'AEO 2023 49'!H113/'Calculations Etc'!B25</f>
        <v>5.5964216939473426E-5</v>
      </c>
      <c r="D30">
        <f>'AEO 2023 49'!H111/'Calculations Etc'!B25</f>
        <v>5.6598675254822533E-5</v>
      </c>
      <c r="E30">
        <f>'AEO 2023 49'!H110/'Calculations Etc'!B26</f>
        <v>6.8137298838867391E-5</v>
      </c>
      <c r="F30">
        <f>'AEO 2023 49'!H116/'Calculations Etc'!B26</f>
        <v>0</v>
      </c>
      <c r="G30">
        <f>'AEO 2023 49'!H112/'Calculations Etc'!B25</f>
        <v>5.6030578704472259E-5</v>
      </c>
      <c r="H30">
        <f>'AEO 2023 49'!I118/'Calculations Etc'!B26</f>
        <v>8.3786165352268431E-5</v>
      </c>
    </row>
    <row r="32" spans="1:9">
      <c r="A32" t="s">
        <v>1057</v>
      </c>
      <c r="B32">
        <f t="shared" ref="B32:H32" si="0">SUMPRODUCT(B21:B23,B28:B30)/SUM(B21:B23)</f>
        <v>1.3226441773833212E-4</v>
      </c>
      <c r="C32">
        <f t="shared" si="0"/>
        <v>7.0204850469879831E-5</v>
      </c>
      <c r="D32">
        <f t="shared" si="0"/>
        <v>9.2955581997260681E-5</v>
      </c>
      <c r="E32">
        <f t="shared" si="0"/>
        <v>1.0087912753938768E-4</v>
      </c>
      <c r="F32">
        <f t="shared" si="0"/>
        <v>1.7525323807361898E-4</v>
      </c>
      <c r="G32">
        <f t="shared" si="0"/>
        <v>5.5270584840087177E-5</v>
      </c>
      <c r="H32">
        <f t="shared" si="0"/>
        <v>8.379890176963306E-5</v>
      </c>
    </row>
    <row r="34" spans="1:8">
      <c r="A34" s="194" t="s">
        <v>3903</v>
      </c>
      <c r="B34" s="29"/>
      <c r="C34" s="29"/>
      <c r="D34" s="29"/>
    </row>
    <row r="35" spans="1:8">
      <c r="C35">
        <v>2024</v>
      </c>
    </row>
    <row r="36" spans="1:8">
      <c r="A36" t="s">
        <v>3901</v>
      </c>
      <c r="B36" t="s">
        <v>3253</v>
      </c>
      <c r="C36" s="30">
        <v>12804100</v>
      </c>
      <c r="E36" s="21"/>
    </row>
    <row r="37" spans="1:8">
      <c r="A37" t="s">
        <v>3901</v>
      </c>
      <c r="B37" t="s">
        <v>207</v>
      </c>
      <c r="C37" s="30">
        <v>10543600</v>
      </c>
      <c r="E37" s="21"/>
    </row>
    <row r="38" spans="1:8">
      <c r="A38" t="s">
        <v>3252</v>
      </c>
      <c r="B38" t="s">
        <v>3253</v>
      </c>
      <c r="C38">
        <f>'BAADTbVT-frgt'!B2</f>
        <v>9916</v>
      </c>
    </row>
    <row r="39" spans="1:8">
      <c r="A39" t="s">
        <v>3252</v>
      </c>
      <c r="B39" t="s">
        <v>207</v>
      </c>
      <c r="C39">
        <f>C38</f>
        <v>9916</v>
      </c>
    </row>
    <row r="40" spans="1:8">
      <c r="A40" t="s">
        <v>3254</v>
      </c>
      <c r="B40" t="s">
        <v>3253</v>
      </c>
      <c r="C40">
        <f>SUM('AEO 2025 Table 49'!F54,'AEO 2025 Table 49'!F68,'AEO 2025 Table 43'!F51,'AEO 2025 Table 49'!F57,'AEO 2025 Table 49'!F71,'AEO 2025 Table 43'!F55)*10^12</f>
        <v>1291851282000000</v>
      </c>
    </row>
    <row r="41" spans="1:8">
      <c r="A41" t="s">
        <v>3254</v>
      </c>
      <c r="B41" t="s">
        <v>207</v>
      </c>
      <c r="C41">
        <f>SUM('AEO 2025 Table 49'!F53,'AEO 2025 Table 49'!F67,'AEO 2025 Table 43'!F52)*10^12</f>
        <v>1371435761000000.3</v>
      </c>
    </row>
    <row r="42" spans="1:8">
      <c r="A42" s="29" t="s">
        <v>3255</v>
      </c>
      <c r="B42" s="29" t="s">
        <v>3253</v>
      </c>
      <c r="C42" s="193">
        <f>C36*C38/C40</f>
        <v>9.8281789373956747E-5</v>
      </c>
      <c r="E42" s="21"/>
    </row>
    <row r="43" spans="1:8">
      <c r="A43" s="29" t="s">
        <v>3255</v>
      </c>
      <c r="B43" s="29" t="s">
        <v>207</v>
      </c>
      <c r="C43" s="193">
        <f>C37*C39/C41</f>
        <v>7.6234221516701414E-5</v>
      </c>
      <c r="E43" s="21"/>
    </row>
    <row r="46" spans="1:8">
      <c r="B46" t="s">
        <v>660</v>
      </c>
    </row>
    <row r="47" spans="1:8" ht="71.25">
      <c r="A47" t="s">
        <v>635</v>
      </c>
      <c r="B47">
        <v>2020</v>
      </c>
      <c r="C47">
        <v>2021</v>
      </c>
      <c r="E47" s="5" t="s">
        <v>637</v>
      </c>
      <c r="F47" s="5" t="s">
        <v>661</v>
      </c>
      <c r="G47" s="5" t="s">
        <v>664</v>
      </c>
      <c r="H47" s="69" t="s">
        <v>665</v>
      </c>
    </row>
    <row r="48" spans="1:8">
      <c r="A48" s="66" t="s">
        <v>634</v>
      </c>
      <c r="H48" s="70"/>
    </row>
    <row r="49" spans="1:9">
      <c r="A49" t="s">
        <v>337</v>
      </c>
      <c r="B49" s="30">
        <f>'EPA_Table 3-13'!B8*10^12</f>
        <v>3000000000000</v>
      </c>
      <c r="C49" s="30">
        <f>'EPA_Table 3-13'!C8*10^12</f>
        <v>3000000000000</v>
      </c>
      <c r="E49">
        <f>'PEI-TFPEI-HDVs'!D2</f>
        <v>7.2920703974688528E-2</v>
      </c>
      <c r="F49" s="30">
        <f>B49/E49</f>
        <v>41140579238529.141</v>
      </c>
      <c r="G49">
        <f>'AVLo-passengers'!B3*'BAADTbVT-passenger'!B3*'SYVbT-passenger'!D3</f>
        <v>35043476460.534225</v>
      </c>
      <c r="H49" s="71">
        <f>G49/F49</f>
        <v>8.5179832440752728E-4</v>
      </c>
    </row>
    <row r="50" spans="1:9">
      <c r="A50" s="66" t="s">
        <v>633</v>
      </c>
      <c r="B50" s="67"/>
      <c r="C50" s="67"/>
      <c r="H50" s="70"/>
    </row>
    <row r="51" spans="1:9">
      <c r="A51" t="s">
        <v>337</v>
      </c>
      <c r="B51" s="30">
        <f>'EPA_Table 3-13'!B15*10^12</f>
        <v>20000000000000</v>
      </c>
      <c r="C51" s="30">
        <f>'EPA_Table 3-13'!C15*10^12</f>
        <v>21000000000000</v>
      </c>
      <c r="E51">
        <f>'PEI-TFPEI-HDVs'!E2</f>
        <v>7.4215991692627201E-2</v>
      </c>
      <c r="F51" s="30">
        <f>B51/E51</f>
        <v>269483699454316.53</v>
      </c>
      <c r="G51">
        <f>'AVLo-passengers'!B3*'BAADTbVT-passenger'!B3*'SYVbT-passenger'!E3</f>
        <v>278414110634.86371</v>
      </c>
      <c r="H51" s="71">
        <f>G51/F51</f>
        <v>1.0331389660993618E-3</v>
      </c>
    </row>
    <row r="52" spans="1:9">
      <c r="A52" s="66" t="s">
        <v>624</v>
      </c>
      <c r="B52" s="67"/>
      <c r="C52" s="67"/>
      <c r="H52" s="70"/>
    </row>
    <row r="53" spans="1:9">
      <c r="A53" t="s">
        <v>337</v>
      </c>
      <c r="B53" s="30">
        <f>'EPA_Table 3-13'!B35*10^12</f>
        <v>1000000000000</v>
      </c>
      <c r="C53" s="30">
        <f>'EPA_Table 3-13'!C35*10^12</f>
        <v>1000000000000</v>
      </c>
      <c r="E53">
        <f>'PEI-TFPEI-HDVs'!C2</f>
        <v>5.2751937984496129E-2</v>
      </c>
      <c r="F53" s="30">
        <f>B53/E53</f>
        <v>18956649522409.992</v>
      </c>
      <c r="G53">
        <f>'AVLo-passengers'!B3*'BAADTbVT-passenger'!B3*'SYVbT-passenger'!C3</f>
        <v>44528529796.691925</v>
      </c>
      <c r="H53" s="71">
        <f>G53/F53</f>
        <v>2.3489662423758803E-3</v>
      </c>
    </row>
    <row r="54" spans="1:9">
      <c r="A54" s="66" t="s">
        <v>621</v>
      </c>
      <c r="B54" s="67"/>
      <c r="C54" s="67"/>
    </row>
    <row r="55" spans="1:9">
      <c r="A55" t="s">
        <v>337</v>
      </c>
      <c r="B55" s="68">
        <f>'EPA_Table 3-13'!B41</f>
        <v>0</v>
      </c>
      <c r="C55" s="68">
        <f>'EPA_Table 3-13'!C41</f>
        <v>0</v>
      </c>
      <c r="E55">
        <f>'PEI-TFPEI-HDVs'!J2</f>
        <v>6.7030064624894622E-2</v>
      </c>
    </row>
    <row r="57" spans="1:9">
      <c r="A57" s="197" t="s">
        <v>3905</v>
      </c>
      <c r="B57" s="197"/>
      <c r="C57" s="197"/>
      <c r="D57" s="197"/>
      <c r="E57" s="197"/>
      <c r="F57" s="197"/>
      <c r="G57" s="197"/>
      <c r="H57" s="197"/>
      <c r="I57" s="197"/>
    </row>
    <row r="58" spans="1:9">
      <c r="C58">
        <v>2023</v>
      </c>
      <c r="D58">
        <v>2024</v>
      </c>
    </row>
    <row r="59" spans="1:9">
      <c r="B59" t="s">
        <v>3906</v>
      </c>
      <c r="C59">
        <f>'AEO 2023 49'!H76</f>
        <v>4082.8315429999998</v>
      </c>
      <c r="D59">
        <f>'AEO 2025 Table 49'!F81</f>
        <v>4150.3491210000002</v>
      </c>
      <c r="E59" s="21">
        <f>D59/C59</f>
        <v>1.0165369492443936</v>
      </c>
    </row>
    <row r="60" spans="1:9">
      <c r="B60" t="s">
        <v>3908</v>
      </c>
      <c r="C60">
        <f>'AEO 2023 49'!H41</f>
        <v>184.36309800000001</v>
      </c>
      <c r="D60">
        <f>'AEO 2025 Table 49'!F37</f>
        <v>192.94982899999999</v>
      </c>
      <c r="E60" s="21">
        <f>D60/C60</f>
        <v>1.0465751069121219</v>
      </c>
    </row>
    <row r="61" spans="1:9">
      <c r="B61" t="s">
        <v>3907</v>
      </c>
    </row>
    <row r="65" spans="1:9" s="198" customFormat="1" ht="21">
      <c r="A65" s="198" t="s">
        <v>3904</v>
      </c>
    </row>
    <row r="66" spans="1:9">
      <c r="A66" s="1" t="s">
        <v>1058</v>
      </c>
    </row>
    <row r="67" spans="1:9" ht="42.75">
      <c r="B67" s="5" t="s">
        <v>270</v>
      </c>
      <c r="C67" s="164" t="s">
        <v>111</v>
      </c>
      <c r="D67" s="164" t="s">
        <v>112</v>
      </c>
      <c r="E67" s="164" t="s">
        <v>113</v>
      </c>
      <c r="F67" s="164" t="s">
        <v>114</v>
      </c>
      <c r="G67" s="164" t="s">
        <v>115</v>
      </c>
      <c r="H67" s="164" t="s">
        <v>257</v>
      </c>
      <c r="I67" s="164" t="s">
        <v>258</v>
      </c>
    </row>
    <row r="68" spans="1:9">
      <c r="B68" t="s">
        <v>219</v>
      </c>
      <c r="C68" s="219">
        <f>SUMIFS('AEO 2025 Table 41'!$H:$H,'AEO 2025 Table 41'!$B:$B,C67)/SUMIFS('AEO 2025 Table 37'!$G:$G,'AEO 2025 Table 37'!$A:$A,C$67)/1000*'Calculations Etc'!$B$15*'Calibration Adjustments'!$B$19</f>
        <v>1.4847452525739309E-3</v>
      </c>
      <c r="D68" s="219">
        <f>SUMIFS('AEO 2025 Table 41'!$H:$H,'AEO 2025 Table 41'!$B:$B,D67)/SUMIFS('AEO 2025 Table 37'!$G:$G,'AEO 2025 Table 37'!$A:$A,D$67)/1000*'Calculations Etc'!$B$15*'Calibration Adjustments'!$B$19</f>
        <v>2.6786665627833182E-4</v>
      </c>
      <c r="E68" s="219">
        <f>SUMIFS('AEO 2025 Table 41'!$H:$H,'AEO 2025 Table 41'!$B:$B,E67)/SUMIFS('AEO 2025 Table 37'!$G:$G,'AEO 2025 Table 37'!$A:$A,E$67)/1000*'Calculations Etc'!$B$15*'Calibration Adjustments'!$B$19</f>
        <v>2.9949629857956321E-4</v>
      </c>
      <c r="F68" s="219">
        <f>SUMIFS('AEO 2025 Table 41'!$H:$H,'AEO 2025 Table 41'!$B:$B,F67)/SUMIFS('AEO 2025 Table 37'!$G:$G,'AEO 2025 Table 37'!$A:$A,F$67)/1000*'Calculations Etc'!$B$15*'Calibration Adjustments'!$B$19</f>
        <v>3.3913371887260487E-4</v>
      </c>
      <c r="G68" s="219">
        <f>SUMIFS('AEO 2025 Table 41'!$H:$H,'AEO 2025 Table 41'!$B:$B,G67)/SUMIFS('AEO 2025 Table 37'!$G:$G,'AEO 2025 Table 37'!$A:$A,G$67)/1000*'Calculations Etc'!$B$15*'Calibration Adjustments'!$B$19</f>
        <v>5.9882512441817497E-4</v>
      </c>
      <c r="H68" s="219">
        <f>SUMIFS('AEO 2025 Table 41'!$H:$H,'AEO 2025 Table 41'!$B:$B,H67)/SUMIFS('AEO 2025 Table 37'!$G:$G,'AEO 2025 Table 37'!$A:$A,H$67)/1000*'Calculations Etc'!$B$15*'Calibration Adjustments'!$B$19</f>
        <v>2.3523852430354576E-4</v>
      </c>
      <c r="I68" s="219">
        <f>SUMIFS('AEO 2025 Table 41'!$H:$H,'AEO 2025 Table 41'!$B:$B,I67)/SUMIFS('AEO 2025 Table 37'!$G:$G,'AEO 2025 Table 37'!$A:$A,I$67)/1000*'Calculations Etc'!$B$15*'Calibration Adjustments'!$B$19</f>
        <v>9.1405174533092624E-4</v>
      </c>
    </row>
    <row r="69" spans="1:9">
      <c r="B69" t="s">
        <v>134</v>
      </c>
      <c r="C69" s="162">
        <f>$F69/(1-'Calculations Etc'!$B$9)*'Calibration Adjustments'!B20</f>
        <v>3.3199658675940884E-3</v>
      </c>
      <c r="D69" s="162">
        <f>calcs!H53</f>
        <v>2.3489662423758803E-3</v>
      </c>
      <c r="E69" s="28">
        <f>calcs!H49</f>
        <v>8.5179832440752728E-4</v>
      </c>
      <c r="F69" s="162">
        <f>calcs!H51</f>
        <v>1.0331389660993618E-3</v>
      </c>
      <c r="G69" s="162">
        <f>$F69/(1-'Calculations Etc'!$B$9)*'Calculations Etc'!$B$12+$F69*(1-'Calculations Etc'!$B$12)*'Calibration Adjustments'!F20</f>
        <v>2.2908937619214613E-3</v>
      </c>
      <c r="H69" s="162">
        <f>('SYVbT-passenger'!G3*'BAADTbVT-passenger'!$B$3*'Calculations Etc'!$B$17)/(SUMIFS('AEO 2025 Table 36 Alt T'!$G$54:$G$76,'AEO 2025 Table 36 Alt T'!$A$54:$A$76,calcs!H67)*1000000000000)*'Calibration Adjustments'!G20</f>
        <v>1.8294441155202029E-3</v>
      </c>
      <c r="I69" s="162">
        <f>$F69*'Calculations Etc'!$B$35*'Calibration Adjustments'!H20</f>
        <v>3.099416898298085E-3</v>
      </c>
    </row>
    <row r="70" spans="1:9">
      <c r="B70" t="s">
        <v>131</v>
      </c>
      <c r="C70" s="162">
        <f>$F70/(1-'Calculations Etc'!$B$9)*'Calibration Adjustments'!B21</f>
        <v>1.4204760180165997E-3</v>
      </c>
      <c r="D70" s="162">
        <f>$F70*'Calibration Adjustments'!C21</f>
        <v>4.4203741338043069E-4</v>
      </c>
      <c r="E70" s="162">
        <f>$F70*'Calibration Adjustments'!D21</f>
        <v>4.4203741338043069E-4</v>
      </c>
      <c r="F70" s="28">
        <f>calcs!C16</f>
        <v>4.4203741338043069E-4</v>
      </c>
      <c r="G70" s="162">
        <v>0</v>
      </c>
      <c r="H70" s="162">
        <v>0</v>
      </c>
      <c r="I70" s="162">
        <f>$F70*'Calculations Etc'!$B$35*'Calibration Adjustments'!H21</f>
        <v>1.3261122401412918E-3</v>
      </c>
    </row>
    <row r="71" spans="1:9">
      <c r="B71" t="s">
        <v>220</v>
      </c>
      <c r="C71" s="162">
        <f>'psgr rail calcs'!V67</f>
        <v>6.7428486606874269E-4</v>
      </c>
      <c r="D71" s="162">
        <f>$F71*'Calibration Adjustments'!C22</f>
        <v>5.0586266198922429E-5</v>
      </c>
      <c r="E71" s="162">
        <f>$F71*'Calibration Adjustments'!D22</f>
        <v>5.0586266198922429E-5</v>
      </c>
      <c r="F71" s="162">
        <f>'psgr rail calcs'!U67</f>
        <v>5.0586266198922429E-5</v>
      </c>
      <c r="G71" s="162">
        <v>0</v>
      </c>
      <c r="H71" s="162">
        <v>0</v>
      </c>
      <c r="I71" s="162">
        <f>$F71*'Calculations Etc'!$B$35*'Calibration Adjustments'!H22</f>
        <v>1.5175879859676727E-4</v>
      </c>
    </row>
    <row r="72" spans="1:9">
      <c r="B72" t="s">
        <v>221</v>
      </c>
      <c r="C72" s="162">
        <f>$F72/(1-'Calculations Etc'!$B$9)*'Calibration Adjustments'!B23</f>
        <v>3.8151653664103207E-5</v>
      </c>
      <c r="D72" s="162">
        <v>0</v>
      </c>
      <c r="E72" s="162">
        <f>('SYVbT-passenger'!D6*'BAADTbVT-passenger'!$B$6*1)/(SUMIFS('AEO 2025 Table 36 Alt T'!$G$91:$G$92,'AEO 2025 Table 36 Alt T'!$A$91:$A$92,calcs!E67)*1000000000000)*'Calibration Adjustments'!D23</f>
        <v>1.1872400950049923E-5</v>
      </c>
      <c r="F72" s="162">
        <f>('SYVbT-passenger'!E6*'BAADTbVT-passenger'!$B$6*1)/(SUMIFS('AEO 2025 Table 36 Alt T'!$G$91:$G$92,'AEO 2025 Table 36 Alt T'!$A$91:$A$92,calcs!F67)*1000000000000)*'Calibration Adjustments'!E23</f>
        <v>1.1872399173210917E-5</v>
      </c>
      <c r="G72" s="162">
        <v>0</v>
      </c>
      <c r="H72" s="162">
        <v>0</v>
      </c>
      <c r="I72" s="162">
        <f>$F72*'Calculations Etc'!$B$35*'Calibration Adjustments'!H23</f>
        <v>3.5617197519632745E-5</v>
      </c>
    </row>
    <row r="73" spans="1:9">
      <c r="B73" t="s">
        <v>222</v>
      </c>
      <c r="C73" s="162">
        <f>$E73/(1-'Calculations Etc'!$B$8)*'Calibration Adjustments'!B24</f>
        <v>1.8622160026074308E-2</v>
      </c>
      <c r="D73" s="162">
        <f>$E73*'Calibration Adjustments'!C24</f>
        <v>5.8482816610811884E-3</v>
      </c>
      <c r="E73" s="162">
        <f>('SYVbT-passenger'!D7*'BAADTbVT-passenger'!B7*'Calculations Etc'!B22)/('AEO 2025 Table 35'!F11*10^12)*'Calibration Adjustments'!D24</f>
        <v>5.8482816610811884E-3</v>
      </c>
      <c r="F73" s="162">
        <f>$E73*'Calibration Adjustments'!E24</f>
        <v>5.8482816610811884E-3</v>
      </c>
      <c r="G73" s="162">
        <f>$E73/(1-'Calculations Etc'!$B$8)*'Calculations Etc'!$B$12+$E73*(1-'Calculations Etc'!$B$12)*'Calibration Adjustments'!F24</f>
        <v>1.2873914761827403E-2</v>
      </c>
      <c r="H73" s="162">
        <f>$E73*'Calculations Etc'!$B$39*'Calibration Adjustments'!G24</f>
        <v>4.5324182873379207E-3</v>
      </c>
      <c r="I73" s="162">
        <f>E73*'Calculations Etc'!$B$35</f>
        <v>1.7544844983243563E-2</v>
      </c>
    </row>
    <row r="75" spans="1:9">
      <c r="A75" s="1" t="s">
        <v>1059</v>
      </c>
    </row>
    <row r="76" spans="1:9" ht="28.5">
      <c r="B76" s="5" t="s">
        <v>271</v>
      </c>
      <c r="C76" s="223" t="s">
        <v>111</v>
      </c>
      <c r="D76" s="223" t="s">
        <v>112</v>
      </c>
      <c r="E76" s="223" t="s">
        <v>113</v>
      </c>
      <c r="F76" s="223" t="s">
        <v>114</v>
      </c>
      <c r="G76" s="223" t="s">
        <v>115</v>
      </c>
      <c r="H76" s="223" t="s">
        <v>257</v>
      </c>
      <c r="I76" s="223" t="s">
        <v>258</v>
      </c>
    </row>
    <row r="77" spans="1:9">
      <c r="B77" t="s">
        <v>219</v>
      </c>
      <c r="C77">
        <f>calcs!B32</f>
        <v>1.3226441773833212E-4</v>
      </c>
      <c r="D77">
        <f>calcs!C32</f>
        <v>7.0204850469879831E-5</v>
      </c>
      <c r="E77" s="30">
        <f>calcs!C42</f>
        <v>9.8281789373956747E-5</v>
      </c>
      <c r="F77">
        <f>calcs!C43</f>
        <v>7.6234221516701414E-5</v>
      </c>
      <c r="G77">
        <f>calcs!F32</f>
        <v>1.7525323807361898E-4</v>
      </c>
      <c r="H77">
        <f>calcs!G32</f>
        <v>5.5270584840087177E-5</v>
      </c>
      <c r="I77">
        <f>calcs!H32</f>
        <v>8.379890176963306E-5</v>
      </c>
    </row>
    <row r="78" spans="1:9">
      <c r="B78" t="s">
        <v>134</v>
      </c>
      <c r="C78" s="224">
        <f>'AEO 2025 Table 49'!F143/'Calculations Etc'!B26*'Calculations Etc'!B18</f>
        <v>1.6283396676658034E-3</v>
      </c>
      <c r="D78" s="224">
        <f>'AEO 2025 Table 49'!F141/'Calculations Etc'!B25*'Calculations Etc'!B18</f>
        <v>7.7263481523290941E-4</v>
      </c>
      <c r="E78" s="224">
        <f>'AEO 2025 Table 49'!F139/'Calculations Etc'!B25*'Calculations Etc'!B18</f>
        <v>6.720672001062452E-4</v>
      </c>
      <c r="F78" s="224">
        <f>'AEO 2025 Table 49'!F138/'Calculations Etc'!B26*'Calculations Etc'!B18</f>
        <v>7.5059325437243547E-4</v>
      </c>
      <c r="G78" s="224">
        <f>'AEO 2023 49'!H127/'Calculations Etc'!B26*'Calculations Etc'!B18</f>
        <v>0</v>
      </c>
      <c r="H78" s="224">
        <f>'AEO 2025 Table 49'!F140/'Calculations Etc'!B25*'Calculations Etc'!B18</f>
        <v>6.8755018426906603E-4</v>
      </c>
      <c r="I78" s="224">
        <v>0</v>
      </c>
    </row>
    <row r="79" spans="1:9">
      <c r="B79" t="s">
        <v>131</v>
      </c>
      <c r="C79">
        <f>$F79/(1-'Calculations Etc'!$B$9)*'Calibration Adjustments'!B30</f>
        <v>5.9081417776887465E-4</v>
      </c>
      <c r="D79">
        <f>$F79*'Calibration Adjustments'!C30</f>
        <v>1.8385524825269338E-4</v>
      </c>
      <c r="E79">
        <f>$F79*'Calibration Adjustments'!D30</f>
        <v>1.8385524825269338E-4</v>
      </c>
      <c r="F79" s="30">
        <f>calcs!C17</f>
        <v>1.8385524825269338E-4</v>
      </c>
      <c r="G79">
        <v>0</v>
      </c>
      <c r="H79">
        <v>0</v>
      </c>
      <c r="I79">
        <f>$F79*'Calculations Etc'!$B$35*'Calibration Adjustments'!H30</f>
        <v>5.5156574475808003E-4</v>
      </c>
    </row>
    <row r="80" spans="1:9">
      <c r="B80" t="s">
        <v>220</v>
      </c>
      <c r="C80">
        <f>$F80/(1-'Calculations Etc'!$B$9)*'Calibration Adjustments'!B31</f>
        <v>1.0840496025738076E-2</v>
      </c>
      <c r="D80">
        <f>$F80*'Calibration Adjustments'!C31</f>
        <v>3.3734500000000001E-3</v>
      </c>
      <c r="E80">
        <f>$F80*'Calibration Adjustments'!D31</f>
        <v>3.3734500000000001E-3</v>
      </c>
      <c r="F80" s="224">
        <f>'AEO 2025 Table 7'!F41/10^3*'Calibration Adjustments'!E31</f>
        <v>3.3734500000000001E-3</v>
      </c>
      <c r="G80">
        <v>0</v>
      </c>
      <c r="H80">
        <v>0</v>
      </c>
      <c r="I80">
        <f>$F80*'Calculations Etc'!$B$35*'Calibration Adjustments'!H31</f>
        <v>1.0120349999999998E-2</v>
      </c>
    </row>
    <row r="81" spans="2:9">
      <c r="B81" t="s">
        <v>221</v>
      </c>
      <c r="C81">
        <f>$F81/(1-'Calculations Etc'!$B$9)*'Calibration Adjustments'!B32</f>
        <v>1.5610349625283874E-2</v>
      </c>
      <c r="D81">
        <f>$F81*'Calibration Adjustments'!C32</f>
        <v>4.8577789999999996E-3</v>
      </c>
      <c r="E81">
        <f>$F81*'Calibration Adjustments'!D32</f>
        <v>4.8577789999999996E-3</v>
      </c>
      <c r="F81" s="30">
        <f>'AEO 2025 Table 7 Alt T'!F42/10^3*'Calibration Adjustments'!E32</f>
        <v>4.8577789999999996E-3</v>
      </c>
      <c r="G81">
        <v>0</v>
      </c>
      <c r="H81">
        <v>0</v>
      </c>
      <c r="I81">
        <f>$F81*'Calculations Etc'!$B$35*'Calibration Adjustments'!H32</f>
        <v>1.4573336999999997E-2</v>
      </c>
    </row>
    <row r="82" spans="2:9">
      <c r="B82" t="s">
        <v>222</v>
      </c>
      <c r="C82">
        <v>0</v>
      </c>
      <c r="D82">
        <v>0</v>
      </c>
      <c r="E82">
        <v>0</v>
      </c>
      <c r="F82">
        <v>0</v>
      </c>
      <c r="G82">
        <v>0</v>
      </c>
      <c r="H82">
        <v>0</v>
      </c>
      <c r="I82">
        <v>0</v>
      </c>
    </row>
    <row r="85" spans="2:9">
      <c r="G85" s="121"/>
      <c r="H85" s="121"/>
    </row>
    <row r="88" spans="2:9">
      <c r="F88" s="165"/>
    </row>
    <row r="90" spans="2:9">
      <c r="F90" s="1"/>
    </row>
    <row r="96" spans="2:9">
      <c r="C96" s="21"/>
      <c r="D96" s="21"/>
      <c r="E96" s="21"/>
      <c r="F96" s="21"/>
      <c r="G96" s="21"/>
      <c r="H96" s="21"/>
      <c r="I96" s="21"/>
    </row>
    <row r="97" spans="2:9">
      <c r="C97" s="21"/>
      <c r="D97" s="21"/>
      <c r="E97" s="21"/>
      <c r="F97" s="21"/>
      <c r="G97" s="21"/>
      <c r="H97" s="21"/>
      <c r="I97" s="21"/>
    </row>
    <row r="98" spans="2:9">
      <c r="C98" s="21"/>
      <c r="D98" s="21"/>
      <c r="E98" s="21"/>
      <c r="F98" s="21"/>
      <c r="G98" s="21"/>
      <c r="H98" s="21"/>
      <c r="I98" s="21"/>
    </row>
    <row r="99" spans="2:9">
      <c r="B99" s="21"/>
      <c r="C99" s="21"/>
      <c r="D99" s="21"/>
      <c r="E99" s="21"/>
      <c r="F99" s="21"/>
      <c r="G99" s="21"/>
      <c r="H99" s="21"/>
      <c r="I99" s="21"/>
    </row>
    <row r="100" spans="2:9">
      <c r="B100" s="21"/>
      <c r="C100" s="21"/>
      <c r="D100" s="21"/>
      <c r="E100" s="21"/>
      <c r="F100" s="21"/>
      <c r="G100" s="21"/>
      <c r="H100" s="21"/>
      <c r="I100" s="21"/>
    </row>
    <row r="101" spans="2:9">
      <c r="B101" s="21"/>
      <c r="C101" s="21"/>
      <c r="D101" s="21"/>
      <c r="E101" s="21"/>
      <c r="F101" s="21"/>
      <c r="G101" s="21"/>
      <c r="H101" s="21"/>
      <c r="I101" s="21"/>
    </row>
    <row r="102" spans="2:9">
      <c r="B102" s="21"/>
      <c r="C102" s="21"/>
      <c r="D102" s="21"/>
      <c r="E102" s="21"/>
      <c r="F102" s="21"/>
      <c r="G102" s="21"/>
      <c r="H102" s="21"/>
      <c r="I102" s="21"/>
    </row>
    <row r="103" spans="2:9">
      <c r="B103" s="21"/>
      <c r="C103" s="21"/>
      <c r="D103" s="21"/>
      <c r="E103" s="21"/>
      <c r="F103" s="21"/>
      <c r="G103" s="21"/>
      <c r="H103" s="21"/>
      <c r="I103" s="21"/>
    </row>
    <row r="104" spans="2:9">
      <c r="B104" s="21"/>
      <c r="C104" s="21"/>
      <c r="D104" s="21"/>
      <c r="E104" s="21"/>
      <c r="F104" s="21"/>
      <c r="G104" s="21"/>
      <c r="H104" s="21"/>
      <c r="I104" s="21"/>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tabSelected="1" workbookViewId="0">
      <selection activeCell="A10" sqref="A10"/>
    </sheetView>
  </sheetViews>
  <sheetFormatPr defaultRowHeight="14.25"/>
  <cols>
    <col min="1" max="1" width="22.3984375" customWidth="1"/>
    <col min="2" max="8" width="12" customWidth="1"/>
  </cols>
  <sheetData>
    <row r="1" spans="1:8">
      <c r="A1" t="s">
        <v>270</v>
      </c>
      <c r="B1" t="s">
        <v>111</v>
      </c>
      <c r="C1" t="s">
        <v>112</v>
      </c>
      <c r="D1" t="s">
        <v>113</v>
      </c>
      <c r="E1" t="s">
        <v>114</v>
      </c>
      <c r="F1" t="s">
        <v>115</v>
      </c>
      <c r="G1" t="s">
        <v>257</v>
      </c>
      <c r="H1" t="s">
        <v>258</v>
      </c>
    </row>
    <row r="2" spans="1:8">
      <c r="A2" t="s">
        <v>219</v>
      </c>
      <c r="B2">
        <f>IFERROR(calcs!C68,0)</f>
        <v>1.4847452525739309E-3</v>
      </c>
      <c r="C2">
        <f>IFERROR(calcs!D68,0)</f>
        <v>2.6786665627833182E-4</v>
      </c>
      <c r="D2">
        <f>IFERROR(calcs!E68,0)</f>
        <v>2.9949629857956321E-4</v>
      </c>
      <c r="E2">
        <f>IFERROR(calcs!F68,0)</f>
        <v>3.3913371887260487E-4</v>
      </c>
      <c r="F2">
        <f>IFERROR(calcs!G68,0)</f>
        <v>5.9882512441817497E-4</v>
      </c>
      <c r="G2">
        <f>IFERROR(calcs!H68,0)</f>
        <v>2.3523852430354576E-4</v>
      </c>
      <c r="H2">
        <f>IFERROR(calcs!I68,0)</f>
        <v>9.1405174533092624E-4</v>
      </c>
    </row>
    <row r="3" spans="1:8">
      <c r="A3" t="s">
        <v>134</v>
      </c>
      <c r="B3">
        <f>IFERROR(calcs!C69,0)</f>
        <v>3.3199658675940884E-3</v>
      </c>
      <c r="C3">
        <f>IFERROR(calcs!D69,0)</f>
        <v>2.3489662423758803E-3</v>
      </c>
      <c r="D3">
        <f>IFERROR(calcs!E69,0)</f>
        <v>8.5179832440752728E-4</v>
      </c>
      <c r="E3">
        <f>IFERROR(calcs!F69,0)</f>
        <v>1.0331389660993618E-3</v>
      </c>
      <c r="F3">
        <f>IFERROR(calcs!G69,0)</f>
        <v>2.2908937619214613E-3</v>
      </c>
      <c r="G3">
        <f>IFERROR(calcs!H69,0)</f>
        <v>1.8294441155202029E-3</v>
      </c>
      <c r="H3">
        <f>IFERROR(calcs!I69,0)</f>
        <v>3.099416898298085E-3</v>
      </c>
    </row>
    <row r="4" spans="1:8">
      <c r="A4" t="s">
        <v>131</v>
      </c>
      <c r="B4">
        <f>IFERROR(calcs!C70,0)</f>
        <v>1.4204760180165997E-3</v>
      </c>
      <c r="C4">
        <f>IFERROR(calcs!D70,0)</f>
        <v>4.4203741338043069E-4</v>
      </c>
      <c r="D4">
        <f>IFERROR(calcs!E70,0)</f>
        <v>4.4203741338043069E-4</v>
      </c>
      <c r="E4">
        <f>IFERROR(calcs!F70,0)</f>
        <v>4.4203741338043069E-4</v>
      </c>
      <c r="F4">
        <f>IFERROR(calcs!G70,0)</f>
        <v>0</v>
      </c>
      <c r="G4">
        <f>IFERROR(calcs!H70,0)</f>
        <v>0</v>
      </c>
      <c r="H4">
        <f>IFERROR(calcs!I70,0)</f>
        <v>1.3261122401412918E-3</v>
      </c>
    </row>
    <row r="5" spans="1:8">
      <c r="A5" t="s">
        <v>220</v>
      </c>
      <c r="B5">
        <f>IFERROR(calcs!C71,0)</f>
        <v>6.7428486606874269E-4</v>
      </c>
      <c r="C5">
        <f>IFERROR(calcs!D71,0)</f>
        <v>5.0586266198922429E-5</v>
      </c>
      <c r="D5">
        <f>IFERROR(calcs!E71,0)</f>
        <v>5.0586266198922429E-5</v>
      </c>
      <c r="E5">
        <f>IFERROR(calcs!F71,0)</f>
        <v>5.0586266198922429E-5</v>
      </c>
      <c r="F5">
        <f>IFERROR(calcs!G71,0)</f>
        <v>0</v>
      </c>
      <c r="G5">
        <f>IFERROR(calcs!H71,0)</f>
        <v>0</v>
      </c>
      <c r="H5">
        <f>IFERROR(calcs!I71,0)</f>
        <v>1.5175879859676727E-4</v>
      </c>
    </row>
    <row r="6" spans="1:8">
      <c r="A6" t="s">
        <v>221</v>
      </c>
      <c r="B6">
        <f>IFERROR(calcs!C72,0)</f>
        <v>3.8151653664103207E-5</v>
      </c>
      <c r="C6">
        <f>IFERROR(calcs!D72,0)</f>
        <v>0</v>
      </c>
      <c r="D6">
        <f>IFERROR(calcs!E72,0)</f>
        <v>1.1872400950049923E-5</v>
      </c>
      <c r="E6">
        <f>IFERROR(calcs!F72,0)</f>
        <v>1.1872399173210917E-5</v>
      </c>
      <c r="F6">
        <f>IFERROR(calcs!G72,0)</f>
        <v>0</v>
      </c>
      <c r="G6">
        <f>IFERROR(calcs!H72,0)</f>
        <v>0</v>
      </c>
      <c r="H6">
        <f>IFERROR(calcs!I72,0)</f>
        <v>3.5617197519632745E-5</v>
      </c>
    </row>
    <row r="7" spans="1:8">
      <c r="A7" t="s">
        <v>222</v>
      </c>
      <c r="B7">
        <f>IFERROR(calcs!C73,0)</f>
        <v>1.8622160026074308E-2</v>
      </c>
      <c r="C7">
        <f>IFERROR(calcs!D73,0)</f>
        <v>5.8482816610811884E-3</v>
      </c>
      <c r="D7">
        <f>IFERROR(calcs!E73,0)</f>
        <v>5.8482816610811884E-3</v>
      </c>
      <c r="E7">
        <f>IFERROR(calcs!F73,0)</f>
        <v>5.8482816610811884E-3</v>
      </c>
      <c r="F7">
        <f>IFERROR(calcs!G73,0)</f>
        <v>1.2873914761827403E-2</v>
      </c>
      <c r="G7">
        <f>IFERROR(calcs!H73,0)</f>
        <v>4.5324182873379207E-3</v>
      </c>
      <c r="H7">
        <f>IFERROR(calcs!I73,0)</f>
        <v>1.7544844983243563E-2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8" sqref="A8"/>
    </sheetView>
  </sheetViews>
  <sheetFormatPr defaultRowHeight="14.25"/>
  <cols>
    <col min="1" max="1" width="21.3984375" customWidth="1"/>
    <col min="2" max="8" width="14.3984375" customWidth="1"/>
  </cols>
  <sheetData>
    <row r="1" spans="1:8">
      <c r="A1" t="s">
        <v>271</v>
      </c>
      <c r="B1" t="s">
        <v>111</v>
      </c>
      <c r="C1" t="s">
        <v>112</v>
      </c>
      <c r="D1" t="s">
        <v>113</v>
      </c>
      <c r="E1" t="s">
        <v>114</v>
      </c>
      <c r="F1" t="s">
        <v>115</v>
      </c>
      <c r="G1" t="s">
        <v>257</v>
      </c>
      <c r="H1" t="s">
        <v>258</v>
      </c>
    </row>
    <row r="2" spans="1:8">
      <c r="A2" t="s">
        <v>219</v>
      </c>
      <c r="B2">
        <f>IFERROR(calcs!C77,0)</f>
        <v>1.3226441773833212E-4</v>
      </c>
      <c r="C2">
        <f>IFERROR(calcs!D77,0)</f>
        <v>7.0204850469879831E-5</v>
      </c>
      <c r="D2">
        <f>IFERROR(calcs!E77,0)</f>
        <v>9.8281789373956747E-5</v>
      </c>
      <c r="E2">
        <f>IFERROR(calcs!F77,0)</f>
        <v>7.6234221516701414E-5</v>
      </c>
      <c r="F2">
        <f>IFERROR(calcs!G77,0)</f>
        <v>1.7525323807361898E-4</v>
      </c>
      <c r="G2">
        <f>IFERROR(calcs!H77,0)</f>
        <v>5.5270584840087177E-5</v>
      </c>
      <c r="H2">
        <f>IFERROR(calcs!I77,0)</f>
        <v>8.379890176963306E-5</v>
      </c>
    </row>
    <row r="3" spans="1:8">
      <c r="A3" t="s">
        <v>134</v>
      </c>
      <c r="B3">
        <f>IFERROR(calcs!C78,0)</f>
        <v>1.6283396676658034E-3</v>
      </c>
      <c r="C3">
        <f>IFERROR(calcs!D78,0)</f>
        <v>7.7263481523290941E-4</v>
      </c>
      <c r="D3">
        <f>IFERROR(calcs!E78,0)</f>
        <v>6.720672001062452E-4</v>
      </c>
      <c r="E3">
        <f>IFERROR(calcs!F78,0)</f>
        <v>7.5059325437243547E-4</v>
      </c>
      <c r="F3">
        <f>IFERROR(calcs!G78,0)</f>
        <v>0</v>
      </c>
      <c r="G3">
        <f>IFERROR(calcs!H78,0)</f>
        <v>6.8755018426906603E-4</v>
      </c>
      <c r="H3">
        <f>IFERROR(calcs!I78,0)</f>
        <v>0</v>
      </c>
    </row>
    <row r="4" spans="1:8">
      <c r="A4" t="s">
        <v>131</v>
      </c>
      <c r="B4">
        <f>IFERROR(calcs!C79,0)</f>
        <v>5.9081417776887465E-4</v>
      </c>
      <c r="C4">
        <f>IFERROR(calcs!D79,0)</f>
        <v>1.8385524825269338E-4</v>
      </c>
      <c r="D4">
        <f>IFERROR(calcs!E79,0)</f>
        <v>1.8385524825269338E-4</v>
      </c>
      <c r="E4">
        <f>IFERROR(calcs!F79,0)</f>
        <v>1.8385524825269338E-4</v>
      </c>
      <c r="F4">
        <f>IFERROR(calcs!G79,0)</f>
        <v>0</v>
      </c>
      <c r="G4">
        <f>IFERROR(calcs!H79,0)</f>
        <v>0</v>
      </c>
      <c r="H4">
        <f>IFERROR(calcs!I79,0)</f>
        <v>5.5156574475808003E-4</v>
      </c>
    </row>
    <row r="5" spans="1:8">
      <c r="A5" t="s">
        <v>220</v>
      </c>
      <c r="B5">
        <f>IFERROR(calcs!C80,0)</f>
        <v>1.0840496025738076E-2</v>
      </c>
      <c r="C5">
        <f>IFERROR(calcs!D80,0)</f>
        <v>3.3734500000000001E-3</v>
      </c>
      <c r="D5">
        <f>IFERROR(calcs!E80,0)</f>
        <v>3.3734500000000001E-3</v>
      </c>
      <c r="E5">
        <f>IFERROR(calcs!F80,0)</f>
        <v>3.3734500000000001E-3</v>
      </c>
      <c r="F5">
        <f>IFERROR(calcs!G80,0)</f>
        <v>0</v>
      </c>
      <c r="G5">
        <f>IFERROR(calcs!H80,0)</f>
        <v>0</v>
      </c>
      <c r="H5">
        <f>IFERROR(calcs!I80,0)</f>
        <v>1.0120349999999998E-2</v>
      </c>
    </row>
    <row r="6" spans="1:8">
      <c r="A6" t="s">
        <v>221</v>
      </c>
      <c r="B6">
        <f>IFERROR(calcs!C81,0)</f>
        <v>1.5610349625283874E-2</v>
      </c>
      <c r="C6">
        <f>IFERROR(calcs!D81,0)</f>
        <v>4.8577789999999996E-3</v>
      </c>
      <c r="D6">
        <f>IFERROR(calcs!E81,0)</f>
        <v>4.8577789999999996E-3</v>
      </c>
      <c r="E6">
        <f>IFERROR(calcs!F81,0)</f>
        <v>4.8577789999999996E-3</v>
      </c>
      <c r="F6">
        <f>IFERROR(calcs!G81,0)</f>
        <v>0</v>
      </c>
      <c r="G6">
        <f>IFERROR(calcs!H81,0)</f>
        <v>0</v>
      </c>
      <c r="H6">
        <f>IFERROR(calcs!I81,0)</f>
        <v>1.4573336999999997E-2</v>
      </c>
    </row>
    <row r="7" spans="1:8">
      <c r="A7" t="s">
        <v>222</v>
      </c>
      <c r="B7">
        <f>IFERROR(calcs!C82,0)</f>
        <v>0</v>
      </c>
      <c r="C7">
        <f>IFERROR(calcs!D82,0)</f>
        <v>0</v>
      </c>
      <c r="D7">
        <f>IFERROR(calcs!E82,0)</f>
        <v>0</v>
      </c>
      <c r="E7">
        <f>IFERROR(calcs!F82,0)</f>
        <v>0</v>
      </c>
      <c r="F7">
        <f>IFERROR(calcs!G82,0)</f>
        <v>0</v>
      </c>
      <c r="G7">
        <f>IFERROR(calcs!H82,0)</f>
        <v>0</v>
      </c>
      <c r="H7">
        <f>IFERROR(calcs!I82,0)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vt:i4>
      </vt:variant>
    </vt:vector>
  </HeadingPairs>
  <TitlesOfParts>
    <vt:vector size="42"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vt:lpstr>
      <vt:lpstr>AEO 2025 Table 7 Alt T</vt:lpstr>
      <vt:lpstr>AEO 2025 Table 35</vt:lpstr>
      <vt:lpstr>AEO 2025 Table 36 Alt T</vt:lpstr>
      <vt:lpstr>AEO 2025 Table 37</vt:lpstr>
      <vt:lpstr>AEO 2025 Table 41</vt:lpstr>
      <vt:lpstr>AEO 2025 Table 49</vt:lpstr>
      <vt:lpstr>AEO 2025 Table 43</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2026-05-04T22:23:00Z</dcterms:modified>
</cp:coreProperties>
</file>