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FAFE\"/>
    </mc:Choice>
  </mc:AlternateContent>
  <xr:revisionPtr revIDLastSave="0" documentId="13_ncr:1_{09A126A7-F2D1-4E5D-9D44-BB82968F665F}" xr6:coauthVersionLast="47" xr6:coauthVersionMax="47" xr10:uidLastSave="{00000000-0000-0000-0000-000000000000}"/>
  <bookViews>
    <workbookView xWindow="-90" yWindow="-90" windowWidth="19380" windowHeight="10260" firstSheet="29" activeTab="33" xr2:uid="{5711B621-61D2-41D1-A447-684EFA035CDE}"/>
  </bookViews>
  <sheets>
    <sheet name="About" sheetId="1" r:id="rId1"/>
    <sheet name="source data&gt;" sheetId="53" r:id="rId2"/>
    <sheet name="EPA_Table 3-13" sheetId="44" r:id="rId3"/>
    <sheet name="estimated bus energy use" sheetId="46" r:id="rId4"/>
    <sheet name="AVLo-passengers" sheetId="47" r:id="rId5"/>
    <sheet name="AVLo-freight" sheetId="48" r:id="rId6"/>
    <sheet name="PEI-TFPEI-HDVs" sheetId="45" r:id="rId7"/>
    <sheet name="AEO 2023 7" sheetId="4" r:id="rId8"/>
    <sheet name="AEO 2023 35" sheetId="21" r:id="rId9"/>
    <sheet name="AEO 2023 36" sheetId="26" r:id="rId10"/>
    <sheet name="AEO 2023 37" sheetId="58" r:id="rId11"/>
    <sheet name="AEO 2023 41" sheetId="41" r:id="rId12"/>
    <sheet name="AEO 2023 43" sheetId="30" r:id="rId13"/>
    <sheet name="AEO 2023 46" sheetId="31" r:id="rId14"/>
    <sheet name="AEO 2023 47" sheetId="57" r:id="rId15"/>
    <sheet name="AEO 2023 48" sheetId="56" r:id="rId16"/>
    <sheet name="AEO 2023 49" sheetId="22" r:id="rId17"/>
    <sheet name="AEO 2025 Table 7 Alt T" sheetId="60" r:id="rId18"/>
    <sheet name="SYVbT-passenger" sheetId="39" r:id="rId19"/>
    <sheet name="SYVbT-freight" sheetId="37" r:id="rId20"/>
    <sheet name="BAADTbVT-passenger" sheetId="40" r:id="rId21"/>
    <sheet name="BAADTbVT-frgt" sheetId="38" r:id="rId22"/>
    <sheet name="NTS 1-40" sheetId="20" r:id="rId23"/>
    <sheet name="NRBS 40" sheetId="19" r:id="rId24"/>
    <sheet name="Annual Service Data_rail only" sheetId="49" r:id="rId25"/>
    <sheet name="EPA-Annex3-Table A94" sheetId="61" r:id="rId26"/>
    <sheet name="Fuel and Energy_rail only" sheetId="50" r:id="rId27"/>
    <sheet name="calcs&gt;" sheetId="54" r:id="rId28"/>
    <sheet name="Calibration Adjustments" sheetId="25" r:id="rId29"/>
    <sheet name="freight LDV calcs" sheetId="52" r:id="rId30"/>
    <sheet name="psgr rail calcs" sheetId="51" r:id="rId31"/>
    <sheet name="Calculations Etc" sheetId="18" r:id="rId32"/>
    <sheet name="air" sheetId="59" r:id="rId33"/>
    <sheet name="calcs" sheetId="55" r:id="rId34"/>
    <sheet name="SYFAFE-psgr" sheetId="23" r:id="rId35"/>
    <sheet name="SYFAFE-frgt" sheetId="24" r:id="rId36"/>
  </sheets>
  <externalReferences>
    <externalReference r:id="rId37"/>
    <externalReference r:id="rId38"/>
  </externalReferences>
  <definedNames>
    <definedName name="_xlnm._FilterDatabase" localSheetId="24" hidden="1">'Annual Service Data_rail only'!$A$1:$AX$1</definedName>
    <definedName name="billion">About!$A$84</definedName>
    <definedName name="CH4GWP">#REF!</definedName>
    <definedName name="Eno_TM" localSheetId="17">#REF!</definedName>
    <definedName name="Eno_TM" localSheetId="22">'[1]1997  Table 1a Modified'!#REF!</definedName>
    <definedName name="Eno_TM" localSheetId="35">'[1]1997  Table 1a Modified'!#REF!</definedName>
    <definedName name="Eno_TM">'[1]1997  Table 1a Modified'!#REF!</definedName>
    <definedName name="Eno_Tons" localSheetId="17">#REF!</definedName>
    <definedName name="Eno_Tons" localSheetId="22">'[1]1997  Table 1a Modified'!#REF!</definedName>
    <definedName name="Eno_Tons" localSheetId="35">'[1]1997  Table 1a Modified'!#REF!</definedName>
    <definedName name="Eno_Tons">'[1]1997  Table 1a Modified'!#REF!</definedName>
    <definedName name="EPS_data">#REF!</definedName>
    <definedName name="EPS_dates">#REF!</definedName>
    <definedName name="EPS_varnames">#REF!</definedName>
    <definedName name="GWPCH4">#REF!</definedName>
    <definedName name="GWPN2O">#REF!</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2OGWP">#REF!</definedName>
    <definedName name="NTS_YR">[2]About!$B$136</definedName>
    <definedName name="Sum_T2" localSheetId="17">#REF!</definedName>
    <definedName name="Sum_T2" localSheetId="22">'[1]1997  Table 1a Modified'!#REF!</definedName>
    <definedName name="Sum_T2" localSheetId="35">'[1]1997  Table 1a Modified'!#REF!</definedName>
    <definedName name="Sum_T2">'[1]1997  Table 1a Modified'!#REF!</definedName>
    <definedName name="Sum_TTM" localSheetId="17">#REF!</definedName>
    <definedName name="Sum_TTM" localSheetId="22">'[1]1997  Table 1a Modified'!#REF!</definedName>
    <definedName name="Sum_TTM" localSheetId="35">'[1]1997  Table 1a Modified'!#REF!</definedName>
    <definedName name="Sum_TTM">'[1]1997  Table 1a Modified'!#REF!</definedName>
    <definedName name="ti_tbl_50" localSheetId="22">#REF!</definedName>
    <definedName name="ti_tbl_50" localSheetId="35">#REF!</definedName>
    <definedName name="ti_tbl_50">#REF!</definedName>
    <definedName name="ti_tbl_69" localSheetId="22">#REF!</definedName>
    <definedName name="ti_tbl_69" localSheetId="35">#REF!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4" i="55" l="1"/>
  <c r="F5" i="55"/>
  <c r="D14" i="59" l="1"/>
  <c r="D13" i="59"/>
  <c r="C14" i="59"/>
  <c r="C13" i="59"/>
  <c r="C4" i="59" l="1"/>
  <c r="D4" i="59"/>
  <c r="C3" i="59"/>
  <c r="D3" i="59" s="1"/>
  <c r="D12" i="59" l="1"/>
  <c r="D11" i="59"/>
  <c r="D7" i="59"/>
  <c r="D8" i="59"/>
  <c r="D9" i="59"/>
  <c r="D10" i="59"/>
  <c r="C10" i="59"/>
  <c r="C9" i="59"/>
  <c r="C8" i="59" l="1"/>
  <c r="C7" i="59"/>
  <c r="C6" i="59"/>
  <c r="C5" i="59"/>
  <c r="D2" i="59"/>
  <c r="C2" i="59"/>
  <c r="E8" i="55"/>
  <c r="F8" i="55" s="1"/>
  <c r="D15" i="59" l="1"/>
  <c r="D16" i="59"/>
  <c r="C12" i="59"/>
  <c r="C16" i="59" s="1"/>
  <c r="C11" i="59"/>
  <c r="C15" i="59" s="1"/>
  <c r="H11" i="52"/>
  <c r="H10" i="52"/>
  <c r="G10" i="52"/>
  <c r="H4" i="52"/>
  <c r="H3" i="52"/>
  <c r="H2" i="52"/>
  <c r="G4" i="52"/>
  <c r="G3" i="52"/>
  <c r="G2" i="52"/>
  <c r="F2" i="52"/>
  <c r="F3" i="52"/>
  <c r="F4" i="52"/>
  <c r="B13" i="52"/>
  <c r="B4" i="52"/>
  <c r="B3" i="52"/>
  <c r="B2" i="52"/>
  <c r="B9" i="52" s="1"/>
  <c r="D4" i="52"/>
  <c r="D3" i="52"/>
  <c r="D2" i="52"/>
  <c r="E4" i="52"/>
  <c r="E3" i="52"/>
  <c r="E2" i="52"/>
  <c r="G9" i="52" l="1"/>
  <c r="G13" i="52" s="1"/>
  <c r="G11" i="52"/>
  <c r="F11" i="52"/>
  <c r="E11" i="52"/>
  <c r="D11" i="52"/>
  <c r="C11" i="52"/>
  <c r="B11" i="52"/>
  <c r="F10" i="52"/>
  <c r="E10" i="52"/>
  <c r="D10" i="52"/>
  <c r="C10" i="52"/>
  <c r="B10" i="52"/>
  <c r="G6" i="52"/>
  <c r="H6" i="52"/>
  <c r="F6" i="52"/>
  <c r="E6" i="52"/>
  <c r="D6" i="52"/>
  <c r="C6" i="52"/>
  <c r="B6" i="52"/>
  <c r="C4" i="52"/>
  <c r="C3" i="52"/>
  <c r="C2" i="52"/>
  <c r="I13" i="55"/>
  <c r="H13" i="55"/>
  <c r="G13" i="55"/>
  <c r="F13" i="55"/>
  <c r="E13" i="55"/>
  <c r="D13" i="55"/>
  <c r="C13" i="55"/>
  <c r="F4" i="24"/>
  <c r="G4" i="24"/>
  <c r="F5" i="24"/>
  <c r="G5" i="24"/>
  <c r="F6" i="24"/>
  <c r="G6" i="24"/>
  <c r="C7" i="24"/>
  <c r="D7" i="24"/>
  <c r="E7" i="24"/>
  <c r="F7" i="24"/>
  <c r="G7" i="24"/>
  <c r="H7" i="24"/>
  <c r="B7" i="24"/>
  <c r="E4" i="23"/>
  <c r="F4" i="23"/>
  <c r="G4" i="23"/>
  <c r="F5" i="23"/>
  <c r="G5" i="23"/>
  <c r="C6" i="23"/>
  <c r="F6" i="23"/>
  <c r="G6" i="23"/>
  <c r="H3" i="18"/>
  <c r="E4" i="24"/>
  <c r="F16" i="55"/>
  <c r="E6" i="24" s="1"/>
  <c r="F15" i="55"/>
  <c r="E5" i="24" s="1"/>
  <c r="H4" i="55"/>
  <c r="G3" i="23" s="1"/>
  <c r="D7" i="23" l="1"/>
  <c r="C3" i="18"/>
  <c r="E5" i="55" s="1"/>
  <c r="D3" i="55"/>
  <c r="C2" i="23" s="1"/>
  <c r="E3" i="55"/>
  <c r="D2" i="23" s="1"/>
  <c r="F3" i="55"/>
  <c r="E2" i="23" s="1"/>
  <c r="G3" i="55"/>
  <c r="F2" i="23" s="1"/>
  <c r="H3" i="55"/>
  <c r="G2" i="23" s="1"/>
  <c r="I3" i="55"/>
  <c r="H2" i="23" s="1"/>
  <c r="C3" i="55"/>
  <c r="B2" i="23" s="1"/>
  <c r="E43" i="18"/>
  <c r="E7" i="55"/>
  <c r="F7" i="55"/>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C6" i="55"/>
  <c r="F6" i="55"/>
  <c r="E5" i="23" l="1"/>
  <c r="B5" i="23"/>
  <c r="E6" i="55"/>
  <c r="F9" i="52"/>
  <c r="F13" i="52" s="1"/>
  <c r="G12" i="55" s="1"/>
  <c r="F2" i="24" s="1"/>
  <c r="E9" i="52"/>
  <c r="E13" i="52" s="1"/>
  <c r="F12" i="55" s="1"/>
  <c r="E2" i="24" s="1"/>
  <c r="D9" i="52"/>
  <c r="D13" i="52" s="1"/>
  <c r="E12" i="55" s="1"/>
  <c r="D2" i="24" s="1"/>
  <c r="C9" i="52"/>
  <c r="C13" i="52" s="1"/>
  <c r="D12" i="55" s="1"/>
  <c r="C2" i="24" s="1"/>
  <c r="C7" i="55"/>
  <c r="D6" i="55"/>
  <c r="H12" i="55"/>
  <c r="G2" i="24" s="1"/>
  <c r="H13" i="52"/>
  <c r="I12" i="55" s="1"/>
  <c r="H2" i="24" s="1"/>
  <c r="C12" i="55"/>
  <c r="B2" i="24" s="1"/>
  <c r="D5" i="23" l="1"/>
  <c r="C5" i="23"/>
  <c r="B6" i="23"/>
  <c r="R59" i="51"/>
  <c r="Q59" i="51"/>
  <c r="P59" i="51"/>
  <c r="S59" i="51" s="1"/>
  <c r="I59" i="51"/>
  <c r="H59" i="51"/>
  <c r="G59" i="51"/>
  <c r="F59" i="51"/>
  <c r="E59" i="51"/>
  <c r="R58" i="51"/>
  <c r="Q58" i="51"/>
  <c r="P58" i="51"/>
  <c r="S58" i="51" s="1"/>
  <c r="I58" i="51"/>
  <c r="H58" i="51"/>
  <c r="K58" i="51" s="1"/>
  <c r="G58" i="51"/>
  <c r="F58" i="51"/>
  <c r="M58" i="51" s="1"/>
  <c r="E58" i="51"/>
  <c r="R57" i="51"/>
  <c r="T57" i="51" s="1"/>
  <c r="Q57" i="51"/>
  <c r="P57" i="51"/>
  <c r="S57" i="51" s="1"/>
  <c r="I57" i="51"/>
  <c r="H57" i="51"/>
  <c r="G57" i="51"/>
  <c r="F57" i="51"/>
  <c r="E57" i="51"/>
  <c r="R56" i="51"/>
  <c r="Q56" i="51"/>
  <c r="P56" i="51"/>
  <c r="I56" i="51"/>
  <c r="H56" i="51"/>
  <c r="K56" i="51" s="1"/>
  <c r="G56" i="51"/>
  <c r="F56" i="51"/>
  <c r="E56" i="51"/>
  <c r="R55" i="51"/>
  <c r="Q55" i="51"/>
  <c r="P55" i="51"/>
  <c r="I55" i="51"/>
  <c r="H55" i="51"/>
  <c r="J55" i="51" s="1"/>
  <c r="G55" i="51"/>
  <c r="F55" i="51"/>
  <c r="M55" i="51" s="1"/>
  <c r="E55" i="51"/>
  <c r="R54" i="51"/>
  <c r="Q54" i="51"/>
  <c r="P54" i="51"/>
  <c r="I54" i="51"/>
  <c r="H54" i="51"/>
  <c r="K54" i="51" s="1"/>
  <c r="O54" i="51" s="1"/>
  <c r="G54" i="51"/>
  <c r="L54" i="51" s="1"/>
  <c r="F54" i="51"/>
  <c r="E54" i="51"/>
  <c r="R53" i="51"/>
  <c r="T53" i="51" s="1"/>
  <c r="Q53" i="51"/>
  <c r="P53" i="51"/>
  <c r="I53" i="51"/>
  <c r="H53" i="51"/>
  <c r="K53" i="51" s="1"/>
  <c r="G53" i="51"/>
  <c r="F53" i="51"/>
  <c r="E53" i="51"/>
  <c r="R52" i="51"/>
  <c r="T52" i="51" s="1"/>
  <c r="Q52" i="51"/>
  <c r="P52" i="51"/>
  <c r="S52" i="51" s="1"/>
  <c r="I52" i="51"/>
  <c r="H52" i="51"/>
  <c r="G52" i="51"/>
  <c r="F52" i="51"/>
  <c r="E52" i="51"/>
  <c r="R51" i="51"/>
  <c r="Q51" i="51"/>
  <c r="P51" i="51"/>
  <c r="I51" i="51"/>
  <c r="H51" i="51"/>
  <c r="J51" i="51" s="1"/>
  <c r="G51" i="51"/>
  <c r="F51" i="51"/>
  <c r="M51" i="51" s="1"/>
  <c r="E51" i="51"/>
  <c r="R50" i="51"/>
  <c r="T50" i="51" s="1"/>
  <c r="Q50" i="51"/>
  <c r="P50" i="51"/>
  <c r="S50" i="51" s="1"/>
  <c r="I50" i="51"/>
  <c r="H50" i="51"/>
  <c r="J50" i="51" s="1"/>
  <c r="G50" i="51"/>
  <c r="F50" i="51"/>
  <c r="M50" i="51" s="1"/>
  <c r="E50" i="51"/>
  <c r="R49" i="51"/>
  <c r="Q49" i="51"/>
  <c r="P49" i="51"/>
  <c r="I49" i="51"/>
  <c r="H49" i="51"/>
  <c r="G49" i="51"/>
  <c r="F49" i="51"/>
  <c r="E49" i="51"/>
  <c r="R48" i="51"/>
  <c r="Q48" i="51"/>
  <c r="P48" i="51"/>
  <c r="I48" i="51"/>
  <c r="H48" i="51"/>
  <c r="K48" i="51" s="1"/>
  <c r="G48" i="51"/>
  <c r="F48" i="51"/>
  <c r="E48" i="51"/>
  <c r="R47" i="51"/>
  <c r="Q47" i="51"/>
  <c r="P47" i="51"/>
  <c r="I47" i="51"/>
  <c r="H47" i="51"/>
  <c r="G47" i="51"/>
  <c r="F47" i="51"/>
  <c r="M47" i="51" s="1"/>
  <c r="E47" i="51"/>
  <c r="R46" i="51"/>
  <c r="T46" i="51" s="1"/>
  <c r="Q46" i="51"/>
  <c r="P46" i="51"/>
  <c r="I46" i="51"/>
  <c r="H46" i="51"/>
  <c r="G46" i="51"/>
  <c r="F46" i="51"/>
  <c r="M46" i="51" s="1"/>
  <c r="E46" i="51"/>
  <c r="R45" i="51"/>
  <c r="T45" i="51" s="1"/>
  <c r="Q45" i="51"/>
  <c r="P45" i="51"/>
  <c r="S45" i="51" s="1"/>
  <c r="I45" i="51"/>
  <c r="H45" i="51"/>
  <c r="J45" i="51" s="1"/>
  <c r="G45" i="51"/>
  <c r="F45" i="51"/>
  <c r="M45" i="51" s="1"/>
  <c r="E45" i="51"/>
  <c r="R44" i="51"/>
  <c r="Q44" i="51"/>
  <c r="P44" i="51"/>
  <c r="I44" i="51"/>
  <c r="H44" i="51"/>
  <c r="K44" i="51" s="1"/>
  <c r="O44" i="51" s="1"/>
  <c r="G44" i="51"/>
  <c r="L44" i="51" s="1"/>
  <c r="F44" i="51"/>
  <c r="E44" i="51"/>
  <c r="R43" i="51"/>
  <c r="Q43" i="51"/>
  <c r="P43" i="51"/>
  <c r="I43" i="51"/>
  <c r="H43" i="51"/>
  <c r="G43" i="51"/>
  <c r="F43" i="51"/>
  <c r="E43" i="51"/>
  <c r="R42" i="51"/>
  <c r="Q42" i="51"/>
  <c r="P42" i="51"/>
  <c r="S42" i="51" s="1"/>
  <c r="I42" i="51"/>
  <c r="J42" i="51" s="1"/>
  <c r="N42" i="51" s="1"/>
  <c r="H42" i="51"/>
  <c r="G42" i="51"/>
  <c r="F42" i="51"/>
  <c r="E42" i="51"/>
  <c r="R41" i="51"/>
  <c r="T41" i="51" s="1"/>
  <c r="Q41" i="51"/>
  <c r="P41" i="51"/>
  <c r="I41" i="51"/>
  <c r="H41" i="51"/>
  <c r="K41" i="51" s="1"/>
  <c r="G41" i="51"/>
  <c r="F41" i="51"/>
  <c r="E41" i="51"/>
  <c r="R40" i="51"/>
  <c r="T40" i="51" s="1"/>
  <c r="Q40" i="51"/>
  <c r="P40" i="51"/>
  <c r="S40" i="51" s="1"/>
  <c r="I40" i="51"/>
  <c r="H40" i="51"/>
  <c r="K40" i="51" s="1"/>
  <c r="G40" i="51"/>
  <c r="F40" i="51"/>
  <c r="E40" i="51"/>
  <c r="R39" i="51"/>
  <c r="Q39" i="51"/>
  <c r="P39" i="51"/>
  <c r="I39" i="51"/>
  <c r="H39" i="51"/>
  <c r="J39" i="51" s="1"/>
  <c r="G39" i="51"/>
  <c r="L39" i="51" s="1"/>
  <c r="F39" i="51"/>
  <c r="E39" i="51"/>
  <c r="R38" i="51"/>
  <c r="T38" i="51" s="1"/>
  <c r="Q38" i="51"/>
  <c r="P38" i="51"/>
  <c r="S38" i="51" s="1"/>
  <c r="I38" i="51"/>
  <c r="H38" i="51"/>
  <c r="K38" i="51" s="1"/>
  <c r="G38" i="51"/>
  <c r="F38" i="51"/>
  <c r="M38" i="51" s="1"/>
  <c r="E38" i="51"/>
  <c r="R37" i="51"/>
  <c r="T37" i="51" s="1"/>
  <c r="Q37" i="51"/>
  <c r="P37" i="51"/>
  <c r="S37" i="51" s="1"/>
  <c r="I37" i="51"/>
  <c r="H37" i="51"/>
  <c r="G37" i="51"/>
  <c r="F37" i="51"/>
  <c r="E37" i="51"/>
  <c r="R36" i="51"/>
  <c r="Q36" i="51"/>
  <c r="P36" i="51"/>
  <c r="I36" i="51"/>
  <c r="H36" i="51"/>
  <c r="G36" i="51"/>
  <c r="F36" i="51"/>
  <c r="E36" i="51"/>
  <c r="R35" i="51"/>
  <c r="Q35" i="51"/>
  <c r="P35" i="51"/>
  <c r="I35" i="51"/>
  <c r="H35" i="51"/>
  <c r="J35" i="51" s="1"/>
  <c r="G35" i="51"/>
  <c r="F35" i="51"/>
  <c r="E35" i="51"/>
  <c r="M35" i="51" s="1"/>
  <c r="R34" i="51"/>
  <c r="Q34" i="51"/>
  <c r="P34" i="51"/>
  <c r="S34" i="51" s="1"/>
  <c r="I34" i="51"/>
  <c r="H34" i="51"/>
  <c r="K34" i="51" s="1"/>
  <c r="O34" i="51" s="1"/>
  <c r="G34" i="51"/>
  <c r="F34" i="51"/>
  <c r="E34" i="51"/>
  <c r="R33" i="51"/>
  <c r="Q33" i="51"/>
  <c r="P33" i="51"/>
  <c r="S33" i="51" s="1"/>
  <c r="I33" i="51"/>
  <c r="K33" i="51" s="1"/>
  <c r="O33" i="51" s="1"/>
  <c r="H33" i="51"/>
  <c r="J33" i="51" s="1"/>
  <c r="N33" i="51" s="1"/>
  <c r="G33" i="51"/>
  <c r="F33" i="51"/>
  <c r="E33" i="51"/>
  <c r="R32" i="51"/>
  <c r="T32" i="51" s="1"/>
  <c r="Q32" i="51"/>
  <c r="P32" i="51"/>
  <c r="S32" i="51" s="1"/>
  <c r="I32" i="51"/>
  <c r="H32" i="51"/>
  <c r="G32" i="51"/>
  <c r="F32" i="51"/>
  <c r="E32" i="51"/>
  <c r="R31" i="51"/>
  <c r="Q31" i="51"/>
  <c r="P31" i="51"/>
  <c r="I31" i="51"/>
  <c r="H31" i="51"/>
  <c r="K31" i="51" s="1"/>
  <c r="G31" i="51"/>
  <c r="F31" i="51"/>
  <c r="E31" i="51"/>
  <c r="R30" i="51"/>
  <c r="Q30" i="51"/>
  <c r="P30" i="51"/>
  <c r="S30" i="51" s="1"/>
  <c r="I30" i="51"/>
  <c r="K30" i="51" s="1"/>
  <c r="O30" i="51" s="1"/>
  <c r="H30" i="51"/>
  <c r="J30" i="51" s="1"/>
  <c r="G30" i="51"/>
  <c r="F30" i="51"/>
  <c r="M30" i="51" s="1"/>
  <c r="E30" i="51"/>
  <c r="R29" i="51"/>
  <c r="Q29" i="51"/>
  <c r="P29" i="51"/>
  <c r="I29" i="51"/>
  <c r="H29" i="51"/>
  <c r="K29" i="51" s="1"/>
  <c r="O29" i="51" s="1"/>
  <c r="G29" i="51"/>
  <c r="L29" i="51" s="1"/>
  <c r="F29" i="51"/>
  <c r="E29" i="51"/>
  <c r="R28" i="51"/>
  <c r="T28" i="51" s="1"/>
  <c r="Q28" i="51"/>
  <c r="P28" i="51"/>
  <c r="S28" i="51" s="1"/>
  <c r="I28" i="51"/>
  <c r="H28" i="51"/>
  <c r="K28" i="51" s="1"/>
  <c r="G28" i="51"/>
  <c r="F28" i="51"/>
  <c r="E28" i="51"/>
  <c r="R27" i="51"/>
  <c r="T27" i="51" s="1"/>
  <c r="Q27" i="51"/>
  <c r="P27" i="51"/>
  <c r="S27" i="51" s="1"/>
  <c r="I27" i="51"/>
  <c r="H27" i="51"/>
  <c r="G27" i="51"/>
  <c r="F27" i="51"/>
  <c r="E27" i="51"/>
  <c r="R26" i="51"/>
  <c r="T26" i="51" s="1"/>
  <c r="Q26" i="51"/>
  <c r="P26" i="51"/>
  <c r="I26" i="51"/>
  <c r="H26" i="51"/>
  <c r="J26" i="51" s="1"/>
  <c r="G26" i="51"/>
  <c r="F26" i="51"/>
  <c r="M26" i="51" s="1"/>
  <c r="E26" i="51"/>
  <c r="R25" i="51"/>
  <c r="T25" i="51" s="1"/>
  <c r="Q25" i="51"/>
  <c r="P25" i="51"/>
  <c r="S25" i="51" s="1"/>
  <c r="I25" i="51"/>
  <c r="H25" i="51"/>
  <c r="J25" i="51" s="1"/>
  <c r="G25" i="51"/>
  <c r="F25" i="51"/>
  <c r="M25" i="51" s="1"/>
  <c r="E25" i="51"/>
  <c r="R24" i="51"/>
  <c r="Q24" i="51"/>
  <c r="P24" i="51"/>
  <c r="I24" i="51"/>
  <c r="H24" i="51"/>
  <c r="G24" i="51"/>
  <c r="L24" i="51" s="1"/>
  <c r="F24" i="51"/>
  <c r="E24" i="51"/>
  <c r="R23" i="51"/>
  <c r="Q23" i="51"/>
  <c r="P23" i="51"/>
  <c r="I23" i="51"/>
  <c r="H23" i="51"/>
  <c r="J23" i="51" s="1"/>
  <c r="G23" i="51"/>
  <c r="F23" i="51"/>
  <c r="E23" i="51"/>
  <c r="R22" i="51"/>
  <c r="Q22" i="51"/>
  <c r="P22" i="51"/>
  <c r="S22" i="51" s="1"/>
  <c r="I22" i="51"/>
  <c r="H22" i="51"/>
  <c r="G22" i="51"/>
  <c r="F22" i="51"/>
  <c r="E22" i="51"/>
  <c r="R21" i="51"/>
  <c r="T21" i="51" s="1"/>
  <c r="Q21" i="51"/>
  <c r="P21" i="51"/>
  <c r="S21" i="51" s="1"/>
  <c r="I21" i="51"/>
  <c r="H21" i="51"/>
  <c r="J21" i="51" s="1"/>
  <c r="G21" i="51"/>
  <c r="F21" i="51"/>
  <c r="E21" i="51"/>
  <c r="R20" i="51"/>
  <c r="T20" i="51" s="1"/>
  <c r="Q20" i="51"/>
  <c r="P20" i="51"/>
  <c r="S20" i="51" s="1"/>
  <c r="I20" i="51"/>
  <c r="H20" i="51"/>
  <c r="K20" i="51" s="1"/>
  <c r="G20" i="51"/>
  <c r="F20" i="51"/>
  <c r="E20" i="51"/>
  <c r="R19" i="51"/>
  <c r="Q19" i="51"/>
  <c r="P19" i="51"/>
  <c r="I19" i="51"/>
  <c r="H19" i="51"/>
  <c r="K19" i="51" s="1"/>
  <c r="O19" i="51" s="1"/>
  <c r="G19" i="51"/>
  <c r="L19" i="51" s="1"/>
  <c r="F19" i="51"/>
  <c r="E19" i="51"/>
  <c r="R18" i="51"/>
  <c r="T18" i="51" s="1"/>
  <c r="Q18" i="51"/>
  <c r="P18" i="51"/>
  <c r="S18" i="51" s="1"/>
  <c r="I18" i="51"/>
  <c r="H18" i="51"/>
  <c r="K18" i="51" s="1"/>
  <c r="G18" i="51"/>
  <c r="F18" i="51"/>
  <c r="M18" i="51" s="1"/>
  <c r="E18" i="51"/>
  <c r="R17" i="51"/>
  <c r="T17" i="51" s="1"/>
  <c r="Q17" i="51"/>
  <c r="P17" i="51"/>
  <c r="S17" i="51" s="1"/>
  <c r="I17" i="51"/>
  <c r="H17" i="51"/>
  <c r="G17" i="51"/>
  <c r="F17" i="51"/>
  <c r="E17" i="51"/>
  <c r="R16" i="51"/>
  <c r="Q16" i="51"/>
  <c r="P16" i="51"/>
  <c r="I16" i="51"/>
  <c r="H16" i="51"/>
  <c r="K16" i="51" s="1"/>
  <c r="G16" i="51"/>
  <c r="F16" i="51"/>
  <c r="E16" i="51"/>
  <c r="R15" i="51"/>
  <c r="Q15" i="51"/>
  <c r="P15" i="51"/>
  <c r="I15" i="51"/>
  <c r="H15" i="51"/>
  <c r="J15" i="51" s="1"/>
  <c r="G15" i="51"/>
  <c r="F15" i="51"/>
  <c r="E15" i="51"/>
  <c r="R14" i="51"/>
  <c r="Q14" i="51"/>
  <c r="P14" i="51"/>
  <c r="I14" i="51"/>
  <c r="H14" i="51"/>
  <c r="K14" i="51" s="1"/>
  <c r="O14" i="51" s="1"/>
  <c r="G14" i="51"/>
  <c r="L14" i="51" s="1"/>
  <c r="F14" i="51"/>
  <c r="M14" i="51" s="1"/>
  <c r="E14" i="51"/>
  <c r="R13" i="51"/>
  <c r="T13" i="51" s="1"/>
  <c r="Q13" i="51"/>
  <c r="P13" i="51"/>
  <c r="S13" i="51" s="1"/>
  <c r="I13" i="51"/>
  <c r="H13" i="51"/>
  <c r="K13" i="51" s="1"/>
  <c r="G13" i="51"/>
  <c r="F13" i="51"/>
  <c r="M13" i="51" s="1"/>
  <c r="E13" i="51"/>
  <c r="R12" i="51"/>
  <c r="T12" i="51" s="1"/>
  <c r="Q12" i="51"/>
  <c r="P12" i="51"/>
  <c r="S12" i="51" s="1"/>
  <c r="I12" i="51"/>
  <c r="K12" i="51" s="1"/>
  <c r="O12" i="51" s="1"/>
  <c r="H12" i="51"/>
  <c r="G12" i="51"/>
  <c r="F12" i="51"/>
  <c r="L12" i="51" s="1"/>
  <c r="E12" i="51"/>
  <c r="R11" i="51"/>
  <c r="Q11" i="51"/>
  <c r="P11" i="51"/>
  <c r="I11" i="51"/>
  <c r="H11" i="51"/>
  <c r="J11" i="51" s="1"/>
  <c r="G11" i="51"/>
  <c r="F11" i="51"/>
  <c r="E11" i="51"/>
  <c r="R10" i="51"/>
  <c r="T10" i="51" s="1"/>
  <c r="Q10" i="51"/>
  <c r="P10" i="51"/>
  <c r="S10" i="51" s="1"/>
  <c r="I10" i="51"/>
  <c r="H10" i="51"/>
  <c r="K10" i="51" s="1"/>
  <c r="G10" i="51"/>
  <c r="L10" i="51" s="1"/>
  <c r="F10" i="51"/>
  <c r="M10" i="51" s="1"/>
  <c r="E10" i="51"/>
  <c r="R9" i="51"/>
  <c r="Q9" i="51"/>
  <c r="P9" i="51"/>
  <c r="I9" i="51"/>
  <c r="H9" i="51"/>
  <c r="K9" i="51" s="1"/>
  <c r="O9" i="51" s="1"/>
  <c r="G9" i="51"/>
  <c r="F9" i="51"/>
  <c r="E9" i="51"/>
  <c r="V61" i="51"/>
  <c r="U61" i="51"/>
  <c r="T61" i="51"/>
  <c r="S61" i="51"/>
  <c r="O61" i="51"/>
  <c r="N61" i="51"/>
  <c r="M61" i="51"/>
  <c r="L61" i="51"/>
  <c r="G61" i="51"/>
  <c r="F61" i="51"/>
  <c r="E61" i="51"/>
  <c r="T59" i="51"/>
  <c r="J59" i="51"/>
  <c r="M59" i="51"/>
  <c r="T58" i="51"/>
  <c r="M57" i="51"/>
  <c r="T56" i="51"/>
  <c r="S56" i="51"/>
  <c r="M56" i="51"/>
  <c r="T55" i="51"/>
  <c r="S55" i="51"/>
  <c r="T54" i="51"/>
  <c r="S54" i="51"/>
  <c r="M54" i="51"/>
  <c r="S53" i="51"/>
  <c r="M52" i="51"/>
  <c r="T51" i="51"/>
  <c r="S51" i="51"/>
  <c r="S49" i="51"/>
  <c r="T49" i="51"/>
  <c r="K49" i="51"/>
  <c r="O49" i="51" s="1"/>
  <c r="L49" i="51"/>
  <c r="M49" i="51"/>
  <c r="T48" i="51"/>
  <c r="S48" i="51"/>
  <c r="M48" i="51"/>
  <c r="T47" i="51"/>
  <c r="S47" i="51"/>
  <c r="S46" i="51"/>
  <c r="K46" i="51"/>
  <c r="J46" i="51"/>
  <c r="T44" i="51"/>
  <c r="S44" i="51"/>
  <c r="M44" i="51"/>
  <c r="T43" i="51"/>
  <c r="S43" i="51"/>
  <c r="J43" i="51"/>
  <c r="M43" i="51"/>
  <c r="T42" i="51"/>
  <c r="M42" i="51"/>
  <c r="S41" i="51"/>
  <c r="T39" i="51"/>
  <c r="S39" i="51"/>
  <c r="M39" i="51"/>
  <c r="T36" i="51"/>
  <c r="S36" i="51"/>
  <c r="K36" i="51"/>
  <c r="O36" i="51" s="1"/>
  <c r="L36" i="51"/>
  <c r="T35" i="51"/>
  <c r="S35" i="51"/>
  <c r="T34" i="51"/>
  <c r="L34" i="51"/>
  <c r="M34" i="51"/>
  <c r="T33" i="51"/>
  <c r="T31" i="51"/>
  <c r="S31" i="51"/>
  <c r="M31" i="51"/>
  <c r="T30" i="51"/>
  <c r="S29" i="51"/>
  <c r="T29" i="51"/>
  <c r="M29" i="51"/>
  <c r="M27" i="51"/>
  <c r="S26" i="51"/>
  <c r="T24" i="51"/>
  <c r="S24" i="51"/>
  <c r="K24" i="51"/>
  <c r="O24" i="51" s="1"/>
  <c r="T23" i="51"/>
  <c r="S23" i="51"/>
  <c r="M23" i="51"/>
  <c r="T22" i="51"/>
  <c r="M22" i="51"/>
  <c r="T19" i="51"/>
  <c r="S19" i="51"/>
  <c r="M17" i="51"/>
  <c r="T16" i="51"/>
  <c r="S16" i="51"/>
  <c r="T15" i="51"/>
  <c r="S15" i="51"/>
  <c r="T14" i="51"/>
  <c r="S14" i="51"/>
  <c r="T11" i="51"/>
  <c r="S11" i="51"/>
  <c r="T9" i="51"/>
  <c r="S9" i="51"/>
  <c r="L9" i="51"/>
  <c r="AB70" i="50"/>
  <c r="AA70" i="50"/>
  <c r="Z70" i="50"/>
  <c r="Y70" i="50"/>
  <c r="X70" i="50"/>
  <c r="W70" i="50"/>
  <c r="V70" i="50"/>
  <c r="U70" i="50"/>
  <c r="T70" i="50"/>
  <c r="S70" i="50"/>
  <c r="R70" i="50"/>
  <c r="Q70" i="50"/>
  <c r="P70" i="50"/>
  <c r="O70" i="50"/>
  <c r="N70" i="50"/>
  <c r="M70" i="50"/>
  <c r="N71" i="49"/>
  <c r="H8" i="46"/>
  <c r="H6" i="46"/>
  <c r="H4" i="46"/>
  <c r="L30" i="51" l="1"/>
  <c r="L55" i="51"/>
  <c r="L38" i="51"/>
  <c r="L53" i="51"/>
  <c r="O18" i="51"/>
  <c r="L11" i="51"/>
  <c r="L51" i="51"/>
  <c r="U51" i="51" s="1"/>
  <c r="N11" i="51"/>
  <c r="O16" i="51"/>
  <c r="O31" i="51"/>
  <c r="O41" i="51"/>
  <c r="N51" i="51"/>
  <c r="O56" i="51"/>
  <c r="L45" i="51"/>
  <c r="V45" i="51" s="1"/>
  <c r="L23" i="51"/>
  <c r="U23" i="51" s="1"/>
  <c r="L35" i="51"/>
  <c r="L43" i="51"/>
  <c r="L21" i="51"/>
  <c r="J58" i="51"/>
  <c r="N58" i="51" s="1"/>
  <c r="U58" i="51" s="1"/>
  <c r="G62" i="51"/>
  <c r="V14" i="51"/>
  <c r="L59" i="51"/>
  <c r="O10" i="51"/>
  <c r="L48" i="51"/>
  <c r="V48" i="51" s="1"/>
  <c r="L46" i="51"/>
  <c r="L20" i="51"/>
  <c r="L50" i="51"/>
  <c r="O40" i="51"/>
  <c r="L13" i="51"/>
  <c r="N23" i="51"/>
  <c r="O48" i="51"/>
  <c r="L26" i="51"/>
  <c r="L33" i="51"/>
  <c r="O13" i="51"/>
  <c r="V13" i="51" s="1"/>
  <c r="O53" i="51"/>
  <c r="L40" i="51"/>
  <c r="O20" i="51"/>
  <c r="L18" i="51"/>
  <c r="U18" i="51" s="1"/>
  <c r="L28" i="51"/>
  <c r="O58" i="51"/>
  <c r="J18" i="51"/>
  <c r="N18" i="51" s="1"/>
  <c r="L56" i="51"/>
  <c r="N46" i="51"/>
  <c r="O46" i="51"/>
  <c r="L17" i="51"/>
  <c r="L22" i="51"/>
  <c r="L27" i="51"/>
  <c r="L32" i="51"/>
  <c r="L37" i="51"/>
  <c r="L42" i="51"/>
  <c r="V42" i="51" s="1"/>
  <c r="L47" i="51"/>
  <c r="L52" i="51"/>
  <c r="V52" i="51" s="1"/>
  <c r="L57" i="51"/>
  <c r="V57" i="51" s="1"/>
  <c r="L15" i="51"/>
  <c r="L25" i="51"/>
  <c r="N55" i="51"/>
  <c r="U55" i="51" s="1"/>
  <c r="L58" i="51"/>
  <c r="V58" i="51" s="1"/>
  <c r="O28" i="51"/>
  <c r="O38" i="51"/>
  <c r="L16" i="51"/>
  <c r="L31" i="51"/>
  <c r="L41" i="51"/>
  <c r="K21" i="51"/>
  <c r="O21" i="51" s="1"/>
  <c r="K17" i="51"/>
  <c r="O17" i="51" s="1"/>
  <c r="K22" i="51"/>
  <c r="O22" i="51" s="1"/>
  <c r="J27" i="51"/>
  <c r="N27" i="51" s="1"/>
  <c r="K32" i="51"/>
  <c r="O32" i="51" s="1"/>
  <c r="K37" i="51"/>
  <c r="O37" i="51" s="1"/>
  <c r="K42" i="51"/>
  <c r="O42" i="51" s="1"/>
  <c r="J47" i="51"/>
  <c r="N47" i="51" s="1"/>
  <c r="U47" i="51" s="1"/>
  <c r="K52" i="51"/>
  <c r="O52" i="51" s="1"/>
  <c r="K57" i="51"/>
  <c r="O57" i="51" s="1"/>
  <c r="J10" i="51"/>
  <c r="N10" i="51" s="1"/>
  <c r="U10" i="51" s="1"/>
  <c r="J13" i="51"/>
  <c r="K25" i="51"/>
  <c r="O25" i="51" s="1"/>
  <c r="J34" i="51"/>
  <c r="N34" i="51" s="1"/>
  <c r="U34" i="51" s="1"/>
  <c r="J37" i="51"/>
  <c r="N37" i="51" s="1"/>
  <c r="K50" i="51"/>
  <c r="O50" i="51" s="1"/>
  <c r="V50" i="51" s="1"/>
  <c r="K26" i="51"/>
  <c r="O26" i="51" s="1"/>
  <c r="V26" i="51" s="1"/>
  <c r="J29" i="51"/>
  <c r="N29" i="51" s="1"/>
  <c r="U29" i="51" s="1"/>
  <c r="K45" i="51"/>
  <c r="O45" i="51" s="1"/>
  <c r="J54" i="51"/>
  <c r="J17" i="51"/>
  <c r="N17" i="51" s="1"/>
  <c r="U17" i="51" s="1"/>
  <c r="J41" i="51"/>
  <c r="J14" i="51"/>
  <c r="N14" i="51" s="1"/>
  <c r="U14" i="51" s="1"/>
  <c r="J22" i="51"/>
  <c r="J38" i="51"/>
  <c r="N38" i="51" s="1"/>
  <c r="V34" i="51"/>
  <c r="V10" i="51"/>
  <c r="V30" i="51"/>
  <c r="V31" i="51"/>
  <c r="V54" i="51"/>
  <c r="V56" i="51"/>
  <c r="U27" i="51"/>
  <c r="V29" i="51"/>
  <c r="V25" i="51"/>
  <c r="N30" i="51"/>
  <c r="N54" i="51"/>
  <c r="U54" i="51" s="1"/>
  <c r="N26" i="51"/>
  <c r="N43" i="51"/>
  <c r="N59" i="51"/>
  <c r="U59" i="51" s="1"/>
  <c r="S62" i="51"/>
  <c r="N15" i="51"/>
  <c r="N22" i="51"/>
  <c r="U22" i="51" s="1"/>
  <c r="N39" i="51"/>
  <c r="U39" i="51" s="1"/>
  <c r="V46" i="51"/>
  <c r="V49" i="51"/>
  <c r="N50" i="51"/>
  <c r="T62" i="51"/>
  <c r="N21" i="51"/>
  <c r="V17" i="51"/>
  <c r="N35" i="51"/>
  <c r="N41" i="51"/>
  <c r="V44" i="51"/>
  <c r="M9" i="51"/>
  <c r="M33" i="51"/>
  <c r="V33" i="51" s="1"/>
  <c r="N13" i="51"/>
  <c r="U13" i="51" s="1"/>
  <c r="J19" i="51"/>
  <c r="N19" i="51" s="1"/>
  <c r="J31" i="51"/>
  <c r="N31" i="51" s="1"/>
  <c r="U31" i="51" s="1"/>
  <c r="N45" i="51"/>
  <c r="U45" i="51" s="1"/>
  <c r="K11" i="51"/>
  <c r="O11" i="51" s="1"/>
  <c r="K15" i="51"/>
  <c r="O15" i="51" s="1"/>
  <c r="K23" i="51"/>
  <c r="O23" i="51" s="1"/>
  <c r="K27" i="51"/>
  <c r="O27" i="51" s="1"/>
  <c r="V27" i="51" s="1"/>
  <c r="U30" i="51"/>
  <c r="K35" i="51"/>
  <c r="O35" i="51" s="1"/>
  <c r="U38" i="51"/>
  <c r="K39" i="51"/>
  <c r="O39" i="51" s="1"/>
  <c r="V39" i="51" s="1"/>
  <c r="U42" i="51"/>
  <c r="K43" i="51"/>
  <c r="O43" i="51" s="1"/>
  <c r="U46" i="51"/>
  <c r="K47" i="51"/>
  <c r="O47" i="51" s="1"/>
  <c r="V47" i="51" s="1"/>
  <c r="K51" i="51"/>
  <c r="O51" i="51" s="1"/>
  <c r="V51" i="51" s="1"/>
  <c r="K55" i="51"/>
  <c r="O55" i="51" s="1"/>
  <c r="V55" i="51" s="1"/>
  <c r="K59" i="51"/>
  <c r="O59" i="51" s="1"/>
  <c r="V59" i="51" s="1"/>
  <c r="F62" i="51"/>
  <c r="E62" i="51"/>
  <c r="J12" i="51"/>
  <c r="N12" i="51" s="1"/>
  <c r="J16" i="51"/>
  <c r="N16" i="51" s="1"/>
  <c r="J20" i="51"/>
  <c r="N20" i="51" s="1"/>
  <c r="J24" i="51"/>
  <c r="N24" i="51" s="1"/>
  <c r="J28" i="51"/>
  <c r="N28" i="51" s="1"/>
  <c r="J32" i="51"/>
  <c r="N32" i="51" s="1"/>
  <c r="J36" i="51"/>
  <c r="N36" i="51" s="1"/>
  <c r="J40" i="51"/>
  <c r="N40" i="51" s="1"/>
  <c r="J44" i="51"/>
  <c r="N44" i="51" s="1"/>
  <c r="U44" i="51" s="1"/>
  <c r="J48" i="51"/>
  <c r="N48" i="51" s="1"/>
  <c r="U48" i="51" s="1"/>
  <c r="J52" i="51"/>
  <c r="N52" i="51" s="1"/>
  <c r="U52" i="51" s="1"/>
  <c r="J56" i="51"/>
  <c r="N56" i="51" s="1"/>
  <c r="U56" i="51" s="1"/>
  <c r="M11" i="51"/>
  <c r="U11" i="51" s="1"/>
  <c r="M15" i="51"/>
  <c r="V15" i="51" s="1"/>
  <c r="M19" i="51"/>
  <c r="V19" i="51" s="1"/>
  <c r="M41" i="51"/>
  <c r="V41" i="51" s="1"/>
  <c r="M53" i="51"/>
  <c r="J9" i="51"/>
  <c r="N9" i="51" s="1"/>
  <c r="J49" i="51"/>
  <c r="N49" i="51" s="1"/>
  <c r="U49" i="51" s="1"/>
  <c r="J53" i="51"/>
  <c r="N53" i="51" s="1"/>
  <c r="J57" i="51"/>
  <c r="N57" i="51" s="1"/>
  <c r="M21" i="51"/>
  <c r="N25" i="51"/>
  <c r="M12" i="51"/>
  <c r="V12" i="51" s="1"/>
  <c r="M16" i="51"/>
  <c r="M20" i="51"/>
  <c r="M24" i="51"/>
  <c r="V24" i="51" s="1"/>
  <c r="M28" i="51"/>
  <c r="M32" i="51"/>
  <c r="U32" i="51" s="1"/>
  <c r="M36" i="51"/>
  <c r="V36" i="51" s="1"/>
  <c r="M40" i="51"/>
  <c r="M37" i="51"/>
  <c r="V37" i="51" s="1"/>
  <c r="G6" i="46"/>
  <c r="I6" i="46" s="1"/>
  <c r="F4" i="55" s="1"/>
  <c r="E3" i="23" s="1"/>
  <c r="G4" i="46"/>
  <c r="I4" i="46" s="1"/>
  <c r="E4" i="55" s="1"/>
  <c r="D3" i="23" s="1"/>
  <c r="D8" i="46"/>
  <c r="C8" i="46"/>
  <c r="G8" i="46" s="1"/>
  <c r="I8" i="46" s="1"/>
  <c r="D4" i="55" s="1"/>
  <c r="C3" i="23" s="1"/>
  <c r="D6" i="46"/>
  <c r="C6" i="46"/>
  <c r="D4" i="46"/>
  <c r="C4" i="46"/>
  <c r="F10" i="46"/>
  <c r="F8" i="46"/>
  <c r="F6" i="46"/>
  <c r="F4" i="46"/>
  <c r="D10" i="46"/>
  <c r="C10" i="46"/>
  <c r="G4" i="55" l="1"/>
  <c r="F3" i="23" s="1"/>
  <c r="C4" i="55"/>
  <c r="B3" i="23" s="1"/>
  <c r="V18" i="51"/>
  <c r="V40" i="51"/>
  <c r="U26" i="51"/>
  <c r="V28" i="51"/>
  <c r="V35" i="51"/>
  <c r="V22" i="51"/>
  <c r="U19" i="51"/>
  <c r="U36" i="51"/>
  <c r="U43" i="51"/>
  <c r="V23" i="51"/>
  <c r="U57" i="51"/>
  <c r="V43" i="51"/>
  <c r="U40" i="51"/>
  <c r="V20" i="51"/>
  <c r="V16" i="51"/>
  <c r="U35" i="51"/>
  <c r="U25" i="51"/>
  <c r="U21" i="51"/>
  <c r="V21" i="51"/>
  <c r="U50" i="51"/>
  <c r="V38" i="51"/>
  <c r="U53" i="51"/>
  <c r="V53" i="51"/>
  <c r="U37" i="51"/>
  <c r="V11" i="51"/>
  <c r="O62" i="51"/>
  <c r="U41" i="51"/>
  <c r="M62" i="51"/>
  <c r="N62" i="51"/>
  <c r="E64" i="51" s="1"/>
  <c r="U9" i="51"/>
  <c r="U20" i="51"/>
  <c r="U24" i="51"/>
  <c r="V32" i="51"/>
  <c r="U28" i="51"/>
  <c r="U16" i="51"/>
  <c r="U33" i="51"/>
  <c r="U12" i="51"/>
  <c r="L62" i="51"/>
  <c r="U15" i="51"/>
  <c r="V9" i="51"/>
  <c r="G64" i="51" l="1"/>
  <c r="V62" i="51"/>
  <c r="U62" i="51"/>
  <c r="S64" i="51" l="1"/>
  <c r="T64" i="51"/>
  <c r="A85" i="1" l="1"/>
  <c r="A84" i="1"/>
  <c r="C15" i="55" l="1"/>
  <c r="B5" i="24" s="1"/>
  <c r="D15" i="55"/>
  <c r="C5" i="24" s="1"/>
  <c r="E15" i="55"/>
  <c r="D5" i="24" s="1"/>
  <c r="G8" i="55"/>
  <c r="C8" i="55"/>
  <c r="D8" i="55"/>
  <c r="C16" i="55"/>
  <c r="B6" i="24" s="1"/>
  <c r="D16" i="55"/>
  <c r="C6" i="24" s="1"/>
  <c r="E16" i="55"/>
  <c r="D6" i="24" s="1"/>
  <c r="E14" i="55"/>
  <c r="D4" i="24" s="1"/>
  <c r="D14" i="55"/>
  <c r="C4" i="24" s="1"/>
  <c r="C14" i="55"/>
  <c r="B4" i="24" s="1"/>
  <c r="C5" i="55"/>
  <c r="D5" i="55"/>
  <c r="E47" i="18"/>
  <c r="E46" i="18"/>
  <c r="F7" i="23" l="1"/>
  <c r="C4" i="23"/>
  <c r="C7" i="23"/>
  <c r="B4" i="23"/>
  <c r="E7" i="23"/>
  <c r="B7" i="23"/>
  <c r="E49" i="18"/>
  <c r="E48" i="18"/>
  <c r="B39" i="18" l="1"/>
  <c r="H8" i="55" s="1"/>
  <c r="B35" i="18"/>
  <c r="G7" i="23" l="1"/>
  <c r="I6" i="55"/>
  <c r="I7" i="55"/>
  <c r="I4" i="55"/>
  <c r="H3" i="23" s="1"/>
  <c r="I14" i="55"/>
  <c r="H4" i="24" s="1"/>
  <c r="I15" i="55"/>
  <c r="H5" i="24" s="1"/>
  <c r="I5" i="55"/>
  <c r="I8" i="55"/>
  <c r="I16" i="55"/>
  <c r="H6" i="24" s="1"/>
  <c r="H5" i="23" l="1"/>
  <c r="H4" i="23"/>
  <c r="H6" i="23"/>
  <c r="H7" i="23"/>
</calcChain>
</file>

<file path=xl/sharedStrings.xml><?xml version="1.0" encoding="utf-8"?>
<sst xmlns="http://schemas.openxmlformats.org/spreadsheetml/2006/main" count="6935" uniqueCount="3067">
  <si>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</si>
  <si>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</si>
  <si>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</si>
  <si>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</si>
  <si>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</si>
  <si>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</si>
  <si>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</si>
  <si>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</si>
  <si>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</si>
  <si>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</si>
  <si>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</si>
  <si>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</si>
  <si>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</si>
  <si>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</si>
  <si>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</si>
  <si>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</si>
  <si>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</si>
  <si>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</si>
  <si>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</si>
  <si>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</si>
  <si>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</si>
  <si>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</si>
  <si>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</si>
  <si>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</si>
  <si>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</si>
  <si>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</si>
  <si>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</si>
  <si>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</si>
  <si>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</si>
  <si>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</si>
  <si>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</si>
  <si>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</si>
  <si>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</si>
  <si>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</si>
  <si>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</si>
  <si>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</si>
  <si>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</si>
  <si>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</si>
  <si>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</si>
  <si>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</si>
  <si>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</si>
  <si>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</si>
  <si>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</si>
  <si>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</si>
  <si>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</si>
  <si>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</si>
  <si>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</si>
  <si>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</si>
  <si>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</si>
  <si>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</si>
  <si>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</si>
  <si>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</si>
  <si>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</si>
  <si>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</si>
  <si>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</si>
  <si>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</si>
  <si>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</si>
  <si>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</si>
  <si>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</si>
  <si>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</si>
  <si>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</si>
  <si>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</si>
  <si>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</si>
  <si>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</si>
  <si>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</si>
  <si>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</si>
  <si>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</si>
  <si>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</si>
  <si>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</si>
  <si>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</si>
  <si>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</si>
  <si>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</si>
  <si>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</si>
  <si>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</si>
  <si>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</si>
  <si>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</si>
  <si>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</si>
  <si>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</si>
  <si>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</si>
  <si>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</si>
  <si>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</si>
  <si>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</si>
  <si>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</si>
  <si>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</si>
  <si>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</si>
  <si>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</si>
  <si>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</si>
  <si>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</si>
  <si>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</si>
  <si>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</si>
  <si>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</si>
  <si>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</si>
  <si>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</si>
  <si>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</si>
  <si>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</si>
  <si>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</si>
  <si>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</si>
  <si>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</si>
  <si>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</si>
  <si>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</si>
  <si>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</si>
  <si>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</si>
  <si>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</si>
  <si>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</si>
  <si>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</si>
  <si>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</si>
  <si>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</si>
  <si>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</si>
  <si>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</si>
  <si>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</si>
  <si>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</si>
  <si>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</si>
  <si>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</si>
  <si>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</si>
  <si>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</si>
  <si>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</si>
  <si>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</si>
  <si>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</si>
  <si>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</si>
  <si>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</si>
  <si>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</si>
  <si>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</si>
  <si>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</si>
  <si>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</si>
  <si>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</si>
  <si>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</si>
  <si>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</si>
  <si>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</si>
  <si>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</si>
  <si>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</si>
  <si>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</si>
  <si>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</si>
  <si>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</si>
  <si>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</si>
  <si>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</si>
  <si>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</si>
  <si>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</si>
  <si>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</si>
  <si>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</si>
  <si>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</si>
  <si>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</si>
  <si>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</si>
  <si>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</si>
  <si>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</si>
  <si>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</si>
  <si>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</si>
  <si>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</si>
  <si>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</si>
  <si>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</si>
  <si>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</si>
  <si>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</si>
  <si>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</si>
  <si>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</si>
  <si>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</si>
  <si>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</si>
  <si>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</si>
  <si>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</si>
  <si>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</si>
  <si>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</si>
  <si>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</si>
  <si>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</si>
  <si>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</si>
  <si>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</si>
  <si>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</si>
  <si>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</si>
  <si>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</si>
  <si>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</si>
  <si>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</si>
  <si>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</si>
  <si>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</si>
  <si>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</si>
  <si>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</si>
  <si>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</si>
  <si>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</si>
  <si>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</si>
  <si>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</si>
  <si>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</si>
  <si>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</si>
  <si>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</si>
  <si>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</si>
  <si>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</si>
  <si>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</si>
  <si>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</si>
  <si>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</si>
  <si>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</si>
  <si>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</si>
  <si>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</si>
  <si>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</si>
  <si>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</si>
  <si>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</si>
  <si>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</si>
  <si>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</si>
  <si>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</si>
  <si>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</si>
  <si>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</si>
  <si>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</si>
  <si>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</si>
  <si>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</si>
  <si>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</si>
  <si>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</si>
  <si>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</si>
  <si>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</si>
  <si>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</si>
  <si>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</si>
  <si>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</si>
  <si>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</si>
  <si>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</si>
  <si>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</si>
  <si>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</si>
  <si>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</si>
  <si>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</si>
  <si>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</si>
  <si>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</si>
  <si>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</si>
  <si>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</si>
  <si>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</si>
  <si>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</si>
  <si>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</si>
  <si>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</si>
  <si>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</si>
  <si>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</si>
  <si>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</si>
  <si>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</si>
  <si>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</si>
  <si>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</si>
  <si>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</si>
  <si>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</si>
  <si>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</si>
  <si>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</si>
  <si>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</si>
  <si>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</si>
  <si>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</si>
  <si>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</si>
  <si>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</si>
  <si>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</si>
  <si>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</si>
  <si>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</si>
  <si>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</si>
  <si>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</si>
  <si>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</si>
  <si>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</si>
  <si>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</si>
  <si>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</si>
  <si>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</si>
  <si>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</si>
  <si>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</si>
  <si>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</si>
  <si>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</si>
  <si>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</si>
  <si>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</si>
  <si>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</si>
  <si>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</si>
  <si>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</si>
  <si>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</si>
  <si>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</si>
  <si>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</si>
  <si>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</si>
  <si>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</si>
  <si>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</si>
  <si>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</si>
  <si>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</si>
  <si>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</si>
  <si>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</si>
  <si>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</si>
  <si>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</si>
  <si>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</si>
  <si>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</si>
  <si>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</si>
  <si>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</si>
  <si>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</si>
  <si>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</si>
  <si>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</si>
  <si>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</si>
  <si>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</si>
  <si>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</si>
  <si>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</si>
  <si>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</si>
  <si>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</si>
  <si>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</si>
  <si>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</si>
  <si>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</si>
  <si>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</si>
  <si>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</si>
  <si>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</si>
  <si>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</si>
  <si>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</si>
  <si>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</si>
  <si>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</si>
  <si>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</si>
  <si>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</si>
  <si>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</si>
  <si>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</si>
  <si>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</si>
  <si>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</si>
  <si>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</si>
  <si>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</si>
  <si>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</si>
  <si>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</si>
  <si>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</si>
  <si>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</si>
  <si>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</si>
  <si>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</si>
  <si>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</si>
  <si>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</si>
  <si>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</si>
  <si>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</si>
  <si>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</si>
  <si>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</si>
  <si>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</si>
  <si>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</si>
  <si>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</si>
  <si>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</si>
  <si>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</si>
  <si>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</si>
  <si>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</si>
  <si>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</si>
  <si>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</si>
  <si>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</si>
  <si>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</si>
  <si>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</si>
  <si>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</si>
  <si>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</si>
  <si>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</si>
  <si>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</si>
  <si>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</si>
  <si>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</si>
  <si>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</si>
  <si>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</si>
  <si>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</si>
  <si>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</si>
  <si>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</si>
  <si>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</si>
  <si>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</si>
  <si>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</si>
  <si>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</si>
  <si>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</si>
  <si>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</si>
  <si>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</si>
  <si>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</si>
  <si>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</si>
  <si>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</si>
  <si>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</si>
  <si>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</si>
  <si>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</si>
  <si>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</si>
  <si>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</si>
  <si>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</si>
  <si>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</si>
  <si>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</si>
  <si>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</si>
  <si>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</si>
  <si>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</si>
  <si>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</si>
  <si>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</si>
  <si>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</si>
  <si>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</si>
  <si>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</si>
  <si>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</si>
  <si>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</si>
  <si>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</si>
  <si>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</si>
  <si>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</si>
  <si>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</si>
  <si>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</si>
  <si>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</si>
  <si>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</si>
  <si>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</si>
  <si>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</si>
  <si>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</si>
  <si>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</si>
  <si>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</si>
  <si>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</si>
  <si>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</si>
  <si>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</si>
  <si>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</si>
  <si>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</si>
  <si>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</si>
  <si>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</si>
  <si>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</si>
  <si>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</si>
  <si>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</si>
  <si>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</si>
  <si>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</si>
  <si>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</si>
  <si>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</si>
  <si>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</si>
  <si>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</si>
  <si>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</si>
  <si>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</si>
  <si>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</si>
  <si>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</si>
  <si>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</si>
  <si>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</si>
  <si>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</si>
  <si>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</si>
  <si>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</si>
  <si>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</si>
  <si>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</si>
  <si>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</si>
  <si>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</si>
  <si>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</si>
  <si>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</si>
  <si>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</si>
  <si>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</si>
  <si>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</si>
  <si>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</si>
  <si>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</si>
  <si>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</si>
  <si>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</si>
  <si>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</si>
  <si>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</si>
  <si>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</si>
  <si>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</si>
  <si>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</si>
  <si>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</si>
  <si>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</si>
  <si>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</si>
  <si>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</si>
  <si>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</si>
  <si>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</si>
  <si>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</si>
  <si>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</si>
  <si>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</si>
  <si>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</si>
  <si>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</si>
  <si>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</si>
  <si>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</si>
  <si>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</si>
  <si>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</si>
  <si>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</si>
  <si>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</si>
  <si>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</si>
  <si>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</si>
  <si>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</si>
  <si>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</si>
  <si>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</si>
  <si>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</si>
  <si>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</si>
  <si>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</si>
  <si>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</si>
  <si>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</si>
  <si>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</si>
  <si>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</si>
  <si>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</si>
  <si>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</si>
  <si>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</si>
  <si>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</si>
  <si>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</si>
  <si>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</si>
  <si>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</si>
  <si>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</si>
  <si>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</si>
  <si>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</si>
  <si>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</si>
  <si>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</si>
  <si>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</si>
  <si>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</si>
  <si>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</si>
  <si>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</si>
  <si>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</si>
  <si>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</si>
  <si>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</si>
  <si>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</si>
  <si>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</si>
  <si>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</si>
  <si>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</si>
  <si>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</si>
  <si>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</si>
  <si>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</si>
  <si>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</si>
  <si>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</si>
  <si>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</si>
  <si>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</si>
  <si>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</si>
  <si>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</si>
  <si>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</si>
  <si>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</si>
  <si>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</si>
  <si>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</si>
  <si>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</si>
  <si>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</si>
  <si>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</si>
  <si>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</si>
  <si>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</si>
  <si>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</si>
  <si>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</si>
  <si>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</si>
  <si>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</si>
  <si>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</si>
  <si>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</si>
  <si>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</si>
  <si>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</si>
  <si>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</si>
  <si>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</si>
  <si>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</si>
  <si>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</si>
  <si>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</si>
  <si>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</si>
  <si>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</si>
  <si>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</si>
  <si>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</si>
  <si>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</si>
  <si>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</si>
  <si>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</si>
  <si>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</si>
  <si>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</si>
  <si>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</si>
  <si>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</si>
  <si>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</si>
  <si>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</si>
  <si>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</si>
  <si>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</si>
  <si>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</si>
  <si>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</si>
  <si>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</si>
  <si>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</si>
  <si>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</si>
  <si>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</si>
  <si>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</si>
  <si>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</si>
  <si>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</si>
  <si>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</si>
  <si>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</si>
  <si>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</si>
  <si>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</si>
  <si>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</si>
  <si>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</si>
  <si>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</si>
  <si>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</si>
  <si>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</si>
  <si>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</si>
  <si>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</si>
  <si>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</si>
  <si>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</si>
  <si>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</si>
  <si>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</si>
  <si>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</si>
  <si>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</si>
  <si>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</si>
  <si>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</si>
  <si>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</si>
  <si>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</si>
  <si>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</si>
  <si>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</si>
  <si>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</si>
  <si>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</si>
  <si>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</si>
  <si>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</si>
  <si>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</si>
  <si>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</si>
  <si>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</si>
  <si>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</si>
  <si>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</si>
  <si>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</si>
  <si>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</si>
  <si>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</si>
  <si>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</si>
  <si>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</si>
  <si>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</si>
  <si>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</si>
  <si>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</si>
  <si>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</si>
  <si>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</si>
  <si>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</si>
  <si>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</si>
  <si>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</si>
  <si>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</si>
  <si>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</si>
  <si>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</si>
  <si>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</si>
  <si>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</si>
  <si>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</si>
  <si>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</si>
  <si>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</si>
  <si>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</si>
  <si>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</si>
  <si>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</si>
  <si>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</si>
  <si>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</si>
  <si>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</si>
  <si>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</si>
  <si>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</si>
  <si>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</si>
  <si>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</si>
  <si>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</si>
  <si>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</si>
  <si>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</si>
  <si>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</si>
  <si>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</si>
  <si>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</si>
  <si>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</si>
  <si>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</si>
  <si>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</si>
  <si>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</si>
  <si>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</si>
  <si>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</si>
  <si>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</si>
  <si>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</si>
  <si>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</si>
  <si>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</si>
  <si>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</si>
  <si>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</si>
  <si>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</si>
  <si>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</si>
  <si>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</si>
  <si>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</si>
  <si>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</si>
  <si>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</si>
  <si>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</si>
  <si>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</si>
  <si>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</si>
  <si>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</si>
  <si>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</si>
  <si>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</si>
  <si>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</si>
  <si>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</si>
  <si>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</si>
  <si>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</si>
  <si>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</si>
  <si>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</si>
  <si>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</si>
  <si>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</si>
  <si>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</si>
  <si>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</si>
  <si>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</si>
  <si>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</si>
  <si>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</si>
  <si>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</si>
  <si>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</si>
  <si>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</si>
  <si>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</si>
  <si>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</si>
  <si>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</si>
  <si>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</si>
  <si>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</si>
  <si>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</si>
  <si>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</si>
  <si>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</si>
  <si>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</si>
  <si>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</si>
  <si>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</si>
  <si>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</si>
  <si>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</si>
  <si>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</si>
  <si>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</si>
  <si>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</si>
  <si>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</si>
  <si>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</si>
  <si>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</si>
  <si>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</si>
  <si>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</si>
  <si>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</si>
  <si>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</si>
  <si>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</si>
  <si>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</si>
  <si>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</si>
  <si>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</si>
  <si>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</si>
  <si>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</si>
  <si>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</si>
  <si>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</si>
  <si>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</si>
  <si>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</si>
  <si>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</si>
  <si>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</si>
  <si>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</si>
  <si>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</si>
  <si>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</si>
  <si>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</si>
  <si>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</si>
  <si>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</si>
  <si>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</si>
  <si>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</si>
  <si>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</si>
  <si>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</si>
  <si>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</si>
  <si>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</si>
  <si>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</si>
  <si>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</si>
  <si>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</si>
  <si>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</si>
  <si>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</si>
  <si>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</si>
  <si>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</si>
  <si>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</si>
  <si>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</si>
  <si>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</si>
  <si>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</si>
  <si>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</si>
  <si>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</si>
  <si>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</si>
  <si>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</si>
  <si>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</si>
  <si>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</si>
  <si>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</si>
  <si>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</si>
  <si>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</si>
  <si>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</si>
  <si>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</si>
  <si>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</si>
  <si>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</si>
  <si>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</si>
  <si>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</si>
  <si>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</si>
  <si>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</si>
  <si>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</si>
  <si>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</si>
  <si>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</si>
  <si>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</si>
  <si>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</si>
  <si>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</si>
  <si>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</si>
  <si>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</si>
  <si>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</si>
  <si>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</si>
  <si>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</si>
  <si>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</si>
  <si>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</si>
  <si>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</si>
  <si>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</si>
  <si>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</si>
  <si>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</si>
  <si>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</si>
  <si>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</si>
  <si>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</si>
  <si>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</si>
  <si>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</si>
  <si>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</si>
  <si>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</si>
  <si>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</si>
  <si>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</si>
  <si>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</si>
  <si>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</si>
  <si>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</si>
  <si>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</si>
  <si>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</si>
  <si>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</si>
  <si>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</si>
  <si>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</si>
  <si>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</si>
  <si>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</si>
  <si>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</si>
  <si>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</si>
  <si>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</si>
  <si>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</si>
  <si>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</si>
  <si>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</si>
  <si>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</si>
  <si>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</si>
  <si>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</si>
  <si>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</si>
  <si>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</si>
  <si>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</si>
  <si>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</si>
  <si>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</si>
  <si>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</si>
  <si>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</si>
  <si>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</si>
  <si>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</si>
  <si>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</si>
  <si>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</si>
  <si>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</si>
  <si>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</si>
  <si>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</si>
  <si>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</si>
  <si>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</si>
  <si>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</si>
  <si>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</si>
  <si>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</si>
  <si>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</si>
  <si>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</si>
  <si>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</si>
  <si>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</si>
  <si>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</si>
  <si>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</si>
  <si>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</si>
  <si>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</si>
  <si>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</si>
  <si>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</si>
  <si>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</si>
  <si>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</si>
  <si>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</si>
  <si>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</si>
  <si>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</si>
  <si>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</si>
  <si>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</si>
  <si>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</si>
  <si>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</si>
  <si>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</si>
  <si>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</si>
  <si>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</si>
  <si>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</si>
  <si>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</si>
  <si>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</si>
  <si>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</si>
  <si>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</si>
  <si>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</si>
  <si>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</si>
  <si>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</si>
  <si>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</si>
  <si>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</si>
  <si>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</si>
  <si>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</si>
  <si>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</si>
  <si>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</si>
  <si>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</si>
  <si>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</si>
  <si>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</si>
  <si>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</si>
  <si>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</si>
  <si>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</si>
  <si>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</si>
  <si>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</si>
  <si>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</si>
  <si>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</si>
  <si>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</si>
  <si>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</si>
  <si>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</si>
  <si>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</si>
  <si>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</si>
  <si>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</si>
  <si>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</si>
  <si>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</si>
  <si>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</si>
  <si>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</si>
  <si>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</si>
  <si>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</si>
  <si>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</si>
  <si>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</si>
  <si>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</si>
  <si>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</si>
  <si>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</si>
  <si>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</si>
  <si>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</si>
  <si>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</si>
  <si>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</si>
  <si>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</si>
  <si>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</si>
  <si>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</si>
  <si>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</si>
  <si>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</si>
  <si>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</si>
  <si>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</si>
  <si>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</si>
  <si>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</si>
  <si>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</si>
  <si>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</si>
  <si>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</si>
  <si>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</si>
  <si>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</si>
  <si>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</si>
  <si>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</si>
  <si>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</si>
  <si>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</si>
  <si>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</si>
  <si>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</si>
  <si>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</si>
  <si>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</si>
  <si>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</si>
  <si>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</si>
  <si>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</si>
  <si>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</si>
  <si>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</si>
  <si>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</si>
  <si>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</si>
  <si>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</si>
  <si>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</si>
  <si>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</si>
  <si>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</si>
  <si>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</si>
  <si>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</si>
  <si>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</si>
  <si>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</si>
  <si>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</si>
  <si>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</si>
  <si>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</si>
  <si>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</si>
  <si>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</si>
  <si>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</si>
  <si>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</si>
  <si>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</si>
  <si>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</si>
  <si>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</si>
  <si>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</si>
  <si>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</si>
  <si>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</si>
  <si>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</si>
  <si>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</si>
  <si>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</si>
  <si>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</si>
  <si>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</si>
  <si>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</si>
  <si>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</si>
  <si>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</si>
  <si>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</si>
  <si>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</si>
  <si>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</si>
  <si>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</si>
  <si>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</si>
  <si>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</si>
  <si>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</si>
  <si>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</si>
  <si>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</si>
  <si>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</si>
  <si>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</si>
  <si>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</si>
  <si>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</si>
  <si>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</si>
  <si>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</si>
  <si>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</si>
  <si>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</si>
  <si>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</si>
  <si>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</si>
  <si>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</si>
  <si>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</si>
  <si>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</si>
  <si>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</si>
  <si>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</si>
  <si>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</si>
  <si>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</si>
  <si>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</si>
  <si>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</si>
  <si>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</si>
  <si>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</si>
  <si>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</si>
  <si>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</si>
  <si>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</si>
  <si>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</si>
  <si>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</si>
  <si>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</si>
  <si>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</si>
  <si>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</si>
  <si>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</si>
  <si>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</si>
  <si>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</si>
  <si>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</si>
  <si>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</si>
  <si>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</si>
  <si>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</si>
  <si>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</si>
  <si>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</si>
  <si>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</si>
  <si>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</si>
  <si>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</si>
  <si>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</si>
  <si>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</si>
  <si>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</si>
  <si>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</si>
  <si>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</si>
  <si>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</si>
  <si>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</si>
  <si>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</si>
  <si>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</si>
  <si>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</si>
  <si>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</si>
  <si>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</si>
  <si>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</si>
  <si>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</si>
  <si>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</si>
  <si>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</si>
  <si>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</si>
  <si>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</si>
  <si>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</si>
  <si>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</si>
  <si>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</si>
  <si>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</si>
  <si>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</si>
  <si>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</si>
  <si>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</si>
  <si>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</si>
  <si>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</si>
  <si>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</si>
  <si>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</si>
  <si>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</si>
  <si>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</si>
  <si>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</si>
  <si>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</si>
  <si>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</si>
  <si>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</si>
  <si>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</si>
  <si>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</si>
  <si>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</si>
  <si>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</si>
  <si>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</si>
  <si>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</si>
  <si>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</si>
  <si>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</si>
  <si>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</si>
  <si>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</si>
  <si>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</si>
  <si>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</si>
  <si>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</si>
  <si>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</si>
  <si>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</si>
  <si>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</si>
  <si>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</si>
  <si>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</si>
  <si>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</si>
  <si>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</si>
  <si>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</si>
  <si>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</si>
  <si>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</si>
  <si>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</si>
  <si>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</si>
  <si>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</si>
  <si>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</si>
  <si>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</si>
  <si>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</si>
  <si>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</si>
  <si>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</si>
  <si>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</si>
  <si>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</si>
  <si>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</si>
  <si>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</si>
  <si>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</si>
  <si>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</si>
  <si>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</si>
  <si>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</si>
  <si>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</si>
  <si>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</si>
  <si>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</si>
  <si>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</si>
  <si>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</si>
  <si>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</si>
  <si>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</si>
  <si>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</si>
  <si>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</si>
  <si>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</si>
  <si>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</si>
  <si>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</si>
  <si>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</si>
  <si>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</si>
  <si>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</si>
  <si>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</si>
  <si>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</si>
  <si>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</si>
  <si>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</si>
  <si>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</si>
  <si>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</si>
  <si>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</si>
  <si>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</si>
  <si>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</si>
  <si>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</si>
  <si>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</si>
  <si>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</si>
  <si>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</si>
  <si>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</si>
  <si>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</si>
  <si>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</si>
  <si>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</si>
  <si>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</si>
  <si>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</si>
  <si>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</si>
  <si>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</si>
  <si>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</si>
  <si>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</si>
  <si>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</si>
  <si>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</si>
  <si>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</si>
  <si>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</si>
  <si>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</si>
  <si>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</si>
  <si>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</si>
  <si>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</si>
  <si>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</si>
  <si>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</si>
  <si>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</si>
  <si>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</si>
  <si>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</si>
  <si>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</si>
  <si>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</si>
  <si>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</si>
  <si>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</si>
  <si>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</si>
  <si>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</si>
  <si>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</si>
  <si>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</si>
  <si>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</si>
  <si>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</si>
  <si>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</si>
  <si>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</si>
  <si>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</si>
  <si>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</si>
  <si>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</si>
  <si>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</si>
  <si>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</si>
  <si>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</si>
  <si>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</si>
  <si>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</si>
  <si>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</si>
  <si>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</si>
  <si>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</si>
  <si>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</si>
  <si>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</si>
  <si>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</si>
  <si>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</si>
  <si>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</si>
  <si>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</si>
  <si>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</si>
  <si>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</si>
  <si>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</si>
  <si>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</si>
  <si>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</si>
  <si>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</si>
  <si>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</si>
  <si>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</si>
  <si>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</si>
  <si>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</si>
  <si>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</si>
  <si>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</si>
  <si>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</si>
  <si>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</si>
  <si>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</si>
  <si>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</si>
  <si>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</si>
  <si>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</si>
  <si>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</si>
  <si>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</si>
  <si>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</si>
  <si>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</si>
  <si>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</si>
  <si>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</si>
  <si>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</si>
  <si>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</si>
  <si>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</si>
  <si>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</si>
  <si>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</si>
  <si>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</si>
  <si>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</si>
  <si>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</si>
  <si>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</si>
  <si>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</si>
  <si>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</si>
  <si>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</si>
  <si>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</si>
  <si>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</si>
  <si>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</si>
  <si>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</si>
  <si>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</si>
  <si>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</si>
  <si>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</si>
  <si>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</si>
  <si>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</si>
  <si>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</si>
  <si>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</si>
  <si>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</si>
  <si>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</si>
  <si>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</si>
  <si>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</si>
  <si>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</si>
  <si>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</si>
  <si>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</si>
  <si>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</si>
  <si>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</si>
  <si>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</si>
  <si>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</si>
  <si>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</si>
  <si>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</si>
  <si>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</si>
  <si>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</si>
  <si>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</si>
  <si>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</si>
  <si>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</si>
  <si>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</si>
  <si>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</si>
  <si>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</si>
  <si>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</si>
  <si>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</si>
  <si>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</si>
  <si>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</si>
  <si>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</si>
  <si>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</si>
  <si>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</si>
  <si>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</si>
  <si>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</si>
  <si>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</si>
  <si>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</si>
  <si>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</si>
  <si>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</si>
  <si>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</si>
  <si>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</si>
  <si>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</si>
  <si>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</si>
  <si>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</si>
  <si>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</si>
  <si>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</si>
  <si>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</si>
  <si>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</si>
  <si>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</si>
  <si>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</si>
  <si>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</si>
  <si>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</si>
  <si>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</si>
  <si>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</si>
  <si>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</si>
  <si>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</si>
  <si>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</si>
  <si>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</si>
  <si>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</si>
  <si>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</si>
  <si>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</si>
  <si>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</si>
  <si>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</si>
  <si>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</si>
  <si>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</si>
  <si>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</si>
  <si>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</si>
  <si>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</si>
  <si>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</si>
  <si>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</si>
  <si>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</si>
  <si>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</si>
  <si>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</si>
  <si>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</si>
  <si>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</si>
  <si>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</si>
  <si>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</si>
  <si>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</si>
  <si>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</si>
  <si>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</si>
  <si>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</si>
  <si>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</si>
  <si>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</si>
  <si>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</si>
  <si>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</si>
  <si>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</si>
  <si>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</si>
  <si>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</si>
  <si>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</si>
  <si>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</si>
  <si>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</si>
  <si>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</si>
  <si>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</si>
  <si>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</si>
  <si>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</si>
  <si>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</si>
  <si>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</si>
  <si>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</si>
  <si>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</si>
  <si>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</si>
  <si>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</si>
  <si>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</si>
  <si>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</si>
  <si>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</si>
  <si>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</si>
  <si>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</si>
  <si>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</si>
  <si>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</si>
  <si>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</si>
  <si>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</si>
  <si>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</si>
  <si>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</si>
  <si>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</si>
  <si>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</si>
  <si>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</si>
  <si>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</si>
  <si>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</si>
  <si>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</si>
  <si>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</si>
  <si>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</si>
  <si>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</si>
  <si>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</si>
  <si>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</si>
  <si>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</si>
  <si>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</si>
  <si>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</si>
  <si>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</si>
  <si>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</si>
  <si>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</si>
  <si>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</si>
  <si>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</si>
  <si>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</si>
  <si>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</si>
  <si>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</si>
  <si>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</si>
  <si>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</si>
  <si>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</si>
  <si>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</si>
  <si>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</si>
  <si>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</si>
  <si>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</si>
  <si>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</si>
  <si>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</si>
  <si>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</si>
  <si>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</si>
  <si>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</si>
  <si>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</si>
  <si>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</si>
  <si>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</si>
  <si>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</si>
  <si>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</si>
  <si>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</si>
  <si>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</si>
  <si>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</si>
  <si>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</si>
  <si>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</si>
  <si>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</si>
  <si>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</si>
  <si>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</si>
  <si>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</si>
  <si>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</si>
  <si>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</si>
  <si>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</si>
  <si>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</si>
  <si>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</si>
  <si>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</si>
  <si>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</si>
  <si>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</si>
  <si>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</si>
  <si>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</si>
  <si>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</si>
  <si>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</si>
  <si>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</si>
  <si>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</si>
  <si>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</si>
  <si>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</si>
  <si>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</si>
  <si>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</si>
  <si>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</si>
  <si>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</si>
  <si>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</si>
  <si>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</si>
  <si>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</si>
  <si>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</si>
  <si>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</si>
  <si>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</si>
  <si>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</si>
  <si>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</si>
  <si>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</si>
  <si>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</si>
  <si>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</si>
  <si>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</si>
  <si>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</si>
  <si>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</si>
  <si>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</si>
  <si>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</si>
  <si>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</si>
  <si>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</si>
  <si>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</si>
  <si>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</si>
  <si>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</si>
  <si>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</si>
  <si>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</si>
  <si>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</si>
  <si>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</si>
  <si>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</si>
  <si>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</si>
  <si>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</si>
  <si>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</si>
  <si>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</si>
  <si>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</si>
  <si>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</si>
  <si>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</si>
  <si>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</si>
  <si>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</si>
  <si>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</si>
  <si>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</si>
  <si>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</si>
  <si>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</si>
  <si>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</si>
  <si>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</si>
  <si>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</si>
  <si>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</si>
  <si>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</si>
  <si>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</si>
  <si>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</si>
  <si>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</si>
  <si>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</si>
  <si>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</si>
  <si>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</si>
  <si>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</si>
  <si>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</si>
  <si>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</si>
  <si>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</si>
  <si>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</si>
  <si>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</si>
  <si>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</si>
  <si>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</si>
  <si>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</si>
  <si>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</si>
  <si>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</si>
  <si>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</si>
  <si>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</si>
  <si>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</si>
  <si>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</si>
  <si>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</si>
  <si>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</si>
  <si>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</si>
  <si>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</si>
  <si>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</si>
  <si>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</si>
  <si>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</si>
  <si>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</si>
  <si>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</si>
  <si>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</si>
  <si>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</si>
  <si>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</si>
  <si>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</si>
  <si>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</si>
  <si>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</si>
  <si>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</si>
  <si>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</si>
  <si>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</si>
  <si>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</si>
  <si>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</si>
  <si>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</si>
  <si>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</si>
  <si>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</si>
  <si>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</si>
  <si>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</si>
  <si>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</si>
  <si>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</si>
  <si>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</si>
  <si>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</si>
  <si>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</si>
  <si>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</si>
  <si>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</si>
  <si>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</si>
  <si>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</si>
  <si>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</si>
  <si>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</si>
  <si>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</si>
  <si>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</si>
  <si>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</si>
  <si>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</si>
  <si>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</si>
  <si>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</si>
  <si>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</si>
  <si>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</si>
  <si>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</si>
  <si>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</si>
  <si>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</si>
  <si>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</si>
  <si>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</si>
  <si>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</si>
  <si>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</si>
  <si>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</si>
  <si>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</si>
  <si>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</si>
  <si>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</si>
  <si>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</si>
  <si>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</si>
  <si>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</si>
  <si>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</si>
  <si>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</si>
  <si>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</si>
  <si>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</si>
  <si>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</si>
  <si>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</si>
  <si>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</si>
  <si>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</si>
  <si>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</si>
  <si>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</si>
  <si>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</si>
  <si>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</si>
  <si>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</si>
  <si>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</si>
  <si>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</si>
  <si>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</si>
  <si>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</si>
  <si>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</si>
  <si>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</si>
  <si>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</si>
  <si>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</si>
  <si>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</si>
  <si>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</si>
  <si>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</si>
  <si>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</si>
  <si>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</si>
  <si>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</si>
  <si>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</si>
  <si>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</si>
  <si>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</si>
  <si>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</si>
  <si>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</si>
  <si>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</si>
  <si>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</si>
  <si>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</si>
  <si>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</si>
  <si>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</si>
  <si>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</si>
  <si>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</si>
  <si>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</si>
  <si>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</si>
  <si>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</si>
  <si>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</si>
  <si>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</si>
  <si>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</si>
  <si>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</si>
  <si>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</si>
  <si>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</si>
  <si>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</si>
  <si>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</si>
  <si>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</si>
  <si>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</si>
  <si>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</si>
  <si>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</si>
  <si>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</si>
  <si>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</si>
  <si>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</si>
  <si>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</si>
  <si>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</si>
  <si>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</si>
  <si>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</si>
  <si>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</si>
  <si>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</si>
  <si>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</si>
  <si>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</si>
  <si>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</si>
  <si>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</si>
  <si>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</si>
  <si>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</si>
  <si>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</si>
  <si>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</si>
  <si>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</si>
  <si>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</si>
  <si>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</si>
  <si>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</si>
  <si>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</si>
  <si>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</si>
  <si>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</si>
  <si>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</si>
  <si>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</si>
  <si>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</si>
  <si>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</si>
  <si>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</si>
  <si>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</si>
  <si>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</si>
  <si>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</si>
  <si>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</si>
  <si>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</si>
  <si>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</si>
  <si>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</si>
  <si>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</si>
  <si>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</si>
  <si>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</si>
  <si>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</si>
  <si>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</si>
  <si>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</si>
  <si>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</si>
  <si>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</si>
  <si>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</si>
  <si>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</si>
  <si>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</si>
  <si>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</si>
  <si>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</si>
  <si>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</si>
  <si>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</si>
  <si>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</si>
  <si>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</si>
  <si>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</si>
  <si>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</si>
  <si>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</si>
  <si>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</si>
  <si>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</si>
  <si>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</si>
  <si>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</si>
  <si>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</si>
  <si>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</si>
  <si>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</si>
  <si>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</si>
  <si>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</si>
  <si>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</si>
  <si>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</si>
  <si>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</si>
  <si>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</si>
  <si>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</si>
  <si>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</si>
  <si>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</si>
  <si>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</si>
  <si>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</si>
  <si>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</si>
  <si>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</si>
  <si>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</si>
  <si>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</si>
  <si>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</si>
  <si>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</si>
  <si>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</si>
  <si>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</si>
  <si>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</si>
  <si>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</si>
  <si>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</si>
  <si>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</si>
  <si>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</si>
  <si>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</si>
  <si>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</si>
  <si>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</si>
  <si>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</si>
  <si>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</si>
  <si>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</si>
  <si>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</si>
  <si>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</si>
  <si>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</si>
  <si>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</si>
  <si>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</si>
  <si>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</si>
  <si>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</si>
  <si>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</si>
  <si>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</si>
  <si>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</si>
  <si>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</si>
  <si>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</si>
  <si>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</si>
  <si>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</si>
  <si>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</si>
  <si>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</si>
  <si>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</si>
  <si>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</si>
  <si>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</si>
  <si>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</si>
  <si>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</si>
  <si>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</si>
  <si>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</si>
  <si>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</si>
  <si>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</si>
  <si>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</si>
  <si>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</si>
  <si>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</si>
  <si>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</si>
  <si>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</si>
  <si>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</si>
  <si>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</si>
  <si>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</si>
  <si>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</si>
  <si>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</si>
  <si>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</si>
  <si>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</si>
  <si>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</si>
  <si>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</si>
  <si>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</si>
  <si>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</si>
  <si>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</si>
  <si>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</si>
  <si>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</si>
  <si>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</si>
  <si>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</si>
  <si>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</si>
  <si>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</si>
  <si>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</si>
  <si>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</si>
  <si>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</si>
  <si>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</si>
  <si>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</si>
  <si>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</si>
  <si>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</si>
  <si>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</si>
  <si>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</si>
  <si>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</si>
  <si>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</si>
  <si>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</si>
  <si>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</si>
  <si>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</si>
  <si>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</si>
  <si>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</si>
  <si>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</si>
  <si>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</si>
  <si>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</si>
  <si>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</si>
  <si>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</si>
  <si>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</si>
  <si>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</si>
  <si>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</si>
  <si>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</si>
  <si>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</si>
  <si>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</si>
  <si>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</si>
  <si>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</si>
  <si>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</si>
  <si>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</si>
  <si>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</si>
  <si>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</si>
  <si>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</si>
  <si>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</si>
  <si>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</si>
  <si>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</si>
  <si>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</si>
  <si>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</si>
  <si>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</si>
  <si>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</si>
  <si>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</si>
  <si>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</si>
  <si>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</si>
  <si>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</si>
  <si>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</si>
  <si>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</si>
  <si>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</si>
  <si>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</si>
  <si>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</si>
  <si>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</si>
  <si>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</si>
  <si>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</si>
  <si>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</si>
  <si>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</si>
  <si>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</si>
  <si>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</si>
  <si>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</si>
  <si>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</si>
  <si>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</si>
  <si>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</si>
  <si>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</si>
  <si>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</si>
  <si>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</si>
  <si>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</si>
  <si>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</si>
  <si>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</si>
  <si>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</si>
  <si>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</si>
  <si>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</si>
  <si>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</si>
  <si>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</si>
  <si>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</si>
  <si>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</si>
  <si>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</si>
  <si>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</si>
  <si>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</si>
  <si>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</si>
  <si>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</si>
  <si>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</si>
  <si>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</si>
  <si>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</si>
  <si>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</si>
  <si>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</si>
  <si>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</si>
  <si>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</si>
  <si>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</si>
  <si>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</si>
  <si>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</si>
  <si>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</si>
  <si>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</si>
  <si>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</si>
  <si>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</si>
  <si>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</si>
  <si>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</si>
  <si>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</si>
  <si>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</si>
  <si>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</si>
  <si>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</si>
  <si>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</si>
  <si>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</si>
  <si>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</si>
  <si>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</si>
  <si>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</si>
  <si>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</si>
  <si>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</si>
  <si>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</si>
  <si>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</si>
  <si>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</si>
  <si>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</si>
  <si>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</si>
  <si>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</si>
  <si>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</si>
  <si>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</si>
  <si>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</si>
  <si>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</si>
  <si>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</si>
  <si>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</si>
  <si>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</si>
  <si>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</si>
  <si>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</si>
  <si>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</si>
  <si>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</si>
  <si>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</si>
  <si>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</si>
  <si>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</si>
  <si>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</si>
  <si>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</si>
  <si>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</si>
  <si>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</si>
  <si>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</si>
  <si>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</si>
  <si>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</si>
  <si>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</si>
  <si>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</si>
  <si>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</si>
  <si>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</si>
  <si>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</si>
  <si>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</si>
  <si>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</si>
  <si>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</si>
  <si>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</si>
  <si>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</si>
  <si>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</si>
  <si>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</si>
  <si>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</si>
  <si>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</si>
  <si>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</si>
  <si>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</si>
  <si>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</si>
  <si>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</si>
  <si>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</si>
  <si>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</si>
  <si>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</si>
  <si>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</si>
  <si>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</si>
  <si>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</si>
  <si>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</si>
  <si>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</si>
  <si>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</si>
  <si>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</si>
  <si>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</si>
  <si>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</si>
  <si>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</si>
  <si>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</si>
  <si>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</si>
  <si>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</si>
  <si>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</si>
  <si>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</si>
  <si>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</si>
  <si>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</si>
  <si>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</si>
  <si>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</si>
  <si>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</si>
  <si>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</si>
  <si>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</si>
  <si>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</si>
  <si>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</si>
  <si>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</si>
  <si>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</si>
  <si>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</si>
  <si>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</si>
  <si>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</si>
  <si>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</si>
  <si>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</si>
  <si>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</si>
  <si>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</si>
  <si>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</si>
  <si>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</si>
  <si>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</si>
  <si>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</si>
  <si>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</si>
  <si>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</si>
  <si>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</si>
  <si>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</si>
  <si>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</si>
  <si>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</si>
  <si>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</si>
  <si>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</si>
  <si>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</si>
  <si>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</si>
  <si>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</si>
  <si>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</si>
  <si>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</si>
  <si>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</si>
  <si>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</si>
  <si>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</si>
  <si>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</si>
  <si>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</si>
  <si>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</si>
  <si>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</si>
  <si>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</si>
  <si>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</si>
  <si>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</si>
  <si>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</si>
  <si>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</si>
  <si>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</si>
  <si>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</si>
  <si>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</si>
  <si>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</si>
  <si>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</si>
  <si>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</si>
  <si>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</si>
  <si>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</si>
  <si>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</si>
  <si>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</si>
  <si>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</si>
  <si>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</si>
  <si>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</si>
  <si>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</si>
  <si>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</si>
  <si>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</si>
  <si>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</si>
  <si>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</si>
  <si>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</si>
  <si>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</si>
  <si>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</si>
  <si>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</si>
  <si>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</si>
  <si>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</si>
  <si>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</si>
  <si>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</si>
  <si>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</si>
  <si>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</si>
  <si>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</si>
  <si>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</si>
  <si>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</si>
  <si>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</si>
  <si>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</si>
  <si>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</si>
  <si>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</si>
  <si>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</si>
  <si>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</si>
  <si>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</si>
  <si>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</si>
  <si>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</si>
  <si>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</si>
  <si>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</si>
  <si>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</si>
  <si>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</si>
  <si>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</si>
  <si>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</si>
  <si>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</si>
  <si>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</si>
  <si>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</si>
  <si>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</si>
  <si>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</si>
  <si>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</si>
  <si>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</si>
  <si>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</si>
  <si>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</si>
  <si>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</si>
  <si>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</si>
  <si>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</si>
  <si>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</si>
  <si>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</si>
  <si>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</si>
  <si>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</si>
  <si>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</si>
  <si>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</si>
  <si>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</si>
  <si>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</si>
  <si>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</si>
  <si>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</si>
  <si>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</si>
  <si>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</si>
  <si>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</si>
  <si>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</si>
  <si>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</si>
  <si>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</si>
  <si>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</si>
  <si>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</si>
  <si>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</si>
  <si>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</si>
  <si>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</si>
  <si>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</si>
  <si>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</si>
  <si>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</si>
  <si>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</si>
  <si>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</si>
  <si>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</si>
  <si>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</si>
  <si>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</si>
  <si>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</si>
  <si>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</si>
  <si>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</si>
  <si>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</si>
  <si>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</si>
  <si>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</si>
  <si>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</si>
  <si>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</si>
  <si>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</si>
  <si>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</si>
  <si>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</si>
  <si>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</si>
  <si>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</si>
  <si>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</si>
  <si>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</si>
  <si>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</si>
  <si>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</si>
  <si>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</si>
  <si>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</si>
  <si>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</si>
  <si>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</si>
  <si>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</si>
  <si>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</si>
  <si>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</si>
  <si>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</si>
  <si>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</si>
  <si>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</si>
  <si>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</si>
  <si>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</si>
  <si>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</si>
  <si>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</si>
  <si>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</si>
  <si>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</si>
  <si>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</si>
  <si>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</si>
  <si>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</si>
  <si>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</si>
  <si>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</si>
  <si>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</si>
  <si>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</si>
  <si>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</si>
  <si>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</si>
  <si>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</si>
  <si>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</si>
  <si>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</si>
  <si>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</si>
  <si>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</si>
  <si>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</si>
  <si>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</si>
  <si>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</si>
  <si>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</si>
  <si>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</si>
  <si>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</si>
  <si>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</si>
  <si>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</si>
  <si>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</si>
  <si>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</si>
  <si>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</si>
  <si>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</si>
  <si>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</si>
  <si>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</si>
  <si>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</si>
  <si>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</si>
  <si>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</si>
  <si>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</si>
  <si>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</si>
  <si>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</si>
  <si>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</si>
  <si>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</si>
  <si>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</si>
  <si>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</si>
  <si>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</si>
  <si>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</si>
  <si>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</si>
  <si>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</si>
  <si>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</si>
  <si>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</si>
  <si>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</si>
  <si>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</si>
  <si>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</si>
  <si>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</si>
  <si>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</si>
  <si>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</si>
  <si>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</si>
  <si>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</si>
  <si>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</si>
  <si>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</si>
  <si>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</si>
  <si>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</si>
  <si>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</si>
  <si>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</si>
  <si>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</si>
  <si>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</si>
  <si>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</si>
  <si>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</si>
  <si>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</si>
  <si>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</si>
  <si>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</si>
  <si>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</si>
  <si>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</si>
  <si>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</si>
  <si>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</si>
  <si>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</si>
  <si>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</si>
  <si>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</si>
  <si>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</si>
  <si>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</si>
  <si>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</si>
  <si>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</si>
  <si>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</si>
  <si>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</si>
  <si>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</si>
  <si>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</si>
  <si>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</si>
  <si>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</si>
  <si>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</si>
  <si>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</si>
  <si>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</si>
  <si>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</si>
  <si>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</si>
  <si>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</si>
  <si>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</si>
  <si>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</si>
  <si>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</si>
  <si>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</si>
  <si>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</si>
  <si>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</si>
  <si>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</si>
  <si>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</si>
  <si>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</si>
  <si>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</si>
  <si>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</si>
  <si>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</si>
  <si>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</si>
  <si>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</si>
  <si>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</si>
  <si>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</si>
  <si>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</si>
  <si>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</si>
  <si>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</si>
  <si>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</si>
  <si>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</si>
  <si>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</si>
  <si>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</si>
  <si>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</si>
  <si>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</si>
  <si>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</si>
  <si>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</si>
  <si>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</si>
  <si>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</si>
  <si>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</si>
  <si>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</si>
  <si>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</si>
  <si>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</si>
  <si>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</si>
  <si>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</si>
  <si>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</si>
  <si>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</si>
  <si>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</si>
  <si>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</si>
  <si>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</si>
  <si>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</si>
  <si>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</si>
  <si>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</si>
  <si>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</si>
  <si>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</si>
  <si>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</si>
  <si>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</si>
  <si>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</si>
  <si>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</si>
  <si>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</si>
  <si>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</si>
  <si>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</si>
  <si>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</si>
  <si>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</si>
  <si>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</si>
  <si>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</si>
  <si>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</si>
  <si>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</si>
  <si>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</si>
  <si>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</si>
  <si>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</si>
  <si>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</si>
  <si>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</si>
  <si>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</si>
  <si>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</si>
  <si>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</si>
  <si>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</si>
  <si>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</si>
  <si>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</si>
  <si>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</si>
  <si>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</si>
  <si>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</si>
  <si>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</si>
  <si>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</si>
  <si>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</si>
  <si>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</si>
  <si>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</si>
  <si>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</si>
  <si>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</si>
  <si>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</si>
  <si>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</si>
  <si>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</si>
  <si>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</si>
  <si>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</si>
  <si>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</si>
  <si>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</si>
  <si>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</si>
  <si>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</si>
  <si>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</si>
  <si>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</si>
  <si>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</si>
  <si>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</si>
  <si>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</si>
  <si>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</si>
  <si>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</si>
  <si>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</si>
  <si>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</si>
  <si>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</si>
  <si>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</si>
  <si>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</si>
  <si>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</si>
  <si>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</si>
  <si>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</si>
  <si>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</si>
  <si>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</si>
  <si>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</si>
  <si>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</si>
  <si>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</si>
  <si>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</si>
  <si>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</si>
  <si>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</si>
  <si>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</si>
  <si>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</si>
  <si>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</si>
  <si>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</si>
  <si>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</si>
  <si>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</si>
  <si>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</si>
  <si>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</si>
  <si>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</si>
  <si>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</si>
  <si>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</si>
  <si>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</si>
  <si>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</si>
  <si>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</si>
  <si>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</si>
  <si>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</si>
  <si>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</si>
  <si>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</si>
  <si>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</si>
  <si>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</si>
  <si>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</si>
  <si>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</si>
  <si>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</si>
  <si>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</si>
  <si>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</si>
  <si>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</si>
  <si>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</si>
  <si>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</si>
  <si>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</si>
  <si>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</si>
  <si>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</si>
  <si>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</si>
  <si>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</si>
  <si>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</si>
  <si>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</si>
  <si>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</si>
  <si>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</si>
  <si>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</si>
  <si>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</si>
  <si>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</si>
  <si>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</si>
  <si>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</si>
  <si>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</si>
  <si>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</si>
  <si>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</si>
  <si>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</si>
  <si>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</si>
  <si>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</si>
  <si>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</si>
  <si>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</si>
  <si>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</si>
  <si>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</si>
  <si>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</si>
  <si>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</si>
  <si>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</si>
  <si>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</si>
  <si>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</si>
  <si>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</si>
  <si>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</si>
  <si>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</si>
  <si>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</si>
  <si>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</si>
  <si>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</si>
  <si>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</si>
  <si>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</si>
  <si>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</si>
  <si>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</si>
  <si>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</si>
  <si>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</si>
  <si>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</si>
  <si>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</si>
  <si>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</si>
  <si>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</si>
  <si>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</si>
  <si>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</si>
  <si>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</si>
  <si>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</si>
  <si>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</si>
  <si>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</si>
  <si>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</si>
  <si>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</si>
  <si>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</si>
  <si>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</si>
  <si>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</si>
  <si>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</si>
  <si>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</si>
  <si>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</si>
  <si>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</si>
  <si>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</si>
  <si>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</si>
  <si>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</si>
  <si>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</si>
  <si>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</si>
  <si>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</si>
  <si>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</si>
  <si>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</si>
  <si>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</si>
  <si>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</si>
  <si>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</si>
  <si>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</si>
  <si>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</si>
  <si>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</si>
  <si>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</si>
  <si>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</si>
  <si>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</si>
  <si>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</si>
  <si>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</si>
  <si>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</si>
  <si>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</si>
  <si>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</si>
  <si>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</si>
  <si>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</si>
  <si>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</si>
  <si>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</si>
  <si>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</si>
  <si>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</si>
  <si>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</si>
  <si>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</si>
  <si>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</si>
  <si>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</si>
  <si>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</si>
  <si>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</si>
  <si>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</si>
  <si>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</si>
  <si>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</si>
  <si>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</si>
  <si>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</si>
  <si>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</si>
  <si>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</si>
  <si>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</si>
  <si>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</si>
  <si>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</si>
  <si>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</si>
  <si>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</si>
  <si>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</si>
  <si>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</si>
  <si>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</si>
  <si>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</si>
  <si>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</si>
  <si>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</si>
  <si>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</si>
  <si>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</si>
  <si>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</si>
  <si>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</si>
  <si>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</si>
  <si>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</si>
  <si>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</si>
  <si>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</si>
  <si>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</si>
  <si>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</si>
  <si>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</si>
  <si>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</si>
  <si>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</si>
  <si>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</si>
  <si>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</si>
  <si>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</si>
  <si>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</si>
  <si>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</si>
  <si>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</si>
  <si>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</si>
  <si>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</si>
  <si>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</si>
  <si>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</si>
  <si>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</si>
  <si>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</si>
  <si>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</si>
  <si>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</si>
  <si>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</si>
  <si>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</si>
  <si>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</si>
  <si>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</si>
  <si>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</si>
  <si>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</si>
  <si>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</si>
  <si>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</si>
  <si>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</si>
  <si>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</si>
  <si>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</si>
  <si>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</si>
  <si>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</si>
  <si>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</si>
  <si>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</si>
  <si>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</si>
  <si>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</si>
  <si>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</si>
  <si>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</si>
  <si>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</si>
  <si>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</si>
  <si>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</si>
  <si>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</si>
  <si>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</si>
  <si>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</si>
  <si>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</si>
  <si>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</si>
  <si>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</si>
  <si>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</si>
  <si>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</si>
  <si>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</si>
  <si>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</si>
  <si>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</si>
  <si>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</si>
  <si>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</si>
  <si>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</si>
  <si>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</si>
  <si>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</si>
  <si>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</si>
  <si>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</si>
  <si>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</si>
  <si>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</si>
  <si>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</si>
  <si>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</si>
  <si>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</si>
  <si>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</si>
  <si>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</si>
  <si>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</si>
  <si>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</si>
  <si>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</si>
  <si>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</si>
  <si>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</si>
  <si>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</si>
  <si>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</si>
  <si>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</si>
  <si>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</si>
  <si>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</si>
  <si>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</si>
  <si>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</si>
  <si>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</si>
  <si>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</si>
  <si>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</si>
  <si>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</si>
  <si>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</si>
  <si>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</si>
  <si>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</si>
  <si>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</si>
  <si>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</si>
  <si>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</si>
  <si>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</si>
  <si>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</si>
  <si>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</si>
  <si>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</si>
  <si>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</si>
  <si>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</si>
  <si>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</si>
  <si>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</si>
  <si>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</si>
  <si>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</si>
  <si>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</si>
  <si>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</si>
  <si>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</si>
  <si>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</si>
  <si>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</si>
  <si>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</si>
  <si>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</si>
  <si>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</si>
  <si>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</si>
  <si>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</si>
  <si>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</si>
  <si>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</si>
  <si>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</si>
  <si>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</si>
  <si>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</si>
  <si>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</si>
  <si>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</si>
  <si>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</si>
  <si>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</si>
  <si>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</si>
  <si>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</si>
  <si>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</si>
  <si>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</si>
  <si>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</si>
  <si>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</si>
  <si>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</si>
  <si>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</si>
  <si>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</si>
  <si>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</si>
  <si>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</si>
  <si>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</si>
  <si>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</si>
  <si>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</si>
  <si>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</si>
  <si>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</si>
  <si>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</si>
  <si>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</si>
  <si>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</si>
  <si>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</si>
  <si>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</si>
  <si>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</si>
  <si>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</si>
  <si>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</si>
  <si>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</si>
  <si>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</si>
  <si>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</si>
  <si>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</si>
  <si>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</si>
  <si>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</si>
  <si>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</si>
  <si>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</si>
  <si>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</si>
  <si>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</si>
  <si>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</si>
  <si>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</si>
  <si>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</si>
  <si>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</si>
  <si>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</si>
  <si>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</si>
  <si>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</si>
  <si>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</si>
  <si>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</si>
  <si>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</si>
  <si>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</si>
  <si>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</si>
  <si>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</si>
  <si>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</si>
  <si>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</si>
  <si>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</si>
  <si>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</si>
  <si>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</si>
  <si>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</si>
  <si>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</si>
  <si>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</si>
  <si>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</si>
  <si>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</si>
  <si>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</si>
  <si>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</si>
  <si>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</si>
  <si>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</si>
  <si>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</si>
  <si>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</si>
  <si>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</si>
  <si>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</si>
  <si>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</si>
  <si>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</si>
  <si>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</si>
  <si>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</si>
  <si>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</si>
  <si>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</si>
  <si>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</si>
  <si>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</si>
  <si>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</si>
  <si>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</si>
  <si>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</si>
  <si>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</si>
  <si>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</si>
  <si>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</si>
  <si>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</si>
  <si>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</si>
  <si>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</si>
  <si>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</si>
  <si>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</si>
  <si>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</si>
  <si>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</si>
  <si>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</si>
  <si>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</si>
  <si>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</si>
  <si>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</si>
  <si>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</si>
  <si>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</si>
  <si>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</si>
  <si>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</si>
  <si>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</si>
  <si>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</si>
  <si>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</si>
  <si>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</si>
  <si>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</si>
  <si>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</si>
  <si>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</si>
  <si>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</si>
  <si>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</si>
  <si>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</si>
  <si>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</si>
  <si>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</si>
  <si>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</si>
  <si>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</si>
  <si>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</si>
  <si>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</si>
  <si>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</si>
  <si>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</si>
  <si>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</si>
  <si>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</si>
  <si>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</si>
  <si>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</si>
  <si>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</si>
  <si>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</si>
  <si>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</si>
  <si>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</si>
  <si>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</si>
  <si>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</si>
  <si>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</si>
  <si>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</si>
  <si>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</si>
  <si>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</si>
  <si>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</si>
  <si>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</si>
  <si>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</si>
  <si>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</si>
  <si>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</si>
  <si>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</si>
  <si>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</si>
  <si>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</si>
  <si>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</si>
  <si>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</si>
  <si>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</si>
  <si>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</si>
  <si>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</si>
  <si>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</si>
  <si>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</si>
  <si>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</si>
  <si>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</si>
  <si>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</si>
  <si>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</si>
  <si>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</si>
  <si>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</si>
  <si>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</si>
  <si>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</si>
  <si>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</si>
  <si>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</si>
  <si>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</si>
  <si>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</si>
  <si>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</si>
  <si>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</si>
  <si>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</si>
  <si>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</si>
  <si>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</si>
  <si>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</si>
  <si>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</si>
  <si>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</si>
  <si>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</si>
  <si>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</si>
  <si>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</si>
  <si>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</si>
  <si>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</si>
  <si>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</si>
  <si>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</si>
  <si>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</si>
  <si>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</si>
  <si>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</si>
  <si>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</si>
  <si>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</si>
  <si>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</si>
  <si>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</si>
  <si>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</si>
  <si>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</si>
  <si>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</si>
  <si>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</si>
  <si>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</si>
  <si>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</si>
  <si>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</si>
  <si>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</si>
  <si>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</si>
  <si>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</si>
  <si>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</si>
  <si>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</si>
  <si>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</si>
  <si>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</si>
  <si>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</si>
  <si>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</si>
  <si>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</si>
  <si>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</si>
  <si>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</si>
  <si>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</si>
  <si>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</si>
  <si>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</si>
  <si>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</si>
  <si>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</si>
  <si>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</si>
  <si>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</si>
  <si>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</si>
  <si>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</si>
  <si>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</si>
  <si>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</si>
  <si>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</si>
  <si>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</si>
  <si>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</si>
  <si>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</si>
  <si>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</si>
  <si>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</si>
  <si>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</si>
  <si>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</si>
  <si>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</si>
  <si>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</si>
  <si>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</si>
  <si>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</si>
  <si>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</si>
  <si>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</si>
  <si>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</si>
  <si>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</si>
  <si>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</si>
  <si>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</si>
  <si>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</si>
  <si>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</si>
  <si>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</si>
  <si>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</si>
  <si>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</si>
  <si>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</si>
  <si>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</si>
  <si>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</si>
  <si>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</si>
  <si>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</si>
  <si>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</si>
  <si>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</si>
  <si>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</si>
  <si>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</si>
  <si>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</si>
  <si>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</si>
  <si>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</si>
  <si>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</si>
  <si>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</si>
  <si>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</si>
  <si>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</si>
  <si>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</si>
  <si>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</si>
  <si>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</si>
  <si>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</si>
  <si>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</si>
  <si>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</si>
  <si>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</si>
  <si>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</si>
  <si>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</si>
  <si>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</si>
  <si>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</si>
  <si>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</si>
  <si>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</si>
  <si>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</si>
  <si>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</si>
  <si>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</si>
  <si>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</si>
  <si>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</si>
  <si>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</si>
  <si>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</si>
  <si>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</si>
  <si>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</si>
  <si>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</si>
  <si>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</si>
  <si>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</si>
  <si>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</si>
  <si>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</si>
  <si>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</si>
  <si>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</si>
  <si>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</si>
  <si>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</si>
  <si>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</si>
  <si>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</si>
  <si>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</si>
  <si>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</si>
  <si>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</si>
  <si>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</si>
  <si>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</si>
  <si>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</si>
  <si>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</si>
  <si>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</si>
  <si>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</si>
  <si>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</si>
  <si>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</si>
  <si>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</si>
  <si>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</si>
  <si>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</si>
  <si>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</si>
  <si>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</si>
  <si>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</si>
  <si>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</si>
  <si>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</si>
  <si>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</si>
  <si>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</si>
  <si>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</si>
  <si>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</si>
  <si>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</si>
  <si>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</si>
  <si>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</si>
  <si>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</si>
  <si>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</si>
  <si>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</si>
  <si>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</si>
  <si>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</si>
  <si>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</si>
  <si>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</si>
  <si>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</si>
  <si>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</si>
  <si>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</si>
  <si>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</si>
  <si>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</si>
  <si>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</si>
  <si>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</si>
  <si>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</si>
  <si>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</si>
  <si>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</si>
  <si>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</si>
  <si>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</si>
  <si>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</si>
  <si>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</si>
  <si>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</si>
  <si>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</si>
  <si>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</si>
  <si>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</si>
  <si>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</si>
  <si>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</si>
  <si>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</si>
  <si>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</si>
  <si>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</si>
  <si>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</si>
  <si>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</si>
  <si>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</si>
  <si>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</si>
  <si>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</si>
  <si>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</si>
  <si>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</si>
  <si>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</si>
  <si>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</si>
  <si>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</si>
  <si>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</si>
  <si>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</si>
  <si>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</si>
  <si>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</si>
  <si>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</si>
  <si>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</si>
  <si>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</si>
  <si>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</si>
  <si>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</si>
  <si>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</si>
  <si>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</si>
  <si>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</si>
  <si>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</si>
  <si>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</si>
  <si>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</si>
  <si>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</si>
  <si>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</si>
  <si>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</si>
  <si>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</si>
  <si>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</si>
  <si>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</si>
  <si>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</si>
  <si>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</si>
  <si>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</si>
  <si>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</si>
  <si>
    <t>TOTAL FUEL USE</t>
  </si>
  <si>
    <t>Table 7.  Transportation Sector Key Indicators and Delivered Energy Consumption</t>
  </si>
  <si>
    <t>https://www.eia.gov/outlooks/aeo/data/browser/#/?id=7-AEO2025&amp;cases=alttrnp&amp;sourcekey=0</t>
  </si>
  <si>
    <t>Fri Dec 05 2025 14:42:41 GMT-0800 (Pacific Standard Time)</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</si>
  <si>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</si>
  <si>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</si>
  <si>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</si>
  <si>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</si>
  <si>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</si>
  <si>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</si>
  <si>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</si>
  <si>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</si>
  <si>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</si>
  <si>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</si>
  <si>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</si>
  <si>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</si>
  <si>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</si>
  <si>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</si>
  <si>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</si>
  <si>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</si>
  <si>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</si>
  <si>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</si>
  <si>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</si>
  <si>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Transportation: Travel Indicators: Air: Alternative Transportation</t>
  </si>
  <si>
    <t>AEO.2025.ALTTRNP.KEI_TRV_TRN_NA_AIR_NA_NA_BLNSEATMLS.A</t>
  </si>
  <si>
    <t>billion seat miles</t>
  </si>
  <si>
    <t>(billion ton miles traveled)</t>
  </si>
  <si>
    <t>Transportation: Travel Indicators: Rail: Alternative Transportation</t>
  </si>
  <si>
    <t>AEO.2025.ALTTRNP.KEI_TRV_TRN_NA_RAIL_NA_NA_BLNTNMLS.A</t>
  </si>
  <si>
    <t>billion ton miles</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</si>
  <si>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</si>
  <si>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</si>
  <si>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</si>
  <si>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</si>
  <si>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</si>
  <si>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</si>
  <si>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</si>
  <si>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</si>
  <si>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</si>
  <si>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</si>
  <si>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</si>
  <si>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</si>
  <si>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</si>
  <si>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</si>
  <si>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</si>
  <si>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</si>
  <si>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</si>
  <si>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</si>
  <si>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</si>
  <si>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</si>
  <si>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</si>
  <si>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</si>
  <si>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</si>
  <si>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</si>
  <si>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</si>
  <si>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</si>
  <si>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</si>
  <si>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</si>
  <si>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</si>
  <si>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</si>
  <si>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</si>
  <si>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</si>
  <si>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</si>
  <si>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</si>
  <si>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</si>
  <si>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</si>
  <si>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</si>
  <si>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</si>
  <si>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</si>
  <si>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</si>
  <si>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</si>
  <si>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</si>
  <si>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</si>
  <si>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</si>
  <si>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</si>
  <si>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</si>
  <si>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</si>
  <si>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</si>
  <si>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</si>
  <si>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</si>
  <si>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</si>
  <si>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</si>
  <si>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</si>
  <si>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</si>
  <si>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</si>
  <si>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</si>
  <si>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</si>
  <si>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</si>
  <si>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</si>
  <si>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</si>
  <si>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</si>
  <si>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</si>
  <si>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</si>
  <si>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</si>
  <si>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</si>
  <si>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</si>
  <si>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</si>
  <si>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</si>
  <si>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</si>
  <si>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</si>
  <si>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</si>
  <si>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</si>
  <si>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</si>
  <si>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</si>
  <si>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Transportation: Energy Use by Mode: Recreational Boats: Alternative Transportation</t>
  </si>
  <si>
    <t>AEO.2025.ALTTRNP.CNSM_NA_TRN_RBT_USE_NA_NA_QBTU.A</t>
  </si>
  <si>
    <t>Transportation: Energy Use by Mode: Air: Alternative Transportation</t>
  </si>
  <si>
    <t>AEO.2025.ALTTRNP.CNSM_NA_TRN_AIR_USE_NA_NA_QBTU.A</t>
  </si>
  <si>
    <t>Transportation: Energy Use by Mode: Military Use: Alternative Transportation</t>
  </si>
  <si>
    <t>AEO.2025.ALTTRNP.CNSM_NA_TRN_MILU_USE_NA_NA_QBTU.A</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</si>
  <si>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</si>
  <si>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</si>
  <si>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</si>
  <si>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</si>
  <si>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</si>
  <si>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Transportation: Energy Use by Mode: Natural Gas for Liquefaction: Alternative Transportation</t>
  </si>
  <si>
    <t>AEO.2025.ALTTRNP.CNSM_NA_TRN_IDEI_LQFCT_NA_USA_QBTU.A</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</si>
  <si>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</si>
  <si>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</si>
  <si>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</si>
  <si>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</si>
  <si>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</si>
  <si>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</si>
  <si>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</si>
  <si>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</si>
  <si>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</si>
  <si>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</si>
  <si>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</si>
  <si>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</si>
  <si>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</si>
  <si>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</si>
  <si>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</si>
  <si>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</si>
  <si>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</si>
  <si>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</si>
  <si>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</si>
  <si>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</si>
  <si>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</si>
  <si>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</si>
  <si>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</si>
  <si>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</si>
  <si>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</si>
  <si>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</si>
  <si>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</si>
  <si>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</si>
  <si>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</si>
  <si>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</si>
  <si>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</si>
  <si>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</si>
  <si>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</si>
  <si>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</si>
  <si>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</si>
  <si>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</si>
  <si>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</si>
  <si>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</si>
  <si>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</si>
  <si>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</si>
  <si>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</si>
  <si>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</si>
  <si>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</si>
  <si>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</si>
  <si>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</si>
  <si>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</si>
  <si>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</si>
  <si>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</si>
  <si>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</si>
  <si>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</si>
  <si>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</si>
  <si>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</si>
  <si>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</si>
  <si>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</si>
  <si>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</si>
  <si>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Transportation: Electricity Prices: School Bus: Alternative Transportation</t>
  </si>
  <si>
    <t>Transportation: Electricity Prices: Transit Bus: Alternative Transportation</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</si>
  <si>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</si>
  <si>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</si>
  <si>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</si>
  <si>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</si>
  <si>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</si>
  <si>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</si>
  <si>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</si>
  <si>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</si>
  <si>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</si>
  <si>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</si>
  <si>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</si>
  <si>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</si>
  <si>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</si>
  <si>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</si>
  <si>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</si>
  <si>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</si>
  <si>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</si>
  <si>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</si>
  <si>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</si>
  <si>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</si>
  <si>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</si>
  <si>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</si>
  <si>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</si>
  <si>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</si>
  <si>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</si>
  <si>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</si>
  <si>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</si>
  <si>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Transportation: Natural Gas Prices: Compressed: Shipping: Domestic: Alternative Transportation</t>
  </si>
  <si>
    <t>AEO.2025.ALTTRNP.PRCE_NA_TRN_NA_CNG_DMS_NA_Y13DLRPMMBTU.A</t>
  </si>
  <si>
    <t>Transportation: Natural Gas Prices: Compressed: Shipping: International: Alternative Transportation</t>
  </si>
  <si>
    <t>AEO.2025.ALTTRNP.PRCE_NA_TRN_NA_CNG_INTA_NA_Y13DLRPMMBTU.A</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</si>
  <si>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</si>
  <si>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</si>
  <si>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</si>
  <si>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</si>
  <si>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</si>
  <si>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</si>
  <si>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</si>
  <si>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</si>
  <si>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</si>
  <si>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</si>
  <si>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</si>
  <si>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</si>
  <si>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</si>
  <si>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</si>
  <si>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PSGR STOCK</t>
  </si>
  <si>
    <t>FRGT STOCK</t>
  </si>
  <si>
    <t>PSGR AVLO</t>
  </si>
  <si>
    <t>FRGT AVLO</t>
  </si>
  <si>
    <t>PSGR BAADTVBT</t>
  </si>
  <si>
    <t>FRGT BAADTVBT</t>
  </si>
  <si>
    <t>PSGR % of STOCK</t>
  </si>
  <si>
    <t>FRGT % of STOCK</t>
  </si>
  <si>
    <t>PSGR fuel</t>
  </si>
  <si>
    <t>FRGT fuel</t>
  </si>
  <si>
    <t>PSGR FUEL ECONOMY</t>
  </si>
  <si>
    <t>FRGT FUEL ECONOMY</t>
  </si>
  <si>
    <t>Table A-94: Commercial Aviation Fuel Burn for the United States and Territories</t>
  </si>
  <si>
    <t>Year</t>
  </si>
  <si>
    <t>Region</t>
  </si>
  <si>
    <t>Distance Flown (nmi)</t>
  </si>
  <si>
    <t>Fuel Burn (Mgal)</t>
  </si>
  <si>
    <t>Fuel Burn (TBtu)</t>
  </si>
  <si>
    <t>Fuel Burn (Kg)</t>
  </si>
  <si>
    <t>CO2 (Tg)</t>
  </si>
  <si>
    <t>Domestic U.S. 50 States and U.S. Territories</t>
  </si>
  <si>
    <t>International U.S. 50 States and U.S. Territories</t>
  </si>
  <si>
    <t>Domestic U.S. 50 States</t>
  </si>
  <si>
    <t xml:space="preserve">International U.S. 50 States </t>
  </si>
  <si>
    <t>1995*</t>
  </si>
  <si>
    <t>N/A</t>
  </si>
  <si>
    <t>1996*</t>
  </si>
  <si>
    <t>1997*</t>
  </si>
  <si>
    <t>1998*</t>
  </si>
  <si>
    <t>1999*</t>
  </si>
  <si>
    <t>2001*</t>
  </si>
  <si>
    <t>2002*</t>
  </si>
  <si>
    <t>2003*</t>
  </si>
  <si>
    <t>2004*</t>
  </si>
  <si>
    <t>2006*</t>
  </si>
  <si>
    <t>2007*</t>
  </si>
  <si>
    <t>2008*</t>
  </si>
  <si>
    <t>2009*</t>
  </si>
  <si>
    <t>International U.S. 50 States</t>
  </si>
  <si>
    <t>*Estimates for these years were derived from previously reported tools and methods.</t>
  </si>
  <si>
    <t>% DOMESTIC</t>
  </si>
  <si>
    <t>Domestic Fuel 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</si>
</sst>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79">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s>
  <fills count="75">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8"/>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4" tint="0.79998168889431442"/>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5">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5" borderId="0" applyNumberFormat="0" applyBorder="0" applyAlignment="0" applyProtection="0"/>
    <xf numFmtId="0" fontId="59" fillId="36" borderId="0" applyNumberFormat="0" applyBorder="0" applyAlignment="0" applyProtection="0"/>
    <xf numFmtId="0" fontId="60" fillId="37" borderId="0" applyNumberFormat="0" applyBorder="0" applyAlignment="0" applyProtection="0"/>
    <xf numFmtId="0" fontId="61" fillId="38" borderId="25" applyNumberFormat="0" applyAlignment="0" applyProtection="0"/>
    <xf numFmtId="0" fontId="62" fillId="39" borderId="26" applyNumberFormat="0" applyAlignment="0" applyProtection="0"/>
    <xf numFmtId="0" fontId="63" fillId="39" borderId="25" applyNumberFormat="0" applyAlignment="0" applyProtection="0"/>
    <xf numFmtId="0" fontId="64" fillId="0" borderId="27" applyNumberFormat="0" applyFill="0" applyAlignment="0" applyProtection="0"/>
    <xf numFmtId="0" fontId="65" fillId="40"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68" fillId="44" borderId="0" applyNumberFormat="0" applyBorder="0" applyAlignment="0" applyProtection="0"/>
    <xf numFmtId="0" fontId="68" fillId="45" borderId="0" applyNumberFormat="0" applyBorder="0" applyAlignment="0" applyProtection="0"/>
    <xf numFmtId="0" fontId="1" fillId="46" borderId="0" applyNumberFormat="0" applyBorder="0" applyAlignment="0" applyProtection="0"/>
    <xf numFmtId="0" fontId="1" fillId="47" borderId="0" applyNumberFormat="0" applyBorder="0" applyAlignment="0" applyProtection="0"/>
    <xf numFmtId="0" fontId="68" fillId="48" borderId="0" applyNumberFormat="0" applyBorder="0" applyAlignment="0" applyProtection="0"/>
    <xf numFmtId="0" fontId="68"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68" fillId="52" borderId="0" applyNumberFormat="0" applyBorder="0" applyAlignment="0" applyProtection="0"/>
    <xf numFmtId="0" fontId="68" fillId="53" borderId="0" applyNumberFormat="0" applyBorder="0" applyAlignment="0" applyProtection="0"/>
    <xf numFmtId="0" fontId="1" fillId="54" borderId="0" applyNumberFormat="0" applyBorder="0" applyAlignment="0" applyProtection="0"/>
    <xf numFmtId="0" fontId="1" fillId="55" borderId="0" applyNumberFormat="0" applyBorder="0" applyAlignment="0" applyProtection="0"/>
    <xf numFmtId="0" fontId="68" fillId="56" borderId="0" applyNumberFormat="0" applyBorder="0" applyAlignment="0" applyProtection="0"/>
    <xf numFmtId="0" fontId="68" fillId="57" borderId="0" applyNumberFormat="0" applyBorder="0" applyAlignment="0" applyProtection="0"/>
    <xf numFmtId="0" fontId="1" fillId="58" borderId="0" applyNumberFormat="0" applyBorder="0" applyAlignment="0" applyProtection="0"/>
    <xf numFmtId="0" fontId="1" fillId="59" borderId="0" applyNumberFormat="0" applyBorder="0" applyAlignment="0" applyProtection="0"/>
    <xf numFmtId="0" fontId="68" fillId="60" borderId="0" applyNumberFormat="0" applyBorder="0" applyAlignment="0" applyProtection="0"/>
    <xf numFmtId="0" fontId="68"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68" fillId="64"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xf numFmtId="0" fontId="1" fillId="0" borderId="0"/>
  </cellStyleXfs>
  <cellXfs count="206">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10" fontId="0" fillId="32" borderId="0" xfId="0" applyNumberFormat="1" applyFill="1"/>
    <xf numFmtId="0" fontId="0" fillId="34" borderId="0" xfId="0" applyFill="1"/>
    <xf numFmtId="10" fontId="0" fillId="34" borderId="0" xfId="0" applyNumberFormat="1" applyFill="1"/>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5" borderId="0" xfId="0" applyFont="1" applyFill="1" applyAlignment="1">
      <alignment wrapText="1"/>
    </xf>
    <xf numFmtId="3" fontId="71" fillId="66" borderId="0" xfId="0" applyNumberFormat="1" applyFont="1" applyFill="1" applyAlignment="1">
      <alignment wrapText="1"/>
    </xf>
    <xf numFmtId="0" fontId="71" fillId="66" borderId="0" xfId="0" applyFont="1" applyFill="1" applyAlignment="1">
      <alignment wrapText="1"/>
    </xf>
    <xf numFmtId="173" fontId="71" fillId="65" borderId="0" xfId="154" applyNumberFormat="1" applyFont="1" applyFill="1" applyBorder="1" applyAlignment="1">
      <alignment wrapText="1"/>
    </xf>
    <xf numFmtId="37" fontId="71" fillId="65" borderId="0" xfId="154" applyNumberFormat="1" applyFont="1" applyFill="1" applyBorder="1" applyAlignment="1">
      <alignment wrapText="1"/>
    </xf>
    <xf numFmtId="37" fontId="71" fillId="66" borderId="0" xfId="154" applyNumberFormat="1" applyFont="1" applyFill="1" applyBorder="1" applyAlignment="1">
      <alignment wrapText="1"/>
    </xf>
    <xf numFmtId="3" fontId="71" fillId="65" borderId="0" xfId="0" applyNumberFormat="1" applyFont="1" applyFill="1" applyAlignment="1">
      <alignment wrapText="1"/>
    </xf>
    <xf numFmtId="165" fontId="71" fillId="65"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6" borderId="0" xfId="154" applyNumberFormat="1" applyFont="1" applyFill="1"/>
    <xf numFmtId="43" fontId="72" fillId="0" borderId="0" xfId="154" applyFont="1"/>
    <xf numFmtId="37" fontId="72" fillId="66" borderId="0" xfId="154" applyNumberFormat="1" applyFont="1" applyFill="1"/>
    <xf numFmtId="37" fontId="72" fillId="0" borderId="0" xfId="154" applyNumberFormat="1" applyFont="1" applyBorder="1"/>
    <xf numFmtId="165" fontId="72" fillId="0" borderId="0" xfId="0" applyNumberFormat="1" applyFont="1"/>
    <xf numFmtId="3" fontId="0" fillId="66" borderId="0" xfId="0" applyNumberFormat="1" applyFill="1"/>
    <xf numFmtId="0" fontId="0" fillId="66" borderId="0" xfId="0" applyFill="1"/>
    <xf numFmtId="0" fontId="71" fillId="67" borderId="0" xfId="78" applyFont="1" applyFill="1"/>
    <xf numFmtId="0" fontId="71" fillId="67" borderId="0" xfId="78" applyFont="1" applyFill="1" applyAlignment="1">
      <alignment horizontal="left" wrapText="1"/>
    </xf>
    <xf numFmtId="174" fontId="71" fillId="67" borderId="0" xfId="78" applyNumberFormat="1" applyFont="1" applyFill="1" applyAlignment="1">
      <alignment horizontal="left" wrapText="1"/>
    </xf>
    <xf numFmtId="175" fontId="71" fillId="67" borderId="0" xfId="78" applyNumberFormat="1" applyFont="1" applyFill="1" applyAlignment="1">
      <alignment horizontal="left" wrapText="1"/>
    </xf>
    <xf numFmtId="0" fontId="71" fillId="67" borderId="0" xfId="78" applyFont="1" applyFill="1" applyAlignment="1">
      <alignment wrapText="1"/>
    </xf>
    <xf numFmtId="3" fontId="71" fillId="67"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7" borderId="30" xfId="78" applyFont="1" applyFill="1" applyBorder="1" applyAlignment="1">
      <alignment wrapText="1"/>
    </xf>
    <xf numFmtId="2" fontId="71" fillId="67"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6" borderId="0" xfId="0" applyFont="1" applyFill="1"/>
    <xf numFmtId="0" fontId="2" fillId="31" borderId="0" xfId="0" applyFont="1" applyFill="1"/>
    <xf numFmtId="0" fontId="0" fillId="31" borderId="0" xfId="0" applyFill="1"/>
    <xf numFmtId="0" fontId="2" fillId="68" borderId="0" xfId="0" applyFont="1" applyFill="1"/>
    <xf numFmtId="0" fontId="0" fillId="68" borderId="0" xfId="0" applyFill="1"/>
    <xf numFmtId="173" fontId="0" fillId="0" borderId="0" xfId="154" applyNumberFormat="1" applyFont="1"/>
    <xf numFmtId="0" fontId="74" fillId="0" borderId="0" xfId="0" applyFont="1" applyAlignment="1">
      <alignment vertical="center"/>
    </xf>
    <xf numFmtId="0" fontId="2" fillId="69" borderId="0" xfId="0" applyFont="1" applyFill="1"/>
    <xf numFmtId="0" fontId="75" fillId="0" borderId="0" xfId="0" applyFont="1"/>
    <xf numFmtId="176" fontId="0" fillId="69" borderId="0" xfId="154" applyNumberFormat="1" applyFont="1" applyFill="1"/>
    <xf numFmtId="173" fontId="0" fillId="69" borderId="0" xfId="154" applyNumberFormat="1" applyFont="1" applyFill="1"/>
    <xf numFmtId="0" fontId="0" fillId="69"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70" borderId="0" xfId="0" applyFont="1" applyFill="1"/>
    <xf numFmtId="0" fontId="4" fillId="70" borderId="4" xfId="197" applyFont="1" applyFill="1">
      <alignment wrapText="1"/>
    </xf>
    <xf numFmtId="4" fontId="4" fillId="70" borderId="4" xfId="197" applyNumberFormat="1" applyFont="1" applyFill="1" applyAlignment="1">
      <alignment horizontal="right" wrapText="1"/>
    </xf>
    <xf numFmtId="164" fontId="4" fillId="70" borderId="4" xfId="197" applyNumberFormat="1" applyFont="1" applyFill="1" applyAlignment="1">
      <alignment horizontal="right" wrapText="1"/>
    </xf>
    <xf numFmtId="0" fontId="4" fillId="70" borderId="0" xfId="0" applyFont="1" applyFill="1"/>
    <xf numFmtId="0" fontId="0" fillId="70" borderId="0" xfId="0" applyFill="1"/>
    <xf numFmtId="0" fontId="0" fillId="71" borderId="0" xfId="0" applyFill="1" applyAlignment="1">
      <alignment horizontal="right" wrapText="1"/>
    </xf>
    <xf numFmtId="0" fontId="0" fillId="29" borderId="0" xfId="0" applyFill="1"/>
    <xf numFmtId="0" fontId="0" fillId="72" borderId="0" xfId="0" applyFill="1"/>
    <xf numFmtId="0" fontId="1" fillId="0" borderId="0" xfId="204"/>
    <xf numFmtId="10" fontId="1" fillId="0" borderId="0" xfId="204" applyNumberFormat="1"/>
    <xf numFmtId="0" fontId="1" fillId="28" borderId="0" xfId="204" applyFill="1"/>
    <xf numFmtId="10" fontId="1" fillId="28" borderId="0" xfId="204" applyNumberFormat="1" applyFill="1"/>
    <xf numFmtId="0" fontId="1" fillId="73" borderId="0" xfId="204" applyFill="1"/>
    <xf numFmtId="10" fontId="1" fillId="73" borderId="0" xfId="204" applyNumberFormat="1" applyFill="1"/>
    <xf numFmtId="0" fontId="0" fillId="73" borderId="0" xfId="0" applyFill="1"/>
    <xf numFmtId="11" fontId="0" fillId="73" borderId="0" xfId="0" applyNumberFormat="1" applyFill="1"/>
    <xf numFmtId="49" fontId="43"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0" applyFont="1" applyAlignment="1">
      <alignment wrapText="1"/>
    </xf>
    <xf numFmtId="0" fontId="44" fillId="0" borderId="0" xfId="131" applyFont="1" applyAlignment="1">
      <alignment wrapText="1"/>
    </xf>
    <xf numFmtId="0" fontId="43" fillId="0" borderId="0" xfId="133" applyFont="1" applyAlignment="1">
      <alignment wrapText="1"/>
    </xf>
    <xf numFmtId="0" fontId="45" fillId="0" borderId="0" xfId="131" applyFont="1" applyAlignment="1">
      <alignment wrapText="1"/>
    </xf>
    <xf numFmtId="0" fontId="43" fillId="0" borderId="0" xfId="133" applyFont="1" applyAlignment="1">
      <alignment horizontal="left" wrapText="1"/>
    </xf>
    <xf numFmtId="0" fontId="44" fillId="0" borderId="0" xfId="0"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0" applyFont="1"/>
    <xf numFmtId="0" fontId="45" fillId="0" borderId="0" xfId="133" applyFont="1" applyAlignment="1">
      <alignment wrapText="1"/>
    </xf>
    <xf numFmtId="3" fontId="0" fillId="28" borderId="0" xfId="0" applyNumberFormat="1" applyFill="1"/>
    <xf numFmtId="0" fontId="2" fillId="74" borderId="0" xfId="0" applyFont="1" applyFill="1"/>
    <xf numFmtId="11" fontId="0" fillId="74" borderId="0" xfId="155" applyNumberFormat="1" applyFont="1" applyFill="1" applyAlignment="1">
      <alignment horizontal="right"/>
    </xf>
    <xf numFmtId="173" fontId="0" fillId="0" borderId="0" xfId="154" applyNumberFormat="1" applyFont="1" applyFill="1"/>
  </cellXfs>
  <cellStyles count="205">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6 3" xfId="204" xr:uid="{32C0E907-0E20-4EA5-B26A-9121F8D04478}"/>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2.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topLeftCell="A24" workbookViewId="0">
      <selection activeCell="B30" sqref="B30"/>
    </sheetView>
  </sheetViews>
  <sheetFormatPr defaultRowHeight="14.75"/>
  <cols>
    <col min="1" max="1" width="13.40625" customWidth="1"/>
    <col min="2" max="2" width="68.7265625" customWidth="1"/>
  </cols>
  <sheetData>
    <row r="1" spans="1:2">
      <c r="A1" s="1" t="s">
        <v>218</v>
      </c>
    </row>
    <row r="3" spans="1:2">
      <c r="A3" s="1" t="s">
        <v>0</v>
      </c>
      <c r="B3" s="2" t="s">
        <v>158</v>
      </c>
    </row>
    <row r="4" spans="1:2">
      <c r="B4" t="s">
        <v>132</v>
      </c>
    </row>
    <row r="5" spans="1:2">
      <c r="B5" s="4">
        <v>2023</v>
      </c>
    </row>
    <row r="6" spans="1:2">
      <c r="B6" t="s">
        <v>1061</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666</v>
      </c>
    </row>
    <row r="28" spans="2:2">
      <c r="B28" t="s">
        <v>667</v>
      </c>
    </row>
    <row r="29" spans="2:2">
      <c r="B29" s="4">
        <v>2023</v>
      </c>
    </row>
    <row r="30" spans="2:2">
      <c r="B30" t="s">
        <v>668</v>
      </c>
    </row>
    <row r="32" spans="2:2">
      <c r="B32" s="2" t="s">
        <v>669</v>
      </c>
    </row>
    <row r="33" spans="1:2">
      <c r="B33" t="s">
        <v>670</v>
      </c>
    </row>
    <row r="34" spans="1:2">
      <c r="B34" t="s">
        <v>671</v>
      </c>
    </row>
    <row r="35" spans="1:2">
      <c r="B35">
        <v>2020</v>
      </c>
    </row>
    <row r="36" spans="1:2">
      <c r="B36" s="18" t="s">
        <v>672</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1425</v>
      </c>
      <c r="B88">
        <v>2023</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4.75"/>
  <cols>
    <col min="1" max="1" width="44.40625" customWidth="1"/>
    <col min="2" max="2" width="12.54296875" customWidth="1"/>
  </cols>
  <sheetData>
    <row r="1" spans="1:3">
      <c r="A1" t="s">
        <v>636</v>
      </c>
    </row>
    <row r="3" spans="1:3">
      <c r="A3" t="s">
        <v>635</v>
      </c>
      <c r="B3">
        <v>2020</v>
      </c>
      <c r="C3">
        <v>2021</v>
      </c>
    </row>
    <row r="4" spans="1:3">
      <c r="A4" t="s">
        <v>634</v>
      </c>
      <c r="B4">
        <v>937</v>
      </c>
      <c r="C4" s="68">
        <v>1029</v>
      </c>
    </row>
    <row r="5" spans="1:3">
      <c r="A5" t="s">
        <v>618</v>
      </c>
      <c r="B5">
        <v>328</v>
      </c>
      <c r="C5">
        <v>361</v>
      </c>
    </row>
    <row r="6" spans="1:3">
      <c r="A6" t="s">
        <v>617</v>
      </c>
      <c r="B6">
        <v>566</v>
      </c>
      <c r="C6">
        <v>620</v>
      </c>
    </row>
    <row r="7" spans="1:3">
      <c r="A7" t="s">
        <v>620</v>
      </c>
      <c r="B7">
        <v>24</v>
      </c>
      <c r="C7">
        <v>27</v>
      </c>
    </row>
    <row r="8" spans="1:3">
      <c r="A8" t="s">
        <v>337</v>
      </c>
      <c r="B8">
        <v>3</v>
      </c>
      <c r="C8">
        <v>3</v>
      </c>
    </row>
    <row r="9" spans="1:3">
      <c r="A9" t="s">
        <v>336</v>
      </c>
      <c r="B9">
        <v>7</v>
      </c>
      <c r="C9">
        <v>7</v>
      </c>
    </row>
    <row r="10" spans="1:3">
      <c r="A10" t="s">
        <v>632</v>
      </c>
      <c r="B10">
        <v>10</v>
      </c>
      <c r="C10">
        <v>11</v>
      </c>
    </row>
    <row r="11" spans="1:3">
      <c r="A11" t="s">
        <v>633</v>
      </c>
      <c r="B11">
        <v>455</v>
      </c>
      <c r="C11">
        <v>488</v>
      </c>
    </row>
    <row r="12" spans="1:3">
      <c r="A12" t="s">
        <v>618</v>
      </c>
      <c r="B12">
        <v>3</v>
      </c>
      <c r="C12">
        <v>3</v>
      </c>
    </row>
    <row r="13" spans="1:3">
      <c r="A13" t="s">
        <v>617</v>
      </c>
      <c r="B13">
        <v>30</v>
      </c>
      <c r="C13">
        <v>33</v>
      </c>
    </row>
    <row r="14" spans="1:3">
      <c r="A14" t="s">
        <v>620</v>
      </c>
      <c r="B14">
        <v>353</v>
      </c>
      <c r="C14">
        <v>380</v>
      </c>
    </row>
    <row r="15" spans="1:3">
      <c r="A15" t="s">
        <v>337</v>
      </c>
      <c r="B15">
        <v>20</v>
      </c>
      <c r="C15">
        <v>21</v>
      </c>
    </row>
    <row r="16" spans="1:3">
      <c r="A16" t="s">
        <v>180</v>
      </c>
      <c r="B16">
        <v>31</v>
      </c>
      <c r="C16">
        <v>32</v>
      </c>
    </row>
    <row r="17" spans="1:3">
      <c r="A17" t="s">
        <v>632</v>
      </c>
      <c r="B17">
        <v>3</v>
      </c>
      <c r="C17">
        <v>3</v>
      </c>
    </row>
    <row r="18" spans="1:3">
      <c r="A18" t="s">
        <v>631</v>
      </c>
      <c r="B18">
        <v>8</v>
      </c>
      <c r="C18">
        <v>8</v>
      </c>
    </row>
    <row r="19" spans="1:3">
      <c r="A19" t="s">
        <v>625</v>
      </c>
      <c r="B19">
        <v>8</v>
      </c>
      <c r="C19">
        <v>7</v>
      </c>
    </row>
    <row r="20" spans="1:3">
      <c r="A20" t="s">
        <v>319</v>
      </c>
      <c r="B20">
        <v>160</v>
      </c>
      <c r="C20">
        <v>203</v>
      </c>
    </row>
    <row r="21" spans="1:3">
      <c r="A21" t="s">
        <v>630</v>
      </c>
      <c r="B21">
        <v>91</v>
      </c>
      <c r="C21">
        <v>119</v>
      </c>
    </row>
    <row r="22" spans="1:3">
      <c r="A22" t="s">
        <v>629</v>
      </c>
      <c r="B22">
        <v>12</v>
      </c>
      <c r="C22">
        <v>13</v>
      </c>
    </row>
    <row r="23" spans="1:3">
      <c r="A23" t="s">
        <v>627</v>
      </c>
      <c r="B23">
        <v>18</v>
      </c>
      <c r="C23">
        <v>21</v>
      </c>
    </row>
    <row r="24" spans="1:3">
      <c r="A24" t="s">
        <v>625</v>
      </c>
      <c r="B24">
        <v>40</v>
      </c>
      <c r="C24">
        <v>51</v>
      </c>
    </row>
    <row r="25" spans="1:3">
      <c r="A25" t="s">
        <v>628</v>
      </c>
      <c r="B25">
        <v>37</v>
      </c>
      <c r="C25">
        <v>48</v>
      </c>
    </row>
    <row r="26" spans="1:3">
      <c r="A26" t="s">
        <v>320</v>
      </c>
      <c r="B26">
        <v>1</v>
      </c>
      <c r="C26">
        <v>1</v>
      </c>
    </row>
    <row r="27" spans="1:3">
      <c r="A27" t="s">
        <v>627</v>
      </c>
      <c r="B27">
        <v>1</v>
      </c>
      <c r="C27">
        <v>1</v>
      </c>
    </row>
    <row r="28" spans="1:3">
      <c r="A28" t="s">
        <v>315</v>
      </c>
      <c r="B28">
        <v>29</v>
      </c>
      <c r="C28">
        <v>46</v>
      </c>
    </row>
    <row r="29" spans="1:3">
      <c r="A29" t="s">
        <v>626</v>
      </c>
      <c r="B29">
        <v>7</v>
      </c>
      <c r="C29">
        <v>24</v>
      </c>
    </row>
    <row r="30" spans="1:3">
      <c r="A30" t="s">
        <v>625</v>
      </c>
      <c r="B30">
        <v>22</v>
      </c>
      <c r="C30">
        <v>22</v>
      </c>
    </row>
    <row r="31" spans="1:3">
      <c r="A31" t="s">
        <v>624</v>
      </c>
      <c r="B31">
        <v>59</v>
      </c>
      <c r="C31">
        <v>65</v>
      </c>
    </row>
    <row r="32" spans="1:3">
      <c r="A32" t="s">
        <v>618</v>
      </c>
      <c r="B32">
        <v>0</v>
      </c>
      <c r="C32">
        <v>0</v>
      </c>
    </row>
    <row r="33" spans="1:3">
      <c r="A33" t="s">
        <v>617</v>
      </c>
      <c r="B33">
        <v>0</v>
      </c>
      <c r="C33">
        <v>0</v>
      </c>
    </row>
    <row r="34" spans="1:3">
      <c r="A34" t="s">
        <v>623</v>
      </c>
      <c r="B34">
        <v>0</v>
      </c>
      <c r="C34">
        <v>0</v>
      </c>
    </row>
    <row r="35" spans="1:3">
      <c r="A35" t="s">
        <v>337</v>
      </c>
      <c r="B35">
        <v>1</v>
      </c>
      <c r="C35">
        <v>1</v>
      </c>
    </row>
    <row r="36" spans="1:3">
      <c r="A36" t="s">
        <v>622</v>
      </c>
      <c r="B36">
        <v>58</v>
      </c>
      <c r="C36">
        <v>64</v>
      </c>
    </row>
    <row r="37" spans="1:3">
      <c r="A37" t="s">
        <v>621</v>
      </c>
      <c r="B37">
        <v>0</v>
      </c>
      <c r="C37">
        <v>0</v>
      </c>
    </row>
    <row r="38" spans="1:3">
      <c r="A38" t="s">
        <v>618</v>
      </c>
      <c r="B38">
        <v>0</v>
      </c>
      <c r="C38">
        <v>0</v>
      </c>
    </row>
    <row r="39" spans="1:3">
      <c r="A39" t="s">
        <v>617</v>
      </c>
      <c r="B39">
        <v>0</v>
      </c>
      <c r="C39">
        <v>0</v>
      </c>
    </row>
    <row r="40" spans="1:3">
      <c r="A40" t="s">
        <v>620</v>
      </c>
      <c r="B40">
        <v>0</v>
      </c>
      <c r="C40">
        <v>0</v>
      </c>
    </row>
    <row r="41" spans="1:3">
      <c r="A41" t="s">
        <v>337</v>
      </c>
      <c r="B41">
        <v>0</v>
      </c>
      <c r="C41">
        <v>0</v>
      </c>
    </row>
    <row r="42" spans="1:3">
      <c r="A42" t="s">
        <v>619</v>
      </c>
      <c r="B42">
        <v>4</v>
      </c>
      <c r="C42">
        <v>5</v>
      </c>
    </row>
    <row r="43" spans="1:3">
      <c r="A43" t="s">
        <v>618</v>
      </c>
      <c r="B43">
        <v>1</v>
      </c>
      <c r="C43">
        <v>2</v>
      </c>
    </row>
    <row r="44" spans="1:3">
      <c r="A44" t="s">
        <v>617</v>
      </c>
      <c r="B44">
        <v>0</v>
      </c>
      <c r="C44">
        <v>1</v>
      </c>
    </row>
    <row r="45" spans="1:3">
      <c r="A45" t="s">
        <v>337</v>
      </c>
      <c r="B45">
        <v>0</v>
      </c>
      <c r="C45">
        <v>0</v>
      </c>
    </row>
    <row r="46" spans="1:3">
      <c r="A46" t="s">
        <v>180</v>
      </c>
      <c r="B46">
        <v>2</v>
      </c>
      <c r="C46">
        <v>2</v>
      </c>
    </row>
    <row r="47" spans="1:3">
      <c r="A47" t="s">
        <v>616</v>
      </c>
      <c r="B47">
        <v>68.099999999999994</v>
      </c>
      <c r="C47">
        <v>75.400000000000006</v>
      </c>
    </row>
    <row r="48" spans="1:3">
      <c r="A48" t="s">
        <v>615</v>
      </c>
      <c r="B48">
        <v>70</v>
      </c>
      <c r="C48">
        <v>80</v>
      </c>
    </row>
    <row r="49" spans="1:3">
      <c r="A49" t="s">
        <v>614</v>
      </c>
      <c r="B49">
        <v>68.099999999999994</v>
      </c>
      <c r="C49">
        <v>75.400000000000006</v>
      </c>
    </row>
    <row r="50" spans="1:3">
      <c r="A50" t="s">
        <v>613</v>
      </c>
      <c r="B50">
        <v>17.7</v>
      </c>
      <c r="C50">
        <v>16.100000000000001</v>
      </c>
    </row>
    <row r="51" spans="1:3">
      <c r="A51" t="s">
        <v>612</v>
      </c>
    </row>
    <row r="52" spans="1:3">
      <c r="A52" t="s">
        <v>611</v>
      </c>
    </row>
    <row r="53" spans="1:3">
      <c r="A53" t="s">
        <v>610</v>
      </c>
    </row>
    <row r="54" spans="1:3">
      <c r="A54" t="s">
        <v>609</v>
      </c>
    </row>
    <row r="55" spans="1:3">
      <c r="A55" t="s">
        <v>608</v>
      </c>
    </row>
    <row r="56" spans="1:3">
      <c r="A56" t="s">
        <v>607</v>
      </c>
    </row>
    <row r="57" spans="1:3">
      <c r="A57" t="s">
        <v>606</v>
      </c>
    </row>
    <row r="58" spans="1:3">
      <c r="A58" t="s">
        <v>605</v>
      </c>
    </row>
    <row r="59" spans="1:3">
      <c r="A59" t="s">
        <v>604</v>
      </c>
    </row>
    <row r="60" spans="1:3">
      <c r="A60" t="s">
        <v>603</v>
      </c>
    </row>
    <row r="61" spans="1:3">
      <c r="A61" t="s">
        <v>602</v>
      </c>
    </row>
    <row r="62" spans="1:3">
      <c r="A62" t="s">
        <v>601</v>
      </c>
    </row>
    <row r="63" spans="1:3">
      <c r="A63" t="s">
        <v>600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DAF9A-C19D-46D0-84A6-517051D8F958}">
  <dimension ref="B1:I11"/>
  <sheetViews>
    <sheetView workbookViewId="0"/>
  </sheetViews>
  <sheetFormatPr defaultRowHeight="14.75"/>
  <cols>
    <col min="2" max="2" width="19" customWidth="1"/>
    <col min="3" max="3" width="10.26953125" bestFit="1" customWidth="1"/>
    <col min="6" max="6" width="14" customWidth="1"/>
    <col min="7" max="7" width="8.54296875" bestFit="1" customWidth="1"/>
    <col min="8" max="8" width="8.7265625" customWidth="1"/>
    <col min="9" max="9" width="12" customWidth="1"/>
  </cols>
  <sheetData>
    <row r="1" spans="2:9">
      <c r="C1" t="s">
        <v>660</v>
      </c>
    </row>
    <row r="2" spans="2:9" ht="59">
      <c r="B2" t="s">
        <v>635</v>
      </c>
      <c r="C2">
        <v>2020</v>
      </c>
      <c r="D2">
        <v>2021</v>
      </c>
      <c r="F2" s="5" t="s">
        <v>637</v>
      </c>
      <c r="G2" s="5" t="s">
        <v>661</v>
      </c>
      <c r="H2" s="5" t="s">
        <v>664</v>
      </c>
      <c r="I2" s="72" t="s">
        <v>665</v>
      </c>
    </row>
    <row r="3" spans="2:9">
      <c r="B3" s="69" t="s">
        <v>634</v>
      </c>
      <c r="I3" s="73"/>
    </row>
    <row r="4" spans="2:9">
      <c r="B4" t="s">
        <v>337</v>
      </c>
      <c r="C4" s="30">
        <f>'EPA_Table 3-13'!B8*10^12</f>
        <v>3000000000000</v>
      </c>
      <c r="D4" s="30">
        <f>'EPA_Table 3-13'!C8*10^12</f>
        <v>3000000000000</v>
      </c>
      <c r="F4">
        <f>'PEI-TFPEI-HDVs'!D2</f>
        <v>7.2920703974688528E-2</v>
      </c>
      <c r="G4" s="30">
        <f>C4/F4</f>
        <v>41140579238529.141</v>
      </c>
      <c r="H4">
        <f>'AVLo-passengers'!B3*'BAADTbVT-passenger'!B3*'SYVbT-passenger'!D3</f>
        <v>38056588531.850746</v>
      </c>
      <c r="I4" s="74">
        <f>H4/G4</f>
        <v>9.250377422058715E-4</v>
      </c>
    </row>
    <row r="5" spans="2:9">
      <c r="B5" s="69" t="s">
        <v>633</v>
      </c>
      <c r="C5" s="70"/>
      <c r="D5" s="70"/>
      <c r="I5" s="73"/>
    </row>
    <row r="6" spans="2:9">
      <c r="B6" t="s">
        <v>337</v>
      </c>
      <c r="C6" s="30">
        <f>'EPA_Table 3-13'!B15*10^12</f>
        <v>20000000000000</v>
      </c>
      <c r="D6" s="30">
        <f>'EPA_Table 3-13'!C15*10^12</f>
        <v>21000000000000</v>
      </c>
      <c r="F6">
        <f>'PEI-TFPEI-HDVs'!E2</f>
        <v>7.4215991692627201E-2</v>
      </c>
      <c r="G6" s="30">
        <f>C6/F6</f>
        <v>269483699454316.53</v>
      </c>
      <c r="H6">
        <f>'AVLo-passengers'!B3*'BAADTbVT-passenger'!B3*'SYVbT-passenger'!E3</f>
        <v>272323770932.5213</v>
      </c>
      <c r="I6" s="74">
        <f>H6/G6</f>
        <v>1.0105389360616456E-3</v>
      </c>
    </row>
    <row r="7" spans="2:9">
      <c r="B7" s="69" t="s">
        <v>624</v>
      </c>
      <c r="C7" s="70"/>
      <c r="D7" s="70"/>
      <c r="I7" s="73"/>
    </row>
    <row r="8" spans="2:9">
      <c r="B8" t="s">
        <v>337</v>
      </c>
      <c r="C8" s="30">
        <f>'EPA_Table 3-13'!B35*10^12</f>
        <v>1000000000000</v>
      </c>
      <c r="D8" s="30">
        <f>'EPA_Table 3-13'!C35*10^12</f>
        <v>1000000000000</v>
      </c>
      <c r="F8">
        <f>'PEI-TFPEI-HDVs'!C2</f>
        <v>5.2751937984496129E-2</v>
      </c>
      <c r="G8" s="30">
        <f>C8/F8</f>
        <v>18956649522409.992</v>
      </c>
      <c r="H8">
        <f>'AVLo-passengers'!B3*'BAADTbVT-passenger'!B3*'SYVbT-passenger'!C3</f>
        <v>47742313351.240959</v>
      </c>
      <c r="I8" s="74">
        <f>H8/G8</f>
        <v>2.5184995531410443E-3</v>
      </c>
    </row>
    <row r="9" spans="2:9">
      <c r="B9" s="69" t="s">
        <v>621</v>
      </c>
      <c r="C9" s="70"/>
      <c r="D9" s="70"/>
    </row>
    <row r="10" spans="2:9">
      <c r="B10" t="s">
        <v>337</v>
      </c>
      <c r="C10" s="71">
        <f>'EPA_Table 3-13'!B41</f>
        <v>0</v>
      </c>
      <c r="D10" s="71">
        <f>'EPA_Table 3-13'!C41</f>
        <v>0</v>
      </c>
      <c r="F10">
        <f>'PEI-TFPEI-HDVs'!J2</f>
        <v>6.7030064624894622E-2</v>
      </c>
    </row>
    <row r="11" spans="2:9">
      <c r="B11" s="6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4.75"/>
  <sheetData>
    <row r="1" spans="1:3">
      <c r="A1" t="s">
        <v>662</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4.75"/>
  <sheetData>
    <row r="1" spans="1:3">
      <c r="A1" t="s">
        <v>663</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4.75"/>
  <cols>
    <col min="4" max="5" width="12.26953125" bestFit="1" customWidth="1"/>
    <col min="9" max="9" width="12.54296875" customWidth="1"/>
    <col min="10" max="10" width="13.1328125" customWidth="1"/>
  </cols>
  <sheetData>
    <row r="1" spans="1:11" s="60" customFormat="1" ht="44.25">
      <c r="A1" s="1" t="s">
        <v>637</v>
      </c>
      <c r="B1" s="5" t="s">
        <v>638</v>
      </c>
      <c r="C1" s="5" t="s">
        <v>639</v>
      </c>
      <c r="D1" s="5" t="s">
        <v>640</v>
      </c>
      <c r="E1" s="5" t="s">
        <v>641</v>
      </c>
      <c r="F1" s="5" t="s">
        <v>642</v>
      </c>
      <c r="G1" s="5" t="s">
        <v>643</v>
      </c>
      <c r="H1" s="5" t="s">
        <v>644</v>
      </c>
      <c r="I1" s="5" t="s">
        <v>645</v>
      </c>
      <c r="J1" s="5" t="s">
        <v>646</v>
      </c>
      <c r="K1" s="5" t="s">
        <v>647</v>
      </c>
    </row>
    <row r="2" spans="1:11">
      <c r="A2" s="1" t="s">
        <v>648</v>
      </c>
      <c r="B2" s="1">
        <v>0</v>
      </c>
      <c r="C2" s="1">
        <v>5.2751937984496129E-2</v>
      </c>
      <c r="D2" s="1">
        <v>7.2920703974688528E-2</v>
      </c>
      <c r="E2" s="1">
        <v>7.4215991692627201E-2</v>
      </c>
      <c r="F2" s="1">
        <v>0</v>
      </c>
      <c r="G2" s="1">
        <v>0</v>
      </c>
      <c r="H2" s="1">
        <v>0</v>
      </c>
      <c r="I2" s="1">
        <v>0</v>
      </c>
      <c r="J2" s="1">
        <v>6.7030064624894622E-2</v>
      </c>
      <c r="K2" s="1">
        <v>0</v>
      </c>
    </row>
    <row r="3" spans="1:11">
      <c r="A3" t="s">
        <v>649</v>
      </c>
      <c r="B3">
        <v>0</v>
      </c>
      <c r="C3">
        <v>2.0116526890559725E-5</v>
      </c>
      <c r="D3">
        <v>4.9544715566101007E-5</v>
      </c>
      <c r="E3">
        <v>1.712788652906486E-5</v>
      </c>
      <c r="F3">
        <v>4.9544715566101007E-5</v>
      </c>
      <c r="G3">
        <v>1.712788652906486E-5</v>
      </c>
      <c r="H3">
        <v>0</v>
      </c>
      <c r="I3">
        <v>0</v>
      </c>
      <c r="J3">
        <v>1.8676184885610936E-5</v>
      </c>
      <c r="K3">
        <v>0</v>
      </c>
    </row>
    <row r="4" spans="1:11">
      <c r="A4" t="s">
        <v>650</v>
      </c>
      <c r="B4">
        <v>0</v>
      </c>
      <c r="C4">
        <v>1.1140697877224882E-3</v>
      </c>
      <c r="D4">
        <v>1.0281418755433811E-3</v>
      </c>
      <c r="E4">
        <v>7.8217123254521457E-5</v>
      </c>
      <c r="F4">
        <v>1.0281418755433811E-3</v>
      </c>
      <c r="G4">
        <v>7.8217123254521457E-5</v>
      </c>
      <c r="H4">
        <v>0</v>
      </c>
      <c r="I4">
        <v>0</v>
      </c>
      <c r="J4">
        <v>3.2062705253674354E-5</v>
      </c>
      <c r="K4">
        <v>0</v>
      </c>
    </row>
    <row r="5" spans="1:11">
      <c r="A5" t="s">
        <v>651</v>
      </c>
      <c r="B5">
        <v>0</v>
      </c>
      <c r="C5">
        <v>6.3097541324135889E-5</v>
      </c>
      <c r="D5">
        <v>1.0277641947024967E-4</v>
      </c>
      <c r="E5">
        <v>2.4072356363157696E-4</v>
      </c>
      <c r="F5">
        <v>1.0277641947024967E-4</v>
      </c>
      <c r="G5">
        <v>2.4072356363157696E-4</v>
      </c>
      <c r="H5">
        <v>0</v>
      </c>
      <c r="I5">
        <v>0</v>
      </c>
      <c r="J5">
        <v>1.5703800433965642E-4</v>
      </c>
      <c r="K5">
        <v>0</v>
      </c>
    </row>
    <row r="6" spans="1:11">
      <c r="A6" t="s">
        <v>652</v>
      </c>
      <c r="B6">
        <v>0</v>
      </c>
      <c r="C6">
        <v>5.6883776142472345E-6</v>
      </c>
      <c r="D6">
        <v>6.1477987353266523E-6</v>
      </c>
      <c r="E6">
        <v>1.5480763810107913E-5</v>
      </c>
      <c r="F6">
        <v>6.1477987353266523E-6</v>
      </c>
      <c r="G6">
        <v>1.5480763810107913E-5</v>
      </c>
      <c r="H6">
        <v>0</v>
      </c>
      <c r="I6">
        <v>0</v>
      </c>
      <c r="J6">
        <v>5.2810901504427564E-7</v>
      </c>
      <c r="K6">
        <v>0</v>
      </c>
    </row>
    <row r="7" spans="1:11">
      <c r="A7" t="s">
        <v>653</v>
      </c>
      <c r="B7">
        <v>0</v>
      </c>
      <c r="C7">
        <v>2.7736291287811272E-6</v>
      </c>
      <c r="D7">
        <v>2.273617204210358E-6</v>
      </c>
      <c r="E7">
        <v>9.8509838913486975E-6</v>
      </c>
      <c r="F7">
        <v>2.273617204210358E-6</v>
      </c>
      <c r="G7">
        <v>9.8509838913486975E-6</v>
      </c>
      <c r="H7">
        <v>0</v>
      </c>
      <c r="I7">
        <v>0</v>
      </c>
      <c r="J7">
        <v>2.5750374652167907E-7</v>
      </c>
      <c r="K7">
        <v>0</v>
      </c>
    </row>
    <row r="8" spans="1:11">
      <c r="A8" t="s">
        <v>654</v>
      </c>
      <c r="B8">
        <v>0</v>
      </c>
      <c r="C8">
        <v>0</v>
      </c>
      <c r="D8">
        <v>7.7296863713074176E-7</v>
      </c>
      <c r="E8">
        <v>6.6613125184792967E-7</v>
      </c>
      <c r="F8">
        <v>7.7296863713074176E-7</v>
      </c>
      <c r="G8">
        <v>6.6613125184792967E-7</v>
      </c>
      <c r="H8">
        <v>0</v>
      </c>
      <c r="I8">
        <v>0</v>
      </c>
      <c r="J8">
        <v>0</v>
      </c>
      <c r="K8">
        <v>0</v>
      </c>
    </row>
    <row r="9" spans="1:11">
      <c r="A9" t="s">
        <v>655</v>
      </c>
      <c r="B9">
        <v>0</v>
      </c>
      <c r="C9">
        <v>2.2005086227935254E-7</v>
      </c>
      <c r="D9">
        <v>3.5502593940717002E-7</v>
      </c>
      <c r="E9">
        <v>4.9362700839501394E-6</v>
      </c>
      <c r="F9">
        <v>3.5502593940717002E-7</v>
      </c>
      <c r="G9">
        <v>4.9362700839501394E-6</v>
      </c>
      <c r="H9">
        <v>0</v>
      </c>
      <c r="I9">
        <v>0</v>
      </c>
      <c r="J9">
        <v>2.0429523498392262E-8</v>
      </c>
      <c r="K9">
        <v>0</v>
      </c>
    </row>
    <row r="10" spans="1:11">
      <c r="A10" t="s">
        <v>656</v>
      </c>
      <c r="B10">
        <v>0</v>
      </c>
      <c r="C10">
        <v>3.9999293880667245E-7</v>
      </c>
      <c r="D10">
        <v>1.0010432230231727E-6</v>
      </c>
      <c r="E10">
        <v>2.6892846474589374E-6</v>
      </c>
      <c r="F10">
        <v>1.0010432230231727E-6</v>
      </c>
      <c r="G10">
        <v>2.6892846474589374E-6</v>
      </c>
      <c r="H10">
        <v>0</v>
      </c>
      <c r="I10">
        <v>0</v>
      </c>
      <c r="J10">
        <v>3.7135347064298439E-8</v>
      </c>
      <c r="K10">
        <v>0</v>
      </c>
    </row>
    <row r="11" spans="1:11">
      <c r="A11" t="s">
        <v>657</v>
      </c>
      <c r="B11">
        <v>0</v>
      </c>
      <c r="C11">
        <v>9.9999999999999995E-7</v>
      </c>
      <c r="D11">
        <v>3.0000000000000001E-6</v>
      </c>
      <c r="E11">
        <v>3.0000000000000001E-6</v>
      </c>
      <c r="F11">
        <v>0</v>
      </c>
      <c r="G11">
        <v>0</v>
      </c>
      <c r="H11">
        <v>0</v>
      </c>
      <c r="I11">
        <v>0</v>
      </c>
      <c r="J11">
        <v>3.0000000000000001E-6</v>
      </c>
      <c r="K11">
        <v>0</v>
      </c>
    </row>
    <row r="12" spans="1:11">
      <c r="A12" t="s">
        <v>658</v>
      </c>
      <c r="B12">
        <v>0</v>
      </c>
      <c r="C12">
        <v>1.0000000000000001E-7</v>
      </c>
      <c r="D12">
        <v>5.9999999999999997E-7</v>
      </c>
      <c r="E12">
        <v>5.9999999999999997E-7</v>
      </c>
      <c r="F12">
        <v>0</v>
      </c>
      <c r="G12">
        <v>0</v>
      </c>
      <c r="H12">
        <v>0</v>
      </c>
      <c r="I12">
        <v>0</v>
      </c>
      <c r="J12">
        <v>5.9999999999999997E-7</v>
      </c>
      <c r="K12">
        <v>0</v>
      </c>
    </row>
    <row r="13" spans="1:11">
      <c r="A13" t="s">
        <v>659</v>
      </c>
      <c r="B13">
        <v>0</v>
      </c>
      <c r="C13">
        <v>0</v>
      </c>
      <c r="D13">
        <v>0</v>
      </c>
      <c r="E13">
        <v>0</v>
      </c>
      <c r="F13">
        <v>0</v>
      </c>
      <c r="G13">
        <v>0</v>
      </c>
      <c r="H13">
        <v>0</v>
      </c>
      <c r="I13">
        <v>0</v>
      </c>
      <c r="J13">
        <v>0</v>
      </c>
      <c r="K13">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heetViews>
  <sheetFormatPr defaultRowHeight="15" customHeight="1"/>
  <cols>
    <col min="1" max="1" width="11.7265625" customWidth="1"/>
    <col min="2" max="2" width="45.7265625" customWidth="1"/>
  </cols>
  <sheetData>
    <row r="1" spans="1:33" ht="15" customHeight="1" thickBot="1">
      <c r="B1" s="64" t="s">
        <v>1060</v>
      </c>
      <c r="C1" s="65">
        <v>2022</v>
      </c>
      <c r="D1" s="65">
        <v>2023</v>
      </c>
      <c r="E1" s="65">
        <v>2024</v>
      </c>
      <c r="F1" s="65">
        <v>2025</v>
      </c>
      <c r="G1" s="65">
        <v>2026</v>
      </c>
      <c r="H1" s="65">
        <v>2027</v>
      </c>
      <c r="I1" s="65">
        <v>2028</v>
      </c>
      <c r="J1" s="65">
        <v>2029</v>
      </c>
      <c r="K1" s="65">
        <v>2030</v>
      </c>
      <c r="L1" s="65">
        <v>2031</v>
      </c>
      <c r="M1" s="65">
        <v>2032</v>
      </c>
      <c r="N1" s="65">
        <v>2033</v>
      </c>
      <c r="O1" s="65">
        <v>2034</v>
      </c>
      <c r="P1" s="65">
        <v>2035</v>
      </c>
      <c r="Q1" s="65">
        <v>2036</v>
      </c>
      <c r="R1" s="65">
        <v>2037</v>
      </c>
      <c r="S1" s="65">
        <v>2038</v>
      </c>
      <c r="T1" s="65">
        <v>2039</v>
      </c>
      <c r="U1" s="65">
        <v>2040</v>
      </c>
      <c r="V1" s="65">
        <v>2041</v>
      </c>
      <c r="W1" s="65">
        <v>2042</v>
      </c>
      <c r="X1" s="65">
        <v>2043</v>
      </c>
      <c r="Y1" s="65">
        <v>2044</v>
      </c>
      <c r="Z1" s="65">
        <v>2045</v>
      </c>
      <c r="AA1" s="65">
        <v>2046</v>
      </c>
      <c r="AB1" s="65">
        <v>2047</v>
      </c>
      <c r="AC1" s="65">
        <v>2048</v>
      </c>
      <c r="AD1" s="65">
        <v>2049</v>
      </c>
      <c r="AE1" s="65">
        <v>2050</v>
      </c>
    </row>
    <row r="2" spans="1:33" ht="15" customHeight="1" thickTop="1"/>
    <row r="3" spans="1:33" ht="15" customHeight="1">
      <c r="C3" s="66" t="s">
        <v>109</v>
      </c>
      <c r="D3" s="66" t="s">
        <v>1061</v>
      </c>
      <c r="E3" s="136"/>
      <c r="F3" s="136"/>
      <c r="G3" s="136"/>
    </row>
    <row r="4" spans="1:33" ht="15" customHeight="1">
      <c r="C4" s="66" t="s">
        <v>108</v>
      </c>
      <c r="D4" s="66" t="s">
        <v>1062</v>
      </c>
      <c r="E4" s="136"/>
      <c r="F4" s="136"/>
      <c r="G4" s="66" t="s">
        <v>1063</v>
      </c>
    </row>
    <row r="5" spans="1:33" ht="15" customHeight="1">
      <c r="C5" s="66" t="s">
        <v>107</v>
      </c>
      <c r="D5" s="66" t="s">
        <v>1064</v>
      </c>
      <c r="E5" s="136"/>
      <c r="F5" s="136"/>
      <c r="G5" s="136"/>
    </row>
    <row r="6" spans="1:33" ht="15" customHeight="1">
      <c r="C6" s="66" t="s">
        <v>106</v>
      </c>
      <c r="D6" s="136"/>
      <c r="E6" s="66" t="s">
        <v>1065</v>
      </c>
      <c r="F6" s="136"/>
      <c r="G6" s="136"/>
    </row>
    <row r="7" spans="1:33" ht="12" customHeight="1"/>
    <row r="8" spans="1:33" ht="12" customHeight="1"/>
    <row r="9" spans="1:33" ht="12" customHeight="1">
      <c r="B9" s="137"/>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row>
    <row r="10" spans="1:33" ht="15" customHeight="1">
      <c r="A10" s="15" t="s">
        <v>105</v>
      </c>
      <c r="B10" s="138" t="s">
        <v>104</v>
      </c>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9" t="s">
        <v>1066</v>
      </c>
      <c r="AG10" s="137"/>
    </row>
    <row r="11" spans="1:33" ht="15" customHeight="1">
      <c r="B11" s="140"/>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9" t="s">
        <v>1067</v>
      </c>
      <c r="AG11" s="137"/>
    </row>
    <row r="12" spans="1:33" ht="15" customHeight="1">
      <c r="B12" s="140"/>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39" t="s">
        <v>1068</v>
      </c>
      <c r="AG12" s="137"/>
    </row>
    <row r="13" spans="1:33" ht="15" customHeight="1" thickBot="1">
      <c r="B13" s="142" t="s">
        <v>102</v>
      </c>
      <c r="C13" s="142">
        <v>2022</v>
      </c>
      <c r="D13" s="142">
        <v>2023</v>
      </c>
      <c r="E13" s="142">
        <v>2024</v>
      </c>
      <c r="F13" s="142">
        <v>2025</v>
      </c>
      <c r="G13" s="142">
        <v>2026</v>
      </c>
      <c r="H13" s="142">
        <v>2027</v>
      </c>
      <c r="I13" s="142">
        <v>2028</v>
      </c>
      <c r="J13" s="142">
        <v>2029</v>
      </c>
      <c r="K13" s="142">
        <v>2030</v>
      </c>
      <c r="L13" s="142">
        <v>2031</v>
      </c>
      <c r="M13" s="142">
        <v>2032</v>
      </c>
      <c r="N13" s="142">
        <v>2033</v>
      </c>
      <c r="O13" s="142">
        <v>2034</v>
      </c>
      <c r="P13" s="142">
        <v>2035</v>
      </c>
      <c r="Q13" s="142">
        <v>2036</v>
      </c>
      <c r="R13" s="142">
        <v>2037</v>
      </c>
      <c r="S13" s="142">
        <v>2038</v>
      </c>
      <c r="T13" s="142">
        <v>2039</v>
      </c>
      <c r="U13" s="142">
        <v>2040</v>
      </c>
      <c r="V13" s="142">
        <v>2041</v>
      </c>
      <c r="W13" s="142">
        <v>2042</v>
      </c>
      <c r="X13" s="142">
        <v>2043</v>
      </c>
      <c r="Y13" s="142">
        <v>2044</v>
      </c>
      <c r="Z13" s="142">
        <v>2045</v>
      </c>
      <c r="AA13" s="142">
        <v>2046</v>
      </c>
      <c r="AB13" s="142">
        <v>2047</v>
      </c>
      <c r="AC13" s="142">
        <v>2048</v>
      </c>
      <c r="AD13" s="142">
        <v>2049</v>
      </c>
      <c r="AE13" s="142">
        <v>2050</v>
      </c>
      <c r="AF13" s="143" t="s">
        <v>1069</v>
      </c>
      <c r="AG13" s="137"/>
    </row>
    <row r="14" spans="1:33" ht="15" customHeight="1" thickTop="1">
      <c r="B14" s="137"/>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row>
    <row r="15" spans="1:33" ht="15" customHeight="1">
      <c r="B15" s="144" t="s">
        <v>101</v>
      </c>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row>
    <row r="16" spans="1:33" ht="15" customHeight="1">
      <c r="B16" s="144" t="s">
        <v>100</v>
      </c>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row>
    <row r="17" spans="1:33" ht="15" customHeight="1">
      <c r="B17" s="144" t="s">
        <v>99</v>
      </c>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row>
    <row r="18" spans="1:33" ht="15" customHeight="1">
      <c r="A18" s="15" t="s">
        <v>98</v>
      </c>
      <c r="B18" s="145" t="s">
        <v>97</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7">
        <v>7.4440000000000001E-3</v>
      </c>
      <c r="AG18" s="137"/>
    </row>
    <row r="19" spans="1:33" ht="15" customHeight="1">
      <c r="A19" s="15" t="s">
        <v>96</v>
      </c>
      <c r="B19" s="145" t="s">
        <v>95</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7">
        <v>1.0533000000000001E-2</v>
      </c>
      <c r="AG19" s="137"/>
    </row>
    <row r="20" spans="1:33" ht="15" customHeight="1">
      <c r="A20" s="15" t="s">
        <v>94</v>
      </c>
      <c r="B20" s="145" t="s">
        <v>93</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7">
        <v>8.9409999999999993E-3</v>
      </c>
      <c r="AG20" s="137"/>
    </row>
    <row r="21" spans="1:33" ht="15" customHeight="1">
      <c r="B21" s="144" t="s">
        <v>252</v>
      </c>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row>
    <row r="22" spans="1:33" ht="15" customHeight="1">
      <c r="A22" s="15" t="s">
        <v>248</v>
      </c>
      <c r="B22" s="145" t="s">
        <v>249</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7">
        <v>6.0910000000000001E-3</v>
      </c>
      <c r="AG22" s="137"/>
    </row>
    <row r="23" spans="1:33" ht="15" customHeight="1">
      <c r="A23" s="15" t="s">
        <v>250</v>
      </c>
      <c r="B23" s="145" t="s">
        <v>251</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7">
        <v>1.521E-2</v>
      </c>
      <c r="AG23" s="137"/>
    </row>
    <row r="24" spans="1:33" ht="15" customHeight="1">
      <c r="B24" s="144" t="s">
        <v>92</v>
      </c>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row>
    <row r="25" spans="1:33" ht="15" customHeight="1">
      <c r="A25" s="15" t="s">
        <v>91</v>
      </c>
      <c r="B25" s="145" t="s">
        <v>90</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7">
        <v>2.513E-2</v>
      </c>
      <c r="AG25" s="137"/>
    </row>
    <row r="26" spans="1:33" ht="15" customHeight="1">
      <c r="B26" s="144" t="s">
        <v>89</v>
      </c>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row>
    <row r="27" spans="1:33" ht="15" customHeight="1">
      <c r="A27" s="15" t="s">
        <v>88</v>
      </c>
      <c r="B27" s="145" t="s">
        <v>47</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7">
        <v>6.3299999999999999E-4</v>
      </c>
      <c r="AG27" s="137"/>
    </row>
    <row r="28" spans="1:33" ht="15" customHeight="1">
      <c r="A28" s="15" t="s">
        <v>87</v>
      </c>
      <c r="B28" s="145" t="s">
        <v>45</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7">
        <v>-3.7829999999999999E-3</v>
      </c>
      <c r="AG28" s="137"/>
    </row>
    <row r="29" spans="1:33" ht="15" customHeight="1">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row>
    <row r="30" spans="1:33" ht="15" customHeight="1">
      <c r="B30" s="144" t="s">
        <v>86</v>
      </c>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row>
    <row r="31" spans="1:33" ht="12" customHeight="1">
      <c r="B31" s="144" t="s">
        <v>85</v>
      </c>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row>
    <row r="32" spans="1:33" ht="12" customHeight="1">
      <c r="A32" s="15" t="s">
        <v>84</v>
      </c>
      <c r="B32" s="145" t="s">
        <v>83</v>
      </c>
      <c r="C32" s="148">
        <v>35.855949000000003</v>
      </c>
      <c r="D32" s="148">
        <v>36.277985000000001</v>
      </c>
      <c r="E32" s="148">
        <v>39.337012999999999</v>
      </c>
      <c r="F32" s="148">
        <v>42.578201</v>
      </c>
      <c r="G32" s="148">
        <v>47.262627000000002</v>
      </c>
      <c r="H32" s="148">
        <v>47.227249</v>
      </c>
      <c r="I32" s="148">
        <v>47.18121</v>
      </c>
      <c r="J32" s="148">
        <v>47.168773999999999</v>
      </c>
      <c r="K32" s="148">
        <v>47.163848999999999</v>
      </c>
      <c r="L32" s="148">
        <v>47.152081000000003</v>
      </c>
      <c r="M32" s="148">
        <v>47.159278999999998</v>
      </c>
      <c r="N32" s="148">
        <v>47.152672000000003</v>
      </c>
      <c r="O32" s="148">
        <v>47.146118000000001</v>
      </c>
      <c r="P32" s="148">
        <v>47.131686999999999</v>
      </c>
      <c r="Q32" s="148">
        <v>47.138325000000002</v>
      </c>
      <c r="R32" s="148">
        <v>47.119869000000001</v>
      </c>
      <c r="S32" s="148">
        <v>47.100937000000002</v>
      </c>
      <c r="T32" s="148">
        <v>47.084251000000002</v>
      </c>
      <c r="U32" s="148">
        <v>47.059879000000002</v>
      </c>
      <c r="V32" s="148">
        <v>47.032314</v>
      </c>
      <c r="W32" s="148">
        <v>47.004074000000003</v>
      </c>
      <c r="X32" s="148">
        <v>46.960155</v>
      </c>
      <c r="Y32" s="148">
        <v>46.939563999999997</v>
      </c>
      <c r="Z32" s="148">
        <v>46.910690000000002</v>
      </c>
      <c r="AA32" s="148">
        <v>46.948238000000003</v>
      </c>
      <c r="AB32" s="148">
        <v>46.913113000000003</v>
      </c>
      <c r="AC32" s="148">
        <v>46.906829999999999</v>
      </c>
      <c r="AD32" s="148">
        <v>46.880138000000002</v>
      </c>
      <c r="AE32" s="148">
        <v>46.870857000000001</v>
      </c>
      <c r="AF32" s="147">
        <v>9.613E-3</v>
      </c>
      <c r="AG32" s="137"/>
    </row>
    <row r="33" spans="1:33" ht="12" customHeight="1">
      <c r="A33" s="15" t="s">
        <v>82</v>
      </c>
      <c r="B33" s="145" t="s">
        <v>81</v>
      </c>
      <c r="C33" s="148">
        <v>45.004654000000002</v>
      </c>
      <c r="D33" s="148">
        <v>45.471119000000002</v>
      </c>
      <c r="E33" s="148">
        <v>49.460312000000002</v>
      </c>
      <c r="F33" s="148">
        <v>53.789036000000003</v>
      </c>
      <c r="G33" s="148">
        <v>59.791530999999999</v>
      </c>
      <c r="H33" s="148">
        <v>59.803519999999999</v>
      </c>
      <c r="I33" s="148">
        <v>59.817413000000002</v>
      </c>
      <c r="J33" s="148">
        <v>59.819332000000003</v>
      </c>
      <c r="K33" s="148">
        <v>59.821598000000002</v>
      </c>
      <c r="L33" s="148">
        <v>59.822445000000002</v>
      </c>
      <c r="M33" s="148">
        <v>59.827472999999998</v>
      </c>
      <c r="N33" s="148">
        <v>59.828792999999997</v>
      </c>
      <c r="O33" s="148">
        <v>59.830779999999997</v>
      </c>
      <c r="P33" s="148">
        <v>59.831119999999999</v>
      </c>
      <c r="Q33" s="148">
        <v>59.842136000000004</v>
      </c>
      <c r="R33" s="148">
        <v>59.842136000000004</v>
      </c>
      <c r="S33" s="148">
        <v>59.842136000000004</v>
      </c>
      <c r="T33" s="148">
        <v>59.843197000000004</v>
      </c>
      <c r="U33" s="148">
        <v>59.843197000000004</v>
      </c>
      <c r="V33" s="148">
        <v>59.843231000000003</v>
      </c>
      <c r="W33" s="148">
        <v>59.845177</v>
      </c>
      <c r="X33" s="148">
        <v>59.845177</v>
      </c>
      <c r="Y33" s="148">
        <v>59.848227999999999</v>
      </c>
      <c r="Z33" s="148">
        <v>59.848227999999999</v>
      </c>
      <c r="AA33" s="148">
        <v>59.867775000000002</v>
      </c>
      <c r="AB33" s="148">
        <v>59.867775000000002</v>
      </c>
      <c r="AC33" s="148">
        <v>59.867775000000002</v>
      </c>
      <c r="AD33" s="148">
        <v>59.867775000000002</v>
      </c>
      <c r="AE33" s="148">
        <v>59.867775000000002</v>
      </c>
      <c r="AF33" s="147">
        <v>1.0244E-2</v>
      </c>
      <c r="AG33" s="137"/>
    </row>
    <row r="34" spans="1:33" ht="12" customHeight="1">
      <c r="A34" s="15" t="s">
        <v>80</v>
      </c>
      <c r="B34" s="145" t="s">
        <v>79</v>
      </c>
      <c r="C34" s="148">
        <v>32.047302000000002</v>
      </c>
      <c r="D34" s="148">
        <v>32.608868000000001</v>
      </c>
      <c r="E34" s="148">
        <v>35.403008</v>
      </c>
      <c r="F34" s="148">
        <v>38.46349</v>
      </c>
      <c r="G34" s="148">
        <v>42.755749000000002</v>
      </c>
      <c r="H34" s="148">
        <v>42.75658</v>
      </c>
      <c r="I34" s="148">
        <v>42.76173</v>
      </c>
      <c r="J34" s="148">
        <v>42.76173</v>
      </c>
      <c r="K34" s="148">
        <v>42.761840999999997</v>
      </c>
      <c r="L34" s="148">
        <v>42.762084999999999</v>
      </c>
      <c r="M34" s="148">
        <v>42.762169</v>
      </c>
      <c r="N34" s="148">
        <v>42.762360000000001</v>
      </c>
      <c r="O34" s="148">
        <v>42.762390000000003</v>
      </c>
      <c r="P34" s="148">
        <v>42.762520000000002</v>
      </c>
      <c r="Q34" s="148">
        <v>42.762554000000002</v>
      </c>
      <c r="R34" s="148">
        <v>42.762698999999998</v>
      </c>
      <c r="S34" s="148">
        <v>42.762756000000003</v>
      </c>
      <c r="T34" s="148">
        <v>42.762824999999999</v>
      </c>
      <c r="U34" s="148">
        <v>42.762897000000002</v>
      </c>
      <c r="V34" s="148">
        <v>42.762962000000002</v>
      </c>
      <c r="W34" s="148">
        <v>42.763016</v>
      </c>
      <c r="X34" s="148">
        <v>42.763103000000001</v>
      </c>
      <c r="Y34" s="148">
        <v>42.763103000000001</v>
      </c>
      <c r="Z34" s="148">
        <v>42.763184000000003</v>
      </c>
      <c r="AA34" s="148">
        <v>42.763184000000003</v>
      </c>
      <c r="AB34" s="148">
        <v>42.763294000000002</v>
      </c>
      <c r="AC34" s="148">
        <v>42.763294000000002</v>
      </c>
      <c r="AD34" s="148">
        <v>42.763393000000001</v>
      </c>
      <c r="AE34" s="148">
        <v>42.763393000000001</v>
      </c>
      <c r="AF34" s="147">
        <v>1.0356000000000001E-2</v>
      </c>
      <c r="AG34" s="137"/>
    </row>
    <row r="35" spans="1:33" ht="12" customHeight="1">
      <c r="A35" s="15" t="s">
        <v>78</v>
      </c>
      <c r="B35" s="145" t="s">
        <v>77</v>
      </c>
      <c r="C35" s="148">
        <v>41.802036000000001</v>
      </c>
      <c r="D35" s="148">
        <v>43.267200000000003</v>
      </c>
      <c r="E35" s="148">
        <v>44.448151000000003</v>
      </c>
      <c r="F35" s="148">
        <v>47.052714999999999</v>
      </c>
      <c r="G35" s="148">
        <v>48.571758000000003</v>
      </c>
      <c r="H35" s="148">
        <v>49.792529999999999</v>
      </c>
      <c r="I35" s="148">
        <v>52.281478999999997</v>
      </c>
      <c r="J35" s="148">
        <v>53.248958999999999</v>
      </c>
      <c r="K35" s="148">
        <v>53.962006000000002</v>
      </c>
      <c r="L35" s="148">
        <v>54.332034999999998</v>
      </c>
      <c r="M35" s="148">
        <v>54.872646000000003</v>
      </c>
      <c r="N35" s="148">
        <v>55.329352999999998</v>
      </c>
      <c r="O35" s="148">
        <v>55.771633000000001</v>
      </c>
      <c r="P35" s="148">
        <v>56.242725</v>
      </c>
      <c r="Q35" s="148">
        <v>56.632603000000003</v>
      </c>
      <c r="R35" s="148">
        <v>56.856194000000002</v>
      </c>
      <c r="S35" s="148">
        <v>57.030456999999998</v>
      </c>
      <c r="T35" s="148">
        <v>57.310715000000002</v>
      </c>
      <c r="U35" s="148">
        <v>57.240420999999998</v>
      </c>
      <c r="V35" s="148">
        <v>57.306023000000003</v>
      </c>
      <c r="W35" s="148">
        <v>57.371867999999999</v>
      </c>
      <c r="X35" s="148">
        <v>57.326743999999998</v>
      </c>
      <c r="Y35" s="148">
        <v>57.237999000000002</v>
      </c>
      <c r="Z35" s="148">
        <v>57.125121999999998</v>
      </c>
      <c r="AA35" s="148">
        <v>57.475963999999998</v>
      </c>
      <c r="AB35" s="148">
        <v>57.327747000000002</v>
      </c>
      <c r="AC35" s="148">
        <v>57.273457000000001</v>
      </c>
      <c r="AD35" s="148">
        <v>57.524818000000003</v>
      </c>
      <c r="AE35" s="148">
        <v>57.479156000000003</v>
      </c>
      <c r="AF35" s="147">
        <v>1.1439E-2</v>
      </c>
      <c r="AG35" s="137"/>
    </row>
    <row r="36" spans="1:33" ht="12" customHeight="1">
      <c r="A36" s="15" t="s">
        <v>76</v>
      </c>
      <c r="B36" s="145" t="s">
        <v>75</v>
      </c>
      <c r="C36" s="148">
        <v>56.582644999999999</v>
      </c>
      <c r="D36" s="148">
        <v>58.322226999999998</v>
      </c>
      <c r="E36" s="148">
        <v>59.783313999999997</v>
      </c>
      <c r="F36" s="148">
        <v>64.222374000000002</v>
      </c>
      <c r="G36" s="148">
        <v>65.997482000000005</v>
      </c>
      <c r="H36" s="148">
        <v>68.148635999999996</v>
      </c>
      <c r="I36" s="148">
        <v>72.759444999999999</v>
      </c>
      <c r="J36" s="148">
        <v>74.876166999999995</v>
      </c>
      <c r="K36" s="148">
        <v>76.446303999999998</v>
      </c>
      <c r="L36" s="148">
        <v>77.157302999999999</v>
      </c>
      <c r="M36" s="148">
        <v>78.145363000000003</v>
      </c>
      <c r="N36" s="148">
        <v>78.735664</v>
      </c>
      <c r="O36" s="148">
        <v>79.269256999999996</v>
      </c>
      <c r="P36" s="148">
        <v>79.864814999999993</v>
      </c>
      <c r="Q36" s="148">
        <v>80.311751999999998</v>
      </c>
      <c r="R36" s="148">
        <v>80.510566999999995</v>
      </c>
      <c r="S36" s="148">
        <v>80.643073999999999</v>
      </c>
      <c r="T36" s="148">
        <v>81.042243999999997</v>
      </c>
      <c r="U36" s="148">
        <v>80.790893999999994</v>
      </c>
      <c r="V36" s="148">
        <v>80.999863000000005</v>
      </c>
      <c r="W36" s="148">
        <v>81.213393999999994</v>
      </c>
      <c r="X36" s="148">
        <v>81.251564000000002</v>
      </c>
      <c r="Y36" s="148">
        <v>81.126784999999998</v>
      </c>
      <c r="Z36" s="148">
        <v>80.963654000000005</v>
      </c>
      <c r="AA36" s="148">
        <v>81.962256999999994</v>
      </c>
      <c r="AB36" s="148">
        <v>81.685669000000004</v>
      </c>
      <c r="AC36" s="148">
        <v>81.574020000000004</v>
      </c>
      <c r="AD36" s="148">
        <v>82.338425000000001</v>
      </c>
      <c r="AE36" s="148">
        <v>82.243483999999995</v>
      </c>
      <c r="AF36" s="147">
        <v>1.3446E-2</v>
      </c>
      <c r="AG36" s="137"/>
    </row>
    <row r="37" spans="1:33" ht="12" customHeight="1">
      <c r="A37" s="15" t="s">
        <v>74</v>
      </c>
      <c r="B37" s="145" t="s">
        <v>73</v>
      </c>
      <c r="C37" s="148">
        <v>36.263930999999999</v>
      </c>
      <c r="D37" s="148">
        <v>37.832123000000003</v>
      </c>
      <c r="E37" s="148">
        <v>39.014805000000003</v>
      </c>
      <c r="F37" s="148">
        <v>41.375152999999997</v>
      </c>
      <c r="G37" s="148">
        <v>42.876761999999999</v>
      </c>
      <c r="H37" s="148">
        <v>43.911583</v>
      </c>
      <c r="I37" s="148">
        <v>45.953789</v>
      </c>
      <c r="J37" s="148">
        <v>46.678477999999998</v>
      </c>
      <c r="K37" s="148">
        <v>47.207011999999999</v>
      </c>
      <c r="L37" s="148">
        <v>47.518374999999999</v>
      </c>
      <c r="M37" s="148">
        <v>47.939487</v>
      </c>
      <c r="N37" s="148">
        <v>48.362620999999997</v>
      </c>
      <c r="O37" s="148">
        <v>48.779860999999997</v>
      </c>
      <c r="P37" s="148">
        <v>49.233046999999999</v>
      </c>
      <c r="Q37" s="148">
        <v>49.585566999999998</v>
      </c>
      <c r="R37" s="148">
        <v>49.838344999999997</v>
      </c>
      <c r="S37" s="148">
        <v>50.048076999999999</v>
      </c>
      <c r="T37" s="148">
        <v>50.325744999999998</v>
      </c>
      <c r="U37" s="148">
        <v>50.338009</v>
      </c>
      <c r="V37" s="148">
        <v>50.426777000000001</v>
      </c>
      <c r="W37" s="148">
        <v>50.517310999999999</v>
      </c>
      <c r="X37" s="148">
        <v>50.542614</v>
      </c>
      <c r="Y37" s="148">
        <v>50.50412</v>
      </c>
      <c r="Z37" s="148">
        <v>50.459384999999997</v>
      </c>
      <c r="AA37" s="148">
        <v>50.618049999999997</v>
      </c>
      <c r="AB37" s="148">
        <v>50.565734999999997</v>
      </c>
      <c r="AC37" s="148">
        <v>50.535651999999999</v>
      </c>
      <c r="AD37" s="148">
        <v>50.739390999999998</v>
      </c>
      <c r="AE37" s="148">
        <v>50.721836000000003</v>
      </c>
      <c r="AF37" s="147">
        <v>1.2055E-2</v>
      </c>
      <c r="AG37" s="137"/>
    </row>
    <row r="38" spans="1:33" ht="12" customHeight="1">
      <c r="A38" s="15" t="s">
        <v>72</v>
      </c>
      <c r="B38" s="145" t="s">
        <v>71</v>
      </c>
      <c r="C38" s="148">
        <v>37.621077999999997</v>
      </c>
      <c r="D38" s="148">
        <v>38.382415999999999</v>
      </c>
      <c r="E38" s="148">
        <v>39.075671999999997</v>
      </c>
      <c r="F38" s="148">
        <v>40.794502000000001</v>
      </c>
      <c r="G38" s="148">
        <v>41.684994000000003</v>
      </c>
      <c r="H38" s="148">
        <v>42.387779000000002</v>
      </c>
      <c r="I38" s="148">
        <v>43.992404999999998</v>
      </c>
      <c r="J38" s="148">
        <v>44.482399000000001</v>
      </c>
      <c r="K38" s="148">
        <v>44.828845999999999</v>
      </c>
      <c r="L38" s="148">
        <v>45.012852000000002</v>
      </c>
      <c r="M38" s="148">
        <v>45.295108999999997</v>
      </c>
      <c r="N38" s="148">
        <v>45.549660000000003</v>
      </c>
      <c r="O38" s="148">
        <v>45.800465000000003</v>
      </c>
      <c r="P38" s="148">
        <v>46.072913999999997</v>
      </c>
      <c r="Q38" s="148">
        <v>46.308185999999999</v>
      </c>
      <c r="R38" s="148">
        <v>46.454895</v>
      </c>
      <c r="S38" s="148">
        <v>46.573441000000003</v>
      </c>
      <c r="T38" s="148">
        <v>46.763412000000002</v>
      </c>
      <c r="U38" s="148">
        <v>46.743324000000001</v>
      </c>
      <c r="V38" s="148">
        <v>46.781216000000001</v>
      </c>
      <c r="W38" s="148">
        <v>46.812752000000003</v>
      </c>
      <c r="X38" s="148">
        <v>46.781078000000001</v>
      </c>
      <c r="Y38" s="148">
        <v>46.720787000000001</v>
      </c>
      <c r="Z38" s="148">
        <v>46.649310999999997</v>
      </c>
      <c r="AA38" s="148">
        <v>46.812587999999998</v>
      </c>
      <c r="AB38" s="148">
        <v>46.721981</v>
      </c>
      <c r="AC38" s="148">
        <v>46.686661000000001</v>
      </c>
      <c r="AD38" s="148">
        <v>46.844208000000002</v>
      </c>
      <c r="AE38" s="148">
        <v>46.809134999999998</v>
      </c>
      <c r="AF38" s="147">
        <v>7.835E-3</v>
      </c>
      <c r="AG38" s="137"/>
    </row>
    <row r="39" spans="1:33" ht="12" customHeight="1">
      <c r="A39" s="15" t="s">
        <v>70</v>
      </c>
      <c r="B39" s="145" t="s">
        <v>69</v>
      </c>
      <c r="C39" s="148">
        <v>49.658656999999998</v>
      </c>
      <c r="D39" s="148">
        <v>50.63982</v>
      </c>
      <c r="E39" s="148">
        <v>51.418788999999997</v>
      </c>
      <c r="F39" s="148">
        <v>54.041266999999998</v>
      </c>
      <c r="G39" s="148">
        <v>54.808311000000003</v>
      </c>
      <c r="H39" s="148">
        <v>55.812793999999997</v>
      </c>
      <c r="I39" s="148">
        <v>58.414130999999998</v>
      </c>
      <c r="J39" s="148">
        <v>59.295653999999999</v>
      </c>
      <c r="K39" s="148">
        <v>59.885936999999998</v>
      </c>
      <c r="L39" s="148">
        <v>60.128425999999997</v>
      </c>
      <c r="M39" s="148">
        <v>60.482559000000002</v>
      </c>
      <c r="N39" s="148">
        <v>60.696911</v>
      </c>
      <c r="O39" s="148">
        <v>60.896141</v>
      </c>
      <c r="P39" s="148">
        <v>61.139969000000001</v>
      </c>
      <c r="Q39" s="148">
        <v>61.342109999999998</v>
      </c>
      <c r="R39" s="148">
        <v>61.456459000000002</v>
      </c>
      <c r="S39" s="148">
        <v>61.545490000000001</v>
      </c>
      <c r="T39" s="148">
        <v>61.791069</v>
      </c>
      <c r="U39" s="148">
        <v>61.720492999999998</v>
      </c>
      <c r="V39" s="148">
        <v>61.820892000000001</v>
      </c>
      <c r="W39" s="148">
        <v>61.909644999999998</v>
      </c>
      <c r="X39" s="148">
        <v>61.923454</v>
      </c>
      <c r="Y39" s="148">
        <v>61.848678999999997</v>
      </c>
      <c r="Z39" s="148">
        <v>61.762374999999999</v>
      </c>
      <c r="AA39" s="148">
        <v>62.120818999999997</v>
      </c>
      <c r="AB39" s="148">
        <v>61.989952000000002</v>
      </c>
      <c r="AC39" s="148">
        <v>61.932670999999999</v>
      </c>
      <c r="AD39" s="148">
        <v>62.331699</v>
      </c>
      <c r="AE39" s="148">
        <v>62.272804000000001</v>
      </c>
      <c r="AF39" s="147">
        <v>8.1169999999999992E-3</v>
      </c>
      <c r="AG39" s="137"/>
    </row>
    <row r="40" spans="1:33" ht="12" customHeight="1">
      <c r="A40" s="15" t="s">
        <v>68</v>
      </c>
      <c r="B40" s="145" t="s">
        <v>67</v>
      </c>
      <c r="C40" s="148">
        <v>32.951321</v>
      </c>
      <c r="D40" s="148">
        <v>33.825710000000001</v>
      </c>
      <c r="E40" s="148">
        <v>34.570250999999999</v>
      </c>
      <c r="F40" s="148">
        <v>36.235542000000002</v>
      </c>
      <c r="G40" s="148">
        <v>37.203814999999999</v>
      </c>
      <c r="H40" s="148">
        <v>37.859802000000002</v>
      </c>
      <c r="I40" s="148">
        <v>39.251300999999998</v>
      </c>
      <c r="J40" s="148">
        <v>39.654640000000001</v>
      </c>
      <c r="K40" s="148">
        <v>39.942870999999997</v>
      </c>
      <c r="L40" s="148">
        <v>40.123778999999999</v>
      </c>
      <c r="M40" s="148">
        <v>40.372107999999997</v>
      </c>
      <c r="N40" s="148">
        <v>40.635685000000002</v>
      </c>
      <c r="O40" s="148">
        <v>40.898228000000003</v>
      </c>
      <c r="P40" s="148">
        <v>41.187041999999998</v>
      </c>
      <c r="Q40" s="148">
        <v>41.415565000000001</v>
      </c>
      <c r="R40" s="148">
        <v>41.589336000000003</v>
      </c>
      <c r="S40" s="148">
        <v>41.735809000000003</v>
      </c>
      <c r="T40" s="148">
        <v>41.930031</v>
      </c>
      <c r="U40" s="148">
        <v>41.954326999999999</v>
      </c>
      <c r="V40" s="148">
        <v>42.014381</v>
      </c>
      <c r="W40" s="148">
        <v>42.070942000000002</v>
      </c>
      <c r="X40" s="148">
        <v>42.089371</v>
      </c>
      <c r="Y40" s="148">
        <v>42.062252000000001</v>
      </c>
      <c r="Z40" s="148">
        <v>42.034523</v>
      </c>
      <c r="AA40" s="148">
        <v>42.106945000000003</v>
      </c>
      <c r="AB40" s="148">
        <v>42.074627</v>
      </c>
      <c r="AC40" s="148">
        <v>42.053328999999998</v>
      </c>
      <c r="AD40" s="148">
        <v>42.192115999999999</v>
      </c>
      <c r="AE40" s="148">
        <v>42.175429999999999</v>
      </c>
      <c r="AF40" s="147">
        <v>8.8529999999999998E-3</v>
      </c>
      <c r="AG40" s="137"/>
    </row>
    <row r="41" spans="1:33" ht="12" customHeight="1">
      <c r="A41" s="15" t="s">
        <v>66</v>
      </c>
      <c r="B41" s="145" t="s">
        <v>65</v>
      </c>
      <c r="C41" s="148">
        <v>30.687853</v>
      </c>
      <c r="D41" s="148">
        <v>31.308468000000001</v>
      </c>
      <c r="E41" s="148">
        <v>31.873774999999998</v>
      </c>
      <c r="F41" s="148">
        <v>33.275241999999999</v>
      </c>
      <c r="G41" s="148">
        <v>34.001517999999997</v>
      </c>
      <c r="H41" s="148">
        <v>34.574638</v>
      </c>
      <c r="I41" s="148">
        <v>35.883228000000003</v>
      </c>
      <c r="J41" s="148">
        <v>36.282809999999998</v>
      </c>
      <c r="K41" s="148">
        <v>36.565350000000002</v>
      </c>
      <c r="L41" s="148">
        <v>36.715401</v>
      </c>
      <c r="M41" s="148">
        <v>36.945652000000003</v>
      </c>
      <c r="N41" s="148">
        <v>37.153278</v>
      </c>
      <c r="O41" s="148">
        <v>37.357868000000003</v>
      </c>
      <c r="P41" s="148">
        <v>37.580081999999997</v>
      </c>
      <c r="Q41" s="148">
        <v>37.772025999999997</v>
      </c>
      <c r="R41" s="148">
        <v>37.891651000000003</v>
      </c>
      <c r="S41" s="148">
        <v>37.988308000000004</v>
      </c>
      <c r="T41" s="148">
        <v>38.143211000000001</v>
      </c>
      <c r="U41" s="148">
        <v>38.126759</v>
      </c>
      <c r="V41" s="148">
        <v>38.157573999999997</v>
      </c>
      <c r="W41" s="148">
        <v>38.183200999999997</v>
      </c>
      <c r="X41" s="148">
        <v>38.157218999999998</v>
      </c>
      <c r="Y41" s="148">
        <v>38.107975000000003</v>
      </c>
      <c r="Z41" s="148">
        <v>38.049587000000002</v>
      </c>
      <c r="AA41" s="148">
        <v>38.182837999999997</v>
      </c>
      <c r="AB41" s="148">
        <v>38.108822000000004</v>
      </c>
      <c r="AC41" s="148">
        <v>38.080002</v>
      </c>
      <c r="AD41" s="148">
        <v>38.208388999999997</v>
      </c>
      <c r="AE41" s="148">
        <v>38.179749000000001</v>
      </c>
      <c r="AF41" s="147">
        <v>7.8320000000000004E-3</v>
      </c>
      <c r="AG41" s="137"/>
    </row>
    <row r="42" spans="1:33" ht="12" customHeight="1">
      <c r="A42" s="15" t="s">
        <v>64</v>
      </c>
      <c r="B42" s="145" t="s">
        <v>63</v>
      </c>
      <c r="C42" s="148">
        <v>40.552002000000002</v>
      </c>
      <c r="D42" s="148">
        <v>41.353237</v>
      </c>
      <c r="E42" s="148">
        <v>41.989353000000001</v>
      </c>
      <c r="F42" s="148">
        <v>44.130909000000003</v>
      </c>
      <c r="G42" s="148">
        <v>44.757289999999998</v>
      </c>
      <c r="H42" s="148">
        <v>45.577564000000002</v>
      </c>
      <c r="I42" s="148">
        <v>47.701855000000002</v>
      </c>
      <c r="J42" s="148">
        <v>48.421719000000003</v>
      </c>
      <c r="K42" s="148">
        <v>48.903754999999997</v>
      </c>
      <c r="L42" s="148">
        <v>49.101771999999997</v>
      </c>
      <c r="M42" s="148">
        <v>49.390965000000001</v>
      </c>
      <c r="N42" s="148">
        <v>49.566006000000002</v>
      </c>
      <c r="O42" s="148">
        <v>49.728703000000003</v>
      </c>
      <c r="P42" s="148">
        <v>49.927813999999998</v>
      </c>
      <c r="Q42" s="148">
        <v>50.092888000000002</v>
      </c>
      <c r="R42" s="148">
        <v>50.186264000000001</v>
      </c>
      <c r="S42" s="148">
        <v>50.258968000000003</v>
      </c>
      <c r="T42" s="148">
        <v>50.459515000000003</v>
      </c>
      <c r="U42" s="148">
        <v>50.401878000000004</v>
      </c>
      <c r="V42" s="148">
        <v>50.483868000000001</v>
      </c>
      <c r="W42" s="148">
        <v>50.556342999999998</v>
      </c>
      <c r="X42" s="148">
        <v>50.567619000000001</v>
      </c>
      <c r="Y42" s="148">
        <v>50.506557000000001</v>
      </c>
      <c r="Z42" s="148">
        <v>50.436081000000001</v>
      </c>
      <c r="AA42" s="148">
        <v>50.728789999999996</v>
      </c>
      <c r="AB42" s="148">
        <v>50.621924999999997</v>
      </c>
      <c r="AC42" s="148">
        <v>50.575145999999997</v>
      </c>
      <c r="AD42" s="148">
        <v>50.901001000000001</v>
      </c>
      <c r="AE42" s="148">
        <v>50.852905</v>
      </c>
      <c r="AF42" s="147">
        <v>8.1169999999999992E-3</v>
      </c>
      <c r="AG42" s="137"/>
    </row>
    <row r="43" spans="1:33" ht="12" customHeight="1">
      <c r="A43" s="15" t="s">
        <v>62</v>
      </c>
      <c r="B43" s="145" t="s">
        <v>61</v>
      </c>
      <c r="C43" s="148">
        <v>26.867122999999999</v>
      </c>
      <c r="D43" s="148">
        <v>27.580062999999999</v>
      </c>
      <c r="E43" s="148">
        <v>28.18713</v>
      </c>
      <c r="F43" s="148">
        <v>29.544938999999999</v>
      </c>
      <c r="G43" s="148">
        <v>30.334429</v>
      </c>
      <c r="H43" s="148">
        <v>30.869291</v>
      </c>
      <c r="I43" s="148">
        <v>32.003860000000003</v>
      </c>
      <c r="J43" s="148">
        <v>32.332729</v>
      </c>
      <c r="K43" s="148">
        <v>32.567737999999999</v>
      </c>
      <c r="L43" s="148">
        <v>32.715243999999998</v>
      </c>
      <c r="M43" s="148">
        <v>32.917721</v>
      </c>
      <c r="N43" s="148">
        <v>33.132629000000001</v>
      </c>
      <c r="O43" s="148">
        <v>33.346694999999997</v>
      </c>
      <c r="P43" s="148">
        <v>33.582183999999998</v>
      </c>
      <c r="Q43" s="148">
        <v>33.768512999999999</v>
      </c>
      <c r="R43" s="148">
        <v>33.910198000000001</v>
      </c>
      <c r="S43" s="148">
        <v>34.029625000000003</v>
      </c>
      <c r="T43" s="148">
        <v>34.187984</v>
      </c>
      <c r="U43" s="148">
        <v>34.207794</v>
      </c>
      <c r="V43" s="148">
        <v>34.25676</v>
      </c>
      <c r="W43" s="148">
        <v>34.302878999999997</v>
      </c>
      <c r="X43" s="148">
        <v>34.317905000000003</v>
      </c>
      <c r="Y43" s="148">
        <v>34.295791999999999</v>
      </c>
      <c r="Z43" s="148">
        <v>34.273186000000003</v>
      </c>
      <c r="AA43" s="148">
        <v>34.332233000000002</v>
      </c>
      <c r="AB43" s="148">
        <v>34.305881999999997</v>
      </c>
      <c r="AC43" s="148">
        <v>34.288516999999999</v>
      </c>
      <c r="AD43" s="148">
        <v>34.401679999999999</v>
      </c>
      <c r="AE43" s="148">
        <v>34.388072999999999</v>
      </c>
      <c r="AF43" s="147">
        <v>8.8529999999999998E-3</v>
      </c>
      <c r="AG43" s="137"/>
    </row>
    <row r="44" spans="1:33" ht="12" customHeight="1">
      <c r="A44" s="15" t="s">
        <v>60</v>
      </c>
      <c r="B44" s="145" t="s">
        <v>59</v>
      </c>
      <c r="C44" s="148">
        <v>24.416388999999999</v>
      </c>
      <c r="D44" s="148">
        <v>24.836956000000001</v>
      </c>
      <c r="E44" s="148">
        <v>25.286928</v>
      </c>
      <c r="F44" s="148">
        <v>25.785551000000002</v>
      </c>
      <c r="G44" s="148">
        <v>26.309719000000001</v>
      </c>
      <c r="H44" s="148">
        <v>26.853071</v>
      </c>
      <c r="I44" s="148">
        <v>27.439551999999999</v>
      </c>
      <c r="J44" s="148">
        <v>28.039261</v>
      </c>
      <c r="K44" s="148">
        <v>28.645572999999999</v>
      </c>
      <c r="L44" s="148">
        <v>29.223606</v>
      </c>
      <c r="M44" s="148">
        <v>29.795773000000001</v>
      </c>
      <c r="N44" s="148">
        <v>30.329742</v>
      </c>
      <c r="O44" s="148">
        <v>30.858115999999999</v>
      </c>
      <c r="P44" s="148">
        <v>31.383734</v>
      </c>
      <c r="Q44" s="148">
        <v>31.896933000000001</v>
      </c>
      <c r="R44" s="148">
        <v>32.386234000000002</v>
      </c>
      <c r="S44" s="148">
        <v>32.857269000000002</v>
      </c>
      <c r="T44" s="148">
        <v>33.317824999999999</v>
      </c>
      <c r="U44" s="148">
        <v>33.744926</v>
      </c>
      <c r="V44" s="148">
        <v>34.150565999999998</v>
      </c>
      <c r="W44" s="148">
        <v>34.526347999999999</v>
      </c>
      <c r="X44" s="148">
        <v>34.855293000000003</v>
      </c>
      <c r="Y44" s="148">
        <v>35.133709000000003</v>
      </c>
      <c r="Z44" s="148">
        <v>35.376598000000001</v>
      </c>
      <c r="AA44" s="148">
        <v>35.587673000000002</v>
      </c>
      <c r="AB44" s="148">
        <v>35.763168</v>
      </c>
      <c r="AC44" s="148">
        <v>35.911662999999997</v>
      </c>
      <c r="AD44" s="148">
        <v>36.041504000000003</v>
      </c>
      <c r="AE44" s="148">
        <v>36.145099999999999</v>
      </c>
      <c r="AF44" s="147">
        <v>1.4109E-2</v>
      </c>
      <c r="AG44" s="137"/>
    </row>
    <row r="45" spans="1:33" ht="12" customHeight="1">
      <c r="A45" s="15" t="s">
        <v>58</v>
      </c>
      <c r="B45" s="145" t="s">
        <v>57</v>
      </c>
      <c r="C45" s="148">
        <v>15.821263</v>
      </c>
      <c r="D45" s="148">
        <v>16.131247999999999</v>
      </c>
      <c r="E45" s="148">
        <v>16.678804</v>
      </c>
      <c r="F45" s="148">
        <v>17.193453000000002</v>
      </c>
      <c r="G45" s="148">
        <v>17.382670999999998</v>
      </c>
      <c r="H45" s="148">
        <v>17.655719999999999</v>
      </c>
      <c r="I45" s="148">
        <v>17.641428000000001</v>
      </c>
      <c r="J45" s="148">
        <v>17.714843999999999</v>
      </c>
      <c r="K45" s="148">
        <v>17.746100999999999</v>
      </c>
      <c r="L45" s="148">
        <v>17.752108</v>
      </c>
      <c r="M45" s="148">
        <v>17.726762999999998</v>
      </c>
      <c r="N45" s="148">
        <v>17.703925999999999</v>
      </c>
      <c r="O45" s="148">
        <v>17.685976</v>
      </c>
      <c r="P45" s="148">
        <v>17.669809000000001</v>
      </c>
      <c r="Q45" s="148">
        <v>17.656127999999999</v>
      </c>
      <c r="R45" s="148">
        <v>17.644224000000001</v>
      </c>
      <c r="S45" s="148">
        <v>17.635103000000001</v>
      </c>
      <c r="T45" s="148">
        <v>17.627134000000002</v>
      </c>
      <c r="U45" s="148">
        <v>17.621216</v>
      </c>
      <c r="V45" s="148">
        <v>17.615825999999998</v>
      </c>
      <c r="W45" s="148">
        <v>17.612106000000001</v>
      </c>
      <c r="X45" s="148">
        <v>17.608646</v>
      </c>
      <c r="Y45" s="148">
        <v>17.607035</v>
      </c>
      <c r="Z45" s="148">
        <v>17.606117000000001</v>
      </c>
      <c r="AA45" s="148">
        <v>17.607099999999999</v>
      </c>
      <c r="AB45" s="148">
        <v>17.455801000000001</v>
      </c>
      <c r="AC45" s="148">
        <v>17.469227</v>
      </c>
      <c r="AD45" s="148">
        <v>17.484673999999998</v>
      </c>
      <c r="AE45" s="148">
        <v>17.514999</v>
      </c>
      <c r="AF45" s="147">
        <v>3.6389999999999999E-3</v>
      </c>
      <c r="AG45" s="137"/>
    </row>
    <row r="46" spans="1:33" ht="12" customHeight="1">
      <c r="A46" s="15" t="s">
        <v>56</v>
      </c>
      <c r="B46" s="145" t="s">
        <v>55</v>
      </c>
      <c r="C46" s="148">
        <v>13.428094</v>
      </c>
      <c r="D46" s="148">
        <v>13.70518</v>
      </c>
      <c r="E46" s="148">
        <v>13.988607999999999</v>
      </c>
      <c r="F46" s="148">
        <v>14.298017</v>
      </c>
      <c r="G46" s="148">
        <v>14.623931000000001</v>
      </c>
      <c r="H46" s="148">
        <v>14.947717000000001</v>
      </c>
      <c r="I46" s="148">
        <v>15.224836</v>
      </c>
      <c r="J46" s="148">
        <v>15.477124999999999</v>
      </c>
      <c r="K46" s="148">
        <v>15.708449999999999</v>
      </c>
      <c r="L46" s="148">
        <v>15.906402999999999</v>
      </c>
      <c r="M46" s="148">
        <v>16.084123999999999</v>
      </c>
      <c r="N46" s="148">
        <v>16.239180000000001</v>
      </c>
      <c r="O46" s="148">
        <v>16.374127999999999</v>
      </c>
      <c r="P46" s="148">
        <v>16.504307000000001</v>
      </c>
      <c r="Q46" s="148">
        <v>16.623000999999999</v>
      </c>
      <c r="R46" s="148">
        <v>16.732641000000001</v>
      </c>
      <c r="S46" s="148">
        <v>16.834803000000001</v>
      </c>
      <c r="T46" s="148">
        <v>16.930444999999999</v>
      </c>
      <c r="U46" s="148">
        <v>17.012526000000001</v>
      </c>
      <c r="V46" s="148">
        <v>17.084282000000002</v>
      </c>
      <c r="W46" s="148">
        <v>17.141766000000001</v>
      </c>
      <c r="X46" s="148">
        <v>17.21096</v>
      </c>
      <c r="Y46" s="148">
        <v>17.279800000000002</v>
      </c>
      <c r="Z46" s="148">
        <v>17.324511999999999</v>
      </c>
      <c r="AA46" s="148">
        <v>17.374506</v>
      </c>
      <c r="AB46" s="148">
        <v>17.402925</v>
      </c>
      <c r="AC46" s="148">
        <v>17.441884999999999</v>
      </c>
      <c r="AD46" s="148">
        <v>17.468942999999999</v>
      </c>
      <c r="AE46" s="148">
        <v>17.502464</v>
      </c>
      <c r="AF46" s="147">
        <v>9.5090000000000001E-3</v>
      </c>
      <c r="AG46" s="137"/>
    </row>
    <row r="47" spans="1:33" ht="12" customHeight="1">
      <c r="A47" s="15" t="s">
        <v>54</v>
      </c>
      <c r="B47" s="145" t="s">
        <v>53</v>
      </c>
      <c r="C47" s="148">
        <v>7.4724060000000003</v>
      </c>
      <c r="D47" s="148">
        <v>7.5785289999999996</v>
      </c>
      <c r="E47" s="148">
        <v>7.7053229999999999</v>
      </c>
      <c r="F47" s="148">
        <v>7.8485899999999997</v>
      </c>
      <c r="G47" s="148">
        <v>8.002383</v>
      </c>
      <c r="H47" s="148">
        <v>8.1636769999999999</v>
      </c>
      <c r="I47" s="148">
        <v>8.3212849999999996</v>
      </c>
      <c r="J47" s="148">
        <v>8.4797550000000008</v>
      </c>
      <c r="K47" s="148">
        <v>8.6382940000000001</v>
      </c>
      <c r="L47" s="148">
        <v>8.7959300000000002</v>
      </c>
      <c r="M47" s="148">
        <v>8.9485489999999999</v>
      </c>
      <c r="N47" s="148">
        <v>9.0909969999999998</v>
      </c>
      <c r="O47" s="148">
        <v>9.2225160000000006</v>
      </c>
      <c r="P47" s="148">
        <v>9.3430680000000006</v>
      </c>
      <c r="Q47" s="148">
        <v>9.4533149999999999</v>
      </c>
      <c r="R47" s="148">
        <v>9.5530629999999999</v>
      </c>
      <c r="S47" s="148">
        <v>9.6434440000000006</v>
      </c>
      <c r="T47" s="148">
        <v>9.7267100000000006</v>
      </c>
      <c r="U47" s="148">
        <v>9.8045930000000006</v>
      </c>
      <c r="V47" s="148">
        <v>9.8772749999999991</v>
      </c>
      <c r="W47" s="148">
        <v>9.9424309999999991</v>
      </c>
      <c r="X47" s="148">
        <v>10.001567</v>
      </c>
      <c r="Y47" s="148">
        <v>10.055840999999999</v>
      </c>
      <c r="Z47" s="148">
        <v>10.108454</v>
      </c>
      <c r="AA47" s="148">
        <v>10.161227999999999</v>
      </c>
      <c r="AB47" s="148">
        <v>10.213310999999999</v>
      </c>
      <c r="AC47" s="148">
        <v>10.263764</v>
      </c>
      <c r="AD47" s="148">
        <v>10.314513</v>
      </c>
      <c r="AE47" s="148">
        <v>10.365861000000001</v>
      </c>
      <c r="AF47" s="147">
        <v>1.1757999999999999E-2</v>
      </c>
      <c r="AG47" s="137"/>
    </row>
    <row r="48" spans="1:33" ht="12" customHeight="1">
      <c r="B48" s="144" t="s">
        <v>52</v>
      </c>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row>
    <row r="49" spans="1:33" ht="12" customHeight="1">
      <c r="A49" s="15" t="s">
        <v>51</v>
      </c>
      <c r="B49" s="145" t="s">
        <v>50</v>
      </c>
      <c r="C49" s="148">
        <v>72.717087000000006</v>
      </c>
      <c r="D49" s="148">
        <v>73.091971999999998</v>
      </c>
      <c r="E49" s="148">
        <v>73.492531</v>
      </c>
      <c r="F49" s="148">
        <v>74.018456</v>
      </c>
      <c r="G49" s="148">
        <v>74.683121</v>
      </c>
      <c r="H49" s="148">
        <v>75.131766999999996</v>
      </c>
      <c r="I49" s="148">
        <v>75.592140000000001</v>
      </c>
      <c r="J49" s="148">
        <v>76.024017000000001</v>
      </c>
      <c r="K49" s="148">
        <v>76.492362999999997</v>
      </c>
      <c r="L49" s="148">
        <v>77.014213999999996</v>
      </c>
      <c r="M49" s="148">
        <v>77.600960000000001</v>
      </c>
      <c r="N49" s="148">
        <v>78.266677999999999</v>
      </c>
      <c r="O49" s="148">
        <v>78.981505999999996</v>
      </c>
      <c r="P49" s="148">
        <v>79.730591000000004</v>
      </c>
      <c r="Q49" s="148">
        <v>80.489220000000003</v>
      </c>
      <c r="R49" s="148">
        <v>81.260979000000006</v>
      </c>
      <c r="S49" s="148">
        <v>82.048454000000007</v>
      </c>
      <c r="T49" s="148">
        <v>82.814575000000005</v>
      </c>
      <c r="U49" s="148">
        <v>83.594772000000006</v>
      </c>
      <c r="V49" s="148">
        <v>84.382309000000006</v>
      </c>
      <c r="W49" s="148">
        <v>85.171204000000003</v>
      </c>
      <c r="X49" s="148">
        <v>85.974022000000005</v>
      </c>
      <c r="Y49" s="148">
        <v>86.764037999999999</v>
      </c>
      <c r="Z49" s="148">
        <v>87.549926999999997</v>
      </c>
      <c r="AA49" s="148">
        <v>88.321090999999996</v>
      </c>
      <c r="AB49" s="148">
        <v>89.091155999999998</v>
      </c>
      <c r="AC49" s="148">
        <v>89.849761999999998</v>
      </c>
      <c r="AD49" s="148">
        <v>90.593376000000006</v>
      </c>
      <c r="AE49" s="148">
        <v>91.328147999999999</v>
      </c>
      <c r="AF49" s="147">
        <v>8.1720000000000004E-3</v>
      </c>
      <c r="AG49" s="137"/>
    </row>
    <row r="50" spans="1:33" ht="15" customHeight="1">
      <c r="B50" s="144" t="s">
        <v>49</v>
      </c>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row>
    <row r="51" spans="1:33" ht="15" customHeight="1">
      <c r="A51" s="15" t="s">
        <v>48</v>
      </c>
      <c r="B51" s="145" t="s">
        <v>47</v>
      </c>
      <c r="C51" s="148">
        <v>3.3663400000000001</v>
      </c>
      <c r="D51" s="148">
        <v>3.3698929999999998</v>
      </c>
      <c r="E51" s="148">
        <v>3.3734500000000001</v>
      </c>
      <c r="F51" s="148">
        <v>3.3770099999999998</v>
      </c>
      <c r="G51" s="148">
        <v>3.3805740000000002</v>
      </c>
      <c r="H51" s="148">
        <v>3.3841420000000002</v>
      </c>
      <c r="I51" s="148">
        <v>3.3877130000000002</v>
      </c>
      <c r="J51" s="148">
        <v>3.391289</v>
      </c>
      <c r="K51" s="148">
        <v>3.3948680000000002</v>
      </c>
      <c r="L51" s="148">
        <v>3.3984510000000001</v>
      </c>
      <c r="M51" s="148">
        <v>3.402037</v>
      </c>
      <c r="N51" s="148">
        <v>3.4056280000000001</v>
      </c>
      <c r="O51" s="148">
        <v>3.4092220000000002</v>
      </c>
      <c r="P51" s="148">
        <v>3.41282</v>
      </c>
      <c r="Q51" s="148">
        <v>3.4164219999999998</v>
      </c>
      <c r="R51" s="148">
        <v>3.4200270000000002</v>
      </c>
      <c r="S51" s="148">
        <v>3.4236369999999998</v>
      </c>
      <c r="T51" s="148">
        <v>3.4272499999999999</v>
      </c>
      <c r="U51" s="148">
        <v>3.4308670000000001</v>
      </c>
      <c r="V51" s="148">
        <v>3.434488</v>
      </c>
      <c r="W51" s="148">
        <v>3.438113</v>
      </c>
      <c r="X51" s="148">
        <v>3.4417409999999999</v>
      </c>
      <c r="Y51" s="148">
        <v>3.445373</v>
      </c>
      <c r="Z51" s="148">
        <v>3.4490099999999999</v>
      </c>
      <c r="AA51" s="148">
        <v>3.4526490000000001</v>
      </c>
      <c r="AB51" s="148">
        <v>3.4562930000000001</v>
      </c>
      <c r="AC51" s="148">
        <v>3.4599410000000002</v>
      </c>
      <c r="AD51" s="148">
        <v>3.4635929999999999</v>
      </c>
      <c r="AE51" s="148">
        <v>3.4672480000000001</v>
      </c>
      <c r="AF51" s="147">
        <v>1.0549999999999999E-3</v>
      </c>
      <c r="AG51" s="137"/>
    </row>
    <row r="52" spans="1:33" ht="15" customHeight="1">
      <c r="A52" s="15" t="s">
        <v>46</v>
      </c>
      <c r="B52" s="145" t="s">
        <v>45</v>
      </c>
      <c r="C52" s="148">
        <v>4.8202259999999999</v>
      </c>
      <c r="D52" s="148">
        <v>4.8389660000000001</v>
      </c>
      <c r="E52" s="148">
        <v>4.8577789999999998</v>
      </c>
      <c r="F52" s="148">
        <v>4.876665</v>
      </c>
      <c r="G52" s="148">
        <v>4.8956239999999998</v>
      </c>
      <c r="H52" s="148">
        <v>4.9146570000000001</v>
      </c>
      <c r="I52" s="148">
        <v>4.933764</v>
      </c>
      <c r="J52" s="148">
        <v>4.9529449999999997</v>
      </c>
      <c r="K52" s="148">
        <v>4.9722</v>
      </c>
      <c r="L52" s="148">
        <v>4.9915310000000002</v>
      </c>
      <c r="M52" s="148">
        <v>5.0109370000000002</v>
      </c>
      <c r="N52" s="148">
        <v>5.0304180000000001</v>
      </c>
      <c r="O52" s="148">
        <v>5.0499749999999999</v>
      </c>
      <c r="P52" s="148">
        <v>5.0696079999999997</v>
      </c>
      <c r="Q52" s="148">
        <v>5.0893170000000003</v>
      </c>
      <c r="R52" s="148">
        <v>5.1091030000000002</v>
      </c>
      <c r="S52" s="148">
        <v>5.1289660000000001</v>
      </c>
      <c r="T52" s="148">
        <v>5.1489060000000002</v>
      </c>
      <c r="U52" s="148">
        <v>5.1689230000000004</v>
      </c>
      <c r="V52" s="148">
        <v>5.189019</v>
      </c>
      <c r="W52" s="148">
        <v>5.2091919999999998</v>
      </c>
      <c r="X52" s="148">
        <v>5.2294450000000001</v>
      </c>
      <c r="Y52" s="148">
        <v>5.2497749999999996</v>
      </c>
      <c r="Z52" s="148">
        <v>5.2701849999999997</v>
      </c>
      <c r="AA52" s="148">
        <v>5.2906740000000001</v>
      </c>
      <c r="AB52" s="148">
        <v>5.3112430000000002</v>
      </c>
      <c r="AC52" s="148">
        <v>5.3318919999999999</v>
      </c>
      <c r="AD52" s="148">
        <v>5.3526210000000001</v>
      </c>
      <c r="AE52" s="148">
        <v>5.3734299999999999</v>
      </c>
      <c r="AF52" s="147">
        <v>3.888E-3</v>
      </c>
      <c r="AG52" s="137"/>
    </row>
    <row r="53" spans="1:33" ht="15" customHeight="1">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137"/>
    </row>
    <row r="54" spans="1:33" ht="15" customHeight="1">
      <c r="B54" s="144" t="s">
        <v>44</v>
      </c>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row>
    <row r="55" spans="1:33" ht="15" customHeight="1">
      <c r="B55" s="144" t="s">
        <v>43</v>
      </c>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137"/>
    </row>
    <row r="56" spans="1:33" ht="15" customHeight="1">
      <c r="A56" s="15" t="s">
        <v>42</v>
      </c>
      <c r="B56" s="145" t="s">
        <v>26</v>
      </c>
      <c r="C56" s="149">
        <v>14.541973</v>
      </c>
      <c r="D56" s="149">
        <v>14.586114</v>
      </c>
      <c r="E56" s="149">
        <v>14.429691999999999</v>
      </c>
      <c r="F56" s="149">
        <v>14.201924999999999</v>
      </c>
      <c r="G56" s="149">
        <v>14.016909</v>
      </c>
      <c r="H56" s="149">
        <v>13.860763</v>
      </c>
      <c r="I56" s="149">
        <v>13.679087000000001</v>
      </c>
      <c r="J56" s="149">
        <v>13.473832</v>
      </c>
      <c r="K56" s="149">
        <v>13.253083</v>
      </c>
      <c r="L56" s="149">
        <v>13.044086</v>
      </c>
      <c r="M56" s="149">
        <v>12.836978</v>
      </c>
      <c r="N56" s="149">
        <v>12.674039</v>
      </c>
      <c r="O56" s="149">
        <v>12.534656</v>
      </c>
      <c r="P56" s="149">
        <v>12.394664000000001</v>
      </c>
      <c r="Q56" s="149">
        <v>12.251548</v>
      </c>
      <c r="R56" s="149">
        <v>12.130822</v>
      </c>
      <c r="S56" s="149">
        <v>12.028416</v>
      </c>
      <c r="T56" s="149">
        <v>11.933923</v>
      </c>
      <c r="U56" s="149">
        <v>11.864001</v>
      </c>
      <c r="V56" s="149">
        <v>11.805396</v>
      </c>
      <c r="W56" s="149">
        <v>11.762741999999999</v>
      </c>
      <c r="X56" s="149">
        <v>11.733644</v>
      </c>
      <c r="Y56" s="149">
        <v>11.725387</v>
      </c>
      <c r="Z56" s="149">
        <v>11.735775</v>
      </c>
      <c r="AA56" s="149">
        <v>11.770763000000001</v>
      </c>
      <c r="AB56" s="149">
        <v>11.824349</v>
      </c>
      <c r="AC56" s="149">
        <v>11.889715000000001</v>
      </c>
      <c r="AD56" s="149">
        <v>11.962910000000001</v>
      </c>
      <c r="AE56" s="149">
        <v>12.054455000000001</v>
      </c>
      <c r="AF56" s="147">
        <v>-6.6779999999999999E-3</v>
      </c>
      <c r="AG56" s="137"/>
    </row>
    <row r="57" spans="1:33" ht="15" customHeight="1">
      <c r="A57" s="15" t="s">
        <v>41</v>
      </c>
      <c r="B57" s="145" t="s">
        <v>24</v>
      </c>
      <c r="C57" s="149">
        <v>0.95150299999999999</v>
      </c>
      <c r="D57" s="149">
        <v>0.94255800000000001</v>
      </c>
      <c r="E57" s="149">
        <v>0.92534000000000005</v>
      </c>
      <c r="F57" s="149">
        <v>0.91245200000000004</v>
      </c>
      <c r="G57" s="149">
        <v>0.903111</v>
      </c>
      <c r="H57" s="149">
        <v>0.89480700000000002</v>
      </c>
      <c r="I57" s="149">
        <v>0.88838499999999998</v>
      </c>
      <c r="J57" s="149">
        <v>0.88299499999999997</v>
      </c>
      <c r="K57" s="149">
        <v>0.87703299999999995</v>
      </c>
      <c r="L57" s="149">
        <v>0.87279099999999998</v>
      </c>
      <c r="M57" s="149">
        <v>0.87179099999999998</v>
      </c>
      <c r="N57" s="149">
        <v>0.87186799999999998</v>
      </c>
      <c r="O57" s="149">
        <v>0.87303399999999998</v>
      </c>
      <c r="P57" s="149">
        <v>0.87507400000000002</v>
      </c>
      <c r="Q57" s="149">
        <v>0.87749999999999995</v>
      </c>
      <c r="R57" s="149">
        <v>0.881023</v>
      </c>
      <c r="S57" s="149">
        <v>0.88554100000000002</v>
      </c>
      <c r="T57" s="149">
        <v>0.88979600000000003</v>
      </c>
      <c r="U57" s="149">
        <v>0.896146</v>
      </c>
      <c r="V57" s="149">
        <v>0.90392399999999995</v>
      </c>
      <c r="W57" s="149">
        <v>0.91192099999999998</v>
      </c>
      <c r="X57" s="149">
        <v>0.91867500000000002</v>
      </c>
      <c r="Y57" s="149">
        <v>0.92472100000000002</v>
      </c>
      <c r="Z57" s="149">
        <v>0.93183000000000005</v>
      </c>
      <c r="AA57" s="149">
        <v>0.93994</v>
      </c>
      <c r="AB57" s="149">
        <v>0.94994999999999996</v>
      </c>
      <c r="AC57" s="149">
        <v>0.95831999999999995</v>
      </c>
      <c r="AD57" s="149">
        <v>0.96721000000000001</v>
      </c>
      <c r="AE57" s="149">
        <v>0.97889800000000005</v>
      </c>
      <c r="AF57" s="147">
        <v>1.0139999999999999E-3</v>
      </c>
      <c r="AG57" s="137"/>
    </row>
    <row r="58" spans="1:33" ht="15" customHeight="1">
      <c r="A58" s="15" t="s">
        <v>40</v>
      </c>
      <c r="B58" s="145" t="s">
        <v>22</v>
      </c>
      <c r="C58" s="149">
        <v>0.21216299999999999</v>
      </c>
      <c r="D58" s="149">
        <v>0.22231200000000001</v>
      </c>
      <c r="E58" s="149">
        <v>0.22695699999999999</v>
      </c>
      <c r="F58" s="149">
        <v>0.22801299999999999</v>
      </c>
      <c r="G58" s="149">
        <v>0.228798</v>
      </c>
      <c r="H58" s="149">
        <v>0.229238</v>
      </c>
      <c r="I58" s="149">
        <v>0.229403</v>
      </c>
      <c r="J58" s="149">
        <v>0.229156</v>
      </c>
      <c r="K58" s="149">
        <v>0.228548</v>
      </c>
      <c r="L58" s="149">
        <v>0.22755600000000001</v>
      </c>
      <c r="M58" s="149">
        <v>0.22653000000000001</v>
      </c>
      <c r="N58" s="149">
        <v>0.22600500000000001</v>
      </c>
      <c r="O58" s="149">
        <v>0.22533600000000001</v>
      </c>
      <c r="P58" s="149">
        <v>0.22447300000000001</v>
      </c>
      <c r="Q58" s="149">
        <v>0.223496</v>
      </c>
      <c r="R58" s="149">
        <v>0.22194</v>
      </c>
      <c r="S58" s="149">
        <v>0.22057599999999999</v>
      </c>
      <c r="T58" s="149">
        <v>0.21909899999999999</v>
      </c>
      <c r="U58" s="149">
        <v>0.2175</v>
      </c>
      <c r="V58" s="149">
        <v>0.215784</v>
      </c>
      <c r="W58" s="149">
        <v>0.214032</v>
      </c>
      <c r="X58" s="149">
        <v>0.21201700000000001</v>
      </c>
      <c r="Y58" s="149">
        <v>0.21015400000000001</v>
      </c>
      <c r="Z58" s="149">
        <v>0.20821500000000001</v>
      </c>
      <c r="AA58" s="149">
        <v>0.206535</v>
      </c>
      <c r="AB58" s="149">
        <v>0.20446300000000001</v>
      </c>
      <c r="AC58" s="149">
        <v>0.20246</v>
      </c>
      <c r="AD58" s="149">
        <v>0.20028199999999999</v>
      </c>
      <c r="AE58" s="149">
        <v>0.198183</v>
      </c>
      <c r="AF58" s="147">
        <v>-2.4320000000000001E-3</v>
      </c>
      <c r="AG58" s="137"/>
    </row>
    <row r="59" spans="1:33" ht="15" customHeight="1">
      <c r="A59" s="15" t="s">
        <v>39</v>
      </c>
      <c r="B59" s="145" t="s">
        <v>20</v>
      </c>
      <c r="C59" s="149">
        <v>5.9211260000000001</v>
      </c>
      <c r="D59" s="149">
        <v>5.8150050000000002</v>
      </c>
      <c r="E59" s="149">
        <v>5.7261790000000001</v>
      </c>
      <c r="F59" s="149">
        <v>5.6708869999999996</v>
      </c>
      <c r="G59" s="149">
        <v>5.6364150000000004</v>
      </c>
      <c r="H59" s="149">
        <v>5.5889559999999996</v>
      </c>
      <c r="I59" s="149">
        <v>5.5406930000000001</v>
      </c>
      <c r="J59" s="149">
        <v>5.4803899999999999</v>
      </c>
      <c r="K59" s="149">
        <v>5.4188489999999998</v>
      </c>
      <c r="L59" s="149">
        <v>5.3674910000000002</v>
      </c>
      <c r="M59" s="149">
        <v>5.3360620000000001</v>
      </c>
      <c r="N59" s="149">
        <v>5.3021260000000003</v>
      </c>
      <c r="O59" s="149">
        <v>5.2741230000000003</v>
      </c>
      <c r="P59" s="149">
        <v>5.25631</v>
      </c>
      <c r="Q59" s="149">
        <v>5.2378020000000003</v>
      </c>
      <c r="R59" s="149">
        <v>5.2322259999999998</v>
      </c>
      <c r="S59" s="149">
        <v>5.2306210000000002</v>
      </c>
      <c r="T59" s="149">
        <v>5.2322899999999999</v>
      </c>
      <c r="U59" s="149">
        <v>5.2416010000000002</v>
      </c>
      <c r="V59" s="149">
        <v>5.2565660000000003</v>
      </c>
      <c r="W59" s="149">
        <v>5.2744609999999996</v>
      </c>
      <c r="X59" s="149">
        <v>5.2923179999999999</v>
      </c>
      <c r="Y59" s="149">
        <v>5.3090260000000002</v>
      </c>
      <c r="Z59" s="149">
        <v>5.323563</v>
      </c>
      <c r="AA59" s="149">
        <v>5.3446429999999996</v>
      </c>
      <c r="AB59" s="149">
        <v>5.367305</v>
      </c>
      <c r="AC59" s="149">
        <v>5.3838540000000004</v>
      </c>
      <c r="AD59" s="149">
        <v>5.4034690000000003</v>
      </c>
      <c r="AE59" s="149">
        <v>5.43954</v>
      </c>
      <c r="AF59" s="147">
        <v>-3.0249999999999999E-3</v>
      </c>
      <c r="AG59" s="137"/>
    </row>
    <row r="60" spans="1:33" ht="15" customHeight="1">
      <c r="A60" s="15" t="s">
        <v>38</v>
      </c>
      <c r="B60" s="145" t="s">
        <v>18</v>
      </c>
      <c r="C60" s="149">
        <v>4.3913000000000001E-2</v>
      </c>
      <c r="D60" s="149">
        <v>4.5564E-2</v>
      </c>
      <c r="E60" s="149">
        <v>4.6540999999999999E-2</v>
      </c>
      <c r="F60" s="149">
        <v>4.7204999999999997E-2</v>
      </c>
      <c r="G60" s="149">
        <v>4.7899999999999998E-2</v>
      </c>
      <c r="H60" s="149">
        <v>4.8571000000000003E-2</v>
      </c>
      <c r="I60" s="149">
        <v>4.9133000000000003E-2</v>
      </c>
      <c r="J60" s="149">
        <v>4.9707000000000001E-2</v>
      </c>
      <c r="K60" s="149">
        <v>5.015E-2</v>
      </c>
      <c r="L60" s="149">
        <v>5.0598999999999998E-2</v>
      </c>
      <c r="M60" s="149">
        <v>5.1139999999999998E-2</v>
      </c>
      <c r="N60" s="149">
        <v>5.1727000000000002E-2</v>
      </c>
      <c r="O60" s="149">
        <v>5.2368999999999999E-2</v>
      </c>
      <c r="P60" s="149">
        <v>5.2923999999999999E-2</v>
      </c>
      <c r="Q60" s="149">
        <v>5.3456999999999998E-2</v>
      </c>
      <c r="R60" s="149">
        <v>5.3973E-2</v>
      </c>
      <c r="S60" s="149">
        <v>5.4510000000000003E-2</v>
      </c>
      <c r="T60" s="149">
        <v>5.5034E-2</v>
      </c>
      <c r="U60" s="149">
        <v>5.5627000000000003E-2</v>
      </c>
      <c r="V60" s="149">
        <v>5.6181000000000002E-2</v>
      </c>
      <c r="W60" s="149">
        <v>5.6753999999999999E-2</v>
      </c>
      <c r="X60" s="149">
        <v>5.7258000000000003E-2</v>
      </c>
      <c r="Y60" s="149">
        <v>5.7815999999999999E-2</v>
      </c>
      <c r="Z60" s="149">
        <v>5.8367000000000002E-2</v>
      </c>
      <c r="AA60" s="149">
        <v>5.9116000000000002E-2</v>
      </c>
      <c r="AB60" s="149">
        <v>5.9750999999999999E-2</v>
      </c>
      <c r="AC60" s="149">
        <v>6.0444999999999999E-2</v>
      </c>
      <c r="AD60" s="149">
        <v>6.1081000000000003E-2</v>
      </c>
      <c r="AE60" s="149">
        <v>6.1848E-2</v>
      </c>
      <c r="AF60" s="147">
        <v>1.2305999999999999E-2</v>
      </c>
      <c r="AG60" s="137"/>
    </row>
    <row r="61" spans="1:33" ht="15" customHeight="1">
      <c r="A61" s="15" t="s">
        <v>37</v>
      </c>
      <c r="B61" s="145" t="s">
        <v>16</v>
      </c>
      <c r="C61" s="149">
        <v>0.48138199999999998</v>
      </c>
      <c r="D61" s="149">
        <v>0.47482200000000002</v>
      </c>
      <c r="E61" s="149">
        <v>0.49412899999999998</v>
      </c>
      <c r="F61" s="149">
        <v>0.48220400000000002</v>
      </c>
      <c r="G61" s="149">
        <v>0.46188000000000001</v>
      </c>
      <c r="H61" s="149">
        <v>0.44609500000000002</v>
      </c>
      <c r="I61" s="149">
        <v>0.439745</v>
      </c>
      <c r="J61" s="149">
        <v>0.44452599999999998</v>
      </c>
      <c r="K61" s="149">
        <v>0.44189200000000001</v>
      </c>
      <c r="L61" s="149">
        <v>0.44342300000000001</v>
      </c>
      <c r="M61" s="149">
        <v>0.44743699999999997</v>
      </c>
      <c r="N61" s="149">
        <v>0.45064799999999999</v>
      </c>
      <c r="O61" s="149">
        <v>0.45266600000000001</v>
      </c>
      <c r="P61" s="149">
        <v>0.455515</v>
      </c>
      <c r="Q61" s="149">
        <v>0.45589400000000002</v>
      </c>
      <c r="R61" s="149">
        <v>0.45686199999999999</v>
      </c>
      <c r="S61" s="149">
        <v>0.45827499999999999</v>
      </c>
      <c r="T61" s="149">
        <v>0.45760899999999999</v>
      </c>
      <c r="U61" s="149">
        <v>0.45812799999999998</v>
      </c>
      <c r="V61" s="149">
        <v>0.461673</v>
      </c>
      <c r="W61" s="149">
        <v>0.464588</v>
      </c>
      <c r="X61" s="149">
        <v>0.46493699999999999</v>
      </c>
      <c r="Y61" s="149">
        <v>0.46492299999999998</v>
      </c>
      <c r="Z61" s="149">
        <v>0.46477099999999999</v>
      </c>
      <c r="AA61" s="149">
        <v>0.46576699999999999</v>
      </c>
      <c r="AB61" s="149">
        <v>0.46815499999999999</v>
      </c>
      <c r="AC61" s="149">
        <v>0.47133999999999998</v>
      </c>
      <c r="AD61" s="149">
        <v>0.47259899999999999</v>
      </c>
      <c r="AE61" s="149">
        <v>0.47572900000000001</v>
      </c>
      <c r="AF61" s="147">
        <v>-4.2200000000000001E-4</v>
      </c>
      <c r="AG61" s="137"/>
    </row>
    <row r="62" spans="1:33" ht="15" customHeight="1">
      <c r="A62" s="15" t="s">
        <v>36</v>
      </c>
      <c r="B62" s="145" t="s">
        <v>14</v>
      </c>
      <c r="C62" s="149">
        <v>9.8239000000000007E-2</v>
      </c>
      <c r="D62" s="149">
        <v>9.8920999999999995E-2</v>
      </c>
      <c r="E62" s="149">
        <v>9.8114999999999994E-2</v>
      </c>
      <c r="F62" s="149">
        <v>9.7346000000000002E-2</v>
      </c>
      <c r="G62" s="149">
        <v>9.6685999999999994E-2</v>
      </c>
      <c r="H62" s="149">
        <v>9.5823000000000005E-2</v>
      </c>
      <c r="I62" s="149">
        <v>9.4964999999999994E-2</v>
      </c>
      <c r="J62" s="149">
        <v>9.3891000000000002E-2</v>
      </c>
      <c r="K62" s="149">
        <v>9.2919000000000002E-2</v>
      </c>
      <c r="L62" s="149">
        <v>9.2030000000000001E-2</v>
      </c>
      <c r="M62" s="149">
        <v>9.1400999999999996E-2</v>
      </c>
      <c r="N62" s="149">
        <v>9.0674000000000005E-2</v>
      </c>
      <c r="O62" s="149">
        <v>8.9934E-2</v>
      </c>
      <c r="P62" s="149">
        <v>8.9168999999999998E-2</v>
      </c>
      <c r="Q62" s="149">
        <v>8.8332999999999995E-2</v>
      </c>
      <c r="R62" s="149">
        <v>8.7614999999999998E-2</v>
      </c>
      <c r="S62" s="149">
        <v>8.6832999999999994E-2</v>
      </c>
      <c r="T62" s="149">
        <v>8.6156999999999997E-2</v>
      </c>
      <c r="U62" s="149">
        <v>8.5473999999999994E-2</v>
      </c>
      <c r="V62" s="149">
        <v>8.4846000000000005E-2</v>
      </c>
      <c r="W62" s="149">
        <v>8.4274000000000002E-2</v>
      </c>
      <c r="X62" s="149">
        <v>8.3705000000000002E-2</v>
      </c>
      <c r="Y62" s="149">
        <v>8.3102999999999996E-2</v>
      </c>
      <c r="Z62" s="149">
        <v>8.2418000000000005E-2</v>
      </c>
      <c r="AA62" s="149">
        <v>8.1855999999999998E-2</v>
      </c>
      <c r="AB62" s="149">
        <v>8.1249000000000002E-2</v>
      </c>
      <c r="AC62" s="149">
        <v>8.0573000000000006E-2</v>
      </c>
      <c r="AD62" s="149">
        <v>7.9990000000000006E-2</v>
      </c>
      <c r="AE62" s="149">
        <v>7.9592999999999997E-2</v>
      </c>
      <c r="AF62" s="147">
        <v>-7.489E-3</v>
      </c>
      <c r="AG62" s="137"/>
    </row>
    <row r="63" spans="1:33" ht="15" customHeight="1">
      <c r="A63" s="15" t="s">
        <v>35</v>
      </c>
      <c r="B63" s="145" t="s">
        <v>12</v>
      </c>
      <c r="C63" s="149">
        <v>0.93502799999999997</v>
      </c>
      <c r="D63" s="149">
        <v>0.88183</v>
      </c>
      <c r="E63" s="149">
        <v>0.87772700000000003</v>
      </c>
      <c r="F63" s="149">
        <v>0.87860400000000005</v>
      </c>
      <c r="G63" s="149">
        <v>0.87124999999999997</v>
      </c>
      <c r="H63" s="149">
        <v>0.86844900000000003</v>
      </c>
      <c r="I63" s="149">
        <v>0.86268900000000004</v>
      </c>
      <c r="J63" s="149">
        <v>0.85914199999999996</v>
      </c>
      <c r="K63" s="149">
        <v>0.85663400000000001</v>
      </c>
      <c r="L63" s="149">
        <v>0.85713600000000001</v>
      </c>
      <c r="M63" s="149">
        <v>0.857437</v>
      </c>
      <c r="N63" s="149">
        <v>0.85799999999999998</v>
      </c>
      <c r="O63" s="149">
        <v>0.85775999999999997</v>
      </c>
      <c r="P63" s="149">
        <v>0.85821800000000004</v>
      </c>
      <c r="Q63" s="149">
        <v>0.85754699999999995</v>
      </c>
      <c r="R63" s="149">
        <v>0.85761399999999999</v>
      </c>
      <c r="S63" s="149">
        <v>0.85763500000000004</v>
      </c>
      <c r="T63" s="149">
        <v>0.85734999999999995</v>
      </c>
      <c r="U63" s="149">
        <v>0.85724500000000003</v>
      </c>
      <c r="V63" s="149">
        <v>0.85730099999999998</v>
      </c>
      <c r="W63" s="149">
        <v>0.85782999999999998</v>
      </c>
      <c r="X63" s="149">
        <v>0.85782000000000003</v>
      </c>
      <c r="Y63" s="149">
        <v>0.85804800000000003</v>
      </c>
      <c r="Z63" s="149">
        <v>0.85806800000000005</v>
      </c>
      <c r="AA63" s="149">
        <v>0.86063299999999998</v>
      </c>
      <c r="AB63" s="149">
        <v>0.86092400000000002</v>
      </c>
      <c r="AC63" s="149">
        <v>0.85983399999999999</v>
      </c>
      <c r="AD63" s="149">
        <v>0.85912200000000005</v>
      </c>
      <c r="AE63" s="149">
        <v>0.85809500000000005</v>
      </c>
      <c r="AF63" s="147">
        <v>-3.0620000000000001E-3</v>
      </c>
      <c r="AG63" s="137"/>
    </row>
    <row r="64" spans="1:33" ht="15" customHeight="1">
      <c r="A64" s="15" t="s">
        <v>34</v>
      </c>
      <c r="B64" s="145" t="s">
        <v>10</v>
      </c>
      <c r="C64" s="149">
        <v>0.20283699999999999</v>
      </c>
      <c r="D64" s="149">
        <v>0.19916300000000001</v>
      </c>
      <c r="E64" s="149">
        <v>0.19580500000000001</v>
      </c>
      <c r="F64" s="149">
        <v>0.19373699999999999</v>
      </c>
      <c r="G64" s="149">
        <v>0.19281300000000001</v>
      </c>
      <c r="H64" s="149">
        <v>0.19189700000000001</v>
      </c>
      <c r="I64" s="149">
        <v>0.19073399999999999</v>
      </c>
      <c r="J64" s="149">
        <v>0.18920999999999999</v>
      </c>
      <c r="K64" s="149">
        <v>0.18740399999999999</v>
      </c>
      <c r="L64" s="149">
        <v>0.18567700000000001</v>
      </c>
      <c r="M64" s="149">
        <v>0.18446699999999999</v>
      </c>
      <c r="N64" s="149">
        <v>0.18361</v>
      </c>
      <c r="O64" s="149">
        <v>0.182778</v>
      </c>
      <c r="P64" s="149">
        <v>0.18199799999999999</v>
      </c>
      <c r="Q64" s="149">
        <v>0.18145</v>
      </c>
      <c r="R64" s="149">
        <v>0.18110599999999999</v>
      </c>
      <c r="S64" s="149">
        <v>0.18074599999999999</v>
      </c>
      <c r="T64" s="149">
        <v>0.18038299999999999</v>
      </c>
      <c r="U64" s="149">
        <v>0.18029500000000001</v>
      </c>
      <c r="V64" s="149">
        <v>0.18016099999999999</v>
      </c>
      <c r="W64" s="149">
        <v>0.17998800000000001</v>
      </c>
      <c r="X64" s="149">
        <v>0.179814</v>
      </c>
      <c r="Y64" s="149">
        <v>0.17955699999999999</v>
      </c>
      <c r="Z64" s="149">
        <v>0.17924399999999999</v>
      </c>
      <c r="AA64" s="149">
        <v>0.17895</v>
      </c>
      <c r="AB64" s="149">
        <v>0.178728</v>
      </c>
      <c r="AC64" s="149">
        <v>0.17849100000000001</v>
      </c>
      <c r="AD64" s="149">
        <v>0.178228</v>
      </c>
      <c r="AE64" s="149">
        <v>0.17815600000000001</v>
      </c>
      <c r="AF64" s="147">
        <v>-4.6230000000000004E-3</v>
      </c>
      <c r="AG64" s="137"/>
    </row>
    <row r="65" spans="1:33" s="174" customFormat="1" ht="15" customHeight="1">
      <c r="A65" s="169" t="s">
        <v>33</v>
      </c>
      <c r="B65" s="170" t="s">
        <v>8</v>
      </c>
      <c r="C65" s="171">
        <v>2.8028080000000002</v>
      </c>
      <c r="D65" s="171">
        <v>3.008168</v>
      </c>
      <c r="E65" s="171">
        <v>3.0512030000000001</v>
      </c>
      <c r="F65" s="171">
        <v>3.0571109999999999</v>
      </c>
      <c r="G65" s="171">
        <v>3.095898</v>
      </c>
      <c r="H65" s="171">
        <v>3.1342270000000001</v>
      </c>
      <c r="I65" s="171">
        <v>3.164552</v>
      </c>
      <c r="J65" s="171">
        <v>3.1871079999999998</v>
      </c>
      <c r="K65" s="171">
        <v>3.2029380000000001</v>
      </c>
      <c r="L65" s="171">
        <v>3.2187830000000002</v>
      </c>
      <c r="M65" s="171">
        <v>3.2439369999999998</v>
      </c>
      <c r="N65" s="171">
        <v>3.270448</v>
      </c>
      <c r="O65" s="171">
        <v>3.294403</v>
      </c>
      <c r="P65" s="171">
        <v>3.322924</v>
      </c>
      <c r="Q65" s="171">
        <v>3.3598249999999998</v>
      </c>
      <c r="R65" s="171">
        <v>3.4038949999999999</v>
      </c>
      <c r="S65" s="171">
        <v>3.4501719999999998</v>
      </c>
      <c r="T65" s="171">
        <v>3.498488</v>
      </c>
      <c r="U65" s="171">
        <v>3.5546440000000001</v>
      </c>
      <c r="V65" s="171">
        <v>3.608403</v>
      </c>
      <c r="W65" s="171">
        <v>3.6630980000000002</v>
      </c>
      <c r="X65" s="171">
        <v>3.7186249999999998</v>
      </c>
      <c r="Y65" s="171">
        <v>3.7740100000000001</v>
      </c>
      <c r="Z65" s="171">
        <v>3.8279190000000001</v>
      </c>
      <c r="AA65" s="171">
        <v>3.8804340000000002</v>
      </c>
      <c r="AB65" s="171">
        <v>3.9367380000000001</v>
      </c>
      <c r="AC65" s="171">
        <v>3.9936039999999999</v>
      </c>
      <c r="AD65" s="171">
        <v>4.0496509999999999</v>
      </c>
      <c r="AE65" s="171">
        <v>4.112158</v>
      </c>
      <c r="AF65" s="172">
        <v>1.3783999999999999E-2</v>
      </c>
      <c r="AG65" s="173"/>
    </row>
    <row r="66" spans="1:33" ht="12" customHeight="1">
      <c r="A66" s="15" t="s">
        <v>32</v>
      </c>
      <c r="B66" s="145" t="s">
        <v>6</v>
      </c>
      <c r="C66" s="149">
        <v>0.43083199999999999</v>
      </c>
      <c r="D66" s="149">
        <v>0.43313099999999999</v>
      </c>
      <c r="E66" s="149">
        <v>0.43396800000000002</v>
      </c>
      <c r="F66" s="149">
        <v>0.43462800000000001</v>
      </c>
      <c r="G66" s="149">
        <v>0.43516199999999999</v>
      </c>
      <c r="H66" s="149">
        <v>0.43594699999999997</v>
      </c>
      <c r="I66" s="149">
        <v>0.43650600000000001</v>
      </c>
      <c r="J66" s="149">
        <v>0.43695099999999998</v>
      </c>
      <c r="K66" s="149">
        <v>0.437332</v>
      </c>
      <c r="L66" s="149">
        <v>0.43757600000000002</v>
      </c>
      <c r="M66" s="149">
        <v>0.43774400000000002</v>
      </c>
      <c r="N66" s="149">
        <v>0.43782700000000002</v>
      </c>
      <c r="O66" s="149">
        <v>0.43785800000000002</v>
      </c>
      <c r="P66" s="149">
        <v>0.43787900000000002</v>
      </c>
      <c r="Q66" s="149">
        <v>0.438004</v>
      </c>
      <c r="R66" s="149">
        <v>0.43820300000000001</v>
      </c>
      <c r="S66" s="149">
        <v>0.43841200000000002</v>
      </c>
      <c r="T66" s="149">
        <v>0.43863099999999999</v>
      </c>
      <c r="U66" s="149">
        <v>0.43885800000000003</v>
      </c>
      <c r="V66" s="149">
        <v>0.43909300000000001</v>
      </c>
      <c r="W66" s="149">
        <v>0.43933499999999998</v>
      </c>
      <c r="X66" s="149">
        <v>0.43958399999999997</v>
      </c>
      <c r="Y66" s="149">
        <v>0.43983899999999998</v>
      </c>
      <c r="Z66" s="149">
        <v>0.44009900000000002</v>
      </c>
      <c r="AA66" s="149">
        <v>0.44036399999999998</v>
      </c>
      <c r="AB66" s="149">
        <v>0.440633</v>
      </c>
      <c r="AC66" s="149">
        <v>0.44090699999999999</v>
      </c>
      <c r="AD66" s="149">
        <v>0.44118400000000002</v>
      </c>
      <c r="AE66" s="149">
        <v>0.441465</v>
      </c>
      <c r="AF66" s="147">
        <v>8.7100000000000003E-4</v>
      </c>
      <c r="AG66" s="137"/>
    </row>
    <row r="67" spans="1:33" ht="15" customHeight="1">
      <c r="A67" s="15" t="s">
        <v>31</v>
      </c>
      <c r="B67" s="145" t="s">
        <v>4</v>
      </c>
      <c r="C67" s="149">
        <v>0.125945</v>
      </c>
      <c r="D67" s="149">
        <v>0.12592500000000001</v>
      </c>
      <c r="E67" s="149">
        <v>0.12601200000000001</v>
      </c>
      <c r="F67" s="149">
        <v>0.12605</v>
      </c>
      <c r="G67" s="149">
        <v>0.126114</v>
      </c>
      <c r="H67" s="149">
        <v>0.12598400000000001</v>
      </c>
      <c r="I67" s="149">
        <v>0.12585299999999999</v>
      </c>
      <c r="J67" s="149">
        <v>0.12575500000000001</v>
      </c>
      <c r="K67" s="149">
        <v>0.12565200000000001</v>
      </c>
      <c r="L67" s="149">
        <v>0.12554599999999999</v>
      </c>
      <c r="M67" s="149">
        <v>0.12543899999999999</v>
      </c>
      <c r="N67" s="149">
        <v>0.12533</v>
      </c>
      <c r="O67" s="149">
        <v>0.12525</v>
      </c>
      <c r="P67" s="149">
        <v>0.125225</v>
      </c>
      <c r="Q67" s="149">
        <v>0.12525500000000001</v>
      </c>
      <c r="R67" s="149">
        <v>0.12531800000000001</v>
      </c>
      <c r="S67" s="149">
        <v>0.125412</v>
      </c>
      <c r="T67" s="149">
        <v>0.125527</v>
      </c>
      <c r="U67" s="149">
        <v>0.125667</v>
      </c>
      <c r="V67" s="149">
        <v>0.12579699999999999</v>
      </c>
      <c r="W67" s="149">
        <v>0.12592500000000001</v>
      </c>
      <c r="X67" s="149">
        <v>0.12604599999999999</v>
      </c>
      <c r="Y67" s="149">
        <v>0.126166</v>
      </c>
      <c r="Z67" s="149">
        <v>0.12631999999999999</v>
      </c>
      <c r="AA67" s="149">
        <v>0.12649199999999999</v>
      </c>
      <c r="AB67" s="149">
        <v>0.126661</v>
      </c>
      <c r="AC67" s="149">
        <v>0.12681100000000001</v>
      </c>
      <c r="AD67" s="149">
        <v>0.126974</v>
      </c>
      <c r="AE67" s="149">
        <v>0.12715899999999999</v>
      </c>
      <c r="AF67" s="147">
        <v>3.4200000000000002E-4</v>
      </c>
      <c r="AG67" s="137"/>
    </row>
    <row r="68" spans="1:33" ht="15" customHeight="1">
      <c r="A68" s="15" t="s">
        <v>30</v>
      </c>
      <c r="B68" s="145" t="s">
        <v>253</v>
      </c>
      <c r="C68" s="149">
        <v>0.90573199999999998</v>
      </c>
      <c r="D68" s="149">
        <v>0.82054300000000002</v>
      </c>
      <c r="E68" s="149">
        <v>0.76098200000000005</v>
      </c>
      <c r="F68" s="149">
        <v>0.72675199999999995</v>
      </c>
      <c r="G68" s="149">
        <v>0.69584999999999997</v>
      </c>
      <c r="H68" s="149">
        <v>0.65398500000000004</v>
      </c>
      <c r="I68" s="149">
        <v>0.61392800000000003</v>
      </c>
      <c r="J68" s="149">
        <v>0.61203300000000005</v>
      </c>
      <c r="K68" s="149">
        <v>0.61031599999999997</v>
      </c>
      <c r="L68" s="149">
        <v>0.61189700000000002</v>
      </c>
      <c r="M68" s="149">
        <v>0.61776399999999998</v>
      </c>
      <c r="N68" s="149">
        <v>0.62628499999999998</v>
      </c>
      <c r="O68" s="149">
        <v>0.63076699999999997</v>
      </c>
      <c r="P68" s="149">
        <v>0.63347699999999996</v>
      </c>
      <c r="Q68" s="149">
        <v>0.63400299999999998</v>
      </c>
      <c r="R68" s="149">
        <v>0.63296799999999998</v>
      </c>
      <c r="S68" s="149">
        <v>0.63783100000000004</v>
      </c>
      <c r="T68" s="149">
        <v>0.63666800000000001</v>
      </c>
      <c r="U68" s="149">
        <v>0.64580700000000002</v>
      </c>
      <c r="V68" s="149">
        <v>0.65242699999999998</v>
      </c>
      <c r="W68" s="149">
        <v>0.65816600000000003</v>
      </c>
      <c r="X68" s="149">
        <v>0.66099399999999997</v>
      </c>
      <c r="Y68" s="149">
        <v>0.66509499999999999</v>
      </c>
      <c r="Z68" s="149">
        <v>0.66920299999999999</v>
      </c>
      <c r="AA68" s="149">
        <v>0.67453399999999997</v>
      </c>
      <c r="AB68" s="149">
        <v>0.68213500000000005</v>
      </c>
      <c r="AC68" s="149">
        <v>0.68949099999999997</v>
      </c>
      <c r="AD68" s="149">
        <v>0.691882</v>
      </c>
      <c r="AE68" s="149">
        <v>0.69677699999999998</v>
      </c>
      <c r="AF68" s="147">
        <v>-9.3229999999999997E-3</v>
      </c>
      <c r="AG68" s="137"/>
    </row>
    <row r="69" spans="1:33" ht="15" customHeight="1">
      <c r="A69" s="15" t="s">
        <v>1070</v>
      </c>
      <c r="B69" s="145" t="s">
        <v>1071</v>
      </c>
      <c r="C69" s="149">
        <v>0.33252300000000001</v>
      </c>
      <c r="D69" s="149">
        <v>0.377971</v>
      </c>
      <c r="E69" s="149">
        <v>0.38400499999999999</v>
      </c>
      <c r="F69" s="149">
        <v>0.40878300000000001</v>
      </c>
      <c r="G69" s="149">
        <v>0.44626100000000002</v>
      </c>
      <c r="H69" s="149">
        <v>0.47717300000000001</v>
      </c>
      <c r="I69" s="149">
        <v>0.50361</v>
      </c>
      <c r="J69" s="149">
        <v>0.52757100000000001</v>
      </c>
      <c r="K69" s="149">
        <v>0.57796899999999996</v>
      </c>
      <c r="L69" s="149">
        <v>0.62836700000000001</v>
      </c>
      <c r="M69" s="149">
        <v>0.68000400000000005</v>
      </c>
      <c r="N69" s="149">
        <v>0.72916400000000003</v>
      </c>
      <c r="O69" s="149">
        <v>0.77116200000000001</v>
      </c>
      <c r="P69" s="149">
        <v>0.79636099999999999</v>
      </c>
      <c r="Q69" s="149">
        <v>0.81439899999999998</v>
      </c>
      <c r="R69" s="149">
        <v>0.82996000000000003</v>
      </c>
      <c r="S69" s="149">
        <v>0.83835999999999999</v>
      </c>
      <c r="T69" s="149">
        <v>0.83835999999999999</v>
      </c>
      <c r="U69" s="149">
        <v>0.83959799999999996</v>
      </c>
      <c r="V69" s="149">
        <v>0.83835999999999999</v>
      </c>
      <c r="W69" s="149">
        <v>0.83835999999999999</v>
      </c>
      <c r="X69" s="149">
        <v>0.83835999999999999</v>
      </c>
      <c r="Y69" s="149">
        <v>0.83959799999999996</v>
      </c>
      <c r="Z69" s="149">
        <v>0.83835999999999999</v>
      </c>
      <c r="AA69" s="149">
        <v>0.83835999999999999</v>
      </c>
      <c r="AB69" s="149">
        <v>0.83835999999999999</v>
      </c>
      <c r="AC69" s="149">
        <v>0.83959799999999996</v>
      </c>
      <c r="AD69" s="149">
        <v>0.83835999999999999</v>
      </c>
      <c r="AE69" s="149">
        <v>0.83835999999999999</v>
      </c>
      <c r="AF69" s="147">
        <v>3.3577999999999997E-2</v>
      </c>
      <c r="AG69" s="137"/>
    </row>
    <row r="70" spans="1:33" ht="15" customHeight="1">
      <c r="A70" s="15" t="s">
        <v>29</v>
      </c>
      <c r="B70" s="144" t="s">
        <v>1</v>
      </c>
      <c r="C70" s="150">
        <v>27.986006</v>
      </c>
      <c r="D70" s="150">
        <v>28.032028</v>
      </c>
      <c r="E70" s="150">
        <v>27.776655000000002</v>
      </c>
      <c r="F70" s="150">
        <v>27.465699999999998</v>
      </c>
      <c r="G70" s="150">
        <v>27.255044999999999</v>
      </c>
      <c r="H70" s="150">
        <v>27.051918000000001</v>
      </c>
      <c r="I70" s="150">
        <v>26.819282999999999</v>
      </c>
      <c r="J70" s="150">
        <v>26.592269999999999</v>
      </c>
      <c r="K70" s="150">
        <v>26.360721999999999</v>
      </c>
      <c r="L70" s="150">
        <v>26.162958</v>
      </c>
      <c r="M70" s="150">
        <v>26.008129</v>
      </c>
      <c r="N70" s="150">
        <v>25.897749000000001</v>
      </c>
      <c r="O70" s="150">
        <v>25.802094</v>
      </c>
      <c r="P70" s="150">
        <v>25.704211999999998</v>
      </c>
      <c r="Q70" s="150">
        <v>25.598514999999999</v>
      </c>
      <c r="R70" s="150">
        <v>25.533525000000001</v>
      </c>
      <c r="S70" s="150">
        <v>25.493338000000001</v>
      </c>
      <c r="T70" s="150">
        <v>25.449311999999999</v>
      </c>
      <c r="U70" s="150">
        <v>25.46059</v>
      </c>
      <c r="V70" s="150">
        <v>25.485914000000001</v>
      </c>
      <c r="W70" s="150">
        <v>25.531475</v>
      </c>
      <c r="X70" s="150">
        <v>25.583796</v>
      </c>
      <c r="Y70" s="150">
        <v>25.657437999999999</v>
      </c>
      <c r="Z70" s="150">
        <v>25.744152</v>
      </c>
      <c r="AA70" s="150">
        <v>25.868386999999998</v>
      </c>
      <c r="AB70" s="150">
        <v>26.019403000000001</v>
      </c>
      <c r="AC70" s="150">
        <v>26.175443999999999</v>
      </c>
      <c r="AD70" s="150">
        <v>26.332941000000002</v>
      </c>
      <c r="AE70" s="150">
        <v>26.540414999999999</v>
      </c>
      <c r="AF70" s="151">
        <v>-1.892E-3</v>
      </c>
      <c r="AG70" s="137"/>
    </row>
    <row r="71" spans="1:33" ht="15" customHeight="1">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spans="1:33" ht="15" customHeight="1">
      <c r="B72" s="144" t="s">
        <v>28</v>
      </c>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spans="1:33" ht="12" customHeight="1">
      <c r="A73" s="15" t="s">
        <v>27</v>
      </c>
      <c r="B73" s="145" t="s">
        <v>26</v>
      </c>
      <c r="C73" s="149">
        <v>7.8874019999999998</v>
      </c>
      <c r="D73" s="149">
        <v>7.9122269999999997</v>
      </c>
      <c r="E73" s="149">
        <v>7.8274340000000002</v>
      </c>
      <c r="F73" s="149">
        <v>7.7041750000000002</v>
      </c>
      <c r="G73" s="149">
        <v>7.6036460000000003</v>
      </c>
      <c r="H73" s="149">
        <v>7.5184980000000001</v>
      </c>
      <c r="I73" s="149">
        <v>7.419035</v>
      </c>
      <c r="J73" s="149">
        <v>7.3065249999999997</v>
      </c>
      <c r="K73" s="149">
        <v>7.1853569999999998</v>
      </c>
      <c r="L73" s="149">
        <v>7.0706910000000001</v>
      </c>
      <c r="M73" s="149">
        <v>6.9570160000000003</v>
      </c>
      <c r="N73" s="149">
        <v>6.8672800000000001</v>
      </c>
      <c r="O73" s="149">
        <v>6.7902670000000001</v>
      </c>
      <c r="P73" s="149">
        <v>6.712955</v>
      </c>
      <c r="Q73" s="149">
        <v>6.6337719999999996</v>
      </c>
      <c r="R73" s="149">
        <v>6.566808</v>
      </c>
      <c r="S73" s="149">
        <v>6.509881</v>
      </c>
      <c r="T73" s="149">
        <v>6.457382</v>
      </c>
      <c r="U73" s="149">
        <v>6.4183839999999996</v>
      </c>
      <c r="V73" s="149">
        <v>6.3855760000000004</v>
      </c>
      <c r="W73" s="149">
        <v>6.3615849999999998</v>
      </c>
      <c r="X73" s="149">
        <v>6.3450730000000002</v>
      </c>
      <c r="Y73" s="149">
        <v>6.3401059999999996</v>
      </c>
      <c r="Z73" s="149">
        <v>6.3454620000000004</v>
      </c>
      <c r="AA73" s="149">
        <v>6.3641899999999998</v>
      </c>
      <c r="AB73" s="149">
        <v>6.3931519999999997</v>
      </c>
      <c r="AC73" s="149">
        <v>6.428598</v>
      </c>
      <c r="AD73" s="149">
        <v>6.4683789999999997</v>
      </c>
      <c r="AE73" s="149">
        <v>6.5181990000000001</v>
      </c>
      <c r="AF73" s="147">
        <v>-6.7860000000000004E-3</v>
      </c>
      <c r="AG73" s="137"/>
    </row>
    <row r="74" spans="1:33" ht="15" customHeight="1">
      <c r="A74" s="15" t="s">
        <v>25</v>
      </c>
      <c r="B74" s="145" t="s">
        <v>24</v>
      </c>
      <c r="C74" s="149">
        <v>0.496809</v>
      </c>
      <c r="D74" s="149">
        <v>0.49219299999999999</v>
      </c>
      <c r="E74" s="149">
        <v>0.48331400000000002</v>
      </c>
      <c r="F74" s="149">
        <v>0.47684199999999999</v>
      </c>
      <c r="G74" s="149">
        <v>0.472221</v>
      </c>
      <c r="H74" s="149">
        <v>0.46793200000000001</v>
      </c>
      <c r="I74" s="149">
        <v>0.46471200000000001</v>
      </c>
      <c r="J74" s="149">
        <v>0.46205299999999999</v>
      </c>
      <c r="K74" s="149">
        <v>0.45911099999999999</v>
      </c>
      <c r="L74" s="149">
        <v>0.45708399999999999</v>
      </c>
      <c r="M74" s="149">
        <v>0.45675399999999999</v>
      </c>
      <c r="N74" s="149">
        <v>0.45698899999999998</v>
      </c>
      <c r="O74" s="149">
        <v>0.457814</v>
      </c>
      <c r="P74" s="149">
        <v>0.45909100000000003</v>
      </c>
      <c r="Q74" s="149">
        <v>0.46056399999999997</v>
      </c>
      <c r="R74" s="149">
        <v>0.462619</v>
      </c>
      <c r="S74" s="149">
        <v>0.46518900000000002</v>
      </c>
      <c r="T74" s="149">
        <v>0.46762300000000001</v>
      </c>
      <c r="U74" s="149">
        <v>0.47117599999999998</v>
      </c>
      <c r="V74" s="149">
        <v>0.47543600000000003</v>
      </c>
      <c r="W74" s="149">
        <v>0.47985299999999997</v>
      </c>
      <c r="X74" s="149">
        <v>0.48379299999999997</v>
      </c>
      <c r="Y74" s="149">
        <v>0.48735400000000001</v>
      </c>
      <c r="Z74" s="149">
        <v>0.49135299999999998</v>
      </c>
      <c r="AA74" s="149">
        <v>0.49600300000000003</v>
      </c>
      <c r="AB74" s="149">
        <v>0.50156500000000004</v>
      </c>
      <c r="AC74" s="149">
        <v>0.50649100000000002</v>
      </c>
      <c r="AD74" s="149">
        <v>0.51146199999999997</v>
      </c>
      <c r="AE74" s="149">
        <v>0.51798100000000002</v>
      </c>
      <c r="AF74" s="147">
        <v>1.4920000000000001E-3</v>
      </c>
      <c r="AG74" s="137"/>
    </row>
    <row r="75" spans="1:33" ht="15" customHeight="1">
      <c r="A75" s="15" t="s">
        <v>23</v>
      </c>
      <c r="B75" s="145" t="s">
        <v>22</v>
      </c>
      <c r="C75" s="149">
        <v>0.105213</v>
      </c>
      <c r="D75" s="149">
        <v>0.11029600000000001</v>
      </c>
      <c r="E75" s="149">
        <v>0.11259</v>
      </c>
      <c r="F75" s="149">
        <v>0.113083</v>
      </c>
      <c r="G75" s="149">
        <v>0.113492</v>
      </c>
      <c r="H75" s="149">
        <v>0.113737</v>
      </c>
      <c r="I75" s="149">
        <v>0.113843</v>
      </c>
      <c r="J75" s="149">
        <v>0.113729</v>
      </c>
      <c r="K75" s="149">
        <v>0.11343399999999999</v>
      </c>
      <c r="L75" s="149">
        <v>0.112917</v>
      </c>
      <c r="M75" s="149">
        <v>0.112403</v>
      </c>
      <c r="N75" s="149">
        <v>0.11212900000000001</v>
      </c>
      <c r="O75" s="149">
        <v>0.111806</v>
      </c>
      <c r="P75" s="149">
        <v>0.11138099999999999</v>
      </c>
      <c r="Q75" s="149">
        <v>0.110915</v>
      </c>
      <c r="R75" s="149">
        <v>0.110151</v>
      </c>
      <c r="S75" s="149">
        <v>0.109477</v>
      </c>
      <c r="T75" s="149">
        <v>0.108762</v>
      </c>
      <c r="U75" s="149">
        <v>0.107969</v>
      </c>
      <c r="V75" s="149">
        <v>0.107129</v>
      </c>
      <c r="W75" s="149">
        <v>0.10628799999999999</v>
      </c>
      <c r="X75" s="149">
        <v>0.105307</v>
      </c>
      <c r="Y75" s="149">
        <v>0.104391</v>
      </c>
      <c r="Z75" s="149">
        <v>0.103434</v>
      </c>
      <c r="AA75" s="149">
        <v>0.102605</v>
      </c>
      <c r="AB75" s="149">
        <v>0.101578</v>
      </c>
      <c r="AC75" s="149">
        <v>0.10058599999999999</v>
      </c>
      <c r="AD75" s="149">
        <v>9.9506999999999998E-2</v>
      </c>
      <c r="AE75" s="149">
        <v>9.8460000000000006E-2</v>
      </c>
      <c r="AF75" s="147">
        <v>-2.366E-3</v>
      </c>
      <c r="AG75" s="137"/>
    </row>
    <row r="76" spans="1:33" ht="15" customHeight="1">
      <c r="A76" s="15" t="s">
        <v>21</v>
      </c>
      <c r="B76" s="145" t="s">
        <v>20</v>
      </c>
      <c r="C76" s="149">
        <v>2.850965</v>
      </c>
      <c r="D76" s="149">
        <v>2.8004340000000001</v>
      </c>
      <c r="E76" s="149">
        <v>2.7581639999999998</v>
      </c>
      <c r="F76" s="149">
        <v>2.7321939999999998</v>
      </c>
      <c r="G76" s="149">
        <v>2.7161360000000001</v>
      </c>
      <c r="H76" s="149">
        <v>2.6936719999999998</v>
      </c>
      <c r="I76" s="149">
        <v>2.6712570000000002</v>
      </c>
      <c r="J76" s="149">
        <v>2.6429619999999998</v>
      </c>
      <c r="K76" s="149">
        <v>2.6141770000000002</v>
      </c>
      <c r="L76" s="149">
        <v>2.5901740000000002</v>
      </c>
      <c r="M76" s="149">
        <v>2.5759319999999999</v>
      </c>
      <c r="N76" s="149">
        <v>2.560368</v>
      </c>
      <c r="O76" s="149">
        <v>2.5477449999999999</v>
      </c>
      <c r="P76" s="149">
        <v>2.5398450000000001</v>
      </c>
      <c r="Q76" s="149">
        <v>2.5316429999999999</v>
      </c>
      <c r="R76" s="149">
        <v>2.5296340000000002</v>
      </c>
      <c r="S76" s="149">
        <v>2.5295000000000001</v>
      </c>
      <c r="T76" s="149">
        <v>2.5309710000000001</v>
      </c>
      <c r="U76" s="149">
        <v>2.536117</v>
      </c>
      <c r="V76" s="149">
        <v>2.5440339999999999</v>
      </c>
      <c r="W76" s="149">
        <v>2.553331</v>
      </c>
      <c r="X76" s="149">
        <v>2.5625979999999999</v>
      </c>
      <c r="Y76" s="149">
        <v>2.571348</v>
      </c>
      <c r="Z76" s="149">
        <v>2.5790220000000001</v>
      </c>
      <c r="AA76" s="149">
        <v>2.5899839999999998</v>
      </c>
      <c r="AB76" s="149">
        <v>2.6017070000000002</v>
      </c>
      <c r="AC76" s="149">
        <v>2.6103890000000001</v>
      </c>
      <c r="AD76" s="149">
        <v>2.6206119999999999</v>
      </c>
      <c r="AE76" s="149">
        <v>2.6388850000000001</v>
      </c>
      <c r="AF76" s="147">
        <v>-2.7569999999999999E-3</v>
      </c>
      <c r="AG76" s="137"/>
    </row>
    <row r="77" spans="1:33" ht="15" customHeight="1">
      <c r="A77" s="15" t="s">
        <v>19</v>
      </c>
      <c r="B77" s="145" t="s">
        <v>18</v>
      </c>
      <c r="C77" s="149">
        <v>2.0781000000000001E-2</v>
      </c>
      <c r="D77" s="149">
        <v>2.1562999999999999E-2</v>
      </c>
      <c r="E77" s="149">
        <v>2.2024999999999999E-2</v>
      </c>
      <c r="F77" s="149">
        <v>2.2339999999999999E-2</v>
      </c>
      <c r="G77" s="149">
        <v>2.2668000000000001E-2</v>
      </c>
      <c r="H77" s="149">
        <v>2.2984000000000001E-2</v>
      </c>
      <c r="I77" s="149">
        <v>2.3251000000000001E-2</v>
      </c>
      <c r="J77" s="149">
        <v>2.3522999999999999E-2</v>
      </c>
      <c r="K77" s="149">
        <v>2.3733000000000001E-2</v>
      </c>
      <c r="L77" s="149">
        <v>2.3945000000000001E-2</v>
      </c>
      <c r="M77" s="149">
        <v>2.4201E-2</v>
      </c>
      <c r="N77" s="149">
        <v>2.4479000000000001E-2</v>
      </c>
      <c r="O77" s="149">
        <v>2.4782999999999999E-2</v>
      </c>
      <c r="P77" s="149">
        <v>2.5045000000000001E-2</v>
      </c>
      <c r="Q77" s="149">
        <v>2.5298000000000001E-2</v>
      </c>
      <c r="R77" s="149">
        <v>2.5541999999999999E-2</v>
      </c>
      <c r="S77" s="149">
        <v>2.5795999999999999E-2</v>
      </c>
      <c r="T77" s="149">
        <v>2.6044000000000001E-2</v>
      </c>
      <c r="U77" s="149">
        <v>2.6325000000000001E-2</v>
      </c>
      <c r="V77" s="149">
        <v>2.6587E-2</v>
      </c>
      <c r="W77" s="149">
        <v>2.6858E-2</v>
      </c>
      <c r="X77" s="149">
        <v>2.7097E-2</v>
      </c>
      <c r="Y77" s="149">
        <v>2.7361E-2</v>
      </c>
      <c r="Z77" s="149">
        <v>2.7622000000000001E-2</v>
      </c>
      <c r="AA77" s="149">
        <v>2.7976999999999998E-2</v>
      </c>
      <c r="AB77" s="149">
        <v>2.8278000000000001E-2</v>
      </c>
      <c r="AC77" s="149">
        <v>2.8604999999999998E-2</v>
      </c>
      <c r="AD77" s="149">
        <v>2.8906000000000001E-2</v>
      </c>
      <c r="AE77" s="149">
        <v>2.9270000000000001E-2</v>
      </c>
      <c r="AF77" s="147">
        <v>1.2307999999999999E-2</v>
      </c>
      <c r="AG77" s="137"/>
    </row>
    <row r="78" spans="1:33" ht="15" customHeight="1">
      <c r="A78" s="15" t="s">
        <v>17</v>
      </c>
      <c r="B78" s="145" t="s">
        <v>16</v>
      </c>
      <c r="C78" s="149">
        <v>0.22834699999999999</v>
      </c>
      <c r="D78" s="149">
        <v>0.22523399999999999</v>
      </c>
      <c r="E78" s="149">
        <v>0.234373</v>
      </c>
      <c r="F78" s="149">
        <v>0.228717</v>
      </c>
      <c r="G78" s="149">
        <v>0.21906</v>
      </c>
      <c r="H78" s="149">
        <v>0.21154500000000001</v>
      </c>
      <c r="I78" s="149">
        <v>0.208541</v>
      </c>
      <c r="J78" s="149">
        <v>0.21080599999999999</v>
      </c>
      <c r="K78" s="149">
        <v>0.209559</v>
      </c>
      <c r="L78" s="149">
        <v>0.21027599999999999</v>
      </c>
      <c r="M78" s="149">
        <v>0.21217800000000001</v>
      </c>
      <c r="N78" s="149">
        <v>0.21369199999999999</v>
      </c>
      <c r="O78" s="149">
        <v>0.21465000000000001</v>
      </c>
      <c r="P78" s="149">
        <v>0.21598899999999999</v>
      </c>
      <c r="Q78" s="149">
        <v>0.216165</v>
      </c>
      <c r="R78" s="149">
        <v>0.216616</v>
      </c>
      <c r="S78" s="149">
        <v>0.21728</v>
      </c>
      <c r="T78" s="149">
        <v>0.21695600000000001</v>
      </c>
      <c r="U78" s="149">
        <v>0.217194</v>
      </c>
      <c r="V78" s="149">
        <v>0.218865</v>
      </c>
      <c r="W78" s="149">
        <v>0.22023400000000001</v>
      </c>
      <c r="X78" s="149">
        <v>0.220387</v>
      </c>
      <c r="Y78" s="149">
        <v>0.22037000000000001</v>
      </c>
      <c r="Z78" s="149">
        <v>0.22028300000000001</v>
      </c>
      <c r="AA78" s="149">
        <v>0.220747</v>
      </c>
      <c r="AB78" s="149">
        <v>0.22186600000000001</v>
      </c>
      <c r="AC78" s="149">
        <v>0.223355</v>
      </c>
      <c r="AD78" s="149">
        <v>0.223935</v>
      </c>
      <c r="AE78" s="149">
        <v>0.225407</v>
      </c>
      <c r="AF78" s="147">
        <v>-4.6299999999999998E-4</v>
      </c>
      <c r="AG78" s="137"/>
    </row>
    <row r="79" spans="1:33" ht="12" customHeight="1">
      <c r="A79" s="15" t="s">
        <v>15</v>
      </c>
      <c r="B79" s="145" t="s">
        <v>14</v>
      </c>
      <c r="C79" s="149">
        <v>4.6526999999999999E-2</v>
      </c>
      <c r="D79" s="149">
        <v>4.6852999999999999E-2</v>
      </c>
      <c r="E79" s="149">
        <v>4.6469999999999997E-2</v>
      </c>
      <c r="F79" s="149">
        <v>4.6109999999999998E-2</v>
      </c>
      <c r="G79" s="149">
        <v>4.5796000000000003E-2</v>
      </c>
      <c r="H79" s="149">
        <v>4.5385000000000002E-2</v>
      </c>
      <c r="I79" s="149">
        <v>4.4983000000000002E-2</v>
      </c>
      <c r="J79" s="149">
        <v>4.4476000000000002E-2</v>
      </c>
      <c r="K79" s="149">
        <v>4.4019999999999997E-2</v>
      </c>
      <c r="L79" s="149">
        <v>4.36E-2</v>
      </c>
      <c r="M79" s="149">
        <v>4.3305999999999997E-2</v>
      </c>
      <c r="N79" s="149">
        <v>4.2963000000000001E-2</v>
      </c>
      <c r="O79" s="149">
        <v>4.2617000000000002E-2</v>
      </c>
      <c r="P79" s="149">
        <v>4.2256000000000002E-2</v>
      </c>
      <c r="Q79" s="149">
        <v>4.1862999999999997E-2</v>
      </c>
      <c r="R79" s="149">
        <v>4.1524999999999999E-2</v>
      </c>
      <c r="S79" s="149">
        <v>4.1158E-2</v>
      </c>
      <c r="T79" s="149">
        <v>4.0840000000000001E-2</v>
      </c>
      <c r="U79" s="149">
        <v>4.0518999999999999E-2</v>
      </c>
      <c r="V79" s="149">
        <v>4.0222000000000001E-2</v>
      </c>
      <c r="W79" s="149">
        <v>3.9949999999999999E-2</v>
      </c>
      <c r="X79" s="149">
        <v>3.9681000000000001E-2</v>
      </c>
      <c r="Y79" s="149">
        <v>3.9394999999999999E-2</v>
      </c>
      <c r="Z79" s="149">
        <v>3.9070000000000001E-2</v>
      </c>
      <c r="AA79" s="149">
        <v>3.8804999999999999E-2</v>
      </c>
      <c r="AB79" s="149">
        <v>3.8517000000000003E-2</v>
      </c>
      <c r="AC79" s="149">
        <v>3.8196000000000001E-2</v>
      </c>
      <c r="AD79" s="149">
        <v>3.7919000000000001E-2</v>
      </c>
      <c r="AE79" s="149">
        <v>3.7732000000000002E-2</v>
      </c>
      <c r="AF79" s="147">
        <v>-7.4549999999999998E-3</v>
      </c>
      <c r="AG79" s="137"/>
    </row>
    <row r="80" spans="1:33" ht="15" customHeight="1">
      <c r="A80" s="15" t="s">
        <v>13</v>
      </c>
      <c r="B80" s="145" t="s">
        <v>12</v>
      </c>
      <c r="C80" s="149">
        <v>0.41703200000000001</v>
      </c>
      <c r="D80" s="149">
        <v>0.39771000000000001</v>
      </c>
      <c r="E80" s="149">
        <v>0.396229</v>
      </c>
      <c r="F80" s="149">
        <v>0.39661299999999999</v>
      </c>
      <c r="G80" s="149">
        <v>0.39397500000000002</v>
      </c>
      <c r="H80" s="149">
        <v>0.39299699999999999</v>
      </c>
      <c r="I80" s="149">
        <v>0.39095600000000003</v>
      </c>
      <c r="J80" s="149">
        <v>0.38970900000000003</v>
      </c>
      <c r="K80" s="149">
        <v>0.388847</v>
      </c>
      <c r="L80" s="149">
        <v>0.389075</v>
      </c>
      <c r="M80" s="149">
        <v>0.38924700000000001</v>
      </c>
      <c r="N80" s="149">
        <v>0.38950699999999999</v>
      </c>
      <c r="O80" s="149">
        <v>0.38948100000000002</v>
      </c>
      <c r="P80" s="149">
        <v>0.38969799999999999</v>
      </c>
      <c r="Q80" s="149">
        <v>0.38950499999999999</v>
      </c>
      <c r="R80" s="149">
        <v>0.389575</v>
      </c>
      <c r="S80" s="149">
        <v>0.38963399999999998</v>
      </c>
      <c r="T80" s="149">
        <v>0.38958100000000001</v>
      </c>
      <c r="U80" s="149">
        <v>0.38959700000000003</v>
      </c>
      <c r="V80" s="149">
        <v>0.38967000000000002</v>
      </c>
      <c r="W80" s="149">
        <v>0.38991700000000001</v>
      </c>
      <c r="X80" s="149">
        <v>0.38996900000000001</v>
      </c>
      <c r="Y80" s="149">
        <v>0.39011299999999999</v>
      </c>
      <c r="Z80" s="149">
        <v>0.39017800000000002</v>
      </c>
      <c r="AA80" s="149">
        <v>0.391183</v>
      </c>
      <c r="AB80" s="149">
        <v>0.391349</v>
      </c>
      <c r="AC80" s="149">
        <v>0.39100600000000002</v>
      </c>
      <c r="AD80" s="149">
        <v>0.39079999999999998</v>
      </c>
      <c r="AE80" s="149">
        <v>0.39048899999999998</v>
      </c>
      <c r="AF80" s="147">
        <v>-2.346E-3</v>
      </c>
      <c r="AG80" s="137"/>
    </row>
    <row r="81" spans="1:34" ht="12" customHeight="1">
      <c r="A81" s="15" t="s">
        <v>11</v>
      </c>
      <c r="B81" s="145" t="s">
        <v>10</v>
      </c>
      <c r="C81" s="149">
        <v>0.11000600000000001</v>
      </c>
      <c r="D81" s="149">
        <v>0.108038</v>
      </c>
      <c r="E81" s="149">
        <v>0.106242</v>
      </c>
      <c r="F81" s="149">
        <v>0.105144</v>
      </c>
      <c r="G81" s="149">
        <v>0.104667</v>
      </c>
      <c r="H81" s="149">
        <v>0.104195</v>
      </c>
      <c r="I81" s="149">
        <v>0.103587</v>
      </c>
      <c r="J81" s="149">
        <v>0.102784</v>
      </c>
      <c r="K81" s="149">
        <v>0.101827</v>
      </c>
      <c r="L81" s="149">
        <v>0.100913</v>
      </c>
      <c r="M81" s="149">
        <v>0.10027899999999999</v>
      </c>
      <c r="N81" s="149">
        <v>9.9837999999999996E-2</v>
      </c>
      <c r="O81" s="149">
        <v>9.9408999999999997E-2</v>
      </c>
      <c r="P81" s="149">
        <v>9.9009E-2</v>
      </c>
      <c r="Q81" s="149">
        <v>9.8730999999999999E-2</v>
      </c>
      <c r="R81" s="149">
        <v>9.8563999999999999E-2</v>
      </c>
      <c r="S81" s="149">
        <v>9.8387000000000002E-2</v>
      </c>
      <c r="T81" s="149">
        <v>9.8209000000000005E-2</v>
      </c>
      <c r="U81" s="149">
        <v>9.8181000000000004E-2</v>
      </c>
      <c r="V81" s="149">
        <v>9.8125000000000004E-2</v>
      </c>
      <c r="W81" s="149">
        <v>9.8048999999999997E-2</v>
      </c>
      <c r="X81" s="149">
        <v>9.7971000000000003E-2</v>
      </c>
      <c r="Y81" s="149">
        <v>9.7849000000000005E-2</v>
      </c>
      <c r="Z81" s="149">
        <v>9.7695000000000004E-2</v>
      </c>
      <c r="AA81" s="149">
        <v>9.7552E-2</v>
      </c>
      <c r="AB81" s="149">
        <v>9.7448000000000007E-2</v>
      </c>
      <c r="AC81" s="149">
        <v>9.7337000000000007E-2</v>
      </c>
      <c r="AD81" s="149">
        <v>9.7211000000000006E-2</v>
      </c>
      <c r="AE81" s="149">
        <v>9.7187999999999997E-2</v>
      </c>
      <c r="AF81" s="147">
        <v>-4.4149999999999997E-3</v>
      </c>
      <c r="AG81" s="137"/>
    </row>
    <row r="82" spans="1:34" ht="15" customHeight="1">
      <c r="A82" s="15" t="s">
        <v>9</v>
      </c>
      <c r="B82" s="145" t="s">
        <v>8</v>
      </c>
      <c r="C82" s="149">
        <v>1.355634</v>
      </c>
      <c r="D82" s="149">
        <v>1.4548650000000001</v>
      </c>
      <c r="E82" s="149">
        <v>1.475662</v>
      </c>
      <c r="F82" s="149">
        <v>1.4785189999999999</v>
      </c>
      <c r="G82" s="149">
        <v>1.497263</v>
      </c>
      <c r="H82" s="149">
        <v>1.5157860000000001</v>
      </c>
      <c r="I82" s="149">
        <v>1.5304420000000001</v>
      </c>
      <c r="J82" s="149">
        <v>1.541344</v>
      </c>
      <c r="K82" s="149">
        <v>1.5489949999999999</v>
      </c>
      <c r="L82" s="149">
        <v>1.556654</v>
      </c>
      <c r="M82" s="149">
        <v>1.568811</v>
      </c>
      <c r="N82" s="149">
        <v>1.5816239999999999</v>
      </c>
      <c r="O82" s="149">
        <v>1.593202</v>
      </c>
      <c r="P82" s="149">
        <v>1.606986</v>
      </c>
      <c r="Q82" s="149">
        <v>1.624819</v>
      </c>
      <c r="R82" s="149">
        <v>1.6461159999999999</v>
      </c>
      <c r="S82" s="149">
        <v>1.668479</v>
      </c>
      <c r="T82" s="149">
        <v>1.6918280000000001</v>
      </c>
      <c r="U82" s="149">
        <v>1.7189650000000001</v>
      </c>
      <c r="V82" s="149">
        <v>1.7449429999999999</v>
      </c>
      <c r="W82" s="149">
        <v>1.7713730000000001</v>
      </c>
      <c r="X82" s="149">
        <v>1.798206</v>
      </c>
      <c r="Y82" s="149">
        <v>1.82497</v>
      </c>
      <c r="Z82" s="149">
        <v>1.851021</v>
      </c>
      <c r="AA82" s="149">
        <v>1.876398</v>
      </c>
      <c r="AB82" s="149">
        <v>1.9036059999999999</v>
      </c>
      <c r="AC82" s="149">
        <v>1.9310860000000001</v>
      </c>
      <c r="AD82" s="149">
        <v>1.95817</v>
      </c>
      <c r="AE82" s="149">
        <v>1.988375</v>
      </c>
      <c r="AF82" s="147">
        <v>1.3774E-2</v>
      </c>
      <c r="AG82" s="137"/>
    </row>
    <row r="83" spans="1:34" ht="15" customHeight="1">
      <c r="A83" s="15" t="s">
        <v>7</v>
      </c>
      <c r="B83" s="145" t="s">
        <v>6</v>
      </c>
      <c r="C83" s="149">
        <v>0.20732500000000001</v>
      </c>
      <c r="D83" s="149">
        <v>0.20843100000000001</v>
      </c>
      <c r="E83" s="149">
        <v>0.20882999999999999</v>
      </c>
      <c r="F83" s="149">
        <v>0.209148</v>
      </c>
      <c r="G83" s="149">
        <v>0.209402</v>
      </c>
      <c r="H83" s="149">
        <v>0.20977399999999999</v>
      </c>
      <c r="I83" s="149">
        <v>0.21004500000000001</v>
      </c>
      <c r="J83" s="149">
        <v>0.210259</v>
      </c>
      <c r="K83" s="149">
        <v>0.21044299999999999</v>
      </c>
      <c r="L83" s="149">
        <v>0.21056</v>
      </c>
      <c r="M83" s="149">
        <v>0.21064099999999999</v>
      </c>
      <c r="N83" s="149">
        <v>0.21068000000000001</v>
      </c>
      <c r="O83" s="149">
        <v>0.210697</v>
      </c>
      <c r="P83" s="149">
        <v>0.210706</v>
      </c>
      <c r="Q83" s="149">
        <v>0.21076600000000001</v>
      </c>
      <c r="R83" s="149">
        <v>0.21086199999999999</v>
      </c>
      <c r="S83" s="149">
        <v>0.21096400000000001</v>
      </c>
      <c r="T83" s="149">
        <v>0.21106900000000001</v>
      </c>
      <c r="U83" s="149">
        <v>0.21117900000000001</v>
      </c>
      <c r="V83" s="149">
        <v>0.21129200000000001</v>
      </c>
      <c r="W83" s="149">
        <v>0.21140900000000001</v>
      </c>
      <c r="X83" s="149">
        <v>0.21152899999999999</v>
      </c>
      <c r="Y83" s="149">
        <v>0.21165200000000001</v>
      </c>
      <c r="Z83" s="149">
        <v>0.21177699999999999</v>
      </c>
      <c r="AA83" s="149">
        <v>0.21190600000000001</v>
      </c>
      <c r="AB83" s="149">
        <v>0.212036</v>
      </c>
      <c r="AC83" s="149">
        <v>0.21216699999999999</v>
      </c>
      <c r="AD83" s="149">
        <v>0.21229999999999999</v>
      </c>
      <c r="AE83" s="149">
        <v>0.21243699999999999</v>
      </c>
      <c r="AF83" s="147">
        <v>8.7000000000000001E-4</v>
      </c>
      <c r="AG83" s="137"/>
    </row>
    <row r="84" spans="1:34" ht="15" customHeight="1">
      <c r="A84" s="15" t="s">
        <v>5</v>
      </c>
      <c r="B84" s="145" t="s">
        <v>4</v>
      </c>
      <c r="C84" s="149">
        <v>5.9492000000000003E-2</v>
      </c>
      <c r="D84" s="149">
        <v>5.9483000000000001E-2</v>
      </c>
      <c r="E84" s="149">
        <v>5.9524000000000001E-2</v>
      </c>
      <c r="F84" s="149">
        <v>5.9541999999999998E-2</v>
      </c>
      <c r="G84" s="149">
        <v>5.9572E-2</v>
      </c>
      <c r="H84" s="149">
        <v>5.9511000000000001E-2</v>
      </c>
      <c r="I84" s="149">
        <v>5.9449000000000002E-2</v>
      </c>
      <c r="J84" s="149">
        <v>5.9402999999999997E-2</v>
      </c>
      <c r="K84" s="149">
        <v>5.9353999999999997E-2</v>
      </c>
      <c r="L84" s="149">
        <v>5.9304000000000003E-2</v>
      </c>
      <c r="M84" s="149">
        <v>5.9253E-2</v>
      </c>
      <c r="N84" s="149">
        <v>5.9201999999999998E-2</v>
      </c>
      <c r="O84" s="149">
        <v>5.9164000000000001E-2</v>
      </c>
      <c r="P84" s="149">
        <v>5.9152000000000003E-2</v>
      </c>
      <c r="Q84" s="149">
        <v>5.9166000000000003E-2</v>
      </c>
      <c r="R84" s="149">
        <v>5.9195999999999999E-2</v>
      </c>
      <c r="S84" s="149">
        <v>5.9240000000000001E-2</v>
      </c>
      <c r="T84" s="149">
        <v>5.9295E-2</v>
      </c>
      <c r="U84" s="149">
        <v>5.9360999999999997E-2</v>
      </c>
      <c r="V84" s="149">
        <v>5.9422000000000003E-2</v>
      </c>
      <c r="W84" s="149">
        <v>5.9483000000000001E-2</v>
      </c>
      <c r="X84" s="149">
        <v>5.9540000000000003E-2</v>
      </c>
      <c r="Y84" s="149">
        <v>5.9596999999999997E-2</v>
      </c>
      <c r="Z84" s="149">
        <v>5.9669E-2</v>
      </c>
      <c r="AA84" s="149">
        <v>5.9750999999999999E-2</v>
      </c>
      <c r="AB84" s="149">
        <v>5.9830000000000001E-2</v>
      </c>
      <c r="AC84" s="149">
        <v>5.9901000000000003E-2</v>
      </c>
      <c r="AD84" s="149">
        <v>5.9977999999999997E-2</v>
      </c>
      <c r="AE84" s="149">
        <v>6.0066000000000001E-2</v>
      </c>
      <c r="AF84" s="147">
        <v>3.4200000000000002E-4</v>
      </c>
      <c r="AG84" s="137"/>
    </row>
    <row r="85" spans="1:34" ht="15" customHeight="1">
      <c r="A85" s="15" t="s">
        <v>3</v>
      </c>
      <c r="B85" s="145" t="s">
        <v>253</v>
      </c>
      <c r="C85" s="149">
        <v>0.427838</v>
      </c>
      <c r="D85" s="149">
        <v>0.38759700000000002</v>
      </c>
      <c r="E85" s="149">
        <v>0.35946299999999998</v>
      </c>
      <c r="F85" s="149">
        <v>0.34329399999999999</v>
      </c>
      <c r="G85" s="149">
        <v>0.32869599999999999</v>
      </c>
      <c r="H85" s="149">
        <v>0.308921</v>
      </c>
      <c r="I85" s="149">
        <v>0.28999900000000001</v>
      </c>
      <c r="J85" s="149">
        <v>0.28910400000000003</v>
      </c>
      <c r="K85" s="149">
        <v>0.28829300000000002</v>
      </c>
      <c r="L85" s="149">
        <v>0.28903899999999999</v>
      </c>
      <c r="M85" s="149">
        <v>0.29181099999999999</v>
      </c>
      <c r="N85" s="149">
        <v>0.29583599999999999</v>
      </c>
      <c r="O85" s="149">
        <v>0.29795300000000002</v>
      </c>
      <c r="P85" s="149">
        <v>0.29923300000000003</v>
      </c>
      <c r="Q85" s="149">
        <v>0.29948200000000003</v>
      </c>
      <c r="R85" s="149">
        <v>0.29899300000000001</v>
      </c>
      <c r="S85" s="149">
        <v>0.30129</v>
      </c>
      <c r="T85" s="149">
        <v>0.30074099999999998</v>
      </c>
      <c r="U85" s="149">
        <v>0.305058</v>
      </c>
      <c r="V85" s="149">
        <v>0.30818499999999999</v>
      </c>
      <c r="W85" s="149">
        <v>0.31089600000000001</v>
      </c>
      <c r="X85" s="149">
        <v>0.31223099999999998</v>
      </c>
      <c r="Y85" s="149">
        <v>0.314168</v>
      </c>
      <c r="Z85" s="149">
        <v>0.31610899999999997</v>
      </c>
      <c r="AA85" s="149">
        <v>0.31862699999999999</v>
      </c>
      <c r="AB85" s="149">
        <v>0.322218</v>
      </c>
      <c r="AC85" s="149">
        <v>0.32569199999999998</v>
      </c>
      <c r="AD85" s="149">
        <v>0.326822</v>
      </c>
      <c r="AE85" s="149">
        <v>0.32913399999999998</v>
      </c>
      <c r="AF85" s="147">
        <v>-9.3229999999999997E-3</v>
      </c>
      <c r="AG85" s="137"/>
    </row>
    <row r="86" spans="1:34" ht="15" customHeight="1">
      <c r="A86" s="15" t="s">
        <v>1072</v>
      </c>
      <c r="B86" s="145" t="s">
        <v>1071</v>
      </c>
      <c r="C86" s="149">
        <v>0.15707299999999999</v>
      </c>
      <c r="D86" s="149">
        <v>0.17854100000000001</v>
      </c>
      <c r="E86" s="149">
        <v>0.181391</v>
      </c>
      <c r="F86" s="149">
        <v>0.19309499999999999</v>
      </c>
      <c r="G86" s="149">
        <v>0.21079899999999999</v>
      </c>
      <c r="H86" s="149">
        <v>0.22539999999999999</v>
      </c>
      <c r="I86" s="149">
        <v>0.23788899999999999</v>
      </c>
      <c r="J86" s="149">
        <v>0.24920700000000001</v>
      </c>
      <c r="K86" s="149">
        <v>0.27301300000000001</v>
      </c>
      <c r="L86" s="149">
        <v>0.29681999999999997</v>
      </c>
      <c r="M86" s="149">
        <v>0.32121100000000002</v>
      </c>
      <c r="N86" s="149">
        <v>0.34443299999999999</v>
      </c>
      <c r="O86" s="149">
        <v>0.36427100000000001</v>
      </c>
      <c r="P86" s="149">
        <v>0.37617400000000001</v>
      </c>
      <c r="Q86" s="149">
        <v>0.38469500000000001</v>
      </c>
      <c r="R86" s="149">
        <v>0.39204499999999998</v>
      </c>
      <c r="S86" s="149">
        <v>0.396013</v>
      </c>
      <c r="T86" s="149">
        <v>0.396013</v>
      </c>
      <c r="U86" s="149">
        <v>0.39659800000000001</v>
      </c>
      <c r="V86" s="149">
        <v>0.396013</v>
      </c>
      <c r="W86" s="149">
        <v>0.396013</v>
      </c>
      <c r="X86" s="149">
        <v>0.396013</v>
      </c>
      <c r="Y86" s="149">
        <v>0.39659800000000001</v>
      </c>
      <c r="Z86" s="149">
        <v>0.396013</v>
      </c>
      <c r="AA86" s="149">
        <v>0.396013</v>
      </c>
      <c r="AB86" s="149">
        <v>0.396013</v>
      </c>
      <c r="AC86" s="149">
        <v>0.39659800000000001</v>
      </c>
      <c r="AD86" s="149">
        <v>0.396013</v>
      </c>
      <c r="AE86" s="149">
        <v>0.396013</v>
      </c>
      <c r="AF86" s="147">
        <v>3.3577999999999997E-2</v>
      </c>
      <c r="AG86" s="137"/>
    </row>
    <row r="87" spans="1:34" ht="15" customHeight="1">
      <c r="A87" s="15" t="s">
        <v>2</v>
      </c>
      <c r="B87" s="144" t="s">
        <v>1</v>
      </c>
      <c r="C87" s="150">
        <v>14.370443</v>
      </c>
      <c r="D87" s="150">
        <v>14.403465000000001</v>
      </c>
      <c r="E87" s="150">
        <v>14.271711</v>
      </c>
      <c r="F87" s="150">
        <v>14.108815</v>
      </c>
      <c r="G87" s="150">
        <v>13.997396</v>
      </c>
      <c r="H87" s="150">
        <v>13.890337000000001</v>
      </c>
      <c r="I87" s="150">
        <v>13.767988000000001</v>
      </c>
      <c r="J87" s="150">
        <v>13.645885</v>
      </c>
      <c r="K87" s="150">
        <v>13.520163999999999</v>
      </c>
      <c r="L87" s="150">
        <v>13.411051</v>
      </c>
      <c r="M87" s="150">
        <v>13.323045</v>
      </c>
      <c r="N87" s="150">
        <v>13.25902</v>
      </c>
      <c r="O87" s="150">
        <v>13.203858</v>
      </c>
      <c r="P87" s="150">
        <v>13.147519000000001</v>
      </c>
      <c r="Q87" s="150">
        <v>13.087383000000001</v>
      </c>
      <c r="R87" s="150">
        <v>13.048246000000001</v>
      </c>
      <c r="S87" s="150">
        <v>13.022289000000001</v>
      </c>
      <c r="T87" s="150">
        <v>12.995312</v>
      </c>
      <c r="U87" s="150">
        <v>12.996620999999999</v>
      </c>
      <c r="V87" s="150">
        <v>13.0055</v>
      </c>
      <c r="W87" s="150">
        <v>13.025238999999999</v>
      </c>
      <c r="X87" s="150">
        <v>13.049395000000001</v>
      </c>
      <c r="Y87" s="150">
        <v>13.085273000000001</v>
      </c>
      <c r="Z87" s="150">
        <v>13.128707</v>
      </c>
      <c r="AA87" s="150">
        <v>13.191739999999999</v>
      </c>
      <c r="AB87" s="150">
        <v>13.269163000000001</v>
      </c>
      <c r="AC87" s="150">
        <v>13.350009</v>
      </c>
      <c r="AD87" s="150">
        <v>13.432016000000001</v>
      </c>
      <c r="AE87" s="150">
        <v>13.539635000000001</v>
      </c>
      <c r="AF87" s="151">
        <v>-2.1250000000000002E-3</v>
      </c>
      <c r="AG87" s="137"/>
    </row>
    <row r="88" spans="1:34" ht="15" customHeight="1" thickBot="1">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137"/>
    </row>
    <row r="89" spans="1:34" ht="15" customHeight="1">
      <c r="B89" s="135" t="s">
        <v>1073</v>
      </c>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c r="AB89" s="152"/>
      <c r="AC89" s="152"/>
      <c r="AD89" s="152"/>
      <c r="AE89" s="152"/>
      <c r="AF89" s="152"/>
      <c r="AG89" s="152"/>
      <c r="AH89" s="152"/>
    </row>
    <row r="90" spans="1:34" ht="15" customHeight="1">
      <c r="B90" s="137" t="s">
        <v>533</v>
      </c>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137"/>
    </row>
    <row r="91" spans="1:34" ht="15" customHeight="1">
      <c r="B91" s="137" t="s">
        <v>534</v>
      </c>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c r="AB91" s="137"/>
      <c r="AC91" s="137"/>
      <c r="AD91" s="137"/>
      <c r="AE91" s="137"/>
      <c r="AF91" s="137"/>
      <c r="AG91" s="137"/>
    </row>
    <row r="92" spans="1:34" ht="12" customHeight="1">
      <c r="B92" s="137" t="s">
        <v>1074</v>
      </c>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137"/>
    </row>
    <row r="93" spans="1:34" ht="15" customHeight="1">
      <c r="B93" s="137" t="s">
        <v>535</v>
      </c>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137"/>
    </row>
    <row r="94" spans="1:34" ht="15" customHeight="1">
      <c r="B94" s="137" t="s">
        <v>536</v>
      </c>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137"/>
    </row>
    <row r="95" spans="1:34" ht="15" customHeight="1">
      <c r="B95" s="137" t="s">
        <v>1075</v>
      </c>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137"/>
    </row>
    <row r="96" spans="1:34" ht="15" customHeight="1">
      <c r="B96" s="137" t="s">
        <v>537</v>
      </c>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137"/>
    </row>
    <row r="97" spans="2:33" ht="15" customHeight="1">
      <c r="B97" s="137" t="s">
        <v>538</v>
      </c>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137"/>
    </row>
    <row r="98" spans="2:33" ht="15" customHeight="1">
      <c r="B98" s="137" t="s">
        <v>539</v>
      </c>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row>
    <row r="99" spans="2:33" ht="15" customHeight="1">
      <c r="B99" s="137" t="s">
        <v>1076</v>
      </c>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row>
    <row r="100" spans="2:33" ht="15" customHeight="1">
      <c r="B100" s="137" t="s">
        <v>1077</v>
      </c>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row>
    <row r="101" spans="2:33" ht="12" customHeight="1">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row>
    <row r="102" spans="2:33" ht="12" customHeight="1">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row>
    <row r="103" spans="2:33" ht="15" customHeight="1">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row>
    <row r="104" spans="2:33" ht="15" customHeight="1">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row>
    <row r="105" spans="2:33" ht="15" customHeight="1">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row>
    <row r="106" spans="2:33" ht="15" customHeight="1">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row>
    <row r="107" spans="2:33" ht="15" customHeight="1">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row>
    <row r="108" spans="2:33" ht="15" customHeight="1">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row>
    <row r="109" spans="2:33" ht="15" customHeight="1">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row>
    <row r="110" spans="2:33" ht="15" customHeight="1">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137"/>
    </row>
    <row r="111" spans="2:33" ht="15" customHeight="1">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c r="AA111" s="137"/>
      <c r="AB111" s="137"/>
      <c r="AC111" s="137"/>
      <c r="AD111" s="137"/>
      <c r="AE111" s="137"/>
      <c r="AF111" s="137"/>
      <c r="AG111" s="137"/>
    </row>
    <row r="112" spans="2:33" ht="15" customHeight="1">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137"/>
    </row>
    <row r="113" spans="2:33" ht="15" customHeight="1">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c r="AA113" s="137"/>
      <c r="AB113" s="137"/>
      <c r="AC113" s="137"/>
      <c r="AD113" s="137"/>
      <c r="AE113" s="137"/>
      <c r="AF113" s="137"/>
      <c r="AG113" s="137"/>
    </row>
    <row r="114" spans="2:33" ht="15" customHeight="1">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c r="AA114" s="137"/>
      <c r="AB114" s="137"/>
      <c r="AC114" s="137"/>
      <c r="AD114" s="137"/>
      <c r="AE114" s="137"/>
      <c r="AF114" s="137"/>
      <c r="AG114" s="137"/>
    </row>
    <row r="115" spans="2:33" ht="15" customHeight="1">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c r="AA115" s="137"/>
      <c r="AB115" s="137"/>
      <c r="AC115" s="137"/>
      <c r="AD115" s="137"/>
      <c r="AE115" s="137"/>
      <c r="AF115" s="137"/>
      <c r="AG115" s="137"/>
    </row>
    <row r="116" spans="2:33" ht="15" customHeight="1">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137"/>
      <c r="AB116" s="137"/>
      <c r="AC116" s="137"/>
      <c r="AD116" s="137"/>
      <c r="AE116" s="137"/>
      <c r="AF116" s="137"/>
      <c r="AG116" s="137"/>
    </row>
    <row r="117" spans="2:33" ht="15" customHeight="1">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c r="AA117" s="137"/>
      <c r="AB117" s="137"/>
      <c r="AC117" s="137"/>
      <c r="AD117" s="137"/>
      <c r="AE117" s="137"/>
      <c r="AF117" s="137"/>
      <c r="AG117" s="137"/>
    </row>
    <row r="118" spans="2:33" ht="15" customHeight="1">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137"/>
      <c r="AB118" s="137"/>
      <c r="AC118" s="137"/>
      <c r="AD118" s="137"/>
      <c r="AE118" s="137"/>
      <c r="AF118" s="137"/>
      <c r="AG118" s="137"/>
    </row>
    <row r="119" spans="2:33" ht="15" customHeight="1">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c r="AA119" s="137"/>
      <c r="AB119" s="137"/>
      <c r="AC119" s="137"/>
      <c r="AD119" s="137"/>
      <c r="AE119" s="137"/>
      <c r="AF119" s="137"/>
      <c r="AG119" s="137"/>
    </row>
    <row r="120" spans="2:33" ht="15" customHeight="1">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137"/>
    </row>
    <row r="121" spans="2:33" ht="15" customHeight="1">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c r="AC121" s="137"/>
      <c r="AD121" s="137"/>
      <c r="AE121" s="137"/>
      <c r="AF121" s="137"/>
      <c r="AG121" s="137"/>
    </row>
    <row r="122" spans="2:33" ht="15" customHeight="1">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137"/>
      <c r="AB122" s="137"/>
      <c r="AC122" s="137"/>
      <c r="AD122" s="137"/>
      <c r="AE122" s="137"/>
      <c r="AF122" s="137"/>
      <c r="AG122" s="137"/>
    </row>
    <row r="123" spans="2:33" ht="15" customHeight="1">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c r="AB123" s="137"/>
      <c r="AC123" s="137"/>
      <c r="AD123" s="137"/>
      <c r="AE123" s="137"/>
      <c r="AF123" s="137"/>
      <c r="AG123" s="137"/>
    </row>
    <row r="124" spans="2:33" ht="15" customHeight="1">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137"/>
    </row>
    <row r="125" spans="2:33" ht="15" customHeight="1">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c r="AB125" s="137"/>
      <c r="AC125" s="137"/>
      <c r="AD125" s="137"/>
      <c r="AE125" s="137"/>
      <c r="AF125" s="137"/>
      <c r="AG125" s="137"/>
    </row>
    <row r="126" spans="2:33" ht="15" customHeight="1">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137"/>
    </row>
    <row r="127" spans="2:33" ht="15" customHeight="1">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c r="AA127" s="137"/>
      <c r="AB127" s="137"/>
      <c r="AC127" s="137"/>
      <c r="AD127" s="137"/>
      <c r="AE127" s="137"/>
      <c r="AF127" s="137"/>
      <c r="AG127" s="137"/>
    </row>
    <row r="128" spans="2:33" ht="15" customHeight="1">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137"/>
    </row>
    <row r="129" spans="2:33" ht="15" customHeight="1">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c r="AA129" s="137"/>
      <c r="AB129" s="137"/>
      <c r="AC129" s="137"/>
      <c r="AD129" s="137"/>
      <c r="AE129" s="137"/>
      <c r="AF129" s="137"/>
      <c r="AG129" s="137"/>
    </row>
    <row r="130" spans="2:33" ht="15" customHeight="1">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137"/>
      <c r="AB130" s="137"/>
      <c r="AC130" s="137"/>
      <c r="AD130" s="137"/>
      <c r="AE130" s="137"/>
      <c r="AF130" s="137"/>
      <c r="AG130" s="137"/>
    </row>
    <row r="131" spans="2:33" ht="15" customHeight="1">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c r="AC131" s="137"/>
      <c r="AD131" s="137"/>
      <c r="AE131" s="137"/>
      <c r="AF131" s="137"/>
      <c r="AG131" s="137"/>
    </row>
    <row r="132" spans="2:33" ht="15" customHeight="1">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137"/>
    </row>
    <row r="133" spans="2:33" ht="15" customHeight="1">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c r="AB133" s="137"/>
      <c r="AC133" s="137"/>
      <c r="AD133" s="137"/>
      <c r="AE133" s="137"/>
      <c r="AF133" s="137"/>
      <c r="AG133" s="137"/>
    </row>
    <row r="134" spans="2:33" ht="15" customHeight="1">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137"/>
      <c r="AB134" s="137"/>
      <c r="AC134" s="137"/>
      <c r="AD134" s="137"/>
      <c r="AE134" s="137"/>
      <c r="AF134" s="137"/>
      <c r="AG134" s="137"/>
    </row>
    <row r="135" spans="2:33" ht="15" customHeight="1">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c r="AA135" s="137"/>
      <c r="AB135" s="137"/>
      <c r="AC135" s="137"/>
      <c r="AD135" s="137"/>
      <c r="AE135" s="137"/>
      <c r="AF135" s="137"/>
      <c r="AG135" s="137"/>
    </row>
    <row r="136" spans="2:33" ht="15" customHeight="1">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137"/>
      <c r="AB136" s="137"/>
      <c r="AC136" s="137"/>
      <c r="AD136" s="137"/>
      <c r="AE136" s="137"/>
      <c r="AF136" s="137"/>
      <c r="AG136" s="137"/>
    </row>
    <row r="137" spans="2:33" ht="15" customHeight="1">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c r="AA137" s="137"/>
      <c r="AB137" s="137"/>
      <c r="AC137" s="137"/>
      <c r="AD137" s="137"/>
      <c r="AE137" s="137"/>
      <c r="AF137" s="137"/>
      <c r="AG137" s="137"/>
    </row>
    <row r="138" spans="2:33" ht="15" customHeight="1">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137"/>
      <c r="AB138" s="137"/>
      <c r="AC138" s="137"/>
      <c r="AD138" s="137"/>
      <c r="AE138" s="137"/>
      <c r="AF138" s="137"/>
      <c r="AG138" s="137"/>
    </row>
    <row r="139" spans="2:33" ht="15" customHeight="1">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c r="AB139" s="137"/>
      <c r="AC139" s="137"/>
      <c r="AD139" s="137"/>
      <c r="AE139" s="137"/>
      <c r="AF139" s="137"/>
      <c r="AG139" s="137"/>
    </row>
    <row r="140" spans="2:33" ht="15" customHeight="1">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137"/>
      <c r="AB140" s="137"/>
      <c r="AC140" s="137"/>
      <c r="AD140" s="137"/>
      <c r="AE140" s="137"/>
      <c r="AF140" s="137"/>
      <c r="AG140" s="137"/>
    </row>
    <row r="141" spans="2:33" ht="12" customHeight="1">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c r="AA141" s="137"/>
      <c r="AB141" s="137"/>
      <c r="AC141" s="137"/>
      <c r="AD141" s="137"/>
      <c r="AE141" s="137"/>
      <c r="AF141" s="137"/>
      <c r="AG141" s="137"/>
    </row>
    <row r="142" spans="2:33" ht="12" customHeight="1">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137"/>
      <c r="AB142" s="137"/>
      <c r="AC142" s="137"/>
      <c r="AD142" s="137"/>
      <c r="AE142" s="137"/>
      <c r="AF142" s="137"/>
      <c r="AG142" s="137"/>
    </row>
    <row r="143" spans="2:33" ht="12" customHeight="1">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c r="AA143" s="137"/>
      <c r="AB143" s="137"/>
      <c r="AC143" s="137"/>
      <c r="AD143" s="137"/>
      <c r="AE143" s="137"/>
      <c r="AF143" s="137"/>
      <c r="AG143" s="137"/>
    </row>
    <row r="144" spans="2:33" ht="12" customHeight="1">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137"/>
      <c r="AB144" s="137"/>
      <c r="AC144" s="137"/>
      <c r="AD144" s="137"/>
      <c r="AE144" s="137"/>
      <c r="AF144" s="137"/>
      <c r="AG144" s="137"/>
    </row>
    <row r="145" spans="2:33" ht="12" customHeight="1">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c r="AA145" s="137"/>
      <c r="AB145" s="137"/>
      <c r="AC145" s="137"/>
      <c r="AD145" s="137"/>
      <c r="AE145" s="137"/>
      <c r="AF145" s="137"/>
      <c r="AG145" s="137"/>
    </row>
    <row r="146" spans="2:33" ht="12" customHeight="1">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137"/>
      <c r="AB146" s="137"/>
      <c r="AC146" s="137"/>
      <c r="AD146" s="137"/>
      <c r="AE146" s="137"/>
      <c r="AF146" s="137"/>
      <c r="AG146" s="137"/>
    </row>
    <row r="147" spans="2:33" ht="12" customHeight="1">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c r="AA147" s="137"/>
      <c r="AB147" s="137"/>
      <c r="AC147" s="137"/>
      <c r="AD147" s="137"/>
      <c r="AE147" s="137"/>
      <c r="AF147" s="137"/>
      <c r="AG147" s="137"/>
    </row>
    <row r="148" spans="2:33" ht="12" customHeight="1">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137"/>
      <c r="AB148" s="137"/>
      <c r="AC148" s="137"/>
      <c r="AD148" s="137"/>
      <c r="AE148" s="137"/>
      <c r="AF148" s="137"/>
      <c r="AG148" s="137"/>
    </row>
    <row r="149" spans="2:33" ht="12" customHeight="1">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c r="AA149" s="137"/>
      <c r="AB149" s="137"/>
      <c r="AC149" s="137"/>
      <c r="AD149" s="137"/>
      <c r="AE149" s="137"/>
      <c r="AF149" s="137"/>
      <c r="AG149" s="137"/>
    </row>
    <row r="150" spans="2:33" ht="15" customHeight="1">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137"/>
      <c r="AB150" s="137"/>
      <c r="AC150" s="137"/>
      <c r="AD150" s="137"/>
      <c r="AE150" s="137"/>
      <c r="AF150" s="137"/>
      <c r="AG150" s="137"/>
    </row>
    <row r="151" spans="2:33" ht="15" customHeight="1">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c r="AB151" s="137"/>
      <c r="AC151" s="137"/>
      <c r="AD151" s="137"/>
      <c r="AE151" s="137"/>
      <c r="AF151" s="137"/>
      <c r="AG151" s="137"/>
    </row>
    <row r="152" spans="2:33" ht="15" customHeight="1">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137"/>
    </row>
    <row r="153" spans="2:33" ht="15" customHeight="1">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137"/>
    </row>
    <row r="154" spans="2:33" ht="15" customHeight="1">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137"/>
    </row>
    <row r="155" spans="2:33" ht="15" customHeight="1">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c r="AC155" s="137"/>
      <c r="AD155" s="137"/>
      <c r="AE155" s="137"/>
      <c r="AF155" s="137"/>
      <c r="AG155" s="137"/>
    </row>
    <row r="156" spans="2:33" ht="15" customHeight="1">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7"/>
      <c r="AD156" s="137"/>
      <c r="AE156" s="137"/>
      <c r="AF156" s="137"/>
      <c r="AG156" s="137"/>
    </row>
    <row r="157" spans="2:33" ht="15" customHeight="1">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c r="AA157" s="137"/>
      <c r="AB157" s="137"/>
      <c r="AC157" s="137"/>
      <c r="AD157" s="137"/>
      <c r="AE157" s="137"/>
      <c r="AF157" s="137"/>
      <c r="AG157" s="137"/>
    </row>
    <row r="158" spans="2:33" ht="15" customHeight="1">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137"/>
      <c r="AB158" s="137"/>
      <c r="AC158" s="137"/>
      <c r="AD158" s="137"/>
      <c r="AE158" s="137"/>
      <c r="AF158" s="137"/>
      <c r="AG158" s="137"/>
    </row>
    <row r="159" spans="2:33" ht="15" customHeight="1">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c r="AB159" s="137"/>
      <c r="AC159" s="137"/>
      <c r="AD159" s="137"/>
      <c r="AE159" s="137"/>
      <c r="AF159" s="137"/>
      <c r="AG159" s="13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election activeCell="A20" sqref="A20"/>
    </sheetView>
  </sheetViews>
  <sheetFormatPr defaultRowHeight="15" customHeight="1"/>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331</v>
      </c>
    </row>
    <row r="11" spans="1:35">
      <c r="A11" t="s">
        <v>1078</v>
      </c>
    </row>
    <row r="12" spans="1:35">
      <c r="A12" t="s">
        <v>1079</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44</v>
      </c>
    </row>
    <row r="16" spans="1:35">
      <c r="A16" t="s">
        <v>332</v>
      </c>
    </row>
    <row r="17" spans="1:35">
      <c r="A17" t="s">
        <v>333</v>
      </c>
      <c r="B17" t="s">
        <v>1081</v>
      </c>
      <c r="C17" t="s">
        <v>1082</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1083</v>
      </c>
      <c r="C18" t="s">
        <v>1084</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1085</v>
      </c>
      <c r="C19" t="s">
        <v>1086</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1087</v>
      </c>
      <c r="C20" t="s">
        <v>1088</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1089</v>
      </c>
      <c r="C21" t="s">
        <v>1090</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1091</v>
      </c>
      <c r="C22" t="s">
        <v>1092</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1093</v>
      </c>
      <c r="C23" t="s">
        <v>1094</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1095</v>
      </c>
      <c r="C24" t="s">
        <v>1096</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1097</v>
      </c>
      <c r="C25" t="s">
        <v>1098</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1099</v>
      </c>
      <c r="C26" t="s">
        <v>1100</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1101</v>
      </c>
      <c r="C27" t="s">
        <v>1102</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1103</v>
      </c>
      <c r="C28" t="s">
        <v>1104</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c r="A29" t="s">
        <v>1105</v>
      </c>
      <c r="B29" t="s">
        <v>1106</v>
      </c>
      <c r="C29" t="s">
        <v>1107</v>
      </c>
      <c r="D29" t="s">
        <v>354</v>
      </c>
      <c r="F29">
        <v>4207.2714839999999</v>
      </c>
      <c r="G29">
        <v>4138.3046880000002</v>
      </c>
      <c r="H29">
        <v>4077.726807</v>
      </c>
      <c r="I29">
        <v>4039</v>
      </c>
      <c r="J29">
        <v>4013.0432129999999</v>
      </c>
      <c r="K29">
        <v>3976.7475589999999</v>
      </c>
      <c r="L29">
        <v>3937.7006839999999</v>
      </c>
      <c r="M29">
        <v>3887.5866700000001</v>
      </c>
      <c r="N29">
        <v>3833.3549800000001</v>
      </c>
      <c r="O29">
        <v>3784.2954100000002</v>
      </c>
      <c r="P29">
        <v>3747.7138669999999</v>
      </c>
      <c r="Q29">
        <v>3710.2224120000001</v>
      </c>
      <c r="R29">
        <v>3677.4086910000001</v>
      </c>
      <c r="S29">
        <v>3652.3420409999999</v>
      </c>
      <c r="T29">
        <v>3627.3435060000002</v>
      </c>
      <c r="U29">
        <v>3611.4228520000001</v>
      </c>
      <c r="V29">
        <v>3599.4960940000001</v>
      </c>
      <c r="W29">
        <v>3588.51001</v>
      </c>
      <c r="X29">
        <v>3582.46875</v>
      </c>
      <c r="Y29">
        <v>3579.7341310000002</v>
      </c>
      <c r="Z29">
        <v>3579.54126</v>
      </c>
      <c r="AA29">
        <v>3578.6533199999999</v>
      </c>
      <c r="AB29">
        <v>3575.9597170000002</v>
      </c>
      <c r="AC29">
        <v>3570.5195309999999</v>
      </c>
      <c r="AD29">
        <v>3568.015625</v>
      </c>
      <c r="AE29">
        <v>3565.4650879999999</v>
      </c>
      <c r="AF29">
        <v>3558.26001</v>
      </c>
      <c r="AG29">
        <v>3552.2463379999999</v>
      </c>
      <c r="AH29">
        <v>3556.4165039999998</v>
      </c>
      <c r="AI29" s="31">
        <v>-6.0000000000000001E-3</v>
      </c>
    </row>
    <row r="30" spans="1:35">
      <c r="A30" t="s">
        <v>343</v>
      </c>
    </row>
    <row r="31" spans="1:35">
      <c r="A31" t="s">
        <v>185</v>
      </c>
      <c r="B31" t="s">
        <v>1108</v>
      </c>
      <c r="C31" t="s">
        <v>1109</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1110</v>
      </c>
      <c r="C32" t="s">
        <v>1111</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541</v>
      </c>
      <c r="B33" t="s">
        <v>1112</v>
      </c>
      <c r="C33" t="s">
        <v>1113</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542</v>
      </c>
      <c r="B34" t="s">
        <v>1114</v>
      </c>
      <c r="C34" t="s">
        <v>1115</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543</v>
      </c>
      <c r="B35" t="s">
        <v>1116</v>
      </c>
      <c r="C35" t="s">
        <v>1117</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1118</v>
      </c>
      <c r="C36" t="s">
        <v>1119</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1120</v>
      </c>
      <c r="C37" t="s">
        <v>1121</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1122</v>
      </c>
      <c r="C38" t="s">
        <v>1123</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1124</v>
      </c>
      <c r="C39" t="s">
        <v>1125</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1126</v>
      </c>
      <c r="C40" t="s">
        <v>1127</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1128</v>
      </c>
      <c r="C41" t="s">
        <v>1129</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1130</v>
      </c>
      <c r="C42" t="s">
        <v>1131</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1132</v>
      </c>
      <c r="C43" t="s">
        <v>1133</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1134</v>
      </c>
      <c r="C44" t="s">
        <v>1135</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1136</v>
      </c>
      <c r="C45" t="s">
        <v>1137</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1138</v>
      </c>
      <c r="C46" t="s">
        <v>1139</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1140</v>
      </c>
      <c r="C47" t="s">
        <v>1141</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1142</v>
      </c>
      <c r="C48" t="s">
        <v>1143</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1144</v>
      </c>
      <c r="B49" t="s">
        <v>1145</v>
      </c>
      <c r="C49" t="s">
        <v>1146</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1147</v>
      </c>
      <c r="C50" t="s">
        <v>1148</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1149</v>
      </c>
      <c r="C51" t="s">
        <v>1150</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1151</v>
      </c>
      <c r="C52" t="s">
        <v>1152</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1153</v>
      </c>
      <c r="C53" t="s">
        <v>1154</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1155</v>
      </c>
      <c r="C54" t="s">
        <v>1156</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1157</v>
      </c>
      <c r="C56" t="s">
        <v>1158</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1159</v>
      </c>
      <c r="C57" t="s">
        <v>1160</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1161</v>
      </c>
      <c r="C58" t="s">
        <v>1162</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1163</v>
      </c>
      <c r="C59" t="s">
        <v>1164</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1165</v>
      </c>
      <c r="C60" t="s">
        <v>1166</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1167</v>
      </c>
      <c r="C61" t="s">
        <v>1168</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1169</v>
      </c>
      <c r="C62" t="s">
        <v>1170</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1171</v>
      </c>
      <c r="C63" t="s">
        <v>1172</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1173</v>
      </c>
      <c r="C64" t="s">
        <v>1174</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1175</v>
      </c>
      <c r="C65" t="s">
        <v>1176</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1177</v>
      </c>
      <c r="C66" t="s">
        <v>1178</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1179</v>
      </c>
      <c r="C67" t="s">
        <v>1180</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1181</v>
      </c>
      <c r="C68" t="s">
        <v>1143</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1144</v>
      </c>
      <c r="B69" t="s">
        <v>1182</v>
      </c>
      <c r="C69" t="s">
        <v>1146</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1183</v>
      </c>
      <c r="C70" t="s">
        <v>1184</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05"/>
  <sheetViews>
    <sheetView workbookViewId="0"/>
  </sheetViews>
  <sheetFormatPr defaultRowHeight="14.75"/>
  <cols>
    <col min="1" max="1" width="21.40625" customWidth="1"/>
    <col min="2" max="2" width="43.86328125" customWidth="1"/>
    <col min="5" max="5" width="13.86328125" customWidth="1"/>
  </cols>
  <sheetData>
    <row r="1" spans="2:37">
      <c r="AK1" t="s">
        <v>353</v>
      </c>
    </row>
    <row r="10" spans="2:37">
      <c r="B10" t="s">
        <v>301</v>
      </c>
    </row>
    <row r="11" spans="2:37">
      <c r="B11" t="s">
        <v>1185</v>
      </c>
    </row>
    <row r="12" spans="2:37">
      <c r="B12" t="s">
        <v>1186</v>
      </c>
    </row>
    <row r="13" spans="2:37">
      <c r="B13" t="s">
        <v>302</v>
      </c>
    </row>
    <row r="14" spans="2:37">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K14" t="s">
        <v>540</v>
      </c>
    </row>
    <row r="15" spans="2:37">
      <c r="B15" t="s">
        <v>276</v>
      </c>
      <c r="C15" t="s">
        <v>1187</v>
      </c>
      <c r="D15" t="s">
        <v>1188</v>
      </c>
      <c r="E15" t="s">
        <v>354</v>
      </c>
      <c r="G15">
        <v>14541.972656</v>
      </c>
      <c r="H15">
        <v>14586.113281</v>
      </c>
      <c r="I15">
        <v>14429.691406</v>
      </c>
      <c r="J15">
        <v>14201.924805000001</v>
      </c>
      <c r="K15">
        <v>14016.908203000001</v>
      </c>
      <c r="L15">
        <v>13860.761719</v>
      </c>
      <c r="M15">
        <v>13679.085938</v>
      </c>
      <c r="N15">
        <v>13473.831055000001</v>
      </c>
      <c r="O15">
        <v>13253.083008</v>
      </c>
      <c r="P15">
        <v>13044.084961</v>
      </c>
      <c r="Q15">
        <v>12836.977539</v>
      </c>
      <c r="R15">
        <v>12674.038086</v>
      </c>
      <c r="S15">
        <v>12534.655273</v>
      </c>
      <c r="T15">
        <v>12394.663086</v>
      </c>
      <c r="U15">
        <v>12251.546875</v>
      </c>
      <c r="V15">
        <v>12130.821289</v>
      </c>
      <c r="W15">
        <v>12028.415039</v>
      </c>
      <c r="X15">
        <v>11933.921875</v>
      </c>
      <c r="Y15">
        <v>11864.000977</v>
      </c>
      <c r="Z15">
        <v>11805.395508</v>
      </c>
      <c r="AA15">
        <v>11762.741211</v>
      </c>
      <c r="AB15">
        <v>11733.643555000001</v>
      </c>
      <c r="AC15">
        <v>11725.385742</v>
      </c>
      <c r="AD15">
        <v>11735.774414</v>
      </c>
      <c r="AE15">
        <v>11770.762694999999</v>
      </c>
      <c r="AF15">
        <v>11824.348633</v>
      </c>
      <c r="AG15">
        <v>11889.714844</v>
      </c>
      <c r="AH15">
        <v>11962.909180000001</v>
      </c>
      <c r="AI15">
        <v>12054.454102</v>
      </c>
      <c r="AJ15" s="31">
        <v>-7.0000000000000001E-3</v>
      </c>
      <c r="AK15" s="31">
        <v>0</v>
      </c>
    </row>
    <row r="16" spans="2:37">
      <c r="B16" t="s">
        <v>304</v>
      </c>
      <c r="C16" t="s">
        <v>1189</v>
      </c>
      <c r="D16" t="s">
        <v>1190</v>
      </c>
      <c r="E16" t="s">
        <v>354</v>
      </c>
      <c r="G16">
        <v>14415.272461</v>
      </c>
      <c r="H16">
        <v>14443.935546999999</v>
      </c>
      <c r="I16">
        <v>14272.423828000001</v>
      </c>
      <c r="J16">
        <v>14024.321289</v>
      </c>
      <c r="K16">
        <v>13815.495117</v>
      </c>
      <c r="L16">
        <v>13632.25</v>
      </c>
      <c r="M16">
        <v>13419.692383</v>
      </c>
      <c r="N16">
        <v>13179.959961</v>
      </c>
      <c r="O16">
        <v>12922.150390999999</v>
      </c>
      <c r="P16">
        <v>12678.574219</v>
      </c>
      <c r="Q16">
        <v>12437.037109000001</v>
      </c>
      <c r="R16">
        <v>12238.958984000001</v>
      </c>
      <c r="S16">
        <v>12063.409180000001</v>
      </c>
      <c r="T16">
        <v>11887.983398</v>
      </c>
      <c r="U16">
        <v>11710.702148</v>
      </c>
      <c r="V16">
        <v>11556.080078000001</v>
      </c>
      <c r="W16">
        <v>11421.212890999999</v>
      </c>
      <c r="X16">
        <v>11295.928711</v>
      </c>
      <c r="Y16">
        <v>11196.765625</v>
      </c>
      <c r="Z16">
        <v>11110.766602</v>
      </c>
      <c r="AA16">
        <v>11042.224609000001</v>
      </c>
      <c r="AB16">
        <v>10988.434569999999</v>
      </c>
      <c r="AC16">
        <v>10958.347656</v>
      </c>
      <c r="AD16">
        <v>10949.109375</v>
      </c>
      <c r="AE16">
        <v>10963.973633</v>
      </c>
      <c r="AF16">
        <v>10998.306640999999</v>
      </c>
      <c r="AG16">
        <v>11045.133789</v>
      </c>
      <c r="AH16">
        <v>11100.259765999999</v>
      </c>
      <c r="AI16">
        <v>11174.059569999999</v>
      </c>
      <c r="AJ16" s="31">
        <v>-8.9999999999999993E-3</v>
      </c>
      <c r="AK16" s="31">
        <v>-1E-3</v>
      </c>
    </row>
    <row r="17" spans="2:37">
      <c r="B17" t="s">
        <v>305</v>
      </c>
      <c r="C17" t="s">
        <v>1191</v>
      </c>
      <c r="D17" t="s">
        <v>1192</v>
      </c>
      <c r="E17" t="s">
        <v>354</v>
      </c>
      <c r="G17">
        <v>31.110834000000001</v>
      </c>
      <c r="H17">
        <v>31.640059999999998</v>
      </c>
      <c r="I17">
        <v>29.552766999999999</v>
      </c>
      <c r="J17">
        <v>29.441513</v>
      </c>
      <c r="K17">
        <v>28.728484999999999</v>
      </c>
      <c r="L17">
        <v>27.952176999999999</v>
      </c>
      <c r="M17">
        <v>27.018059000000001</v>
      </c>
      <c r="N17">
        <v>25.972712999999999</v>
      </c>
      <c r="O17">
        <v>24.873795000000001</v>
      </c>
      <c r="P17">
        <v>23.800640000000001</v>
      </c>
      <c r="Q17">
        <v>22.75461</v>
      </c>
      <c r="R17">
        <v>21.823027</v>
      </c>
      <c r="S17">
        <v>20.987984000000001</v>
      </c>
      <c r="T17">
        <v>20.244168999999999</v>
      </c>
      <c r="U17">
        <v>19.537762000000001</v>
      </c>
      <c r="V17">
        <v>19.024712000000001</v>
      </c>
      <c r="W17">
        <v>18.648620999999999</v>
      </c>
      <c r="X17">
        <v>18.398510000000002</v>
      </c>
      <c r="Y17">
        <v>18.275644</v>
      </c>
      <c r="Z17">
        <v>18.222812999999999</v>
      </c>
      <c r="AA17">
        <v>18.236134</v>
      </c>
      <c r="AB17">
        <v>18.340064999999999</v>
      </c>
      <c r="AC17">
        <v>18.452594999999999</v>
      </c>
      <c r="AD17">
        <v>18.609615000000002</v>
      </c>
      <c r="AE17">
        <v>18.756809000000001</v>
      </c>
      <c r="AF17">
        <v>19.004078</v>
      </c>
      <c r="AG17">
        <v>19.229309000000001</v>
      </c>
      <c r="AH17">
        <v>19.515996999999999</v>
      </c>
      <c r="AI17">
        <v>19.788425</v>
      </c>
      <c r="AJ17" s="31">
        <v>-1.6E-2</v>
      </c>
      <c r="AK17" s="31">
        <v>4.0000000000000001E-3</v>
      </c>
    </row>
    <row r="18" spans="2:37">
      <c r="B18" t="s">
        <v>306</v>
      </c>
      <c r="C18" t="s">
        <v>1193</v>
      </c>
      <c r="D18" t="s">
        <v>1194</v>
      </c>
      <c r="E18" t="s">
        <v>354</v>
      </c>
      <c r="G18">
        <v>61.460402999999999</v>
      </c>
      <c r="H18">
        <v>64.699020000000004</v>
      </c>
      <c r="I18">
        <v>67.503647000000001</v>
      </c>
      <c r="J18">
        <v>70.684073999999995</v>
      </c>
      <c r="K18">
        <v>74.503555000000006</v>
      </c>
      <c r="L18">
        <v>77.632530000000003</v>
      </c>
      <c r="M18">
        <v>81.324982000000006</v>
      </c>
      <c r="N18">
        <v>84.520767000000006</v>
      </c>
      <c r="O18">
        <v>86.959732000000002</v>
      </c>
      <c r="P18">
        <v>89.758049</v>
      </c>
      <c r="Q18">
        <v>91.490157999999994</v>
      </c>
      <c r="R18">
        <v>93.247542999999993</v>
      </c>
      <c r="S18">
        <v>95.158996999999999</v>
      </c>
      <c r="T18">
        <v>96.641707999999994</v>
      </c>
      <c r="U18">
        <v>98.053237999999993</v>
      </c>
      <c r="V18">
        <v>99.864699999999999</v>
      </c>
      <c r="W18">
        <v>101.36190000000001</v>
      </c>
      <c r="X18">
        <v>102.785622</v>
      </c>
      <c r="Y18">
        <v>104.47521999999999</v>
      </c>
      <c r="Z18">
        <v>105.749611</v>
      </c>
      <c r="AA18">
        <v>107.324608</v>
      </c>
      <c r="AB18">
        <v>109.779274</v>
      </c>
      <c r="AC18">
        <v>110.920013</v>
      </c>
      <c r="AD18">
        <v>111.97983600000001</v>
      </c>
      <c r="AE18">
        <v>113.441277</v>
      </c>
      <c r="AF18">
        <v>115.037064</v>
      </c>
      <c r="AG18">
        <v>116.75106</v>
      </c>
      <c r="AH18">
        <v>118.593468</v>
      </c>
      <c r="AI18">
        <v>120.69574</v>
      </c>
      <c r="AJ18" s="31">
        <v>2.4E-2</v>
      </c>
      <c r="AK18" s="31">
        <v>2.5000000000000001E-2</v>
      </c>
    </row>
    <row r="19" spans="2:37">
      <c r="B19" t="s">
        <v>307</v>
      </c>
      <c r="C19" t="s">
        <v>1195</v>
      </c>
      <c r="D19" t="s">
        <v>1196</v>
      </c>
      <c r="E19" t="s">
        <v>354</v>
      </c>
      <c r="G19">
        <v>0.71288799999999997</v>
      </c>
      <c r="H19">
        <v>0.67766800000000005</v>
      </c>
      <c r="I19">
        <v>0.53775200000000001</v>
      </c>
      <c r="J19">
        <v>0.51500500000000005</v>
      </c>
      <c r="K19">
        <v>0.507019</v>
      </c>
      <c r="L19">
        <v>0.49244300000000002</v>
      </c>
      <c r="M19">
        <v>0.48183900000000002</v>
      </c>
      <c r="N19">
        <v>0.470472</v>
      </c>
      <c r="O19">
        <v>0.44594200000000001</v>
      </c>
      <c r="P19">
        <v>0.44344499999999998</v>
      </c>
      <c r="Q19">
        <v>0.43788300000000002</v>
      </c>
      <c r="R19">
        <v>0.43343399999999999</v>
      </c>
      <c r="S19">
        <v>0.43173299999999998</v>
      </c>
      <c r="T19">
        <v>0.43049900000000002</v>
      </c>
      <c r="U19">
        <v>0.42709599999999998</v>
      </c>
      <c r="V19">
        <v>0.42463099999999998</v>
      </c>
      <c r="W19">
        <v>0.42622700000000002</v>
      </c>
      <c r="X19">
        <v>0.37802400000000003</v>
      </c>
      <c r="Y19">
        <v>0.33532600000000001</v>
      </c>
      <c r="Z19">
        <v>0.34005299999999999</v>
      </c>
      <c r="AA19">
        <v>0.343781</v>
      </c>
      <c r="AB19">
        <v>0.34665600000000002</v>
      </c>
      <c r="AC19">
        <v>0.34931299999999998</v>
      </c>
      <c r="AD19">
        <v>0.35186400000000001</v>
      </c>
      <c r="AE19">
        <v>0.35644799999999999</v>
      </c>
      <c r="AF19">
        <v>0.36170999999999998</v>
      </c>
      <c r="AG19">
        <v>0.367786</v>
      </c>
      <c r="AH19">
        <v>0.37404300000000001</v>
      </c>
      <c r="AI19">
        <v>0.38108199999999998</v>
      </c>
      <c r="AJ19" s="31">
        <v>-2.1999999999999999E-2</v>
      </c>
      <c r="AK19" s="31">
        <v>-1E-3</v>
      </c>
    </row>
    <row r="20" spans="2:37">
      <c r="B20" t="s">
        <v>308</v>
      </c>
      <c r="C20" t="s">
        <v>1197</v>
      </c>
      <c r="D20" t="s">
        <v>1198</v>
      </c>
      <c r="E20" t="s">
        <v>354</v>
      </c>
      <c r="G20">
        <v>0.79738799999999999</v>
      </c>
      <c r="H20">
        <v>0.735487</v>
      </c>
      <c r="I20">
        <v>0.54745600000000005</v>
      </c>
      <c r="J20">
        <v>0.54066800000000004</v>
      </c>
      <c r="K20">
        <v>0.54419300000000004</v>
      </c>
      <c r="L20">
        <v>0.56128199999999995</v>
      </c>
      <c r="M20">
        <v>0.31209199999999998</v>
      </c>
      <c r="N20">
        <v>0.33013999999999999</v>
      </c>
      <c r="O20">
        <v>0.384077</v>
      </c>
      <c r="P20">
        <v>0.43762600000000001</v>
      </c>
      <c r="Q20">
        <v>0.48971900000000002</v>
      </c>
      <c r="R20">
        <v>0.54025400000000001</v>
      </c>
      <c r="S20">
        <v>0.59017699999999995</v>
      </c>
      <c r="T20">
        <v>0.63807599999999998</v>
      </c>
      <c r="U20">
        <v>0.68416399999999999</v>
      </c>
      <c r="V20">
        <v>0.72875999999999996</v>
      </c>
      <c r="W20">
        <v>0.77158599999999999</v>
      </c>
      <c r="X20">
        <v>0.81298700000000002</v>
      </c>
      <c r="Y20">
        <v>0.85285</v>
      </c>
      <c r="Z20">
        <v>0.89180899999999996</v>
      </c>
      <c r="AA20">
        <v>0.93071300000000001</v>
      </c>
      <c r="AB20">
        <v>0.96862199999999998</v>
      </c>
      <c r="AC20">
        <v>1.007558</v>
      </c>
      <c r="AD20">
        <v>1.0480309999999999</v>
      </c>
      <c r="AE20">
        <v>1.0965309999999999</v>
      </c>
      <c r="AF20">
        <v>1.1502429999999999</v>
      </c>
      <c r="AG20">
        <v>1.2091620000000001</v>
      </c>
      <c r="AH20">
        <v>1.2718959999999999</v>
      </c>
      <c r="AI20">
        <v>1.341161</v>
      </c>
      <c r="AJ20" s="31">
        <v>1.9E-2</v>
      </c>
      <c r="AK20" s="31">
        <v>-7.0000000000000001E-3</v>
      </c>
    </row>
    <row r="21" spans="2:37">
      <c r="B21" t="s">
        <v>309</v>
      </c>
      <c r="C21" t="s">
        <v>1199</v>
      </c>
      <c r="D21" t="s">
        <v>1200</v>
      </c>
      <c r="E21" t="s">
        <v>354</v>
      </c>
      <c r="G21">
        <v>32.193668000000002</v>
      </c>
      <c r="H21">
        <v>43.907116000000002</v>
      </c>
      <c r="I21">
        <v>58.529483999999997</v>
      </c>
      <c r="J21">
        <v>75.757942</v>
      </c>
      <c r="K21">
        <v>96.391159000000002</v>
      </c>
      <c r="L21">
        <v>121.066132</v>
      </c>
      <c r="M21">
        <v>149.37681599999999</v>
      </c>
      <c r="N21">
        <v>181.62849399999999</v>
      </c>
      <c r="O21">
        <v>217.248322</v>
      </c>
      <c r="P21">
        <v>249.97737100000001</v>
      </c>
      <c r="Q21">
        <v>283.60272200000003</v>
      </c>
      <c r="R21">
        <v>317.79742399999998</v>
      </c>
      <c r="S21">
        <v>352.768036</v>
      </c>
      <c r="T21">
        <v>387.34478799999999</v>
      </c>
      <c r="U21">
        <v>420.69439699999998</v>
      </c>
      <c r="V21">
        <v>453.186218</v>
      </c>
      <c r="W21">
        <v>484.42330900000002</v>
      </c>
      <c r="X21">
        <v>513.99560499999995</v>
      </c>
      <c r="Y21">
        <v>541.63085899999999</v>
      </c>
      <c r="Z21">
        <v>567.72460899999999</v>
      </c>
      <c r="AA21">
        <v>591.95019500000001</v>
      </c>
      <c r="AB21">
        <v>614.02081299999998</v>
      </c>
      <c r="AC21">
        <v>634.53887899999995</v>
      </c>
      <c r="AD21">
        <v>652.89733899999999</v>
      </c>
      <c r="AE21">
        <v>671.348206</v>
      </c>
      <c r="AF21">
        <v>688.68969700000002</v>
      </c>
      <c r="AG21">
        <v>705.21575900000005</v>
      </c>
      <c r="AH21">
        <v>721.08111599999995</v>
      </c>
      <c r="AI21">
        <v>736.37286400000005</v>
      </c>
      <c r="AJ21" s="31">
        <v>0.11799999999999999</v>
      </c>
      <c r="AK21" s="31">
        <v>0.10100000000000001</v>
      </c>
    </row>
    <row r="22" spans="2:37">
      <c r="B22" t="s">
        <v>310</v>
      </c>
      <c r="C22" t="s">
        <v>1201</v>
      </c>
      <c r="D22" t="s">
        <v>1202</v>
      </c>
      <c r="E22" t="s">
        <v>354</v>
      </c>
      <c r="G22">
        <v>0.42613899999999999</v>
      </c>
      <c r="H22">
        <v>0.51818299999999995</v>
      </c>
      <c r="I22">
        <v>0.59576700000000005</v>
      </c>
      <c r="J22">
        <v>0.66511799999999999</v>
      </c>
      <c r="K22">
        <v>0.73787199999999997</v>
      </c>
      <c r="L22">
        <v>0.80678000000000005</v>
      </c>
      <c r="M22">
        <v>0.87969799999999998</v>
      </c>
      <c r="N22">
        <v>0.94835800000000003</v>
      </c>
      <c r="O22">
        <v>1.0205519999999999</v>
      </c>
      <c r="P22">
        <v>1.0934459999999999</v>
      </c>
      <c r="Q22">
        <v>1.1656569999999999</v>
      </c>
      <c r="R22">
        <v>1.2371049999999999</v>
      </c>
      <c r="S22">
        <v>1.3096950000000001</v>
      </c>
      <c r="T22">
        <v>1.3809180000000001</v>
      </c>
      <c r="U22">
        <v>1.4474880000000001</v>
      </c>
      <c r="V22">
        <v>1.512508</v>
      </c>
      <c r="W22">
        <v>1.570883</v>
      </c>
      <c r="X22">
        <v>1.623062</v>
      </c>
      <c r="Y22">
        <v>1.665691</v>
      </c>
      <c r="Z22">
        <v>1.699897</v>
      </c>
      <c r="AA22">
        <v>1.7316929999999999</v>
      </c>
      <c r="AB22">
        <v>1.7536229999999999</v>
      </c>
      <c r="AC22">
        <v>1.769871</v>
      </c>
      <c r="AD22">
        <v>1.7791170000000001</v>
      </c>
      <c r="AE22">
        <v>1.7894969999999999</v>
      </c>
      <c r="AF22">
        <v>1.800149</v>
      </c>
      <c r="AG22">
        <v>1.8077129999999999</v>
      </c>
      <c r="AH22">
        <v>1.8132870000000001</v>
      </c>
      <c r="AI22">
        <v>1.8167770000000001</v>
      </c>
      <c r="AJ22" s="31">
        <v>5.2999999999999999E-2</v>
      </c>
      <c r="AK22" s="31">
        <v>3.7999999999999999E-2</v>
      </c>
    </row>
    <row r="23" spans="2:37">
      <c r="B23" t="s">
        <v>311</v>
      </c>
      <c r="C23" t="s">
        <v>1203</v>
      </c>
      <c r="D23" t="s">
        <v>1204</v>
      </c>
      <c r="E23" t="s">
        <v>354</v>
      </c>
      <c r="G23">
        <v>951.50280799999996</v>
      </c>
      <c r="H23">
        <v>942.55828899999995</v>
      </c>
      <c r="I23">
        <v>925.34039299999995</v>
      </c>
      <c r="J23">
        <v>912.45153800000003</v>
      </c>
      <c r="K23">
        <v>903.11096199999997</v>
      </c>
      <c r="L23">
        <v>894.80664100000001</v>
      </c>
      <c r="M23">
        <v>888.38452099999995</v>
      </c>
      <c r="N23">
        <v>882.99560499999995</v>
      </c>
      <c r="O23">
        <v>877.03247099999999</v>
      </c>
      <c r="P23">
        <v>872.79089399999998</v>
      </c>
      <c r="Q23">
        <v>871.79064900000003</v>
      </c>
      <c r="R23">
        <v>871.86755400000004</v>
      </c>
      <c r="S23">
        <v>873.03363000000002</v>
      </c>
      <c r="T23">
        <v>875.073486</v>
      </c>
      <c r="U23">
        <v>877.49945100000002</v>
      </c>
      <c r="V23">
        <v>881.02331500000003</v>
      </c>
      <c r="W23">
        <v>885.54095500000005</v>
      </c>
      <c r="X23">
        <v>889.79608199999996</v>
      </c>
      <c r="Y23">
        <v>896.14636199999995</v>
      </c>
      <c r="Z23">
        <v>903.92437700000005</v>
      </c>
      <c r="AA23">
        <v>911.92645300000004</v>
      </c>
      <c r="AB23">
        <v>919.04620399999999</v>
      </c>
      <c r="AC23">
        <v>925.47399900000005</v>
      </c>
      <c r="AD23">
        <v>932.77233899999999</v>
      </c>
      <c r="AE23">
        <v>941.28070100000002</v>
      </c>
      <c r="AF23">
        <v>951.49883999999997</v>
      </c>
      <c r="AG23">
        <v>960.51415999999995</v>
      </c>
      <c r="AH23">
        <v>969.57879600000001</v>
      </c>
      <c r="AI23">
        <v>981.59570299999996</v>
      </c>
      <c r="AJ23" s="31">
        <v>1E-3</v>
      </c>
      <c r="AK23" s="31">
        <v>8.9999999999999993E-3</v>
      </c>
    </row>
    <row r="24" spans="2:37">
      <c r="B24" t="s">
        <v>304</v>
      </c>
      <c r="C24" t="s">
        <v>1205</v>
      </c>
      <c r="D24" t="s">
        <v>1206</v>
      </c>
      <c r="E24" t="s">
        <v>354</v>
      </c>
      <c r="G24">
        <v>657.76745600000004</v>
      </c>
      <c r="H24">
        <v>651.25982699999997</v>
      </c>
      <c r="I24">
        <v>640.80761700000005</v>
      </c>
      <c r="J24">
        <v>634.44543499999997</v>
      </c>
      <c r="K24">
        <v>630.82428000000004</v>
      </c>
      <c r="L24">
        <v>624.78125</v>
      </c>
      <c r="M24">
        <v>620.947632</v>
      </c>
      <c r="N24">
        <v>618.08074999999997</v>
      </c>
      <c r="O24">
        <v>615.03594999999996</v>
      </c>
      <c r="P24">
        <v>613.48315400000001</v>
      </c>
      <c r="Q24">
        <v>614.07128899999998</v>
      </c>
      <c r="R24">
        <v>615.42193599999996</v>
      </c>
      <c r="S24">
        <v>617.641479</v>
      </c>
      <c r="T24">
        <v>620.38317900000004</v>
      </c>
      <c r="U24">
        <v>623.32220500000005</v>
      </c>
      <c r="V24">
        <v>627.02630599999998</v>
      </c>
      <c r="W24">
        <v>631.23345900000004</v>
      </c>
      <c r="X24">
        <v>635.20404099999996</v>
      </c>
      <c r="Y24">
        <v>640.80859399999997</v>
      </c>
      <c r="Z24">
        <v>646.77948000000004</v>
      </c>
      <c r="AA24">
        <v>653.38256799999999</v>
      </c>
      <c r="AB24">
        <v>659.03369099999998</v>
      </c>
      <c r="AC24">
        <v>663.90283199999999</v>
      </c>
      <c r="AD24">
        <v>669.03552200000001</v>
      </c>
      <c r="AE24">
        <v>675.10998500000005</v>
      </c>
      <c r="AF24">
        <v>682.46606399999996</v>
      </c>
      <c r="AG24">
        <v>688.97082499999999</v>
      </c>
      <c r="AH24">
        <v>695.63995399999999</v>
      </c>
      <c r="AI24">
        <v>704.23315400000001</v>
      </c>
      <c r="AJ24" s="31">
        <v>2E-3</v>
      </c>
      <c r="AK24" s="31">
        <v>8.0000000000000002E-3</v>
      </c>
    </row>
    <row r="25" spans="2:37">
      <c r="B25" t="s">
        <v>305</v>
      </c>
      <c r="C25" t="s">
        <v>1207</v>
      </c>
      <c r="D25" t="s">
        <v>1208</v>
      </c>
      <c r="E25" t="s">
        <v>354</v>
      </c>
      <c r="G25">
        <v>3.5136699999999998</v>
      </c>
      <c r="H25">
        <v>3.389497</v>
      </c>
      <c r="I25">
        <v>2.991625</v>
      </c>
      <c r="J25">
        <v>2.9037060000000001</v>
      </c>
      <c r="K25">
        <v>2.7676799999999999</v>
      </c>
      <c r="L25">
        <v>2.7080980000000001</v>
      </c>
      <c r="M25">
        <v>2.6648450000000001</v>
      </c>
      <c r="N25">
        <v>2.6710020000000001</v>
      </c>
      <c r="O25">
        <v>2.68058</v>
      </c>
      <c r="P25">
        <v>2.705457</v>
      </c>
      <c r="Q25">
        <v>2.745193</v>
      </c>
      <c r="R25">
        <v>2.803118</v>
      </c>
      <c r="S25">
        <v>2.8754189999999999</v>
      </c>
      <c r="T25">
        <v>2.972388</v>
      </c>
      <c r="U25">
        <v>3.075218</v>
      </c>
      <c r="V25">
        <v>3.2065070000000002</v>
      </c>
      <c r="W25">
        <v>3.3501609999999999</v>
      </c>
      <c r="X25">
        <v>3.5010400000000002</v>
      </c>
      <c r="Y25">
        <v>3.6667809999999998</v>
      </c>
      <c r="Z25">
        <v>3.843432</v>
      </c>
      <c r="AA25">
        <v>4.0169430000000004</v>
      </c>
      <c r="AB25">
        <v>4.194909</v>
      </c>
      <c r="AC25">
        <v>4.3540520000000003</v>
      </c>
      <c r="AD25">
        <v>4.5155190000000003</v>
      </c>
      <c r="AE25">
        <v>4.6677289999999996</v>
      </c>
      <c r="AF25">
        <v>4.8359430000000003</v>
      </c>
      <c r="AG25">
        <v>4.9793599999999998</v>
      </c>
      <c r="AH25">
        <v>5.1316860000000002</v>
      </c>
      <c r="AI25">
        <v>5.2824540000000004</v>
      </c>
      <c r="AJ25" s="31">
        <v>1.4999999999999999E-2</v>
      </c>
      <c r="AK25" s="31">
        <v>4.7E-2</v>
      </c>
    </row>
    <row r="26" spans="2:37">
      <c r="B26" t="s">
        <v>306</v>
      </c>
      <c r="C26" t="s">
        <v>1209</v>
      </c>
      <c r="D26" t="s">
        <v>1210</v>
      </c>
      <c r="E26" t="s">
        <v>354</v>
      </c>
      <c r="G26">
        <v>289.12039199999998</v>
      </c>
      <c r="H26">
        <v>286.82144199999999</v>
      </c>
      <c r="I26">
        <v>280.46920799999998</v>
      </c>
      <c r="J26">
        <v>274.07836900000001</v>
      </c>
      <c r="K26">
        <v>268.54092400000002</v>
      </c>
      <c r="L26">
        <v>266.37576300000001</v>
      </c>
      <c r="M26">
        <v>263.84298699999999</v>
      </c>
      <c r="N26">
        <v>261.31542999999999</v>
      </c>
      <c r="O26">
        <v>258.401184</v>
      </c>
      <c r="P26">
        <v>255.69387800000001</v>
      </c>
      <c r="Q26">
        <v>254.05813599999999</v>
      </c>
      <c r="R26">
        <v>252.705139</v>
      </c>
      <c r="S26">
        <v>251.542633</v>
      </c>
      <c r="T26">
        <v>250.69047499999999</v>
      </c>
      <c r="U26">
        <v>250.00555399999999</v>
      </c>
      <c r="V26">
        <v>249.60524000000001</v>
      </c>
      <c r="W26">
        <v>249.66021699999999</v>
      </c>
      <c r="X26">
        <v>249.65734900000001</v>
      </c>
      <c r="Y26">
        <v>250.07077000000001</v>
      </c>
      <c r="Z26">
        <v>251.505585</v>
      </c>
      <c r="AA26">
        <v>252.50730899999999</v>
      </c>
      <c r="AB26">
        <v>253.54638700000001</v>
      </c>
      <c r="AC26">
        <v>254.66670199999999</v>
      </c>
      <c r="AD26">
        <v>256.36206099999998</v>
      </c>
      <c r="AE26">
        <v>258.30450400000001</v>
      </c>
      <c r="AF26">
        <v>260.63464399999998</v>
      </c>
      <c r="AG26">
        <v>262.62152099999997</v>
      </c>
      <c r="AH26">
        <v>264.464203</v>
      </c>
      <c r="AI26">
        <v>267.307861</v>
      </c>
      <c r="AJ26" s="31">
        <v>-3.0000000000000001E-3</v>
      </c>
      <c r="AK26" s="31">
        <v>8.0000000000000002E-3</v>
      </c>
    </row>
    <row r="27" spans="2:37">
      <c r="B27" t="s">
        <v>308</v>
      </c>
      <c r="C27" t="s">
        <v>1211</v>
      </c>
      <c r="D27" t="s">
        <v>1212</v>
      </c>
      <c r="E27" t="s">
        <v>354</v>
      </c>
      <c r="G27">
        <v>1.1919999999999999E-3</v>
      </c>
      <c r="H27">
        <v>5.9367000000000003E-2</v>
      </c>
      <c r="I27">
        <v>0.11705</v>
      </c>
      <c r="J27">
        <v>0.17241300000000001</v>
      </c>
      <c r="K27">
        <v>0.22949800000000001</v>
      </c>
      <c r="L27">
        <v>0.28361900000000001</v>
      </c>
      <c r="M27">
        <v>0.33646300000000001</v>
      </c>
      <c r="N27">
        <v>0.39336500000000002</v>
      </c>
      <c r="O27">
        <v>0.43659700000000001</v>
      </c>
      <c r="P27">
        <v>0.48442800000000003</v>
      </c>
      <c r="Q27">
        <v>0.53945200000000004</v>
      </c>
      <c r="R27">
        <v>0.60183900000000001</v>
      </c>
      <c r="S27">
        <v>0.67321399999999998</v>
      </c>
      <c r="T27">
        <v>0.75634199999999996</v>
      </c>
      <c r="U27">
        <v>0.853271</v>
      </c>
      <c r="V27">
        <v>0.96770199999999995</v>
      </c>
      <c r="W27">
        <v>1.1022019999999999</v>
      </c>
      <c r="X27">
        <v>1.257558</v>
      </c>
      <c r="Y27">
        <v>1.4395659999999999</v>
      </c>
      <c r="Z27">
        <v>1.649748</v>
      </c>
      <c r="AA27">
        <v>1.8861079999999999</v>
      </c>
      <c r="AB27">
        <v>2.1497600000000001</v>
      </c>
      <c r="AC27">
        <v>2.4400059999999999</v>
      </c>
      <c r="AD27">
        <v>2.7592599999999998</v>
      </c>
      <c r="AE27">
        <v>3.1105109999999998</v>
      </c>
      <c r="AF27">
        <v>3.4898639999999999</v>
      </c>
      <c r="AG27">
        <v>3.885303</v>
      </c>
      <c r="AH27">
        <v>4.2978630000000004</v>
      </c>
      <c r="AI27">
        <v>4.7380370000000003</v>
      </c>
      <c r="AJ27" s="31">
        <v>0.34399999999999997</v>
      </c>
      <c r="AK27" s="31">
        <v>8.7999999999999995E-2</v>
      </c>
    </row>
    <row r="28" spans="2:37">
      <c r="B28" t="s">
        <v>307</v>
      </c>
      <c r="C28" t="s">
        <v>1213</v>
      </c>
      <c r="D28" t="s">
        <v>1214</v>
      </c>
      <c r="E28" t="s">
        <v>354</v>
      </c>
      <c r="G28">
        <v>1.100109</v>
      </c>
      <c r="H28">
        <v>1.0280959999999999</v>
      </c>
      <c r="I28">
        <v>0.95485699999999996</v>
      </c>
      <c r="J28">
        <v>0.85162800000000005</v>
      </c>
      <c r="K28">
        <v>0.74851699999999999</v>
      </c>
      <c r="L28">
        <v>0.657968</v>
      </c>
      <c r="M28">
        <v>0.59255500000000005</v>
      </c>
      <c r="N28">
        <v>0.53501100000000001</v>
      </c>
      <c r="O28">
        <v>0.478159</v>
      </c>
      <c r="P28">
        <v>0.42399300000000001</v>
      </c>
      <c r="Q28">
        <v>0.376664</v>
      </c>
      <c r="R28">
        <v>0.33548499999999998</v>
      </c>
      <c r="S28">
        <v>0.30089100000000002</v>
      </c>
      <c r="T28">
        <v>0.27107300000000001</v>
      </c>
      <c r="U28">
        <v>0.243198</v>
      </c>
      <c r="V28">
        <v>0.217586</v>
      </c>
      <c r="W28">
        <v>0.19492699999999999</v>
      </c>
      <c r="X28">
        <v>0.17607900000000001</v>
      </c>
      <c r="Y28">
        <v>0.160581</v>
      </c>
      <c r="Z28">
        <v>0.14618200000000001</v>
      </c>
      <c r="AA28">
        <v>0.133464</v>
      </c>
      <c r="AB28">
        <v>0.121475</v>
      </c>
      <c r="AC28">
        <v>0.110383</v>
      </c>
      <c r="AD28">
        <v>9.9973999999999993E-2</v>
      </c>
      <c r="AE28">
        <v>8.7946999999999997E-2</v>
      </c>
      <c r="AF28">
        <v>7.2319999999999995E-2</v>
      </c>
      <c r="AG28">
        <v>5.7146000000000002E-2</v>
      </c>
      <c r="AH28">
        <v>4.5075999999999998E-2</v>
      </c>
      <c r="AI28">
        <v>3.4169999999999999E-2</v>
      </c>
      <c r="AJ28" s="31">
        <v>-0.11700000000000001</v>
      </c>
      <c r="AK28" s="31">
        <v>-1.2999999999999999E-2</v>
      </c>
    </row>
    <row r="29" spans="2:37">
      <c r="B29" t="s">
        <v>309</v>
      </c>
      <c r="C29" t="s">
        <v>1215</v>
      </c>
      <c r="D29" t="s">
        <v>1216</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t="s">
        <v>117</v>
      </c>
      <c r="AK29" s="31">
        <v>0.115</v>
      </c>
    </row>
    <row r="30" spans="2:37">
      <c r="B30" t="s">
        <v>310</v>
      </c>
      <c r="C30" t="s">
        <v>1217</v>
      </c>
      <c r="D30" t="s">
        <v>1218</v>
      </c>
      <c r="E30" t="s">
        <v>354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K30" t="s">
        <v>117</v>
      </c>
    </row>
    <row r="31" spans="2:37">
      <c r="B31" t="s">
        <v>312</v>
      </c>
      <c r="C31" t="s">
        <v>1219</v>
      </c>
      <c r="D31" t="s">
        <v>1220</v>
      </c>
      <c r="E31" t="s">
        <v>354</v>
      </c>
      <c r="G31">
        <v>5922.7910160000001</v>
      </c>
      <c r="H31">
        <v>5816.7055659999996</v>
      </c>
      <c r="I31">
        <v>5728.0952150000003</v>
      </c>
      <c r="J31">
        <v>5673.0986329999996</v>
      </c>
      <c r="K31">
        <v>5638.8964839999999</v>
      </c>
      <c r="L31">
        <v>5591.7084960000002</v>
      </c>
      <c r="M31">
        <v>5543.7119140000004</v>
      </c>
      <c r="N31">
        <v>5483.6694340000004</v>
      </c>
      <c r="O31">
        <v>5422.388672</v>
      </c>
      <c r="P31">
        <v>5371.3027339999999</v>
      </c>
      <c r="Q31">
        <v>5340.158203</v>
      </c>
      <c r="R31">
        <v>5306.5048829999996</v>
      </c>
      <c r="S31">
        <v>5278.7797849999997</v>
      </c>
      <c r="T31">
        <v>5261.2470700000003</v>
      </c>
      <c r="U31">
        <v>5242.9990230000003</v>
      </c>
      <c r="V31">
        <v>5237.6972660000001</v>
      </c>
      <c r="W31">
        <v>5236.3618159999996</v>
      </c>
      <c r="X31">
        <v>5238.3041990000002</v>
      </c>
      <c r="Y31">
        <v>5247.9145509999998</v>
      </c>
      <c r="Z31">
        <v>5263.2084960000002</v>
      </c>
      <c r="AA31">
        <v>5281.4541019999997</v>
      </c>
      <c r="AB31">
        <v>5299.6816410000001</v>
      </c>
      <c r="AC31">
        <v>5316.7680659999996</v>
      </c>
      <c r="AD31">
        <v>5331.7001950000003</v>
      </c>
      <c r="AE31">
        <v>5353.1992190000001</v>
      </c>
      <c r="AF31">
        <v>5376.3164059999999</v>
      </c>
      <c r="AG31">
        <v>5393.3178710000002</v>
      </c>
      <c r="AH31">
        <v>5413.4169920000004</v>
      </c>
      <c r="AI31">
        <v>5450.0122069999998</v>
      </c>
      <c r="AJ31" s="31">
        <v>-3.0000000000000001E-3</v>
      </c>
      <c r="AK31" s="31">
        <v>5.0000000000000001E-3</v>
      </c>
    </row>
    <row r="32" spans="2:37">
      <c r="B32" t="s">
        <v>313</v>
      </c>
      <c r="C32" t="s">
        <v>1221</v>
      </c>
      <c r="D32" t="s">
        <v>1222</v>
      </c>
      <c r="E32" t="s">
        <v>354</v>
      </c>
      <c r="G32">
        <v>616.20519999999999</v>
      </c>
      <c r="H32">
        <v>611.60089100000005</v>
      </c>
      <c r="I32">
        <v>610.37268100000006</v>
      </c>
      <c r="J32">
        <v>612.19366500000001</v>
      </c>
      <c r="K32">
        <v>616.92590299999995</v>
      </c>
      <c r="L32">
        <v>620.02862500000003</v>
      </c>
      <c r="M32">
        <v>623.435608</v>
      </c>
      <c r="N32">
        <v>626.11090100000001</v>
      </c>
      <c r="O32">
        <v>629.31872599999997</v>
      </c>
      <c r="P32">
        <v>633.79577600000005</v>
      </c>
      <c r="Q32">
        <v>641.25616500000001</v>
      </c>
      <c r="R32">
        <v>647.76110800000004</v>
      </c>
      <c r="S32">
        <v>654.28460700000005</v>
      </c>
      <c r="T32">
        <v>661.13012700000002</v>
      </c>
      <c r="U32">
        <v>667.05139199999996</v>
      </c>
      <c r="V32">
        <v>674.55737299999998</v>
      </c>
      <c r="W32">
        <v>681.19171100000005</v>
      </c>
      <c r="X32">
        <v>688.82940699999995</v>
      </c>
      <c r="Y32">
        <v>697.06719999999996</v>
      </c>
      <c r="Z32">
        <v>706.54357900000002</v>
      </c>
      <c r="AA32">
        <v>715.970642</v>
      </c>
      <c r="AB32">
        <v>725.08044400000006</v>
      </c>
      <c r="AC32">
        <v>734.180969</v>
      </c>
      <c r="AD32">
        <v>743.18780500000003</v>
      </c>
      <c r="AE32">
        <v>753.50970500000005</v>
      </c>
      <c r="AF32">
        <v>764.21655299999998</v>
      </c>
      <c r="AG32">
        <v>774.01879899999994</v>
      </c>
      <c r="AH32">
        <v>784.56542999999999</v>
      </c>
      <c r="AI32">
        <v>797.65808100000004</v>
      </c>
      <c r="AJ32" s="31">
        <v>8.9999999999999993E-3</v>
      </c>
      <c r="AK32" s="31">
        <v>1.7000000000000001E-2</v>
      </c>
    </row>
    <row r="33" spans="2:37">
      <c r="B33" t="s">
        <v>306</v>
      </c>
      <c r="C33" t="s">
        <v>1223</v>
      </c>
      <c r="D33" t="s">
        <v>1224</v>
      </c>
      <c r="E33" t="s">
        <v>354</v>
      </c>
      <c r="G33">
        <v>5252.3305659999996</v>
      </c>
      <c r="H33">
        <v>5150.2441410000001</v>
      </c>
      <c r="I33">
        <v>5062.3154299999997</v>
      </c>
      <c r="J33">
        <v>5004.9750979999999</v>
      </c>
      <c r="K33">
        <v>4965.6987300000001</v>
      </c>
      <c r="L33">
        <v>4915.5693359999996</v>
      </c>
      <c r="M33">
        <v>4864.6591799999997</v>
      </c>
      <c r="N33">
        <v>4802.8212890000004</v>
      </c>
      <c r="O33">
        <v>4739.4140619999998</v>
      </c>
      <c r="P33">
        <v>4684.7788090000004</v>
      </c>
      <c r="Q33">
        <v>4646.6831050000001</v>
      </c>
      <c r="R33">
        <v>4606.6586909999996</v>
      </c>
      <c r="S33">
        <v>4572.0830079999996</v>
      </c>
      <c r="T33">
        <v>4546.9648440000001</v>
      </c>
      <c r="U33">
        <v>4521.8164059999999</v>
      </c>
      <c r="V33">
        <v>4507.6464839999999</v>
      </c>
      <c r="W33">
        <v>4498.0512699999999</v>
      </c>
      <c r="X33">
        <v>4490.4604490000002</v>
      </c>
      <c r="Y33">
        <v>4489.5615230000003</v>
      </c>
      <c r="Z33">
        <v>4492.7368159999996</v>
      </c>
      <c r="AA33">
        <v>4498.6596680000002</v>
      </c>
      <c r="AB33">
        <v>4504.6669920000004</v>
      </c>
      <c r="AC33">
        <v>4509.3803710000002</v>
      </c>
      <c r="AD33">
        <v>4511.908203</v>
      </c>
      <c r="AE33">
        <v>4519.439453</v>
      </c>
      <c r="AF33">
        <v>4527.9907229999999</v>
      </c>
      <c r="AG33">
        <v>4531.3125</v>
      </c>
      <c r="AH33">
        <v>4536.8085940000001</v>
      </c>
      <c r="AI33">
        <v>4555.8002930000002</v>
      </c>
      <c r="AJ33" s="31">
        <v>-5.0000000000000001E-3</v>
      </c>
      <c r="AK33" s="31">
        <v>3.0000000000000001E-3</v>
      </c>
    </row>
    <row r="34" spans="2:37">
      <c r="B34" t="s">
        <v>307</v>
      </c>
      <c r="C34" t="s">
        <v>1225</v>
      </c>
      <c r="D34" t="s">
        <v>1226</v>
      </c>
      <c r="E34" t="s">
        <v>354</v>
      </c>
      <c r="G34">
        <v>51.344929</v>
      </c>
      <c r="H34">
        <v>51.773192999999999</v>
      </c>
      <c r="I34">
        <v>51.965775000000001</v>
      </c>
      <c r="J34">
        <v>52.061793999999999</v>
      </c>
      <c r="K34">
        <v>52.003608999999997</v>
      </c>
      <c r="L34">
        <v>51.453991000000002</v>
      </c>
      <c r="M34">
        <v>50.587242000000003</v>
      </c>
      <c r="N34">
        <v>49.357909999999997</v>
      </c>
      <c r="O34">
        <v>47.935226</v>
      </c>
      <c r="P34">
        <v>46.656028999999997</v>
      </c>
      <c r="Q34">
        <v>45.774757000000001</v>
      </c>
      <c r="R34">
        <v>45.265822999999997</v>
      </c>
      <c r="S34">
        <v>45.213749</v>
      </c>
      <c r="T34">
        <v>45.570152</v>
      </c>
      <c r="U34">
        <v>46.181812000000001</v>
      </c>
      <c r="V34">
        <v>47.148071000000002</v>
      </c>
      <c r="W34">
        <v>48.373516000000002</v>
      </c>
      <c r="X34">
        <v>49.850357000000002</v>
      </c>
      <c r="Y34">
        <v>51.657871</v>
      </c>
      <c r="Z34">
        <v>53.784999999999997</v>
      </c>
      <c r="AA34">
        <v>56.128627999999999</v>
      </c>
      <c r="AB34">
        <v>58.653038000000002</v>
      </c>
      <c r="AC34">
        <v>61.322830000000003</v>
      </c>
      <c r="AD34">
        <v>64.089225999999996</v>
      </c>
      <c r="AE34">
        <v>67.060805999999999</v>
      </c>
      <c r="AF34">
        <v>70.195708999999994</v>
      </c>
      <c r="AG34">
        <v>73.347763</v>
      </c>
      <c r="AH34">
        <v>76.647514000000001</v>
      </c>
      <c r="AI34">
        <v>80.336478999999997</v>
      </c>
      <c r="AJ34" s="31">
        <v>1.6E-2</v>
      </c>
      <c r="AK34" s="31">
        <v>2.1999999999999999E-2</v>
      </c>
    </row>
    <row r="35" spans="2:37">
      <c r="B35" t="s">
        <v>308</v>
      </c>
      <c r="C35" t="s">
        <v>1227</v>
      </c>
      <c r="D35" t="s">
        <v>1228</v>
      </c>
      <c r="E35" t="s">
        <v>354</v>
      </c>
      <c r="G35">
        <v>1.2452650000000001</v>
      </c>
      <c r="H35">
        <v>1.3861779999999999</v>
      </c>
      <c r="I35">
        <v>1.5248809999999999</v>
      </c>
      <c r="J35">
        <v>1.6560079999999999</v>
      </c>
      <c r="K35">
        <v>1.7862659999999999</v>
      </c>
      <c r="L35">
        <v>1.903707</v>
      </c>
      <c r="M35">
        <v>2.0105780000000002</v>
      </c>
      <c r="N35">
        <v>2.0996890000000001</v>
      </c>
      <c r="O35">
        <v>2.1804990000000002</v>
      </c>
      <c r="P35">
        <v>2.2604649999999999</v>
      </c>
      <c r="Q35">
        <v>2.3478089999999998</v>
      </c>
      <c r="R35">
        <v>2.4404729999999999</v>
      </c>
      <c r="S35">
        <v>2.5412210000000002</v>
      </c>
      <c r="T35">
        <v>2.6449829999999999</v>
      </c>
      <c r="U35">
        <v>2.752405</v>
      </c>
      <c r="V35">
        <v>2.87385</v>
      </c>
      <c r="W35">
        <v>3.004591</v>
      </c>
      <c r="X35">
        <v>3.1495850000000001</v>
      </c>
      <c r="Y35">
        <v>3.3139080000000001</v>
      </c>
      <c r="Z35">
        <v>3.5006020000000002</v>
      </c>
      <c r="AA35">
        <v>3.7020719999999998</v>
      </c>
      <c r="AB35">
        <v>3.9170069999999999</v>
      </c>
      <c r="AC35">
        <v>4.1414160000000004</v>
      </c>
      <c r="AD35">
        <v>4.3768849999999997</v>
      </c>
      <c r="AE35">
        <v>4.632447</v>
      </c>
      <c r="AF35">
        <v>4.9017460000000002</v>
      </c>
      <c r="AG35">
        <v>5.1746309999999998</v>
      </c>
      <c r="AH35">
        <v>5.4474770000000001</v>
      </c>
      <c r="AI35">
        <v>5.7450359999999998</v>
      </c>
      <c r="AJ35" s="31">
        <v>5.6000000000000001E-2</v>
      </c>
      <c r="AK35" s="31">
        <v>4.4999999999999998E-2</v>
      </c>
    </row>
    <row r="36" spans="2:37">
      <c r="B36" t="s">
        <v>305</v>
      </c>
      <c r="C36" t="s">
        <v>1229</v>
      </c>
      <c r="D36" t="s">
        <v>1230</v>
      </c>
      <c r="E36" t="s">
        <v>354</v>
      </c>
      <c r="G36">
        <v>1.575329</v>
      </c>
      <c r="H36">
        <v>1.59209</v>
      </c>
      <c r="I36">
        <v>1.542675</v>
      </c>
      <c r="J36">
        <v>1.6006830000000001</v>
      </c>
      <c r="K36">
        <v>1.6393420000000001</v>
      </c>
      <c r="L36">
        <v>1.678971</v>
      </c>
      <c r="M36">
        <v>1.7193179999999999</v>
      </c>
      <c r="N36">
        <v>1.762707</v>
      </c>
      <c r="O36">
        <v>1.813895</v>
      </c>
      <c r="P36">
        <v>1.879181</v>
      </c>
      <c r="Q36">
        <v>1.9543600000000001</v>
      </c>
      <c r="R36">
        <v>2.0339360000000002</v>
      </c>
      <c r="S36">
        <v>2.113308</v>
      </c>
      <c r="T36">
        <v>2.196958</v>
      </c>
      <c r="U36">
        <v>2.2686670000000002</v>
      </c>
      <c r="V36">
        <v>2.3534449999999998</v>
      </c>
      <c r="W36">
        <v>2.433783</v>
      </c>
      <c r="X36">
        <v>2.5157970000000001</v>
      </c>
      <c r="Y36">
        <v>2.6119849999999998</v>
      </c>
      <c r="Z36">
        <v>2.7199399999999998</v>
      </c>
      <c r="AA36">
        <v>2.8330769999999998</v>
      </c>
      <c r="AB36">
        <v>2.961128</v>
      </c>
      <c r="AC36">
        <v>3.087059</v>
      </c>
      <c r="AD36">
        <v>3.2187969999999999</v>
      </c>
      <c r="AE36">
        <v>3.346063</v>
      </c>
      <c r="AF36">
        <v>3.488648</v>
      </c>
      <c r="AG36">
        <v>3.6174729999999999</v>
      </c>
      <c r="AH36">
        <v>3.75576</v>
      </c>
      <c r="AI36">
        <v>3.8951479999999998</v>
      </c>
      <c r="AJ36" s="31">
        <v>3.3000000000000002E-2</v>
      </c>
      <c r="AK36" s="31">
        <v>6.7000000000000004E-2</v>
      </c>
    </row>
    <row r="37" spans="2:37">
      <c r="B37" t="s">
        <v>309</v>
      </c>
      <c r="C37" t="s">
        <v>1231</v>
      </c>
      <c r="D37" t="s">
        <v>1232</v>
      </c>
      <c r="E37" t="s">
        <v>354</v>
      </c>
      <c r="G37">
        <v>9.0132000000000004E-2</v>
      </c>
      <c r="H37">
        <v>0.10914600000000001</v>
      </c>
      <c r="I37">
        <v>0.14400499999999999</v>
      </c>
      <c r="J37">
        <v>0.16340499999999999</v>
      </c>
      <c r="K37">
        <v>0.180895</v>
      </c>
      <c r="L37">
        <v>0.19575699999999999</v>
      </c>
      <c r="M37">
        <v>0.20827399999999999</v>
      </c>
      <c r="N37">
        <v>0.21801599999999999</v>
      </c>
      <c r="O37">
        <v>0.225574</v>
      </c>
      <c r="P37">
        <v>0.231714</v>
      </c>
      <c r="Q37">
        <v>0.23694499999999999</v>
      </c>
      <c r="R37">
        <v>0.240285</v>
      </c>
      <c r="S37">
        <v>0.24247299999999999</v>
      </c>
      <c r="T37">
        <v>0.244232</v>
      </c>
      <c r="U37">
        <v>0.245169</v>
      </c>
      <c r="V37">
        <v>0.24673500000000001</v>
      </c>
      <c r="W37">
        <v>0.24945500000000001</v>
      </c>
      <c r="X37">
        <v>0.25267000000000001</v>
      </c>
      <c r="Y37">
        <v>0.25714399999999998</v>
      </c>
      <c r="Z37">
        <v>0.26399899999999998</v>
      </c>
      <c r="AA37">
        <v>0.27311400000000002</v>
      </c>
      <c r="AB37">
        <v>0.28285100000000002</v>
      </c>
      <c r="AC37">
        <v>0.293846</v>
      </c>
      <c r="AD37">
        <v>0.30659700000000001</v>
      </c>
      <c r="AE37">
        <v>0.32178200000000001</v>
      </c>
      <c r="AF37">
        <v>0.33802500000000002</v>
      </c>
      <c r="AG37">
        <v>0.35486499999999999</v>
      </c>
      <c r="AH37">
        <v>0.37290400000000001</v>
      </c>
      <c r="AI37">
        <v>0.39289000000000002</v>
      </c>
      <c r="AJ37" s="31">
        <v>5.3999999999999999E-2</v>
      </c>
      <c r="AK37" s="31">
        <v>0.123</v>
      </c>
    </row>
    <row r="38" spans="2:37">
      <c r="B38" t="s">
        <v>310</v>
      </c>
      <c r="C38" t="s">
        <v>1233</v>
      </c>
      <c r="D38" t="s">
        <v>1234</v>
      </c>
      <c r="E38" t="s">
        <v>354</v>
      </c>
      <c r="G38">
        <v>0</v>
      </c>
      <c r="H38">
        <v>0</v>
      </c>
      <c r="I38">
        <v>0.22972699999999999</v>
      </c>
      <c r="J38">
        <v>0.44725199999999998</v>
      </c>
      <c r="K38">
        <v>0.66231200000000001</v>
      </c>
      <c r="L38">
        <v>0.87751500000000004</v>
      </c>
      <c r="M38">
        <v>1.0912500000000001</v>
      </c>
      <c r="N38">
        <v>1.2990360000000001</v>
      </c>
      <c r="O38">
        <v>1.5006790000000001</v>
      </c>
      <c r="P38">
        <v>1.7007650000000001</v>
      </c>
      <c r="Q38">
        <v>1.904776</v>
      </c>
      <c r="R38">
        <v>2.1047159999999998</v>
      </c>
      <c r="S38">
        <v>2.3014619999999999</v>
      </c>
      <c r="T38">
        <v>2.4959410000000002</v>
      </c>
      <c r="U38">
        <v>2.6833969999999998</v>
      </c>
      <c r="V38">
        <v>2.8711519999999999</v>
      </c>
      <c r="W38">
        <v>3.0575350000000001</v>
      </c>
      <c r="X38">
        <v>3.245911</v>
      </c>
      <c r="Y38">
        <v>3.4448439999999998</v>
      </c>
      <c r="Z38">
        <v>3.6585719999999999</v>
      </c>
      <c r="AA38">
        <v>3.886771</v>
      </c>
      <c r="AB38">
        <v>4.1203969999999996</v>
      </c>
      <c r="AC38">
        <v>4.3612700000000002</v>
      </c>
      <c r="AD38">
        <v>4.6121660000000002</v>
      </c>
      <c r="AE38">
        <v>4.8889959999999997</v>
      </c>
      <c r="AF38">
        <v>5.184831</v>
      </c>
      <c r="AG38">
        <v>5.4921150000000001</v>
      </c>
      <c r="AH38">
        <v>5.8197830000000002</v>
      </c>
      <c r="AI38">
        <v>6.1840799999999998</v>
      </c>
      <c r="AJ38" t="s">
        <v>117</v>
      </c>
      <c r="AK38" s="31">
        <v>0.13400000000000001</v>
      </c>
    </row>
    <row r="39" spans="2:37">
      <c r="B39" t="s">
        <v>314</v>
      </c>
      <c r="C39" t="s">
        <v>1235</v>
      </c>
      <c r="D39" t="s">
        <v>1236</v>
      </c>
      <c r="E39" t="s">
        <v>354</v>
      </c>
      <c r="G39">
        <v>481.38171399999999</v>
      </c>
      <c r="H39">
        <v>474.82238799999999</v>
      </c>
      <c r="I39">
        <v>494.12914999999998</v>
      </c>
      <c r="J39">
        <v>482.20422400000001</v>
      </c>
      <c r="K39">
        <v>461.88034099999999</v>
      </c>
      <c r="L39">
        <v>446.09524499999998</v>
      </c>
      <c r="M39">
        <v>439.745361</v>
      </c>
      <c r="N39">
        <v>444.52569599999998</v>
      </c>
      <c r="O39">
        <v>441.89193699999998</v>
      </c>
      <c r="P39">
        <v>443.42330900000002</v>
      </c>
      <c r="Q39">
        <v>447.43722500000001</v>
      </c>
      <c r="R39">
        <v>450.64798000000002</v>
      </c>
      <c r="S39">
        <v>452.66558800000001</v>
      </c>
      <c r="T39">
        <v>455.51504499999999</v>
      </c>
      <c r="U39">
        <v>455.89370700000001</v>
      </c>
      <c r="V39">
        <v>456.86227400000001</v>
      </c>
      <c r="W39">
        <v>458.27462800000001</v>
      </c>
      <c r="X39">
        <v>457.60876500000001</v>
      </c>
      <c r="Y39">
        <v>458.12835699999999</v>
      </c>
      <c r="Z39">
        <v>461.673248</v>
      </c>
      <c r="AA39">
        <v>464.588348</v>
      </c>
      <c r="AB39">
        <v>464.93649299999998</v>
      </c>
      <c r="AC39">
        <v>464.922821</v>
      </c>
      <c r="AD39">
        <v>464.770691</v>
      </c>
      <c r="AE39">
        <v>465.76678500000003</v>
      </c>
      <c r="AF39">
        <v>468.15533399999998</v>
      </c>
      <c r="AG39">
        <v>471.33984400000003</v>
      </c>
      <c r="AH39">
        <v>472.59906000000001</v>
      </c>
      <c r="AI39">
        <v>475.72866800000003</v>
      </c>
      <c r="AJ39" s="31">
        <v>0</v>
      </c>
      <c r="AK39" s="31">
        <v>1E-3</v>
      </c>
    </row>
    <row r="40" spans="2:37">
      <c r="B40" t="s">
        <v>306</v>
      </c>
      <c r="C40" t="s">
        <v>1237</v>
      </c>
      <c r="D40" t="s">
        <v>1238</v>
      </c>
      <c r="E40" t="s">
        <v>354</v>
      </c>
      <c r="G40">
        <v>480.86654700000003</v>
      </c>
      <c r="H40">
        <v>473.79251099999999</v>
      </c>
      <c r="I40">
        <v>492.51501500000001</v>
      </c>
      <c r="J40">
        <v>480.10034200000001</v>
      </c>
      <c r="K40">
        <v>459.17535400000003</v>
      </c>
      <c r="L40">
        <v>442.59573399999999</v>
      </c>
      <c r="M40">
        <v>435.204926</v>
      </c>
      <c r="N40">
        <v>438.61608899999999</v>
      </c>
      <c r="O40">
        <v>434.49127199999998</v>
      </c>
      <c r="P40">
        <v>434.25302099999999</v>
      </c>
      <c r="Q40">
        <v>435.99301100000002</v>
      </c>
      <c r="R40">
        <v>436.48690800000003</v>
      </c>
      <c r="S40">
        <v>435.37204000000003</v>
      </c>
      <c r="T40">
        <v>434.60772700000001</v>
      </c>
      <c r="U40">
        <v>431.05429099999998</v>
      </c>
      <c r="V40">
        <v>427.65039100000001</v>
      </c>
      <c r="W40">
        <v>424.25372299999998</v>
      </c>
      <c r="X40">
        <v>418.55365</v>
      </c>
      <c r="Y40">
        <v>413.58151199999998</v>
      </c>
      <c r="Z40">
        <v>410.946777</v>
      </c>
      <c r="AA40">
        <v>407.33846999999997</v>
      </c>
      <c r="AB40">
        <v>401.121399</v>
      </c>
      <c r="AC40">
        <v>394.29074100000003</v>
      </c>
      <c r="AD40">
        <v>387.06680299999999</v>
      </c>
      <c r="AE40">
        <v>380.52633700000001</v>
      </c>
      <c r="AF40">
        <v>373.70101899999997</v>
      </c>
      <c r="AG40">
        <v>367.609375</v>
      </c>
      <c r="AH40">
        <v>360.13336199999998</v>
      </c>
      <c r="AI40">
        <v>354.19946299999998</v>
      </c>
      <c r="AJ40" s="31">
        <v>-1.0999999999999999E-2</v>
      </c>
      <c r="AK40" s="31">
        <v>-1.7000000000000001E-2</v>
      </c>
    </row>
    <row r="41" spans="2:37">
      <c r="B41" t="s">
        <v>315</v>
      </c>
      <c r="C41" t="s">
        <v>1239</v>
      </c>
      <c r="D41" t="s">
        <v>1240</v>
      </c>
      <c r="E41" t="s">
        <v>354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117</v>
      </c>
      <c r="AK41" t="s">
        <v>117</v>
      </c>
    </row>
    <row r="42" spans="2:37">
      <c r="B42" t="s">
        <v>316</v>
      </c>
      <c r="C42" t="s">
        <v>1241</v>
      </c>
      <c r="D42" t="s">
        <v>1242</v>
      </c>
      <c r="E42" t="s">
        <v>354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t="s">
        <v>117</v>
      </c>
      <c r="AK42" t="s">
        <v>117</v>
      </c>
    </row>
    <row r="43" spans="2:37">
      <c r="B43" t="s">
        <v>317</v>
      </c>
      <c r="C43" t="s">
        <v>1243</v>
      </c>
      <c r="D43" t="s">
        <v>1244</v>
      </c>
      <c r="E43" t="s">
        <v>354</v>
      </c>
      <c r="G43">
        <v>0.51516300000000004</v>
      </c>
      <c r="H43">
        <v>1.02989</v>
      </c>
      <c r="I43">
        <v>1.6141289999999999</v>
      </c>
      <c r="J43">
        <v>2.1038670000000002</v>
      </c>
      <c r="K43">
        <v>2.7049910000000001</v>
      </c>
      <c r="L43">
        <v>3.499511</v>
      </c>
      <c r="M43">
        <v>4.5404369999999998</v>
      </c>
      <c r="N43">
        <v>5.9096029999999997</v>
      </c>
      <c r="O43">
        <v>7.4006509999999999</v>
      </c>
      <c r="P43">
        <v>9.1702840000000005</v>
      </c>
      <c r="Q43">
        <v>11.444215</v>
      </c>
      <c r="R43">
        <v>14.161068</v>
      </c>
      <c r="S43">
        <v>17.293554</v>
      </c>
      <c r="T43">
        <v>20.907318</v>
      </c>
      <c r="U43">
        <v>24.839417000000001</v>
      </c>
      <c r="V43">
        <v>29.211893</v>
      </c>
      <c r="W43">
        <v>34.020896999999998</v>
      </c>
      <c r="X43">
        <v>39.055110999999997</v>
      </c>
      <c r="Y43">
        <v>44.546832999999999</v>
      </c>
      <c r="Z43">
        <v>50.726470999999997</v>
      </c>
      <c r="AA43">
        <v>57.249889000000003</v>
      </c>
      <c r="AB43">
        <v>63.815086000000001</v>
      </c>
      <c r="AC43">
        <v>70.632087999999996</v>
      </c>
      <c r="AD43">
        <v>77.703888000000006</v>
      </c>
      <c r="AE43">
        <v>85.240448000000001</v>
      </c>
      <c r="AF43">
        <v>94.454329999999999</v>
      </c>
      <c r="AG43">
        <v>103.730484</v>
      </c>
      <c r="AH43">
        <v>112.465706</v>
      </c>
      <c r="AI43">
        <v>121.52919799999999</v>
      </c>
      <c r="AJ43" s="31">
        <v>0.215</v>
      </c>
      <c r="AK43" s="31">
        <v>0.223</v>
      </c>
    </row>
    <row r="44" spans="2:37">
      <c r="B44" t="s">
        <v>213</v>
      </c>
      <c r="C44" t="s">
        <v>1245</v>
      </c>
      <c r="D44" t="s">
        <v>1246</v>
      </c>
      <c r="E44" t="s">
        <v>354</v>
      </c>
      <c r="G44">
        <v>98.239020999999994</v>
      </c>
      <c r="H44">
        <v>98.920753000000005</v>
      </c>
      <c r="I44">
        <v>98.114661999999996</v>
      </c>
      <c r="J44">
        <v>97.346069</v>
      </c>
      <c r="K44">
        <v>96.685867000000002</v>
      </c>
      <c r="L44">
        <v>95.823470999999998</v>
      </c>
      <c r="M44">
        <v>94.964698999999996</v>
      </c>
      <c r="N44">
        <v>93.890502999999995</v>
      </c>
      <c r="O44">
        <v>92.919189000000003</v>
      </c>
      <c r="P44">
        <v>92.029815999999997</v>
      </c>
      <c r="Q44">
        <v>91.401107999999994</v>
      </c>
      <c r="R44">
        <v>90.674225000000007</v>
      </c>
      <c r="S44">
        <v>89.934028999999995</v>
      </c>
      <c r="T44">
        <v>89.168869000000001</v>
      </c>
      <c r="U44">
        <v>88.333008000000007</v>
      </c>
      <c r="V44">
        <v>87.614966999999993</v>
      </c>
      <c r="W44">
        <v>86.833350999999993</v>
      </c>
      <c r="X44">
        <v>86.156693000000004</v>
      </c>
      <c r="Y44">
        <v>85.473595000000003</v>
      </c>
      <c r="Z44">
        <v>84.846123000000006</v>
      </c>
      <c r="AA44">
        <v>84.273765999999995</v>
      </c>
      <c r="AB44">
        <v>83.705399</v>
      </c>
      <c r="AC44">
        <v>83.103454999999997</v>
      </c>
      <c r="AD44">
        <v>82.418205</v>
      </c>
      <c r="AE44">
        <v>81.856209000000007</v>
      </c>
      <c r="AF44">
        <v>81.249022999999994</v>
      </c>
      <c r="AG44">
        <v>80.573120000000003</v>
      </c>
      <c r="AH44">
        <v>79.990395000000007</v>
      </c>
      <c r="AI44">
        <v>79.592849999999999</v>
      </c>
      <c r="AJ44" s="31">
        <v>-7.0000000000000001E-3</v>
      </c>
      <c r="AK44" s="31">
        <v>-1.4E-2</v>
      </c>
    </row>
    <row r="45" spans="2:37">
      <c r="B45" t="s">
        <v>306</v>
      </c>
      <c r="C45" t="s">
        <v>1247</v>
      </c>
      <c r="D45" t="s">
        <v>1248</v>
      </c>
      <c r="E45" t="s">
        <v>354</v>
      </c>
      <c r="G45">
        <v>95.724982999999995</v>
      </c>
      <c r="H45">
        <v>96.410872999999995</v>
      </c>
      <c r="I45">
        <v>95.648369000000002</v>
      </c>
      <c r="J45">
        <v>94.922400999999994</v>
      </c>
      <c r="K45">
        <v>94.299674999999993</v>
      </c>
      <c r="L45">
        <v>93.480141000000003</v>
      </c>
      <c r="M45">
        <v>92.663535999999993</v>
      </c>
      <c r="N45">
        <v>91.636002000000005</v>
      </c>
      <c r="O45">
        <v>90.709732000000002</v>
      </c>
      <c r="P45">
        <v>89.864052000000001</v>
      </c>
      <c r="Q45">
        <v>89.271820000000005</v>
      </c>
      <c r="R45">
        <v>88.583907999999994</v>
      </c>
      <c r="S45">
        <v>87.881882000000004</v>
      </c>
      <c r="T45">
        <v>87.154610000000005</v>
      </c>
      <c r="U45">
        <v>86.355025999999995</v>
      </c>
      <c r="V45">
        <v>85.672011999999995</v>
      </c>
      <c r="W45">
        <v>84.929305999999997</v>
      </c>
      <c r="X45">
        <v>84.290549999999996</v>
      </c>
      <c r="Y45">
        <v>83.598647999999997</v>
      </c>
      <c r="Z45">
        <v>82.885955999999993</v>
      </c>
      <c r="AA45">
        <v>82.221778999999998</v>
      </c>
      <c r="AB45">
        <v>81.555756000000002</v>
      </c>
      <c r="AC45">
        <v>80.850998000000004</v>
      </c>
      <c r="AD45">
        <v>80.058989999999994</v>
      </c>
      <c r="AE45">
        <v>79.380050999999995</v>
      </c>
      <c r="AF45">
        <v>78.650115999999997</v>
      </c>
      <c r="AG45">
        <v>77.846335999999994</v>
      </c>
      <c r="AH45">
        <v>77.124741</v>
      </c>
      <c r="AI45">
        <v>76.572761999999997</v>
      </c>
      <c r="AJ45" s="31">
        <v>-8.0000000000000002E-3</v>
      </c>
      <c r="AK45" s="31">
        <v>-1.4E-2</v>
      </c>
    </row>
    <row r="46" spans="2:37">
      <c r="B46" t="s">
        <v>318</v>
      </c>
      <c r="C46" t="s">
        <v>1249</v>
      </c>
      <c r="D46" t="s">
        <v>1250</v>
      </c>
      <c r="E46" t="s">
        <v>354</v>
      </c>
      <c r="G46">
        <v>1.875904</v>
      </c>
      <c r="H46">
        <v>1.8078829999999999</v>
      </c>
      <c r="I46">
        <v>1.7136819999999999</v>
      </c>
      <c r="J46">
        <v>1.621937</v>
      </c>
      <c r="K46">
        <v>1.5413140000000001</v>
      </c>
      <c r="L46">
        <v>1.455168</v>
      </c>
      <c r="M46">
        <v>1.371278</v>
      </c>
      <c r="N46">
        <v>1.2863249999999999</v>
      </c>
      <c r="O46">
        <v>1.1999850000000001</v>
      </c>
      <c r="P46">
        <v>1.1125510000000001</v>
      </c>
      <c r="Q46">
        <v>1.0315639999999999</v>
      </c>
      <c r="R46">
        <v>0.94839600000000002</v>
      </c>
      <c r="S46">
        <v>0.86860599999999999</v>
      </c>
      <c r="T46">
        <v>0.79182399999999997</v>
      </c>
      <c r="U46">
        <v>0.72530600000000001</v>
      </c>
      <c r="V46">
        <v>0.65481</v>
      </c>
      <c r="W46">
        <v>0.57531900000000002</v>
      </c>
      <c r="X46">
        <v>0.49192999999999998</v>
      </c>
      <c r="Y46">
        <v>0.417902</v>
      </c>
      <c r="Z46">
        <v>0.41475499999999998</v>
      </c>
      <c r="AA46">
        <v>0.41187499999999999</v>
      </c>
      <c r="AB46">
        <v>0.40901599999999999</v>
      </c>
      <c r="AC46">
        <v>0.40599000000000002</v>
      </c>
      <c r="AD46">
        <v>0.40254800000000002</v>
      </c>
      <c r="AE46">
        <v>0.39974100000000001</v>
      </c>
      <c r="AF46">
        <v>0.396733</v>
      </c>
      <c r="AG46">
        <v>0.39335599999999998</v>
      </c>
      <c r="AH46">
        <v>0.39045299999999999</v>
      </c>
      <c r="AI46">
        <v>0.38850499999999999</v>
      </c>
      <c r="AJ46" s="31">
        <v>-5.5E-2</v>
      </c>
      <c r="AK46" s="31">
        <v>-6.0999999999999999E-2</v>
      </c>
    </row>
    <row r="47" spans="2:37">
      <c r="B47" t="s">
        <v>316</v>
      </c>
      <c r="C47" t="s">
        <v>1251</v>
      </c>
      <c r="D47" t="s">
        <v>1252</v>
      </c>
      <c r="E47" t="s">
        <v>354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117</v>
      </c>
      <c r="AK47" t="s">
        <v>117</v>
      </c>
    </row>
    <row r="48" spans="2:37">
      <c r="B48" t="s">
        <v>317</v>
      </c>
      <c r="C48" t="s">
        <v>1253</v>
      </c>
      <c r="D48" t="s">
        <v>1254</v>
      </c>
      <c r="E48" t="s">
        <v>354</v>
      </c>
      <c r="G48">
        <v>0.638131</v>
      </c>
      <c r="H48">
        <v>0.70199999999999996</v>
      </c>
      <c r="I48">
        <v>0.75260700000000003</v>
      </c>
      <c r="J48">
        <v>0.80172500000000002</v>
      </c>
      <c r="K48">
        <v>0.84487999999999996</v>
      </c>
      <c r="L48">
        <v>0.88815699999999997</v>
      </c>
      <c r="M48">
        <v>0.92988400000000004</v>
      </c>
      <c r="N48">
        <v>0.96818099999999996</v>
      </c>
      <c r="O48">
        <v>1.009477</v>
      </c>
      <c r="P48">
        <v>1.053212</v>
      </c>
      <c r="Q48">
        <v>1.0977250000000001</v>
      </c>
      <c r="R48">
        <v>1.1419189999999999</v>
      </c>
      <c r="S48">
        <v>1.183538</v>
      </c>
      <c r="T48">
        <v>1.2224330000000001</v>
      </c>
      <c r="U48">
        <v>1.252678</v>
      </c>
      <c r="V48">
        <v>1.2881480000000001</v>
      </c>
      <c r="W48">
        <v>1.3287279999999999</v>
      </c>
      <c r="X48">
        <v>1.374214</v>
      </c>
      <c r="Y48">
        <v>1.4570460000000001</v>
      </c>
      <c r="Z48">
        <v>1.54541</v>
      </c>
      <c r="AA48">
        <v>1.640115</v>
      </c>
      <c r="AB48">
        <v>1.7406269999999999</v>
      </c>
      <c r="AC48">
        <v>1.8464670000000001</v>
      </c>
      <c r="AD48">
        <v>1.956663</v>
      </c>
      <c r="AE48">
        <v>2.0764179999999999</v>
      </c>
      <c r="AF48">
        <v>2.2021730000000002</v>
      </c>
      <c r="AG48">
        <v>2.3334239999999999</v>
      </c>
      <c r="AH48">
        <v>2.4752070000000002</v>
      </c>
      <c r="AI48">
        <v>2.6315870000000001</v>
      </c>
      <c r="AJ48" s="31">
        <v>5.1999999999999998E-2</v>
      </c>
      <c r="AK48" s="31">
        <v>4.8000000000000001E-2</v>
      </c>
    </row>
    <row r="49" spans="1:37">
      <c r="B49" t="s">
        <v>212</v>
      </c>
      <c r="C49" t="s">
        <v>1255</v>
      </c>
      <c r="D49" t="s">
        <v>1256</v>
      </c>
      <c r="E49" t="s">
        <v>354</v>
      </c>
      <c r="G49">
        <v>935.02770999999996</v>
      </c>
      <c r="H49">
        <v>881.83038299999998</v>
      </c>
      <c r="I49">
        <v>877.72729500000003</v>
      </c>
      <c r="J49">
        <v>878.60412599999995</v>
      </c>
      <c r="K49">
        <v>871.25030500000003</v>
      </c>
      <c r="L49">
        <v>868.44872999999995</v>
      </c>
      <c r="M49">
        <v>862.68933100000004</v>
      </c>
      <c r="N49">
        <v>859.14196800000002</v>
      </c>
      <c r="O49">
        <v>856.63439900000003</v>
      </c>
      <c r="P49">
        <v>857.13647500000002</v>
      </c>
      <c r="Q49">
        <v>857.43701199999998</v>
      </c>
      <c r="R49">
        <v>858.00024399999995</v>
      </c>
      <c r="S49">
        <v>857.76019299999996</v>
      </c>
      <c r="T49">
        <v>858.217896</v>
      </c>
      <c r="U49">
        <v>857.54724099999999</v>
      </c>
      <c r="V49">
        <v>857.61346400000002</v>
      </c>
      <c r="W49">
        <v>857.63464399999998</v>
      </c>
      <c r="X49">
        <v>857.34979199999998</v>
      </c>
      <c r="Y49">
        <v>857.24542199999996</v>
      </c>
      <c r="Z49">
        <v>857.30096400000002</v>
      </c>
      <c r="AA49">
        <v>857.82971199999997</v>
      </c>
      <c r="AB49">
        <v>857.81982400000004</v>
      </c>
      <c r="AC49">
        <v>858.04791299999999</v>
      </c>
      <c r="AD49">
        <v>858.06762700000002</v>
      </c>
      <c r="AE49">
        <v>860.63342299999999</v>
      </c>
      <c r="AF49">
        <v>860.92425500000002</v>
      </c>
      <c r="AG49">
        <v>859.83441200000004</v>
      </c>
      <c r="AH49">
        <v>859.12170400000002</v>
      </c>
      <c r="AI49">
        <v>858.094604</v>
      </c>
      <c r="AJ49" s="31">
        <v>-3.0000000000000001E-3</v>
      </c>
      <c r="AK49" s="31">
        <v>2E-3</v>
      </c>
    </row>
    <row r="50" spans="1:37">
      <c r="B50" t="s">
        <v>306</v>
      </c>
      <c r="C50" t="s">
        <v>1257</v>
      </c>
      <c r="D50" t="s">
        <v>1258</v>
      </c>
      <c r="E50" t="s">
        <v>354</v>
      </c>
      <c r="G50">
        <v>222.93867499999999</v>
      </c>
      <c r="H50">
        <v>318.21374500000002</v>
      </c>
      <c r="I50">
        <v>318.50683600000002</v>
      </c>
      <c r="J50">
        <v>321.42748999999998</v>
      </c>
      <c r="K50">
        <v>326.40893599999998</v>
      </c>
      <c r="L50">
        <v>331.75039700000002</v>
      </c>
      <c r="M50">
        <v>339.13262900000001</v>
      </c>
      <c r="N50">
        <v>343.65380900000002</v>
      </c>
      <c r="O50">
        <v>348.44000199999999</v>
      </c>
      <c r="P50">
        <v>348.61184700000001</v>
      </c>
      <c r="Q50">
        <v>349.93618800000002</v>
      </c>
      <c r="R50">
        <v>351.71850599999999</v>
      </c>
      <c r="S50">
        <v>354.40063500000002</v>
      </c>
      <c r="T50">
        <v>355.17700200000002</v>
      </c>
      <c r="U50">
        <v>356.67022700000001</v>
      </c>
      <c r="V50">
        <v>356.87670900000001</v>
      </c>
      <c r="W50">
        <v>358.82894900000002</v>
      </c>
      <c r="X50">
        <v>358.93920900000001</v>
      </c>
      <c r="Y50">
        <v>360.572205</v>
      </c>
      <c r="Z50">
        <v>361.26196299999998</v>
      </c>
      <c r="AA50">
        <v>361.28478999999999</v>
      </c>
      <c r="AB50">
        <v>360.64623999999998</v>
      </c>
      <c r="AC50">
        <v>360.38775600000002</v>
      </c>
      <c r="AD50">
        <v>360.05560300000002</v>
      </c>
      <c r="AE50">
        <v>358.46176100000002</v>
      </c>
      <c r="AF50">
        <v>357.26376299999998</v>
      </c>
      <c r="AG50">
        <v>357.07412699999998</v>
      </c>
      <c r="AH50">
        <v>355.22808800000001</v>
      </c>
      <c r="AI50">
        <v>354.51147500000002</v>
      </c>
      <c r="AJ50" s="31">
        <v>1.7000000000000001E-2</v>
      </c>
      <c r="AK50" s="31">
        <v>-0.01</v>
      </c>
    </row>
    <row r="51" spans="1:37">
      <c r="B51" t="s">
        <v>318</v>
      </c>
      <c r="C51" t="s">
        <v>1259</v>
      </c>
      <c r="D51" t="s">
        <v>1260</v>
      </c>
      <c r="E51" t="s">
        <v>354</v>
      </c>
      <c r="G51">
        <v>685.66516100000001</v>
      </c>
      <c r="H51">
        <v>532.149719</v>
      </c>
      <c r="I51">
        <v>519.35320999999999</v>
      </c>
      <c r="J51">
        <v>520.34844999999996</v>
      </c>
      <c r="K51">
        <v>497.46441700000003</v>
      </c>
      <c r="L51">
        <v>487.75363199999998</v>
      </c>
      <c r="M51">
        <v>469.75631700000002</v>
      </c>
      <c r="N51">
        <v>458.26986699999998</v>
      </c>
      <c r="O51">
        <v>449.82733200000001</v>
      </c>
      <c r="P51">
        <v>449.95632899999998</v>
      </c>
      <c r="Q51">
        <v>449.27517699999999</v>
      </c>
      <c r="R51">
        <v>449.44375600000001</v>
      </c>
      <c r="S51">
        <v>447.34497099999999</v>
      </c>
      <c r="T51">
        <v>447.23684700000001</v>
      </c>
      <c r="U51">
        <v>444.02316300000001</v>
      </c>
      <c r="V51">
        <v>442.96899400000001</v>
      </c>
      <c r="W51">
        <v>441.815674</v>
      </c>
      <c r="X51">
        <v>439.63165300000003</v>
      </c>
      <c r="Y51">
        <v>437.97662400000002</v>
      </c>
      <c r="Z51">
        <v>436.76757800000001</v>
      </c>
      <c r="AA51">
        <v>436.80938700000002</v>
      </c>
      <c r="AB51">
        <v>435.24386600000003</v>
      </c>
      <c r="AC51">
        <v>434.29315200000002</v>
      </c>
      <c r="AD51">
        <v>432.733093</v>
      </c>
      <c r="AE51">
        <v>438.45755000000003</v>
      </c>
      <c r="AF51">
        <v>437.70047</v>
      </c>
      <c r="AG51">
        <v>432.92089800000002</v>
      </c>
      <c r="AH51">
        <v>429.24749800000001</v>
      </c>
      <c r="AI51">
        <v>424.56079099999999</v>
      </c>
      <c r="AJ51" s="31">
        <v>-1.7000000000000001E-2</v>
      </c>
      <c r="AK51" s="31">
        <v>5.0000000000000001E-3</v>
      </c>
    </row>
    <row r="52" spans="1:37">
      <c r="B52" t="s">
        <v>316</v>
      </c>
      <c r="C52" t="s">
        <v>1261</v>
      </c>
      <c r="D52" t="s">
        <v>1262</v>
      </c>
      <c r="E52" t="s">
        <v>354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K52" t="s">
        <v>117</v>
      </c>
    </row>
    <row r="53" spans="1:37">
      <c r="B53" t="s">
        <v>317</v>
      </c>
      <c r="C53" t="s">
        <v>1263</v>
      </c>
      <c r="D53" t="s">
        <v>1264</v>
      </c>
      <c r="E53" t="s">
        <v>354</v>
      </c>
      <c r="G53">
        <v>26.423862</v>
      </c>
      <c r="H53">
        <v>31.466925</v>
      </c>
      <c r="I53">
        <v>39.867241</v>
      </c>
      <c r="J53">
        <v>36.828189999999999</v>
      </c>
      <c r="K53">
        <v>47.376953</v>
      </c>
      <c r="L53">
        <v>48.944679000000001</v>
      </c>
      <c r="M53">
        <v>53.800423000000002</v>
      </c>
      <c r="N53">
        <v>57.218277</v>
      </c>
      <c r="O53">
        <v>58.367088000000003</v>
      </c>
      <c r="P53">
        <v>58.568268000000003</v>
      </c>
      <c r="Q53">
        <v>58.225639000000001</v>
      </c>
      <c r="R53">
        <v>56.838042999999999</v>
      </c>
      <c r="S53">
        <v>56.014595</v>
      </c>
      <c r="T53">
        <v>55.804080999999996</v>
      </c>
      <c r="U53">
        <v>56.853912000000001</v>
      </c>
      <c r="V53">
        <v>57.767783999999999</v>
      </c>
      <c r="W53">
        <v>56.989986000000002</v>
      </c>
      <c r="X53">
        <v>58.778945999999998</v>
      </c>
      <c r="Y53">
        <v>58.696617000000003</v>
      </c>
      <c r="Z53">
        <v>59.2714</v>
      </c>
      <c r="AA53">
        <v>59.735518999999996</v>
      </c>
      <c r="AB53">
        <v>61.929656999999999</v>
      </c>
      <c r="AC53">
        <v>63.367027</v>
      </c>
      <c r="AD53">
        <v>65.278946000000005</v>
      </c>
      <c r="AE53">
        <v>63.714081</v>
      </c>
      <c r="AF53">
        <v>65.960021999999995</v>
      </c>
      <c r="AG53">
        <v>69.839432000000002</v>
      </c>
      <c r="AH53">
        <v>74.646148999999994</v>
      </c>
      <c r="AI53">
        <v>79.022368999999998</v>
      </c>
      <c r="AJ53" s="31">
        <v>0.04</v>
      </c>
      <c r="AK53" s="31">
        <v>6.0999999999999999E-2</v>
      </c>
    </row>
    <row r="54" spans="1:37">
      <c r="B54" t="s">
        <v>277</v>
      </c>
      <c r="C54" t="s">
        <v>1265</v>
      </c>
      <c r="D54" t="s">
        <v>1109</v>
      </c>
      <c r="E54" t="s">
        <v>354</v>
      </c>
      <c r="G54">
        <v>2802.8073730000001</v>
      </c>
      <c r="H54">
        <v>3008.1679690000001</v>
      </c>
      <c r="I54">
        <v>3051.2026369999999</v>
      </c>
      <c r="J54">
        <v>3057.110596</v>
      </c>
      <c r="K54">
        <v>3095.898193</v>
      </c>
      <c r="L54">
        <v>3134.226807</v>
      </c>
      <c r="M54">
        <v>3164.5515140000002</v>
      </c>
      <c r="N54">
        <v>3187.108154</v>
      </c>
      <c r="O54">
        <v>3202.938232</v>
      </c>
      <c r="P54">
        <v>3218.7827149999998</v>
      </c>
      <c r="Q54">
        <v>3243.936279</v>
      </c>
      <c r="R54">
        <v>3270.4479980000001</v>
      </c>
      <c r="S54">
        <v>3294.4030760000001</v>
      </c>
      <c r="T54">
        <v>3322.9240719999998</v>
      </c>
      <c r="U54">
        <v>3359.8247070000002</v>
      </c>
      <c r="V54">
        <v>3403.8945309999999</v>
      </c>
      <c r="W54">
        <v>3450.171875</v>
      </c>
      <c r="X54">
        <v>3498.4882809999999</v>
      </c>
      <c r="Y54">
        <v>3554.6437989999999</v>
      </c>
      <c r="Z54">
        <v>3608.4033199999999</v>
      </c>
      <c r="AA54">
        <v>3663.0974120000001</v>
      </c>
      <c r="AB54">
        <v>3718.6245119999999</v>
      </c>
      <c r="AC54">
        <v>3774.0097660000001</v>
      </c>
      <c r="AD54">
        <v>3827.9187010000001</v>
      </c>
      <c r="AE54">
        <v>3880.4333499999998</v>
      </c>
      <c r="AF54">
        <v>3936.7380370000001</v>
      </c>
      <c r="AG54">
        <v>3993.6040039999998</v>
      </c>
      <c r="AH54">
        <v>4049.650635</v>
      </c>
      <c r="AI54">
        <v>4112.1577150000003</v>
      </c>
      <c r="AJ54" s="31">
        <v>1.4E-2</v>
      </c>
      <c r="AK54" s="31">
        <v>2.5999999999999999E-2</v>
      </c>
    </row>
    <row r="55" spans="1:37">
      <c r="B55" t="s">
        <v>319</v>
      </c>
      <c r="C55" t="s">
        <v>1266</v>
      </c>
      <c r="D55" t="s">
        <v>1267</v>
      </c>
      <c r="E55" t="s">
        <v>354</v>
      </c>
      <c r="G55">
        <v>2780.3857419999999</v>
      </c>
      <c r="H55">
        <v>2985.7573240000002</v>
      </c>
      <c r="I55">
        <v>3028.8010250000002</v>
      </c>
      <c r="J55">
        <v>3034.7165530000002</v>
      </c>
      <c r="K55">
        <v>3073.5104980000001</v>
      </c>
      <c r="L55">
        <v>3111.8442380000001</v>
      </c>
      <c r="M55">
        <v>3142.173096</v>
      </c>
      <c r="N55">
        <v>3164.733154</v>
      </c>
      <c r="O55">
        <v>3180.5661620000001</v>
      </c>
      <c r="P55">
        <v>3196.413086</v>
      </c>
      <c r="Q55">
        <v>3221.5686040000001</v>
      </c>
      <c r="R55">
        <v>3248.0820309999999</v>
      </c>
      <c r="S55">
        <v>3272.0385740000002</v>
      </c>
      <c r="T55">
        <v>3300.560547</v>
      </c>
      <c r="U55">
        <v>3337.4621579999998</v>
      </c>
      <c r="V55">
        <v>3381.5327149999998</v>
      </c>
      <c r="W55">
        <v>3427.8107909999999</v>
      </c>
      <c r="X55">
        <v>3476.1276859999998</v>
      </c>
      <c r="Y55">
        <v>3532.2836910000001</v>
      </c>
      <c r="Z55">
        <v>3586.0437010000001</v>
      </c>
      <c r="AA55">
        <v>3640.7380370000001</v>
      </c>
      <c r="AB55">
        <v>3696.2653810000002</v>
      </c>
      <c r="AC55">
        <v>3751.6508789999998</v>
      </c>
      <c r="AD55">
        <v>3805.5598140000002</v>
      </c>
      <c r="AE55">
        <v>3858.0747070000002</v>
      </c>
      <c r="AF55">
        <v>3914.3793949999999</v>
      </c>
      <c r="AG55">
        <v>3971.2456050000001</v>
      </c>
      <c r="AH55">
        <v>4027.2922359999998</v>
      </c>
      <c r="AI55">
        <v>4089.7993160000001</v>
      </c>
      <c r="AJ55" s="31">
        <v>1.4E-2</v>
      </c>
      <c r="AK55" s="31">
        <v>2.7E-2</v>
      </c>
    </row>
    <row r="56" spans="1:37">
      <c r="B56" t="s">
        <v>320</v>
      </c>
      <c r="C56" t="s">
        <v>1268</v>
      </c>
      <c r="D56" t="s">
        <v>1269</v>
      </c>
      <c r="E56" t="s">
        <v>354</v>
      </c>
      <c r="G56">
        <v>22.421617999999999</v>
      </c>
      <c r="H56">
        <v>22.410634999999999</v>
      </c>
      <c r="I56">
        <v>22.401547999999998</v>
      </c>
      <c r="J56">
        <v>22.394031999999999</v>
      </c>
      <c r="K56">
        <v>22.387812</v>
      </c>
      <c r="L56">
        <v>22.382666</v>
      </c>
      <c r="M56">
        <v>22.378406999999999</v>
      </c>
      <c r="N56">
        <v>22.374884000000002</v>
      </c>
      <c r="O56">
        <v>22.371969</v>
      </c>
      <c r="P56">
        <v>22.369558000000001</v>
      </c>
      <c r="Q56">
        <v>22.367563000000001</v>
      </c>
      <c r="R56">
        <v>22.365911000000001</v>
      </c>
      <c r="S56">
        <v>22.364546000000001</v>
      </c>
      <c r="T56">
        <v>22.363416999999998</v>
      </c>
      <c r="U56">
        <v>22.362480000000001</v>
      </c>
      <c r="V56">
        <v>22.361708</v>
      </c>
      <c r="W56">
        <v>22.361066999999998</v>
      </c>
      <c r="X56">
        <v>22.360537999999998</v>
      </c>
      <c r="Y56">
        <v>22.360099999999999</v>
      </c>
      <c r="Z56">
        <v>22.359736999999999</v>
      </c>
      <c r="AA56">
        <v>22.359438000000001</v>
      </c>
      <c r="AB56">
        <v>22.359190000000002</v>
      </c>
      <c r="AC56">
        <v>22.358984</v>
      </c>
      <c r="AD56">
        <v>22.358813999999999</v>
      </c>
      <c r="AE56">
        <v>22.358673</v>
      </c>
      <c r="AF56">
        <v>22.358557000000001</v>
      </c>
      <c r="AG56">
        <v>22.358460999999998</v>
      </c>
      <c r="AH56">
        <v>22.358381000000001</v>
      </c>
      <c r="AI56">
        <v>22.358315000000001</v>
      </c>
      <c r="AJ56" s="31">
        <v>0</v>
      </c>
      <c r="AK56" s="31">
        <v>0</v>
      </c>
    </row>
    <row r="57" spans="1:37">
      <c r="B57" t="s">
        <v>278</v>
      </c>
      <c r="C57" t="s">
        <v>1270</v>
      </c>
      <c r="D57" t="s">
        <v>1271</v>
      </c>
      <c r="E57" t="s">
        <v>354</v>
      </c>
      <c r="G57">
        <v>430.83187900000001</v>
      </c>
      <c r="H57">
        <v>433.13122600000003</v>
      </c>
      <c r="I57">
        <v>433.96752900000001</v>
      </c>
      <c r="J57">
        <v>434.62820399999998</v>
      </c>
      <c r="K57">
        <v>435.16168199999998</v>
      </c>
      <c r="L57">
        <v>435.947113</v>
      </c>
      <c r="M57">
        <v>436.50567599999999</v>
      </c>
      <c r="N57">
        <v>436.95120200000002</v>
      </c>
      <c r="O57">
        <v>437.33203099999997</v>
      </c>
      <c r="P57">
        <v>437.57638500000002</v>
      </c>
      <c r="Q57">
        <v>437.74392699999999</v>
      </c>
      <c r="R57">
        <v>437.826752</v>
      </c>
      <c r="S57">
        <v>437.85824600000001</v>
      </c>
      <c r="T57">
        <v>437.879456</v>
      </c>
      <c r="U57">
        <v>438.00381499999997</v>
      </c>
      <c r="V57">
        <v>438.20288099999999</v>
      </c>
      <c r="W57">
        <v>438.41198700000001</v>
      </c>
      <c r="X57">
        <v>438.63055400000002</v>
      </c>
      <c r="Y57">
        <v>438.85791</v>
      </c>
      <c r="Z57">
        <v>439.09307899999999</v>
      </c>
      <c r="AA57">
        <v>439.33535799999999</v>
      </c>
      <c r="AB57">
        <v>439.584137</v>
      </c>
      <c r="AC57">
        <v>439.83880599999998</v>
      </c>
      <c r="AD57">
        <v>440.09887700000002</v>
      </c>
      <c r="AE57">
        <v>440.36389200000002</v>
      </c>
      <c r="AF57">
        <v>440.63324</v>
      </c>
      <c r="AG57">
        <v>440.906677</v>
      </c>
      <c r="AH57">
        <v>441.18383799999998</v>
      </c>
      <c r="AI57">
        <v>441.46450800000002</v>
      </c>
      <c r="AJ57" s="31">
        <v>1E-3</v>
      </c>
      <c r="AK57" s="31">
        <v>0</v>
      </c>
    </row>
    <row r="58" spans="1:37">
      <c r="B58" t="s">
        <v>321</v>
      </c>
      <c r="C58" t="s">
        <v>1272</v>
      </c>
      <c r="D58" t="s">
        <v>1273</v>
      </c>
      <c r="E58" t="s">
        <v>354</v>
      </c>
      <c r="G58">
        <v>334.448914</v>
      </c>
      <c r="H58">
        <v>336.233856</v>
      </c>
      <c r="I58">
        <v>336.88305700000001</v>
      </c>
      <c r="J58">
        <v>337.39593500000001</v>
      </c>
      <c r="K58">
        <v>337.81005900000002</v>
      </c>
      <c r="L58">
        <v>338.41980000000001</v>
      </c>
      <c r="M58">
        <v>338.85339399999998</v>
      </c>
      <c r="N58">
        <v>339.19924900000001</v>
      </c>
      <c r="O58">
        <v>339.49490400000002</v>
      </c>
      <c r="P58">
        <v>339.68457000000001</v>
      </c>
      <c r="Q58">
        <v>339.81463600000001</v>
      </c>
      <c r="R58">
        <v>339.87893700000001</v>
      </c>
      <c r="S58">
        <v>339.90338100000002</v>
      </c>
      <c r="T58">
        <v>339.91986100000003</v>
      </c>
      <c r="U58">
        <v>340.01638800000001</v>
      </c>
      <c r="V58">
        <v>340.170929</v>
      </c>
      <c r="W58">
        <v>340.33325200000002</v>
      </c>
      <c r="X58">
        <v>340.50292999999999</v>
      </c>
      <c r="Y58">
        <v>340.67941300000001</v>
      </c>
      <c r="Z58">
        <v>340.86196899999999</v>
      </c>
      <c r="AA58">
        <v>341.050049</v>
      </c>
      <c r="AB58">
        <v>341.24316399999998</v>
      </c>
      <c r="AC58">
        <v>341.44085699999999</v>
      </c>
      <c r="AD58">
        <v>341.64276100000001</v>
      </c>
      <c r="AE58">
        <v>341.84848</v>
      </c>
      <c r="AF58">
        <v>342.05758700000001</v>
      </c>
      <c r="AG58">
        <v>342.269836</v>
      </c>
      <c r="AH58">
        <v>342.48501599999997</v>
      </c>
      <c r="AI58">
        <v>342.70288099999999</v>
      </c>
      <c r="AJ58" s="31">
        <v>1E-3</v>
      </c>
      <c r="AK58" s="31">
        <v>0</v>
      </c>
    </row>
    <row r="59" spans="1:37">
      <c r="B59" t="s">
        <v>315</v>
      </c>
      <c r="C59" t="s">
        <v>1274</v>
      </c>
      <c r="D59" t="s">
        <v>1275</v>
      </c>
      <c r="E59" t="s">
        <v>354</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117</v>
      </c>
      <c r="AK59" s="31">
        <v>0</v>
      </c>
    </row>
    <row r="60" spans="1:37">
      <c r="B60" t="s">
        <v>322</v>
      </c>
      <c r="C60" t="s">
        <v>1276</v>
      </c>
      <c r="D60" t="s">
        <v>1277</v>
      </c>
      <c r="E60" t="s">
        <v>354</v>
      </c>
      <c r="G60">
        <v>96.382973000000007</v>
      </c>
      <c r="H60">
        <v>96.897368999999998</v>
      </c>
      <c r="I60">
        <v>97.084457</v>
      </c>
      <c r="J60">
        <v>97.232269000000002</v>
      </c>
      <c r="K60">
        <v>97.351607999999999</v>
      </c>
      <c r="L60">
        <v>97.527321000000001</v>
      </c>
      <c r="M60">
        <v>97.652275000000003</v>
      </c>
      <c r="N60">
        <v>97.751960999999994</v>
      </c>
      <c r="O60">
        <v>97.837142999999998</v>
      </c>
      <c r="P60">
        <v>97.891814999999994</v>
      </c>
      <c r="Q60">
        <v>97.929291000000006</v>
      </c>
      <c r="R60">
        <v>97.947815000000006</v>
      </c>
      <c r="S60">
        <v>97.954857000000004</v>
      </c>
      <c r="T60">
        <v>97.959594999999993</v>
      </c>
      <c r="U60">
        <v>97.987419000000003</v>
      </c>
      <c r="V60">
        <v>98.031966999999995</v>
      </c>
      <c r="W60">
        <v>98.078743000000003</v>
      </c>
      <c r="X60">
        <v>98.12764</v>
      </c>
      <c r="Y60">
        <v>98.178512999999995</v>
      </c>
      <c r="Z60">
        <v>98.231116999999998</v>
      </c>
      <c r="AA60">
        <v>98.285308999999998</v>
      </c>
      <c r="AB60">
        <v>98.340964999999997</v>
      </c>
      <c r="AC60">
        <v>98.397942</v>
      </c>
      <c r="AD60">
        <v>98.456130999999999</v>
      </c>
      <c r="AE60">
        <v>98.515411</v>
      </c>
      <c r="AF60">
        <v>98.575667999999993</v>
      </c>
      <c r="AG60">
        <v>98.636825999999999</v>
      </c>
      <c r="AH60">
        <v>98.698836999999997</v>
      </c>
      <c r="AI60">
        <v>98.761627000000004</v>
      </c>
      <c r="AJ60" s="31">
        <v>1E-3</v>
      </c>
      <c r="AK60" s="31">
        <v>0</v>
      </c>
    </row>
    <row r="61" spans="1:37">
      <c r="B61" t="s">
        <v>279</v>
      </c>
      <c r="C61" t="s">
        <v>1278</v>
      </c>
      <c r="D61" t="s">
        <v>1279</v>
      </c>
      <c r="E61" t="s">
        <v>354</v>
      </c>
      <c r="G61">
        <v>210.97721899999999</v>
      </c>
      <c r="H61">
        <v>220.80746500000001</v>
      </c>
      <c r="I61">
        <v>225.15119899999999</v>
      </c>
      <c r="J61">
        <v>225.93090799999999</v>
      </c>
      <c r="K61">
        <v>226.441757</v>
      </c>
      <c r="L61">
        <v>226.74642900000001</v>
      </c>
      <c r="M61">
        <v>226.787048</v>
      </c>
      <c r="N61">
        <v>226.390717</v>
      </c>
      <c r="O61">
        <v>225.62441999999999</v>
      </c>
      <c r="P61">
        <v>224.46057099999999</v>
      </c>
      <c r="Q61">
        <v>223.250336</v>
      </c>
      <c r="R61">
        <v>223.04595900000001</v>
      </c>
      <c r="S61">
        <v>222.35723899999999</v>
      </c>
      <c r="T61">
        <v>221.455566</v>
      </c>
      <c r="U61">
        <v>220.40602100000001</v>
      </c>
      <c r="V61">
        <v>218.77555799999999</v>
      </c>
      <c r="W61">
        <v>217.16113300000001</v>
      </c>
      <c r="X61">
        <v>215.39122</v>
      </c>
      <c r="Y61">
        <v>213.471802</v>
      </c>
      <c r="Z61">
        <v>211.40820299999999</v>
      </c>
      <c r="AA61">
        <v>209.23976099999999</v>
      </c>
      <c r="AB61">
        <v>206.76431299999999</v>
      </c>
      <c r="AC61">
        <v>204.38597100000001</v>
      </c>
      <c r="AD61">
        <v>201.858643</v>
      </c>
      <c r="AE61">
        <v>199.42544599999999</v>
      </c>
      <c r="AF61">
        <v>196.48846399999999</v>
      </c>
      <c r="AG61">
        <v>193.40808100000001</v>
      </c>
      <c r="AH61">
        <v>189.779068</v>
      </c>
      <c r="AI61">
        <v>186.44667100000001</v>
      </c>
      <c r="AJ61" s="31">
        <v>-4.0000000000000001E-3</v>
      </c>
      <c r="AK61" s="31">
        <v>1.9E-2</v>
      </c>
    </row>
    <row r="62" spans="1:37">
      <c r="B62" t="s">
        <v>323</v>
      </c>
      <c r="C62" t="s">
        <v>1280</v>
      </c>
      <c r="D62" t="s">
        <v>1281</v>
      </c>
      <c r="E62" t="s">
        <v>354</v>
      </c>
      <c r="G62">
        <v>92.212233999999995</v>
      </c>
      <c r="H62">
        <v>95.837829999999997</v>
      </c>
      <c r="I62">
        <v>98.320953000000003</v>
      </c>
      <c r="J62">
        <v>98.870079000000004</v>
      </c>
      <c r="K62">
        <v>99.844643000000005</v>
      </c>
      <c r="L62">
        <v>100.614418</v>
      </c>
      <c r="M62">
        <v>101.247078</v>
      </c>
      <c r="N62">
        <v>101.616623</v>
      </c>
      <c r="O62">
        <v>101.724174</v>
      </c>
      <c r="P62">
        <v>101.53801</v>
      </c>
      <c r="Q62">
        <v>101.311256</v>
      </c>
      <c r="R62">
        <v>100.97640199999999</v>
      </c>
      <c r="S62">
        <v>100.756874</v>
      </c>
      <c r="T62">
        <v>100.295074</v>
      </c>
      <c r="U62">
        <v>99.678466999999998</v>
      </c>
      <c r="V62">
        <v>98.421806000000004</v>
      </c>
      <c r="W62">
        <v>97.683716000000004</v>
      </c>
      <c r="X62">
        <v>96.918678</v>
      </c>
      <c r="Y62">
        <v>96.071006999999994</v>
      </c>
      <c r="Z62">
        <v>95.130722000000006</v>
      </c>
      <c r="AA62">
        <v>94.233086</v>
      </c>
      <c r="AB62">
        <v>93.123824999999997</v>
      </c>
      <c r="AC62">
        <v>92.204300000000003</v>
      </c>
      <c r="AD62">
        <v>91.250327999999996</v>
      </c>
      <c r="AE62">
        <v>90.658730000000006</v>
      </c>
      <c r="AF62">
        <v>89.694473000000002</v>
      </c>
      <c r="AG62">
        <v>88.826485000000005</v>
      </c>
      <c r="AH62">
        <v>87.819648999999998</v>
      </c>
      <c r="AI62">
        <v>86.904647999999995</v>
      </c>
      <c r="AJ62" s="31">
        <v>-2E-3</v>
      </c>
      <c r="AK62" s="31">
        <v>0.01</v>
      </c>
    </row>
    <row r="63" spans="1:37">
      <c r="A63" t="s">
        <v>113</v>
      </c>
      <c r="B63" t="s">
        <v>313</v>
      </c>
      <c r="C63" t="s">
        <v>1282</v>
      </c>
      <c r="D63" t="s">
        <v>1283</v>
      </c>
      <c r="E63" t="s">
        <v>354</v>
      </c>
      <c r="G63">
        <v>12.007432</v>
      </c>
      <c r="H63">
        <v>12.465114</v>
      </c>
      <c r="I63">
        <v>12.775763</v>
      </c>
      <c r="J63">
        <v>12.835153999999999</v>
      </c>
      <c r="K63">
        <v>12.958027</v>
      </c>
      <c r="L63">
        <v>13.056922</v>
      </c>
      <c r="M63">
        <v>13.141268999999999</v>
      </c>
      <c r="N63">
        <v>13.190033</v>
      </c>
      <c r="O63">
        <v>13.202685000000001</v>
      </c>
      <c r="P63">
        <v>13.177554000000001</v>
      </c>
      <c r="Q63">
        <v>13.150479000000001</v>
      </c>
      <c r="R63">
        <v>13.109432999999999</v>
      </c>
      <c r="S63">
        <v>13.083599</v>
      </c>
      <c r="T63">
        <v>13.026247</v>
      </c>
      <c r="U63">
        <v>12.949903000000001</v>
      </c>
      <c r="V63">
        <v>12.790073</v>
      </c>
      <c r="W63">
        <v>12.696982999999999</v>
      </c>
      <c r="X63">
        <v>12.600635</v>
      </c>
      <c r="Y63">
        <v>12.493633000000001</v>
      </c>
      <c r="Z63">
        <v>12.374180000000001</v>
      </c>
      <c r="AA63">
        <v>12.260481</v>
      </c>
      <c r="AB63">
        <v>12.119045</v>
      </c>
      <c r="AC63">
        <v>12.002355</v>
      </c>
      <c r="AD63">
        <v>11.880788000000001</v>
      </c>
      <c r="AE63">
        <v>11.808579999999999</v>
      </c>
      <c r="AF63">
        <v>11.685587</v>
      </c>
      <c r="AG63">
        <v>11.575792</v>
      </c>
      <c r="AH63">
        <v>11.447132</v>
      </c>
      <c r="AI63">
        <v>11.331303999999999</v>
      </c>
      <c r="AJ63" s="31">
        <v>-2E-3</v>
      </c>
      <c r="AK63" s="31">
        <v>1.0999999999999999E-2</v>
      </c>
    </row>
    <row r="64" spans="1:37">
      <c r="A64" t="s">
        <v>113</v>
      </c>
      <c r="B64" t="s">
        <v>305</v>
      </c>
      <c r="C64" t="s">
        <v>1284</v>
      </c>
      <c r="D64" t="s">
        <v>1285</v>
      </c>
      <c r="E64" t="s">
        <v>354</v>
      </c>
      <c r="G64">
        <v>7.4320000000000002E-3</v>
      </c>
      <c r="H64">
        <v>7.7629999999999999E-3</v>
      </c>
      <c r="I64">
        <v>7.9489999999999995E-3</v>
      </c>
      <c r="J64">
        <v>8.0289999999999997E-3</v>
      </c>
      <c r="K64">
        <v>8.1410000000000007E-3</v>
      </c>
      <c r="L64">
        <v>8.2100000000000003E-3</v>
      </c>
      <c r="M64">
        <v>8.2570000000000005E-3</v>
      </c>
      <c r="N64">
        <v>8.2789999999999999E-3</v>
      </c>
      <c r="O64">
        <v>8.2830000000000004E-3</v>
      </c>
      <c r="P64">
        <v>8.2609999999999992E-3</v>
      </c>
      <c r="Q64">
        <v>8.2290000000000002E-3</v>
      </c>
      <c r="R64">
        <v>8.1890000000000001E-3</v>
      </c>
      <c r="S64">
        <v>8.1569999999999993E-3</v>
      </c>
      <c r="T64">
        <v>8.1069999999999996E-3</v>
      </c>
      <c r="U64">
        <v>8.0420000000000005E-3</v>
      </c>
      <c r="V64">
        <v>7.9609999999999993E-3</v>
      </c>
      <c r="W64">
        <v>7.8829999999999994E-3</v>
      </c>
      <c r="X64">
        <v>7.803E-3</v>
      </c>
      <c r="Y64">
        <v>7.7130000000000002E-3</v>
      </c>
      <c r="Z64">
        <v>7.6150000000000002E-3</v>
      </c>
      <c r="AA64">
        <v>7.5209999999999999E-3</v>
      </c>
      <c r="AB64">
        <v>7.3980000000000001E-3</v>
      </c>
      <c r="AC64">
        <v>7.3070000000000001E-3</v>
      </c>
      <c r="AD64">
        <v>7.2150000000000001E-3</v>
      </c>
      <c r="AE64">
        <v>7.143E-3</v>
      </c>
      <c r="AF64">
        <v>7.0499999999999998E-3</v>
      </c>
      <c r="AG64">
        <v>6.9610000000000002E-3</v>
      </c>
      <c r="AH64">
        <v>6.8640000000000003E-3</v>
      </c>
      <c r="AI64">
        <v>6.7689999999999998E-3</v>
      </c>
      <c r="AJ64" s="31">
        <v>-3.0000000000000001E-3</v>
      </c>
      <c r="AK64" s="31">
        <v>3.0000000000000001E-3</v>
      </c>
    </row>
    <row r="65" spans="1:37">
      <c r="A65" t="s">
        <v>114</v>
      </c>
      <c r="B65" t="s">
        <v>306</v>
      </c>
      <c r="C65" t="s">
        <v>1286</v>
      </c>
      <c r="D65" t="s">
        <v>1287</v>
      </c>
      <c r="E65" t="s">
        <v>354</v>
      </c>
      <c r="G65">
        <v>52.012611</v>
      </c>
      <c r="H65">
        <v>54.015754999999999</v>
      </c>
      <c r="I65">
        <v>55.245651000000002</v>
      </c>
      <c r="J65">
        <v>55.522506999999997</v>
      </c>
      <c r="K65">
        <v>56.047764000000001</v>
      </c>
      <c r="L65">
        <v>56.442497000000003</v>
      </c>
      <c r="M65">
        <v>56.754584999999999</v>
      </c>
      <c r="N65">
        <v>56.903236</v>
      </c>
      <c r="O65">
        <v>56.888607</v>
      </c>
      <c r="P65">
        <v>56.712851999999998</v>
      </c>
      <c r="Q65">
        <v>56.517417999999999</v>
      </c>
      <c r="R65">
        <v>56.260185</v>
      </c>
      <c r="S65">
        <v>56.054282999999998</v>
      </c>
      <c r="T65">
        <v>55.704571000000001</v>
      </c>
      <c r="U65">
        <v>55.261519999999997</v>
      </c>
      <c r="V65">
        <v>54.562843000000001</v>
      </c>
      <c r="W65">
        <v>54.018444000000002</v>
      </c>
      <c r="X65">
        <v>53.439864999999998</v>
      </c>
      <c r="Y65">
        <v>52.799095000000001</v>
      </c>
      <c r="Z65">
        <v>52.084651999999998</v>
      </c>
      <c r="AA65">
        <v>51.363410999999999</v>
      </c>
      <c r="AB65">
        <v>50.487484000000002</v>
      </c>
      <c r="AC65">
        <v>49.676124999999999</v>
      </c>
      <c r="AD65">
        <v>48.788139000000001</v>
      </c>
      <c r="AE65">
        <v>48.012000999999998</v>
      </c>
      <c r="AF65">
        <v>46.925766000000003</v>
      </c>
      <c r="AG65">
        <v>45.703896</v>
      </c>
      <c r="AH65">
        <v>44.05574</v>
      </c>
      <c r="AI65">
        <v>42.693801999999998</v>
      </c>
      <c r="AJ65" s="31">
        <v>-7.0000000000000001E-3</v>
      </c>
      <c r="AK65" s="31">
        <v>5.0000000000000001E-3</v>
      </c>
    </row>
    <row r="66" spans="1:37">
      <c r="A66" t="s">
        <v>112</v>
      </c>
      <c r="B66" t="s">
        <v>307</v>
      </c>
      <c r="C66" t="s">
        <v>1288</v>
      </c>
      <c r="D66" t="s">
        <v>1289</v>
      </c>
      <c r="E66" t="s">
        <v>354</v>
      </c>
      <c r="G66">
        <v>26.102913000000001</v>
      </c>
      <c r="H66">
        <v>27.152719000000001</v>
      </c>
      <c r="I66">
        <v>27.997173</v>
      </c>
      <c r="J66">
        <v>28.156234999999999</v>
      </c>
      <c r="K66">
        <v>28.412040999999999</v>
      </c>
      <c r="L66">
        <v>28.617826000000001</v>
      </c>
      <c r="M66">
        <v>28.781718999999999</v>
      </c>
      <c r="N66">
        <v>28.881858999999999</v>
      </c>
      <c r="O66">
        <v>28.919270999999998</v>
      </c>
      <c r="P66">
        <v>28.863105999999998</v>
      </c>
      <c r="Q66">
        <v>28.782406000000002</v>
      </c>
      <c r="R66">
        <v>28.664639000000001</v>
      </c>
      <c r="S66">
        <v>28.58287</v>
      </c>
      <c r="T66">
        <v>28.431080000000001</v>
      </c>
      <c r="U66">
        <v>28.230478000000002</v>
      </c>
      <c r="V66">
        <v>27.752499</v>
      </c>
      <c r="W66">
        <v>27.526546</v>
      </c>
      <c r="X66">
        <v>27.295058999999998</v>
      </c>
      <c r="Y66">
        <v>27.037399000000001</v>
      </c>
      <c r="Z66">
        <v>26.753869999999999</v>
      </c>
      <c r="AA66">
        <v>26.484290999999999</v>
      </c>
      <c r="AB66">
        <v>26.160323999999999</v>
      </c>
      <c r="AC66">
        <v>25.885159999999999</v>
      </c>
      <c r="AD66">
        <v>25.601519</v>
      </c>
      <c r="AE66">
        <v>25.421154000000001</v>
      </c>
      <c r="AF66">
        <v>25.134627999999999</v>
      </c>
      <c r="AG66">
        <v>24.876854000000002</v>
      </c>
      <c r="AH66">
        <v>24.580860000000001</v>
      </c>
      <c r="AI66">
        <v>24.309217</v>
      </c>
      <c r="AJ66" s="31">
        <v>-3.0000000000000001E-3</v>
      </c>
      <c r="AK66" s="31">
        <v>0.01</v>
      </c>
    </row>
    <row r="67" spans="1:37">
      <c r="A67" t="s">
        <v>257</v>
      </c>
      <c r="B67" t="s">
        <v>308</v>
      </c>
      <c r="C67" t="s">
        <v>1290</v>
      </c>
      <c r="D67" t="s">
        <v>1291</v>
      </c>
      <c r="E67" t="s">
        <v>354</v>
      </c>
      <c r="G67">
        <v>1.4757659999999999</v>
      </c>
      <c r="H67">
        <v>1.5326839999999999</v>
      </c>
      <c r="I67">
        <v>1.572022</v>
      </c>
      <c r="J67">
        <v>1.5786210000000001</v>
      </c>
      <c r="K67">
        <v>1.5959749999999999</v>
      </c>
      <c r="L67">
        <v>1.6095010000000001</v>
      </c>
      <c r="M67">
        <v>1.6204449999999999</v>
      </c>
      <c r="N67">
        <v>1.6276649999999999</v>
      </c>
      <c r="O67">
        <v>1.6309739999999999</v>
      </c>
      <c r="P67">
        <v>1.629221</v>
      </c>
      <c r="Q67">
        <v>1.6268180000000001</v>
      </c>
      <c r="R67">
        <v>1.622336</v>
      </c>
      <c r="S67">
        <v>1.6196390000000001</v>
      </c>
      <c r="T67">
        <v>1.613038</v>
      </c>
      <c r="U67">
        <v>1.6045199999999999</v>
      </c>
      <c r="V67">
        <v>1.5851</v>
      </c>
      <c r="W67">
        <v>1.57385</v>
      </c>
      <c r="X67">
        <v>1.56229</v>
      </c>
      <c r="Y67">
        <v>1.549139</v>
      </c>
      <c r="Z67">
        <v>1.5342830000000001</v>
      </c>
      <c r="AA67">
        <v>1.520311</v>
      </c>
      <c r="AB67">
        <v>1.501987</v>
      </c>
      <c r="AC67">
        <v>1.4879849999999999</v>
      </c>
      <c r="AD67">
        <v>1.4732160000000001</v>
      </c>
      <c r="AE67">
        <v>1.4655290000000001</v>
      </c>
      <c r="AF67">
        <v>1.450458</v>
      </c>
      <c r="AG67">
        <v>1.437376</v>
      </c>
      <c r="AH67">
        <v>1.4216249999999999</v>
      </c>
      <c r="AI67">
        <v>1.4077189999999999</v>
      </c>
      <c r="AJ67" s="31">
        <v>-2E-3</v>
      </c>
      <c r="AK67" s="31">
        <v>1.6E-2</v>
      </c>
    </row>
    <row r="68" spans="1:37">
      <c r="A68" t="s">
        <v>111</v>
      </c>
      <c r="B68" t="s">
        <v>309</v>
      </c>
      <c r="C68" t="s">
        <v>1292</v>
      </c>
      <c r="D68" t="s">
        <v>1293</v>
      </c>
      <c r="E68" t="s">
        <v>354</v>
      </c>
      <c r="G68">
        <v>0.58296300000000001</v>
      </c>
      <c r="H68">
        <v>0.63977200000000001</v>
      </c>
      <c r="I68">
        <v>0.69745900000000005</v>
      </c>
      <c r="J68">
        <v>0.74443499999999996</v>
      </c>
      <c r="K68">
        <v>0.79736899999999999</v>
      </c>
      <c r="L68">
        <v>0.85397599999999996</v>
      </c>
      <c r="M68">
        <v>0.91521699999999995</v>
      </c>
      <c r="N68">
        <v>0.97990200000000005</v>
      </c>
      <c r="O68">
        <v>1.0486899999999999</v>
      </c>
      <c r="P68">
        <v>1.1214440000000001</v>
      </c>
      <c r="Q68">
        <v>1.2004459999999999</v>
      </c>
      <c r="R68">
        <v>1.2863150000000001</v>
      </c>
      <c r="S68">
        <v>1.3831500000000001</v>
      </c>
      <c r="T68">
        <v>1.48702</v>
      </c>
      <c r="U68">
        <v>1.599227</v>
      </c>
      <c r="V68">
        <v>1.699166</v>
      </c>
      <c r="W68">
        <v>1.8360780000000001</v>
      </c>
      <c r="X68">
        <v>1.989325</v>
      </c>
      <c r="Y68">
        <v>2.1605850000000002</v>
      </c>
      <c r="Z68">
        <v>2.3529599999999999</v>
      </c>
      <c r="AA68">
        <v>2.5741770000000002</v>
      </c>
      <c r="AB68">
        <v>2.8250199999999999</v>
      </c>
      <c r="AC68">
        <v>3.1230699999999998</v>
      </c>
      <c r="AD68">
        <v>3.4774289999999999</v>
      </c>
      <c r="AE68">
        <v>3.922498</v>
      </c>
      <c r="AF68">
        <v>4.4694479999999999</v>
      </c>
      <c r="AG68">
        <v>5.2043210000000002</v>
      </c>
      <c r="AH68">
        <v>6.2864370000000003</v>
      </c>
      <c r="AI68">
        <v>7.1351089999999999</v>
      </c>
      <c r="AJ68" s="31">
        <v>9.4E-2</v>
      </c>
      <c r="AK68" s="31">
        <v>0.106</v>
      </c>
    </row>
    <row r="69" spans="1:37">
      <c r="A69" t="s">
        <v>258</v>
      </c>
      <c r="B69" t="s">
        <v>310</v>
      </c>
      <c r="C69" t="s">
        <v>1294</v>
      </c>
      <c r="D69" t="s">
        <v>1295</v>
      </c>
      <c r="E69" t="s">
        <v>354</v>
      </c>
      <c r="G69">
        <v>2.3116999999999999E-2</v>
      </c>
      <c r="H69">
        <v>2.4035000000000001E-2</v>
      </c>
      <c r="I69">
        <v>2.4938999999999999E-2</v>
      </c>
      <c r="J69">
        <v>2.5099E-2</v>
      </c>
      <c r="K69">
        <v>2.5319000000000001E-2</v>
      </c>
      <c r="L69">
        <v>2.5482000000000001E-2</v>
      </c>
      <c r="M69">
        <v>2.5596000000000001E-2</v>
      </c>
      <c r="N69">
        <v>2.5651E-2</v>
      </c>
      <c r="O69">
        <v>2.5658E-2</v>
      </c>
      <c r="P69">
        <v>2.5572999999999999E-2</v>
      </c>
      <c r="Q69">
        <v>2.5453E-2</v>
      </c>
      <c r="R69">
        <v>2.5301000000000001E-2</v>
      </c>
      <c r="S69">
        <v>2.5183000000000001E-2</v>
      </c>
      <c r="T69">
        <v>2.5003000000000001E-2</v>
      </c>
      <c r="U69">
        <v>2.4774000000000001E-2</v>
      </c>
      <c r="V69">
        <v>2.4169E-2</v>
      </c>
      <c r="W69">
        <v>2.3938999999999998E-2</v>
      </c>
      <c r="X69">
        <v>2.3702000000000001E-2</v>
      </c>
      <c r="Y69">
        <v>2.3444E-2</v>
      </c>
      <c r="Z69">
        <v>2.3163E-2</v>
      </c>
      <c r="AA69">
        <v>2.2893E-2</v>
      </c>
      <c r="AB69">
        <v>2.2575000000000001E-2</v>
      </c>
      <c r="AC69">
        <v>2.2303E-2</v>
      </c>
      <c r="AD69">
        <v>2.2027000000000001E-2</v>
      </c>
      <c r="AE69">
        <v>2.1822999999999999E-2</v>
      </c>
      <c r="AF69">
        <v>2.1545000000000002E-2</v>
      </c>
      <c r="AG69">
        <v>2.1284000000000001E-2</v>
      </c>
      <c r="AH69">
        <v>2.0996999999999998E-2</v>
      </c>
      <c r="AI69">
        <v>2.0722999999999998E-2</v>
      </c>
      <c r="AJ69" s="31">
        <v>-4.0000000000000001E-3</v>
      </c>
      <c r="AK69" s="31">
        <v>1.2E-2</v>
      </c>
    </row>
    <row r="70" spans="1:37">
      <c r="B70" t="s">
        <v>324</v>
      </c>
      <c r="C70" t="s">
        <v>1296</v>
      </c>
      <c r="D70" t="s">
        <v>1297</v>
      </c>
      <c r="E70" t="s">
        <v>354</v>
      </c>
      <c r="G70">
        <v>26.118862</v>
      </c>
      <c r="H70">
        <v>28.024412000000002</v>
      </c>
      <c r="I70">
        <v>29.477226000000002</v>
      </c>
      <c r="J70">
        <v>30.571621</v>
      </c>
      <c r="K70">
        <v>31.3964</v>
      </c>
      <c r="L70">
        <v>32.010112999999997</v>
      </c>
      <c r="M70">
        <v>32.464531000000001</v>
      </c>
      <c r="N70">
        <v>32.799759000000002</v>
      </c>
      <c r="O70">
        <v>33.046233999999998</v>
      </c>
      <c r="P70">
        <v>33.226050999999998</v>
      </c>
      <c r="Q70">
        <v>33.352477999999998</v>
      </c>
      <c r="R70">
        <v>33.43018</v>
      </c>
      <c r="S70">
        <v>33.466476</v>
      </c>
      <c r="T70">
        <v>33.469250000000002</v>
      </c>
      <c r="U70">
        <v>33.445160000000001</v>
      </c>
      <c r="V70">
        <v>33.397396000000001</v>
      </c>
      <c r="W70">
        <v>33.349758000000001</v>
      </c>
      <c r="X70">
        <v>33.294384000000001</v>
      </c>
      <c r="Y70">
        <v>33.234276000000001</v>
      </c>
      <c r="Z70">
        <v>33.167285999999997</v>
      </c>
      <c r="AA70">
        <v>33.096901000000003</v>
      </c>
      <c r="AB70">
        <v>33.025081999999998</v>
      </c>
      <c r="AC70">
        <v>32.951076999999998</v>
      </c>
      <c r="AD70">
        <v>32.875145000000003</v>
      </c>
      <c r="AE70">
        <v>32.799278000000001</v>
      </c>
      <c r="AF70">
        <v>32.723492</v>
      </c>
      <c r="AG70">
        <v>32.646706000000002</v>
      </c>
      <c r="AH70">
        <v>32.569450000000003</v>
      </c>
      <c r="AI70">
        <v>32.494362000000002</v>
      </c>
      <c r="AJ70" s="31">
        <v>8.0000000000000002E-3</v>
      </c>
      <c r="AK70" s="31">
        <v>2.1999999999999999E-2</v>
      </c>
    </row>
    <row r="71" spans="1:37">
      <c r="A71" t="s">
        <v>113</v>
      </c>
      <c r="B71" t="s">
        <v>313</v>
      </c>
      <c r="C71" t="s">
        <v>1298</v>
      </c>
      <c r="D71" t="s">
        <v>1299</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113</v>
      </c>
      <c r="B72" t="s">
        <v>305</v>
      </c>
      <c r="C72" t="s">
        <v>1300</v>
      </c>
      <c r="D72" t="s">
        <v>1301</v>
      </c>
      <c r="E72" t="s">
        <v>354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t="s">
        <v>117</v>
      </c>
      <c r="AK72" t="s">
        <v>117</v>
      </c>
    </row>
    <row r="73" spans="1:37">
      <c r="A73" t="s">
        <v>114</v>
      </c>
      <c r="B73" t="s">
        <v>306</v>
      </c>
      <c r="C73" t="s">
        <v>1302</v>
      </c>
      <c r="D73" t="s">
        <v>1303</v>
      </c>
      <c r="E73" t="s">
        <v>354</v>
      </c>
      <c r="G73">
        <v>26.118862</v>
      </c>
      <c r="H73">
        <v>28.024412000000002</v>
      </c>
      <c r="I73">
        <v>29.477226000000002</v>
      </c>
      <c r="J73">
        <v>30.571621</v>
      </c>
      <c r="K73">
        <v>31.3964</v>
      </c>
      <c r="L73">
        <v>32.010112999999997</v>
      </c>
      <c r="M73">
        <v>32.464531000000001</v>
      </c>
      <c r="N73">
        <v>32.799759000000002</v>
      </c>
      <c r="O73">
        <v>33.046233999999998</v>
      </c>
      <c r="P73">
        <v>33.226050999999998</v>
      </c>
      <c r="Q73">
        <v>33.352477999999998</v>
      </c>
      <c r="R73">
        <v>33.43018</v>
      </c>
      <c r="S73">
        <v>33.466476</v>
      </c>
      <c r="T73">
        <v>33.469250000000002</v>
      </c>
      <c r="U73">
        <v>33.445160000000001</v>
      </c>
      <c r="V73">
        <v>33.397396000000001</v>
      </c>
      <c r="W73">
        <v>33.349758000000001</v>
      </c>
      <c r="X73">
        <v>33.294384000000001</v>
      </c>
      <c r="Y73">
        <v>33.234276000000001</v>
      </c>
      <c r="Z73">
        <v>33.167285999999997</v>
      </c>
      <c r="AA73">
        <v>33.096901000000003</v>
      </c>
      <c r="AB73">
        <v>33.025081999999998</v>
      </c>
      <c r="AC73">
        <v>32.951076999999998</v>
      </c>
      <c r="AD73">
        <v>32.875145000000003</v>
      </c>
      <c r="AE73">
        <v>32.799278000000001</v>
      </c>
      <c r="AF73">
        <v>32.723492</v>
      </c>
      <c r="AG73">
        <v>32.646706000000002</v>
      </c>
      <c r="AH73">
        <v>32.569450000000003</v>
      </c>
      <c r="AI73">
        <v>32.494362000000002</v>
      </c>
      <c r="AJ73" s="31">
        <v>8.0000000000000002E-3</v>
      </c>
      <c r="AK73" s="31">
        <v>2.1999999999999999E-2</v>
      </c>
    </row>
    <row r="74" spans="1:37">
      <c r="A74" t="s">
        <v>112</v>
      </c>
      <c r="B74" t="s">
        <v>307</v>
      </c>
      <c r="C74" t="s">
        <v>1304</v>
      </c>
      <c r="D74" t="s">
        <v>1305</v>
      </c>
      <c r="E74" t="s">
        <v>354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t="s">
        <v>117</v>
      </c>
      <c r="AK74" t="s">
        <v>117</v>
      </c>
    </row>
    <row r="75" spans="1:37">
      <c r="A75" t="s">
        <v>257</v>
      </c>
      <c r="B75" t="s">
        <v>308</v>
      </c>
      <c r="C75" t="s">
        <v>1306</v>
      </c>
      <c r="D75" t="s">
        <v>1307</v>
      </c>
      <c r="E75" t="s">
        <v>354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t="s">
        <v>117</v>
      </c>
      <c r="AK75" t="s">
        <v>117</v>
      </c>
    </row>
    <row r="76" spans="1:37">
      <c r="A76" t="s">
        <v>111</v>
      </c>
      <c r="B76" t="s">
        <v>309</v>
      </c>
      <c r="C76" t="s">
        <v>1308</v>
      </c>
      <c r="D76" t="s">
        <v>1309</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c r="A77" t="s">
        <v>258</v>
      </c>
      <c r="B77" t="s">
        <v>310</v>
      </c>
      <c r="C77" t="s">
        <v>1310</v>
      </c>
      <c r="D77" t="s">
        <v>1311</v>
      </c>
      <c r="E77" t="s">
        <v>354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117</v>
      </c>
      <c r="AK77" t="s">
        <v>117</v>
      </c>
    </row>
    <row r="78" spans="1:37">
      <c r="B78" t="s">
        <v>325</v>
      </c>
      <c r="C78" t="s">
        <v>1312</v>
      </c>
      <c r="D78" t="s">
        <v>1313</v>
      </c>
      <c r="E78" t="s">
        <v>354</v>
      </c>
      <c r="G78">
        <v>93.831894000000005</v>
      </c>
      <c r="H78">
        <v>98.450194999999994</v>
      </c>
      <c r="I78">
        <v>99.158546000000001</v>
      </c>
      <c r="J78">
        <v>98.571014000000005</v>
      </c>
      <c r="K78">
        <v>97.556511</v>
      </c>
      <c r="L78">
        <v>96.613395999999995</v>
      </c>
      <c r="M78">
        <v>95.691032000000007</v>
      </c>
      <c r="N78">
        <v>94.739861000000005</v>
      </c>
      <c r="O78">
        <v>93.777550000000005</v>
      </c>
      <c r="P78">
        <v>92.791618</v>
      </c>
      <c r="Q78">
        <v>91.866196000000002</v>
      </c>
      <c r="R78">
        <v>91.598052999999993</v>
      </c>
      <c r="S78">
        <v>91.112289000000004</v>
      </c>
      <c r="T78">
        <v>90.708870000000005</v>
      </c>
      <c r="U78">
        <v>90.372649999999993</v>
      </c>
      <c r="V78">
        <v>90.121039999999994</v>
      </c>
      <c r="W78">
        <v>89.542336000000006</v>
      </c>
      <c r="X78">
        <v>88.885452000000001</v>
      </c>
      <c r="Y78">
        <v>88.194603000000001</v>
      </c>
      <c r="Z78">
        <v>87.485648999999995</v>
      </c>
      <c r="AA78">
        <v>86.702445999999995</v>
      </c>
      <c r="AB78">
        <v>85.868294000000006</v>
      </c>
      <c r="AC78">
        <v>84.998230000000007</v>
      </c>
      <c r="AD78">
        <v>84.089134000000001</v>
      </c>
      <c r="AE78">
        <v>83.076744000000005</v>
      </c>
      <c r="AF78">
        <v>82.045021000000006</v>
      </c>
      <c r="AG78">
        <v>80.986785999999995</v>
      </c>
      <c r="AH78">
        <v>79.893326000000002</v>
      </c>
      <c r="AI78">
        <v>78.783607000000003</v>
      </c>
      <c r="AJ78" s="31">
        <v>-6.0000000000000001E-3</v>
      </c>
      <c r="AK78" s="31">
        <v>3.3000000000000002E-2</v>
      </c>
    </row>
    <row r="79" spans="1:37">
      <c r="A79" t="s">
        <v>113</v>
      </c>
      <c r="B79" t="s">
        <v>313</v>
      </c>
      <c r="C79" t="s">
        <v>1314</v>
      </c>
      <c r="D79" t="s">
        <v>1315</v>
      </c>
      <c r="E79" t="s">
        <v>354</v>
      </c>
      <c r="G79">
        <v>9.4941010000000006</v>
      </c>
      <c r="H79">
        <v>9.9847319999999993</v>
      </c>
      <c r="I79">
        <v>10.080206</v>
      </c>
      <c r="J79">
        <v>10.044081</v>
      </c>
      <c r="K79">
        <v>9.9641859999999998</v>
      </c>
      <c r="L79">
        <v>9.8772070000000003</v>
      </c>
      <c r="M79">
        <v>9.7906929999999992</v>
      </c>
      <c r="N79">
        <v>9.7035470000000004</v>
      </c>
      <c r="O79">
        <v>9.6156869999999994</v>
      </c>
      <c r="P79">
        <v>9.5264279999999992</v>
      </c>
      <c r="Q79">
        <v>9.4439309999999992</v>
      </c>
      <c r="R79">
        <v>9.3760180000000002</v>
      </c>
      <c r="S79">
        <v>9.3193699999999993</v>
      </c>
      <c r="T79">
        <v>9.2722660000000001</v>
      </c>
      <c r="U79">
        <v>9.2344460000000002</v>
      </c>
      <c r="V79">
        <v>9.2065929999999998</v>
      </c>
      <c r="W79">
        <v>9.1597399999999993</v>
      </c>
      <c r="X79">
        <v>9.1076730000000001</v>
      </c>
      <c r="Y79">
        <v>9.0532129999999995</v>
      </c>
      <c r="Z79">
        <v>8.9974880000000006</v>
      </c>
      <c r="AA79">
        <v>8.9384180000000004</v>
      </c>
      <c r="AB79">
        <v>8.8755819999999996</v>
      </c>
      <c r="AC79">
        <v>8.8098559999999999</v>
      </c>
      <c r="AD79">
        <v>8.7419480000000007</v>
      </c>
      <c r="AE79">
        <v>8.6711120000000008</v>
      </c>
      <c r="AF79">
        <v>8.599361</v>
      </c>
      <c r="AG79">
        <v>8.5273749999999993</v>
      </c>
      <c r="AH79">
        <v>8.4545519999999996</v>
      </c>
      <c r="AI79">
        <v>8.3815580000000001</v>
      </c>
      <c r="AJ79" s="31">
        <v>-4.0000000000000001E-3</v>
      </c>
      <c r="AK79" s="31">
        <v>3.3000000000000002E-2</v>
      </c>
    </row>
    <row r="80" spans="1:37">
      <c r="A80" t="s">
        <v>113</v>
      </c>
      <c r="B80" t="s">
        <v>305</v>
      </c>
      <c r="C80" t="s">
        <v>1316</v>
      </c>
      <c r="D80" t="s">
        <v>1317</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c r="AK80" t="s">
        <v>117</v>
      </c>
    </row>
    <row r="81" spans="1:37">
      <c r="A81" t="s">
        <v>114</v>
      </c>
      <c r="B81" t="s">
        <v>306</v>
      </c>
      <c r="C81" t="s">
        <v>1318</v>
      </c>
      <c r="D81" t="s">
        <v>1319</v>
      </c>
      <c r="E81" t="s">
        <v>354</v>
      </c>
      <c r="G81">
        <v>75.219893999999996</v>
      </c>
      <c r="H81">
        <v>78.605819999999994</v>
      </c>
      <c r="I81">
        <v>78.857498000000007</v>
      </c>
      <c r="J81">
        <v>78.076453999999998</v>
      </c>
      <c r="K81">
        <v>76.964111000000003</v>
      </c>
      <c r="L81">
        <v>76.079750000000004</v>
      </c>
      <c r="M81">
        <v>75.233322000000001</v>
      </c>
      <c r="N81">
        <v>74.338866999999993</v>
      </c>
      <c r="O81">
        <v>73.430572999999995</v>
      </c>
      <c r="P81">
        <v>72.491912999999997</v>
      </c>
      <c r="Q81">
        <v>71.594031999999999</v>
      </c>
      <c r="R81">
        <v>71.837708000000006</v>
      </c>
      <c r="S81">
        <v>71.512496999999996</v>
      </c>
      <c r="T81">
        <v>71.239052000000001</v>
      </c>
      <c r="U81">
        <v>70.989593999999997</v>
      </c>
      <c r="V81">
        <v>70.790924000000004</v>
      </c>
      <c r="W81">
        <v>70.163764999999998</v>
      </c>
      <c r="X81">
        <v>69.442642000000006</v>
      </c>
      <c r="Y81">
        <v>68.681884999999994</v>
      </c>
      <c r="Z81">
        <v>67.900276000000005</v>
      </c>
      <c r="AA81">
        <v>67.010056000000006</v>
      </c>
      <c r="AB81">
        <v>66.063095000000004</v>
      </c>
      <c r="AC81">
        <v>65.078491</v>
      </c>
      <c r="AD81">
        <v>64.041968999999995</v>
      </c>
      <c r="AE81">
        <v>62.83419</v>
      </c>
      <c r="AF81">
        <v>61.602939999999997</v>
      </c>
      <c r="AG81">
        <v>60.321541000000003</v>
      </c>
      <c r="AH81">
        <v>58.979691000000003</v>
      </c>
      <c r="AI81">
        <v>57.607379999999999</v>
      </c>
      <c r="AJ81" s="31">
        <v>-8.9999999999999993E-3</v>
      </c>
      <c r="AK81" s="31">
        <v>3.3000000000000002E-2</v>
      </c>
    </row>
    <row r="82" spans="1:37">
      <c r="A82" t="s">
        <v>112</v>
      </c>
      <c r="B82" t="s">
        <v>307</v>
      </c>
      <c r="C82" t="s">
        <v>1320</v>
      </c>
      <c r="D82" t="s">
        <v>1321</v>
      </c>
      <c r="E82" t="s">
        <v>354</v>
      </c>
      <c r="G82">
        <v>0.92408599999999996</v>
      </c>
      <c r="H82">
        <v>1.0108280000000001</v>
      </c>
      <c r="I82">
        <v>1.0536110000000001</v>
      </c>
      <c r="J82">
        <v>1.083197</v>
      </c>
      <c r="K82">
        <v>1.1043369999999999</v>
      </c>
      <c r="L82">
        <v>1.1235299999999999</v>
      </c>
      <c r="M82">
        <v>1.1408499999999999</v>
      </c>
      <c r="N82">
        <v>1.1560729999999999</v>
      </c>
      <c r="O82">
        <v>1.171249</v>
      </c>
      <c r="P82">
        <v>1.185954</v>
      </c>
      <c r="Q82">
        <v>1.2014899999999999</v>
      </c>
      <c r="R82">
        <v>1.2187190000000001</v>
      </c>
      <c r="S82">
        <v>1.237236</v>
      </c>
      <c r="T82">
        <v>1.256583</v>
      </c>
      <c r="U82">
        <v>1.277304</v>
      </c>
      <c r="V82">
        <v>1.299385</v>
      </c>
      <c r="W82">
        <v>1.318905</v>
      </c>
      <c r="X82">
        <v>1.3373429999999999</v>
      </c>
      <c r="Y82">
        <v>1.355548</v>
      </c>
      <c r="Z82">
        <v>1.373292</v>
      </c>
      <c r="AA82">
        <v>1.390433</v>
      </c>
      <c r="AB82">
        <v>1.4067000000000001</v>
      </c>
      <c r="AC82">
        <v>1.4226700000000001</v>
      </c>
      <c r="AD82">
        <v>1.4381809999999999</v>
      </c>
      <c r="AE82">
        <v>1.4527399999999999</v>
      </c>
      <c r="AF82">
        <v>1.4629570000000001</v>
      </c>
      <c r="AG82">
        <v>1.4730529999999999</v>
      </c>
      <c r="AH82">
        <v>1.482996</v>
      </c>
      <c r="AI82">
        <v>1.4928939999999999</v>
      </c>
      <c r="AJ82" s="31">
        <v>1.7000000000000001E-2</v>
      </c>
      <c r="AK82" s="31">
        <v>0.05</v>
      </c>
    </row>
    <row r="83" spans="1:37">
      <c r="A83" t="s">
        <v>257</v>
      </c>
      <c r="B83" t="s">
        <v>308</v>
      </c>
      <c r="C83" t="s">
        <v>1322</v>
      </c>
      <c r="D83" t="s">
        <v>1323</v>
      </c>
      <c r="E83" t="s">
        <v>354</v>
      </c>
      <c r="G83">
        <v>7.6215450000000002</v>
      </c>
      <c r="H83">
        <v>8.0154069999999997</v>
      </c>
      <c r="I83">
        <v>8.0920509999999997</v>
      </c>
      <c r="J83">
        <v>8.0630500000000005</v>
      </c>
      <c r="K83">
        <v>7.9989129999999999</v>
      </c>
      <c r="L83">
        <v>7.9290890000000003</v>
      </c>
      <c r="M83">
        <v>7.8596399999999997</v>
      </c>
      <c r="N83">
        <v>7.7896799999999997</v>
      </c>
      <c r="O83">
        <v>7.71915</v>
      </c>
      <c r="P83">
        <v>7.6474950000000002</v>
      </c>
      <c r="Q83">
        <v>7.5812689999999998</v>
      </c>
      <c r="R83">
        <v>7.5267520000000001</v>
      </c>
      <c r="S83">
        <v>7.4812770000000004</v>
      </c>
      <c r="T83">
        <v>7.4434630000000004</v>
      </c>
      <c r="U83">
        <v>7.4131020000000003</v>
      </c>
      <c r="V83">
        <v>7.3907420000000004</v>
      </c>
      <c r="W83">
        <v>7.3531319999999996</v>
      </c>
      <c r="X83">
        <v>7.3113330000000003</v>
      </c>
      <c r="Y83">
        <v>7.2676160000000003</v>
      </c>
      <c r="Z83">
        <v>7.22288</v>
      </c>
      <c r="AA83">
        <v>7.1754610000000003</v>
      </c>
      <c r="AB83">
        <v>7.125019</v>
      </c>
      <c r="AC83">
        <v>7.0722560000000003</v>
      </c>
      <c r="AD83">
        <v>7.017741</v>
      </c>
      <c r="AE83">
        <v>6.960877</v>
      </c>
      <c r="AF83">
        <v>6.9032780000000002</v>
      </c>
      <c r="AG83">
        <v>6.8454899999999999</v>
      </c>
      <c r="AH83">
        <v>6.7870299999999997</v>
      </c>
      <c r="AI83">
        <v>6.7284329999999999</v>
      </c>
      <c r="AJ83" s="31">
        <v>-4.0000000000000001E-3</v>
      </c>
      <c r="AK83" s="31">
        <v>3.3000000000000002E-2</v>
      </c>
    </row>
    <row r="84" spans="1:37">
      <c r="A84" t="s">
        <v>111</v>
      </c>
      <c r="B84" t="s">
        <v>309</v>
      </c>
      <c r="C84" t="s">
        <v>1324</v>
      </c>
      <c r="D84" t="s">
        <v>1325</v>
      </c>
      <c r="E84" t="s">
        <v>354</v>
      </c>
      <c r="G84">
        <v>0.57226500000000002</v>
      </c>
      <c r="H84">
        <v>0.83341600000000005</v>
      </c>
      <c r="I84">
        <v>1.075178</v>
      </c>
      <c r="J84">
        <v>1.30423</v>
      </c>
      <c r="K84">
        <v>1.524958</v>
      </c>
      <c r="L84">
        <v>1.603828</v>
      </c>
      <c r="M84">
        <v>1.6665300000000001</v>
      </c>
      <c r="N84">
        <v>1.7516910000000001</v>
      </c>
      <c r="O84">
        <v>1.8409</v>
      </c>
      <c r="P84">
        <v>1.9398230000000001</v>
      </c>
      <c r="Q84">
        <v>2.045474</v>
      </c>
      <c r="R84">
        <v>1.638865</v>
      </c>
      <c r="S84">
        <v>1.561909</v>
      </c>
      <c r="T84">
        <v>1.4974970000000001</v>
      </c>
      <c r="U84">
        <v>1.458207</v>
      </c>
      <c r="V84">
        <v>1.4334020000000001</v>
      </c>
      <c r="W84">
        <v>1.546791</v>
      </c>
      <c r="X84">
        <v>1.686464</v>
      </c>
      <c r="Y84">
        <v>1.8363419999999999</v>
      </c>
      <c r="Z84">
        <v>1.9917119999999999</v>
      </c>
      <c r="AA84">
        <v>2.1880760000000001</v>
      </c>
      <c r="AB84">
        <v>2.3979050000000002</v>
      </c>
      <c r="AC84">
        <v>2.6149490000000002</v>
      </c>
      <c r="AD84">
        <v>2.8492980000000001</v>
      </c>
      <c r="AE84">
        <v>3.1578240000000002</v>
      </c>
      <c r="AF84">
        <v>3.4764889999999999</v>
      </c>
      <c r="AG84">
        <v>3.8193260000000002</v>
      </c>
      <c r="AH84">
        <v>4.1890539999999996</v>
      </c>
      <c r="AI84">
        <v>4.5733420000000002</v>
      </c>
      <c r="AJ84" s="31">
        <v>7.6999999999999999E-2</v>
      </c>
      <c r="AK84" t="s">
        <v>117</v>
      </c>
    </row>
    <row r="85" spans="1:37">
      <c r="A85" t="s">
        <v>258</v>
      </c>
      <c r="B85" t="s">
        <v>310</v>
      </c>
      <c r="C85" t="s">
        <v>1326</v>
      </c>
      <c r="D85" t="s">
        <v>1327</v>
      </c>
      <c r="E85" t="s">
        <v>354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t="s">
        <v>117</v>
      </c>
      <c r="AK85" t="s">
        <v>117</v>
      </c>
    </row>
    <row r="86" spans="1:37">
      <c r="B86" t="s">
        <v>280</v>
      </c>
      <c r="C86" t="s">
        <v>1328</v>
      </c>
      <c r="D86" t="s">
        <v>1329</v>
      </c>
      <c r="E86" t="s">
        <v>354</v>
      </c>
      <c r="G86">
        <v>43.913421999999997</v>
      </c>
      <c r="H86">
        <v>45.563988000000002</v>
      </c>
      <c r="I86">
        <v>46.540951</v>
      </c>
      <c r="J86">
        <v>47.205399</v>
      </c>
      <c r="K86">
        <v>47.900013000000001</v>
      </c>
      <c r="L86">
        <v>48.570526000000001</v>
      </c>
      <c r="M86">
        <v>49.132919000000001</v>
      </c>
      <c r="N86">
        <v>49.707282999999997</v>
      </c>
      <c r="O86">
        <v>50.150032000000003</v>
      </c>
      <c r="P86">
        <v>50.598678999999997</v>
      </c>
      <c r="Q86">
        <v>51.139499999999998</v>
      </c>
      <c r="R86">
        <v>51.726661999999997</v>
      </c>
      <c r="S86">
        <v>52.369225</v>
      </c>
      <c r="T86">
        <v>52.923794000000001</v>
      </c>
      <c r="U86">
        <v>53.456974000000002</v>
      </c>
      <c r="V86">
        <v>53.972693999999997</v>
      </c>
      <c r="W86">
        <v>54.509743</v>
      </c>
      <c r="X86">
        <v>55.033695000000002</v>
      </c>
      <c r="Y86">
        <v>55.626582999999997</v>
      </c>
      <c r="Z86">
        <v>56.181145000000001</v>
      </c>
      <c r="AA86">
        <v>56.753779999999999</v>
      </c>
      <c r="AB86">
        <v>57.257598999999999</v>
      </c>
      <c r="AC86">
        <v>57.815627999999997</v>
      </c>
      <c r="AD86">
        <v>58.366591999999997</v>
      </c>
      <c r="AE86">
        <v>59.116034999999997</v>
      </c>
      <c r="AF86">
        <v>59.751427</v>
      </c>
      <c r="AG86">
        <v>60.444682999999998</v>
      </c>
      <c r="AH86">
        <v>61.080703999999997</v>
      </c>
      <c r="AI86">
        <v>61.848125000000003</v>
      </c>
      <c r="AJ86" s="31">
        <v>1.2E-2</v>
      </c>
      <c r="AK86" s="31">
        <v>2.7E-2</v>
      </c>
    </row>
    <row r="87" spans="1:37">
      <c r="B87" t="s">
        <v>326</v>
      </c>
      <c r="C87" t="s">
        <v>1330</v>
      </c>
      <c r="D87" t="s">
        <v>1331</v>
      </c>
      <c r="E87" t="s">
        <v>354</v>
      </c>
      <c r="G87">
        <v>7.5946369999999996</v>
      </c>
      <c r="H87">
        <v>8.2708110000000001</v>
      </c>
      <c r="I87">
        <v>8.8117520000000003</v>
      </c>
      <c r="J87">
        <v>9.2425239999999995</v>
      </c>
      <c r="K87">
        <v>9.5890699999999995</v>
      </c>
      <c r="L87">
        <v>9.8712160000000004</v>
      </c>
      <c r="M87">
        <v>10.105147000000001</v>
      </c>
      <c r="N87">
        <v>10.303372</v>
      </c>
      <c r="O87">
        <v>10.475068</v>
      </c>
      <c r="P87">
        <v>10.626023999999999</v>
      </c>
      <c r="Q87">
        <v>10.758953999999999</v>
      </c>
      <c r="R87">
        <v>10.875567999999999</v>
      </c>
      <c r="S87">
        <v>10.979032999999999</v>
      </c>
      <c r="T87">
        <v>11.071654000000001</v>
      </c>
      <c r="U87">
        <v>11.154877000000001</v>
      </c>
      <c r="V87">
        <v>11.229654999999999</v>
      </c>
      <c r="W87">
        <v>11.304667</v>
      </c>
      <c r="X87">
        <v>11.377219</v>
      </c>
      <c r="Y87">
        <v>11.447278000000001</v>
      </c>
      <c r="Z87">
        <v>11.515231999999999</v>
      </c>
      <c r="AA87">
        <v>11.582255999999999</v>
      </c>
      <c r="AB87">
        <v>11.648866999999999</v>
      </c>
      <c r="AC87">
        <v>11.715138</v>
      </c>
      <c r="AD87">
        <v>11.781057000000001</v>
      </c>
      <c r="AE87">
        <v>11.847011999999999</v>
      </c>
      <c r="AF87">
        <v>11.912785</v>
      </c>
      <c r="AG87">
        <v>11.978335</v>
      </c>
      <c r="AH87">
        <v>12.043905000000001</v>
      </c>
      <c r="AI87">
        <v>12.109465</v>
      </c>
      <c r="AJ87" s="31">
        <v>1.7000000000000001E-2</v>
      </c>
      <c r="AK87" s="31">
        <v>0.03</v>
      </c>
    </row>
    <row r="88" spans="1:37" s="29" customFormat="1">
      <c r="B88" t="s">
        <v>309</v>
      </c>
      <c r="C88" t="s">
        <v>1332</v>
      </c>
      <c r="D88" t="s">
        <v>1333</v>
      </c>
      <c r="E88" t="s">
        <v>354</v>
      </c>
      <c r="F88"/>
      <c r="G88">
        <v>0.923149</v>
      </c>
      <c r="H88">
        <v>1.0053399999999999</v>
      </c>
      <c r="I88">
        <v>1.0710919999999999</v>
      </c>
      <c r="J88">
        <v>1.123454</v>
      </c>
      <c r="K88">
        <v>1.165578</v>
      </c>
      <c r="L88">
        <v>1.199873</v>
      </c>
      <c r="M88">
        <v>1.228308</v>
      </c>
      <c r="N88">
        <v>1.2524029999999999</v>
      </c>
      <c r="O88">
        <v>1.2732730000000001</v>
      </c>
      <c r="P88">
        <v>1.291622</v>
      </c>
      <c r="Q88">
        <v>1.3077799999999999</v>
      </c>
      <c r="R88">
        <v>1.321955</v>
      </c>
      <c r="S88">
        <v>1.3345309999999999</v>
      </c>
      <c r="T88">
        <v>1.34579</v>
      </c>
      <c r="U88">
        <v>1.3559060000000001</v>
      </c>
      <c r="V88">
        <v>1.364995</v>
      </c>
      <c r="W88">
        <v>1.3741129999999999</v>
      </c>
      <c r="X88">
        <v>1.3829320000000001</v>
      </c>
      <c r="Y88">
        <v>1.391448</v>
      </c>
      <c r="Z88">
        <v>1.399708</v>
      </c>
      <c r="AA88">
        <v>1.4078550000000001</v>
      </c>
      <c r="AB88">
        <v>1.4159520000000001</v>
      </c>
      <c r="AC88">
        <v>1.4240060000000001</v>
      </c>
      <c r="AD88">
        <v>1.4320189999999999</v>
      </c>
      <c r="AE88">
        <v>1.440037</v>
      </c>
      <c r="AF88">
        <v>1.4480310000000001</v>
      </c>
      <c r="AG88">
        <v>1.455999</v>
      </c>
      <c r="AH88">
        <v>1.4639690000000001</v>
      </c>
      <c r="AI88">
        <v>1.471938</v>
      </c>
      <c r="AJ88" s="31">
        <v>1.7000000000000001E-2</v>
      </c>
      <c r="AK88" s="57">
        <v>0.03</v>
      </c>
    </row>
    <row r="89" spans="1:37" s="58" customFormat="1">
      <c r="B89" t="s">
        <v>327</v>
      </c>
      <c r="C89" t="s">
        <v>1334</v>
      </c>
      <c r="D89" t="s">
        <v>1335</v>
      </c>
      <c r="E89" t="s">
        <v>354</v>
      </c>
      <c r="F89"/>
      <c r="G89">
        <v>6.6714880000000001</v>
      </c>
      <c r="H89">
        <v>7.2654709999999998</v>
      </c>
      <c r="I89">
        <v>7.7406600000000001</v>
      </c>
      <c r="J89">
        <v>8.1190700000000007</v>
      </c>
      <c r="K89">
        <v>8.4234919999999995</v>
      </c>
      <c r="L89">
        <v>8.6713430000000002</v>
      </c>
      <c r="M89">
        <v>8.8768399999999996</v>
      </c>
      <c r="N89">
        <v>9.0509690000000003</v>
      </c>
      <c r="O89">
        <v>9.2017959999999999</v>
      </c>
      <c r="P89">
        <v>9.3344020000000008</v>
      </c>
      <c r="Q89">
        <v>9.451174</v>
      </c>
      <c r="R89">
        <v>9.5536139999999996</v>
      </c>
      <c r="S89">
        <v>9.6445030000000003</v>
      </c>
      <c r="T89">
        <v>9.7258639999999996</v>
      </c>
      <c r="U89">
        <v>9.7989709999999999</v>
      </c>
      <c r="V89">
        <v>9.8646600000000007</v>
      </c>
      <c r="W89">
        <v>9.9305540000000008</v>
      </c>
      <c r="X89">
        <v>9.9942869999999999</v>
      </c>
      <c r="Y89">
        <v>10.05583</v>
      </c>
      <c r="Z89">
        <v>10.115524000000001</v>
      </c>
      <c r="AA89">
        <v>10.174401</v>
      </c>
      <c r="AB89">
        <v>10.232915</v>
      </c>
      <c r="AC89">
        <v>10.291131999999999</v>
      </c>
      <c r="AD89">
        <v>10.349038</v>
      </c>
      <c r="AE89">
        <v>10.406974999999999</v>
      </c>
      <c r="AF89">
        <v>10.464753</v>
      </c>
      <c r="AG89">
        <v>10.522335999999999</v>
      </c>
      <c r="AH89">
        <v>10.579936</v>
      </c>
      <c r="AI89">
        <v>10.637527</v>
      </c>
      <c r="AJ89" s="31">
        <v>1.7000000000000001E-2</v>
      </c>
      <c r="AK89" s="59">
        <v>0.03</v>
      </c>
    </row>
    <row r="90" spans="1:37">
      <c r="B90" t="s">
        <v>316</v>
      </c>
      <c r="C90" t="s">
        <v>1336</v>
      </c>
      <c r="D90" t="s">
        <v>1337</v>
      </c>
      <c r="E90" t="s">
        <v>354</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t="s">
        <v>117</v>
      </c>
      <c r="AK90" t="s">
        <v>117</v>
      </c>
    </row>
    <row r="91" spans="1:37">
      <c r="B91" t="s">
        <v>317</v>
      </c>
      <c r="C91" t="s">
        <v>1338</v>
      </c>
      <c r="D91" t="s">
        <v>1339</v>
      </c>
      <c r="E91" t="s">
        <v>354</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t="s">
        <v>117</v>
      </c>
      <c r="AK91" t="s">
        <v>117</v>
      </c>
    </row>
    <row r="92" spans="1:37">
      <c r="B92" t="s">
        <v>328</v>
      </c>
      <c r="C92" t="s">
        <v>1340</v>
      </c>
      <c r="D92" t="s">
        <v>1341</v>
      </c>
      <c r="E92" t="s">
        <v>354</v>
      </c>
      <c r="G92">
        <v>17.032639</v>
      </c>
      <c r="H92">
        <v>17.333525000000002</v>
      </c>
      <c r="I92">
        <v>17.471111000000001</v>
      </c>
      <c r="J92">
        <v>17.514868</v>
      </c>
      <c r="K92">
        <v>17.667708999999999</v>
      </c>
      <c r="L92">
        <v>17.921016999999999</v>
      </c>
      <c r="M92">
        <v>18.139037999999999</v>
      </c>
      <c r="N92">
        <v>18.293453</v>
      </c>
      <c r="O92">
        <v>18.389309000000001</v>
      </c>
      <c r="P92">
        <v>18.446940999999999</v>
      </c>
      <c r="Q92">
        <v>18.571213</v>
      </c>
      <c r="R92">
        <v>18.730657999999998</v>
      </c>
      <c r="S92">
        <v>18.930088000000001</v>
      </c>
      <c r="T92">
        <v>19.092124999999999</v>
      </c>
      <c r="U92">
        <v>19.259436000000001</v>
      </c>
      <c r="V92">
        <v>19.415512</v>
      </c>
      <c r="W92">
        <v>19.584526</v>
      </c>
      <c r="X92">
        <v>19.751868999999999</v>
      </c>
      <c r="Y92">
        <v>19.950641999999998</v>
      </c>
      <c r="Z92">
        <v>20.133372999999999</v>
      </c>
      <c r="AA92">
        <v>20.325230000000001</v>
      </c>
      <c r="AB92">
        <v>20.481424000000001</v>
      </c>
      <c r="AC92">
        <v>20.667052999999999</v>
      </c>
      <c r="AD92">
        <v>20.844881000000001</v>
      </c>
      <c r="AE92">
        <v>21.123301999999999</v>
      </c>
      <c r="AF92">
        <v>21.333514999999998</v>
      </c>
      <c r="AG92">
        <v>21.575635999999999</v>
      </c>
      <c r="AH92">
        <v>21.790666999999999</v>
      </c>
      <c r="AI92">
        <v>22.070596999999999</v>
      </c>
      <c r="AJ92" s="31">
        <v>8.9999999999999993E-3</v>
      </c>
      <c r="AK92" s="31">
        <v>2.5999999999999999E-2</v>
      </c>
    </row>
    <row r="93" spans="1:37" s="29" customFormat="1">
      <c r="B93" t="s">
        <v>309</v>
      </c>
      <c r="C93" t="s">
        <v>1342</v>
      </c>
      <c r="D93" t="s">
        <v>1343</v>
      </c>
      <c r="E93" t="s">
        <v>354</v>
      </c>
      <c r="F93"/>
      <c r="G93">
        <v>17.032639</v>
      </c>
      <c r="H93">
        <v>17.333525000000002</v>
      </c>
      <c r="I93">
        <v>17.471111000000001</v>
      </c>
      <c r="J93">
        <v>17.514868</v>
      </c>
      <c r="K93">
        <v>17.667708999999999</v>
      </c>
      <c r="L93">
        <v>17.921016999999999</v>
      </c>
      <c r="M93">
        <v>18.139037999999999</v>
      </c>
      <c r="N93">
        <v>18.293453</v>
      </c>
      <c r="O93">
        <v>18.389309000000001</v>
      </c>
      <c r="P93">
        <v>18.446940999999999</v>
      </c>
      <c r="Q93">
        <v>18.571213</v>
      </c>
      <c r="R93">
        <v>18.730657999999998</v>
      </c>
      <c r="S93">
        <v>18.930088000000001</v>
      </c>
      <c r="T93">
        <v>19.092124999999999</v>
      </c>
      <c r="U93">
        <v>19.259436000000001</v>
      </c>
      <c r="V93">
        <v>19.415512</v>
      </c>
      <c r="W93">
        <v>19.584526</v>
      </c>
      <c r="X93">
        <v>19.751868999999999</v>
      </c>
      <c r="Y93">
        <v>19.950641999999998</v>
      </c>
      <c r="Z93">
        <v>20.133372999999999</v>
      </c>
      <c r="AA93">
        <v>20.325230000000001</v>
      </c>
      <c r="AB93">
        <v>20.481424000000001</v>
      </c>
      <c r="AC93">
        <v>20.667052999999999</v>
      </c>
      <c r="AD93">
        <v>20.844881000000001</v>
      </c>
      <c r="AE93">
        <v>21.123301999999999</v>
      </c>
      <c r="AF93">
        <v>21.333514999999998</v>
      </c>
      <c r="AG93">
        <v>21.575635999999999</v>
      </c>
      <c r="AH93">
        <v>21.790666999999999</v>
      </c>
      <c r="AI93">
        <v>22.070596999999999</v>
      </c>
      <c r="AJ93" s="31">
        <v>8.9999999999999993E-3</v>
      </c>
      <c r="AK93" s="57">
        <v>2.5999999999999999E-2</v>
      </c>
    </row>
    <row r="94" spans="1:37">
      <c r="B94" t="s">
        <v>329</v>
      </c>
      <c r="C94" t="s">
        <v>1344</v>
      </c>
      <c r="D94" t="s">
        <v>1345</v>
      </c>
      <c r="E94" t="s">
        <v>354</v>
      </c>
      <c r="G94">
        <v>19.286148000000001</v>
      </c>
      <c r="H94">
        <v>19.959654</v>
      </c>
      <c r="I94">
        <v>20.258087</v>
      </c>
      <c r="J94">
        <v>20.448008000000002</v>
      </c>
      <c r="K94">
        <v>20.643234</v>
      </c>
      <c r="L94">
        <v>20.778293999999999</v>
      </c>
      <c r="M94">
        <v>20.888736999999999</v>
      </c>
      <c r="N94">
        <v>21.11046</v>
      </c>
      <c r="O94">
        <v>21.285655999999999</v>
      </c>
      <c r="P94">
        <v>21.525711000000001</v>
      </c>
      <c r="Q94">
        <v>21.809334</v>
      </c>
      <c r="R94">
        <v>22.120438</v>
      </c>
      <c r="S94">
        <v>22.460100000000001</v>
      </c>
      <c r="T94">
        <v>22.760014000000002</v>
      </c>
      <c r="U94">
        <v>23.042663999999998</v>
      </c>
      <c r="V94">
        <v>23.327525999999999</v>
      </c>
      <c r="W94">
        <v>23.620547999999999</v>
      </c>
      <c r="X94">
        <v>23.904606000000001</v>
      </c>
      <c r="Y94">
        <v>24.228663999999998</v>
      </c>
      <c r="Z94">
        <v>24.532539</v>
      </c>
      <c r="AA94">
        <v>24.846294</v>
      </c>
      <c r="AB94">
        <v>25.127307999999999</v>
      </c>
      <c r="AC94">
        <v>25.433437000000001</v>
      </c>
      <c r="AD94">
        <v>25.740656000000001</v>
      </c>
      <c r="AE94">
        <v>26.145723</v>
      </c>
      <c r="AF94">
        <v>26.505127000000002</v>
      </c>
      <c r="AG94">
        <v>26.890711</v>
      </c>
      <c r="AH94">
        <v>27.246131999999999</v>
      </c>
      <c r="AI94">
        <v>27.668061999999999</v>
      </c>
      <c r="AJ94" s="31">
        <v>1.2999999999999999E-2</v>
      </c>
      <c r="AK94" s="31">
        <v>2.5000000000000001E-2</v>
      </c>
    </row>
    <row r="95" spans="1:37" s="29" customFormat="1">
      <c r="B95" t="s">
        <v>309</v>
      </c>
      <c r="C95" t="s">
        <v>1346</v>
      </c>
      <c r="D95" t="s">
        <v>1347</v>
      </c>
      <c r="E95" t="s">
        <v>354</v>
      </c>
      <c r="F95"/>
      <c r="G95">
        <v>6.9668039999999998</v>
      </c>
      <c r="H95">
        <v>7.2055709999999999</v>
      </c>
      <c r="I95">
        <v>7.3069870000000003</v>
      </c>
      <c r="J95">
        <v>7.3605080000000003</v>
      </c>
      <c r="K95">
        <v>7.3962209999999997</v>
      </c>
      <c r="L95">
        <v>7.4034529999999998</v>
      </c>
      <c r="M95">
        <v>7.4034849999999999</v>
      </c>
      <c r="N95">
        <v>7.4601230000000003</v>
      </c>
      <c r="O95">
        <v>7.5075329999999996</v>
      </c>
      <c r="P95">
        <v>7.6063049999999999</v>
      </c>
      <c r="Q95">
        <v>7.7227600000000001</v>
      </c>
      <c r="R95">
        <v>7.8505010000000004</v>
      </c>
      <c r="S95">
        <v>7.987139</v>
      </c>
      <c r="T95">
        <v>8.1068239999999996</v>
      </c>
      <c r="U95">
        <v>8.2209280000000007</v>
      </c>
      <c r="V95">
        <v>8.3371739999999992</v>
      </c>
      <c r="W95">
        <v>8.4559110000000004</v>
      </c>
      <c r="X95">
        <v>8.5701509999999992</v>
      </c>
      <c r="Y95">
        <v>8.700564</v>
      </c>
      <c r="Z95">
        <v>8.8238339999999997</v>
      </c>
      <c r="AA95">
        <v>8.9493679999999998</v>
      </c>
      <c r="AB95">
        <v>9.0625599999999995</v>
      </c>
      <c r="AC95">
        <v>9.1843959999999996</v>
      </c>
      <c r="AD95">
        <v>9.3055529999999997</v>
      </c>
      <c r="AE95">
        <v>9.4632129999999997</v>
      </c>
      <c r="AF95">
        <v>9.6034579999999998</v>
      </c>
      <c r="AG95">
        <v>9.7528290000000002</v>
      </c>
      <c r="AH95">
        <v>9.890326</v>
      </c>
      <c r="AI95">
        <v>10.053587</v>
      </c>
      <c r="AJ95" s="31">
        <v>1.2999999999999999E-2</v>
      </c>
      <c r="AK95" s="57">
        <v>2.5000000000000001E-2</v>
      </c>
    </row>
    <row r="96" spans="1:37" s="58" customFormat="1">
      <c r="B96" t="s">
        <v>327</v>
      </c>
      <c r="C96" t="s">
        <v>1348</v>
      </c>
      <c r="D96" t="s">
        <v>1349</v>
      </c>
      <c r="E96" t="s">
        <v>354</v>
      </c>
      <c r="F96"/>
      <c r="G96">
        <v>12.319345</v>
      </c>
      <c r="H96">
        <v>12.754084000000001</v>
      </c>
      <c r="I96">
        <v>12.951098999999999</v>
      </c>
      <c r="J96">
        <v>13.0875</v>
      </c>
      <c r="K96">
        <v>13.247013000000001</v>
      </c>
      <c r="L96">
        <v>13.374840000000001</v>
      </c>
      <c r="M96">
        <v>13.485250000000001</v>
      </c>
      <c r="N96">
        <v>13.650337</v>
      </c>
      <c r="O96">
        <v>13.778123000000001</v>
      </c>
      <c r="P96">
        <v>13.919407</v>
      </c>
      <c r="Q96">
        <v>14.086574000000001</v>
      </c>
      <c r="R96">
        <v>14.269936</v>
      </c>
      <c r="S96">
        <v>14.47296</v>
      </c>
      <c r="T96">
        <v>14.65319</v>
      </c>
      <c r="U96">
        <v>14.821736</v>
      </c>
      <c r="V96">
        <v>14.990353000000001</v>
      </c>
      <c r="W96">
        <v>15.164637000000001</v>
      </c>
      <c r="X96">
        <v>15.334455</v>
      </c>
      <c r="Y96">
        <v>15.528098999999999</v>
      </c>
      <c r="Z96">
        <v>15.708705999999999</v>
      </c>
      <c r="AA96">
        <v>15.896927</v>
      </c>
      <c r="AB96">
        <v>16.064747000000001</v>
      </c>
      <c r="AC96">
        <v>16.249043</v>
      </c>
      <c r="AD96">
        <v>16.435102000000001</v>
      </c>
      <c r="AE96">
        <v>16.682510000000001</v>
      </c>
      <c r="AF96">
        <v>16.901668999999998</v>
      </c>
      <c r="AG96">
        <v>17.137882000000001</v>
      </c>
      <c r="AH96">
        <v>17.355803999999999</v>
      </c>
      <c r="AI96">
        <v>17.614474999999999</v>
      </c>
      <c r="AJ96" s="31">
        <v>1.2999999999999999E-2</v>
      </c>
      <c r="AK96" s="59">
        <v>2.5999999999999999E-2</v>
      </c>
    </row>
    <row r="97" spans="1:37">
      <c r="B97" t="s">
        <v>316</v>
      </c>
      <c r="C97" t="s">
        <v>1350</v>
      </c>
      <c r="D97" t="s">
        <v>1351</v>
      </c>
      <c r="E97" t="s">
        <v>354</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t="s">
        <v>117</v>
      </c>
      <c r="AK97" t="s">
        <v>117</v>
      </c>
    </row>
    <row r="98" spans="1:37">
      <c r="B98" t="s">
        <v>317</v>
      </c>
      <c r="C98" t="s">
        <v>1352</v>
      </c>
      <c r="D98" t="s">
        <v>1353</v>
      </c>
      <c r="E98" t="s">
        <v>354</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t="s">
        <v>117</v>
      </c>
      <c r="AK98" t="s">
        <v>117</v>
      </c>
    </row>
    <row r="99" spans="1:37">
      <c r="B99" t="s">
        <v>281</v>
      </c>
      <c r="C99" t="s">
        <v>1354</v>
      </c>
      <c r="D99" t="s">
        <v>1355</v>
      </c>
      <c r="E99" t="s">
        <v>354</v>
      </c>
      <c r="G99">
        <v>202.83663899999999</v>
      </c>
      <c r="H99">
        <v>199.16296399999999</v>
      </c>
      <c r="I99">
        <v>195.80548099999999</v>
      </c>
      <c r="J99">
        <v>193.737213</v>
      </c>
      <c r="K99">
        <v>192.813141</v>
      </c>
      <c r="L99">
        <v>191.8974</v>
      </c>
      <c r="M99">
        <v>190.73350500000001</v>
      </c>
      <c r="N99">
        <v>189.210464</v>
      </c>
      <c r="O99">
        <v>187.40353400000001</v>
      </c>
      <c r="P99">
        <v>185.676941</v>
      </c>
      <c r="Q99">
        <v>184.46688800000001</v>
      </c>
      <c r="R99">
        <v>183.61003099999999</v>
      </c>
      <c r="S99">
        <v>182.77757299999999</v>
      </c>
      <c r="T99">
        <v>181.99818400000001</v>
      </c>
      <c r="U99">
        <v>181.450287</v>
      </c>
      <c r="V99">
        <v>181.105515</v>
      </c>
      <c r="W99">
        <v>180.74588</v>
      </c>
      <c r="X99">
        <v>180.38298</v>
      </c>
      <c r="Y99">
        <v>180.29542499999999</v>
      </c>
      <c r="Z99">
        <v>180.16119399999999</v>
      </c>
      <c r="AA99">
        <v>179.988022</v>
      </c>
      <c r="AB99">
        <v>179.81350699999999</v>
      </c>
      <c r="AC99">
        <v>179.55651900000001</v>
      </c>
      <c r="AD99">
        <v>179.24385100000001</v>
      </c>
      <c r="AE99">
        <v>178.94970699999999</v>
      </c>
      <c r="AF99">
        <v>178.72766100000001</v>
      </c>
      <c r="AG99">
        <v>178.49087499999999</v>
      </c>
      <c r="AH99">
        <v>178.228363</v>
      </c>
      <c r="AI99">
        <v>178.15554800000001</v>
      </c>
      <c r="AJ99" s="31">
        <v>-5.0000000000000001E-3</v>
      </c>
      <c r="AK99" s="31">
        <v>-3.0000000000000001E-3</v>
      </c>
    </row>
    <row r="100" spans="1:37">
      <c r="A100" t="s">
        <v>113</v>
      </c>
      <c r="B100" t="s">
        <v>330</v>
      </c>
      <c r="C100" t="s">
        <v>1356</v>
      </c>
      <c r="D100" t="s">
        <v>1357</v>
      </c>
      <c r="E100" t="s">
        <v>354</v>
      </c>
      <c r="G100">
        <v>163.608734</v>
      </c>
      <c r="H100">
        <v>160.38700900000001</v>
      </c>
      <c r="I100">
        <v>157.42775</v>
      </c>
      <c r="J100">
        <v>155.51083399999999</v>
      </c>
      <c r="K100">
        <v>154.51499899999999</v>
      </c>
      <c r="L100">
        <v>153.52697800000001</v>
      </c>
      <c r="M100">
        <v>152.34193400000001</v>
      </c>
      <c r="N100">
        <v>150.872345</v>
      </c>
      <c r="O100">
        <v>149.17961099999999</v>
      </c>
      <c r="P100">
        <v>147.55435199999999</v>
      </c>
      <c r="Q100">
        <v>146.34231600000001</v>
      </c>
      <c r="R100">
        <v>145.41207900000001</v>
      </c>
      <c r="S100">
        <v>144.50224299999999</v>
      </c>
      <c r="T100">
        <v>143.63537600000001</v>
      </c>
      <c r="U100">
        <v>142.95182800000001</v>
      </c>
      <c r="V100">
        <v>142.42834500000001</v>
      </c>
      <c r="W100">
        <v>141.89295999999999</v>
      </c>
      <c r="X100">
        <v>141.35481300000001</v>
      </c>
      <c r="Y100">
        <v>141.03187600000001</v>
      </c>
      <c r="Z100">
        <v>140.67157</v>
      </c>
      <c r="AA100">
        <v>140.28007500000001</v>
      </c>
      <c r="AB100">
        <v>139.886841</v>
      </c>
      <c r="AC100">
        <v>139.42889400000001</v>
      </c>
      <c r="AD100">
        <v>138.927322</v>
      </c>
      <c r="AE100">
        <v>138.439819</v>
      </c>
      <c r="AF100">
        <v>138.00765999999999</v>
      </c>
      <c r="AG100">
        <v>137.56359900000001</v>
      </c>
      <c r="AH100">
        <v>137.09927400000001</v>
      </c>
      <c r="AI100">
        <v>136.780182</v>
      </c>
      <c r="AJ100" s="31">
        <v>-6.0000000000000001E-3</v>
      </c>
      <c r="AK100" s="31">
        <v>-5.0000000000000001E-3</v>
      </c>
    </row>
    <row r="101" spans="1:37">
      <c r="A101" t="s">
        <v>114</v>
      </c>
      <c r="B101" t="s">
        <v>306</v>
      </c>
      <c r="C101" t="s">
        <v>1358</v>
      </c>
      <c r="D101" t="s">
        <v>1359</v>
      </c>
      <c r="E101" t="s">
        <v>354</v>
      </c>
      <c r="G101">
        <v>39.227898000000003</v>
      </c>
      <c r="H101">
        <v>38.775948</v>
      </c>
      <c r="I101">
        <v>38.377730999999997</v>
      </c>
      <c r="J101">
        <v>38.226379000000001</v>
      </c>
      <c r="K101">
        <v>38.298149000000002</v>
      </c>
      <c r="L101">
        <v>38.370418999999998</v>
      </c>
      <c r="M101">
        <v>38.391570999999999</v>
      </c>
      <c r="N101">
        <v>38.338120000000004</v>
      </c>
      <c r="O101">
        <v>38.223914999999998</v>
      </c>
      <c r="P101">
        <v>38.122588999999998</v>
      </c>
      <c r="Q101">
        <v>38.124577000000002</v>
      </c>
      <c r="R101">
        <v>38.197955999999998</v>
      </c>
      <c r="S101">
        <v>38.275326</v>
      </c>
      <c r="T101">
        <v>38.362803999999997</v>
      </c>
      <c r="U101">
        <v>38.498458999999997</v>
      </c>
      <c r="V101">
        <v>38.677174000000001</v>
      </c>
      <c r="W101">
        <v>38.852927999999999</v>
      </c>
      <c r="X101">
        <v>39.028163999999997</v>
      </c>
      <c r="Y101">
        <v>39.263545999999998</v>
      </c>
      <c r="Z101">
        <v>39.489632</v>
      </c>
      <c r="AA101">
        <v>39.707951000000001</v>
      </c>
      <c r="AB101">
        <v>39.926662</v>
      </c>
      <c r="AC101">
        <v>40.127631999999998</v>
      </c>
      <c r="AD101">
        <v>40.316527999999998</v>
      </c>
      <c r="AE101">
        <v>40.509892000000001</v>
      </c>
      <c r="AF101">
        <v>40.720008999999997</v>
      </c>
      <c r="AG101">
        <v>40.927284</v>
      </c>
      <c r="AH101">
        <v>41.129097000000002</v>
      </c>
      <c r="AI101">
        <v>41.375362000000003</v>
      </c>
      <c r="AJ101" s="31">
        <v>2E-3</v>
      </c>
      <c r="AK101" s="31">
        <v>3.0000000000000001E-3</v>
      </c>
    </row>
    <row r="102" spans="1:37">
      <c r="B102" t="s">
        <v>282</v>
      </c>
      <c r="C102" t="s">
        <v>1360</v>
      </c>
      <c r="D102" t="s">
        <v>1141</v>
      </c>
      <c r="E102" t="s">
        <v>354</v>
      </c>
      <c r="G102">
        <v>125.945221</v>
      </c>
      <c r="H102">
        <v>125.92506400000001</v>
      </c>
      <c r="I102">
        <v>126.01237500000001</v>
      </c>
      <c r="J102">
        <v>126.049858</v>
      </c>
      <c r="K102">
        <v>126.11367</v>
      </c>
      <c r="L102">
        <v>125.98440600000001</v>
      </c>
      <c r="M102">
        <v>125.852997</v>
      </c>
      <c r="N102">
        <v>125.755234</v>
      </c>
      <c r="O102">
        <v>125.652069</v>
      </c>
      <c r="P102">
        <v>125.54579200000001</v>
      </c>
      <c r="Q102">
        <v>125.439178</v>
      </c>
      <c r="R102">
        <v>125.330147</v>
      </c>
      <c r="S102">
        <v>125.250381</v>
      </c>
      <c r="T102">
        <v>125.225021</v>
      </c>
      <c r="U102">
        <v>125.255257</v>
      </c>
      <c r="V102">
        <v>125.318207</v>
      </c>
      <c r="W102">
        <v>125.411896</v>
      </c>
      <c r="X102">
        <v>125.52668799999999</v>
      </c>
      <c r="Y102">
        <v>125.666534</v>
      </c>
      <c r="Z102">
        <v>125.797371</v>
      </c>
      <c r="AA102">
        <v>125.925034</v>
      </c>
      <c r="AB102">
        <v>126.04557</v>
      </c>
      <c r="AC102">
        <v>126.16628300000001</v>
      </c>
      <c r="AD102">
        <v>126.32028200000001</v>
      </c>
      <c r="AE102">
        <v>126.49239300000001</v>
      </c>
      <c r="AF102">
        <v>126.66081200000001</v>
      </c>
      <c r="AG102">
        <v>126.811455</v>
      </c>
      <c r="AH102">
        <v>126.974289</v>
      </c>
      <c r="AI102">
        <v>127.158676</v>
      </c>
      <c r="AJ102" s="31">
        <v>0</v>
      </c>
      <c r="AK102" s="31">
        <v>1E-3</v>
      </c>
    </row>
    <row r="103" spans="1:37">
      <c r="B103" t="s">
        <v>283</v>
      </c>
      <c r="C103" t="s">
        <v>1181</v>
      </c>
      <c r="D103" t="s">
        <v>1143</v>
      </c>
      <c r="E103" t="s">
        <v>354</v>
      </c>
      <c r="G103">
        <v>905.73223900000005</v>
      </c>
      <c r="H103">
        <v>820.54260299999999</v>
      </c>
      <c r="I103">
        <v>760.982483</v>
      </c>
      <c r="J103">
        <v>726.75244099999998</v>
      </c>
      <c r="K103">
        <v>695.850098</v>
      </c>
      <c r="L103">
        <v>653.98541299999999</v>
      </c>
      <c r="M103">
        <v>613.92791699999998</v>
      </c>
      <c r="N103">
        <v>612.03295900000001</v>
      </c>
      <c r="O103">
        <v>610.31640600000003</v>
      </c>
      <c r="P103">
        <v>611.89654499999995</v>
      </c>
      <c r="Q103">
        <v>617.76355000000001</v>
      </c>
      <c r="R103">
        <v>626.28515600000003</v>
      </c>
      <c r="S103">
        <v>630.76672399999995</v>
      </c>
      <c r="T103">
        <v>633.47729500000003</v>
      </c>
      <c r="U103">
        <v>634.00311299999998</v>
      </c>
      <c r="V103">
        <v>632.96820100000002</v>
      </c>
      <c r="W103">
        <v>637.83142099999998</v>
      </c>
      <c r="X103">
        <v>636.66796899999997</v>
      </c>
      <c r="Y103">
        <v>645.807007</v>
      </c>
      <c r="Z103">
        <v>652.42675799999995</v>
      </c>
      <c r="AA103">
        <v>658.166382</v>
      </c>
      <c r="AB103">
        <v>660.99408000000005</v>
      </c>
      <c r="AC103">
        <v>665.09454300000004</v>
      </c>
      <c r="AD103">
        <v>669.20263699999998</v>
      </c>
      <c r="AE103">
        <v>674.53369099999998</v>
      </c>
      <c r="AF103">
        <v>682.13464399999998</v>
      </c>
      <c r="AG103">
        <v>689.49054000000001</v>
      </c>
      <c r="AH103">
        <v>691.88214100000005</v>
      </c>
      <c r="AI103">
        <v>696.77728300000001</v>
      </c>
      <c r="AJ103" s="31">
        <v>-8.9999999999999993E-3</v>
      </c>
      <c r="AK103" s="31">
        <v>4.0000000000000001E-3</v>
      </c>
    </row>
    <row r="104" spans="1:37">
      <c r="B104" t="s">
        <v>1144</v>
      </c>
      <c r="C104" t="s">
        <v>1182</v>
      </c>
      <c r="D104" t="s">
        <v>1146</v>
      </c>
      <c r="E104" t="s">
        <v>354</v>
      </c>
      <c r="G104">
        <v>332.52310199999999</v>
      </c>
      <c r="H104">
        <v>377.97052000000002</v>
      </c>
      <c r="I104">
        <v>384.00460800000002</v>
      </c>
      <c r="J104">
        <v>408.78292800000003</v>
      </c>
      <c r="K104">
        <v>446.260651</v>
      </c>
      <c r="L104">
        <v>477.17263800000001</v>
      </c>
      <c r="M104">
        <v>503.61007699999999</v>
      </c>
      <c r="N104">
        <v>527.57086200000003</v>
      </c>
      <c r="O104">
        <v>577.96905500000003</v>
      </c>
      <c r="P104">
        <v>628.36724900000002</v>
      </c>
      <c r="Q104">
        <v>680.00372300000004</v>
      </c>
      <c r="R104">
        <v>729.163635</v>
      </c>
      <c r="S104">
        <v>771.16210899999999</v>
      </c>
      <c r="T104">
        <v>796.36120600000004</v>
      </c>
      <c r="U104">
        <v>814.39892599999996</v>
      </c>
      <c r="V104">
        <v>829.96002199999998</v>
      </c>
      <c r="W104">
        <v>838.35974099999999</v>
      </c>
      <c r="X104">
        <v>838.35974099999999</v>
      </c>
      <c r="Y104">
        <v>839.59802200000001</v>
      </c>
      <c r="Z104">
        <v>838.35974099999999</v>
      </c>
      <c r="AA104">
        <v>838.35974099999999</v>
      </c>
      <c r="AB104">
        <v>838.35974099999999</v>
      </c>
      <c r="AC104">
        <v>839.59802200000001</v>
      </c>
      <c r="AD104">
        <v>838.35974099999999</v>
      </c>
      <c r="AE104">
        <v>838.35974099999999</v>
      </c>
      <c r="AF104">
        <v>838.35974099999999</v>
      </c>
      <c r="AG104">
        <v>839.59802200000001</v>
      </c>
      <c r="AH104">
        <v>838.35974099999999</v>
      </c>
      <c r="AI104">
        <v>838.35974099999999</v>
      </c>
      <c r="AJ104" s="31">
        <v>3.4000000000000002E-2</v>
      </c>
      <c r="AK104" s="31">
        <v>5.0000000000000001E-3</v>
      </c>
    </row>
    <row r="105" spans="1:37">
      <c r="B105" t="s">
        <v>195</v>
      </c>
      <c r="C105" t="s">
        <v>1361</v>
      </c>
      <c r="D105" t="s">
        <v>1184</v>
      </c>
      <c r="E105" t="s">
        <v>354</v>
      </c>
      <c r="G105">
        <v>27986.478515999999</v>
      </c>
      <c r="H105">
        <v>28032.220702999999</v>
      </c>
      <c r="I105">
        <v>27776.765625</v>
      </c>
      <c r="J105">
        <v>27465.828125</v>
      </c>
      <c r="K105">
        <v>27255.169922000001</v>
      </c>
      <c r="L105">
        <v>27052.175781000002</v>
      </c>
      <c r="M105">
        <v>26819.683593999998</v>
      </c>
      <c r="N105">
        <v>26592.78125</v>
      </c>
      <c r="O105">
        <v>26361.335938</v>
      </c>
      <c r="P105">
        <v>26163.675781000002</v>
      </c>
      <c r="Q105">
        <v>26008.943359000001</v>
      </c>
      <c r="R105">
        <v>25899.167968999998</v>
      </c>
      <c r="S105">
        <v>25803.771484000001</v>
      </c>
      <c r="T105">
        <v>25706.130859000001</v>
      </c>
      <c r="U105">
        <v>25600.619140999999</v>
      </c>
      <c r="V105">
        <v>25535.832031000002</v>
      </c>
      <c r="W105">
        <v>25495.666015999999</v>
      </c>
      <c r="X105">
        <v>25451.617188</v>
      </c>
      <c r="Y105">
        <v>25462.876952999999</v>
      </c>
      <c r="Z105">
        <v>25488.181640999999</v>
      </c>
      <c r="AA105">
        <v>25533.677734000001</v>
      </c>
      <c r="AB105">
        <v>25586.275390999999</v>
      </c>
      <c r="AC105">
        <v>25660.166015999999</v>
      </c>
      <c r="AD105">
        <v>25746.871093999998</v>
      </c>
      <c r="AE105">
        <v>25871.171875</v>
      </c>
      <c r="AF105">
        <v>26021.988281000002</v>
      </c>
      <c r="AG105">
        <v>26178.046875</v>
      </c>
      <c r="AH105">
        <v>26334.755859000001</v>
      </c>
      <c r="AI105">
        <v>26541.847656000002</v>
      </c>
      <c r="AJ105" s="31">
        <v>-2E-3</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4.75"/>
  <cols>
    <col min="1" max="1" width="21.7265625" bestFit="1" customWidth="1"/>
    <col min="2" max="2" width="17.54296875" customWidth="1"/>
    <col min="4" max="4" width="63.54296875" bestFit="1" customWidth="1"/>
  </cols>
  <sheetData>
    <row r="1" spans="1:36">
      <c r="B1" t="s">
        <v>544</v>
      </c>
    </row>
    <row r="2" spans="1:36">
      <c r="B2" t="s">
        <v>1417</v>
      </c>
    </row>
    <row r="3" spans="1:36">
      <c r="B3" t="s">
        <v>1416</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1080</v>
      </c>
    </row>
    <row r="6" spans="1:36">
      <c r="B6" t="s">
        <v>1415</v>
      </c>
    </row>
    <row r="7" spans="1:36">
      <c r="A7" s="23"/>
      <c r="B7" t="s">
        <v>1414</v>
      </c>
    </row>
    <row r="8" spans="1:36">
      <c r="A8" s="153" t="s">
        <v>113</v>
      </c>
      <c r="B8" t="s">
        <v>358</v>
      </c>
      <c r="C8" t="s">
        <v>1413</v>
      </c>
      <c r="D8" t="s">
        <v>1412</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3" t="s">
        <v>114</v>
      </c>
      <c r="B9" t="s">
        <v>359</v>
      </c>
      <c r="C9" t="s">
        <v>1411</v>
      </c>
      <c r="D9" t="s">
        <v>1410</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3"/>
      <c r="B10" t="s">
        <v>1409</v>
      </c>
      <c r="C10" t="s">
        <v>1408</v>
      </c>
      <c r="D10" t="s">
        <v>1407</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1406</v>
      </c>
    </row>
    <row r="12" spans="1:36">
      <c r="A12" s="153" t="s">
        <v>113</v>
      </c>
      <c r="B12" t="s">
        <v>362</v>
      </c>
      <c r="C12" t="s">
        <v>1405</v>
      </c>
      <c r="D12" t="s">
        <v>1404</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3" t="s">
        <v>111</v>
      </c>
      <c r="B13" t="s">
        <v>1403</v>
      </c>
      <c r="C13" t="s">
        <v>1402</v>
      </c>
      <c r="D13" t="s">
        <v>1107</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3" t="s">
        <v>111</v>
      </c>
      <c r="B14" t="s">
        <v>1401</v>
      </c>
      <c r="C14" t="s">
        <v>1400</v>
      </c>
      <c r="D14" t="s">
        <v>1107</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3" t="s">
        <v>111</v>
      </c>
      <c r="B15" t="s">
        <v>1399</v>
      </c>
      <c r="C15" t="s">
        <v>1398</v>
      </c>
      <c r="D15" t="s">
        <v>1107</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3" t="s">
        <v>115</v>
      </c>
      <c r="B16" t="s">
        <v>1397</v>
      </c>
      <c r="C16" t="s">
        <v>1396</v>
      </c>
      <c r="D16" t="s">
        <v>1395</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3" t="s">
        <v>115</v>
      </c>
      <c r="B17" t="s">
        <v>1394</v>
      </c>
      <c r="C17" t="s">
        <v>1393</v>
      </c>
      <c r="D17" t="s">
        <v>1392</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3" t="s">
        <v>114</v>
      </c>
      <c r="B18" t="s">
        <v>363</v>
      </c>
      <c r="C18" t="s">
        <v>1391</v>
      </c>
      <c r="D18" t="s">
        <v>1390</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3" t="s">
        <v>113</v>
      </c>
      <c r="B19" t="s">
        <v>364</v>
      </c>
      <c r="C19" t="s">
        <v>1389</v>
      </c>
      <c r="D19" t="s">
        <v>1388</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3" t="s">
        <v>112</v>
      </c>
      <c r="B20" t="s">
        <v>365</v>
      </c>
      <c r="C20" t="s">
        <v>1387</v>
      </c>
      <c r="D20" t="s">
        <v>1386</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3" t="s">
        <v>112</v>
      </c>
      <c r="B21" t="s">
        <v>366</v>
      </c>
      <c r="C21" t="s">
        <v>1385</v>
      </c>
      <c r="D21" t="s">
        <v>1384</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3" t="s">
        <v>257</v>
      </c>
      <c r="B22" t="s">
        <v>367</v>
      </c>
      <c r="C22" t="s">
        <v>1383</v>
      </c>
      <c r="D22" t="s">
        <v>1382</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3" t="s">
        <v>257</v>
      </c>
      <c r="B23" t="s">
        <v>368</v>
      </c>
      <c r="C23" t="s">
        <v>1381</v>
      </c>
      <c r="D23" t="s">
        <v>1380</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3" t="s">
        <v>258</v>
      </c>
      <c r="B24" t="s">
        <v>369</v>
      </c>
      <c r="C24" t="s">
        <v>1379</v>
      </c>
      <c r="D24" t="s">
        <v>1378</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3" t="s">
        <v>258</v>
      </c>
      <c r="B25" t="s">
        <v>370</v>
      </c>
      <c r="C25" t="s">
        <v>1377</v>
      </c>
      <c r="D25" t="s">
        <v>1376</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1375</v>
      </c>
      <c r="C26" t="s">
        <v>1374</v>
      </c>
      <c r="D26" t="s">
        <v>1373</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1372</v>
      </c>
      <c r="D27" t="s">
        <v>1371</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1370</v>
      </c>
    </row>
    <row r="29" spans="1:36">
      <c r="A29" s="23"/>
      <c r="B29" t="s">
        <v>313</v>
      </c>
      <c r="C29" t="s">
        <v>1189</v>
      </c>
      <c r="D29" t="s">
        <v>1369</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1193</v>
      </c>
      <c r="D30" t="s">
        <v>1368</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1191</v>
      </c>
      <c r="D31" t="s">
        <v>1367</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1366</v>
      </c>
      <c r="C32" t="s">
        <v>1195</v>
      </c>
      <c r="D32" t="s">
        <v>1365</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1197</v>
      </c>
      <c r="D33" t="s">
        <v>1364</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1199</v>
      </c>
      <c r="D34" t="s">
        <v>1363</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1201</v>
      </c>
      <c r="D35" t="s">
        <v>1362</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4.75"/>
  <cols>
    <col min="2" max="2" width="23.7265625" bestFit="1" customWidth="1"/>
    <col min="3" max="3" width="45.7265625" customWidth="1"/>
  </cols>
  <sheetData>
    <row r="1" spans="1:35" ht="15.5" thickBot="1">
      <c r="A1" s="155"/>
      <c r="B1" s="155"/>
      <c r="C1" s="64" t="s">
        <v>1060</v>
      </c>
      <c r="D1" s="65">
        <v>2022</v>
      </c>
      <c r="E1" s="65">
        <v>2023</v>
      </c>
      <c r="F1" s="65">
        <v>2024</v>
      </c>
      <c r="G1" s="65">
        <v>2025</v>
      </c>
      <c r="H1" s="65">
        <v>2026</v>
      </c>
      <c r="I1" s="65">
        <v>2027</v>
      </c>
      <c r="J1" s="65">
        <v>2028</v>
      </c>
      <c r="K1" s="65">
        <v>2029</v>
      </c>
      <c r="L1" s="65">
        <v>2030</v>
      </c>
      <c r="M1" s="65">
        <v>2031</v>
      </c>
      <c r="N1" s="65">
        <v>2032</v>
      </c>
      <c r="O1" s="65">
        <v>2033</v>
      </c>
      <c r="P1" s="65">
        <v>2034</v>
      </c>
      <c r="Q1" s="65">
        <v>2035</v>
      </c>
      <c r="R1" s="65">
        <v>2036</v>
      </c>
      <c r="S1" s="65">
        <v>2037</v>
      </c>
      <c r="T1" s="65">
        <v>2038</v>
      </c>
      <c r="U1" s="65">
        <v>2039</v>
      </c>
      <c r="V1" s="65">
        <v>2040</v>
      </c>
      <c r="W1" s="65">
        <v>2041</v>
      </c>
      <c r="X1" s="65">
        <v>2042</v>
      </c>
      <c r="Y1" s="65">
        <v>2043</v>
      </c>
      <c r="Z1" s="65">
        <v>2044</v>
      </c>
      <c r="AA1" s="65">
        <v>2045</v>
      </c>
      <c r="AB1" s="65">
        <v>2046</v>
      </c>
      <c r="AC1" s="65">
        <v>2047</v>
      </c>
      <c r="AD1" s="65">
        <v>2048</v>
      </c>
      <c r="AE1" s="65">
        <v>2049</v>
      </c>
      <c r="AF1" s="65">
        <v>2050</v>
      </c>
      <c r="AH1" s="156">
        <v>2050</v>
      </c>
      <c r="AI1" s="155"/>
    </row>
    <row r="2" spans="1:35" ht="15.5" thickTop="1">
      <c r="A2" s="155"/>
      <c r="B2" s="155"/>
      <c r="AH2" s="155"/>
      <c r="AI2" s="155"/>
    </row>
    <row r="3" spans="1:35">
      <c r="A3" s="155"/>
      <c r="B3" s="155"/>
      <c r="D3" s="66" t="s">
        <v>109</v>
      </c>
      <c r="E3" s="66" t="s">
        <v>1061</v>
      </c>
      <c r="F3" s="136"/>
      <c r="G3" s="136"/>
      <c r="H3" s="136"/>
      <c r="AH3" s="155"/>
      <c r="AI3" s="155"/>
    </row>
    <row r="4" spans="1:35">
      <c r="A4" s="155"/>
      <c r="B4" s="155"/>
      <c r="D4" s="66" t="s">
        <v>108</v>
      </c>
      <c r="E4" s="66" t="s">
        <v>1062</v>
      </c>
      <c r="F4" s="136"/>
      <c r="G4" s="136"/>
      <c r="H4" s="66" t="s">
        <v>1063</v>
      </c>
      <c r="AH4" s="155"/>
      <c r="AI4" s="155"/>
    </row>
    <row r="5" spans="1:35">
      <c r="A5" s="155"/>
      <c r="B5" s="155"/>
      <c r="D5" s="66" t="s">
        <v>107</v>
      </c>
      <c r="E5" s="66" t="s">
        <v>1064</v>
      </c>
      <c r="F5" s="136"/>
      <c r="G5" s="136"/>
      <c r="H5" s="136"/>
      <c r="AH5" s="155"/>
      <c r="AI5" s="155"/>
    </row>
    <row r="6" spans="1:35">
      <c r="A6" s="155"/>
      <c r="B6" s="155"/>
      <c r="D6" s="66" t="s">
        <v>106</v>
      </c>
      <c r="E6" s="136"/>
      <c r="F6" s="66" t="s">
        <v>1065</v>
      </c>
      <c r="G6" s="136"/>
      <c r="H6" s="136"/>
      <c r="AH6" s="155"/>
      <c r="AI6" s="155"/>
    </row>
    <row r="7" spans="1:35">
      <c r="A7" s="155"/>
      <c r="B7" s="155"/>
      <c r="AH7" s="155"/>
      <c r="AI7" s="155"/>
    </row>
    <row r="8" spans="1:35">
      <c r="A8" s="155"/>
      <c r="B8" s="155"/>
      <c r="AH8" s="155"/>
      <c r="AI8" s="155"/>
    </row>
    <row r="9" spans="1:35">
      <c r="A9" s="155"/>
      <c r="B9" s="155"/>
      <c r="AH9" s="155"/>
      <c r="AI9" s="155"/>
    </row>
    <row r="10" spans="1:35" ht="16">
      <c r="A10" s="157" t="s">
        <v>545</v>
      </c>
      <c r="B10" s="157"/>
      <c r="C10" s="138" t="s">
        <v>546</v>
      </c>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9" t="s">
        <v>1067</v>
      </c>
      <c r="AH10" s="155"/>
      <c r="AI10" s="63" t="s">
        <v>529</v>
      </c>
    </row>
    <row r="11" spans="1:35">
      <c r="A11" s="155"/>
      <c r="B11" s="155"/>
      <c r="C11" s="140" t="s">
        <v>547</v>
      </c>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9" t="s">
        <v>1068</v>
      </c>
      <c r="AH11" s="155"/>
      <c r="AI11" s="63" t="s">
        <v>530</v>
      </c>
    </row>
    <row r="12" spans="1:35">
      <c r="A12" s="155"/>
      <c r="B12" s="155"/>
      <c r="C12" s="140"/>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139" t="s">
        <v>1069</v>
      </c>
      <c r="AH12" s="62"/>
      <c r="AI12" s="63" t="s">
        <v>531</v>
      </c>
    </row>
    <row r="13" spans="1:35" ht="15.5" thickBot="1">
      <c r="A13" s="155"/>
      <c r="B13" s="155"/>
      <c r="C13" s="142" t="s">
        <v>548</v>
      </c>
      <c r="D13" s="142">
        <v>2022</v>
      </c>
      <c r="E13" s="142">
        <v>2023</v>
      </c>
      <c r="F13" s="142">
        <v>2024</v>
      </c>
      <c r="G13" s="142">
        <v>2025</v>
      </c>
      <c r="H13" s="142">
        <v>2026</v>
      </c>
      <c r="I13" s="142">
        <v>2027</v>
      </c>
      <c r="J13" s="142">
        <v>2028</v>
      </c>
      <c r="K13" s="142">
        <v>2029</v>
      </c>
      <c r="L13" s="142">
        <v>2030</v>
      </c>
      <c r="M13" s="142">
        <v>2031</v>
      </c>
      <c r="N13" s="142">
        <v>2032</v>
      </c>
      <c r="O13" s="142">
        <v>2033</v>
      </c>
      <c r="P13" s="142">
        <v>2034</v>
      </c>
      <c r="Q13" s="142">
        <v>2035</v>
      </c>
      <c r="R13" s="142">
        <v>2036</v>
      </c>
      <c r="S13" s="142">
        <v>2037</v>
      </c>
      <c r="T13" s="142">
        <v>2038</v>
      </c>
      <c r="U13" s="142">
        <v>2039</v>
      </c>
      <c r="V13" s="142">
        <v>2040</v>
      </c>
      <c r="W13" s="142">
        <v>2041</v>
      </c>
      <c r="X13" s="142">
        <v>2042</v>
      </c>
      <c r="Y13" s="142">
        <v>2043</v>
      </c>
      <c r="Z13" s="142">
        <v>2044</v>
      </c>
      <c r="AA13" s="142">
        <v>2045</v>
      </c>
      <c r="AB13" s="142">
        <v>2046</v>
      </c>
      <c r="AC13" s="142">
        <v>2047</v>
      </c>
      <c r="AD13" s="142">
        <v>2048</v>
      </c>
      <c r="AE13" s="142">
        <v>2049</v>
      </c>
      <c r="AF13" s="142">
        <v>2050</v>
      </c>
      <c r="AG13" s="143">
        <v>2050</v>
      </c>
      <c r="AH13" s="156">
        <v>2050</v>
      </c>
      <c r="AI13" s="158" t="s">
        <v>532</v>
      </c>
    </row>
    <row r="14" spans="1:35" ht="15.5" thickTop="1">
      <c r="A14" s="155"/>
      <c r="B14" s="155"/>
      <c r="C14" s="144" t="s">
        <v>549</v>
      </c>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55"/>
      <c r="AI14" s="155"/>
    </row>
    <row r="15" spans="1:35">
      <c r="A15" s="157" t="s">
        <v>550</v>
      </c>
      <c r="B15" s="12" t="s">
        <v>113</v>
      </c>
      <c r="C15" s="145" t="s">
        <v>551</v>
      </c>
      <c r="D15" s="148">
        <v>2496.203857</v>
      </c>
      <c r="E15" s="148">
        <v>2540.0024410000001</v>
      </c>
      <c r="F15" s="148">
        <v>2549.398193</v>
      </c>
      <c r="G15" s="148">
        <v>2547.3508299999999</v>
      </c>
      <c r="H15" s="148">
        <v>2552.2783199999999</v>
      </c>
      <c r="I15" s="148">
        <v>2560.6906739999999</v>
      </c>
      <c r="J15" s="148">
        <v>2564.7272950000001</v>
      </c>
      <c r="K15" s="148">
        <v>2560.8388669999999</v>
      </c>
      <c r="L15" s="148">
        <v>2550.1601559999999</v>
      </c>
      <c r="M15" s="148">
        <v>2538.8881839999999</v>
      </c>
      <c r="N15" s="148">
        <v>2524.3862300000001</v>
      </c>
      <c r="O15" s="148">
        <v>2513.1665039999998</v>
      </c>
      <c r="P15" s="148">
        <v>2504.7221679999998</v>
      </c>
      <c r="Q15" s="148">
        <v>2494.232422</v>
      </c>
      <c r="R15" s="148">
        <v>2480.8706050000001</v>
      </c>
      <c r="S15" s="148">
        <v>2469.888672</v>
      </c>
      <c r="T15" s="148">
        <v>2461.147461</v>
      </c>
      <c r="U15" s="148">
        <v>2452.8847660000001</v>
      </c>
      <c r="V15" s="148">
        <v>2447.28125</v>
      </c>
      <c r="W15" s="148">
        <v>2444.3615719999998</v>
      </c>
      <c r="X15" s="148">
        <v>2443.9963379999999</v>
      </c>
      <c r="Y15" s="148">
        <v>2444.4379880000001</v>
      </c>
      <c r="Z15" s="148">
        <v>2447.4311520000001</v>
      </c>
      <c r="AA15" s="148">
        <v>2453.5153810000002</v>
      </c>
      <c r="AB15" s="148">
        <v>2463.1755370000001</v>
      </c>
      <c r="AC15" s="148">
        <v>2475.7631839999999</v>
      </c>
      <c r="AD15" s="148">
        <v>2489.9929200000001</v>
      </c>
      <c r="AE15" s="148">
        <v>2505.494385</v>
      </c>
      <c r="AF15" s="148">
        <v>2524.0014649999998</v>
      </c>
      <c r="AG15" s="147">
        <v>3.9599999999999998E-4</v>
      </c>
      <c r="AH15" s="159">
        <v>2718.499268</v>
      </c>
      <c r="AI15" s="160">
        <v>5.274E-3</v>
      </c>
    </row>
    <row r="16" spans="1:35">
      <c r="A16" s="157" t="s">
        <v>552</v>
      </c>
      <c r="B16" s="12" t="s">
        <v>114</v>
      </c>
      <c r="C16" s="145" t="s">
        <v>553</v>
      </c>
      <c r="D16" s="148">
        <v>14.317780000000001</v>
      </c>
      <c r="E16" s="148">
        <v>15.188454999999999</v>
      </c>
      <c r="F16" s="148">
        <v>15.940958</v>
      </c>
      <c r="G16" s="148">
        <v>16.851959000000001</v>
      </c>
      <c r="H16" s="148">
        <v>17.929171</v>
      </c>
      <c r="I16" s="148">
        <v>18.841543000000001</v>
      </c>
      <c r="J16" s="148">
        <v>19.926758</v>
      </c>
      <c r="K16" s="148">
        <v>20.916461999999999</v>
      </c>
      <c r="L16" s="148">
        <v>21.721556</v>
      </c>
      <c r="M16" s="148">
        <v>22.431366000000001</v>
      </c>
      <c r="N16" s="148">
        <v>23.062346999999999</v>
      </c>
      <c r="O16" s="148">
        <v>23.693542000000001</v>
      </c>
      <c r="P16" s="148">
        <v>24.359486</v>
      </c>
      <c r="Q16" s="148">
        <v>24.930275000000002</v>
      </c>
      <c r="R16" s="148">
        <v>25.474934000000001</v>
      </c>
      <c r="S16" s="148">
        <v>26.098763999999999</v>
      </c>
      <c r="T16" s="148">
        <v>26.663236999999999</v>
      </c>
      <c r="U16" s="148">
        <v>27.217226</v>
      </c>
      <c r="V16" s="148">
        <v>27.704470000000001</v>
      </c>
      <c r="W16" s="148">
        <v>28.202287999999999</v>
      </c>
      <c r="X16" s="148">
        <v>28.754857999999999</v>
      </c>
      <c r="Y16" s="148">
        <v>29.295786</v>
      </c>
      <c r="Z16" s="148">
        <v>29.747328</v>
      </c>
      <c r="AA16" s="148">
        <v>30.164621</v>
      </c>
      <c r="AB16" s="148">
        <v>30.686481000000001</v>
      </c>
      <c r="AC16" s="148">
        <v>31.215885</v>
      </c>
      <c r="AD16" s="148">
        <v>31.766838</v>
      </c>
      <c r="AE16" s="148">
        <v>32.350456000000001</v>
      </c>
      <c r="AF16" s="148">
        <v>32.997714999999999</v>
      </c>
      <c r="AG16" s="147">
        <v>3.0268E-2</v>
      </c>
      <c r="AH16" s="159">
        <v>27.447765</v>
      </c>
      <c r="AI16" s="160">
        <v>2.8967E-2</v>
      </c>
    </row>
    <row r="17" spans="1:35">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row>
    <row r="18" spans="1:35">
      <c r="A18" s="155"/>
      <c r="C18" s="144" t="s">
        <v>554</v>
      </c>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55"/>
      <c r="AI18" s="155"/>
    </row>
    <row r="19" spans="1:35">
      <c r="A19" s="157" t="s">
        <v>555</v>
      </c>
      <c r="B19" s="12" t="s">
        <v>113</v>
      </c>
      <c r="C19" s="145" t="s">
        <v>556</v>
      </c>
      <c r="D19" s="148">
        <v>240.36889600000001</v>
      </c>
      <c r="E19" s="148">
        <v>238.55046100000001</v>
      </c>
      <c r="F19" s="148">
        <v>232.37468000000001</v>
      </c>
      <c r="G19" s="148">
        <v>224.28367600000001</v>
      </c>
      <c r="H19" s="148">
        <v>216.228104</v>
      </c>
      <c r="I19" s="148">
        <v>208.32843</v>
      </c>
      <c r="J19" s="148">
        <v>199.95787000000001</v>
      </c>
      <c r="K19" s="148">
        <v>191.11637899999999</v>
      </c>
      <c r="L19" s="148">
        <v>182.138733</v>
      </c>
      <c r="M19" s="148">
        <v>173.400497</v>
      </c>
      <c r="N19" s="148">
        <v>165.27101099999999</v>
      </c>
      <c r="O19" s="148">
        <v>158.03083799999999</v>
      </c>
      <c r="P19" s="148">
        <v>151.60453799999999</v>
      </c>
      <c r="Q19" s="148">
        <v>145.82150300000001</v>
      </c>
      <c r="R19" s="148">
        <v>140.745071</v>
      </c>
      <c r="S19" s="148">
        <v>136.60682700000001</v>
      </c>
      <c r="T19" s="148">
        <v>133.40528900000001</v>
      </c>
      <c r="U19" s="148">
        <v>131.082123</v>
      </c>
      <c r="V19" s="148">
        <v>129.44026199999999</v>
      </c>
      <c r="W19" s="148">
        <v>128.15411399999999</v>
      </c>
      <c r="X19" s="148">
        <v>127.338638</v>
      </c>
      <c r="Y19" s="148">
        <v>126.745239</v>
      </c>
      <c r="Z19" s="148">
        <v>126.453835</v>
      </c>
      <c r="AA19" s="148">
        <v>126.34757999999999</v>
      </c>
      <c r="AB19" s="148">
        <v>126.40851600000001</v>
      </c>
      <c r="AC19" s="148">
        <v>126.646507</v>
      </c>
      <c r="AD19" s="148">
        <v>126.98558800000001</v>
      </c>
      <c r="AE19" s="148">
        <v>127.42005899999999</v>
      </c>
      <c r="AF19" s="148">
        <v>128.02671799999999</v>
      </c>
      <c r="AG19" s="147">
        <v>-2.2246999999999999E-2</v>
      </c>
      <c r="AH19" s="159">
        <v>180.10964999999999</v>
      </c>
      <c r="AI19" s="160">
        <v>-6.7879999999999998E-3</v>
      </c>
    </row>
    <row r="20" spans="1:35">
      <c r="A20" s="157" t="s">
        <v>557</v>
      </c>
      <c r="B20" s="12" t="s">
        <v>111</v>
      </c>
      <c r="C20" s="145" t="s">
        <v>1418</v>
      </c>
      <c r="D20" s="148">
        <v>1.2931680000000001</v>
      </c>
      <c r="E20" s="148">
        <v>1.329799</v>
      </c>
      <c r="F20" s="148">
        <v>1.261706</v>
      </c>
      <c r="G20" s="148">
        <v>1.2254229999999999</v>
      </c>
      <c r="H20" s="148">
        <v>1.1666430000000001</v>
      </c>
      <c r="I20" s="148">
        <v>1.1339269999999999</v>
      </c>
      <c r="J20" s="148">
        <v>1.106725</v>
      </c>
      <c r="K20" s="148">
        <v>1.0816399999999999</v>
      </c>
      <c r="L20" s="148">
        <v>1.050006</v>
      </c>
      <c r="M20" s="148">
        <v>0.94705799999999996</v>
      </c>
      <c r="N20" s="148">
        <v>0.84452099999999997</v>
      </c>
      <c r="O20" s="148">
        <v>0.748753</v>
      </c>
      <c r="P20" s="148">
        <v>0.66095300000000001</v>
      </c>
      <c r="Q20" s="148">
        <v>0.58042199999999999</v>
      </c>
      <c r="R20" s="148">
        <v>0.51128499999999999</v>
      </c>
      <c r="S20" s="148">
        <v>0.44846599999999998</v>
      </c>
      <c r="T20" s="148">
        <v>0.40380300000000002</v>
      </c>
      <c r="U20" s="148">
        <v>0.36545899999999998</v>
      </c>
      <c r="V20" s="148">
        <v>0.33930900000000003</v>
      </c>
      <c r="W20" s="148">
        <v>0.32189099999999998</v>
      </c>
      <c r="X20" s="148">
        <v>0.31121399999999999</v>
      </c>
      <c r="Y20" s="148">
        <v>0.30600899999999998</v>
      </c>
      <c r="Z20" s="148">
        <v>0.30440299999999998</v>
      </c>
      <c r="AA20" s="148">
        <v>0.30368000000000001</v>
      </c>
      <c r="AB20" s="148">
        <v>0.30497099999999999</v>
      </c>
      <c r="AC20" s="148">
        <v>0.30648399999999998</v>
      </c>
      <c r="AD20" s="148">
        <v>0.30828299999999997</v>
      </c>
      <c r="AE20" s="148">
        <v>0.31048799999999999</v>
      </c>
      <c r="AF20" s="148">
        <v>0.31343799999999999</v>
      </c>
      <c r="AG20" s="147">
        <v>-4.9355999999999997E-2</v>
      </c>
      <c r="AH20" s="159">
        <v>0.89244599999999996</v>
      </c>
      <c r="AI20" s="160">
        <v>-3.2225999999999998E-2</v>
      </c>
    </row>
    <row r="21" spans="1:35">
      <c r="A21" s="157" t="s">
        <v>558</v>
      </c>
      <c r="B21" s="12" t="s">
        <v>111</v>
      </c>
      <c r="C21" s="145" t="s">
        <v>1419</v>
      </c>
      <c r="D21" s="148">
        <v>2.8031670000000002</v>
      </c>
      <c r="E21" s="148">
        <v>3.5964489999999998</v>
      </c>
      <c r="F21" s="148">
        <v>5.1807860000000003</v>
      </c>
      <c r="G21" s="148">
        <v>6.7861700000000003</v>
      </c>
      <c r="H21" s="148">
        <v>8.8228240000000007</v>
      </c>
      <c r="I21" s="148">
        <v>11.374497</v>
      </c>
      <c r="J21" s="148">
        <v>14.374306000000001</v>
      </c>
      <c r="K21" s="148">
        <v>18.027864000000001</v>
      </c>
      <c r="L21" s="148">
        <v>22.297363000000001</v>
      </c>
      <c r="M21" s="148">
        <v>26.342044999999999</v>
      </c>
      <c r="N21" s="148">
        <v>30.566568</v>
      </c>
      <c r="O21" s="148">
        <v>34.859005000000003</v>
      </c>
      <c r="P21" s="148">
        <v>39.232258000000002</v>
      </c>
      <c r="Q21" s="148">
        <v>43.545600999999998</v>
      </c>
      <c r="R21" s="148">
        <v>47.706927999999998</v>
      </c>
      <c r="S21" s="148">
        <v>51.714142000000002</v>
      </c>
      <c r="T21" s="148">
        <v>55.526184000000001</v>
      </c>
      <c r="U21" s="148">
        <v>59.077872999999997</v>
      </c>
      <c r="V21" s="148">
        <v>62.303283999999998</v>
      </c>
      <c r="W21" s="148">
        <v>65.235252000000003</v>
      </c>
      <c r="X21" s="148">
        <v>67.875572000000005</v>
      </c>
      <c r="Y21" s="148">
        <v>70.092788999999996</v>
      </c>
      <c r="Z21" s="148">
        <v>72.005652999999995</v>
      </c>
      <c r="AA21" s="148">
        <v>73.606460999999996</v>
      </c>
      <c r="AB21" s="148">
        <v>75.12603</v>
      </c>
      <c r="AC21" s="148">
        <v>76.323386999999997</v>
      </c>
      <c r="AD21" s="148">
        <v>77.293853999999996</v>
      </c>
      <c r="AE21" s="148">
        <v>77.998962000000006</v>
      </c>
      <c r="AF21" s="148">
        <v>78.512603999999996</v>
      </c>
      <c r="AG21" s="147">
        <v>0.12639</v>
      </c>
      <c r="AH21" s="159">
        <v>57.014373999999997</v>
      </c>
      <c r="AI21" s="160">
        <v>0.10713200000000001</v>
      </c>
    </row>
    <row r="22" spans="1:35">
      <c r="A22" s="157" t="s">
        <v>559</v>
      </c>
      <c r="B22" s="12" t="s">
        <v>111</v>
      </c>
      <c r="C22" s="145" t="s">
        <v>1420</v>
      </c>
      <c r="D22" s="148">
        <v>11.963635</v>
      </c>
      <c r="E22" s="148">
        <v>18.062939</v>
      </c>
      <c r="F22" s="148">
        <v>25.114439000000001</v>
      </c>
      <c r="G22" s="148">
        <v>33.539726000000002</v>
      </c>
      <c r="H22" s="148">
        <v>43.633288999999998</v>
      </c>
      <c r="I22" s="148">
        <v>55.704681000000001</v>
      </c>
      <c r="J22" s="148">
        <v>69.562293999999994</v>
      </c>
      <c r="K22" s="148">
        <v>85.483986000000002</v>
      </c>
      <c r="L22" s="148">
        <v>103.08805099999999</v>
      </c>
      <c r="M22" s="148">
        <v>118.890038</v>
      </c>
      <c r="N22" s="148">
        <v>135.13140899999999</v>
      </c>
      <c r="O22" s="148">
        <v>151.68396000000001</v>
      </c>
      <c r="P22" s="148">
        <v>168.662308</v>
      </c>
      <c r="Q22" s="148">
        <v>185.45223999999999</v>
      </c>
      <c r="R22" s="148">
        <v>201.750809</v>
      </c>
      <c r="S22" s="148">
        <v>217.62799100000001</v>
      </c>
      <c r="T22" s="148">
        <v>232.92596399999999</v>
      </c>
      <c r="U22" s="148">
        <v>247.38500999999999</v>
      </c>
      <c r="V22" s="148">
        <v>260.81402600000001</v>
      </c>
      <c r="W22" s="148">
        <v>273.48638899999997</v>
      </c>
      <c r="X22" s="148">
        <v>285.352509</v>
      </c>
      <c r="Y22" s="148">
        <v>296.138733</v>
      </c>
      <c r="Z22" s="148">
        <v>306.021545</v>
      </c>
      <c r="AA22" s="148">
        <v>315.24386600000003</v>
      </c>
      <c r="AB22" s="148">
        <v>324.74050899999997</v>
      </c>
      <c r="AC22" s="148">
        <v>333.827698</v>
      </c>
      <c r="AD22" s="148">
        <v>342.65927099999999</v>
      </c>
      <c r="AE22" s="148">
        <v>351.16561899999999</v>
      </c>
      <c r="AF22" s="148">
        <v>359.69476300000002</v>
      </c>
      <c r="AG22" s="147">
        <v>0.129245</v>
      </c>
      <c r="AH22" s="159">
        <v>171.20547500000001</v>
      </c>
      <c r="AI22" s="160">
        <v>0.120617</v>
      </c>
    </row>
    <row r="23" spans="1:35">
      <c r="A23" s="157" t="s">
        <v>560</v>
      </c>
      <c r="B23" s="12" t="s">
        <v>115</v>
      </c>
      <c r="C23" s="145" t="s">
        <v>1421</v>
      </c>
      <c r="D23" s="148">
        <v>5.9970030000000003</v>
      </c>
      <c r="E23" s="148">
        <v>7.318346</v>
      </c>
      <c r="F23" s="148">
        <v>8.8350589999999993</v>
      </c>
      <c r="G23" s="148">
        <v>10.528111000000001</v>
      </c>
      <c r="H23" s="148">
        <v>12.49413</v>
      </c>
      <c r="I23" s="148">
        <v>14.599579</v>
      </c>
      <c r="J23" s="148">
        <v>16.698039999999999</v>
      </c>
      <c r="K23" s="148">
        <v>18.926459999999999</v>
      </c>
      <c r="L23" s="148">
        <v>21.055800999999999</v>
      </c>
      <c r="M23" s="148">
        <v>23.226790999999999</v>
      </c>
      <c r="N23" s="148">
        <v>25.299160000000001</v>
      </c>
      <c r="O23" s="148">
        <v>27.298203000000001</v>
      </c>
      <c r="P23" s="148">
        <v>29.278224999999999</v>
      </c>
      <c r="Q23" s="148">
        <v>31.138155000000001</v>
      </c>
      <c r="R23" s="148">
        <v>32.752979000000003</v>
      </c>
      <c r="S23" s="148">
        <v>34.304794000000001</v>
      </c>
      <c r="T23" s="148">
        <v>35.688198</v>
      </c>
      <c r="U23" s="148">
        <v>36.946682000000003</v>
      </c>
      <c r="V23" s="148">
        <v>38.257739999999998</v>
      </c>
      <c r="W23" s="148">
        <v>39.401420999999999</v>
      </c>
      <c r="X23" s="148">
        <v>40.467292999999998</v>
      </c>
      <c r="Y23" s="148">
        <v>41.489871999999998</v>
      </c>
      <c r="Z23" s="148">
        <v>42.389426999999998</v>
      </c>
      <c r="AA23" s="148">
        <v>43.212707999999999</v>
      </c>
      <c r="AB23" s="148">
        <v>44.039898000000001</v>
      </c>
      <c r="AC23" s="148">
        <v>44.838875000000002</v>
      </c>
      <c r="AD23" s="148">
        <v>45.620209000000003</v>
      </c>
      <c r="AE23" s="148">
        <v>46.373375000000003</v>
      </c>
      <c r="AF23" s="148">
        <v>47.175956999999997</v>
      </c>
      <c r="AG23" s="147">
        <v>7.6446E-2</v>
      </c>
      <c r="AH23" s="159">
        <v>23.364333999999999</v>
      </c>
      <c r="AI23" s="160">
        <v>5.5695000000000001E-2</v>
      </c>
    </row>
    <row r="24" spans="1:35">
      <c r="A24" s="157" t="s">
        <v>561</v>
      </c>
      <c r="B24" s="12" t="s">
        <v>115</v>
      </c>
      <c r="C24" s="145" t="s">
        <v>1422</v>
      </c>
      <c r="D24" s="148">
        <v>2.9500479999999998</v>
      </c>
      <c r="E24" s="148">
        <v>3.4683999999999999</v>
      </c>
      <c r="F24" s="148">
        <v>4.3089690000000003</v>
      </c>
      <c r="G24" s="148">
        <v>5.503342</v>
      </c>
      <c r="H24" s="148">
        <v>7.0348379999999997</v>
      </c>
      <c r="I24" s="148">
        <v>8.8535129999999995</v>
      </c>
      <c r="J24" s="148">
        <v>10.827475</v>
      </c>
      <c r="K24" s="148">
        <v>13.016227000000001</v>
      </c>
      <c r="L24" s="148">
        <v>15.405021</v>
      </c>
      <c r="M24" s="148">
        <v>17.866121</v>
      </c>
      <c r="N24" s="148">
        <v>20.373514</v>
      </c>
      <c r="O24" s="148">
        <v>22.905313</v>
      </c>
      <c r="P24" s="148">
        <v>25.445018999999998</v>
      </c>
      <c r="Q24" s="148">
        <v>27.955698000000002</v>
      </c>
      <c r="R24" s="148">
        <v>30.342929999999999</v>
      </c>
      <c r="S24" s="148">
        <v>32.690795999999999</v>
      </c>
      <c r="T24" s="148">
        <v>35.018062999999998</v>
      </c>
      <c r="U24" s="148">
        <v>37.256523000000001</v>
      </c>
      <c r="V24" s="148">
        <v>39.501953</v>
      </c>
      <c r="W24" s="148">
        <v>41.814838000000002</v>
      </c>
      <c r="X24" s="148">
        <v>43.902096</v>
      </c>
      <c r="Y24" s="148">
        <v>45.872871000000004</v>
      </c>
      <c r="Z24" s="148">
        <v>47.792819999999999</v>
      </c>
      <c r="AA24" s="148">
        <v>49.569958</v>
      </c>
      <c r="AB24" s="148">
        <v>51.297362999999997</v>
      </c>
      <c r="AC24" s="148">
        <v>52.964492999999997</v>
      </c>
      <c r="AD24" s="148">
        <v>54.547184000000001</v>
      </c>
      <c r="AE24" s="148">
        <v>56.045302999999997</v>
      </c>
      <c r="AF24" s="148">
        <v>57.467574999999997</v>
      </c>
      <c r="AG24" s="147">
        <v>0.111877</v>
      </c>
      <c r="AH24" s="159">
        <v>36.401176</v>
      </c>
      <c r="AI24" s="160">
        <v>9.1355000000000006E-2</v>
      </c>
    </row>
    <row r="25" spans="1:35">
      <c r="A25" s="157" t="s">
        <v>562</v>
      </c>
      <c r="B25" s="12" t="s">
        <v>114</v>
      </c>
      <c r="C25" s="145" t="s">
        <v>563</v>
      </c>
      <c r="D25" s="148">
        <v>0</v>
      </c>
      <c r="E25" s="148">
        <v>0</v>
      </c>
      <c r="F25" s="148">
        <v>0</v>
      </c>
      <c r="G25" s="148">
        <v>0</v>
      </c>
      <c r="H25" s="148">
        <v>0</v>
      </c>
      <c r="I25" s="148">
        <v>0</v>
      </c>
      <c r="J25" s="148">
        <v>0</v>
      </c>
      <c r="K25" s="148">
        <v>0</v>
      </c>
      <c r="L25" s="148">
        <v>0</v>
      </c>
      <c r="M25" s="148">
        <v>0</v>
      </c>
      <c r="N25" s="148">
        <v>0</v>
      </c>
      <c r="O25" s="148">
        <v>0</v>
      </c>
      <c r="P25" s="148">
        <v>0</v>
      </c>
      <c r="Q25" s="148">
        <v>0</v>
      </c>
      <c r="R25" s="148">
        <v>0</v>
      </c>
      <c r="S25" s="148">
        <v>0</v>
      </c>
      <c r="T25" s="148">
        <v>0</v>
      </c>
      <c r="U25" s="148">
        <v>0</v>
      </c>
      <c r="V25" s="148">
        <v>0</v>
      </c>
      <c r="W25" s="148">
        <v>0</v>
      </c>
      <c r="X25" s="148">
        <v>0</v>
      </c>
      <c r="Y25" s="148">
        <v>0</v>
      </c>
      <c r="Z25" s="148">
        <v>0</v>
      </c>
      <c r="AA25" s="148">
        <v>0</v>
      </c>
      <c r="AB25" s="148">
        <v>0</v>
      </c>
      <c r="AC25" s="148">
        <v>0</v>
      </c>
      <c r="AD25" s="148">
        <v>0</v>
      </c>
      <c r="AE25" s="148">
        <v>0</v>
      </c>
      <c r="AF25" s="148">
        <v>0</v>
      </c>
      <c r="AG25" s="147" t="s">
        <v>564</v>
      </c>
      <c r="AH25" s="159">
        <v>0</v>
      </c>
      <c r="AI25" s="160" t="s">
        <v>564</v>
      </c>
    </row>
    <row r="26" spans="1:35">
      <c r="A26" s="157" t="s">
        <v>565</v>
      </c>
      <c r="B26" s="12" t="s">
        <v>113</v>
      </c>
      <c r="C26" s="145" t="s">
        <v>566</v>
      </c>
      <c r="D26" s="148">
        <v>66.959084000000004</v>
      </c>
      <c r="E26" s="148">
        <v>73.383094999999997</v>
      </c>
      <c r="F26" s="148">
        <v>79.613281000000001</v>
      </c>
      <c r="G26" s="148">
        <v>86.791556999999997</v>
      </c>
      <c r="H26" s="148">
        <v>94.124679999999998</v>
      </c>
      <c r="I26" s="148">
        <v>101.85257</v>
      </c>
      <c r="J26" s="148">
        <v>109.79014599999999</v>
      </c>
      <c r="K26" s="148">
        <v>117.546318</v>
      </c>
      <c r="L26" s="148">
        <v>125.274033</v>
      </c>
      <c r="M26" s="148">
        <v>133.09579500000001</v>
      </c>
      <c r="N26" s="148">
        <v>140.99568199999999</v>
      </c>
      <c r="O26" s="148">
        <v>149.21824599999999</v>
      </c>
      <c r="P26" s="148">
        <v>157.663116</v>
      </c>
      <c r="Q26" s="148">
        <v>166.25649999999999</v>
      </c>
      <c r="R26" s="148">
        <v>174.608047</v>
      </c>
      <c r="S26" s="148">
        <v>182.647278</v>
      </c>
      <c r="T26" s="148">
        <v>190.73744199999999</v>
      </c>
      <c r="U26" s="148">
        <v>198.937714</v>
      </c>
      <c r="V26" s="148">
        <v>207.95010400000001</v>
      </c>
      <c r="W26" s="148">
        <v>215.611053</v>
      </c>
      <c r="X26" s="148">
        <v>222.57498200000001</v>
      </c>
      <c r="Y26" s="148">
        <v>229.49191300000001</v>
      </c>
      <c r="Z26" s="148">
        <v>235.85235599999999</v>
      </c>
      <c r="AA26" s="148">
        <v>241.686813</v>
      </c>
      <c r="AB26" s="148">
        <v>247.6772</v>
      </c>
      <c r="AC26" s="148">
        <v>253.56854200000001</v>
      </c>
      <c r="AD26" s="148">
        <v>259.29342700000001</v>
      </c>
      <c r="AE26" s="148">
        <v>264.75613399999997</v>
      </c>
      <c r="AF26" s="148">
        <v>270.22637900000001</v>
      </c>
      <c r="AG26" s="147">
        <v>5.1090000000000003E-2</v>
      </c>
      <c r="AH26" s="159">
        <v>229.252014</v>
      </c>
      <c r="AI26" s="160">
        <v>5.0493000000000003E-2</v>
      </c>
    </row>
    <row r="27" spans="1:35">
      <c r="A27" s="157" t="s">
        <v>567</v>
      </c>
      <c r="B27" s="12" t="s">
        <v>112</v>
      </c>
      <c r="C27" s="145" t="s">
        <v>568</v>
      </c>
      <c r="D27" s="148">
        <v>0.114899</v>
      </c>
      <c r="E27" s="148">
        <v>0.11057599999999999</v>
      </c>
      <c r="F27" s="148">
        <v>0.107853</v>
      </c>
      <c r="G27" s="148">
        <v>0.105383</v>
      </c>
      <c r="H27" s="148">
        <v>0.103343</v>
      </c>
      <c r="I27" s="148">
        <v>0.10154000000000001</v>
      </c>
      <c r="J27" s="148">
        <v>9.9686999999999998E-2</v>
      </c>
      <c r="K27" s="148">
        <v>9.8166000000000003E-2</v>
      </c>
      <c r="L27" s="148">
        <v>9.7296999999999995E-2</v>
      </c>
      <c r="M27" s="148">
        <v>9.6393000000000006E-2</v>
      </c>
      <c r="N27" s="148">
        <v>9.5671000000000006E-2</v>
      </c>
      <c r="O27" s="148">
        <v>9.5227000000000006E-2</v>
      </c>
      <c r="P27" s="148">
        <v>9.5168000000000003E-2</v>
      </c>
      <c r="Q27" s="148">
        <v>9.5221E-2</v>
      </c>
      <c r="R27" s="148">
        <v>9.5377000000000003E-2</v>
      </c>
      <c r="S27" s="148">
        <v>9.5994999999999997E-2</v>
      </c>
      <c r="T27" s="148">
        <v>9.6486000000000002E-2</v>
      </c>
      <c r="U27" s="148">
        <v>9.6883999999999998E-2</v>
      </c>
      <c r="V27" s="148">
        <v>9.7118999999999997E-2</v>
      </c>
      <c r="W27" s="148">
        <v>9.7166000000000002E-2</v>
      </c>
      <c r="X27" s="148">
        <v>9.7028000000000003E-2</v>
      </c>
      <c r="Y27" s="148">
        <v>9.6740000000000007E-2</v>
      </c>
      <c r="Z27" s="148">
        <v>9.6432000000000004E-2</v>
      </c>
      <c r="AA27" s="148">
        <v>9.6127000000000004E-2</v>
      </c>
      <c r="AB27" s="148">
        <v>9.5888000000000001E-2</v>
      </c>
      <c r="AC27" s="148">
        <v>9.5823000000000005E-2</v>
      </c>
      <c r="AD27" s="148">
        <v>9.5924999999999996E-2</v>
      </c>
      <c r="AE27" s="148">
        <v>9.6124000000000001E-2</v>
      </c>
      <c r="AF27" s="148">
        <v>9.6541000000000002E-2</v>
      </c>
      <c r="AG27" s="147">
        <v>-6.1980000000000004E-3</v>
      </c>
      <c r="AH27" s="159">
        <v>0.212146</v>
      </c>
      <c r="AI27" s="160">
        <v>-1.4596E-2</v>
      </c>
    </row>
    <row r="28" spans="1:35">
      <c r="A28" s="157" t="s">
        <v>569</v>
      </c>
      <c r="B28" s="12" t="s">
        <v>112</v>
      </c>
      <c r="C28" s="145" t="s">
        <v>570</v>
      </c>
      <c r="D28" s="148">
        <v>2.4334000000000001E-2</v>
      </c>
      <c r="E28" s="148">
        <v>2.3460999999999999E-2</v>
      </c>
      <c r="F28" s="148">
        <v>2.3621E-2</v>
      </c>
      <c r="G28" s="148">
        <v>2.3889000000000001E-2</v>
      </c>
      <c r="H28" s="148">
        <v>2.4288000000000001E-2</v>
      </c>
      <c r="I28" s="148">
        <v>2.4797E-2</v>
      </c>
      <c r="J28" s="148">
        <v>2.5291000000000001E-2</v>
      </c>
      <c r="K28" s="148">
        <v>2.5767000000000002E-2</v>
      </c>
      <c r="L28" s="148">
        <v>2.6189E-2</v>
      </c>
      <c r="M28" s="148">
        <v>2.6596000000000002E-2</v>
      </c>
      <c r="N28" s="148">
        <v>2.6946999999999999E-2</v>
      </c>
      <c r="O28" s="148">
        <v>2.7252999999999999E-2</v>
      </c>
      <c r="P28" s="148">
        <v>2.7533999999999999E-2</v>
      </c>
      <c r="Q28" s="148">
        <v>2.7757E-2</v>
      </c>
      <c r="R28" s="148">
        <v>2.7917000000000001E-2</v>
      </c>
      <c r="S28" s="148">
        <v>2.8034E-2</v>
      </c>
      <c r="T28" s="148">
        <v>2.8101000000000001E-2</v>
      </c>
      <c r="U28" s="148">
        <v>2.8115999999999999E-2</v>
      </c>
      <c r="V28" s="148">
        <v>2.8097E-2</v>
      </c>
      <c r="W28" s="148">
        <v>2.8052000000000001E-2</v>
      </c>
      <c r="X28" s="148">
        <v>2.7996E-2</v>
      </c>
      <c r="Y28" s="148">
        <v>2.792E-2</v>
      </c>
      <c r="Z28" s="148">
        <v>2.7855999999999999E-2</v>
      </c>
      <c r="AA28" s="148">
        <v>2.7819E-2</v>
      </c>
      <c r="AB28" s="148">
        <v>2.7786000000000002E-2</v>
      </c>
      <c r="AC28" s="148">
        <v>2.7831000000000002E-2</v>
      </c>
      <c r="AD28" s="148">
        <v>2.794E-2</v>
      </c>
      <c r="AE28" s="148">
        <v>2.81E-2</v>
      </c>
      <c r="AF28" s="148">
        <v>2.8343E-2</v>
      </c>
      <c r="AG28" s="147">
        <v>5.4619999999999998E-3</v>
      </c>
      <c r="AH28" s="159">
        <v>0.70318000000000003</v>
      </c>
      <c r="AI28" s="160">
        <v>-4.3620000000000004E-3</v>
      </c>
    </row>
    <row r="29" spans="1:35">
      <c r="A29" s="157" t="s">
        <v>571</v>
      </c>
      <c r="B29" s="12" t="s">
        <v>257</v>
      </c>
      <c r="C29" s="145" t="s">
        <v>572</v>
      </c>
      <c r="D29" s="148">
        <v>7.4513999999999997E-2</v>
      </c>
      <c r="E29" s="148">
        <v>7.2762999999999994E-2</v>
      </c>
      <c r="F29" s="148">
        <v>7.3983999999999994E-2</v>
      </c>
      <c r="G29" s="148">
        <v>7.7731999999999996E-2</v>
      </c>
      <c r="H29" s="148">
        <v>8.4470000000000003E-2</v>
      </c>
      <c r="I29" s="148">
        <v>9.3716999999999995E-2</v>
      </c>
      <c r="J29" s="148">
        <v>0.103895</v>
      </c>
      <c r="K29" s="148">
        <v>0.114743</v>
      </c>
      <c r="L29" s="148">
        <v>0.125697</v>
      </c>
      <c r="M29" s="148">
        <v>0.13678899999999999</v>
      </c>
      <c r="N29" s="148">
        <v>0.14774599999999999</v>
      </c>
      <c r="O29" s="148">
        <v>0.15856300000000001</v>
      </c>
      <c r="P29" s="148">
        <v>0.16941600000000001</v>
      </c>
      <c r="Q29" s="148">
        <v>0.179952</v>
      </c>
      <c r="R29" s="148">
        <v>0.19017600000000001</v>
      </c>
      <c r="S29" s="148">
        <v>0.200238</v>
      </c>
      <c r="T29" s="148">
        <v>0.21004</v>
      </c>
      <c r="U29" s="148">
        <v>0.219606</v>
      </c>
      <c r="V29" s="148">
        <v>0.22895499999999999</v>
      </c>
      <c r="W29" s="148">
        <v>0.23818800000000001</v>
      </c>
      <c r="X29" s="148">
        <v>0.24746599999999999</v>
      </c>
      <c r="Y29" s="148">
        <v>0.25657000000000002</v>
      </c>
      <c r="Z29" s="148">
        <v>0.26590599999999998</v>
      </c>
      <c r="AA29" s="148">
        <v>0.275669</v>
      </c>
      <c r="AB29" s="148">
        <v>0.28631499999999999</v>
      </c>
      <c r="AC29" s="148">
        <v>0.297736</v>
      </c>
      <c r="AD29" s="148">
        <v>0.31013499999999999</v>
      </c>
      <c r="AE29" s="148">
        <v>0.323438</v>
      </c>
      <c r="AF29" s="148">
        <v>0.33823900000000001</v>
      </c>
      <c r="AG29" s="147">
        <v>5.5513E-2</v>
      </c>
      <c r="AH29" s="159">
        <v>0.359848</v>
      </c>
      <c r="AI29" s="160">
        <v>2.0449999999999999E-2</v>
      </c>
    </row>
    <row r="30" spans="1:35">
      <c r="A30" s="157" t="s">
        <v>573</v>
      </c>
      <c r="B30" s="12" t="s">
        <v>257</v>
      </c>
      <c r="C30" s="145" t="s">
        <v>574</v>
      </c>
      <c r="D30" s="148">
        <v>7.9431000000000002E-2</v>
      </c>
      <c r="E30" s="148">
        <v>7.1472999999999995E-2</v>
      </c>
      <c r="F30" s="148">
        <v>6.5702999999999998E-2</v>
      </c>
      <c r="G30" s="148">
        <v>6.0731E-2</v>
      </c>
      <c r="H30" s="148">
        <v>5.6873E-2</v>
      </c>
      <c r="I30" s="148">
        <v>5.3928999999999998E-2</v>
      </c>
      <c r="J30" s="148">
        <v>5.1277000000000003E-2</v>
      </c>
      <c r="K30" s="148">
        <v>4.8889000000000002E-2</v>
      </c>
      <c r="L30" s="148">
        <v>4.6630999999999999E-2</v>
      </c>
      <c r="M30" s="148">
        <v>4.4505000000000003E-2</v>
      </c>
      <c r="N30" s="148">
        <v>4.2486000000000003E-2</v>
      </c>
      <c r="O30" s="148">
        <v>4.0573999999999999E-2</v>
      </c>
      <c r="P30" s="148">
        <v>3.8765000000000001E-2</v>
      </c>
      <c r="Q30" s="148">
        <v>3.7041999999999999E-2</v>
      </c>
      <c r="R30" s="148">
        <v>3.5399E-2</v>
      </c>
      <c r="S30" s="148">
        <v>3.3834999999999997E-2</v>
      </c>
      <c r="T30" s="148">
        <v>3.2343999999999998E-2</v>
      </c>
      <c r="U30" s="148">
        <v>3.092E-2</v>
      </c>
      <c r="V30" s="148">
        <v>2.9562000000000001E-2</v>
      </c>
      <c r="W30" s="148">
        <v>2.827E-2</v>
      </c>
      <c r="X30" s="148">
        <v>2.7043000000000001E-2</v>
      </c>
      <c r="Y30" s="148">
        <v>2.5874999999999999E-2</v>
      </c>
      <c r="Z30" s="148">
        <v>2.4771999999999999E-2</v>
      </c>
      <c r="AA30" s="148">
        <v>2.3734999999999999E-2</v>
      </c>
      <c r="AB30" s="148">
        <v>2.2766000000000002E-2</v>
      </c>
      <c r="AC30" s="148">
        <v>2.1870000000000001E-2</v>
      </c>
      <c r="AD30" s="148">
        <v>2.1041000000000001E-2</v>
      </c>
      <c r="AE30" s="148">
        <v>2.0275000000000001E-2</v>
      </c>
      <c r="AF30" s="148">
        <v>1.9576E-2</v>
      </c>
      <c r="AG30" s="147">
        <v>-4.879E-2</v>
      </c>
      <c r="AH30" s="159">
        <v>0.31085800000000002</v>
      </c>
      <c r="AI30" s="160">
        <v>-2.9047E-2</v>
      </c>
    </row>
    <row r="31" spans="1:35">
      <c r="A31" s="157" t="s">
        <v>575</v>
      </c>
      <c r="B31" s="12" t="s">
        <v>258</v>
      </c>
      <c r="C31" s="145" t="s">
        <v>576</v>
      </c>
      <c r="D31" s="148">
        <v>0</v>
      </c>
      <c r="E31" s="148">
        <v>0</v>
      </c>
      <c r="F31" s="148">
        <v>0</v>
      </c>
      <c r="G31" s="148">
        <v>0</v>
      </c>
      <c r="H31" s="148">
        <v>0</v>
      </c>
      <c r="I31" s="148">
        <v>0</v>
      </c>
      <c r="J31" s="148">
        <v>0</v>
      </c>
      <c r="K31" s="148">
        <v>0</v>
      </c>
      <c r="L31" s="148">
        <v>0</v>
      </c>
      <c r="M31" s="148">
        <v>0</v>
      </c>
      <c r="N31" s="148">
        <v>0</v>
      </c>
      <c r="O31" s="148">
        <v>0</v>
      </c>
      <c r="P31" s="148">
        <v>0</v>
      </c>
      <c r="Q31" s="148">
        <v>0</v>
      </c>
      <c r="R31" s="148">
        <v>0</v>
      </c>
      <c r="S31" s="148">
        <v>0</v>
      </c>
      <c r="T31" s="148">
        <v>0</v>
      </c>
      <c r="U31" s="148">
        <v>0</v>
      </c>
      <c r="V31" s="148">
        <v>0</v>
      </c>
      <c r="W31" s="148">
        <v>0</v>
      </c>
      <c r="X31" s="148">
        <v>0</v>
      </c>
      <c r="Y31" s="148">
        <v>0</v>
      </c>
      <c r="Z31" s="148">
        <v>0</v>
      </c>
      <c r="AA31" s="148">
        <v>0</v>
      </c>
      <c r="AB31" s="148">
        <v>0</v>
      </c>
      <c r="AC31" s="148">
        <v>0</v>
      </c>
      <c r="AD31" s="148">
        <v>0</v>
      </c>
      <c r="AE31" s="148">
        <v>0</v>
      </c>
      <c r="AF31" s="148">
        <v>0</v>
      </c>
      <c r="AG31" s="147" t="s">
        <v>564</v>
      </c>
      <c r="AH31" s="159">
        <v>0</v>
      </c>
      <c r="AI31" s="160" t="s">
        <v>564</v>
      </c>
    </row>
    <row r="32" spans="1:35">
      <c r="A32" s="157" t="s">
        <v>577</v>
      </c>
      <c r="B32" s="12" t="s">
        <v>258</v>
      </c>
      <c r="C32" s="145" t="s">
        <v>578</v>
      </c>
      <c r="D32" s="148">
        <v>0.14819399999999999</v>
      </c>
      <c r="E32" s="148">
        <v>0.18032999999999999</v>
      </c>
      <c r="F32" s="148">
        <v>0.20739199999999999</v>
      </c>
      <c r="G32" s="148">
        <v>0.23166</v>
      </c>
      <c r="H32" s="148">
        <v>0.25708700000000001</v>
      </c>
      <c r="I32" s="148">
        <v>0.28122200000000003</v>
      </c>
      <c r="J32" s="148">
        <v>0.30695800000000001</v>
      </c>
      <c r="K32" s="148">
        <v>0.33121600000000001</v>
      </c>
      <c r="L32" s="148">
        <v>0.35678399999999999</v>
      </c>
      <c r="M32" s="148">
        <v>0.382604</v>
      </c>
      <c r="N32" s="148">
        <v>0.40820499999999998</v>
      </c>
      <c r="O32" s="148">
        <v>0.43357400000000001</v>
      </c>
      <c r="P32" s="148">
        <v>0.45938499999999999</v>
      </c>
      <c r="Q32" s="148">
        <v>0.48471399999999998</v>
      </c>
      <c r="R32" s="148">
        <v>0.50850600000000001</v>
      </c>
      <c r="S32" s="148">
        <v>0.53182799999999997</v>
      </c>
      <c r="T32" s="148">
        <v>0.55284199999999994</v>
      </c>
      <c r="U32" s="148">
        <v>0.57169700000000001</v>
      </c>
      <c r="V32" s="148">
        <v>0.58719900000000003</v>
      </c>
      <c r="W32" s="148">
        <v>0.59973299999999996</v>
      </c>
      <c r="X32" s="148">
        <v>0.61137900000000001</v>
      </c>
      <c r="Y32" s="148">
        <v>0.61950899999999998</v>
      </c>
      <c r="Z32" s="148">
        <v>0.62558199999999997</v>
      </c>
      <c r="AA32" s="148">
        <v>0.62915600000000005</v>
      </c>
      <c r="AB32" s="148">
        <v>0.63310699999999998</v>
      </c>
      <c r="AC32" s="148">
        <v>0.63711700000000004</v>
      </c>
      <c r="AD32" s="148">
        <v>0.64000299999999999</v>
      </c>
      <c r="AE32" s="148">
        <v>0.64218500000000001</v>
      </c>
      <c r="AF32" s="148">
        <v>0.64359100000000002</v>
      </c>
      <c r="AG32" s="147">
        <v>5.3848E-2</v>
      </c>
      <c r="AH32" s="159">
        <v>0.29875600000000002</v>
      </c>
      <c r="AI32" s="160">
        <v>3.9477999999999999E-2</v>
      </c>
    </row>
    <row r="33" spans="1:35">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row>
    <row r="34" spans="1:35">
      <c r="A34" s="155"/>
      <c r="B34" s="155"/>
      <c r="C34" s="144" t="s">
        <v>579</v>
      </c>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55"/>
      <c r="AI34" s="155"/>
    </row>
    <row r="35" spans="1:35">
      <c r="A35" s="157" t="s">
        <v>580</v>
      </c>
      <c r="B35" s="157"/>
      <c r="C35" s="145" t="s">
        <v>581</v>
      </c>
      <c r="D35" s="148">
        <v>2843.298096</v>
      </c>
      <c r="E35" s="148">
        <v>2901.3588869999999</v>
      </c>
      <c r="F35" s="148">
        <v>2922.5065920000002</v>
      </c>
      <c r="G35" s="148">
        <v>2933.360107</v>
      </c>
      <c r="H35" s="148">
        <v>2954.2380370000001</v>
      </c>
      <c r="I35" s="148">
        <v>2981.9343260000001</v>
      </c>
      <c r="J35" s="148">
        <v>3007.5581050000001</v>
      </c>
      <c r="K35" s="148">
        <v>3027.5729980000001</v>
      </c>
      <c r="L35" s="148">
        <v>3042.8432619999999</v>
      </c>
      <c r="M35" s="148">
        <v>3055.7746579999998</v>
      </c>
      <c r="N35" s="148">
        <v>3066.6516109999998</v>
      </c>
      <c r="O35" s="148">
        <v>3082.359375</v>
      </c>
      <c r="P35" s="148">
        <v>3102.4182129999999</v>
      </c>
      <c r="Q35" s="148">
        <v>3120.7375489999999</v>
      </c>
      <c r="R35" s="148">
        <v>3135.6208499999998</v>
      </c>
      <c r="S35" s="148">
        <v>3152.9177249999998</v>
      </c>
      <c r="T35" s="148">
        <v>3172.435547</v>
      </c>
      <c r="U35" s="148">
        <v>3192.100586</v>
      </c>
      <c r="V35" s="148">
        <v>3214.5629880000001</v>
      </c>
      <c r="W35" s="148">
        <v>3237.5805660000001</v>
      </c>
      <c r="X35" s="148">
        <v>3261.5847170000002</v>
      </c>
      <c r="Y35" s="148">
        <v>3284.897461</v>
      </c>
      <c r="Z35" s="148">
        <v>3309.0390619999998</v>
      </c>
      <c r="AA35" s="148">
        <v>3334.7033689999998</v>
      </c>
      <c r="AB35" s="148">
        <v>3364.522461</v>
      </c>
      <c r="AC35" s="148">
        <v>3396.5351559999999</v>
      </c>
      <c r="AD35" s="148">
        <v>3429.5627439999998</v>
      </c>
      <c r="AE35" s="148">
        <v>3463.0249020000001</v>
      </c>
      <c r="AF35" s="148">
        <v>3499.5429690000001</v>
      </c>
      <c r="AG35" s="147">
        <v>7.4440000000000001E-3</v>
      </c>
      <c r="AH35" s="159">
        <v>3446.0715329999998</v>
      </c>
      <c r="AI35" s="160">
        <v>9.0919999999999994E-3</v>
      </c>
    </row>
    <row r="36" spans="1:35">
      <c r="A36" s="157" t="s">
        <v>582</v>
      </c>
      <c r="B36" s="157"/>
      <c r="C36" s="145" t="s">
        <v>583</v>
      </c>
      <c r="D36" s="148">
        <v>12.292728</v>
      </c>
      <c r="E36" s="148">
        <v>12.526434999999999</v>
      </c>
      <c r="F36" s="148">
        <v>12.577197</v>
      </c>
      <c r="G36" s="148">
        <v>12.567465</v>
      </c>
      <c r="H36" s="148">
        <v>12.577916999999999</v>
      </c>
      <c r="I36" s="148">
        <v>12.610725</v>
      </c>
      <c r="J36" s="148">
        <v>12.638391</v>
      </c>
      <c r="K36" s="148">
        <v>12.65343</v>
      </c>
      <c r="L36" s="148">
        <v>12.655709</v>
      </c>
      <c r="M36" s="148">
        <v>12.651835999999999</v>
      </c>
      <c r="N36" s="148">
        <v>12.637544999999999</v>
      </c>
      <c r="O36" s="148">
        <v>12.641304</v>
      </c>
      <c r="P36" s="148">
        <v>12.658344</v>
      </c>
      <c r="Q36" s="148">
        <v>12.676088</v>
      </c>
      <c r="R36" s="148">
        <v>12.692268</v>
      </c>
      <c r="S36" s="148">
        <v>12.717739999999999</v>
      </c>
      <c r="T36" s="148">
        <v>12.749751</v>
      </c>
      <c r="U36" s="148">
        <v>12.786051</v>
      </c>
      <c r="V36" s="148">
        <v>12.831346999999999</v>
      </c>
      <c r="W36" s="148">
        <v>12.882289</v>
      </c>
      <c r="X36" s="148">
        <v>12.938205</v>
      </c>
      <c r="Y36" s="148">
        <v>12.994745</v>
      </c>
      <c r="Z36" s="148">
        <v>13.055583</v>
      </c>
      <c r="AA36" s="148">
        <v>13.120469</v>
      </c>
      <c r="AB36" s="148">
        <v>13.200115</v>
      </c>
      <c r="AC36" s="148">
        <v>13.287262</v>
      </c>
      <c r="AD36" s="148">
        <v>13.378971999999999</v>
      </c>
      <c r="AE36" s="148">
        <v>13.473079</v>
      </c>
      <c r="AF36" s="148">
        <v>13.577239000000001</v>
      </c>
      <c r="AG36" s="147">
        <v>3.5560000000000001E-3</v>
      </c>
      <c r="AH36" s="159">
        <v>12.87923</v>
      </c>
      <c r="AI36" s="160">
        <v>3.0569999999999998E-3</v>
      </c>
    </row>
    <row r="37" spans="1:35">
      <c r="A37" s="157" t="s">
        <v>584</v>
      </c>
      <c r="B37" s="157"/>
      <c r="C37" s="145" t="s">
        <v>585</v>
      </c>
      <c r="D37" s="148">
        <v>231.29917900000001</v>
      </c>
      <c r="E37" s="148">
        <v>231.61888099999999</v>
      </c>
      <c r="F37" s="148">
        <v>232.36549400000001</v>
      </c>
      <c r="G37" s="148">
        <v>233.40905799999999</v>
      </c>
      <c r="H37" s="148">
        <v>234.87498500000001</v>
      </c>
      <c r="I37" s="148">
        <v>236.46017499999999</v>
      </c>
      <c r="J37" s="148">
        <v>237.970032</v>
      </c>
      <c r="K37" s="148">
        <v>239.26895099999999</v>
      </c>
      <c r="L37" s="148">
        <v>240.43246500000001</v>
      </c>
      <c r="M37" s="148">
        <v>241.52815200000001</v>
      </c>
      <c r="N37" s="148">
        <v>242.66198700000001</v>
      </c>
      <c r="O37" s="148">
        <v>243.832382</v>
      </c>
      <c r="P37" s="148">
        <v>245.088776</v>
      </c>
      <c r="Q37" s="148">
        <v>246.190887</v>
      </c>
      <c r="R37" s="148">
        <v>247.04968299999999</v>
      </c>
      <c r="S37" s="148">
        <v>247.91493199999999</v>
      </c>
      <c r="T37" s="148">
        <v>248.82333399999999</v>
      </c>
      <c r="U37" s="148">
        <v>249.654922</v>
      </c>
      <c r="V37" s="148">
        <v>250.524216</v>
      </c>
      <c r="W37" s="148">
        <v>251.32029700000001</v>
      </c>
      <c r="X37" s="148">
        <v>252.08943199999999</v>
      </c>
      <c r="Y37" s="148">
        <v>252.78659099999999</v>
      </c>
      <c r="Z37" s="148">
        <v>253.45777899999999</v>
      </c>
      <c r="AA37" s="148">
        <v>254.16037</v>
      </c>
      <c r="AB37" s="148">
        <v>254.88583399999999</v>
      </c>
      <c r="AC37" s="148">
        <v>255.623413</v>
      </c>
      <c r="AD37" s="148">
        <v>256.33978300000001</v>
      </c>
      <c r="AE37" s="148">
        <v>257.03292800000003</v>
      </c>
      <c r="AF37" s="148">
        <v>257.75070199999999</v>
      </c>
      <c r="AG37" s="147">
        <v>3.875E-3</v>
      </c>
      <c r="AH37" s="159">
        <v>267.56814600000001</v>
      </c>
      <c r="AI37" s="160">
        <v>6.0159999999999996E-3</v>
      </c>
    </row>
    <row r="38" spans="1:35">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row>
    <row r="39" spans="1:35">
      <c r="A39" s="155"/>
      <c r="B39" s="155"/>
      <c r="C39" s="144" t="s">
        <v>586</v>
      </c>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c r="AB39" s="137"/>
      <c r="AC39" s="137"/>
      <c r="AD39" s="137"/>
      <c r="AE39" s="137"/>
      <c r="AF39" s="137"/>
      <c r="AG39" s="137"/>
      <c r="AH39" s="155"/>
      <c r="AI39" s="155"/>
    </row>
    <row r="40" spans="1:35">
      <c r="A40" s="157" t="s">
        <v>587</v>
      </c>
      <c r="B40" s="157"/>
      <c r="C40" s="145" t="s">
        <v>588</v>
      </c>
      <c r="D40" s="149">
        <v>13.600198000000001</v>
      </c>
      <c r="E40" s="149">
        <v>12.754690999999999</v>
      </c>
      <c r="F40" s="149">
        <v>12.439536</v>
      </c>
      <c r="G40" s="149">
        <v>11.600028</v>
      </c>
      <c r="H40" s="149">
        <v>11.469229</v>
      </c>
      <c r="I40" s="149">
        <v>11.407544</v>
      </c>
      <c r="J40" s="149">
        <v>11.409302</v>
      </c>
      <c r="K40" s="149">
        <v>11.435968000000001</v>
      </c>
      <c r="L40" s="149">
        <v>11.467510000000001</v>
      </c>
      <c r="M40" s="149">
        <v>11.460815</v>
      </c>
      <c r="N40" s="149">
        <v>11.517621999999999</v>
      </c>
      <c r="O40" s="149">
        <v>11.553983000000001</v>
      </c>
      <c r="P40" s="149">
        <v>11.599117</v>
      </c>
      <c r="Q40" s="149">
        <v>11.612700999999999</v>
      </c>
      <c r="R40" s="149">
        <v>11.746193</v>
      </c>
      <c r="S40" s="149">
        <v>11.758649999999999</v>
      </c>
      <c r="T40" s="149">
        <v>11.787958</v>
      </c>
      <c r="U40" s="149">
        <v>11.844007</v>
      </c>
      <c r="V40" s="149">
        <v>11.863856999999999</v>
      </c>
      <c r="W40" s="149">
        <v>11.858942000000001</v>
      </c>
      <c r="X40" s="149">
        <v>11.88617</v>
      </c>
      <c r="Y40" s="149">
        <v>11.836548000000001</v>
      </c>
      <c r="Z40" s="149">
        <v>11.913117</v>
      </c>
      <c r="AA40" s="149">
        <v>11.933885999999999</v>
      </c>
      <c r="AB40" s="149">
        <v>12.259570999999999</v>
      </c>
      <c r="AC40" s="149">
        <v>12.259736999999999</v>
      </c>
      <c r="AD40" s="149">
        <v>12.373319</v>
      </c>
      <c r="AE40" s="149">
        <v>12.389042999999999</v>
      </c>
      <c r="AF40" s="149">
        <v>12.508653000000001</v>
      </c>
      <c r="AG40" s="147">
        <v>-2.9840000000000001E-3</v>
      </c>
      <c r="AH40" s="161">
        <v>13.601267999999999</v>
      </c>
      <c r="AI40" s="160">
        <v>1.7378000000000001E-2</v>
      </c>
    </row>
    <row r="41" spans="1:35">
      <c r="A41" s="157" t="s">
        <v>589</v>
      </c>
      <c r="B41" s="157"/>
      <c r="C41" s="145" t="s">
        <v>590</v>
      </c>
      <c r="D41" s="149">
        <v>25.400711000000001</v>
      </c>
      <c r="E41" s="149">
        <v>25.906796</v>
      </c>
      <c r="F41" s="149">
        <v>26.449829000000001</v>
      </c>
      <c r="G41" s="149">
        <v>27.048653000000002</v>
      </c>
      <c r="H41" s="149">
        <v>27.674738000000001</v>
      </c>
      <c r="I41" s="149">
        <v>28.324504999999998</v>
      </c>
      <c r="J41" s="149">
        <v>29.045470999999999</v>
      </c>
      <c r="K41" s="149">
        <v>29.774456000000001</v>
      </c>
      <c r="L41" s="149">
        <v>30.506572999999999</v>
      </c>
      <c r="M41" s="149">
        <v>31.204981</v>
      </c>
      <c r="N41" s="149">
        <v>31.883956999999999</v>
      </c>
      <c r="O41" s="149">
        <v>32.440662000000003</v>
      </c>
      <c r="P41" s="149">
        <v>33.040554</v>
      </c>
      <c r="Q41" s="149">
        <v>33.627986999999997</v>
      </c>
      <c r="R41" s="149">
        <v>34.193863</v>
      </c>
      <c r="S41" s="149">
        <v>34.758468999999998</v>
      </c>
      <c r="T41" s="149">
        <v>35.326801000000003</v>
      </c>
      <c r="U41" s="149">
        <v>35.911544999999997</v>
      </c>
      <c r="V41" s="149">
        <v>36.466498999999999</v>
      </c>
      <c r="W41" s="149">
        <v>37.008876999999998</v>
      </c>
      <c r="X41" s="149">
        <v>37.505836000000002</v>
      </c>
      <c r="Y41" s="149">
        <v>37.956325999999997</v>
      </c>
      <c r="Z41" s="149">
        <v>38.285721000000002</v>
      </c>
      <c r="AA41" s="149">
        <v>38.543011</v>
      </c>
      <c r="AB41" s="149">
        <v>38.790492999999998</v>
      </c>
      <c r="AC41" s="149">
        <v>39.008453000000003</v>
      </c>
      <c r="AD41" s="149">
        <v>39.202869</v>
      </c>
      <c r="AE41" s="149">
        <v>39.366675999999998</v>
      </c>
      <c r="AF41" s="149">
        <v>39.502735000000001</v>
      </c>
      <c r="AG41" s="147">
        <v>1.5896E-2</v>
      </c>
      <c r="AH41" s="161">
        <v>32.361846999999997</v>
      </c>
      <c r="AI41" s="160">
        <v>1.0179000000000001E-2</v>
      </c>
    </row>
    <row r="42" spans="1:35">
      <c r="A42" s="157" t="s">
        <v>591</v>
      </c>
      <c r="B42" s="157"/>
      <c r="C42" s="145" t="s">
        <v>592</v>
      </c>
      <c r="D42" s="149">
        <v>9.1618290000000009</v>
      </c>
      <c r="E42" s="149">
        <v>8.4454750000000001</v>
      </c>
      <c r="F42" s="149">
        <v>8.0890369999999994</v>
      </c>
      <c r="G42" s="149">
        <v>7.3955039999999999</v>
      </c>
      <c r="H42" s="149">
        <v>7.1647470000000002</v>
      </c>
      <c r="I42" s="149">
        <v>6.9803800000000003</v>
      </c>
      <c r="J42" s="149">
        <v>6.8306079999999998</v>
      </c>
      <c r="K42" s="149">
        <v>6.6985659999999996</v>
      </c>
      <c r="L42" s="149">
        <v>6.5732929999999996</v>
      </c>
      <c r="M42" s="149">
        <v>6.4379819999999999</v>
      </c>
      <c r="N42" s="149">
        <v>6.3441210000000003</v>
      </c>
      <c r="O42" s="149">
        <v>6.2506300000000001</v>
      </c>
      <c r="P42" s="149">
        <v>6.1660950000000003</v>
      </c>
      <c r="Q42" s="149">
        <v>6.0684800000000001</v>
      </c>
      <c r="R42" s="149">
        <v>6.0382439999999997</v>
      </c>
      <c r="S42" s="149">
        <v>5.9520860000000004</v>
      </c>
      <c r="T42" s="149">
        <v>5.8802440000000002</v>
      </c>
      <c r="U42" s="149">
        <v>5.8253519999999996</v>
      </c>
      <c r="V42" s="149">
        <v>5.7601459999999998</v>
      </c>
      <c r="W42" s="149">
        <v>5.6883379999999999</v>
      </c>
      <c r="X42" s="149">
        <v>5.6383340000000004</v>
      </c>
      <c r="Y42" s="149">
        <v>5.5607519999999999</v>
      </c>
      <c r="Z42" s="149">
        <v>5.5514700000000001</v>
      </c>
      <c r="AA42" s="149">
        <v>5.5219209999999999</v>
      </c>
      <c r="AB42" s="149">
        <v>5.6380129999999999</v>
      </c>
      <c r="AC42" s="149">
        <v>5.6094049999999998</v>
      </c>
      <c r="AD42" s="149">
        <v>5.6370339999999999</v>
      </c>
      <c r="AE42" s="149">
        <v>5.6227869999999998</v>
      </c>
      <c r="AF42" s="149">
        <v>5.6598689999999996</v>
      </c>
      <c r="AG42" s="147">
        <v>-1.7054E-2</v>
      </c>
      <c r="AH42" s="161">
        <v>6.8929689999999999</v>
      </c>
      <c r="AI42" s="160">
        <v>7.1780000000000004E-3</v>
      </c>
    </row>
    <row r="43" spans="1:35">
      <c r="A43" s="157" t="s">
        <v>593</v>
      </c>
      <c r="B43" s="157"/>
      <c r="C43" s="145" t="s">
        <v>594</v>
      </c>
      <c r="D43" s="163">
        <v>0.84969899999999998</v>
      </c>
      <c r="E43" s="163">
        <v>0.84475800000000001</v>
      </c>
      <c r="F43" s="163">
        <v>0.84086700000000003</v>
      </c>
      <c r="G43" s="163">
        <v>0.83844600000000002</v>
      </c>
      <c r="H43" s="163">
        <v>0.83787100000000003</v>
      </c>
      <c r="I43" s="163">
        <v>0.83799500000000005</v>
      </c>
      <c r="J43" s="163">
        <v>0.83800399999999997</v>
      </c>
      <c r="K43" s="163">
        <v>0.83732600000000001</v>
      </c>
      <c r="L43" s="163">
        <v>0.83618999999999999</v>
      </c>
      <c r="M43" s="163">
        <v>0.83489500000000005</v>
      </c>
      <c r="N43" s="163">
        <v>0.833978</v>
      </c>
      <c r="O43" s="163">
        <v>0.83357400000000004</v>
      </c>
      <c r="P43" s="163">
        <v>0.83381400000000006</v>
      </c>
      <c r="Q43" s="163">
        <v>0.83386000000000005</v>
      </c>
      <c r="R43" s="163">
        <v>0.83342400000000005</v>
      </c>
      <c r="S43" s="163">
        <v>0.83336500000000002</v>
      </c>
      <c r="T43" s="163">
        <v>0.83323400000000003</v>
      </c>
      <c r="U43" s="163">
        <v>0.83289100000000005</v>
      </c>
      <c r="V43" s="163">
        <v>0.83275299999999997</v>
      </c>
      <c r="W43" s="163">
        <v>0.83245100000000005</v>
      </c>
      <c r="X43" s="163">
        <v>0.83207699999999996</v>
      </c>
      <c r="Y43" s="163">
        <v>0.83146200000000003</v>
      </c>
      <c r="Z43" s="163">
        <v>0.83076700000000003</v>
      </c>
      <c r="AA43" s="163">
        <v>0.83018999999999998</v>
      </c>
      <c r="AB43" s="163">
        <v>0.82968200000000003</v>
      </c>
      <c r="AC43" s="163">
        <v>0.82922799999999997</v>
      </c>
      <c r="AD43" s="163">
        <v>0.82872699999999999</v>
      </c>
      <c r="AE43" s="163">
        <v>0.82816000000000001</v>
      </c>
      <c r="AF43" s="163">
        <v>0.82768299999999995</v>
      </c>
      <c r="AG43" s="147">
        <v>-9.3700000000000001E-4</v>
      </c>
      <c r="AH43" s="162">
        <v>0.83069199999999999</v>
      </c>
      <c r="AI43" s="160">
        <v>7.2999999999999999E-5</v>
      </c>
    </row>
    <row r="44" spans="1:35" ht="15.5" thickBot="1">
      <c r="A44" s="155"/>
      <c r="B44" s="155"/>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55"/>
      <c r="AI44" s="155"/>
    </row>
    <row r="45" spans="1:35" ht="15" customHeight="1">
      <c r="A45" s="155"/>
      <c r="B45" s="155"/>
      <c r="C45" s="135" t="s">
        <v>595</v>
      </c>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c r="AB45" s="152"/>
      <c r="AC45" s="152"/>
      <c r="AD45" s="152"/>
      <c r="AE45" s="152"/>
      <c r="AF45" s="152"/>
      <c r="AG45" s="152"/>
      <c r="AH45" s="154"/>
      <c r="AI45" s="154"/>
    </row>
    <row r="46" spans="1:35">
      <c r="A46" s="155"/>
      <c r="B46" s="155"/>
      <c r="C46" s="137" t="s">
        <v>596</v>
      </c>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55"/>
      <c r="AI46" s="155"/>
    </row>
    <row r="47" spans="1:35">
      <c r="A47" s="155"/>
      <c r="B47" s="155"/>
      <c r="C47" s="137" t="s">
        <v>597</v>
      </c>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c r="AB47" s="137"/>
      <c r="AC47" s="137"/>
      <c r="AD47" s="137"/>
      <c r="AE47" s="137"/>
      <c r="AF47" s="137"/>
      <c r="AG47" s="137"/>
      <c r="AH47" s="155"/>
      <c r="AI47" s="155"/>
    </row>
    <row r="48" spans="1:35">
      <c r="A48" s="155"/>
      <c r="B48" s="155"/>
      <c r="C48" s="137" t="s">
        <v>598</v>
      </c>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55"/>
      <c r="AI48" s="155"/>
    </row>
    <row r="49" spans="3:33">
      <c r="C49" s="137" t="s">
        <v>1423</v>
      </c>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7"/>
    </row>
    <row r="50" spans="3:33">
      <c r="C50" s="137" t="s">
        <v>599</v>
      </c>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row>
    <row r="51" spans="3:33">
      <c r="C51" s="137" t="s">
        <v>1424</v>
      </c>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c r="AB51" s="137"/>
      <c r="AC51" s="137"/>
      <c r="AD51" s="137"/>
      <c r="AE51" s="137"/>
      <c r="AF51" s="137"/>
      <c r="AG51" s="137"/>
    </row>
    <row r="52" spans="3:33">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137"/>
    </row>
    <row r="53" spans="3:33">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137"/>
    </row>
    <row r="54" spans="3:33">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row>
    <row r="55" spans="3:33">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137"/>
    </row>
    <row r="56" spans="3:33">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c r="AA56" s="137"/>
      <c r="AB56" s="137"/>
      <c r="AC56" s="137"/>
      <c r="AD56" s="137"/>
      <c r="AE56" s="137"/>
      <c r="AF56" s="137"/>
      <c r="AG56" s="137"/>
    </row>
    <row r="57" spans="3:33">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c r="AB57" s="137"/>
      <c r="AC57" s="137"/>
      <c r="AD57" s="137"/>
      <c r="AE57" s="137"/>
      <c r="AF57" s="137"/>
      <c r="AG57" s="137"/>
    </row>
    <row r="58" spans="3:33">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137"/>
    </row>
    <row r="59" spans="3:33">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c r="AB59" s="137"/>
      <c r="AC59" s="137"/>
      <c r="AD59" s="137"/>
      <c r="AE59" s="137"/>
      <c r="AF59" s="137"/>
      <c r="AG59" s="137"/>
    </row>
    <row r="60" spans="3:33">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c r="AB60" s="137"/>
      <c r="AC60" s="137"/>
      <c r="AD60" s="137"/>
      <c r="AE60" s="137"/>
      <c r="AF60" s="137"/>
      <c r="AG60" s="137"/>
    </row>
    <row r="61" spans="3:33">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c r="AB61" s="137"/>
      <c r="AC61" s="137"/>
      <c r="AD61" s="137"/>
      <c r="AE61" s="137"/>
      <c r="AF61" s="137"/>
      <c r="AG61" s="137"/>
    </row>
    <row r="62" spans="3:33">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137"/>
    </row>
    <row r="63" spans="3:33">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c r="AC63" s="137"/>
      <c r="AD63" s="137"/>
      <c r="AE63" s="137"/>
      <c r="AF63" s="137"/>
      <c r="AG63" s="137"/>
    </row>
    <row r="64" spans="3:33">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c r="AB64" s="137"/>
      <c r="AC64" s="137"/>
      <c r="AD64" s="137"/>
      <c r="AE64" s="137"/>
      <c r="AF64" s="137"/>
      <c r="AG64" s="137"/>
    </row>
    <row r="65" spans="3:33">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137"/>
    </row>
    <row r="66" spans="3:33">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137"/>
    </row>
    <row r="67" spans="3:33">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137"/>
    </row>
    <row r="68" spans="3:33">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c r="AB68" s="137"/>
      <c r="AC68" s="137"/>
      <c r="AD68" s="137"/>
      <c r="AE68" s="137"/>
      <c r="AF68" s="137"/>
      <c r="AG68" s="137"/>
    </row>
    <row r="69" spans="3:33">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c r="AB69" s="137"/>
      <c r="AC69" s="137"/>
      <c r="AD69" s="137"/>
      <c r="AE69" s="137"/>
      <c r="AF69" s="137"/>
      <c r="AG69" s="137"/>
    </row>
    <row r="70" spans="3:33">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c r="AB70" s="137"/>
      <c r="AC70" s="137"/>
      <c r="AD70" s="137"/>
      <c r="AE70" s="137"/>
      <c r="AF70" s="137"/>
      <c r="AG70" s="137"/>
    </row>
    <row r="71" spans="3:33">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spans="3:33">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spans="3:33">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137"/>
    </row>
    <row r="74" spans="3:33">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7"/>
      <c r="AF74" s="137"/>
      <c r="AG74" s="137"/>
    </row>
    <row r="75" spans="3:33">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c r="AB75" s="137"/>
      <c r="AC75" s="137"/>
      <c r="AD75" s="137"/>
      <c r="AE75" s="137"/>
      <c r="AF75" s="137"/>
      <c r="AG75" s="137"/>
    </row>
    <row r="76" spans="3:33">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c r="AB76" s="137"/>
      <c r="AC76" s="137"/>
      <c r="AD76" s="137"/>
      <c r="AE76" s="137"/>
      <c r="AF76" s="137"/>
      <c r="AG76" s="137"/>
    </row>
    <row r="77" spans="3:33">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c r="AB77" s="137"/>
      <c r="AC77" s="137"/>
      <c r="AD77" s="137"/>
      <c r="AE77" s="137"/>
      <c r="AF77" s="137"/>
      <c r="AG77" s="137"/>
    </row>
    <row r="78" spans="3:33">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c r="AB78" s="137"/>
      <c r="AC78" s="137"/>
      <c r="AD78" s="137"/>
      <c r="AE78" s="137"/>
      <c r="AF78" s="137"/>
      <c r="AG78" s="137"/>
    </row>
    <row r="79" spans="3:33">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c r="AB79" s="137"/>
      <c r="AC79" s="137"/>
      <c r="AD79" s="137"/>
      <c r="AE79" s="137"/>
      <c r="AF79" s="137"/>
      <c r="AG79" s="137"/>
    </row>
    <row r="80" spans="3:33">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c r="AB80" s="137"/>
      <c r="AC80" s="137"/>
      <c r="AD80" s="137"/>
      <c r="AE80" s="137"/>
      <c r="AF80" s="137"/>
      <c r="AG80" s="137"/>
    </row>
    <row r="81" spans="3:33">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c r="AB81" s="137"/>
      <c r="AC81" s="137"/>
      <c r="AD81" s="137"/>
      <c r="AE81" s="137"/>
      <c r="AF81" s="137"/>
      <c r="AG81" s="137"/>
    </row>
    <row r="82" spans="3:33">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137"/>
    </row>
    <row r="83" spans="3:33">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c r="AC83" s="137"/>
      <c r="AD83" s="137"/>
      <c r="AE83" s="137"/>
      <c r="AF83" s="137"/>
      <c r="AG83" s="137"/>
    </row>
    <row r="84" spans="3:33">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137" t="s">
        <v>1066</v>
      </c>
    </row>
    <row r="115" spans="34:35">
      <c r="AH115" s="155"/>
      <c r="AI115" s="155"/>
    </row>
    <row r="116" spans="34:35">
      <c r="AH116" s="155"/>
      <c r="AI116" s="155"/>
    </row>
    <row r="257" spans="34:35">
      <c r="AH257" s="155"/>
      <c r="AI257" s="155"/>
    </row>
    <row r="258" spans="34:35">
      <c r="AH258" s="155"/>
      <c r="AI258" s="155"/>
    </row>
    <row r="339" spans="34:35">
      <c r="AH339" s="155"/>
      <c r="AI339" s="155"/>
    </row>
    <row r="340" spans="34:35">
      <c r="AH340" s="155"/>
      <c r="AI340" s="155"/>
    </row>
    <row r="451" spans="34:35">
      <c r="AH451" s="155"/>
      <c r="AI451" s="155"/>
    </row>
    <row r="452" spans="34:35">
      <c r="AH452" s="155"/>
      <c r="AI452" s="155"/>
    </row>
    <row r="556" spans="34:35">
      <c r="AH556" s="155"/>
      <c r="AI556" s="155"/>
    </row>
    <row r="557" spans="34:35">
      <c r="AH557" s="155"/>
      <c r="AI557" s="155"/>
    </row>
    <row r="637" spans="34:35">
      <c r="AH637" s="155"/>
      <c r="AI637" s="155"/>
    </row>
    <row r="638" spans="34:35">
      <c r="AH638" s="155"/>
      <c r="AI638" s="155"/>
    </row>
    <row r="709" spans="34:35">
      <c r="AH709" s="155"/>
      <c r="AI709" s="155"/>
    </row>
    <row r="710" spans="34:35">
      <c r="AH710" s="155"/>
      <c r="AI710" s="155"/>
    </row>
    <row r="885" spans="34:35">
      <c r="AH885" s="155"/>
      <c r="AI885" s="155"/>
    </row>
    <row r="886" spans="34:35">
      <c r="AH886" s="155"/>
      <c r="AI886" s="155"/>
    </row>
    <row r="968" spans="34:35">
      <c r="AH968" s="155"/>
      <c r="AI968" s="155"/>
    </row>
    <row r="969" spans="34:35">
      <c r="AH969" s="155"/>
      <c r="AI969" s="155"/>
    </row>
    <row r="1070" spans="34:35">
      <c r="AH1070" s="155"/>
      <c r="AI1070" s="155"/>
    </row>
    <row r="1071" spans="34:35">
      <c r="AH1071" s="155"/>
      <c r="AI1071" s="155"/>
    </row>
    <row r="1169" spans="34:35">
      <c r="AH1169" s="155"/>
      <c r="AI1169" s="155"/>
    </row>
    <row r="1268" spans="34:35">
      <c r="AH1268" s="155"/>
      <c r="AI1268" s="155"/>
    </row>
    <row r="1269" spans="34:35">
      <c r="AH1269" s="155"/>
      <c r="AI1269" s="155"/>
    </row>
    <row r="1494" spans="34:35">
      <c r="AH1494" s="155"/>
      <c r="AI1494" s="155"/>
    </row>
    <row r="1495" spans="34:35">
      <c r="AH1495" s="155"/>
      <c r="AI1495" s="155"/>
    </row>
    <row r="1713" spans="34:35">
      <c r="AH1713" s="155"/>
      <c r="AI1713" s="155"/>
    </row>
    <row r="1728" spans="34:35">
      <c r="AH1728" s="155"/>
      <c r="AI1728" s="155"/>
    </row>
    <row r="1989" spans="34:35">
      <c r="AH1989" s="155"/>
      <c r="AI1989" s="155"/>
    </row>
    <row r="1990" spans="34:35">
      <c r="AH1990" s="155"/>
      <c r="AI1990" s="155"/>
    </row>
    <row r="2324" spans="34:35">
      <c r="AH2324" s="155"/>
      <c r="AI2324" s="155"/>
    </row>
    <row r="2325" spans="34:35">
      <c r="AH2325" s="155"/>
      <c r="AI2325" s="155"/>
    </row>
    <row r="2644" spans="34:35">
      <c r="AH2644" s="155"/>
      <c r="AI2644" s="155"/>
    </row>
    <row r="2645" spans="34:35">
      <c r="AH2645" s="155"/>
      <c r="AI2645" s="155"/>
    </row>
    <row r="2970" spans="34:35">
      <c r="AH2970" s="155"/>
      <c r="AI2970" s="155"/>
    </row>
    <row r="2971" spans="34:35">
      <c r="AH2971" s="155"/>
      <c r="AI2971" s="155"/>
    </row>
    <row r="3292" spans="34:35">
      <c r="AH3292" s="155"/>
      <c r="AI3292" s="155"/>
    </row>
    <row r="3293" spans="34:35">
      <c r="AH3293" s="155"/>
      <c r="AI3293" s="155"/>
    </row>
    <row r="3401" spans="34:35">
      <c r="AH3401" s="155"/>
      <c r="AI3401" s="155"/>
    </row>
    <row r="3402" spans="34:35">
      <c r="AH3402" s="155"/>
      <c r="AI3402" s="155"/>
    </row>
    <row r="3526" spans="34:35">
      <c r="AH3526" s="155"/>
      <c r="AI3526" s="155"/>
    </row>
    <row r="3527" spans="34:35">
      <c r="AH3527" s="155"/>
      <c r="AI3527" s="155"/>
    </row>
    <row r="3651" spans="34:35">
      <c r="AH3651" s="155"/>
      <c r="AI3651" s="155"/>
    </row>
    <row r="3652" spans="34:35">
      <c r="AH3652" s="155"/>
      <c r="AI3652" s="155"/>
    </row>
    <row r="3777" spans="34:35">
      <c r="AH3777" s="155"/>
      <c r="AI3777" s="155"/>
    </row>
    <row r="3901" spans="34:35">
      <c r="AH3901" s="155"/>
      <c r="AI3901" s="155"/>
    </row>
    <row r="3902" spans="34:35">
      <c r="AH3902" s="155"/>
      <c r="AI3902" s="155"/>
    </row>
    <row r="4026" spans="34:35">
      <c r="AH4026" s="155"/>
      <c r="AI4026" s="155"/>
    </row>
    <row r="4027" spans="34:35">
      <c r="AH4027" s="155"/>
      <c r="AI4027" s="155"/>
    </row>
    <row r="4151" spans="34:35">
      <c r="AH4151" s="155"/>
      <c r="AI4151" s="155"/>
    </row>
    <row r="4152" spans="34:35">
      <c r="AH4152" s="155"/>
      <c r="AI4152" s="155"/>
    </row>
    <row r="4276" spans="34:35">
      <c r="AH4276" s="155"/>
      <c r="AI4276" s="155"/>
    </row>
    <row r="4277" spans="34:35">
      <c r="AH4277" s="155"/>
      <c r="AI4277" s="155"/>
    </row>
    <row r="4401" spans="34:35">
      <c r="AH4401" s="155"/>
      <c r="AI4401" s="155"/>
    </row>
    <row r="4402" spans="34:35">
      <c r="AH4402" s="155"/>
      <c r="AI4402" s="15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cols>
    <col min="1" max="1" width="21.7265625" bestFit="1" customWidth="1"/>
    <col min="2" max="2" width="28.4062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c r="AL1" t="s">
        <v>353</v>
      </c>
    </row>
    <row r="10" spans="2:38" ht="14.75">
      <c r="B10" t="s">
        <v>355</v>
      </c>
    </row>
    <row r="11" spans="2:38" ht="14.75">
      <c r="B11" t="s">
        <v>1426</v>
      </c>
    </row>
    <row r="12" spans="2:38" ht="14.75">
      <c r="B12" t="s">
        <v>1427</v>
      </c>
    </row>
    <row r="13" spans="2:38" ht="14.75">
      <c r="B13" t="s">
        <v>302</v>
      </c>
    </row>
    <row r="14" spans="2:38" ht="14.75">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c r="AL14" t="s">
        <v>540</v>
      </c>
    </row>
    <row r="15" spans="2:38" ht="14.75">
      <c r="B15" t="s">
        <v>356</v>
      </c>
    </row>
    <row r="16" spans="2:38" ht="14.75">
      <c r="B16" t="s">
        <v>357</v>
      </c>
    </row>
    <row r="17" spans="2:38" ht="14.75">
      <c r="B17" t="s">
        <v>358</v>
      </c>
      <c r="C17" t="s">
        <v>1428</v>
      </c>
      <c r="D17" t="s">
        <v>1429</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ht="14.75">
      <c r="B18" t="s">
        <v>359</v>
      </c>
      <c r="C18" t="s">
        <v>1430</v>
      </c>
      <c r="D18" t="s">
        <v>1431</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ht="14.75">
      <c r="B19" t="s">
        <v>360</v>
      </c>
      <c r="C19" t="s">
        <v>1432</v>
      </c>
      <c r="D19" t="s">
        <v>1433</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ht="14.75">
      <c r="B20" t="s">
        <v>361</v>
      </c>
    </row>
    <row r="21" spans="2:38" ht="14.75">
      <c r="B21" t="s">
        <v>362</v>
      </c>
      <c r="C21" t="s">
        <v>1434</v>
      </c>
      <c r="D21" t="s">
        <v>1435</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ht="14.75">
      <c r="B22" t="s">
        <v>1403</v>
      </c>
      <c r="C22" t="s">
        <v>1436</v>
      </c>
      <c r="D22" t="s">
        <v>1107</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ht="14.75">
      <c r="B23" t="s">
        <v>1401</v>
      </c>
      <c r="C23" t="s">
        <v>1437</v>
      </c>
      <c r="D23" t="s">
        <v>1107</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ht="14.75">
      <c r="B24" t="s">
        <v>1399</v>
      </c>
      <c r="C24" t="s">
        <v>1438</v>
      </c>
      <c r="D24" t="s">
        <v>1107</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ht="14.75">
      <c r="B25" t="s">
        <v>1397</v>
      </c>
      <c r="C25" t="s">
        <v>1439</v>
      </c>
      <c r="D25" t="s">
        <v>1440</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ht="14.75">
      <c r="B26" t="s">
        <v>1394</v>
      </c>
      <c r="C26" t="s">
        <v>1441</v>
      </c>
      <c r="D26" t="s">
        <v>1442</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ht="14.75">
      <c r="B27" t="s">
        <v>363</v>
      </c>
      <c r="C27" t="s">
        <v>1443</v>
      </c>
      <c r="D27" t="s">
        <v>1444</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ht="14.75">
      <c r="B28" t="s">
        <v>364</v>
      </c>
      <c r="C28" t="s">
        <v>1445</v>
      </c>
      <c r="D28" t="s">
        <v>1446</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ht="14.75">
      <c r="B29" t="s">
        <v>365</v>
      </c>
      <c r="C29" t="s">
        <v>1447</v>
      </c>
      <c r="D29" t="s">
        <v>1448</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ht="14.75">
      <c r="B30" t="s">
        <v>366</v>
      </c>
      <c r="C30" t="s">
        <v>1449</v>
      </c>
      <c r="D30" t="s">
        <v>1450</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ht="14.75">
      <c r="B31" t="s">
        <v>367</v>
      </c>
      <c r="C31" t="s">
        <v>1451</v>
      </c>
      <c r="D31" t="s">
        <v>1452</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ht="14.75">
      <c r="B32" t="s">
        <v>368</v>
      </c>
      <c r="C32" t="s">
        <v>1453</v>
      </c>
      <c r="D32" t="s">
        <v>1454</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ht="14.75">
      <c r="B33" t="s">
        <v>369</v>
      </c>
      <c r="C33" t="s">
        <v>1455</v>
      </c>
      <c r="D33" t="s">
        <v>1456</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ht="14.75">
      <c r="B34" t="s">
        <v>370</v>
      </c>
      <c r="C34" t="s">
        <v>1457</v>
      </c>
      <c r="D34" t="s">
        <v>1458</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ht="14.75">
      <c r="B35" t="s">
        <v>371</v>
      </c>
      <c r="C35" t="s">
        <v>1459</v>
      </c>
      <c r="D35" t="s">
        <v>1460</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ht="14.75">
      <c r="B36" t="s">
        <v>372</v>
      </c>
      <c r="C36" t="s">
        <v>1461</v>
      </c>
      <c r="D36" t="s">
        <v>1462</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ht="14.75">
      <c r="B37" t="s">
        <v>335</v>
      </c>
    </row>
    <row r="38" spans="2:38" ht="14.75">
      <c r="B38" t="s">
        <v>373</v>
      </c>
    </row>
    <row r="39" spans="2:38" ht="14.75">
      <c r="B39" t="s">
        <v>358</v>
      </c>
      <c r="C39" t="s">
        <v>1463</v>
      </c>
      <c r="D39" t="s">
        <v>1464</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ht="14.75">
      <c r="B40" t="s">
        <v>359</v>
      </c>
      <c r="C40" t="s">
        <v>1465</v>
      </c>
      <c r="D40" t="s">
        <v>1466</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ht="14.75">
      <c r="B41" t="s">
        <v>374</v>
      </c>
      <c r="C41" t="s">
        <v>1467</v>
      </c>
      <c r="D41" t="s">
        <v>1468</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ht="14.75">
      <c r="B42" t="s">
        <v>375</v>
      </c>
    </row>
    <row r="43" spans="2:38" ht="14.75">
      <c r="B43" t="s">
        <v>362</v>
      </c>
      <c r="C43" t="s">
        <v>1469</v>
      </c>
      <c r="D43" t="s">
        <v>1470</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ht="14.75">
      <c r="B44" t="s">
        <v>1403</v>
      </c>
      <c r="C44" t="s">
        <v>1471</v>
      </c>
      <c r="D44" t="s">
        <v>1107</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ht="14.75">
      <c r="B45" t="s">
        <v>1401</v>
      </c>
      <c r="C45" t="s">
        <v>1472</v>
      </c>
      <c r="D45" t="s">
        <v>1107</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ht="14.75">
      <c r="B46" t="s">
        <v>1399</v>
      </c>
      <c r="C46" t="s">
        <v>1473</v>
      </c>
      <c r="D46" t="s">
        <v>1107</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ht="14.75">
      <c r="B47" t="s">
        <v>1397</v>
      </c>
      <c r="C47" t="s">
        <v>1474</v>
      </c>
      <c r="D47" t="s">
        <v>1475</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ht="14.75">
      <c r="B48" t="s">
        <v>1394</v>
      </c>
      <c r="C48" t="s">
        <v>1476</v>
      </c>
      <c r="D48" t="s">
        <v>1477</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ht="14.75">
      <c r="B49" t="s">
        <v>363</v>
      </c>
      <c r="C49" t="s">
        <v>1478</v>
      </c>
      <c r="D49" t="s">
        <v>1479</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ht="14.75">
      <c r="B50" t="s">
        <v>364</v>
      </c>
      <c r="C50" t="s">
        <v>1480</v>
      </c>
      <c r="D50" t="s">
        <v>1481</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ht="14.75">
      <c r="B51" t="s">
        <v>365</v>
      </c>
      <c r="C51" t="s">
        <v>1482</v>
      </c>
      <c r="D51" t="s">
        <v>1483</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ht="14.75">
      <c r="B52" t="s">
        <v>366</v>
      </c>
      <c r="C52" t="s">
        <v>1484</v>
      </c>
      <c r="D52" t="s">
        <v>1485</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ht="14.75">
      <c r="B53" t="s">
        <v>367</v>
      </c>
      <c r="C53" t="s">
        <v>1486</v>
      </c>
      <c r="D53" t="s">
        <v>1487</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ht="14.75">
      <c r="B54" t="s">
        <v>368</v>
      </c>
      <c r="C54" t="s">
        <v>1488</v>
      </c>
      <c r="D54" t="s">
        <v>1489</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ht="14.75">
      <c r="B55" t="s">
        <v>369</v>
      </c>
      <c r="C55" t="s">
        <v>1490</v>
      </c>
      <c r="D55" t="s">
        <v>1491</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ht="14.75">
      <c r="B56" t="s">
        <v>370</v>
      </c>
      <c r="C56" t="s">
        <v>1492</v>
      </c>
      <c r="D56" t="s">
        <v>1493</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ht="14.75">
      <c r="B57" t="s">
        <v>376</v>
      </c>
      <c r="C57" t="s">
        <v>1494</v>
      </c>
      <c r="D57" t="s">
        <v>1495</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ht="14.75">
      <c r="B58" t="s">
        <v>377</v>
      </c>
      <c r="C58" t="s">
        <v>1496</v>
      </c>
      <c r="D58" t="s">
        <v>1497</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ht="14.75">
      <c r="B59" t="s">
        <v>300</v>
      </c>
      <c r="C59" t="s">
        <v>1498</v>
      </c>
      <c r="D59" t="s">
        <v>1499</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ht="14.75">
      <c r="B60" t="s">
        <v>311</v>
      </c>
    </row>
    <row r="61" spans="1:38" ht="14.75">
      <c r="A61" s="60" t="s">
        <v>113</v>
      </c>
      <c r="B61" t="s">
        <v>313</v>
      </c>
      <c r="C61" t="s">
        <v>1500</v>
      </c>
      <c r="D61" t="s">
        <v>1501</v>
      </c>
      <c r="E61" t="s">
        <v>354</v>
      </c>
      <c r="G61">
        <v>510.039062</v>
      </c>
      <c r="H61">
        <v>513.23223900000005</v>
      </c>
      <c r="I61">
        <v>514.50213599999995</v>
      </c>
      <c r="J61">
        <v>516.66699200000005</v>
      </c>
      <c r="K61">
        <v>520.87158199999999</v>
      </c>
      <c r="L61">
        <v>519.23016399999995</v>
      </c>
      <c r="M61">
        <v>518.84228499999995</v>
      </c>
      <c r="N61">
        <v>517.39123500000005</v>
      </c>
      <c r="O61">
        <v>515.60320999999999</v>
      </c>
      <c r="P61">
        <v>514.84002699999996</v>
      </c>
      <c r="Q61">
        <v>515.51892099999998</v>
      </c>
      <c r="R61">
        <v>516.38940400000001</v>
      </c>
      <c r="S61">
        <v>517.64654499999995</v>
      </c>
      <c r="T61">
        <v>518.72296100000005</v>
      </c>
      <c r="U61">
        <v>519.57183799999996</v>
      </c>
      <c r="V61">
        <v>520.63885500000004</v>
      </c>
      <c r="W61">
        <v>521.87011700000005</v>
      </c>
      <c r="X61">
        <v>522.68402100000003</v>
      </c>
      <c r="Y61">
        <v>524.88647500000002</v>
      </c>
      <c r="Z61">
        <v>527.33355700000004</v>
      </c>
      <c r="AA61">
        <v>530.563354</v>
      </c>
      <c r="AB61">
        <v>533.10168499999997</v>
      </c>
      <c r="AC61">
        <v>535.15930200000003</v>
      </c>
      <c r="AD61">
        <v>537.66613800000005</v>
      </c>
      <c r="AE61">
        <v>541.15063499999997</v>
      </c>
      <c r="AF61">
        <v>546.01293899999996</v>
      </c>
      <c r="AG61">
        <v>550.45172100000002</v>
      </c>
      <c r="AH61">
        <v>555.214111</v>
      </c>
      <c r="AI61">
        <v>561.632385</v>
      </c>
      <c r="AJ61" s="31">
        <v>3.0000000000000001E-3</v>
      </c>
      <c r="AL61" s="31">
        <v>-2.5000000000000001E-2</v>
      </c>
    </row>
    <row r="62" spans="1:38" ht="14.75">
      <c r="A62" s="60" t="s">
        <v>114</v>
      </c>
      <c r="B62" t="s">
        <v>327</v>
      </c>
      <c r="C62" t="s">
        <v>1502</v>
      </c>
      <c r="D62" t="s">
        <v>1503</v>
      </c>
      <c r="E62" t="s">
        <v>354</v>
      </c>
      <c r="G62">
        <v>289.12042200000002</v>
      </c>
      <c r="H62">
        <v>286.75845299999997</v>
      </c>
      <c r="I62">
        <v>280.34622200000001</v>
      </c>
      <c r="J62">
        <v>273.89959700000003</v>
      </c>
      <c r="K62">
        <v>268.30764799999997</v>
      </c>
      <c r="L62">
        <v>266.094177</v>
      </c>
      <c r="M62">
        <v>263.51705900000002</v>
      </c>
      <c r="N62">
        <v>260.94448899999998</v>
      </c>
      <c r="O62">
        <v>258.00408900000002</v>
      </c>
      <c r="P62">
        <v>255.270264</v>
      </c>
      <c r="Q62">
        <v>253.60591099999999</v>
      </c>
      <c r="R62">
        <v>252.222351</v>
      </c>
      <c r="S62">
        <v>251.02647400000001</v>
      </c>
      <c r="T62">
        <v>250.13725299999999</v>
      </c>
      <c r="U62">
        <v>249.41119399999999</v>
      </c>
      <c r="V62">
        <v>248.96447800000001</v>
      </c>
      <c r="W62">
        <v>248.966904</v>
      </c>
      <c r="X62">
        <v>248.90626499999999</v>
      </c>
      <c r="Y62">
        <v>249.25396699999999</v>
      </c>
      <c r="Z62">
        <v>250.61579900000001</v>
      </c>
      <c r="AA62">
        <v>251.53904700000001</v>
      </c>
      <c r="AB62">
        <v>252.49449200000001</v>
      </c>
      <c r="AC62">
        <v>253.52728300000001</v>
      </c>
      <c r="AD62">
        <v>255.131012</v>
      </c>
      <c r="AE62">
        <v>256.97701999999998</v>
      </c>
      <c r="AF62">
        <v>259.20791600000001</v>
      </c>
      <c r="AG62">
        <v>261.096924</v>
      </c>
      <c r="AH62">
        <v>262.84182700000002</v>
      </c>
      <c r="AI62">
        <v>265.58343500000001</v>
      </c>
      <c r="AJ62" s="31">
        <v>-3.0000000000000001E-3</v>
      </c>
      <c r="AL62" s="31">
        <v>8.0000000000000002E-3</v>
      </c>
    </row>
    <row r="63" spans="1:38" ht="14.75">
      <c r="A63" s="60" t="s">
        <v>257</v>
      </c>
      <c r="B63" t="s">
        <v>308</v>
      </c>
      <c r="C63" t="s">
        <v>1504</v>
      </c>
      <c r="D63" t="s">
        <v>1505</v>
      </c>
      <c r="E63" t="s">
        <v>354</v>
      </c>
      <c r="G63">
        <v>1.1919999999999999E-3</v>
      </c>
      <c r="H63">
        <v>5.9367000000000003E-2</v>
      </c>
      <c r="I63">
        <v>0.11705</v>
      </c>
      <c r="J63">
        <v>0.17241300000000001</v>
      </c>
      <c r="K63">
        <v>0.22949800000000001</v>
      </c>
      <c r="L63">
        <v>0.28361900000000001</v>
      </c>
      <c r="M63">
        <v>0.33646300000000001</v>
      </c>
      <c r="N63">
        <v>0.39336500000000002</v>
      </c>
      <c r="O63">
        <v>0.43659700000000001</v>
      </c>
      <c r="P63">
        <v>0.48442800000000003</v>
      </c>
      <c r="Q63">
        <v>0.53945200000000004</v>
      </c>
      <c r="R63">
        <v>0.60183900000000001</v>
      </c>
      <c r="S63">
        <v>0.67321399999999998</v>
      </c>
      <c r="T63">
        <v>0.75634199999999996</v>
      </c>
      <c r="U63">
        <v>0.853271</v>
      </c>
      <c r="V63">
        <v>0.96770199999999995</v>
      </c>
      <c r="W63">
        <v>1.1022019999999999</v>
      </c>
      <c r="X63">
        <v>1.257558</v>
      </c>
      <c r="Y63">
        <v>1.439565</v>
      </c>
      <c r="Z63">
        <v>1.649748</v>
      </c>
      <c r="AA63">
        <v>1.8861079999999999</v>
      </c>
      <c r="AB63">
        <v>2.1497600000000001</v>
      </c>
      <c r="AC63">
        <v>2.4400059999999999</v>
      </c>
      <c r="AD63">
        <v>2.7592590000000001</v>
      </c>
      <c r="AE63">
        <v>3.1105109999999998</v>
      </c>
      <c r="AF63">
        <v>3.4898639999999999</v>
      </c>
      <c r="AG63">
        <v>3.885303</v>
      </c>
      <c r="AH63">
        <v>4.2978630000000004</v>
      </c>
      <c r="AI63">
        <v>4.7380370000000003</v>
      </c>
      <c r="AJ63" s="31">
        <v>0.34399999999999997</v>
      </c>
      <c r="AL63" s="31">
        <v>8.7999999999999995E-2</v>
      </c>
    </row>
    <row r="64" spans="1:38" ht="14.75">
      <c r="A64" s="60" t="s">
        <v>112</v>
      </c>
      <c r="B64" t="s">
        <v>307</v>
      </c>
      <c r="C64" t="s">
        <v>1506</v>
      </c>
      <c r="D64" t="s">
        <v>1507</v>
      </c>
      <c r="E64" t="s">
        <v>354</v>
      </c>
      <c r="G64">
        <v>1.100109</v>
      </c>
      <c r="H64">
        <v>1.0280959999999999</v>
      </c>
      <c r="I64">
        <v>0.95485699999999996</v>
      </c>
      <c r="J64">
        <v>0.85162800000000005</v>
      </c>
      <c r="K64">
        <v>0.74851699999999999</v>
      </c>
      <c r="L64">
        <v>0.657968</v>
      </c>
      <c r="M64">
        <v>0.59255500000000005</v>
      </c>
      <c r="N64">
        <v>0.53501100000000001</v>
      </c>
      <c r="O64">
        <v>0.478159</v>
      </c>
      <c r="P64">
        <v>0.42399300000000001</v>
      </c>
      <c r="Q64">
        <v>0.376664</v>
      </c>
      <c r="R64">
        <v>0.33548499999999998</v>
      </c>
      <c r="S64">
        <v>0.30089100000000002</v>
      </c>
      <c r="T64">
        <v>0.27107300000000001</v>
      </c>
      <c r="U64">
        <v>0.243198</v>
      </c>
      <c r="V64">
        <v>0.217586</v>
      </c>
      <c r="W64">
        <v>0.19492699999999999</v>
      </c>
      <c r="X64">
        <v>0.17607900000000001</v>
      </c>
      <c r="Y64">
        <v>0.160581</v>
      </c>
      <c r="Z64">
        <v>0.14618200000000001</v>
      </c>
      <c r="AA64">
        <v>0.133464</v>
      </c>
      <c r="AB64">
        <v>0.121475</v>
      </c>
      <c r="AC64">
        <v>0.110383</v>
      </c>
      <c r="AD64">
        <v>9.9973999999999993E-2</v>
      </c>
      <c r="AE64">
        <v>8.7946999999999997E-2</v>
      </c>
      <c r="AF64">
        <v>7.2319999999999995E-2</v>
      </c>
      <c r="AG64">
        <v>5.7146000000000002E-2</v>
      </c>
      <c r="AH64">
        <v>4.5075999999999998E-2</v>
      </c>
      <c r="AI64">
        <v>3.4169999999999999E-2</v>
      </c>
      <c r="AJ64" s="31">
        <v>-0.11700000000000001</v>
      </c>
      <c r="AL64" s="31">
        <v>-1.2999999999999999E-2</v>
      </c>
    </row>
    <row r="65" spans="1:38" ht="14.75">
      <c r="A65" s="60" t="s">
        <v>113</v>
      </c>
      <c r="B65" t="s">
        <v>378</v>
      </c>
      <c r="C65" t="s">
        <v>1508</v>
      </c>
      <c r="D65" t="s">
        <v>1509</v>
      </c>
      <c r="E65" t="s">
        <v>354</v>
      </c>
      <c r="G65">
        <v>151.242096</v>
      </c>
      <c r="H65">
        <v>141.34045399999999</v>
      </c>
      <c r="I65">
        <v>129.145813</v>
      </c>
      <c r="J65">
        <v>120.461792</v>
      </c>
      <c r="K65">
        <v>112.432281</v>
      </c>
      <c r="L65">
        <v>107.911163</v>
      </c>
      <c r="M65">
        <v>104.367622</v>
      </c>
      <c r="N65">
        <v>102.90226</v>
      </c>
      <c r="O65">
        <v>101.621651</v>
      </c>
      <c r="P65">
        <v>100.82184599999999</v>
      </c>
      <c r="Q65">
        <v>100.73156</v>
      </c>
      <c r="R65">
        <v>101.22623400000001</v>
      </c>
      <c r="S65">
        <v>102.21268499999999</v>
      </c>
      <c r="T65">
        <v>103.91997499999999</v>
      </c>
      <c r="U65">
        <v>106.051331</v>
      </c>
      <c r="V65">
        <v>108.749588</v>
      </c>
      <c r="W65">
        <v>111.789322</v>
      </c>
      <c r="X65">
        <v>115.00824</v>
      </c>
      <c r="Y65">
        <v>118.47511299999999</v>
      </c>
      <c r="Z65">
        <v>122.06257600000001</v>
      </c>
      <c r="AA65">
        <v>125.481247</v>
      </c>
      <c r="AB65">
        <v>128.27446</v>
      </c>
      <c r="AC65">
        <v>130.72479200000001</v>
      </c>
      <c r="AD65">
        <v>133.17832899999999</v>
      </c>
      <c r="AE65">
        <v>135.37008700000001</v>
      </c>
      <c r="AF65">
        <v>137.66871599999999</v>
      </c>
      <c r="AG65">
        <v>139.07934599999999</v>
      </c>
      <c r="AH65">
        <v>140.81187399999999</v>
      </c>
      <c r="AI65">
        <v>142.651398</v>
      </c>
      <c r="AJ65" s="31">
        <v>-2E-3</v>
      </c>
      <c r="AL65" s="31">
        <v>3.1E-2</v>
      </c>
    </row>
    <row r="66" spans="1:38" ht="14.75">
      <c r="A66" t="s">
        <v>111</v>
      </c>
      <c r="B66" t="s">
        <v>379</v>
      </c>
      <c r="C66" t="s">
        <v>1510</v>
      </c>
      <c r="D66" t="s">
        <v>1511</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v>0.115</v>
      </c>
    </row>
    <row r="67" spans="1:38" ht="14.75">
      <c r="A67" t="s">
        <v>115</v>
      </c>
      <c r="B67" t="s">
        <v>380</v>
      </c>
      <c r="C67" t="s">
        <v>1512</v>
      </c>
      <c r="D67" t="s">
        <v>1513</v>
      </c>
      <c r="E67" t="s">
        <v>354</v>
      </c>
      <c r="G67">
        <v>0</v>
      </c>
      <c r="H67">
        <v>6.2978000000000006E-2</v>
      </c>
      <c r="I67">
        <v>0.122956</v>
      </c>
      <c r="J67">
        <v>0.178811</v>
      </c>
      <c r="K67">
        <v>0.23327899999999999</v>
      </c>
      <c r="L67">
        <v>0.28162999999999999</v>
      </c>
      <c r="M67">
        <v>0.325901</v>
      </c>
      <c r="N67">
        <v>0.37086799999999998</v>
      </c>
      <c r="O67">
        <v>0.397096</v>
      </c>
      <c r="P67">
        <v>0.42360599999999998</v>
      </c>
      <c r="Q67">
        <v>0.45221899999999998</v>
      </c>
      <c r="R67">
        <v>0.48278100000000002</v>
      </c>
      <c r="S67">
        <v>0.51613600000000004</v>
      </c>
      <c r="T67">
        <v>0.55324600000000002</v>
      </c>
      <c r="U67">
        <v>0.59435800000000005</v>
      </c>
      <c r="V67">
        <v>0.64073599999999997</v>
      </c>
      <c r="W67">
        <v>0.69328500000000004</v>
      </c>
      <c r="X67">
        <v>0.751108</v>
      </c>
      <c r="Y67">
        <v>0.81681300000000001</v>
      </c>
      <c r="Z67">
        <v>0.88981200000000005</v>
      </c>
      <c r="AA67">
        <v>0.96829799999999999</v>
      </c>
      <c r="AB67">
        <v>1.0518890000000001</v>
      </c>
      <c r="AC67">
        <v>1.139437</v>
      </c>
      <c r="AD67">
        <v>1.2310449999999999</v>
      </c>
      <c r="AE67">
        <v>1.327474</v>
      </c>
      <c r="AF67">
        <v>1.426723</v>
      </c>
      <c r="AG67">
        <v>1.52464</v>
      </c>
      <c r="AH67">
        <v>1.6223460000000001</v>
      </c>
      <c r="AI67">
        <v>1.7244090000000001</v>
      </c>
      <c r="AJ67" t="s">
        <v>117</v>
      </c>
      <c r="AL67" s="31">
        <v>0.11</v>
      </c>
    </row>
    <row r="68" spans="1:38" ht="14.75">
      <c r="A68" t="s">
        <v>115</v>
      </c>
      <c r="B68" t="s">
        <v>381</v>
      </c>
      <c r="C68" t="s">
        <v>1514</v>
      </c>
      <c r="D68" t="s">
        <v>1515</v>
      </c>
      <c r="E68" t="s">
        <v>354</v>
      </c>
      <c r="G68">
        <v>0</v>
      </c>
      <c r="H68">
        <v>7.6647000000000007E-2</v>
      </c>
      <c r="I68">
        <v>0.151202</v>
      </c>
      <c r="J68">
        <v>0.22044</v>
      </c>
      <c r="K68">
        <v>0.28801599999999999</v>
      </c>
      <c r="L68">
        <v>0.34804000000000002</v>
      </c>
      <c r="M68">
        <v>0.40257300000000001</v>
      </c>
      <c r="N68">
        <v>0.458179</v>
      </c>
      <c r="O68">
        <v>0.491732</v>
      </c>
      <c r="P68">
        <v>0.52673199999999998</v>
      </c>
      <c r="Q68">
        <v>0.56595499999999999</v>
      </c>
      <c r="R68">
        <v>0.60931599999999997</v>
      </c>
      <c r="S68">
        <v>0.65773000000000004</v>
      </c>
      <c r="T68">
        <v>0.71264799999999995</v>
      </c>
      <c r="U68">
        <v>0.77426099999999998</v>
      </c>
      <c r="V68">
        <v>0.84438500000000005</v>
      </c>
      <c r="W68">
        <v>0.92414300000000005</v>
      </c>
      <c r="X68">
        <v>1.0127740000000001</v>
      </c>
      <c r="Y68">
        <v>1.1138159999999999</v>
      </c>
      <c r="Z68">
        <v>1.2268190000000001</v>
      </c>
      <c r="AA68">
        <v>1.34934</v>
      </c>
      <c r="AB68">
        <v>1.481028</v>
      </c>
      <c r="AC68">
        <v>1.619354</v>
      </c>
      <c r="AD68">
        <v>1.7644580000000001</v>
      </c>
      <c r="AE68">
        <v>1.9161699999999999</v>
      </c>
      <c r="AF68">
        <v>2.0719439999999998</v>
      </c>
      <c r="AG68">
        <v>2.2248920000000001</v>
      </c>
      <c r="AH68">
        <v>2.3770630000000001</v>
      </c>
      <c r="AI68">
        <v>2.5342030000000002</v>
      </c>
      <c r="AJ68" t="s">
        <v>117</v>
      </c>
      <c r="AL68" s="31">
        <v>0.115</v>
      </c>
    </row>
    <row r="69" spans="1:38" ht="14.75">
      <c r="A69" s="60" t="s">
        <v>258</v>
      </c>
      <c r="B69" t="s">
        <v>382</v>
      </c>
      <c r="C69" t="s">
        <v>1516</v>
      </c>
      <c r="D69" t="s">
        <v>1517</v>
      </c>
      <c r="E69" t="s">
        <v>354</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c r="AL69" t="s">
        <v>117</v>
      </c>
    </row>
    <row r="70" spans="1:38" ht="14.75">
      <c r="B70" t="s">
        <v>383</v>
      </c>
      <c r="C70" t="s">
        <v>1518</v>
      </c>
      <c r="D70" t="s">
        <v>1519</v>
      </c>
      <c r="E70" t="s">
        <v>354</v>
      </c>
      <c r="G70">
        <v>951.50292999999999</v>
      </c>
      <c r="H70">
        <v>942.55828899999995</v>
      </c>
      <c r="I70">
        <v>925.34027100000003</v>
      </c>
      <c r="J70">
        <v>912.45172100000002</v>
      </c>
      <c r="K70">
        <v>903.11077899999998</v>
      </c>
      <c r="L70">
        <v>894.80676300000005</v>
      </c>
      <c r="M70">
        <v>888.38452099999995</v>
      </c>
      <c r="N70">
        <v>882.99542199999996</v>
      </c>
      <c r="O70">
        <v>877.03253199999995</v>
      </c>
      <c r="P70">
        <v>872.79089399999998</v>
      </c>
      <c r="Q70">
        <v>871.79064900000003</v>
      </c>
      <c r="R70">
        <v>871.86749299999997</v>
      </c>
      <c r="S70">
        <v>873.03369099999998</v>
      </c>
      <c r="T70">
        <v>875.073486</v>
      </c>
      <c r="U70">
        <v>877.49945100000002</v>
      </c>
      <c r="V70">
        <v>881.02331500000003</v>
      </c>
      <c r="W70">
        <v>885.54089399999998</v>
      </c>
      <c r="X70">
        <v>889.796021</v>
      </c>
      <c r="Y70">
        <v>896.14636199999995</v>
      </c>
      <c r="Z70">
        <v>903.92443800000001</v>
      </c>
      <c r="AA70">
        <v>911.92095900000004</v>
      </c>
      <c r="AB70">
        <v>918.67480499999999</v>
      </c>
      <c r="AC70">
        <v>924.72058100000004</v>
      </c>
      <c r="AD70">
        <v>931.83019999999999</v>
      </c>
      <c r="AE70">
        <v>939.93994099999998</v>
      </c>
      <c r="AF70">
        <v>949.950378</v>
      </c>
      <c r="AG70">
        <v>958.32000700000003</v>
      </c>
      <c r="AH70">
        <v>967.21020499999997</v>
      </c>
      <c r="AI70">
        <v>978.89801</v>
      </c>
      <c r="AJ70" s="31">
        <v>1E-3</v>
      </c>
      <c r="AL70" s="31">
        <v>8.9999999999999993E-3</v>
      </c>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328125" customWidth="1"/>
    <col min="2" max="2" width="35.1328125" customWidth="1"/>
    <col min="3" max="3" width="93.8632812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1080</v>
      </c>
    </row>
    <row r="10" spans="2:36" ht="14.75">
      <c r="B10" t="s">
        <v>384</v>
      </c>
    </row>
    <row r="11" spans="2:36" ht="14.75">
      <c r="B11" t="s">
        <v>1520</v>
      </c>
    </row>
    <row r="12" spans="2:36" ht="14.75">
      <c r="B12" t="s">
        <v>1521</v>
      </c>
    </row>
    <row r="13" spans="2:36" ht="14.75">
      <c r="B13" t="s">
        <v>302</v>
      </c>
    </row>
    <row r="14" spans="2:36" ht="14.75">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1080</v>
      </c>
    </row>
    <row r="15" spans="2:36" ht="14.75">
      <c r="B15" t="s">
        <v>356</v>
      </c>
    </row>
    <row r="16" spans="2:36" ht="14.75">
      <c r="B16" t="s">
        <v>357</v>
      </c>
    </row>
    <row r="17" spans="2:38" ht="14.75">
      <c r="B17" t="s">
        <v>358</v>
      </c>
      <c r="C17" t="s">
        <v>1522</v>
      </c>
      <c r="D17" t="s">
        <v>1523</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ht="14.75">
      <c r="B18" t="s">
        <v>359</v>
      </c>
      <c r="C18" t="s">
        <v>1524</v>
      </c>
      <c r="D18" t="s">
        <v>1525</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ht="14.75">
      <c r="B19" t="s">
        <v>360</v>
      </c>
      <c r="C19" t="s">
        <v>1526</v>
      </c>
      <c r="D19" t="s">
        <v>1527</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ht="14.75">
      <c r="B20" t="s">
        <v>361</v>
      </c>
    </row>
    <row r="21" spans="2:38" ht="14.75">
      <c r="B21" t="s">
        <v>362</v>
      </c>
      <c r="C21" t="s">
        <v>1528</v>
      </c>
      <c r="D21" t="s">
        <v>1529</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ht="14.75">
      <c r="B22" t="s">
        <v>1403</v>
      </c>
      <c r="C22" t="s">
        <v>1530</v>
      </c>
      <c r="D22" t="s">
        <v>1107</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ht="14.75">
      <c r="B23" t="s">
        <v>1401</v>
      </c>
      <c r="C23" t="s">
        <v>1531</v>
      </c>
      <c r="D23" t="s">
        <v>1107</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ht="14.75">
      <c r="B24" t="s">
        <v>1399</v>
      </c>
      <c r="C24" t="s">
        <v>1532</v>
      </c>
      <c r="D24" t="s">
        <v>1107</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ht="14.75">
      <c r="B25" t="s">
        <v>1397</v>
      </c>
      <c r="C25" t="s">
        <v>1533</v>
      </c>
      <c r="D25" t="s">
        <v>1534</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ht="14.75">
      <c r="B26" t="s">
        <v>1394</v>
      </c>
      <c r="C26" t="s">
        <v>1535</v>
      </c>
      <c r="D26" t="s">
        <v>1536</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ht="14.75">
      <c r="B27" t="s">
        <v>363</v>
      </c>
      <c r="C27" t="s">
        <v>1537</v>
      </c>
      <c r="D27" t="s">
        <v>1538</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ht="14.75">
      <c r="B28" t="s">
        <v>364</v>
      </c>
      <c r="C28" t="s">
        <v>1539</v>
      </c>
      <c r="D28" t="s">
        <v>1540</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ht="14.75">
      <c r="B29" t="s">
        <v>365</v>
      </c>
      <c r="C29" t="s">
        <v>1541</v>
      </c>
      <c r="D29" t="s">
        <v>1542</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ht="14.75">
      <c r="B30" t="s">
        <v>366</v>
      </c>
      <c r="C30" t="s">
        <v>1543</v>
      </c>
      <c r="D30" t="s">
        <v>1544</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ht="14.75">
      <c r="B31" t="s">
        <v>367</v>
      </c>
      <c r="C31" t="s">
        <v>1545</v>
      </c>
      <c r="D31" t="s">
        <v>1546</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ht="14.75">
      <c r="B32" t="s">
        <v>368</v>
      </c>
      <c r="C32" t="s">
        <v>1547</v>
      </c>
      <c r="D32" t="s">
        <v>1548</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ht="14.75">
      <c r="B33" t="s">
        <v>369</v>
      </c>
      <c r="C33" t="s">
        <v>1549</v>
      </c>
      <c r="D33" t="s">
        <v>1550</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ht="14.75">
      <c r="B34" t="s">
        <v>370</v>
      </c>
      <c r="C34" t="s">
        <v>1551</v>
      </c>
      <c r="D34" t="s">
        <v>1552</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ht="14.75">
      <c r="B35" t="s">
        <v>371</v>
      </c>
      <c r="C35" t="s">
        <v>1553</v>
      </c>
      <c r="D35" t="s">
        <v>1554</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ht="14.75">
      <c r="B36" t="s">
        <v>385</v>
      </c>
      <c r="C36" t="s">
        <v>1555</v>
      </c>
      <c r="D36" t="s">
        <v>1556</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ht="14.75">
      <c r="B37" t="s">
        <v>335</v>
      </c>
    </row>
    <row r="38" spans="2:38" ht="14.75">
      <c r="B38" t="s">
        <v>373</v>
      </c>
    </row>
    <row r="39" spans="2:38" ht="14.75">
      <c r="B39" t="s">
        <v>358</v>
      </c>
      <c r="C39" t="s">
        <v>1557</v>
      </c>
      <c r="D39" t="s">
        <v>1558</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ht="14.75">
      <c r="B40" t="s">
        <v>359</v>
      </c>
      <c r="C40" t="s">
        <v>1559</v>
      </c>
      <c r="D40" t="s">
        <v>1560</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ht="14.75">
      <c r="B41" t="s">
        <v>374</v>
      </c>
      <c r="C41" t="s">
        <v>1561</v>
      </c>
      <c r="D41" t="s">
        <v>1562</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ht="14.75">
      <c r="B42" t="s">
        <v>375</v>
      </c>
    </row>
    <row r="43" spans="2:38" ht="14.75">
      <c r="B43" t="s">
        <v>362</v>
      </c>
      <c r="C43" t="s">
        <v>1563</v>
      </c>
      <c r="D43" t="s">
        <v>1564</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ht="14.75">
      <c r="B44" t="s">
        <v>1403</v>
      </c>
      <c r="C44" t="s">
        <v>1565</v>
      </c>
      <c r="D44" t="s">
        <v>1107</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ht="14.75">
      <c r="B45" t="s">
        <v>1401</v>
      </c>
      <c r="C45" t="s">
        <v>1566</v>
      </c>
      <c r="D45" t="s">
        <v>1107</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ht="14.75">
      <c r="B46" t="s">
        <v>1399</v>
      </c>
      <c r="C46" t="s">
        <v>1567</v>
      </c>
      <c r="D46" t="s">
        <v>1107</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ht="14.75">
      <c r="B47" t="s">
        <v>1397</v>
      </c>
      <c r="C47" t="s">
        <v>1568</v>
      </c>
      <c r="D47" t="s">
        <v>1569</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ht="14.75">
      <c r="B48" t="s">
        <v>1394</v>
      </c>
      <c r="C48" t="s">
        <v>1570</v>
      </c>
      <c r="D48" t="s">
        <v>1571</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ht="14.75">
      <c r="B49" t="s">
        <v>363</v>
      </c>
      <c r="C49" t="s">
        <v>1572</v>
      </c>
      <c r="D49" t="s">
        <v>1573</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ht="14.75">
      <c r="B50" t="s">
        <v>364</v>
      </c>
      <c r="C50" t="s">
        <v>1574</v>
      </c>
      <c r="D50" t="s">
        <v>1575</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ht="14.75">
      <c r="B51" t="s">
        <v>365</v>
      </c>
      <c r="C51" t="s">
        <v>1576</v>
      </c>
      <c r="D51" t="s">
        <v>1577</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ht="14.75">
      <c r="B52" t="s">
        <v>366</v>
      </c>
      <c r="C52" t="s">
        <v>1578</v>
      </c>
      <c r="D52" t="s">
        <v>1579</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ht="14.75">
      <c r="B53" t="s">
        <v>367</v>
      </c>
      <c r="C53" t="s">
        <v>1580</v>
      </c>
      <c r="D53" t="s">
        <v>1581</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ht="14.75">
      <c r="B54" t="s">
        <v>368</v>
      </c>
      <c r="C54" t="s">
        <v>1582</v>
      </c>
      <c r="D54" t="s">
        <v>1583</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ht="14.75">
      <c r="B55" t="s">
        <v>369</v>
      </c>
      <c r="C55" t="s">
        <v>1584</v>
      </c>
      <c r="D55" t="s">
        <v>1585</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ht="14.75">
      <c r="B56" t="s">
        <v>370</v>
      </c>
      <c r="C56" t="s">
        <v>1586</v>
      </c>
      <c r="D56" t="s">
        <v>1587</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ht="14.75">
      <c r="B57" t="s">
        <v>376</v>
      </c>
      <c r="C57" t="s">
        <v>1588</v>
      </c>
      <c r="D57" t="s">
        <v>1589</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ht="14.75">
      <c r="B58" t="s">
        <v>386</v>
      </c>
      <c r="C58" t="s">
        <v>1590</v>
      </c>
      <c r="D58" t="s">
        <v>1591</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ht="14.75">
      <c r="B59" t="s">
        <v>300</v>
      </c>
      <c r="C59" t="s">
        <v>1592</v>
      </c>
      <c r="D59" t="s">
        <v>1593</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ht="14.75">
      <c r="B60" s="1" t="s">
        <v>311</v>
      </c>
    </row>
    <row r="61" spans="1:38" ht="14.75">
      <c r="A61" s="60" t="s">
        <v>113</v>
      </c>
      <c r="B61" t="s">
        <v>313</v>
      </c>
      <c r="C61" t="s">
        <v>1594</v>
      </c>
      <c r="D61" t="s">
        <v>1595</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ht="14.75">
      <c r="A62" s="60" t="s">
        <v>114</v>
      </c>
      <c r="B62" t="s">
        <v>327</v>
      </c>
      <c r="C62" t="s">
        <v>1596</v>
      </c>
      <c r="D62" t="s">
        <v>1597</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ht="14.75">
      <c r="A63" s="60" t="s">
        <v>257</v>
      </c>
      <c r="B63" t="s">
        <v>308</v>
      </c>
      <c r="C63" t="s">
        <v>1598</v>
      </c>
      <c r="D63" t="s">
        <v>1599</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29.5">
      <c r="A64" s="60" t="s">
        <v>112</v>
      </c>
      <c r="B64" t="s">
        <v>307</v>
      </c>
      <c r="C64" t="s">
        <v>1600</v>
      </c>
      <c r="D64" t="s">
        <v>1601</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14.75">
      <c r="A65" s="60" t="s">
        <v>113</v>
      </c>
      <c r="B65" t="s">
        <v>378</v>
      </c>
      <c r="C65" t="s">
        <v>1602</v>
      </c>
      <c r="D65" t="s">
        <v>1603</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ht="14.75">
      <c r="A66" t="s">
        <v>111</v>
      </c>
      <c r="B66" t="s">
        <v>379</v>
      </c>
      <c r="C66" t="s">
        <v>1604</v>
      </c>
      <c r="D66" t="s">
        <v>1605</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ht="14.75">
      <c r="A67" t="s">
        <v>115</v>
      </c>
      <c r="B67" t="s">
        <v>380</v>
      </c>
      <c r="C67" t="s">
        <v>1606</v>
      </c>
      <c r="D67" t="s">
        <v>1607</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ht="14.75">
      <c r="A68" t="s">
        <v>115</v>
      </c>
      <c r="B68" t="s">
        <v>381</v>
      </c>
      <c r="C68" t="s">
        <v>1608</v>
      </c>
      <c r="D68" t="s">
        <v>1609</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29.5">
      <c r="A69" s="60" t="s">
        <v>258</v>
      </c>
      <c r="B69" t="s">
        <v>382</v>
      </c>
      <c r="C69" t="s">
        <v>1610</v>
      </c>
      <c r="D69" t="s">
        <v>1611</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ht="14.75">
      <c r="B70" t="s">
        <v>383</v>
      </c>
      <c r="C70" t="s">
        <v>1612</v>
      </c>
      <c r="D70" t="s">
        <v>1613</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6328125" customWidth="1"/>
    <col min="2" max="2" width="67.8632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2" spans="1:35"/>
    <row r="3" spans="1:35"/>
    <row r="4" spans="1:35"/>
    <row r="5" spans="1:35"/>
    <row r="6" spans="1:35"/>
    <row r="7" spans="1:35"/>
    <row r="8" spans="1:35"/>
    <row r="9" spans="1:35"/>
    <row r="10" spans="1:35">
      <c r="A10" t="s">
        <v>421</v>
      </c>
    </row>
    <row r="11" spans="1:35">
      <c r="A11" t="s">
        <v>1614</v>
      </c>
    </row>
    <row r="12" spans="1:35">
      <c r="A12" t="s">
        <v>1615</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5">
      <c r="A15" t="s">
        <v>123</v>
      </c>
      <c r="B15" t="s">
        <v>1616</v>
      </c>
      <c r="C15" t="s">
        <v>1617</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1618</v>
      </c>
      <c r="C17" t="s">
        <v>1619</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1620</v>
      </c>
      <c r="C18" t="s">
        <v>1621</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1622</v>
      </c>
      <c r="C21" t="s">
        <v>1623</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1624</v>
      </c>
      <c r="C22" t="s">
        <v>1625</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1626</v>
      </c>
      <c r="B23" t="s">
        <v>1627</v>
      </c>
      <c r="C23" t="s">
        <v>1628</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1629</v>
      </c>
      <c r="B24" t="s">
        <v>1630</v>
      </c>
      <c r="C24" t="s">
        <v>1631</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1632</v>
      </c>
      <c r="B25" t="s">
        <v>1633</v>
      </c>
      <c r="C25" t="s">
        <v>1634</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1635</v>
      </c>
      <c r="B26" t="s">
        <v>1636</v>
      </c>
      <c r="C26" t="s">
        <v>1637</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1638</v>
      </c>
      <c r="B27" t="s">
        <v>1639</v>
      </c>
      <c r="C27" t="s">
        <v>1640</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1641</v>
      </c>
      <c r="B28" t="s">
        <v>1642</v>
      </c>
      <c r="C28" t="s">
        <v>1643</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1644</v>
      </c>
      <c r="B29" t="s">
        <v>1645</v>
      </c>
      <c r="C29" t="s">
        <v>1646</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1647</v>
      </c>
      <c r="C30" t="s">
        <v>1648</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1649</v>
      </c>
      <c r="B31" t="s">
        <v>1650</v>
      </c>
      <c r="C31" t="s">
        <v>1651</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1652</v>
      </c>
      <c r="B32" t="s">
        <v>1653</v>
      </c>
      <c r="C32" t="s">
        <v>1654</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1655</v>
      </c>
      <c r="B33" t="s">
        <v>1656</v>
      </c>
      <c r="C33" t="s">
        <v>1657</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1658</v>
      </c>
      <c r="C34" t="s">
        <v>1659</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1660</v>
      </c>
      <c r="B35" t="s">
        <v>1661</v>
      </c>
      <c r="C35" t="s">
        <v>1662</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1663</v>
      </c>
      <c r="B36" t="s">
        <v>1664</v>
      </c>
      <c r="C36" t="s">
        <v>1665</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1666</v>
      </c>
      <c r="C40" t="s">
        <v>1667</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1668</v>
      </c>
      <c r="C41" t="s">
        <v>1669</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1626</v>
      </c>
      <c r="B42" t="s">
        <v>1670</v>
      </c>
      <c r="C42" t="s">
        <v>1671</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1629</v>
      </c>
      <c r="B43" t="s">
        <v>1672</v>
      </c>
      <c r="C43" t="s">
        <v>1673</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1632</v>
      </c>
      <c r="B44" t="s">
        <v>1674</v>
      </c>
      <c r="C44" t="s">
        <v>1675</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1635</v>
      </c>
      <c r="B45" t="s">
        <v>1676</v>
      </c>
      <c r="C45" t="s">
        <v>1677</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1638</v>
      </c>
      <c r="B46" t="s">
        <v>1678</v>
      </c>
      <c r="C46" t="s">
        <v>1679</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1641</v>
      </c>
      <c r="B47" t="s">
        <v>1680</v>
      </c>
      <c r="C47" t="s">
        <v>1681</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1644</v>
      </c>
      <c r="B48" t="s">
        <v>1682</v>
      </c>
      <c r="C48" t="s">
        <v>1683</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1684</v>
      </c>
      <c r="C49" t="s">
        <v>1685</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1649</v>
      </c>
      <c r="B50" t="s">
        <v>1686</v>
      </c>
      <c r="C50" t="s">
        <v>1687</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1652</v>
      </c>
      <c r="B51" t="s">
        <v>1688</v>
      </c>
      <c r="C51" t="s">
        <v>1689</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1655</v>
      </c>
      <c r="B52" t="s">
        <v>1690</v>
      </c>
      <c r="C52" t="s">
        <v>1691</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1692</v>
      </c>
      <c r="C53" t="s">
        <v>1693</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1660</v>
      </c>
      <c r="B54" t="s">
        <v>1694</v>
      </c>
      <c r="C54" t="s">
        <v>1695</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1663</v>
      </c>
      <c r="B55" t="s">
        <v>1696</v>
      </c>
      <c r="C55" t="s">
        <v>1697</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1698</v>
      </c>
      <c r="B56" t="s">
        <v>1699</v>
      </c>
      <c r="C56" t="s">
        <v>1700</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1701</v>
      </c>
      <c r="C58" t="s">
        <v>1702</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1703</v>
      </c>
      <c r="C59" t="s">
        <v>1704</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1626</v>
      </c>
      <c r="B60" t="s">
        <v>1705</v>
      </c>
      <c r="C60" t="s">
        <v>1706</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1629</v>
      </c>
      <c r="B61" t="s">
        <v>1707</v>
      </c>
      <c r="C61" t="s">
        <v>1708</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1632</v>
      </c>
      <c r="B62" t="s">
        <v>1709</v>
      </c>
      <c r="C62" t="s">
        <v>1710</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1635</v>
      </c>
      <c r="B63" t="s">
        <v>1711</v>
      </c>
      <c r="C63" t="s">
        <v>1712</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1638</v>
      </c>
      <c r="B64" t="s">
        <v>1713</v>
      </c>
      <c r="C64" t="s">
        <v>1714</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1641</v>
      </c>
      <c r="B65" t="s">
        <v>1715</v>
      </c>
      <c r="C65" t="s">
        <v>1716</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1644</v>
      </c>
      <c r="B66" t="s">
        <v>1717</v>
      </c>
      <c r="C66" t="s">
        <v>1718</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1719</v>
      </c>
      <c r="C67" t="s">
        <v>1720</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1649</v>
      </c>
      <c r="B68" t="s">
        <v>1721</v>
      </c>
      <c r="C68" t="s">
        <v>1722</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1652</v>
      </c>
      <c r="B69" t="s">
        <v>1723</v>
      </c>
      <c r="C69" t="s">
        <v>1724</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1655</v>
      </c>
      <c r="B70" t="s">
        <v>1725</v>
      </c>
      <c r="C70" t="s">
        <v>1726</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1727</v>
      </c>
      <c r="C71" t="s">
        <v>1728</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1660</v>
      </c>
      <c r="B72" t="s">
        <v>1729</v>
      </c>
      <c r="C72" t="s">
        <v>1730</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1663</v>
      </c>
      <c r="B73" t="s">
        <v>1731</v>
      </c>
      <c r="C73" t="s">
        <v>1732</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1733</v>
      </c>
      <c r="B74" t="s">
        <v>1734</v>
      </c>
      <c r="C74" t="s">
        <v>1735</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1736</v>
      </c>
      <c r="C75" t="s">
        <v>1735</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1737</v>
      </c>
      <c r="C77" t="s">
        <v>1738</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1739</v>
      </c>
      <c r="C78" t="s">
        <v>1740</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1626</v>
      </c>
      <c r="B79" t="s">
        <v>1741</v>
      </c>
      <c r="C79" t="s">
        <v>1742</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1629</v>
      </c>
      <c r="B80" t="s">
        <v>1743</v>
      </c>
      <c r="C80" t="s">
        <v>1744</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1632</v>
      </c>
      <c r="B81" t="s">
        <v>1745</v>
      </c>
      <c r="C81" t="s">
        <v>1746</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1635</v>
      </c>
      <c r="B82" t="s">
        <v>1747</v>
      </c>
      <c r="C82" t="s">
        <v>1748</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1638</v>
      </c>
      <c r="B83" t="s">
        <v>1749</v>
      </c>
      <c r="C83" t="s">
        <v>1750</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1641</v>
      </c>
      <c r="B84" t="s">
        <v>1751</v>
      </c>
      <c r="C84" t="s">
        <v>1752</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1644</v>
      </c>
      <c r="B85" t="s">
        <v>1753</v>
      </c>
      <c r="C85" t="s">
        <v>1754</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1755</v>
      </c>
      <c r="C86" t="s">
        <v>1756</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1649</v>
      </c>
      <c r="B87" t="s">
        <v>1757</v>
      </c>
      <c r="C87" t="s">
        <v>1758</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1652</v>
      </c>
      <c r="B88" t="s">
        <v>1759</v>
      </c>
      <c r="C88" t="s">
        <v>1760</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1655</v>
      </c>
      <c r="B89" t="s">
        <v>1761</v>
      </c>
      <c r="C89" t="s">
        <v>1762</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1763</v>
      </c>
      <c r="C90" t="s">
        <v>1764</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1660</v>
      </c>
      <c r="B91" t="s">
        <v>1765</v>
      </c>
      <c r="C91" t="s">
        <v>1766</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1663</v>
      </c>
      <c r="B92" t="s">
        <v>1767</v>
      </c>
      <c r="C92" t="s">
        <v>1768</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1698</v>
      </c>
      <c r="B93" t="s">
        <v>1769</v>
      </c>
      <c r="C93" t="s">
        <v>1770</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1733</v>
      </c>
      <c r="B94" t="s">
        <v>1771</v>
      </c>
      <c r="C94" t="s">
        <v>1770</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1772</v>
      </c>
      <c r="C95" t="s">
        <v>1770</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1773</v>
      </c>
      <c r="C97" t="s">
        <v>1774</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1775</v>
      </c>
      <c r="C98" t="s">
        <v>1776</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1777</v>
      </c>
      <c r="C99" t="s">
        <v>1778</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1779</v>
      </c>
      <c r="C100" t="s">
        <v>1780</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1781</v>
      </c>
      <c r="C101" t="s">
        <v>1782</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1783</v>
      </c>
      <c r="C102" t="s">
        <v>1784</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1785</v>
      </c>
      <c r="C103" t="s">
        <v>1786</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1787</v>
      </c>
      <c r="C104" t="s">
        <v>1788</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1626</v>
      </c>
      <c r="B105" t="s">
        <v>1789</v>
      </c>
      <c r="C105" t="s">
        <v>1790</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1791</v>
      </c>
      <c r="C106" t="s">
        <v>1792</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1793</v>
      </c>
      <c r="C107" t="s">
        <v>1794</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1795</v>
      </c>
      <c r="C108" t="s">
        <v>1796</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1629</v>
      </c>
      <c r="B109" t="s">
        <v>1797</v>
      </c>
      <c r="C109" t="s">
        <v>1798</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1799</v>
      </c>
      <c r="C110" t="s">
        <v>1800</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1801</v>
      </c>
      <c r="C111" t="s">
        <v>1802</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1803</v>
      </c>
      <c r="C112" t="s">
        <v>1804</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1632</v>
      </c>
      <c r="B113" t="s">
        <v>1805</v>
      </c>
      <c r="C113" t="s">
        <v>1806</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1807</v>
      </c>
      <c r="C114" t="s">
        <v>1808</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1809</v>
      </c>
      <c r="C115" t="s">
        <v>1810</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1811</v>
      </c>
      <c r="C116" t="s">
        <v>1812</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1635</v>
      </c>
      <c r="B117" t="s">
        <v>1813</v>
      </c>
      <c r="C117" t="s">
        <v>1814</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1815</v>
      </c>
      <c r="C118" t="s">
        <v>1816</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1817</v>
      </c>
      <c r="C119" t="s">
        <v>1818</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1819</v>
      </c>
      <c r="C120" t="s">
        <v>1820</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1638</v>
      </c>
      <c r="B121" t="s">
        <v>1821</v>
      </c>
      <c r="C121" t="s">
        <v>1822</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1823</v>
      </c>
      <c r="C122" t="s">
        <v>1824</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1825</v>
      </c>
      <c r="C123" t="s">
        <v>1826</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1827</v>
      </c>
      <c r="C124" t="s">
        <v>1828</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1641</v>
      </c>
      <c r="B125" t="s">
        <v>1829</v>
      </c>
      <c r="C125" t="s">
        <v>1830</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1831</v>
      </c>
      <c r="C126" t="s">
        <v>1832</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1833</v>
      </c>
      <c r="C127" t="s">
        <v>1834</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1835</v>
      </c>
      <c r="C128" t="s">
        <v>1836</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1644</v>
      </c>
      <c r="B129" t="s">
        <v>1837</v>
      </c>
      <c r="C129" t="s">
        <v>1838</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1839</v>
      </c>
      <c r="C130" t="s">
        <v>1840</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1841</v>
      </c>
      <c r="C131" t="s">
        <v>1842</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1843</v>
      </c>
      <c r="C132" t="s">
        <v>1844</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1845</v>
      </c>
      <c r="C133" t="s">
        <v>1846</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1847</v>
      </c>
      <c r="C134" t="s">
        <v>1848</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1849</v>
      </c>
      <c r="C135" t="s">
        <v>1850</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1851</v>
      </c>
      <c r="C136" t="s">
        <v>1852</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1649</v>
      </c>
      <c r="B137" t="s">
        <v>1853</v>
      </c>
      <c r="C137" t="s">
        <v>1854</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1855</v>
      </c>
      <c r="C138" t="s">
        <v>1856</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1857</v>
      </c>
      <c r="C139" t="s">
        <v>1858</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1859</v>
      </c>
      <c r="C140" t="s">
        <v>1860</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1652</v>
      </c>
      <c r="B141" t="s">
        <v>1861</v>
      </c>
      <c r="C141" t="s">
        <v>1862</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1863</v>
      </c>
      <c r="C142" t="s">
        <v>1864</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1865</v>
      </c>
      <c r="C143" t="s">
        <v>1866</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1867</v>
      </c>
      <c r="C144" t="s">
        <v>1868</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1655</v>
      </c>
      <c r="B145" t="s">
        <v>1869</v>
      </c>
      <c r="C145" t="s">
        <v>1870</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1871</v>
      </c>
      <c r="C146" t="s">
        <v>1872</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1873</v>
      </c>
      <c r="C147" t="s">
        <v>1874</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1875</v>
      </c>
      <c r="C148" t="s">
        <v>1876</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1877</v>
      </c>
      <c r="C149" t="s">
        <v>1878</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1879</v>
      </c>
      <c r="C150" t="s">
        <v>1880</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1881</v>
      </c>
      <c r="C151" t="s">
        <v>1882</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1883</v>
      </c>
      <c r="C152" t="s">
        <v>1884</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1660</v>
      </c>
      <c r="B153" t="s">
        <v>1885</v>
      </c>
      <c r="C153" t="s">
        <v>1886</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1887</v>
      </c>
      <c r="C154" t="s">
        <v>1888</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1889</v>
      </c>
      <c r="C155" t="s">
        <v>1890</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1891</v>
      </c>
      <c r="C156" t="s">
        <v>1892</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1663</v>
      </c>
      <c r="B157" t="s">
        <v>1893</v>
      </c>
      <c r="C157" t="s">
        <v>1894</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1895</v>
      </c>
      <c r="C158" t="s">
        <v>1896</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1897</v>
      </c>
      <c r="C159" t="s">
        <v>1898</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1899</v>
      </c>
      <c r="C160" t="s">
        <v>1900</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1901</v>
      </c>
      <c r="B161" t="s">
        <v>1902</v>
      </c>
      <c r="C161" t="s">
        <v>1903</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1904</v>
      </c>
      <c r="B162" t="s">
        <v>1905</v>
      </c>
      <c r="C162" t="s">
        <v>1906</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1907</v>
      </c>
      <c r="B163" t="s">
        <v>1908</v>
      </c>
      <c r="C163" t="s">
        <v>1909</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1910</v>
      </c>
      <c r="C164" t="s">
        <v>1911</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1912</v>
      </c>
    </row>
    <row r="166" spans="1:35">
      <c r="A166" t="s">
        <v>427</v>
      </c>
      <c r="B166" t="s">
        <v>1913</v>
      </c>
      <c r="C166" t="s">
        <v>1107</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1914</v>
      </c>
      <c r="C167" t="s">
        <v>1107</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1915</v>
      </c>
      <c r="C168" t="s">
        <v>1107</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1916</v>
      </c>
      <c r="C169" t="s">
        <v>1107</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1917</v>
      </c>
      <c r="C170" t="s">
        <v>1107</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1918</v>
      </c>
      <c r="C171" t="s">
        <v>1107</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1919</v>
      </c>
      <c r="C172" t="s">
        <v>1107</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1920</v>
      </c>
      <c r="C173" t="s">
        <v>1107</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1626</v>
      </c>
      <c r="B174" t="s">
        <v>1921</v>
      </c>
      <c r="C174" t="s">
        <v>1107</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1922</v>
      </c>
      <c r="C175" t="s">
        <v>1107</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1923</v>
      </c>
      <c r="C176" t="s">
        <v>1107</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1924</v>
      </c>
      <c r="C177" t="s">
        <v>1107</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1629</v>
      </c>
      <c r="B178" t="s">
        <v>1925</v>
      </c>
      <c r="C178" t="s">
        <v>1107</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1926</v>
      </c>
      <c r="C179" t="s">
        <v>1107</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1927</v>
      </c>
      <c r="C180" t="s">
        <v>1107</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1928</v>
      </c>
      <c r="C181" t="s">
        <v>1107</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1632</v>
      </c>
      <c r="B182" t="s">
        <v>1929</v>
      </c>
      <c r="C182" t="s">
        <v>1107</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1930</v>
      </c>
      <c r="C183" t="s">
        <v>1107</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1931</v>
      </c>
      <c r="C184" t="s">
        <v>1107</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1932</v>
      </c>
      <c r="C185" t="s">
        <v>1107</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1635</v>
      </c>
      <c r="B186" t="s">
        <v>1933</v>
      </c>
      <c r="C186" t="s">
        <v>1107</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1934</v>
      </c>
      <c r="C187" t="s">
        <v>1107</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1935</v>
      </c>
      <c r="C188" t="s">
        <v>1107</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1936</v>
      </c>
      <c r="C189" t="s">
        <v>1107</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1638</v>
      </c>
      <c r="B190" t="s">
        <v>1937</v>
      </c>
      <c r="C190" t="s">
        <v>1107</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1938</v>
      </c>
      <c r="C191" t="s">
        <v>1107</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1939</v>
      </c>
      <c r="C192" t="s">
        <v>1107</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1940</v>
      </c>
      <c r="C193" t="s">
        <v>1107</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1641</v>
      </c>
      <c r="B194" t="s">
        <v>1941</v>
      </c>
      <c r="C194" t="s">
        <v>1107</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1942</v>
      </c>
      <c r="C195" t="s">
        <v>1107</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1943</v>
      </c>
      <c r="C196" t="s">
        <v>1107</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1944</v>
      </c>
      <c r="C197" t="s">
        <v>1107</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1644</v>
      </c>
      <c r="B198" t="s">
        <v>1945</v>
      </c>
      <c r="C198" t="s">
        <v>1107</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1946</v>
      </c>
      <c r="C199" t="s">
        <v>1107</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1947</v>
      </c>
      <c r="C200" t="s">
        <v>1107</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1948</v>
      </c>
      <c r="C201" t="s">
        <v>1107</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1949</v>
      </c>
      <c r="C202" t="s">
        <v>1107</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1950</v>
      </c>
      <c r="C203" t="s">
        <v>1107</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1951</v>
      </c>
      <c r="C204" t="s">
        <v>1107</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1952</v>
      </c>
      <c r="C205" t="s">
        <v>1107</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1649</v>
      </c>
      <c r="B206" t="s">
        <v>1953</v>
      </c>
      <c r="C206" t="s">
        <v>1107</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1954</v>
      </c>
      <c r="C207" t="s">
        <v>1107</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1955</v>
      </c>
      <c r="C208" t="s">
        <v>1107</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1956</v>
      </c>
      <c r="C209" t="s">
        <v>1107</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1652</v>
      </c>
      <c r="B210" t="s">
        <v>1957</v>
      </c>
      <c r="C210" t="s">
        <v>1107</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1958</v>
      </c>
      <c r="C211" t="s">
        <v>1107</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1959</v>
      </c>
      <c r="C212" t="s">
        <v>1107</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1960</v>
      </c>
      <c r="C213" t="s">
        <v>1107</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1655</v>
      </c>
      <c r="B214" t="s">
        <v>1961</v>
      </c>
      <c r="C214" t="s">
        <v>1107</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1962</v>
      </c>
      <c r="C215" t="s">
        <v>1107</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1963</v>
      </c>
      <c r="C216" t="s">
        <v>1107</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1964</v>
      </c>
      <c r="C217" t="s">
        <v>1107</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1965</v>
      </c>
      <c r="C218" t="s">
        <v>1107</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1966</v>
      </c>
      <c r="C219" t="s">
        <v>1107</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1967</v>
      </c>
      <c r="C220" t="s">
        <v>1107</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1968</v>
      </c>
      <c r="C221" t="s">
        <v>1107</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1660</v>
      </c>
      <c r="B222" t="s">
        <v>1969</v>
      </c>
      <c r="C222" t="s">
        <v>1107</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1970</v>
      </c>
      <c r="C223" t="s">
        <v>1107</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1971</v>
      </c>
      <c r="C224" t="s">
        <v>1107</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1972</v>
      </c>
      <c r="C225" t="s">
        <v>1107</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1663</v>
      </c>
      <c r="B226" t="s">
        <v>1973</v>
      </c>
      <c r="C226" t="s">
        <v>1107</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1974</v>
      </c>
      <c r="C227" t="s">
        <v>1107</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1975</v>
      </c>
      <c r="C228" t="s">
        <v>1107</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1976</v>
      </c>
      <c r="C229" t="s">
        <v>1107</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1901</v>
      </c>
      <c r="B230" t="s">
        <v>1977</v>
      </c>
      <c r="C230" t="s">
        <v>1107</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1904</v>
      </c>
      <c r="B231" t="s">
        <v>1978</v>
      </c>
      <c r="C231" t="s">
        <v>1107</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1907</v>
      </c>
      <c r="B232" t="s">
        <v>1979</v>
      </c>
      <c r="C232" t="s">
        <v>1107</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1980</v>
      </c>
      <c r="C233" t="s">
        <v>1107</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1981</v>
      </c>
      <c r="C236" t="s">
        <v>1982</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1983</v>
      </c>
      <c r="C237" t="s">
        <v>1984</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1985</v>
      </c>
      <c r="C238" t="s">
        <v>1986</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1987</v>
      </c>
      <c r="C239" t="s">
        <v>1988</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1989</v>
      </c>
      <c r="C241" t="s">
        <v>1990</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1991</v>
      </c>
      <c r="C242" t="s">
        <v>1992</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1993</v>
      </c>
      <c r="C243" t="s">
        <v>1994</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1995</v>
      </c>
      <c r="C244" t="s">
        <v>1996</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1997</v>
      </c>
      <c r="C247" t="s">
        <v>1998</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1999</v>
      </c>
      <c r="C248" t="s">
        <v>2000</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1626</v>
      </c>
      <c r="B249" t="s">
        <v>2001</v>
      </c>
      <c r="C249" t="s">
        <v>2002</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1629</v>
      </c>
      <c r="B250" t="s">
        <v>2003</v>
      </c>
      <c r="C250" t="s">
        <v>2004</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1632</v>
      </c>
      <c r="B251" t="s">
        <v>2005</v>
      </c>
      <c r="C251" t="s">
        <v>2006</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1635</v>
      </c>
      <c r="B252" t="s">
        <v>2007</v>
      </c>
      <c r="C252" t="s">
        <v>2008</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1638</v>
      </c>
      <c r="B253" t="s">
        <v>2009</v>
      </c>
      <c r="C253" t="s">
        <v>2010</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1641</v>
      </c>
      <c r="B254" t="s">
        <v>2011</v>
      </c>
      <c r="C254" t="s">
        <v>2012</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1644</v>
      </c>
      <c r="B255" t="s">
        <v>2013</v>
      </c>
      <c r="C255" t="s">
        <v>2014</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2015</v>
      </c>
      <c r="C256" t="s">
        <v>2016</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1649</v>
      </c>
      <c r="B257" t="s">
        <v>2017</v>
      </c>
      <c r="C257" t="s">
        <v>2018</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1652</v>
      </c>
      <c r="B258" t="s">
        <v>2019</v>
      </c>
      <c r="C258" t="s">
        <v>2020</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1655</v>
      </c>
      <c r="B259" t="s">
        <v>2021</v>
      </c>
      <c r="C259" t="s">
        <v>2022</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2023</v>
      </c>
      <c r="C260" t="s">
        <v>2024</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1660</v>
      </c>
      <c r="B261" t="s">
        <v>2025</v>
      </c>
      <c r="C261" t="s">
        <v>2026</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1663</v>
      </c>
      <c r="B262" t="s">
        <v>2027</v>
      </c>
      <c r="C262" t="s">
        <v>2028</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2029</v>
      </c>
      <c r="C263" t="s">
        <v>2030</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2031</v>
      </c>
      <c r="D264" t="s">
        <v>2032</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2033</v>
      </c>
      <c r="D265" t="s">
        <v>2034</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406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1080</v>
      </c>
    </row>
    <row r="10" spans="1:37" ht="14.75">
      <c r="A10" t="s">
        <v>455</v>
      </c>
    </row>
    <row r="11" spans="1:37" ht="14.75">
      <c r="A11" t="s">
        <v>2035</v>
      </c>
    </row>
    <row r="12" spans="1:37" ht="14.75">
      <c r="A12" t="s">
        <v>2036</v>
      </c>
    </row>
    <row r="13" spans="1:37" ht="14.75">
      <c r="A13" t="s">
        <v>302</v>
      </c>
    </row>
    <row r="14" spans="1:37" ht="14.7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1080</v>
      </c>
    </row>
    <row r="15" spans="1:37" ht="14.75">
      <c r="A15" t="s">
        <v>127</v>
      </c>
    </row>
    <row r="16" spans="1:37" ht="14.75">
      <c r="A16" t="s">
        <v>427</v>
      </c>
      <c r="B16" t="s">
        <v>2037</v>
      </c>
      <c r="C16" t="s">
        <v>2038</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ht="14.75">
      <c r="A17" t="s">
        <v>442</v>
      </c>
      <c r="B17" t="s">
        <v>2039</v>
      </c>
      <c r="C17" t="s">
        <v>2040</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ht="14.75">
      <c r="A18" t="s">
        <v>443</v>
      </c>
      <c r="B18" t="s">
        <v>2041</v>
      </c>
      <c r="C18" t="s">
        <v>2042</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ht="14.75">
      <c r="A19" t="s">
        <v>444</v>
      </c>
      <c r="B19" t="s">
        <v>2043</v>
      </c>
      <c r="C19" t="s">
        <v>2044</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ht="14.75">
      <c r="A20" t="s">
        <v>428</v>
      </c>
      <c r="B20" t="s">
        <v>2045</v>
      </c>
      <c r="C20" t="s">
        <v>2046</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ht="14.75">
      <c r="A21" t="s">
        <v>442</v>
      </c>
      <c r="B21" t="s">
        <v>2047</v>
      </c>
      <c r="C21" t="s">
        <v>2048</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ht="14.75">
      <c r="A22" t="s">
        <v>443</v>
      </c>
      <c r="B22" t="s">
        <v>2049</v>
      </c>
      <c r="C22" t="s">
        <v>2050</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ht="14.75">
      <c r="A23" t="s">
        <v>444</v>
      </c>
      <c r="B23" t="s">
        <v>2051</v>
      </c>
      <c r="C23" t="s">
        <v>2052</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ht="14.75">
      <c r="A24" t="s">
        <v>429</v>
      </c>
      <c r="B24" t="s">
        <v>2053</v>
      </c>
      <c r="C24" t="s">
        <v>2054</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ht="14.75">
      <c r="A25" t="s">
        <v>442</v>
      </c>
      <c r="B25" t="s">
        <v>2055</v>
      </c>
      <c r="C25" t="s">
        <v>2056</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ht="14.75">
      <c r="A26" t="s">
        <v>443</v>
      </c>
      <c r="B26" t="s">
        <v>2057</v>
      </c>
      <c r="C26" t="s">
        <v>2058</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ht="14.75">
      <c r="A27" t="s">
        <v>444</v>
      </c>
      <c r="B27" t="s">
        <v>2059</v>
      </c>
      <c r="C27" t="s">
        <v>2060</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ht="14.75">
      <c r="A28" t="s">
        <v>430</v>
      </c>
      <c r="B28" t="s">
        <v>2061</v>
      </c>
      <c r="C28" t="s">
        <v>2062</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ht="14.75">
      <c r="A29" t="s">
        <v>442</v>
      </c>
      <c r="B29" t="s">
        <v>2063</v>
      </c>
      <c r="C29" t="s">
        <v>2064</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ht="14.75">
      <c r="A30" t="s">
        <v>443</v>
      </c>
      <c r="B30" t="s">
        <v>2065</v>
      </c>
      <c r="C30" t="s">
        <v>2066</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ht="14.75">
      <c r="A31" t="s">
        <v>444</v>
      </c>
      <c r="B31" t="s">
        <v>2067</v>
      </c>
      <c r="C31" t="s">
        <v>2068</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ht="14.75">
      <c r="A32" t="s">
        <v>431</v>
      </c>
      <c r="B32" t="s">
        <v>2069</v>
      </c>
      <c r="C32" t="s">
        <v>2070</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ht="14.75">
      <c r="A33" t="s">
        <v>442</v>
      </c>
      <c r="B33" t="s">
        <v>2071</v>
      </c>
      <c r="C33" t="s">
        <v>2072</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ht="14.75">
      <c r="A34" t="s">
        <v>443</v>
      </c>
      <c r="B34" t="s">
        <v>2073</v>
      </c>
      <c r="C34" t="s">
        <v>2074</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ht="14.75">
      <c r="A35" t="s">
        <v>444</v>
      </c>
      <c r="B35" t="s">
        <v>2075</v>
      </c>
      <c r="C35" t="s">
        <v>2076</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ht="14.75">
      <c r="A36" t="s">
        <v>432</v>
      </c>
      <c r="B36" t="s">
        <v>2077</v>
      </c>
      <c r="C36" t="s">
        <v>2078</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ht="14.75">
      <c r="A37" t="s">
        <v>442</v>
      </c>
      <c r="B37" t="s">
        <v>2079</v>
      </c>
      <c r="C37" t="s">
        <v>2080</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ht="14.75">
      <c r="A38" t="s">
        <v>443</v>
      </c>
      <c r="B38" t="s">
        <v>2081</v>
      </c>
      <c r="C38" t="s">
        <v>2082</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ht="14.75">
      <c r="A39" t="s">
        <v>444</v>
      </c>
      <c r="B39" t="s">
        <v>2083</v>
      </c>
      <c r="C39" t="s">
        <v>2084</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ht="14.75">
      <c r="A40" t="s">
        <v>433</v>
      </c>
      <c r="B40" t="s">
        <v>2085</v>
      </c>
      <c r="C40" t="s">
        <v>2086</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ht="14.75">
      <c r="A41" t="s">
        <v>442</v>
      </c>
      <c r="B41" t="s">
        <v>2087</v>
      </c>
      <c r="C41" t="s">
        <v>2088</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ht="14.75">
      <c r="A42" t="s">
        <v>443</v>
      </c>
      <c r="B42" t="s">
        <v>2089</v>
      </c>
      <c r="C42" t="s">
        <v>2090</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ht="14.75">
      <c r="A43" t="s">
        <v>444</v>
      </c>
      <c r="B43" t="s">
        <v>2091</v>
      </c>
      <c r="C43" t="s">
        <v>2092</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ht="14.75">
      <c r="A44" t="s">
        <v>434</v>
      </c>
      <c r="B44" t="s">
        <v>2093</v>
      </c>
      <c r="C44" t="s">
        <v>2094</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ht="14.75">
      <c r="A45" t="s">
        <v>442</v>
      </c>
      <c r="B45" t="s">
        <v>2095</v>
      </c>
      <c r="C45" t="s">
        <v>2096</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ht="14.75">
      <c r="A46" t="s">
        <v>443</v>
      </c>
      <c r="B46" t="s">
        <v>2097</v>
      </c>
      <c r="C46" t="s">
        <v>2098</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ht="14.75">
      <c r="A47" t="s">
        <v>444</v>
      </c>
      <c r="B47" t="s">
        <v>2099</v>
      </c>
      <c r="C47" t="s">
        <v>2100</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ht="14.75">
      <c r="A48" t="s">
        <v>435</v>
      </c>
      <c r="B48" t="s">
        <v>2101</v>
      </c>
      <c r="C48" t="s">
        <v>2102</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ht="14.75">
      <c r="A49" t="s">
        <v>442</v>
      </c>
      <c r="B49" t="s">
        <v>2103</v>
      </c>
      <c r="C49" t="s">
        <v>2104</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ht="14.75">
      <c r="A50" t="s">
        <v>443</v>
      </c>
      <c r="B50" t="s">
        <v>2105</v>
      </c>
      <c r="C50" t="s">
        <v>2106</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ht="14.75">
      <c r="A51" t="s">
        <v>444</v>
      </c>
      <c r="B51" t="s">
        <v>2107</v>
      </c>
      <c r="C51" t="s">
        <v>2108</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ht="14.75">
      <c r="A52" t="s">
        <v>436</v>
      </c>
      <c r="B52" t="s">
        <v>2109</v>
      </c>
      <c r="C52" t="s">
        <v>2110</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ht="14.75">
      <c r="A53" t="s">
        <v>442</v>
      </c>
      <c r="B53" t="s">
        <v>2111</v>
      </c>
      <c r="C53" t="s">
        <v>2112</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ht="14.75">
      <c r="A54" t="s">
        <v>443</v>
      </c>
      <c r="B54" t="s">
        <v>2113</v>
      </c>
      <c r="C54" t="s">
        <v>2114</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ht="14.75">
      <c r="A55" t="s">
        <v>444</v>
      </c>
      <c r="B55" t="s">
        <v>2115</v>
      </c>
      <c r="C55" t="s">
        <v>2116</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ht="14.75">
      <c r="A56" t="s">
        <v>437</v>
      </c>
      <c r="B56" t="s">
        <v>2117</v>
      </c>
      <c r="C56" t="s">
        <v>2118</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ht="14.75">
      <c r="A57" t="s">
        <v>442</v>
      </c>
      <c r="B57" t="s">
        <v>2119</v>
      </c>
      <c r="C57" t="s">
        <v>2120</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ht="14.75">
      <c r="A58" t="s">
        <v>443</v>
      </c>
      <c r="B58" t="s">
        <v>2121</v>
      </c>
      <c r="C58" t="s">
        <v>2122</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ht="14.75">
      <c r="A59" t="s">
        <v>444</v>
      </c>
      <c r="B59" t="s">
        <v>2123</v>
      </c>
      <c r="C59" t="s">
        <v>2124</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ht="14.75">
      <c r="A60" t="s">
        <v>438</v>
      </c>
      <c r="B60" t="s">
        <v>2125</v>
      </c>
      <c r="C60" t="s">
        <v>2126</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ht="14.75">
      <c r="A61" t="s">
        <v>442</v>
      </c>
      <c r="B61" t="s">
        <v>2127</v>
      </c>
      <c r="C61" t="s">
        <v>2128</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ht="14.75">
      <c r="A62" t="s">
        <v>443</v>
      </c>
      <c r="B62" t="s">
        <v>2129</v>
      </c>
      <c r="C62" t="s">
        <v>2130</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ht="14.75">
      <c r="A63" t="s">
        <v>444</v>
      </c>
      <c r="B63" t="s">
        <v>2131</v>
      </c>
      <c r="C63" t="s">
        <v>2132</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ht="14.75">
      <c r="A64" t="s">
        <v>439</v>
      </c>
      <c r="B64" t="s">
        <v>2133</v>
      </c>
      <c r="C64" t="s">
        <v>2134</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ht="14.75">
      <c r="A65" t="s">
        <v>442</v>
      </c>
      <c r="B65" t="s">
        <v>2135</v>
      </c>
      <c r="C65" t="s">
        <v>2136</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ht="14.75">
      <c r="A66" t="s">
        <v>443</v>
      </c>
      <c r="B66" t="s">
        <v>2137</v>
      </c>
      <c r="C66" t="s">
        <v>2138</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ht="14.75">
      <c r="A67" t="s">
        <v>444</v>
      </c>
      <c r="B67" t="s">
        <v>2139</v>
      </c>
      <c r="C67" t="s">
        <v>2140</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ht="14.75">
      <c r="A68" t="s">
        <v>118</v>
      </c>
      <c r="B68" t="s">
        <v>2141</v>
      </c>
      <c r="C68" t="s">
        <v>2142</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ht="14.75">
      <c r="A69" t="s">
        <v>126</v>
      </c>
    </row>
    <row r="70" spans="1:37" s="14" customFormat="1" ht="14.75">
      <c r="A70" s="14" t="s">
        <v>427</v>
      </c>
      <c r="B70" s="14" t="s">
        <v>2143</v>
      </c>
      <c r="C70" s="14" t="s">
        <v>2144</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4"/>
    </row>
    <row r="71" spans="1:37" ht="14.75">
      <c r="A71" t="s">
        <v>442</v>
      </c>
      <c r="B71" t="s">
        <v>2145</v>
      </c>
      <c r="C71" t="s">
        <v>2146</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ht="14.75">
      <c r="A72" t="s">
        <v>443</v>
      </c>
      <c r="B72" t="s">
        <v>2147</v>
      </c>
      <c r="C72" t="s">
        <v>2148</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ht="14.75">
      <c r="A73" t="s">
        <v>444</v>
      </c>
      <c r="B73" t="s">
        <v>2149</v>
      </c>
      <c r="C73" t="s">
        <v>2150</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ht="14.75">
      <c r="A74" t="s">
        <v>428</v>
      </c>
      <c r="B74" t="s">
        <v>2151</v>
      </c>
      <c r="C74" t="s">
        <v>2152</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ht="14.75">
      <c r="A75" t="s">
        <v>442</v>
      </c>
      <c r="B75" t="s">
        <v>2153</v>
      </c>
      <c r="C75" t="s">
        <v>2154</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ht="14.75">
      <c r="A76" t="s">
        <v>443</v>
      </c>
      <c r="B76" t="s">
        <v>2155</v>
      </c>
      <c r="C76" t="s">
        <v>2156</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ht="14.75">
      <c r="A77" t="s">
        <v>444</v>
      </c>
      <c r="B77" t="s">
        <v>2157</v>
      </c>
      <c r="C77" t="s">
        <v>2158</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ht="14.75">
      <c r="A78" t="s">
        <v>429</v>
      </c>
      <c r="B78" t="s">
        <v>2159</v>
      </c>
      <c r="C78" t="s">
        <v>2160</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ht="14.75">
      <c r="A79" t="s">
        <v>442</v>
      </c>
      <c r="B79" t="s">
        <v>2161</v>
      </c>
      <c r="C79" t="s">
        <v>2162</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ht="14.75">
      <c r="A80" t="s">
        <v>443</v>
      </c>
      <c r="B80" t="s">
        <v>2163</v>
      </c>
      <c r="C80" t="s">
        <v>2164</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ht="14.75">
      <c r="A81" t="s">
        <v>444</v>
      </c>
      <c r="B81" t="s">
        <v>2165</v>
      </c>
      <c r="C81" t="s">
        <v>2166</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ht="14.75">
      <c r="A82" t="s">
        <v>430</v>
      </c>
      <c r="B82" t="s">
        <v>2167</v>
      </c>
      <c r="C82" t="s">
        <v>2168</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ht="14.75">
      <c r="A83" t="s">
        <v>442</v>
      </c>
      <c r="B83" t="s">
        <v>2169</v>
      </c>
      <c r="C83" t="s">
        <v>2170</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ht="14.75">
      <c r="A84" t="s">
        <v>443</v>
      </c>
      <c r="B84" t="s">
        <v>2171</v>
      </c>
      <c r="C84" t="s">
        <v>2172</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ht="14.75">
      <c r="A85" t="s">
        <v>444</v>
      </c>
      <c r="B85" t="s">
        <v>2173</v>
      </c>
      <c r="C85" t="s">
        <v>2174</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ht="14.75">
      <c r="A86" t="s">
        <v>431</v>
      </c>
      <c r="B86" t="s">
        <v>2175</v>
      </c>
      <c r="C86" t="s">
        <v>2176</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ht="14.75">
      <c r="A87" t="s">
        <v>442</v>
      </c>
      <c r="B87" t="s">
        <v>2177</v>
      </c>
      <c r="C87" t="s">
        <v>2178</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ht="14.75">
      <c r="A88" t="s">
        <v>443</v>
      </c>
      <c r="B88" t="s">
        <v>2179</v>
      </c>
      <c r="C88" t="s">
        <v>2180</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ht="14.75">
      <c r="A89" t="s">
        <v>444</v>
      </c>
      <c r="B89" t="s">
        <v>2181</v>
      </c>
      <c r="C89" t="s">
        <v>2182</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ht="14.75">
      <c r="A90" t="s">
        <v>432</v>
      </c>
      <c r="B90" t="s">
        <v>2183</v>
      </c>
      <c r="C90" t="s">
        <v>2184</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ht="14.75">
      <c r="A91" t="s">
        <v>442</v>
      </c>
      <c r="B91" t="s">
        <v>2185</v>
      </c>
      <c r="C91" t="s">
        <v>2186</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ht="14.75">
      <c r="A92" t="s">
        <v>443</v>
      </c>
      <c r="B92" t="s">
        <v>2187</v>
      </c>
      <c r="C92" t="s">
        <v>2188</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ht="14.75">
      <c r="A93" t="s">
        <v>444</v>
      </c>
      <c r="B93" t="s">
        <v>2189</v>
      </c>
      <c r="C93" t="s">
        <v>2190</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ht="14.75">
      <c r="A94" t="s">
        <v>433</v>
      </c>
      <c r="B94" t="s">
        <v>2191</v>
      </c>
      <c r="C94" t="s">
        <v>2192</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ht="14.75">
      <c r="A95" t="s">
        <v>442</v>
      </c>
      <c r="B95" t="s">
        <v>2193</v>
      </c>
      <c r="C95" t="s">
        <v>2194</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ht="14.75">
      <c r="A96" t="s">
        <v>443</v>
      </c>
      <c r="B96" t="s">
        <v>2195</v>
      </c>
      <c r="C96" t="s">
        <v>2196</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ht="14.75">
      <c r="A97" t="s">
        <v>444</v>
      </c>
      <c r="B97" t="s">
        <v>2197</v>
      </c>
      <c r="C97" t="s">
        <v>2198</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ht="14.75">
      <c r="A98" t="s">
        <v>434</v>
      </c>
      <c r="B98" t="s">
        <v>2199</v>
      </c>
      <c r="C98" t="s">
        <v>2200</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ht="14.75">
      <c r="A99" t="s">
        <v>442</v>
      </c>
      <c r="B99" t="s">
        <v>2201</v>
      </c>
      <c r="C99" t="s">
        <v>2202</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ht="14.75">
      <c r="A100" t="s">
        <v>443</v>
      </c>
      <c r="B100" t="s">
        <v>2203</v>
      </c>
      <c r="C100" t="s">
        <v>2204</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ht="14.75">
      <c r="A101" t="s">
        <v>444</v>
      </c>
      <c r="B101" t="s">
        <v>2205</v>
      </c>
      <c r="C101" t="s">
        <v>2206</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ht="14.75">
      <c r="A102" t="s">
        <v>435</v>
      </c>
      <c r="B102" t="s">
        <v>2207</v>
      </c>
      <c r="C102" t="s">
        <v>2208</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ht="14.75">
      <c r="A103" t="s">
        <v>442</v>
      </c>
      <c r="B103" t="s">
        <v>2209</v>
      </c>
      <c r="C103" t="s">
        <v>2210</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ht="14.75">
      <c r="A104" t="s">
        <v>443</v>
      </c>
      <c r="B104" t="s">
        <v>2211</v>
      </c>
      <c r="C104" t="s">
        <v>2212</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ht="14.75">
      <c r="A105" t="s">
        <v>444</v>
      </c>
      <c r="B105" t="s">
        <v>2213</v>
      </c>
      <c r="C105" t="s">
        <v>2214</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ht="14.75">
      <c r="A106" t="s">
        <v>436</v>
      </c>
      <c r="B106" t="s">
        <v>2215</v>
      </c>
      <c r="C106" t="s">
        <v>2216</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ht="14.75">
      <c r="A107" t="s">
        <v>442</v>
      </c>
      <c r="B107" t="s">
        <v>2217</v>
      </c>
      <c r="C107" t="s">
        <v>2218</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ht="14.75">
      <c r="A108" t="s">
        <v>443</v>
      </c>
      <c r="B108" t="s">
        <v>2219</v>
      </c>
      <c r="C108" t="s">
        <v>2220</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ht="14.75">
      <c r="A109" t="s">
        <v>444</v>
      </c>
      <c r="B109" t="s">
        <v>2221</v>
      </c>
      <c r="C109" t="s">
        <v>2222</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ht="14.75">
      <c r="A110" t="s">
        <v>437</v>
      </c>
      <c r="B110" t="s">
        <v>2223</v>
      </c>
      <c r="C110" t="s">
        <v>2224</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ht="14.75">
      <c r="A111" t="s">
        <v>442</v>
      </c>
      <c r="B111" t="s">
        <v>2225</v>
      </c>
      <c r="C111" t="s">
        <v>2226</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ht="14.75">
      <c r="A112" t="s">
        <v>443</v>
      </c>
      <c r="B112" t="s">
        <v>2227</v>
      </c>
      <c r="C112" t="s">
        <v>2228</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ht="14.75">
      <c r="A113" t="s">
        <v>444</v>
      </c>
      <c r="B113" t="s">
        <v>2229</v>
      </c>
      <c r="C113" t="s">
        <v>2230</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ht="14.75">
      <c r="A114" t="s">
        <v>438</v>
      </c>
      <c r="B114" t="s">
        <v>2231</v>
      </c>
      <c r="C114" t="s">
        <v>2232</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ht="14.75">
      <c r="A115" t="s">
        <v>442</v>
      </c>
      <c r="B115" t="s">
        <v>2233</v>
      </c>
      <c r="C115" t="s">
        <v>2234</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ht="14.75">
      <c r="A116" t="s">
        <v>443</v>
      </c>
      <c r="B116" t="s">
        <v>2235</v>
      </c>
      <c r="C116" t="s">
        <v>2236</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ht="14.75">
      <c r="A117" t="s">
        <v>444</v>
      </c>
      <c r="B117" t="s">
        <v>2237</v>
      </c>
      <c r="C117" t="s">
        <v>2238</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ht="14.75">
      <c r="A118" t="s">
        <v>439</v>
      </c>
      <c r="B118" t="s">
        <v>2239</v>
      </c>
      <c r="C118" t="s">
        <v>2240</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ht="14.75">
      <c r="A119" t="s">
        <v>442</v>
      </c>
      <c r="B119" t="s">
        <v>2241</v>
      </c>
      <c r="C119" t="s">
        <v>2242</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ht="14.75">
      <c r="A120" t="s">
        <v>443</v>
      </c>
      <c r="B120" t="s">
        <v>2243</v>
      </c>
      <c r="C120" t="s">
        <v>2244</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ht="14.75">
      <c r="A121" t="s">
        <v>444</v>
      </c>
      <c r="B121" t="s">
        <v>2245</v>
      </c>
      <c r="C121" t="s">
        <v>2246</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ht="14.75">
      <c r="A122" t="s">
        <v>118</v>
      </c>
      <c r="B122" t="s">
        <v>2247</v>
      </c>
      <c r="C122" t="s">
        <v>2248</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ht="14.75">
      <c r="A123" t="s">
        <v>125</v>
      </c>
    </row>
    <row r="124" spans="1:37" ht="14.75">
      <c r="A124" t="s">
        <v>427</v>
      </c>
      <c r="B124" t="s">
        <v>2249</v>
      </c>
      <c r="C124" t="s">
        <v>2250</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ht="14.75">
      <c r="A125" t="s">
        <v>442</v>
      </c>
      <c r="B125" t="s">
        <v>2251</v>
      </c>
      <c r="C125" t="s">
        <v>2252</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ht="14.75">
      <c r="A126" t="s">
        <v>443</v>
      </c>
      <c r="B126" t="s">
        <v>2253</v>
      </c>
      <c r="C126" t="s">
        <v>2254</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ht="14.75">
      <c r="A127" t="s">
        <v>444</v>
      </c>
      <c r="B127" t="s">
        <v>2255</v>
      </c>
      <c r="C127" t="s">
        <v>2256</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ht="14.75">
      <c r="A128" t="s">
        <v>428</v>
      </c>
      <c r="B128" t="s">
        <v>2257</v>
      </c>
      <c r="C128" t="s">
        <v>2258</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ht="14.75">
      <c r="A129" t="s">
        <v>442</v>
      </c>
      <c r="B129" t="s">
        <v>2259</v>
      </c>
      <c r="C129" t="s">
        <v>2260</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ht="14.75">
      <c r="A130" t="s">
        <v>443</v>
      </c>
      <c r="B130" t="s">
        <v>2261</v>
      </c>
      <c r="C130" t="s">
        <v>2262</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ht="14.75">
      <c r="A131" t="s">
        <v>444</v>
      </c>
      <c r="B131" t="s">
        <v>2263</v>
      </c>
      <c r="C131" t="s">
        <v>2264</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ht="14.75">
      <c r="A132" t="s">
        <v>429</v>
      </c>
      <c r="B132" t="s">
        <v>2265</v>
      </c>
      <c r="C132" t="s">
        <v>2266</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ht="14.75">
      <c r="A133" t="s">
        <v>442</v>
      </c>
      <c r="B133" t="s">
        <v>2267</v>
      </c>
      <c r="C133" t="s">
        <v>2268</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ht="14.75">
      <c r="A134" t="s">
        <v>443</v>
      </c>
      <c r="B134" t="s">
        <v>2269</v>
      </c>
      <c r="C134" t="s">
        <v>2270</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ht="14.75">
      <c r="A135" t="s">
        <v>444</v>
      </c>
      <c r="B135" t="s">
        <v>2271</v>
      </c>
      <c r="C135" t="s">
        <v>2272</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ht="14.75">
      <c r="A136" t="s">
        <v>430</v>
      </c>
      <c r="B136" t="s">
        <v>2273</v>
      </c>
      <c r="C136" t="s">
        <v>2274</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ht="14.75">
      <c r="A137" t="s">
        <v>442</v>
      </c>
      <c r="B137" t="s">
        <v>2275</v>
      </c>
      <c r="C137" t="s">
        <v>2276</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ht="14.75">
      <c r="A138" t="s">
        <v>443</v>
      </c>
      <c r="B138" t="s">
        <v>2277</v>
      </c>
      <c r="C138" t="s">
        <v>2278</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ht="14.75">
      <c r="A139" t="s">
        <v>444</v>
      </c>
      <c r="B139" t="s">
        <v>2279</v>
      </c>
      <c r="C139" t="s">
        <v>2280</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ht="14.75">
      <c r="A140" t="s">
        <v>431</v>
      </c>
      <c r="B140" t="s">
        <v>2281</v>
      </c>
      <c r="C140" t="s">
        <v>2282</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ht="14.75">
      <c r="A141" t="s">
        <v>442</v>
      </c>
      <c r="B141" t="s">
        <v>2283</v>
      </c>
      <c r="C141" t="s">
        <v>2284</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ht="14.75">
      <c r="A142" t="s">
        <v>443</v>
      </c>
      <c r="B142" t="s">
        <v>2285</v>
      </c>
      <c r="C142" t="s">
        <v>2286</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ht="14.75">
      <c r="A143" t="s">
        <v>444</v>
      </c>
      <c r="B143" t="s">
        <v>2287</v>
      </c>
      <c r="C143" t="s">
        <v>2288</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ht="14.75">
      <c r="A144" t="s">
        <v>432</v>
      </c>
      <c r="B144" t="s">
        <v>2289</v>
      </c>
      <c r="C144" t="s">
        <v>2290</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ht="14.75">
      <c r="A145" t="s">
        <v>442</v>
      </c>
      <c r="B145" t="s">
        <v>2291</v>
      </c>
      <c r="C145" t="s">
        <v>2292</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ht="14.75">
      <c r="A146" t="s">
        <v>443</v>
      </c>
      <c r="B146" t="s">
        <v>2293</v>
      </c>
      <c r="C146" t="s">
        <v>2294</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ht="14.75">
      <c r="A147" t="s">
        <v>444</v>
      </c>
      <c r="B147" t="s">
        <v>2295</v>
      </c>
      <c r="C147" t="s">
        <v>2296</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ht="14.75">
      <c r="A148" t="s">
        <v>433</v>
      </c>
      <c r="B148" t="s">
        <v>2297</v>
      </c>
      <c r="C148" t="s">
        <v>2298</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ht="14.75">
      <c r="A149" t="s">
        <v>442</v>
      </c>
      <c r="B149" t="s">
        <v>2299</v>
      </c>
      <c r="C149" t="s">
        <v>2300</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ht="14.75">
      <c r="A150" t="s">
        <v>443</v>
      </c>
      <c r="B150" t="s">
        <v>2301</v>
      </c>
      <c r="C150" t="s">
        <v>2302</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ht="14.75">
      <c r="A151" t="s">
        <v>444</v>
      </c>
      <c r="B151" t="s">
        <v>2303</v>
      </c>
      <c r="C151" t="s">
        <v>2304</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ht="14.75">
      <c r="A152" t="s">
        <v>434</v>
      </c>
      <c r="B152" t="s">
        <v>2305</v>
      </c>
      <c r="C152" t="s">
        <v>2306</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ht="14.75">
      <c r="A153" t="s">
        <v>442</v>
      </c>
      <c r="B153" t="s">
        <v>2307</v>
      </c>
      <c r="C153" t="s">
        <v>2308</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ht="14.75">
      <c r="A154" t="s">
        <v>443</v>
      </c>
      <c r="B154" t="s">
        <v>2309</v>
      </c>
      <c r="C154" t="s">
        <v>2310</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ht="14.75">
      <c r="A155" t="s">
        <v>444</v>
      </c>
      <c r="B155" t="s">
        <v>2311</v>
      </c>
      <c r="C155" t="s">
        <v>2312</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ht="14.75">
      <c r="A156" t="s">
        <v>435</v>
      </c>
      <c r="B156" t="s">
        <v>2313</v>
      </c>
      <c r="C156" t="s">
        <v>2314</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ht="14.75">
      <c r="A157" t="s">
        <v>442</v>
      </c>
      <c r="B157" t="s">
        <v>2315</v>
      </c>
      <c r="C157" t="s">
        <v>2316</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ht="14.75">
      <c r="A158" t="s">
        <v>443</v>
      </c>
      <c r="B158" t="s">
        <v>2317</v>
      </c>
      <c r="C158" t="s">
        <v>2318</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ht="14.75">
      <c r="A159" t="s">
        <v>444</v>
      </c>
      <c r="B159" t="s">
        <v>2319</v>
      </c>
      <c r="C159" t="s">
        <v>2320</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ht="14.75">
      <c r="A160" t="s">
        <v>436</v>
      </c>
      <c r="B160" t="s">
        <v>2321</v>
      </c>
      <c r="C160" t="s">
        <v>2322</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ht="14.75">
      <c r="A161" t="s">
        <v>442</v>
      </c>
      <c r="B161" t="s">
        <v>2323</v>
      </c>
      <c r="C161" t="s">
        <v>2324</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ht="14.75">
      <c r="A162" t="s">
        <v>443</v>
      </c>
      <c r="B162" t="s">
        <v>2325</v>
      </c>
      <c r="C162" t="s">
        <v>2326</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ht="14.75">
      <c r="A163" t="s">
        <v>444</v>
      </c>
      <c r="B163" t="s">
        <v>2327</v>
      </c>
      <c r="C163" t="s">
        <v>2328</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ht="14.75">
      <c r="A164" t="s">
        <v>437</v>
      </c>
      <c r="B164" t="s">
        <v>2329</v>
      </c>
      <c r="C164" t="s">
        <v>2330</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ht="14.75">
      <c r="A165" t="s">
        <v>442</v>
      </c>
      <c r="B165" t="s">
        <v>2331</v>
      </c>
      <c r="C165" t="s">
        <v>2332</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ht="14.75">
      <c r="A166" t="s">
        <v>443</v>
      </c>
      <c r="B166" t="s">
        <v>2333</v>
      </c>
      <c r="C166" t="s">
        <v>2334</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ht="14.75">
      <c r="A167" t="s">
        <v>444</v>
      </c>
      <c r="B167" t="s">
        <v>2335</v>
      </c>
      <c r="C167" t="s">
        <v>2336</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ht="14.75">
      <c r="A168" t="s">
        <v>438</v>
      </c>
      <c r="B168" t="s">
        <v>2337</v>
      </c>
      <c r="C168" t="s">
        <v>2338</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ht="14.75">
      <c r="A169" t="s">
        <v>442</v>
      </c>
      <c r="B169" t="s">
        <v>2339</v>
      </c>
      <c r="C169" t="s">
        <v>2340</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ht="14.75">
      <c r="A170" t="s">
        <v>443</v>
      </c>
      <c r="B170" t="s">
        <v>2341</v>
      </c>
      <c r="C170" t="s">
        <v>2342</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ht="14.75">
      <c r="A171" t="s">
        <v>444</v>
      </c>
      <c r="B171" t="s">
        <v>2343</v>
      </c>
      <c r="C171" t="s">
        <v>2344</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ht="14.75">
      <c r="A172" t="s">
        <v>439</v>
      </c>
      <c r="B172" t="s">
        <v>2345</v>
      </c>
      <c r="C172" t="s">
        <v>2346</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ht="14.75">
      <c r="A173" t="s">
        <v>442</v>
      </c>
      <c r="B173" t="s">
        <v>2347</v>
      </c>
      <c r="C173" t="s">
        <v>2348</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ht="14.75">
      <c r="A174" t="s">
        <v>443</v>
      </c>
      <c r="B174" t="s">
        <v>2349</v>
      </c>
      <c r="C174" t="s">
        <v>2350</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ht="14.75">
      <c r="A175" t="s">
        <v>444</v>
      </c>
      <c r="B175" t="s">
        <v>2351</v>
      </c>
      <c r="C175" t="s">
        <v>2352</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ht="14.75">
      <c r="A176" t="s">
        <v>118</v>
      </c>
      <c r="B176" t="s">
        <v>2353</v>
      </c>
      <c r="C176" t="s">
        <v>2354</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ht="14.75">
      <c r="A177" t="s">
        <v>124</v>
      </c>
    </row>
    <row r="178" spans="1:37" s="14" customFormat="1" ht="14.75">
      <c r="A178" s="14" t="s">
        <v>427</v>
      </c>
      <c r="B178" s="14" t="s">
        <v>2355</v>
      </c>
      <c r="C178" s="14" t="s">
        <v>2356</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4"/>
    </row>
    <row r="179" spans="1:37" ht="14.75">
      <c r="A179" t="s">
        <v>428</v>
      </c>
      <c r="B179" t="s">
        <v>2357</v>
      </c>
      <c r="C179" t="s">
        <v>2358</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ht="14.75">
      <c r="A180" t="s">
        <v>429</v>
      </c>
      <c r="B180" t="s">
        <v>2359</v>
      </c>
      <c r="C180" t="s">
        <v>2360</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ht="14.75">
      <c r="A181" t="s">
        <v>430</v>
      </c>
      <c r="B181" t="s">
        <v>2361</v>
      </c>
      <c r="C181" t="s">
        <v>2362</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ht="14.75">
      <c r="A182" t="s">
        <v>431</v>
      </c>
      <c r="B182" t="s">
        <v>2363</v>
      </c>
      <c r="C182" t="s">
        <v>2364</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ht="14.75">
      <c r="A183" t="s">
        <v>432</v>
      </c>
      <c r="B183" t="s">
        <v>2365</v>
      </c>
      <c r="C183" t="s">
        <v>2366</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ht="14.75">
      <c r="A184" t="s">
        <v>433</v>
      </c>
      <c r="B184" t="s">
        <v>2367</v>
      </c>
      <c r="C184" t="s">
        <v>2368</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ht="14.75">
      <c r="A185" t="s">
        <v>434</v>
      </c>
      <c r="B185" t="s">
        <v>2369</v>
      </c>
      <c r="C185" t="s">
        <v>2370</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ht="14.75">
      <c r="A186" t="s">
        <v>435</v>
      </c>
      <c r="B186" t="s">
        <v>2371</v>
      </c>
      <c r="C186" t="s">
        <v>2372</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ht="14.75">
      <c r="A187" t="s">
        <v>436</v>
      </c>
      <c r="B187" t="s">
        <v>2373</v>
      </c>
      <c r="C187" t="s">
        <v>2374</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ht="14.75">
      <c r="A188" t="s">
        <v>437</v>
      </c>
      <c r="B188" t="s">
        <v>2375</v>
      </c>
      <c r="C188" t="s">
        <v>2376</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ht="14.75">
      <c r="A189" t="s">
        <v>438</v>
      </c>
      <c r="B189" t="s">
        <v>2377</v>
      </c>
      <c r="C189" t="s">
        <v>2378</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ht="14.75">
      <c r="A190" t="s">
        <v>439</v>
      </c>
      <c r="B190" t="s">
        <v>2379</v>
      </c>
      <c r="C190" t="s">
        <v>2380</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ht="14.75">
      <c r="A191" t="s">
        <v>118</v>
      </c>
      <c r="B191" t="s">
        <v>2381</v>
      </c>
      <c r="C191" t="s">
        <v>2382</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workbookViewId="0"/>
  </sheetViews>
  <sheetFormatPr defaultRowHeight="15" customHeight="1"/>
  <cols>
    <col min="1" max="1" width="11" style="23" customWidth="1"/>
    <col min="2" max="2" width="33" customWidth="1"/>
  </cols>
  <sheetData>
    <row r="11" spans="2:36">
      <c r="B11" t="s">
        <v>388</v>
      </c>
    </row>
    <row r="12" spans="2:36">
      <c r="B12" t="s">
        <v>2383</v>
      </c>
    </row>
    <row r="13" spans="2:36">
      <c r="B13" t="s">
        <v>2384</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1080</v>
      </c>
    </row>
    <row r="16" spans="2:36">
      <c r="B16" t="s">
        <v>216</v>
      </c>
    </row>
    <row r="17" spans="1:38">
      <c r="B17" t="s">
        <v>389</v>
      </c>
    </row>
    <row r="18" spans="1:38">
      <c r="B18" t="s">
        <v>341</v>
      </c>
    </row>
    <row r="19" spans="1:38">
      <c r="A19" s="166" t="s">
        <v>114</v>
      </c>
      <c r="B19" t="s">
        <v>327</v>
      </c>
      <c r="C19" t="s">
        <v>2385</v>
      </c>
      <c r="D19" t="s">
        <v>2386</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6" t="s">
        <v>113</v>
      </c>
      <c r="B20" t="s">
        <v>313</v>
      </c>
      <c r="C20" t="s">
        <v>2387</v>
      </c>
      <c r="D20" t="s">
        <v>2388</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6" t="s">
        <v>257</v>
      </c>
      <c r="B21" t="s">
        <v>308</v>
      </c>
      <c r="C21" t="s">
        <v>2389</v>
      </c>
      <c r="D21" t="s">
        <v>2390</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6" t="s">
        <v>112</v>
      </c>
      <c r="B22" t="s">
        <v>307</v>
      </c>
      <c r="C22" t="s">
        <v>2391</v>
      </c>
      <c r="D22" t="s">
        <v>2392</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6" t="s">
        <v>113</v>
      </c>
      <c r="B23" t="s">
        <v>378</v>
      </c>
      <c r="C23" t="s">
        <v>2393</v>
      </c>
      <c r="D23" t="s">
        <v>2394</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6" t="s">
        <v>111</v>
      </c>
      <c r="B24" t="s">
        <v>379</v>
      </c>
      <c r="C24" t="s">
        <v>2395</v>
      </c>
      <c r="D24" t="s">
        <v>2396</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6" t="s">
        <v>115</v>
      </c>
      <c r="B25" t="s">
        <v>381</v>
      </c>
      <c r="C25" t="s">
        <v>2397</v>
      </c>
      <c r="D25" t="s">
        <v>2398</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6" t="s">
        <v>115</v>
      </c>
      <c r="B26" t="s">
        <v>380</v>
      </c>
      <c r="C26" t="s">
        <v>2399</v>
      </c>
      <c r="D26" t="s">
        <v>2400</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6" t="s">
        <v>258</v>
      </c>
      <c r="B27" t="s">
        <v>382</v>
      </c>
      <c r="C27" t="s">
        <v>2401</v>
      </c>
      <c r="D27" t="s">
        <v>2402</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2403</v>
      </c>
      <c r="D28" t="s">
        <v>2404</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6" t="s">
        <v>114</v>
      </c>
      <c r="B30" t="s">
        <v>327</v>
      </c>
      <c r="C30" t="s">
        <v>2405</v>
      </c>
      <c r="D30" t="s">
        <v>2406</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6" t="s">
        <v>113</v>
      </c>
      <c r="B31" t="s">
        <v>313</v>
      </c>
      <c r="C31" t="s">
        <v>2407</v>
      </c>
      <c r="D31" t="s">
        <v>2408</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6" t="s">
        <v>257</v>
      </c>
      <c r="B32" t="s">
        <v>308</v>
      </c>
      <c r="C32" t="s">
        <v>2409</v>
      </c>
      <c r="D32" t="s">
        <v>2410</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6" t="s">
        <v>112</v>
      </c>
      <c r="B33" t="s">
        <v>307</v>
      </c>
      <c r="C33" t="s">
        <v>2411</v>
      </c>
      <c r="D33" t="s">
        <v>2412</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6" t="s">
        <v>113</v>
      </c>
      <c r="B34" t="s">
        <v>378</v>
      </c>
      <c r="C34" t="s">
        <v>2413</v>
      </c>
      <c r="D34" t="s">
        <v>2414</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6" t="s">
        <v>111</v>
      </c>
      <c r="B35" t="s">
        <v>379</v>
      </c>
      <c r="C35" t="s">
        <v>2415</v>
      </c>
      <c r="D35" t="s">
        <v>2416</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6" t="s">
        <v>115</v>
      </c>
      <c r="B36" t="s">
        <v>381</v>
      </c>
      <c r="C36" t="s">
        <v>2417</v>
      </c>
      <c r="D36" t="s">
        <v>2418</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6" t="s">
        <v>115</v>
      </c>
      <c r="B37" t="s">
        <v>380</v>
      </c>
      <c r="C37" t="s">
        <v>2419</v>
      </c>
      <c r="D37" t="s">
        <v>2420</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6" t="s">
        <v>258</v>
      </c>
      <c r="B38" t="s">
        <v>382</v>
      </c>
      <c r="C38" t="s">
        <v>2421</v>
      </c>
      <c r="D38" t="s">
        <v>2422</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2423</v>
      </c>
      <c r="D39" t="s">
        <v>2424</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6" t="s">
        <v>114</v>
      </c>
      <c r="B41" t="s">
        <v>327</v>
      </c>
      <c r="C41" t="s">
        <v>2425</v>
      </c>
      <c r="D41" t="s">
        <v>2426</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6" t="s">
        <v>113</v>
      </c>
      <c r="B42" t="s">
        <v>313</v>
      </c>
      <c r="C42" t="s">
        <v>2427</v>
      </c>
      <c r="D42" t="s">
        <v>2428</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6" t="s">
        <v>257</v>
      </c>
      <c r="B43" t="s">
        <v>308</v>
      </c>
      <c r="C43" t="s">
        <v>2429</v>
      </c>
      <c r="D43" t="s">
        <v>2430</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6" t="s">
        <v>112</v>
      </c>
      <c r="B44" t="s">
        <v>307</v>
      </c>
      <c r="C44" t="s">
        <v>2431</v>
      </c>
      <c r="D44" t="s">
        <v>2432</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6" t="s">
        <v>113</v>
      </c>
      <c r="B45" t="s">
        <v>378</v>
      </c>
      <c r="C45" t="s">
        <v>2433</v>
      </c>
      <c r="D45" t="s">
        <v>2434</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6" t="s">
        <v>111</v>
      </c>
      <c r="B46" t="s">
        <v>379</v>
      </c>
      <c r="C46" t="s">
        <v>2435</v>
      </c>
      <c r="D46" t="s">
        <v>2436</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6" t="s">
        <v>115</v>
      </c>
      <c r="B47" t="s">
        <v>381</v>
      </c>
      <c r="C47" t="s">
        <v>2437</v>
      </c>
      <c r="D47" t="s">
        <v>2438</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6" t="s">
        <v>115</v>
      </c>
      <c r="B48" t="s">
        <v>380</v>
      </c>
      <c r="C48" t="s">
        <v>2439</v>
      </c>
      <c r="D48" t="s">
        <v>2440</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6" t="s">
        <v>258</v>
      </c>
      <c r="B49" t="s">
        <v>382</v>
      </c>
      <c r="C49" t="s">
        <v>2441</v>
      </c>
      <c r="D49" t="s">
        <v>2442</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2443</v>
      </c>
      <c r="D50" t="s">
        <v>2444</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2445</v>
      </c>
      <c r="D51" t="s">
        <v>2446</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6" t="s">
        <v>114</v>
      </c>
      <c r="B54" t="s">
        <v>327</v>
      </c>
      <c r="C54" t="s">
        <v>2447</v>
      </c>
      <c r="D54" t="s">
        <v>2448</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6" t="s">
        <v>113</v>
      </c>
      <c r="B55" t="s">
        <v>313</v>
      </c>
      <c r="C55" t="s">
        <v>2449</v>
      </c>
      <c r="D55" t="s">
        <v>2450</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6" t="s">
        <v>257</v>
      </c>
      <c r="B56" t="s">
        <v>308</v>
      </c>
      <c r="C56" t="s">
        <v>2451</v>
      </c>
      <c r="D56" t="s">
        <v>2452</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6" t="s">
        <v>112</v>
      </c>
      <c r="B57" t="s">
        <v>307</v>
      </c>
      <c r="C57" t="s">
        <v>2453</v>
      </c>
      <c r="D57" t="s">
        <v>2454</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6" t="s">
        <v>113</v>
      </c>
      <c r="B58" t="s">
        <v>378</v>
      </c>
      <c r="C58" t="s">
        <v>2455</v>
      </c>
      <c r="D58" t="s">
        <v>2456</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6" t="s">
        <v>111</v>
      </c>
      <c r="B59" t="s">
        <v>379</v>
      </c>
      <c r="C59" t="s">
        <v>2457</v>
      </c>
      <c r="D59" t="s">
        <v>2458</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6" t="s">
        <v>115</v>
      </c>
      <c r="B60" t="s">
        <v>381</v>
      </c>
      <c r="C60" t="s">
        <v>2459</v>
      </c>
      <c r="D60" t="s">
        <v>2460</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6" t="s">
        <v>115</v>
      </c>
      <c r="B61" t="s">
        <v>380</v>
      </c>
      <c r="C61" t="s">
        <v>2461</v>
      </c>
      <c r="D61" t="s">
        <v>2462</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6" t="s">
        <v>258</v>
      </c>
      <c r="B62" t="s">
        <v>382</v>
      </c>
      <c r="C62" t="s">
        <v>2463</v>
      </c>
      <c r="D62" t="s">
        <v>2464</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2465</v>
      </c>
      <c r="D63" t="s">
        <v>2466</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6" t="s">
        <v>114</v>
      </c>
      <c r="B65" t="s">
        <v>327</v>
      </c>
      <c r="C65" t="s">
        <v>2467</v>
      </c>
      <c r="D65" t="s">
        <v>2468</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6" t="s">
        <v>113</v>
      </c>
      <c r="B66" t="s">
        <v>313</v>
      </c>
      <c r="C66" t="s">
        <v>2469</v>
      </c>
      <c r="D66" t="s">
        <v>2470</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6" t="s">
        <v>257</v>
      </c>
      <c r="B67" t="s">
        <v>308</v>
      </c>
      <c r="C67" t="s">
        <v>2471</v>
      </c>
      <c r="D67" t="s">
        <v>2472</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6" t="s">
        <v>112</v>
      </c>
      <c r="B68" t="s">
        <v>307</v>
      </c>
      <c r="C68" t="s">
        <v>2473</v>
      </c>
      <c r="D68" t="s">
        <v>2474</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6" t="s">
        <v>113</v>
      </c>
      <c r="B69" t="s">
        <v>378</v>
      </c>
      <c r="C69" t="s">
        <v>2475</v>
      </c>
      <c r="D69" t="s">
        <v>2476</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6" t="s">
        <v>111</v>
      </c>
      <c r="B70" t="s">
        <v>379</v>
      </c>
      <c r="C70" t="s">
        <v>2477</v>
      </c>
      <c r="D70" t="s">
        <v>2478</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6" t="s">
        <v>115</v>
      </c>
      <c r="B71" t="s">
        <v>381</v>
      </c>
      <c r="C71" t="s">
        <v>2479</v>
      </c>
      <c r="D71" t="s">
        <v>2480</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6" t="s">
        <v>115</v>
      </c>
      <c r="B72" t="s">
        <v>380</v>
      </c>
      <c r="C72" t="s">
        <v>2481</v>
      </c>
      <c r="D72" t="s">
        <v>2482</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6" t="s">
        <v>258</v>
      </c>
      <c r="B73" t="s">
        <v>382</v>
      </c>
      <c r="C73" t="s">
        <v>2483</v>
      </c>
      <c r="D73" t="s">
        <v>2484</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2485</v>
      </c>
      <c r="D74" t="s">
        <v>2486</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6" t="s">
        <v>114</v>
      </c>
      <c r="B76" t="s">
        <v>327</v>
      </c>
      <c r="C76" t="s">
        <v>2487</v>
      </c>
      <c r="D76" t="s">
        <v>2488</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6" t="s">
        <v>113</v>
      </c>
      <c r="B77" t="s">
        <v>313</v>
      </c>
      <c r="C77" t="s">
        <v>2489</v>
      </c>
      <c r="D77" t="s">
        <v>2490</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6" t="s">
        <v>257</v>
      </c>
      <c r="B78" t="s">
        <v>308</v>
      </c>
      <c r="C78" t="s">
        <v>2491</v>
      </c>
      <c r="D78" t="s">
        <v>2492</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6" t="s">
        <v>112</v>
      </c>
      <c r="B79" t="s">
        <v>307</v>
      </c>
      <c r="C79" t="s">
        <v>2493</v>
      </c>
      <c r="D79" t="s">
        <v>2494</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6" t="s">
        <v>113</v>
      </c>
      <c r="B80" t="s">
        <v>378</v>
      </c>
      <c r="C80" t="s">
        <v>2495</v>
      </c>
      <c r="D80" t="s">
        <v>2496</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6" t="s">
        <v>111</v>
      </c>
      <c r="B81" t="s">
        <v>379</v>
      </c>
      <c r="C81" t="s">
        <v>2497</v>
      </c>
      <c r="D81" t="s">
        <v>2498</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6" t="s">
        <v>115</v>
      </c>
      <c r="B82" t="s">
        <v>381</v>
      </c>
      <c r="C82" t="s">
        <v>2499</v>
      </c>
      <c r="D82" t="s">
        <v>2500</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6" t="s">
        <v>115</v>
      </c>
      <c r="B83" t="s">
        <v>380</v>
      </c>
      <c r="C83" t="s">
        <v>2501</v>
      </c>
      <c r="D83" t="s">
        <v>2502</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6" t="s">
        <v>258</v>
      </c>
      <c r="B84" t="s">
        <v>382</v>
      </c>
      <c r="C84" t="s">
        <v>2503</v>
      </c>
      <c r="D84" t="s">
        <v>2504</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2505</v>
      </c>
      <c r="D85" t="s">
        <v>2506</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6" t="s">
        <v>114</v>
      </c>
      <c r="B87" t="s">
        <v>327</v>
      </c>
      <c r="C87" t="s">
        <v>2507</v>
      </c>
      <c r="D87" t="s">
        <v>2508</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6" t="s">
        <v>113</v>
      </c>
      <c r="B88" t="s">
        <v>313</v>
      </c>
      <c r="C88" t="s">
        <v>2509</v>
      </c>
      <c r="D88" t="s">
        <v>2510</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6" t="s">
        <v>257</v>
      </c>
      <c r="B89" t="s">
        <v>308</v>
      </c>
      <c r="C89" t="s">
        <v>2511</v>
      </c>
      <c r="D89" t="s">
        <v>2512</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6" t="s">
        <v>112</v>
      </c>
      <c r="B90" t="s">
        <v>307</v>
      </c>
      <c r="C90" t="s">
        <v>2513</v>
      </c>
      <c r="D90" t="s">
        <v>2514</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6" t="s">
        <v>113</v>
      </c>
      <c r="B91" t="s">
        <v>378</v>
      </c>
      <c r="C91" t="s">
        <v>2515</v>
      </c>
      <c r="D91" t="s">
        <v>2516</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6" t="s">
        <v>111</v>
      </c>
      <c r="B92" t="s">
        <v>379</v>
      </c>
      <c r="C92" t="s">
        <v>2517</v>
      </c>
      <c r="D92" t="s">
        <v>2518</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6" t="s">
        <v>115</v>
      </c>
      <c r="B93" t="s">
        <v>381</v>
      </c>
      <c r="C93" t="s">
        <v>2519</v>
      </c>
      <c r="D93" t="s">
        <v>2520</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6" t="s">
        <v>115</v>
      </c>
      <c r="B94" t="s">
        <v>380</v>
      </c>
      <c r="C94" t="s">
        <v>2521</v>
      </c>
      <c r="D94" t="s">
        <v>2522</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6" t="s">
        <v>258</v>
      </c>
      <c r="B95" t="s">
        <v>382</v>
      </c>
      <c r="C95" t="s">
        <v>2523</v>
      </c>
      <c r="D95" t="s">
        <v>2524</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2525</v>
      </c>
      <c r="D96" t="s">
        <v>2526</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6" t="s">
        <v>114</v>
      </c>
      <c r="B99" t="s">
        <v>327</v>
      </c>
      <c r="C99" t="s">
        <v>2527</v>
      </c>
      <c r="D99" t="s">
        <v>2528</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6" t="s">
        <v>113</v>
      </c>
      <c r="B100" t="s">
        <v>313</v>
      </c>
      <c r="C100" t="s">
        <v>2529</v>
      </c>
      <c r="D100" t="s">
        <v>2530</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6" t="s">
        <v>257</v>
      </c>
      <c r="B101" t="s">
        <v>308</v>
      </c>
      <c r="C101" t="s">
        <v>2531</v>
      </c>
      <c r="D101" t="s">
        <v>2532</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6" t="s">
        <v>112</v>
      </c>
      <c r="B102" t="s">
        <v>307</v>
      </c>
      <c r="C102" t="s">
        <v>2533</v>
      </c>
      <c r="D102" t="s">
        <v>2534</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6" t="s">
        <v>113</v>
      </c>
      <c r="B103" t="s">
        <v>378</v>
      </c>
      <c r="C103" t="s">
        <v>2535</v>
      </c>
      <c r="D103" t="s">
        <v>2536</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6" t="s">
        <v>111</v>
      </c>
      <c r="B104" t="s">
        <v>379</v>
      </c>
      <c r="C104" t="s">
        <v>2537</v>
      </c>
      <c r="D104" t="s">
        <v>2538</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6" t="s">
        <v>115</v>
      </c>
      <c r="B105" t="s">
        <v>381</v>
      </c>
      <c r="C105" t="s">
        <v>2539</v>
      </c>
      <c r="D105" t="s">
        <v>2540</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6" t="s">
        <v>115</v>
      </c>
      <c r="B106" t="s">
        <v>380</v>
      </c>
      <c r="C106" t="s">
        <v>2541</v>
      </c>
      <c r="D106" t="s">
        <v>2542</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6" t="s">
        <v>258</v>
      </c>
      <c r="B107" t="s">
        <v>382</v>
      </c>
      <c r="C107" t="s">
        <v>2543</v>
      </c>
      <c r="D107" t="s">
        <v>2544</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2545</v>
      </c>
      <c r="D108" t="s">
        <v>2546</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6" t="s">
        <v>114</v>
      </c>
      <c r="B110" t="s">
        <v>327</v>
      </c>
      <c r="C110" t="s">
        <v>2547</v>
      </c>
      <c r="D110" t="s">
        <v>2548</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6" t="s">
        <v>113</v>
      </c>
      <c r="B111" t="s">
        <v>313</v>
      </c>
      <c r="C111" t="s">
        <v>2549</v>
      </c>
      <c r="D111" t="s">
        <v>2550</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6" t="s">
        <v>257</v>
      </c>
      <c r="B112" t="s">
        <v>308</v>
      </c>
      <c r="C112" t="s">
        <v>2551</v>
      </c>
      <c r="D112" t="s">
        <v>2552</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6" t="s">
        <v>112</v>
      </c>
      <c r="B113" t="s">
        <v>307</v>
      </c>
      <c r="C113" t="s">
        <v>2553</v>
      </c>
      <c r="D113" t="s">
        <v>2554</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6" t="s">
        <v>113</v>
      </c>
      <c r="B114" t="s">
        <v>378</v>
      </c>
      <c r="C114" t="s">
        <v>2555</v>
      </c>
      <c r="D114" t="s">
        <v>2556</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6" t="s">
        <v>111</v>
      </c>
      <c r="B115" t="s">
        <v>379</v>
      </c>
      <c r="C115" t="s">
        <v>2557</v>
      </c>
      <c r="D115" t="s">
        <v>2558</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6" t="s">
        <v>115</v>
      </c>
      <c r="B116" t="s">
        <v>381</v>
      </c>
      <c r="C116" t="s">
        <v>2559</v>
      </c>
      <c r="D116" t="s">
        <v>2560</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6" t="s">
        <v>115</v>
      </c>
      <c r="B117" t="s">
        <v>380</v>
      </c>
      <c r="C117" t="s">
        <v>2561</v>
      </c>
      <c r="D117" t="s">
        <v>2562</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6" t="s">
        <v>258</v>
      </c>
      <c r="B118" t="s">
        <v>382</v>
      </c>
      <c r="C118" t="s">
        <v>2563</v>
      </c>
      <c r="D118" t="s">
        <v>2564</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2565</v>
      </c>
      <c r="D119" t="s">
        <v>2566</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c r="A121" s="166" t="s">
        <v>114</v>
      </c>
      <c r="B121" t="s">
        <v>327</v>
      </c>
      <c r="C121" t="s">
        <v>2567</v>
      </c>
      <c r="D121" t="s">
        <v>2568</v>
      </c>
      <c r="E121" t="s">
        <v>413</v>
      </c>
      <c r="G121">
        <v>6.174798</v>
      </c>
      <c r="H121">
        <v>6.2630949999999999</v>
      </c>
      <c r="I121">
        <v>6.3645230000000002</v>
      </c>
      <c r="J121">
        <v>6.4755140000000004</v>
      </c>
      <c r="K121">
        <v>6.5947199999999997</v>
      </c>
      <c r="L121">
        <v>6.7204090000000001</v>
      </c>
      <c r="M121">
        <v>6.8422190000000001</v>
      </c>
      <c r="N121">
        <v>6.9609690000000004</v>
      </c>
      <c r="O121">
        <v>7.0752560000000004</v>
      </c>
      <c r="P121">
        <v>7.1852980000000004</v>
      </c>
      <c r="Q121">
        <v>7.2900910000000003</v>
      </c>
      <c r="R121">
        <v>7.3855190000000004</v>
      </c>
      <c r="S121">
        <v>7.4707850000000002</v>
      </c>
      <c r="T121">
        <v>7.5460839999999996</v>
      </c>
      <c r="U121">
        <v>7.6121340000000002</v>
      </c>
      <c r="V121">
        <v>7.6693059999999997</v>
      </c>
      <c r="W121">
        <v>7.7178800000000001</v>
      </c>
      <c r="X121">
        <v>7.7600699999999998</v>
      </c>
      <c r="Y121">
        <v>7.7969379999999999</v>
      </c>
      <c r="Z121">
        <v>7.8299960000000004</v>
      </c>
      <c r="AA121">
        <v>7.8573079999999997</v>
      </c>
      <c r="AB121">
        <v>7.880395</v>
      </c>
      <c r="AC121">
        <v>7.8999480000000002</v>
      </c>
      <c r="AD121">
        <v>7.9169460000000003</v>
      </c>
      <c r="AE121">
        <v>7.9330990000000003</v>
      </c>
      <c r="AF121">
        <v>7.9487300000000003</v>
      </c>
      <c r="AG121">
        <v>7.9641529999999996</v>
      </c>
      <c r="AH121">
        <v>7.9801409999999997</v>
      </c>
      <c r="AI121">
        <v>7.9969340000000004</v>
      </c>
      <c r="AJ121" s="31">
        <v>8.9999999999999993E-3</v>
      </c>
      <c r="AL121" s="31"/>
    </row>
    <row r="122" spans="1:38">
      <c r="A122" s="166" t="s">
        <v>113</v>
      </c>
      <c r="B122" t="s">
        <v>313</v>
      </c>
      <c r="C122" t="s">
        <v>2569</v>
      </c>
      <c r="D122" t="s">
        <v>2570</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6" t="s">
        <v>257</v>
      </c>
      <c r="B123" t="s">
        <v>308</v>
      </c>
      <c r="C123" t="s">
        <v>2571</v>
      </c>
      <c r="D123" t="s">
        <v>2572</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6" t="s">
        <v>112</v>
      </c>
      <c r="B124" t="s">
        <v>307</v>
      </c>
      <c r="C124" t="s">
        <v>2573</v>
      </c>
      <c r="D124" t="s">
        <v>2574</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6" t="s">
        <v>113</v>
      </c>
      <c r="B125" t="s">
        <v>378</v>
      </c>
      <c r="C125" t="s">
        <v>2575</v>
      </c>
      <c r="D125" t="s">
        <v>2576</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6" t="s">
        <v>111</v>
      </c>
      <c r="B126" t="s">
        <v>379</v>
      </c>
      <c r="C126" t="s">
        <v>2577</v>
      </c>
      <c r="D126" t="s">
        <v>2578</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6" t="s">
        <v>115</v>
      </c>
      <c r="B127" t="s">
        <v>381</v>
      </c>
      <c r="C127" t="s">
        <v>2579</v>
      </c>
      <c r="D127" t="s">
        <v>2580</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6" t="s">
        <v>115</v>
      </c>
      <c r="B128" t="s">
        <v>380</v>
      </c>
      <c r="C128" t="s">
        <v>2581</v>
      </c>
      <c r="D128" t="s">
        <v>2582</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6" t="s">
        <v>258</v>
      </c>
      <c r="B129" t="s">
        <v>382</v>
      </c>
      <c r="C129" t="s">
        <v>2583</v>
      </c>
      <c r="D129" t="s">
        <v>2584</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2585</v>
      </c>
      <c r="D130" t="s">
        <v>2586</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2587</v>
      </c>
      <c r="D131" t="s">
        <v>2588</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6" t="s">
        <v>114</v>
      </c>
      <c r="B134" t="s">
        <v>327</v>
      </c>
      <c r="C134" t="s">
        <v>2589</v>
      </c>
      <c r="D134" t="s">
        <v>2590</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6" t="s">
        <v>113</v>
      </c>
      <c r="B135" t="s">
        <v>313</v>
      </c>
      <c r="C135" t="s">
        <v>2591</v>
      </c>
      <c r="D135" t="s">
        <v>2592</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6" t="s">
        <v>257</v>
      </c>
      <c r="B136" t="s">
        <v>308</v>
      </c>
      <c r="C136" t="s">
        <v>2593</v>
      </c>
      <c r="D136" t="s">
        <v>2594</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6" t="s">
        <v>112</v>
      </c>
      <c r="B137" t="s">
        <v>307</v>
      </c>
      <c r="C137" t="s">
        <v>2595</v>
      </c>
      <c r="D137" t="s">
        <v>2596</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6" t="s">
        <v>113</v>
      </c>
      <c r="B138" t="s">
        <v>378</v>
      </c>
      <c r="C138" t="s">
        <v>2597</v>
      </c>
      <c r="D138" t="s">
        <v>2598</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6" t="s">
        <v>111</v>
      </c>
      <c r="B139" t="s">
        <v>379</v>
      </c>
      <c r="C139" t="s">
        <v>2599</v>
      </c>
      <c r="D139" t="s">
        <v>2600</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6" t="s">
        <v>115</v>
      </c>
      <c r="B140" t="s">
        <v>381</v>
      </c>
      <c r="C140" t="s">
        <v>2601</v>
      </c>
      <c r="D140" t="s">
        <v>2602</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6" t="s">
        <v>115</v>
      </c>
      <c r="B141" t="s">
        <v>380</v>
      </c>
      <c r="C141" t="s">
        <v>2603</v>
      </c>
      <c r="D141" t="s">
        <v>2604</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6" t="s">
        <v>258</v>
      </c>
      <c r="B142" t="s">
        <v>382</v>
      </c>
      <c r="C142" t="s">
        <v>2605</v>
      </c>
      <c r="D142" t="s">
        <v>2606</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2607</v>
      </c>
      <c r="D143" t="s">
        <v>2608</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6" t="s">
        <v>114</v>
      </c>
      <c r="B145" t="s">
        <v>327</v>
      </c>
      <c r="C145" t="s">
        <v>2609</v>
      </c>
      <c r="D145" t="s">
        <v>2610</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6" t="s">
        <v>113</v>
      </c>
      <c r="B146" t="s">
        <v>313</v>
      </c>
      <c r="C146" t="s">
        <v>2611</v>
      </c>
      <c r="D146" t="s">
        <v>2612</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6" t="s">
        <v>257</v>
      </c>
      <c r="B147" t="s">
        <v>308</v>
      </c>
      <c r="C147" t="s">
        <v>2613</v>
      </c>
      <c r="D147" t="s">
        <v>2614</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6" t="s">
        <v>112</v>
      </c>
      <c r="B148" t="s">
        <v>307</v>
      </c>
      <c r="C148" t="s">
        <v>2615</v>
      </c>
      <c r="D148" t="s">
        <v>2616</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6" t="s">
        <v>113</v>
      </c>
      <c r="B149" t="s">
        <v>378</v>
      </c>
      <c r="C149" t="s">
        <v>2617</v>
      </c>
      <c r="D149" t="s">
        <v>2618</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6" t="s">
        <v>111</v>
      </c>
      <c r="B150" t="s">
        <v>379</v>
      </c>
      <c r="C150" t="s">
        <v>2619</v>
      </c>
      <c r="D150" t="s">
        <v>2620</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6" t="s">
        <v>115</v>
      </c>
      <c r="B151" t="s">
        <v>381</v>
      </c>
      <c r="C151" t="s">
        <v>2621</v>
      </c>
      <c r="D151" t="s">
        <v>2622</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6" t="s">
        <v>115</v>
      </c>
      <c r="B152" t="s">
        <v>380</v>
      </c>
      <c r="C152" t="s">
        <v>2623</v>
      </c>
      <c r="D152" t="s">
        <v>2624</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6" t="s">
        <v>258</v>
      </c>
      <c r="B153" t="s">
        <v>382</v>
      </c>
      <c r="C153" t="s">
        <v>2625</v>
      </c>
      <c r="D153" t="s">
        <v>2626</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2627</v>
      </c>
      <c r="D154" t="s">
        <v>2628</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6" t="s">
        <v>114</v>
      </c>
      <c r="B156" t="s">
        <v>327</v>
      </c>
      <c r="C156" t="s">
        <v>2629</v>
      </c>
      <c r="D156" t="s">
        <v>2630</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6" t="s">
        <v>113</v>
      </c>
      <c r="B157" t="s">
        <v>313</v>
      </c>
      <c r="C157" t="s">
        <v>2631</v>
      </c>
      <c r="D157" t="s">
        <v>2632</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6" t="s">
        <v>257</v>
      </c>
      <c r="B158" t="s">
        <v>308</v>
      </c>
      <c r="C158" t="s">
        <v>2633</v>
      </c>
      <c r="D158" t="s">
        <v>2634</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6" t="s">
        <v>112</v>
      </c>
      <c r="B159" t="s">
        <v>307</v>
      </c>
      <c r="C159" t="s">
        <v>2635</v>
      </c>
      <c r="D159" t="s">
        <v>2636</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6" t="s">
        <v>113</v>
      </c>
      <c r="B160" t="s">
        <v>378</v>
      </c>
      <c r="C160" t="s">
        <v>2637</v>
      </c>
      <c r="D160" t="s">
        <v>2638</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6" t="s">
        <v>111</v>
      </c>
      <c r="B161" t="s">
        <v>379</v>
      </c>
      <c r="C161" t="s">
        <v>2639</v>
      </c>
      <c r="D161" t="s">
        <v>2640</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6" t="s">
        <v>115</v>
      </c>
      <c r="B162" t="s">
        <v>381</v>
      </c>
      <c r="C162" t="s">
        <v>2641</v>
      </c>
      <c r="D162" t="s">
        <v>2642</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6" t="s">
        <v>115</v>
      </c>
      <c r="B163" t="s">
        <v>380</v>
      </c>
      <c r="C163" t="s">
        <v>2643</v>
      </c>
      <c r="D163" t="s">
        <v>2644</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6" t="s">
        <v>258</v>
      </c>
      <c r="B164" t="s">
        <v>382</v>
      </c>
      <c r="C164" t="s">
        <v>2645</v>
      </c>
      <c r="D164" t="s">
        <v>2646</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2647</v>
      </c>
      <c r="D165" t="s">
        <v>2648</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2649</v>
      </c>
      <c r="D166" t="s">
        <v>2650</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2651</v>
      </c>
      <c r="D170" t="s">
        <v>2652</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2653</v>
      </c>
      <c r="D171" t="s">
        <v>2654</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2655</v>
      </c>
      <c r="D172" t="s">
        <v>2656</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2657</v>
      </c>
      <c r="D173" t="s">
        <v>2658</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2659</v>
      </c>
      <c r="D174" t="s">
        <v>2660</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2661</v>
      </c>
      <c r="D175" t="s">
        <v>2662</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2663</v>
      </c>
      <c r="D176" t="s">
        <v>2664</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2665</v>
      </c>
      <c r="D177" t="s">
        <v>2666</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2667</v>
      </c>
      <c r="D178" t="s">
        <v>2668</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2669</v>
      </c>
      <c r="D179" t="s">
        <v>2670</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2671</v>
      </c>
      <c r="D181" t="s">
        <v>2672</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2673</v>
      </c>
      <c r="D182" t="s">
        <v>2674</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2675</v>
      </c>
      <c r="D183" t="s">
        <v>2676</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2677</v>
      </c>
      <c r="D184" t="s">
        <v>2678</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2679</v>
      </c>
      <c r="D185" t="s">
        <v>2680</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2681</v>
      </c>
      <c r="D186" t="s">
        <v>2682</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2683</v>
      </c>
      <c r="D187" t="s">
        <v>2684</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2685</v>
      </c>
      <c r="D188" t="s">
        <v>2686</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2687</v>
      </c>
      <c r="D189" t="s">
        <v>2688</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2689</v>
      </c>
      <c r="D190" t="s">
        <v>2690</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2691</v>
      </c>
      <c r="D192" t="s">
        <v>2692</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2693</v>
      </c>
      <c r="D193" t="s">
        <v>2694</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2695</v>
      </c>
      <c r="D194" t="s">
        <v>2696</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2697</v>
      </c>
      <c r="D195" t="s">
        <v>2698</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2699</v>
      </c>
      <c r="D196" t="s">
        <v>2700</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2701</v>
      </c>
      <c r="D197" t="s">
        <v>2702</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2703</v>
      </c>
      <c r="D198" t="s">
        <v>2704</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2705</v>
      </c>
      <c r="D199" t="s">
        <v>2706</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2707</v>
      </c>
      <c r="D200" t="s">
        <v>2708</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2709</v>
      </c>
      <c r="D201" t="s">
        <v>2710</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2711</v>
      </c>
      <c r="D202" t="s">
        <v>2712</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2713</v>
      </c>
      <c r="D205" t="s">
        <v>2714</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2715</v>
      </c>
      <c r="D206" t="s">
        <v>2716</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2717</v>
      </c>
      <c r="D207" t="s">
        <v>2718</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2719</v>
      </c>
      <c r="D208" t="s">
        <v>2720</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2721</v>
      </c>
      <c r="D209" t="s">
        <v>2722</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2723</v>
      </c>
      <c r="D210" t="s">
        <v>2724</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2725</v>
      </c>
      <c r="D211" t="s">
        <v>2726</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2727</v>
      </c>
      <c r="D212" t="s">
        <v>2728</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2729</v>
      </c>
      <c r="D213" t="s">
        <v>2730</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2731</v>
      </c>
      <c r="D214" t="s">
        <v>2732</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2733</v>
      </c>
      <c r="D216" t="s">
        <v>2734</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2735</v>
      </c>
      <c r="D217" t="s">
        <v>2736</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2737</v>
      </c>
      <c r="D218" t="s">
        <v>2738</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2739</v>
      </c>
      <c r="D219" t="s">
        <v>2740</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2741</v>
      </c>
      <c r="D220" t="s">
        <v>2742</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2743</v>
      </c>
      <c r="D221" t="s">
        <v>2744</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2745</v>
      </c>
      <c r="D222" t="s">
        <v>2746</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2747</v>
      </c>
      <c r="D223" t="s">
        <v>2748</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2749</v>
      </c>
      <c r="D224" t="s">
        <v>2750</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2751</v>
      </c>
      <c r="D225" t="s">
        <v>2752</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2753</v>
      </c>
      <c r="D227" t="s">
        <v>2754</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2755</v>
      </c>
      <c r="D228" t="s">
        <v>2756</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2757</v>
      </c>
      <c r="D229" t="s">
        <v>2758</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2759</v>
      </c>
      <c r="D230" t="s">
        <v>2760</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2761</v>
      </c>
      <c r="D231" t="s">
        <v>2762</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2763</v>
      </c>
      <c r="D232" t="s">
        <v>2764</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2765</v>
      </c>
      <c r="D233" t="s">
        <v>2766</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2767</v>
      </c>
      <c r="D234" t="s">
        <v>2768</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2769</v>
      </c>
      <c r="D235" t="s">
        <v>2770</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2771</v>
      </c>
      <c r="D236" t="s">
        <v>2772</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2773</v>
      </c>
      <c r="D237" t="s">
        <v>2774</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2775</v>
      </c>
      <c r="D239" t="s">
        <v>2776</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2777</v>
      </c>
      <c r="D240" t="s">
        <v>2778</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2779</v>
      </c>
      <c r="D242" t="s">
        <v>2780</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2781</v>
      </c>
      <c r="D243" t="s">
        <v>2782</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2783</v>
      </c>
      <c r="D244" t="s">
        <v>2784</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2785</v>
      </c>
      <c r="D245" t="s">
        <v>2786</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2787</v>
      </c>
      <c r="D247" t="s">
        <v>2788</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2789</v>
      </c>
      <c r="D248" t="s">
        <v>2790</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2791</v>
      </c>
      <c r="D250" t="s">
        <v>1248</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2792</v>
      </c>
      <c r="D251" t="s">
        <v>1250</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2793</v>
      </c>
      <c r="D252" t="s">
        <v>1252</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2794</v>
      </c>
      <c r="D253" t="s">
        <v>1254</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2795</v>
      </c>
      <c r="D255" t="s">
        <v>2796</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2797</v>
      </c>
      <c r="D256" t="s">
        <v>2798</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2799</v>
      </c>
      <c r="D257" t="s">
        <v>2800</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2801</v>
      </c>
      <c r="D259" t="s">
        <v>1258</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2802</v>
      </c>
      <c r="D260" t="s">
        <v>1260</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2803</v>
      </c>
      <c r="D261" t="s">
        <v>1262</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2804</v>
      </c>
      <c r="D262" t="s">
        <v>1264</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03DC7-D34F-4ACD-BF5B-E8517CDF0264}">
  <dimension ref="A1:AG119"/>
  <sheetViews>
    <sheetView topLeftCell="A31" workbookViewId="0">
      <selection activeCell="A54" sqref="A54:XFD54"/>
    </sheetView>
  </sheetViews>
  <sheetFormatPr defaultColWidth="9.1328125" defaultRowHeight="14.75"/>
  <cols>
    <col min="1" max="1" width="18.7265625" style="178" customWidth="1"/>
    <col min="2" max="2" width="48" style="178" customWidth="1"/>
    <col min="3" max="3" width="9.1328125" style="178"/>
    <col min="4" max="4" width="19.54296875" style="178" customWidth="1"/>
    <col min="5" max="16384" width="9.1328125" style="178"/>
  </cols>
  <sheetData>
    <row r="1" spans="1:33">
      <c r="A1" s="178" t="s">
        <v>2807</v>
      </c>
    </row>
    <row r="2" spans="1:33">
      <c r="A2" s="178" t="s">
        <v>2808</v>
      </c>
    </row>
    <row r="3" spans="1:33">
      <c r="A3" s="178" t="s">
        <v>2809</v>
      </c>
    </row>
    <row r="4" spans="1:33">
      <c r="A4" s="178" t="s">
        <v>302</v>
      </c>
    </row>
    <row r="5" spans="1:33">
      <c r="B5" s="178" t="s">
        <v>303</v>
      </c>
      <c r="C5" s="178" t="s">
        <v>351</v>
      </c>
      <c r="D5" s="178" t="s">
        <v>352</v>
      </c>
      <c r="E5" s="178">
        <v>2023</v>
      </c>
      <c r="F5" s="178">
        <v>2024</v>
      </c>
      <c r="G5" s="178">
        <v>2025</v>
      </c>
      <c r="H5" s="178">
        <v>2026</v>
      </c>
      <c r="I5" s="178">
        <v>2027</v>
      </c>
      <c r="J5" s="178">
        <v>2028</v>
      </c>
      <c r="K5" s="178">
        <v>2029</v>
      </c>
      <c r="L5" s="178">
        <v>2030</v>
      </c>
      <c r="M5" s="178">
        <v>2031</v>
      </c>
      <c r="N5" s="178">
        <v>2032</v>
      </c>
      <c r="O5" s="178">
        <v>2033</v>
      </c>
      <c r="P5" s="178">
        <v>2034</v>
      </c>
      <c r="Q5" s="178">
        <v>2035</v>
      </c>
      <c r="R5" s="178">
        <v>2036</v>
      </c>
      <c r="S5" s="178">
        <v>2037</v>
      </c>
      <c r="T5" s="178">
        <v>2038</v>
      </c>
      <c r="U5" s="178">
        <v>2039</v>
      </c>
      <c r="V5" s="178">
        <v>2040</v>
      </c>
      <c r="W5" s="178">
        <v>2041</v>
      </c>
      <c r="X5" s="178">
        <v>2042</v>
      </c>
      <c r="Y5" s="178">
        <v>2043</v>
      </c>
      <c r="Z5" s="178">
        <v>2044</v>
      </c>
      <c r="AA5" s="178">
        <v>2045</v>
      </c>
      <c r="AB5" s="178">
        <v>2046</v>
      </c>
      <c r="AC5" s="178">
        <v>2047</v>
      </c>
      <c r="AD5" s="178">
        <v>2048</v>
      </c>
      <c r="AE5" s="178">
        <v>2049</v>
      </c>
      <c r="AF5" s="178">
        <v>2050</v>
      </c>
      <c r="AG5" s="178" t="s">
        <v>2810</v>
      </c>
    </row>
    <row r="6" spans="1:33">
      <c r="A6" s="178" t="s">
        <v>101</v>
      </c>
    </row>
    <row r="7" spans="1:33">
      <c r="A7" s="178" t="s">
        <v>100</v>
      </c>
    </row>
    <row r="8" spans="1:33">
      <c r="A8" s="178" t="s">
        <v>2811</v>
      </c>
    </row>
    <row r="9" spans="1:33">
      <c r="A9" s="178" t="s">
        <v>2812</v>
      </c>
      <c r="B9" s="178" t="s">
        <v>2813</v>
      </c>
      <c r="C9" s="178" t="s">
        <v>2814</v>
      </c>
      <c r="D9" s="178" t="s">
        <v>2815</v>
      </c>
      <c r="F9" s="178">
        <v>3013.7297359999998</v>
      </c>
      <c r="G9" s="178">
        <v>3058.3715820000002</v>
      </c>
      <c r="H9" s="178">
        <v>3083.451172</v>
      </c>
      <c r="I9" s="178">
        <v>3100.0170899999998</v>
      </c>
      <c r="J9" s="178">
        <v>3112.2297359999998</v>
      </c>
      <c r="K9" s="178">
        <v>3125.576172</v>
      </c>
      <c r="L9" s="178">
        <v>3140.1669919999999</v>
      </c>
      <c r="M9" s="178">
        <v>3154.0073240000002</v>
      </c>
      <c r="N9" s="178">
        <v>3161.4350589999999</v>
      </c>
      <c r="O9" s="178">
        <v>3167.1464839999999</v>
      </c>
      <c r="P9" s="178">
        <v>3171.9169919999999</v>
      </c>
      <c r="Q9" s="178">
        <v>3174.3566890000002</v>
      </c>
      <c r="R9" s="178">
        <v>3179.41626</v>
      </c>
      <c r="S9" s="178">
        <v>3189.5078119999998</v>
      </c>
      <c r="T9" s="178">
        <v>3202.960693</v>
      </c>
      <c r="U9" s="178">
        <v>3216.1186520000001</v>
      </c>
      <c r="V9" s="178">
        <v>3230.5129390000002</v>
      </c>
      <c r="W9" s="178">
        <v>3244.2316890000002</v>
      </c>
      <c r="X9" s="178">
        <v>3257.2741700000001</v>
      </c>
      <c r="Y9" s="178">
        <v>3268.8366700000001</v>
      </c>
      <c r="Z9" s="178">
        <v>3279.341797</v>
      </c>
      <c r="AA9" s="178">
        <v>3288.4411620000001</v>
      </c>
      <c r="AB9" s="178">
        <v>3297.5173340000001</v>
      </c>
      <c r="AC9" s="178">
        <v>3308.5703119999998</v>
      </c>
      <c r="AD9" s="178">
        <v>3321.3464359999998</v>
      </c>
      <c r="AE9" s="178">
        <v>3335.046875</v>
      </c>
      <c r="AF9" s="178">
        <v>3349.8640140000002</v>
      </c>
      <c r="AG9" s="179">
        <v>4.0000000000000001E-3</v>
      </c>
    </row>
    <row r="10" spans="1:33">
      <c r="A10" s="178" t="s">
        <v>311</v>
      </c>
      <c r="B10" s="178" t="s">
        <v>2816</v>
      </c>
      <c r="C10" s="178" t="s">
        <v>2817</v>
      </c>
      <c r="D10" s="178" t="s">
        <v>2815</v>
      </c>
      <c r="F10" s="178">
        <v>90.234665000000007</v>
      </c>
      <c r="G10" s="178">
        <v>88.746048000000002</v>
      </c>
      <c r="H10" s="178">
        <v>87.524918</v>
      </c>
      <c r="I10" s="178">
        <v>86.879401999999999</v>
      </c>
      <c r="J10" s="178">
        <v>86.146125999999995</v>
      </c>
      <c r="K10" s="178">
        <v>85.551413999999994</v>
      </c>
      <c r="L10" s="178">
        <v>85.088477999999995</v>
      </c>
      <c r="M10" s="178">
        <v>84.555840000000003</v>
      </c>
      <c r="N10" s="178">
        <v>84.013214000000005</v>
      </c>
      <c r="O10" s="178">
        <v>83.542664000000002</v>
      </c>
      <c r="P10" s="178">
        <v>83.043007000000003</v>
      </c>
      <c r="Q10" s="178">
        <v>82.538109000000006</v>
      </c>
      <c r="R10" s="178">
        <v>82.013915999999995</v>
      </c>
      <c r="S10" s="178">
        <v>81.499672000000004</v>
      </c>
      <c r="T10" s="178">
        <v>80.976737999999997</v>
      </c>
      <c r="U10" s="178">
        <v>80.459800999999999</v>
      </c>
      <c r="V10" s="178">
        <v>79.954575000000006</v>
      </c>
      <c r="W10" s="178">
        <v>79.410117999999997</v>
      </c>
      <c r="X10" s="178">
        <v>78.884186</v>
      </c>
      <c r="Y10" s="178">
        <v>78.326515000000001</v>
      </c>
      <c r="Z10" s="178">
        <v>77.806870000000004</v>
      </c>
      <c r="AA10" s="178">
        <v>77.239433000000005</v>
      </c>
      <c r="AB10" s="178">
        <v>76.680190999999994</v>
      </c>
      <c r="AC10" s="178">
        <v>76.081207000000006</v>
      </c>
      <c r="AD10" s="178">
        <v>75.451774999999998</v>
      </c>
      <c r="AE10" s="178">
        <v>74.792136999999997</v>
      </c>
      <c r="AF10" s="178">
        <v>74.117767000000001</v>
      </c>
      <c r="AG10" s="179">
        <v>-8.0000000000000002E-3</v>
      </c>
    </row>
    <row r="11" spans="1:33">
      <c r="A11" s="178" t="s">
        <v>2818</v>
      </c>
      <c r="B11" s="178" t="s">
        <v>2819</v>
      </c>
      <c r="C11" s="178" t="s">
        <v>2820</v>
      </c>
      <c r="D11" s="178" t="s">
        <v>2815</v>
      </c>
      <c r="F11" s="178">
        <v>340.05480999999997</v>
      </c>
      <c r="G11" s="178">
        <v>346.20788599999997</v>
      </c>
      <c r="H11" s="178">
        <v>350.06781000000001</v>
      </c>
      <c r="I11" s="178">
        <v>353.52682499999997</v>
      </c>
      <c r="J11" s="178">
        <v>356.01293900000002</v>
      </c>
      <c r="K11" s="178">
        <v>358.95523100000003</v>
      </c>
      <c r="L11" s="178">
        <v>362.11615</v>
      </c>
      <c r="M11" s="178">
        <v>364.84686299999998</v>
      </c>
      <c r="N11" s="178">
        <v>367.71499599999999</v>
      </c>
      <c r="O11" s="178">
        <v>370.28033399999998</v>
      </c>
      <c r="P11" s="178">
        <v>373.22686800000002</v>
      </c>
      <c r="Q11" s="178">
        <v>376.19421399999999</v>
      </c>
      <c r="R11" s="178">
        <v>379.62560999999999</v>
      </c>
      <c r="S11" s="178">
        <v>383.28887900000001</v>
      </c>
      <c r="T11" s="178">
        <v>386.979919</v>
      </c>
      <c r="U11" s="178">
        <v>390.324951</v>
      </c>
      <c r="V11" s="178">
        <v>393.89111300000002</v>
      </c>
      <c r="W11" s="178">
        <v>397.25488300000001</v>
      </c>
      <c r="X11" s="178">
        <v>400.59506199999998</v>
      </c>
      <c r="Y11" s="178">
        <v>403.50134300000002</v>
      </c>
      <c r="Z11" s="178">
        <v>406.149719</v>
      </c>
      <c r="AA11" s="178">
        <v>409.08056599999998</v>
      </c>
      <c r="AB11" s="178">
        <v>411.83874500000002</v>
      </c>
      <c r="AC11" s="178">
        <v>416.011169</v>
      </c>
      <c r="AD11" s="178">
        <v>420.09765599999997</v>
      </c>
      <c r="AE11" s="178">
        <v>423.84225500000002</v>
      </c>
      <c r="AF11" s="178">
        <v>427.05206299999998</v>
      </c>
      <c r="AG11" s="179">
        <v>8.9999999999999993E-3</v>
      </c>
    </row>
    <row r="12" spans="1:33">
      <c r="A12" s="178" t="s">
        <v>2821</v>
      </c>
    </row>
    <row r="13" spans="1:33">
      <c r="A13" s="178" t="s">
        <v>279</v>
      </c>
      <c r="B13" s="178" t="s">
        <v>2822</v>
      </c>
      <c r="C13" s="178" t="s">
        <v>2823</v>
      </c>
      <c r="D13" s="178" t="s">
        <v>2824</v>
      </c>
      <c r="F13" s="178">
        <v>190.78021200000001</v>
      </c>
      <c r="G13" s="178">
        <v>196.637619</v>
      </c>
      <c r="H13" s="178">
        <v>200.382034</v>
      </c>
      <c r="I13" s="178">
        <v>202.76496900000001</v>
      </c>
      <c r="J13" s="178">
        <v>204.50441000000001</v>
      </c>
      <c r="K13" s="178">
        <v>205.76622</v>
      </c>
      <c r="L13" s="178">
        <v>206.654663</v>
      </c>
      <c r="M13" s="178">
        <v>207.15368699999999</v>
      </c>
      <c r="N13" s="178">
        <v>207.40228300000001</v>
      </c>
      <c r="O13" s="178">
        <v>207.54490699999999</v>
      </c>
      <c r="P13" s="178">
        <v>207.693939</v>
      </c>
      <c r="Q13" s="178">
        <v>207.716095</v>
      </c>
      <c r="R13" s="178">
        <v>207.670807</v>
      </c>
      <c r="S13" s="178">
        <v>207.610535</v>
      </c>
      <c r="T13" s="178">
        <v>207.429047</v>
      </c>
      <c r="U13" s="178">
        <v>207.19026199999999</v>
      </c>
      <c r="V13" s="178">
        <v>206.886765</v>
      </c>
      <c r="W13" s="178">
        <v>206.52593999999999</v>
      </c>
      <c r="X13" s="178">
        <v>206.10232500000001</v>
      </c>
      <c r="Y13" s="178">
        <v>205.65777600000001</v>
      </c>
      <c r="Z13" s="178">
        <v>205.159729</v>
      </c>
      <c r="AA13" s="178">
        <v>204.65632600000001</v>
      </c>
      <c r="AB13" s="178">
        <v>204.09098800000001</v>
      </c>
      <c r="AC13" s="178">
        <v>203.49281300000001</v>
      </c>
      <c r="AD13" s="178">
        <v>202.89883399999999</v>
      </c>
      <c r="AE13" s="178">
        <v>202.30595400000001</v>
      </c>
      <c r="AF13" s="178">
        <v>201.76945499999999</v>
      </c>
      <c r="AG13" s="179">
        <v>2E-3</v>
      </c>
    </row>
    <row r="14" spans="1:33" s="180" customFormat="1">
      <c r="A14" s="180" t="s">
        <v>2825</v>
      </c>
      <c r="B14" s="180" t="s">
        <v>2826</v>
      </c>
      <c r="C14" s="180" t="s">
        <v>2827</v>
      </c>
      <c r="D14" s="180" t="s">
        <v>2824</v>
      </c>
      <c r="F14" s="180">
        <v>25.878022999999999</v>
      </c>
      <c r="G14" s="180">
        <v>28.773292999999999</v>
      </c>
      <c r="H14" s="180">
        <v>30.990027999999999</v>
      </c>
      <c r="I14" s="180">
        <v>32.691127999999999</v>
      </c>
      <c r="J14" s="180">
        <v>34.018692000000001</v>
      </c>
      <c r="K14" s="180">
        <v>35.161124999999998</v>
      </c>
      <c r="L14" s="180">
        <v>36.109000999999999</v>
      </c>
      <c r="M14" s="180">
        <v>36.852859000000002</v>
      </c>
      <c r="N14" s="180">
        <v>37.463329000000002</v>
      </c>
      <c r="O14" s="180">
        <v>37.964500000000001</v>
      </c>
      <c r="P14" s="180">
        <v>38.458427</v>
      </c>
      <c r="Q14" s="180">
        <v>38.854377999999997</v>
      </c>
      <c r="R14" s="180">
        <v>39.233795000000001</v>
      </c>
      <c r="S14" s="180">
        <v>39.64349</v>
      </c>
      <c r="T14" s="180">
        <v>40.072304000000003</v>
      </c>
      <c r="U14" s="180">
        <v>40.454436999999999</v>
      </c>
      <c r="V14" s="180">
        <v>40.811695</v>
      </c>
      <c r="W14" s="180">
        <v>41.128436999999998</v>
      </c>
      <c r="X14" s="180">
        <v>41.427906</v>
      </c>
      <c r="Y14" s="180">
        <v>41.717632000000002</v>
      </c>
      <c r="Z14" s="180">
        <v>41.951228999999998</v>
      </c>
      <c r="AA14" s="180">
        <v>42.199916999999999</v>
      </c>
      <c r="AB14" s="180">
        <v>42.389290000000003</v>
      </c>
      <c r="AC14" s="180">
        <v>42.613959999999999</v>
      </c>
      <c r="AD14" s="180">
        <v>42.893344999999997</v>
      </c>
      <c r="AE14" s="180">
        <v>43.173431000000001</v>
      </c>
      <c r="AF14" s="180">
        <v>43.548084000000003</v>
      </c>
      <c r="AG14" s="181">
        <v>0.02</v>
      </c>
    </row>
    <row r="15" spans="1:33">
      <c r="A15" s="178" t="s">
        <v>2828</v>
      </c>
    </row>
    <row r="16" spans="1:33">
      <c r="A16" s="178" t="s">
        <v>185</v>
      </c>
      <c r="B16" s="178" t="s">
        <v>2829</v>
      </c>
      <c r="C16" s="178" t="s">
        <v>2830</v>
      </c>
      <c r="D16" s="178" t="s">
        <v>2831</v>
      </c>
      <c r="F16" s="178">
        <v>1413.1365969999999</v>
      </c>
      <c r="G16" s="178">
        <v>1426.5014650000001</v>
      </c>
      <c r="H16" s="178">
        <v>1461.8975829999999</v>
      </c>
      <c r="I16" s="178">
        <v>1494.7885739999999</v>
      </c>
      <c r="J16" s="178">
        <v>1522.10022</v>
      </c>
      <c r="K16" s="178">
        <v>1551.6201169999999</v>
      </c>
      <c r="L16" s="178">
        <v>1578.6829829999999</v>
      </c>
      <c r="M16" s="178">
        <v>1601.181519</v>
      </c>
      <c r="N16" s="178">
        <v>1627.146362</v>
      </c>
      <c r="O16" s="178">
        <v>1654.892212</v>
      </c>
      <c r="P16" s="178">
        <v>1681.6214600000001</v>
      </c>
      <c r="Q16" s="178">
        <v>1711.017578</v>
      </c>
      <c r="R16" s="178">
        <v>1740.960693</v>
      </c>
      <c r="S16" s="178">
        <v>1772.771851</v>
      </c>
      <c r="T16" s="178">
        <v>1806.9364009999999</v>
      </c>
      <c r="U16" s="178">
        <v>1841.1685789999999</v>
      </c>
      <c r="V16" s="178">
        <v>1875.4395750000001</v>
      </c>
      <c r="W16" s="178">
        <v>1909.125366</v>
      </c>
      <c r="X16" s="178">
        <v>1945.61853</v>
      </c>
      <c r="Y16" s="178">
        <v>1981.3470460000001</v>
      </c>
      <c r="Z16" s="178">
        <v>2014.714111</v>
      </c>
      <c r="AA16" s="178">
        <v>2047.454346</v>
      </c>
      <c r="AB16" s="178">
        <v>2079.6472170000002</v>
      </c>
      <c r="AC16" s="178">
        <v>2117.3378910000001</v>
      </c>
      <c r="AD16" s="178">
        <v>2157.5336910000001</v>
      </c>
      <c r="AE16" s="178">
        <v>2196.0695799999999</v>
      </c>
      <c r="AF16" s="178">
        <v>2234.092529</v>
      </c>
      <c r="AG16" s="179">
        <v>1.7999999999999999E-2</v>
      </c>
    </row>
    <row r="17" spans="1:33">
      <c r="A17" s="178" t="s">
        <v>2832</v>
      </c>
    </row>
    <row r="18" spans="1:33">
      <c r="A18" s="178" t="s">
        <v>180</v>
      </c>
      <c r="B18" s="178" t="s">
        <v>2833</v>
      </c>
      <c r="C18" s="178" t="s">
        <v>2834</v>
      </c>
      <c r="D18" s="178" t="s">
        <v>2835</v>
      </c>
      <c r="F18" s="178">
        <v>1464.855225</v>
      </c>
      <c r="G18" s="178">
        <v>1498.5776370000001</v>
      </c>
      <c r="H18" s="178">
        <v>1462.373169</v>
      </c>
      <c r="I18" s="178">
        <v>1413.733154</v>
      </c>
      <c r="J18" s="178">
        <v>1414.115112</v>
      </c>
      <c r="K18" s="178">
        <v>1410.565186</v>
      </c>
      <c r="L18" s="178">
        <v>1369.7414550000001</v>
      </c>
      <c r="M18" s="178">
        <v>1370.1805420000001</v>
      </c>
      <c r="N18" s="178">
        <v>1305.8111570000001</v>
      </c>
      <c r="O18" s="178">
        <v>1312.2113039999999</v>
      </c>
      <c r="P18" s="178">
        <v>1299.8524170000001</v>
      </c>
      <c r="Q18" s="178">
        <v>1300.4210210000001</v>
      </c>
      <c r="R18" s="178">
        <v>1305.7510990000001</v>
      </c>
      <c r="S18" s="178">
        <v>1312.3923339999999</v>
      </c>
      <c r="T18" s="178">
        <v>1330.286621</v>
      </c>
      <c r="U18" s="178">
        <v>1321.974976</v>
      </c>
      <c r="V18" s="178">
        <v>1328.3294679999999</v>
      </c>
      <c r="W18" s="178">
        <v>1330.294678</v>
      </c>
      <c r="X18" s="178">
        <v>1337.347534</v>
      </c>
      <c r="Y18" s="178">
        <v>1345.204712</v>
      </c>
      <c r="Z18" s="178">
        <v>1349.7685550000001</v>
      </c>
      <c r="AA18" s="178">
        <v>1354.558716</v>
      </c>
      <c r="AB18" s="178">
        <v>1355.6860349999999</v>
      </c>
      <c r="AC18" s="178">
        <v>1370.355591</v>
      </c>
      <c r="AD18" s="178">
        <v>1382.527466</v>
      </c>
      <c r="AE18" s="178">
        <v>1392.701904</v>
      </c>
      <c r="AF18" s="178">
        <v>1397.21228</v>
      </c>
      <c r="AG18" s="179">
        <v>-2E-3</v>
      </c>
    </row>
    <row r="19" spans="1:33">
      <c r="A19" s="178" t="s">
        <v>213</v>
      </c>
      <c r="B19" s="178" t="s">
        <v>2836</v>
      </c>
      <c r="C19" s="178" t="s">
        <v>2837</v>
      </c>
      <c r="D19" s="178" t="s">
        <v>2835</v>
      </c>
      <c r="F19" s="178">
        <v>458.773346</v>
      </c>
      <c r="G19" s="178">
        <v>464.892853</v>
      </c>
      <c r="H19" s="178">
        <v>462.96167000000003</v>
      </c>
      <c r="I19" s="178">
        <v>460.98571800000002</v>
      </c>
      <c r="J19" s="178">
        <v>459.37042200000002</v>
      </c>
      <c r="K19" s="178">
        <v>457.35058600000002</v>
      </c>
      <c r="L19" s="178">
        <v>454.85974099999999</v>
      </c>
      <c r="M19" s="178">
        <v>451.94982900000002</v>
      </c>
      <c r="N19" s="178">
        <v>448.29049700000002</v>
      </c>
      <c r="O19" s="178">
        <v>446.236603</v>
      </c>
      <c r="P19" s="178">
        <v>444.57028200000002</v>
      </c>
      <c r="Q19" s="178">
        <v>442.67672700000003</v>
      </c>
      <c r="R19" s="178">
        <v>440.63128699999999</v>
      </c>
      <c r="S19" s="178">
        <v>439.09964000000002</v>
      </c>
      <c r="T19" s="178">
        <v>437.71414199999998</v>
      </c>
      <c r="U19" s="178">
        <v>435.98474099999999</v>
      </c>
      <c r="V19" s="178">
        <v>434.76898199999999</v>
      </c>
      <c r="W19" s="178">
        <v>433.49096700000001</v>
      </c>
      <c r="X19" s="178">
        <v>432.22720299999997</v>
      </c>
      <c r="Y19" s="178">
        <v>430.67340100000001</v>
      </c>
      <c r="Z19" s="178">
        <v>428.801331</v>
      </c>
      <c r="AA19" s="178">
        <v>427.06716899999998</v>
      </c>
      <c r="AB19" s="178">
        <v>425.27600100000001</v>
      </c>
      <c r="AC19" s="178">
        <v>424.65441900000002</v>
      </c>
      <c r="AD19" s="178">
        <v>423.51385499999998</v>
      </c>
      <c r="AE19" s="178">
        <v>422.14224200000001</v>
      </c>
      <c r="AF19" s="178">
        <v>420.62109400000003</v>
      </c>
      <c r="AG19" s="179">
        <v>-3.0000000000000001E-3</v>
      </c>
    </row>
    <row r="20" spans="1:33">
      <c r="A20" s="178" t="s">
        <v>86</v>
      </c>
    </row>
    <row r="21" spans="1:33">
      <c r="A21" s="178" t="s">
        <v>2838</v>
      </c>
    </row>
    <row r="22" spans="1:33">
      <c r="A22" s="178" t="s">
        <v>2839</v>
      </c>
      <c r="B22" s="178" t="s">
        <v>2840</v>
      </c>
      <c r="C22" s="178" t="s">
        <v>2841</v>
      </c>
      <c r="D22" s="178" t="s">
        <v>415</v>
      </c>
      <c r="F22" s="178">
        <v>39.271113999999997</v>
      </c>
      <c r="G22" s="178">
        <v>42.959927</v>
      </c>
      <c r="H22" s="178">
        <v>47.575771000000003</v>
      </c>
      <c r="I22" s="178">
        <v>47.493256000000002</v>
      </c>
      <c r="J22" s="178">
        <v>47.449084999999997</v>
      </c>
      <c r="K22" s="178">
        <v>47.490924999999997</v>
      </c>
      <c r="L22" s="178">
        <v>47.591320000000003</v>
      </c>
      <c r="M22" s="178">
        <v>47.604393000000002</v>
      </c>
      <c r="N22" s="178">
        <v>47.569965000000003</v>
      </c>
      <c r="O22" s="178">
        <v>47.492598999999998</v>
      </c>
      <c r="P22" s="178">
        <v>47.679400999999999</v>
      </c>
      <c r="Q22" s="178">
        <v>47.648468000000001</v>
      </c>
      <c r="R22" s="178">
        <v>47.59169</v>
      </c>
      <c r="S22" s="178">
        <v>47.590065000000003</v>
      </c>
      <c r="T22" s="178">
        <v>47.594569999999997</v>
      </c>
      <c r="U22" s="178">
        <v>47.597126000000003</v>
      </c>
      <c r="V22" s="178">
        <v>47.557651999999997</v>
      </c>
      <c r="W22" s="178">
        <v>47.536555999999997</v>
      </c>
      <c r="X22" s="178">
        <v>47.522250999999997</v>
      </c>
      <c r="Y22" s="178">
        <v>47.527641000000003</v>
      </c>
      <c r="Z22" s="178">
        <v>47.509605000000001</v>
      </c>
      <c r="AA22" s="178">
        <v>47.515839</v>
      </c>
      <c r="AB22" s="178">
        <v>47.499699</v>
      </c>
      <c r="AC22" s="178">
        <v>47.476486000000001</v>
      </c>
      <c r="AD22" s="178">
        <v>47.471778999999998</v>
      </c>
      <c r="AE22" s="178">
        <v>47.466419000000002</v>
      </c>
      <c r="AF22" s="178">
        <v>47.51144</v>
      </c>
      <c r="AG22" s="179">
        <v>7.0000000000000001E-3</v>
      </c>
    </row>
    <row r="23" spans="1:33">
      <c r="A23" s="178" t="s">
        <v>2842</v>
      </c>
      <c r="B23" s="178" t="s">
        <v>2843</v>
      </c>
      <c r="C23" s="178" t="s">
        <v>2844</v>
      </c>
      <c r="D23" s="178" t="s">
        <v>415</v>
      </c>
      <c r="F23" s="178">
        <v>48.175083000000001</v>
      </c>
      <c r="G23" s="178">
        <v>52.414535999999998</v>
      </c>
      <c r="H23" s="178">
        <v>58.241450999999998</v>
      </c>
      <c r="I23" s="178">
        <v>58.255462999999999</v>
      </c>
      <c r="J23" s="178">
        <v>58.266669999999998</v>
      </c>
      <c r="K23" s="178">
        <v>58.284412000000003</v>
      </c>
      <c r="L23" s="178">
        <v>58.290976999999998</v>
      </c>
      <c r="M23" s="178">
        <v>58.296238000000002</v>
      </c>
      <c r="N23" s="178">
        <v>58.292617999999997</v>
      </c>
      <c r="O23" s="178">
        <v>58.297882000000001</v>
      </c>
      <c r="P23" s="178">
        <v>58.322220000000002</v>
      </c>
      <c r="Q23" s="178">
        <v>58.317551000000002</v>
      </c>
      <c r="R23" s="178">
        <v>58.313091</v>
      </c>
      <c r="S23" s="178">
        <v>58.312266999999999</v>
      </c>
      <c r="T23" s="178">
        <v>58.318325000000002</v>
      </c>
      <c r="U23" s="178">
        <v>58.320647999999998</v>
      </c>
      <c r="V23" s="178">
        <v>58.313701999999999</v>
      </c>
      <c r="W23" s="178">
        <v>58.314289000000002</v>
      </c>
      <c r="X23" s="178">
        <v>58.312122000000002</v>
      </c>
      <c r="Y23" s="178">
        <v>58.322738999999999</v>
      </c>
      <c r="Z23" s="178">
        <v>58.317923999999998</v>
      </c>
      <c r="AA23" s="178">
        <v>58.327765999999997</v>
      </c>
      <c r="AB23" s="178">
        <v>58.321185999999997</v>
      </c>
      <c r="AC23" s="178">
        <v>58.318832</v>
      </c>
      <c r="AD23" s="178">
        <v>58.325527000000001</v>
      </c>
      <c r="AE23" s="178">
        <v>58.327376999999998</v>
      </c>
      <c r="AF23" s="178">
        <v>58.347693999999997</v>
      </c>
      <c r="AG23" s="179">
        <v>7.0000000000000001E-3</v>
      </c>
    </row>
    <row r="24" spans="1:33">
      <c r="A24" s="178" t="s">
        <v>2845</v>
      </c>
      <c r="B24" s="178" t="s">
        <v>2846</v>
      </c>
      <c r="C24" s="178" t="s">
        <v>2847</v>
      </c>
      <c r="D24" s="178" t="s">
        <v>415</v>
      </c>
      <c r="F24" s="178">
        <v>35.086903</v>
      </c>
      <c r="G24" s="178">
        <v>38.087924999999998</v>
      </c>
      <c r="H24" s="178">
        <v>42.293404000000002</v>
      </c>
      <c r="I24" s="178">
        <v>42.265976000000002</v>
      </c>
      <c r="J24" s="178">
        <v>42.251018999999999</v>
      </c>
      <c r="K24" s="178">
        <v>42.230449999999998</v>
      </c>
      <c r="L24" s="178">
        <v>42.21875</v>
      </c>
      <c r="M24" s="178">
        <v>42.207087999999999</v>
      </c>
      <c r="N24" s="178">
        <v>42.198193000000003</v>
      </c>
      <c r="O24" s="178">
        <v>42.188656000000002</v>
      </c>
      <c r="P24" s="178">
        <v>42.178351999999997</v>
      </c>
      <c r="Q24" s="178">
        <v>42.170338000000001</v>
      </c>
      <c r="R24" s="178">
        <v>42.163196999999997</v>
      </c>
      <c r="S24" s="178">
        <v>42.157119999999999</v>
      </c>
      <c r="T24" s="178">
        <v>42.150413999999998</v>
      </c>
      <c r="U24" s="178">
        <v>42.144038999999999</v>
      </c>
      <c r="V24" s="178">
        <v>42.139083999999997</v>
      </c>
      <c r="W24" s="178">
        <v>42.13335</v>
      </c>
      <c r="X24" s="178">
        <v>42.127730999999997</v>
      </c>
      <c r="Y24" s="178">
        <v>42.121071000000001</v>
      </c>
      <c r="Z24" s="178">
        <v>42.115974000000001</v>
      </c>
      <c r="AA24" s="178">
        <v>42.109614999999998</v>
      </c>
      <c r="AB24" s="178">
        <v>42.105437999999999</v>
      </c>
      <c r="AC24" s="178">
        <v>42.100982999999999</v>
      </c>
      <c r="AD24" s="178">
        <v>42.095027999999999</v>
      </c>
      <c r="AE24" s="178">
        <v>42.089644999999997</v>
      </c>
      <c r="AF24" s="178">
        <v>42.083157</v>
      </c>
      <c r="AG24" s="179">
        <v>7.0000000000000001E-3</v>
      </c>
    </row>
    <row r="25" spans="1:33">
      <c r="A25" s="178" t="s">
        <v>2848</v>
      </c>
      <c r="B25" s="178" t="s">
        <v>2849</v>
      </c>
      <c r="C25" s="178" t="s">
        <v>2850</v>
      </c>
      <c r="D25" s="178" t="s">
        <v>415</v>
      </c>
      <c r="F25" s="178">
        <v>39.942822</v>
      </c>
      <c r="G25" s="178">
        <v>43.957706000000002</v>
      </c>
      <c r="H25" s="178">
        <v>47.924385000000001</v>
      </c>
      <c r="I25" s="178">
        <v>48.168633</v>
      </c>
      <c r="J25" s="178">
        <v>48.206814000000001</v>
      </c>
      <c r="K25" s="178">
        <v>47.845936000000002</v>
      </c>
      <c r="L25" s="178">
        <v>47.905158999999998</v>
      </c>
      <c r="M25" s="178">
        <v>48.590632999999997</v>
      </c>
      <c r="N25" s="178">
        <v>49.493091999999997</v>
      </c>
      <c r="O25" s="178">
        <v>48.658332999999999</v>
      </c>
      <c r="P25" s="178">
        <v>49.540320999999999</v>
      </c>
      <c r="Q25" s="178">
        <v>50.266624</v>
      </c>
      <c r="R25" s="178">
        <v>50.779812</v>
      </c>
      <c r="S25" s="178">
        <v>51.219344999999997</v>
      </c>
      <c r="T25" s="178">
        <v>51.674301</v>
      </c>
      <c r="U25" s="178">
        <v>52.231579000000004</v>
      </c>
      <c r="V25" s="178">
        <v>52.558425999999997</v>
      </c>
      <c r="W25" s="178">
        <v>52.808188999999999</v>
      </c>
      <c r="X25" s="178">
        <v>52.984974000000001</v>
      </c>
      <c r="Y25" s="178">
        <v>53.223258999999999</v>
      </c>
      <c r="Z25" s="178">
        <v>53.349930000000001</v>
      </c>
      <c r="AA25" s="178">
        <v>53.548645</v>
      </c>
      <c r="AB25" s="178">
        <v>53.654530000000001</v>
      </c>
      <c r="AC25" s="178">
        <v>53.715496000000002</v>
      </c>
      <c r="AD25" s="178">
        <v>53.847445999999998</v>
      </c>
      <c r="AE25" s="178">
        <v>53.972465999999997</v>
      </c>
      <c r="AF25" s="178">
        <v>54.298808999999999</v>
      </c>
      <c r="AG25" s="179">
        <v>1.2E-2</v>
      </c>
    </row>
    <row r="26" spans="1:33">
      <c r="A26" s="178" t="s">
        <v>2842</v>
      </c>
      <c r="B26" s="178" t="s">
        <v>2851</v>
      </c>
      <c r="C26" s="178" t="s">
        <v>2852</v>
      </c>
      <c r="D26" s="178" t="s">
        <v>415</v>
      </c>
      <c r="F26" s="178">
        <v>53.113453</v>
      </c>
      <c r="G26" s="178">
        <v>57.640594</v>
      </c>
      <c r="H26" s="178">
        <v>63.325600000000001</v>
      </c>
      <c r="I26" s="178">
        <v>68.261688000000007</v>
      </c>
      <c r="J26" s="178">
        <v>68.800171000000006</v>
      </c>
      <c r="K26" s="178">
        <v>66.580070000000006</v>
      </c>
      <c r="L26" s="178">
        <v>66.171570000000003</v>
      </c>
      <c r="M26" s="178">
        <v>67.334129000000004</v>
      </c>
      <c r="N26" s="178">
        <v>70.141272999999998</v>
      </c>
      <c r="O26" s="178">
        <v>69.021690000000007</v>
      </c>
      <c r="P26" s="178">
        <v>70.175094999999999</v>
      </c>
      <c r="Q26" s="178">
        <v>72.345962999999998</v>
      </c>
      <c r="R26" s="178">
        <v>73.417396999999994</v>
      </c>
      <c r="S26" s="178">
        <v>74.362701000000001</v>
      </c>
      <c r="T26" s="178">
        <v>75.273003000000003</v>
      </c>
      <c r="U26" s="178">
        <v>76.767471</v>
      </c>
      <c r="V26" s="178">
        <v>77.966553000000005</v>
      </c>
      <c r="W26" s="178">
        <v>78.546875</v>
      </c>
      <c r="X26" s="178">
        <v>79.005652999999995</v>
      </c>
      <c r="Y26" s="178">
        <v>79.448586000000006</v>
      </c>
      <c r="Z26" s="178">
        <v>79.814239999999998</v>
      </c>
      <c r="AA26" s="178">
        <v>80.153214000000006</v>
      </c>
      <c r="AB26" s="178">
        <v>80.456695999999994</v>
      </c>
      <c r="AC26" s="178">
        <v>80.688453999999993</v>
      </c>
      <c r="AD26" s="178">
        <v>80.951462000000006</v>
      </c>
      <c r="AE26" s="178">
        <v>81.205382999999998</v>
      </c>
      <c r="AF26" s="178">
        <v>81.537047999999999</v>
      </c>
      <c r="AG26" s="179">
        <v>1.7000000000000001E-2</v>
      </c>
    </row>
    <row r="27" spans="1:33">
      <c r="A27" s="178" t="s">
        <v>2845</v>
      </c>
      <c r="B27" s="178" t="s">
        <v>2853</v>
      </c>
      <c r="C27" s="178" t="s">
        <v>2854</v>
      </c>
      <c r="D27" s="178" t="s">
        <v>415</v>
      </c>
      <c r="F27" s="178">
        <v>34.459515000000003</v>
      </c>
      <c r="G27" s="178">
        <v>37.642277</v>
      </c>
      <c r="H27" s="178">
        <v>41.127471999999997</v>
      </c>
      <c r="I27" s="178">
        <v>40.267257999999998</v>
      </c>
      <c r="J27" s="178">
        <v>40.255310000000001</v>
      </c>
      <c r="K27" s="178">
        <v>40.242519000000001</v>
      </c>
      <c r="L27" s="178">
        <v>40.218753999999997</v>
      </c>
      <c r="M27" s="178">
        <v>40.700054000000002</v>
      </c>
      <c r="N27" s="178">
        <v>41.130524000000001</v>
      </c>
      <c r="O27" s="178">
        <v>40.554600000000001</v>
      </c>
      <c r="P27" s="178">
        <v>40.930511000000003</v>
      </c>
      <c r="Q27" s="178">
        <v>41.310794999999999</v>
      </c>
      <c r="R27" s="178">
        <v>41.765965000000001</v>
      </c>
      <c r="S27" s="178">
        <v>42.053348999999997</v>
      </c>
      <c r="T27" s="178">
        <v>42.351562000000001</v>
      </c>
      <c r="U27" s="178">
        <v>42.643214999999998</v>
      </c>
      <c r="V27" s="178">
        <v>42.837719</v>
      </c>
      <c r="W27" s="178">
        <v>43.033183999999999</v>
      </c>
      <c r="X27" s="178">
        <v>43.158431999999998</v>
      </c>
      <c r="Y27" s="178">
        <v>43.308086000000003</v>
      </c>
      <c r="Z27" s="178">
        <v>43.407924999999999</v>
      </c>
      <c r="AA27" s="178">
        <v>43.533504000000001</v>
      </c>
      <c r="AB27" s="178">
        <v>43.621684999999999</v>
      </c>
      <c r="AC27" s="178">
        <v>43.68882</v>
      </c>
      <c r="AD27" s="178">
        <v>43.782268999999999</v>
      </c>
      <c r="AE27" s="178">
        <v>43.872546999999997</v>
      </c>
      <c r="AF27" s="178">
        <v>44.049908000000002</v>
      </c>
      <c r="AG27" s="179">
        <v>8.9999999999999993E-3</v>
      </c>
    </row>
    <row r="28" spans="1:33">
      <c r="A28" s="178" t="s">
        <v>2855</v>
      </c>
      <c r="B28" s="178" t="s">
        <v>2856</v>
      </c>
      <c r="C28" s="178" t="s">
        <v>2857</v>
      </c>
      <c r="D28" s="178" t="s">
        <v>415</v>
      </c>
      <c r="F28" s="178">
        <v>36.992213999999997</v>
      </c>
      <c r="G28" s="178">
        <v>40.049953000000002</v>
      </c>
      <c r="H28" s="178">
        <v>42.808971</v>
      </c>
      <c r="I28" s="178">
        <v>43.230891999999997</v>
      </c>
      <c r="J28" s="178">
        <v>44.016902999999999</v>
      </c>
      <c r="K28" s="178">
        <v>44.308898999999997</v>
      </c>
      <c r="L28" s="178">
        <v>44.989899000000001</v>
      </c>
      <c r="M28" s="178">
        <v>45.614960000000004</v>
      </c>
      <c r="N28" s="178">
        <v>46.454155</v>
      </c>
      <c r="O28" s="178">
        <v>45.667557000000002</v>
      </c>
      <c r="P28" s="178">
        <v>46.478081000000003</v>
      </c>
      <c r="Q28" s="178">
        <v>47.149428999999998</v>
      </c>
      <c r="R28" s="178">
        <v>47.616024000000003</v>
      </c>
      <c r="S28" s="178">
        <v>48.020485000000001</v>
      </c>
      <c r="T28" s="178">
        <v>48.435195999999998</v>
      </c>
      <c r="U28" s="178">
        <v>48.949013000000001</v>
      </c>
      <c r="V28" s="178">
        <v>49.253231</v>
      </c>
      <c r="W28" s="178">
        <v>49.479267</v>
      </c>
      <c r="X28" s="178">
        <v>49.642772999999998</v>
      </c>
      <c r="Y28" s="178">
        <v>49.856163000000002</v>
      </c>
      <c r="Z28" s="178">
        <v>49.976058999999999</v>
      </c>
      <c r="AA28" s="178">
        <v>50.153815999999999</v>
      </c>
      <c r="AB28" s="178">
        <v>50.256393000000003</v>
      </c>
      <c r="AC28" s="178">
        <v>50.313774000000002</v>
      </c>
      <c r="AD28" s="178">
        <v>50.431538000000003</v>
      </c>
      <c r="AE28" s="178">
        <v>50.545406</v>
      </c>
      <c r="AF28" s="178">
        <v>50.836013999999999</v>
      </c>
      <c r="AG28" s="179">
        <v>1.2E-2</v>
      </c>
    </row>
    <row r="29" spans="1:33">
      <c r="A29" s="178" t="s">
        <v>2842</v>
      </c>
      <c r="B29" s="178" t="s">
        <v>2858</v>
      </c>
      <c r="C29" s="178" t="s">
        <v>2859</v>
      </c>
      <c r="D29" s="178" t="s">
        <v>415</v>
      </c>
      <c r="F29" s="178">
        <v>48.381923999999998</v>
      </c>
      <c r="G29" s="178">
        <v>51.754009000000003</v>
      </c>
      <c r="H29" s="178">
        <v>55.653796999999997</v>
      </c>
      <c r="I29" s="178">
        <v>59.137737000000001</v>
      </c>
      <c r="J29" s="178">
        <v>61.278339000000003</v>
      </c>
      <c r="K29" s="178">
        <v>61.308632000000003</v>
      </c>
      <c r="L29" s="178">
        <v>62.883270000000003</v>
      </c>
      <c r="M29" s="178">
        <v>63.968285000000002</v>
      </c>
      <c r="N29" s="178">
        <v>66.642882999999998</v>
      </c>
      <c r="O29" s="178">
        <v>65.576897000000002</v>
      </c>
      <c r="P29" s="178">
        <v>66.660210000000006</v>
      </c>
      <c r="Q29" s="178">
        <v>68.722472999999994</v>
      </c>
      <c r="R29" s="178">
        <v>69.727547000000001</v>
      </c>
      <c r="S29" s="178">
        <v>70.613060000000004</v>
      </c>
      <c r="T29" s="178">
        <v>71.466324</v>
      </c>
      <c r="U29" s="178">
        <v>72.886696000000001</v>
      </c>
      <c r="V29" s="178">
        <v>74.021286000000003</v>
      </c>
      <c r="W29" s="178">
        <v>74.566199999999995</v>
      </c>
      <c r="X29" s="178">
        <v>74.998435999999998</v>
      </c>
      <c r="Y29" s="178">
        <v>75.416839999999993</v>
      </c>
      <c r="Z29" s="178">
        <v>75.761993000000004</v>
      </c>
      <c r="AA29" s="178">
        <v>76.083054000000004</v>
      </c>
      <c r="AB29" s="178">
        <v>76.370345999999998</v>
      </c>
      <c r="AC29" s="178">
        <v>76.590514999999996</v>
      </c>
      <c r="AD29" s="178">
        <v>76.839706000000007</v>
      </c>
      <c r="AE29" s="178">
        <v>77.080558999999994</v>
      </c>
      <c r="AF29" s="178">
        <v>77.395804999999996</v>
      </c>
      <c r="AG29" s="179">
        <v>1.7999999999999999E-2</v>
      </c>
    </row>
    <row r="30" spans="1:33">
      <c r="A30" s="178" t="s">
        <v>2845</v>
      </c>
      <c r="B30" s="178" t="s">
        <v>2860</v>
      </c>
      <c r="C30" s="178" t="s">
        <v>2861</v>
      </c>
      <c r="D30" s="178" t="s">
        <v>415</v>
      </c>
      <c r="F30" s="178">
        <v>32.114288000000002</v>
      </c>
      <c r="G30" s="178">
        <v>34.514839000000002</v>
      </c>
      <c r="H30" s="178">
        <v>36.986862000000002</v>
      </c>
      <c r="I30" s="178">
        <v>36.634200999999997</v>
      </c>
      <c r="J30" s="178">
        <v>37.092925999999999</v>
      </c>
      <c r="K30" s="178">
        <v>37.343777000000003</v>
      </c>
      <c r="L30" s="178">
        <v>37.577010999999999</v>
      </c>
      <c r="M30" s="178">
        <v>38.011017000000002</v>
      </c>
      <c r="N30" s="178">
        <v>38.403038000000002</v>
      </c>
      <c r="O30" s="178">
        <v>37.869067999999999</v>
      </c>
      <c r="P30" s="178">
        <v>38.209907999999999</v>
      </c>
      <c r="Q30" s="178">
        <v>38.555424000000002</v>
      </c>
      <c r="R30" s="178">
        <v>38.963661000000002</v>
      </c>
      <c r="S30" s="178">
        <v>39.224598</v>
      </c>
      <c r="T30" s="178">
        <v>39.495063999999999</v>
      </c>
      <c r="U30" s="178">
        <v>39.75996</v>
      </c>
      <c r="V30" s="178">
        <v>39.93721</v>
      </c>
      <c r="W30" s="178">
        <v>40.114798999999998</v>
      </c>
      <c r="X30" s="178">
        <v>40.230305000000001</v>
      </c>
      <c r="Y30" s="178">
        <v>40.368130000000001</v>
      </c>
      <c r="Z30" s="178">
        <v>40.460380999999998</v>
      </c>
      <c r="AA30" s="178">
        <v>40.576186999999997</v>
      </c>
      <c r="AB30" s="178">
        <v>40.657494</v>
      </c>
      <c r="AC30" s="178">
        <v>40.719509000000002</v>
      </c>
      <c r="AD30" s="178">
        <v>40.805653</v>
      </c>
      <c r="AE30" s="178">
        <v>40.888672</v>
      </c>
      <c r="AF30" s="178">
        <v>41.051575</v>
      </c>
      <c r="AG30" s="179">
        <v>8.9999999999999993E-3</v>
      </c>
    </row>
    <row r="31" spans="1:33">
      <c r="A31" s="178" t="s">
        <v>2862</v>
      </c>
      <c r="B31" s="178" t="s">
        <v>2863</v>
      </c>
      <c r="C31" s="178" t="s">
        <v>2864</v>
      </c>
      <c r="D31" s="178" t="s">
        <v>415</v>
      </c>
      <c r="F31" s="178">
        <v>27.538564999999998</v>
      </c>
      <c r="G31" s="178">
        <v>29.747971</v>
      </c>
      <c r="H31" s="178">
        <v>31.720669000000001</v>
      </c>
      <c r="I31" s="178">
        <v>32.058968</v>
      </c>
      <c r="J31" s="178">
        <v>32.641983000000003</v>
      </c>
      <c r="K31" s="178">
        <v>32.859589</v>
      </c>
      <c r="L31" s="178">
        <v>33.335555999999997</v>
      </c>
      <c r="M31" s="178">
        <v>33.786160000000002</v>
      </c>
      <c r="N31" s="178">
        <v>34.398437999999999</v>
      </c>
      <c r="O31" s="178">
        <v>33.841163999999999</v>
      </c>
      <c r="P31" s="178">
        <v>34.423504000000001</v>
      </c>
      <c r="Q31" s="178">
        <v>34.906590000000001</v>
      </c>
      <c r="R31" s="178">
        <v>35.232799999999997</v>
      </c>
      <c r="S31" s="178">
        <v>35.521309000000002</v>
      </c>
      <c r="T31" s="178">
        <v>35.816288</v>
      </c>
      <c r="U31" s="178">
        <v>36.185467000000003</v>
      </c>
      <c r="V31" s="178">
        <v>36.402821000000003</v>
      </c>
      <c r="W31" s="178">
        <v>36.561584000000003</v>
      </c>
      <c r="X31" s="178">
        <v>36.675685999999999</v>
      </c>
      <c r="Y31" s="178">
        <v>36.824798999999999</v>
      </c>
      <c r="Z31" s="178">
        <v>36.907935999999999</v>
      </c>
      <c r="AA31" s="178">
        <v>37.031731000000001</v>
      </c>
      <c r="AB31" s="178">
        <v>37.102466999999997</v>
      </c>
      <c r="AC31" s="178">
        <v>37.140445999999997</v>
      </c>
      <c r="AD31" s="178">
        <v>37.221237000000002</v>
      </c>
      <c r="AE31" s="178">
        <v>37.299518999999997</v>
      </c>
      <c r="AF31" s="178">
        <v>37.503345000000003</v>
      </c>
      <c r="AG31" s="179">
        <v>1.2E-2</v>
      </c>
    </row>
    <row r="32" spans="1:33">
      <c r="A32" s="178" t="s">
        <v>2842</v>
      </c>
      <c r="B32" s="178" t="s">
        <v>2865</v>
      </c>
      <c r="C32" s="178" t="s">
        <v>2866</v>
      </c>
      <c r="D32" s="178" t="s">
        <v>415</v>
      </c>
      <c r="F32" s="178">
        <v>35.736514999999997</v>
      </c>
      <c r="G32" s="178">
        <v>38.187514999999998</v>
      </c>
      <c r="H32" s="178">
        <v>41.026561999999998</v>
      </c>
      <c r="I32" s="178">
        <v>43.567794999999997</v>
      </c>
      <c r="J32" s="178">
        <v>45.129069999999999</v>
      </c>
      <c r="K32" s="178">
        <v>45.143227000000003</v>
      </c>
      <c r="L32" s="178">
        <v>46.28548</v>
      </c>
      <c r="M32" s="178">
        <v>47.069462000000001</v>
      </c>
      <c r="N32" s="178">
        <v>49.029162999999997</v>
      </c>
      <c r="O32" s="178">
        <v>48.263415999999999</v>
      </c>
      <c r="P32" s="178">
        <v>49.042400000000001</v>
      </c>
      <c r="Q32" s="178">
        <v>50.544037000000003</v>
      </c>
      <c r="R32" s="178">
        <v>51.270535000000002</v>
      </c>
      <c r="S32" s="178">
        <v>51.909388999999997</v>
      </c>
      <c r="T32" s="178">
        <v>52.522804000000001</v>
      </c>
      <c r="U32" s="178">
        <v>53.556106999999997</v>
      </c>
      <c r="V32" s="178">
        <v>54.379283999999998</v>
      </c>
      <c r="W32" s="178">
        <v>54.768990000000002</v>
      </c>
      <c r="X32" s="178">
        <v>55.077838999999997</v>
      </c>
      <c r="Y32" s="178">
        <v>55.373089</v>
      </c>
      <c r="Z32" s="178">
        <v>55.619441999999999</v>
      </c>
      <c r="AA32" s="178">
        <v>55.844054999999997</v>
      </c>
      <c r="AB32" s="178">
        <v>56.048706000000003</v>
      </c>
      <c r="AC32" s="178">
        <v>56.203578999999998</v>
      </c>
      <c r="AD32" s="178">
        <v>56.377032999999997</v>
      </c>
      <c r="AE32" s="178">
        <v>56.545631</v>
      </c>
      <c r="AF32" s="178">
        <v>56.762431999999997</v>
      </c>
      <c r="AG32" s="179">
        <v>1.7999999999999999E-2</v>
      </c>
    </row>
    <row r="33" spans="1:33">
      <c r="A33" s="178" t="s">
        <v>2845</v>
      </c>
      <c r="B33" s="178" t="s">
        <v>2867</v>
      </c>
      <c r="C33" s="178" t="s">
        <v>2868</v>
      </c>
      <c r="D33" s="178" t="s">
        <v>415</v>
      </c>
      <c r="F33" s="178">
        <v>23.988018</v>
      </c>
      <c r="G33" s="178">
        <v>25.717506</v>
      </c>
      <c r="H33" s="178">
        <v>27.470897999999998</v>
      </c>
      <c r="I33" s="178">
        <v>27.241520000000001</v>
      </c>
      <c r="J33" s="178">
        <v>27.584202000000001</v>
      </c>
      <c r="K33" s="178">
        <v>27.775763999999999</v>
      </c>
      <c r="L33" s="178">
        <v>27.919968000000001</v>
      </c>
      <c r="M33" s="178">
        <v>28.231255000000001</v>
      </c>
      <c r="N33" s="178">
        <v>28.510629999999999</v>
      </c>
      <c r="O33" s="178">
        <v>28.137867</v>
      </c>
      <c r="P33" s="178">
        <v>28.37771</v>
      </c>
      <c r="Q33" s="178">
        <v>28.619430999999999</v>
      </c>
      <c r="R33" s="178">
        <v>28.901937</v>
      </c>
      <c r="S33" s="178">
        <v>29.085546000000001</v>
      </c>
      <c r="T33" s="178">
        <v>29.275507000000001</v>
      </c>
      <c r="U33" s="178">
        <v>29.461161000000001</v>
      </c>
      <c r="V33" s="178">
        <v>29.584817999999999</v>
      </c>
      <c r="W33" s="178">
        <v>29.708748</v>
      </c>
      <c r="X33" s="178">
        <v>29.788166</v>
      </c>
      <c r="Y33" s="178">
        <v>29.883118</v>
      </c>
      <c r="Z33" s="178">
        <v>29.946400000000001</v>
      </c>
      <c r="AA33" s="178">
        <v>30.026071999999999</v>
      </c>
      <c r="AB33" s="178">
        <v>30.081591</v>
      </c>
      <c r="AC33" s="178">
        <v>30.123497</v>
      </c>
      <c r="AD33" s="178">
        <v>30.182155999999999</v>
      </c>
      <c r="AE33" s="178">
        <v>30.238665000000001</v>
      </c>
      <c r="AF33" s="178">
        <v>30.351025</v>
      </c>
      <c r="AG33" s="179">
        <v>8.9999999999999993E-3</v>
      </c>
    </row>
    <row r="34" spans="1:33">
      <c r="A34" s="178" t="s">
        <v>2869</v>
      </c>
      <c r="B34" s="178" t="s">
        <v>2870</v>
      </c>
      <c r="C34" s="178" t="s">
        <v>2871</v>
      </c>
      <c r="D34" s="178" t="s">
        <v>415</v>
      </c>
      <c r="F34" s="178">
        <v>22.673542000000001</v>
      </c>
      <c r="G34" s="178">
        <v>23.019804000000001</v>
      </c>
      <c r="H34" s="178">
        <v>23.398861</v>
      </c>
      <c r="I34" s="178">
        <v>23.830568</v>
      </c>
      <c r="J34" s="178">
        <v>24.300024000000001</v>
      </c>
      <c r="K34" s="178">
        <v>24.836760000000002</v>
      </c>
      <c r="L34" s="178">
        <v>25.429971999999999</v>
      </c>
      <c r="M34" s="178">
        <v>25.986374000000001</v>
      </c>
      <c r="N34" s="178">
        <v>26.538643</v>
      </c>
      <c r="O34" s="178">
        <v>27.064734999999999</v>
      </c>
      <c r="P34" s="178">
        <v>27.521101000000002</v>
      </c>
      <c r="Q34" s="178">
        <v>27.975999999999999</v>
      </c>
      <c r="R34" s="178">
        <v>28.511520000000001</v>
      </c>
      <c r="S34" s="178">
        <v>29.075071000000001</v>
      </c>
      <c r="T34" s="178">
        <v>29.604527999999998</v>
      </c>
      <c r="U34" s="178">
        <v>30.117156999999999</v>
      </c>
      <c r="V34" s="178">
        <v>30.573536000000001</v>
      </c>
      <c r="W34" s="178">
        <v>30.986899999999999</v>
      </c>
      <c r="X34" s="178">
        <v>31.437296</v>
      </c>
      <c r="Y34" s="178">
        <v>31.758548999999999</v>
      </c>
      <c r="Z34" s="178">
        <v>32.106952999999997</v>
      </c>
      <c r="AA34" s="178">
        <v>32.412998000000002</v>
      </c>
      <c r="AB34" s="178">
        <v>32.726719000000003</v>
      </c>
      <c r="AC34" s="178">
        <v>32.964526999999997</v>
      </c>
      <c r="AD34" s="178">
        <v>33.336478999999997</v>
      </c>
      <c r="AE34" s="178">
        <v>33.624088</v>
      </c>
      <c r="AF34" s="178">
        <v>33.818747999999999</v>
      </c>
      <c r="AG34" s="179">
        <v>1.4999999999999999E-2</v>
      </c>
    </row>
    <row r="35" spans="1:33">
      <c r="A35" s="178" t="s">
        <v>2872</v>
      </c>
      <c r="B35" s="178" t="s">
        <v>2873</v>
      </c>
      <c r="C35" s="178" t="s">
        <v>2874</v>
      </c>
      <c r="D35" s="178" t="s">
        <v>415</v>
      </c>
      <c r="F35" s="178">
        <v>13.769277000000001</v>
      </c>
      <c r="G35" s="178">
        <v>13.86491</v>
      </c>
      <c r="H35" s="178">
        <v>13.983874999999999</v>
      </c>
      <c r="I35" s="178">
        <v>14.109709000000001</v>
      </c>
      <c r="J35" s="178">
        <v>14.421766</v>
      </c>
      <c r="K35" s="178">
        <v>14.424688</v>
      </c>
      <c r="L35" s="178">
        <v>14.556281999999999</v>
      </c>
      <c r="M35" s="178">
        <v>14.750196000000001</v>
      </c>
      <c r="N35" s="178">
        <v>14.936327</v>
      </c>
      <c r="O35" s="178">
        <v>15.064475</v>
      </c>
      <c r="P35" s="178">
        <v>15.224270000000001</v>
      </c>
      <c r="Q35" s="178">
        <v>15.464074</v>
      </c>
      <c r="R35" s="178">
        <v>15.665839999999999</v>
      </c>
      <c r="S35" s="178">
        <v>15.84999</v>
      </c>
      <c r="T35" s="178">
        <v>16.032001000000001</v>
      </c>
      <c r="U35" s="178">
        <v>16.187612999999999</v>
      </c>
      <c r="V35" s="178">
        <v>16.309277000000002</v>
      </c>
      <c r="W35" s="178">
        <v>16.511687999999999</v>
      </c>
      <c r="X35" s="178">
        <v>16.675953</v>
      </c>
      <c r="Y35" s="178">
        <v>16.834778</v>
      </c>
      <c r="Z35" s="178">
        <v>16.980089</v>
      </c>
      <c r="AA35" s="178">
        <v>17.087033999999999</v>
      </c>
      <c r="AB35" s="178">
        <v>17.201184999999999</v>
      </c>
      <c r="AC35" s="178">
        <v>17.306694</v>
      </c>
      <c r="AD35" s="178">
        <v>17.349647999999998</v>
      </c>
      <c r="AE35" s="178">
        <v>17.431222999999999</v>
      </c>
      <c r="AF35" s="178">
        <v>17.567291000000001</v>
      </c>
      <c r="AG35" s="179">
        <v>8.9999999999999993E-3</v>
      </c>
    </row>
    <row r="36" spans="1:33">
      <c r="A36" s="178" t="s">
        <v>2875</v>
      </c>
      <c r="B36" s="178" t="s">
        <v>2876</v>
      </c>
      <c r="C36" s="178" t="s">
        <v>2877</v>
      </c>
      <c r="D36" s="178" t="s">
        <v>415</v>
      </c>
      <c r="F36" s="178">
        <v>13.296923</v>
      </c>
      <c r="G36" s="178">
        <v>13.351376999999999</v>
      </c>
      <c r="H36" s="178">
        <v>13.405718999999999</v>
      </c>
      <c r="I36" s="178">
        <v>13.465928999999999</v>
      </c>
      <c r="J36" s="178">
        <v>13.534836</v>
      </c>
      <c r="K36" s="178">
        <v>13.601525000000001</v>
      </c>
      <c r="L36" s="178">
        <v>13.675136</v>
      </c>
      <c r="M36" s="178">
        <v>13.75475</v>
      </c>
      <c r="N36" s="178">
        <v>13.839869</v>
      </c>
      <c r="O36" s="178">
        <v>13.933196000000001</v>
      </c>
      <c r="P36" s="178">
        <v>14.030329999999999</v>
      </c>
      <c r="Q36" s="178">
        <v>14.136103</v>
      </c>
      <c r="R36" s="178">
        <v>14.245768</v>
      </c>
      <c r="S36" s="178">
        <v>14.363693</v>
      </c>
      <c r="T36" s="178">
        <v>14.48442</v>
      </c>
      <c r="U36" s="178">
        <v>14.607023</v>
      </c>
      <c r="V36" s="178">
        <v>14.721759</v>
      </c>
      <c r="W36" s="178">
        <v>14.851385000000001</v>
      </c>
      <c r="X36" s="178">
        <v>14.978259</v>
      </c>
      <c r="Y36" s="178">
        <v>15.111693000000001</v>
      </c>
      <c r="Z36" s="178">
        <v>15.246414</v>
      </c>
      <c r="AA36" s="178">
        <v>15.375544</v>
      </c>
      <c r="AB36" s="178">
        <v>15.505302</v>
      </c>
      <c r="AC36" s="178">
        <v>15.6272</v>
      </c>
      <c r="AD36" s="178">
        <v>15.74775</v>
      </c>
      <c r="AE36" s="178">
        <v>15.865226</v>
      </c>
      <c r="AF36" s="178">
        <v>15.983394000000001</v>
      </c>
      <c r="AG36" s="179">
        <v>7.0000000000000001E-3</v>
      </c>
    </row>
    <row r="37" spans="1:33">
      <c r="A37" s="178" t="s">
        <v>2878</v>
      </c>
      <c r="B37" s="178" t="s">
        <v>2879</v>
      </c>
      <c r="C37" s="178" t="s">
        <v>2880</v>
      </c>
      <c r="D37" s="178" t="s">
        <v>415</v>
      </c>
      <c r="F37" s="178">
        <v>7.7570230000000002</v>
      </c>
      <c r="G37" s="178">
        <v>7.8260310000000004</v>
      </c>
      <c r="H37" s="178">
        <v>7.9062919999999997</v>
      </c>
      <c r="I37" s="178">
        <v>7.9960290000000001</v>
      </c>
      <c r="J37" s="178">
        <v>8.0947890000000005</v>
      </c>
      <c r="K37" s="178">
        <v>8.1991750000000003</v>
      </c>
      <c r="L37" s="178">
        <v>8.3074709999999996</v>
      </c>
      <c r="M37" s="178">
        <v>8.4176070000000003</v>
      </c>
      <c r="N37" s="178">
        <v>8.5283219999999993</v>
      </c>
      <c r="O37" s="178">
        <v>8.6380099999999995</v>
      </c>
      <c r="P37" s="178">
        <v>8.7450679999999998</v>
      </c>
      <c r="Q37" s="178">
        <v>8.8470669999999991</v>
      </c>
      <c r="R37" s="178">
        <v>8.9420540000000006</v>
      </c>
      <c r="S37" s="178">
        <v>9.029954</v>
      </c>
      <c r="T37" s="178">
        <v>9.1127330000000004</v>
      </c>
      <c r="U37" s="178">
        <v>9.1914820000000006</v>
      </c>
      <c r="V37" s="178">
        <v>9.2668909999999993</v>
      </c>
      <c r="W37" s="178">
        <v>9.3372069999999994</v>
      </c>
      <c r="X37" s="178">
        <v>9.4020580000000002</v>
      </c>
      <c r="Y37" s="178">
        <v>9.4613700000000005</v>
      </c>
      <c r="Z37" s="178">
        <v>9.5162099999999992</v>
      </c>
      <c r="AA37" s="178">
        <v>9.5691059999999997</v>
      </c>
      <c r="AB37" s="178">
        <v>9.6208910000000003</v>
      </c>
      <c r="AC37" s="178">
        <v>9.6705670000000001</v>
      </c>
      <c r="AD37" s="178">
        <v>9.7169790000000003</v>
      </c>
      <c r="AE37" s="178">
        <v>9.7613710000000005</v>
      </c>
      <c r="AF37" s="178">
        <v>9.8045439999999999</v>
      </c>
      <c r="AG37" s="179">
        <v>8.9999999999999993E-3</v>
      </c>
    </row>
    <row r="38" spans="1:33">
      <c r="A38" s="178" t="s">
        <v>2881</v>
      </c>
    </row>
    <row r="39" spans="1:33">
      <c r="A39" s="178" t="s">
        <v>2882</v>
      </c>
      <c r="B39" s="178" t="s">
        <v>2883</v>
      </c>
      <c r="C39" s="178" t="s">
        <v>2884</v>
      </c>
      <c r="D39" s="178" t="s">
        <v>454</v>
      </c>
      <c r="F39" s="178">
        <v>85.368492000000003</v>
      </c>
      <c r="G39" s="178">
        <v>85.782234000000003</v>
      </c>
      <c r="H39" s="178">
        <v>86.453063999999998</v>
      </c>
      <c r="I39" s="178">
        <v>87.127350000000007</v>
      </c>
      <c r="J39" s="178">
        <v>87.815926000000005</v>
      </c>
      <c r="K39" s="178">
        <v>88.497085999999996</v>
      </c>
      <c r="L39" s="178">
        <v>89.183655000000002</v>
      </c>
      <c r="M39" s="178">
        <v>89.886848000000001</v>
      </c>
      <c r="N39" s="178">
        <v>90.639893000000001</v>
      </c>
      <c r="O39" s="178">
        <v>91.399001999999996</v>
      </c>
      <c r="P39" s="178">
        <v>92.155806999999996</v>
      </c>
      <c r="Q39" s="178">
        <v>92.914574000000002</v>
      </c>
      <c r="R39" s="178">
        <v>93.675323000000006</v>
      </c>
      <c r="S39" s="178">
        <v>94.433295999999999</v>
      </c>
      <c r="T39" s="178">
        <v>95.211731</v>
      </c>
      <c r="U39" s="178">
        <v>95.983520999999996</v>
      </c>
      <c r="V39" s="178">
        <v>96.768569999999997</v>
      </c>
      <c r="W39" s="178">
        <v>97.563377000000003</v>
      </c>
      <c r="X39" s="178">
        <v>98.389313000000001</v>
      </c>
      <c r="Y39" s="178">
        <v>99.21096</v>
      </c>
      <c r="Z39" s="178">
        <v>100.03321099999999</v>
      </c>
      <c r="AA39" s="178">
        <v>100.86144299999999</v>
      </c>
      <c r="AB39" s="178">
        <v>101.69375599999999</v>
      </c>
      <c r="AC39" s="178">
        <v>102.534424</v>
      </c>
      <c r="AD39" s="178">
        <v>103.379761</v>
      </c>
      <c r="AE39" s="178">
        <v>104.22199999999999</v>
      </c>
      <c r="AF39" s="178">
        <v>105.063164</v>
      </c>
      <c r="AG39" s="179">
        <v>8.0000000000000002E-3</v>
      </c>
    </row>
    <row r="40" spans="1:33">
      <c r="A40" s="178" t="s">
        <v>2885</v>
      </c>
    </row>
    <row r="41" spans="1:33">
      <c r="A41" s="178" t="s">
        <v>180</v>
      </c>
      <c r="B41" s="178" t="s">
        <v>2886</v>
      </c>
      <c r="C41" s="178" t="s">
        <v>2887</v>
      </c>
      <c r="D41" s="178" t="s">
        <v>2888</v>
      </c>
      <c r="F41" s="178">
        <v>3.3734500000000001</v>
      </c>
      <c r="G41" s="178">
        <v>3.3770099999999998</v>
      </c>
      <c r="H41" s="178">
        <v>3.3805740000000002</v>
      </c>
      <c r="I41" s="178">
        <v>3.3841420000000002</v>
      </c>
      <c r="J41" s="178">
        <v>3.3877130000000002</v>
      </c>
      <c r="K41" s="178">
        <v>3.391289</v>
      </c>
      <c r="L41" s="178">
        <v>3.3948680000000002</v>
      </c>
      <c r="M41" s="178">
        <v>3.3984510000000001</v>
      </c>
      <c r="N41" s="178">
        <v>3.402037</v>
      </c>
      <c r="O41" s="178">
        <v>3.4056280000000001</v>
      </c>
      <c r="P41" s="178">
        <v>3.4092220000000002</v>
      </c>
      <c r="Q41" s="178">
        <v>3.41282</v>
      </c>
      <c r="R41" s="178">
        <v>3.4164219999999998</v>
      </c>
      <c r="S41" s="178">
        <v>3.4200270000000002</v>
      </c>
      <c r="T41" s="178">
        <v>3.4236369999999998</v>
      </c>
      <c r="U41" s="178">
        <v>3.4272499999999999</v>
      </c>
      <c r="V41" s="178">
        <v>3.4308670000000001</v>
      </c>
      <c r="W41" s="178">
        <v>3.434488</v>
      </c>
      <c r="X41" s="178">
        <v>3.438113</v>
      </c>
      <c r="Y41" s="178">
        <v>3.4417409999999999</v>
      </c>
      <c r="Z41" s="178">
        <v>3.445373</v>
      </c>
      <c r="AA41" s="178">
        <v>3.4490099999999999</v>
      </c>
      <c r="AB41" s="178">
        <v>3.4526490000000001</v>
      </c>
      <c r="AC41" s="178">
        <v>3.4562930000000001</v>
      </c>
      <c r="AD41" s="178">
        <v>3.4599410000000002</v>
      </c>
      <c r="AE41" s="178">
        <v>3.4635929999999999</v>
      </c>
      <c r="AF41" s="178">
        <v>3.4672480000000001</v>
      </c>
      <c r="AG41" s="179">
        <v>1E-3</v>
      </c>
    </row>
    <row r="42" spans="1:33">
      <c r="A42" s="178" t="s">
        <v>213</v>
      </c>
      <c r="B42" s="178" t="s">
        <v>2889</v>
      </c>
      <c r="C42" s="178" t="s">
        <v>2890</v>
      </c>
      <c r="D42" s="178" t="s">
        <v>2888</v>
      </c>
      <c r="F42" s="178">
        <v>4.8577789999999998</v>
      </c>
      <c r="G42" s="178">
        <v>4.876665</v>
      </c>
      <c r="H42" s="178">
        <v>4.8956239999999998</v>
      </c>
      <c r="I42" s="178">
        <v>4.9146570000000001</v>
      </c>
      <c r="J42" s="178">
        <v>4.933764</v>
      </c>
      <c r="K42" s="178">
        <v>4.9529449999999997</v>
      </c>
      <c r="L42" s="178">
        <v>4.9722</v>
      </c>
      <c r="M42" s="178">
        <v>4.9915310000000002</v>
      </c>
      <c r="N42" s="178">
        <v>5.0109370000000002</v>
      </c>
      <c r="O42" s="178">
        <v>5.0304180000000001</v>
      </c>
      <c r="P42" s="178">
        <v>5.0499749999999999</v>
      </c>
      <c r="Q42" s="178">
        <v>5.0696079999999997</v>
      </c>
      <c r="R42" s="178">
        <v>5.0893170000000003</v>
      </c>
      <c r="S42" s="178">
        <v>5.1091030000000002</v>
      </c>
      <c r="T42" s="178">
        <v>5.1289660000000001</v>
      </c>
      <c r="U42" s="178">
        <v>5.1489060000000002</v>
      </c>
      <c r="V42" s="178">
        <v>5.1689230000000004</v>
      </c>
      <c r="W42" s="178">
        <v>5.189019</v>
      </c>
      <c r="X42" s="178">
        <v>5.2091919999999998</v>
      </c>
      <c r="Y42" s="178">
        <v>5.2294450000000001</v>
      </c>
      <c r="Z42" s="178">
        <v>5.2497749999999996</v>
      </c>
      <c r="AA42" s="178">
        <v>5.2701849999999997</v>
      </c>
      <c r="AB42" s="178">
        <v>5.2906740000000001</v>
      </c>
      <c r="AC42" s="178">
        <v>5.3112430000000002</v>
      </c>
      <c r="AD42" s="178">
        <v>5.3318919999999999</v>
      </c>
      <c r="AE42" s="178">
        <v>5.3526210000000001</v>
      </c>
      <c r="AF42" s="178">
        <v>5.3734299999999999</v>
      </c>
      <c r="AG42" s="179">
        <v>4.0000000000000001E-3</v>
      </c>
    </row>
    <row r="43" spans="1:33">
      <c r="A43" s="178" t="s">
        <v>44</v>
      </c>
    </row>
    <row r="44" spans="1:33">
      <c r="A44" s="178" t="s">
        <v>2891</v>
      </c>
    </row>
    <row r="45" spans="1:33">
      <c r="A45" s="178" t="s">
        <v>333</v>
      </c>
      <c r="B45" s="178" t="s">
        <v>2892</v>
      </c>
      <c r="C45" s="178" t="s">
        <v>2893</v>
      </c>
      <c r="D45" s="178" t="s">
        <v>2894</v>
      </c>
      <c r="F45" s="178">
        <v>15.264656</v>
      </c>
      <c r="G45" s="178">
        <v>15.318794</v>
      </c>
      <c r="H45" s="178">
        <v>15.263797</v>
      </c>
      <c r="I45" s="178">
        <v>15.137206000000001</v>
      </c>
      <c r="J45" s="178">
        <v>14.977221</v>
      </c>
      <c r="K45" s="178">
        <v>14.792021999999999</v>
      </c>
      <c r="L45" s="178">
        <v>14.586777</v>
      </c>
      <c r="M45" s="178">
        <v>14.410761000000001</v>
      </c>
      <c r="N45" s="178">
        <v>14.212754</v>
      </c>
      <c r="O45" s="178">
        <v>14.032137000000001</v>
      </c>
      <c r="P45" s="178">
        <v>13.876548</v>
      </c>
      <c r="Q45" s="178">
        <v>13.716936</v>
      </c>
      <c r="R45" s="178">
        <v>13.53182</v>
      </c>
      <c r="S45" s="178">
        <v>13.355209</v>
      </c>
      <c r="T45" s="178">
        <v>13.213084</v>
      </c>
      <c r="U45" s="178">
        <v>13.074738</v>
      </c>
      <c r="V45" s="178">
        <v>12.960391</v>
      </c>
      <c r="W45" s="178">
        <v>12.861575999999999</v>
      </c>
      <c r="X45" s="178">
        <v>12.746392999999999</v>
      </c>
      <c r="Y45" s="178">
        <v>12.672746999999999</v>
      </c>
      <c r="Z45" s="178">
        <v>12.58318</v>
      </c>
      <c r="AA45" s="178">
        <v>12.516975</v>
      </c>
      <c r="AB45" s="178">
        <v>12.440613000000001</v>
      </c>
      <c r="AC45" s="178">
        <v>12.393321</v>
      </c>
      <c r="AD45" s="178">
        <v>12.311717</v>
      </c>
      <c r="AE45" s="178">
        <v>12.264787</v>
      </c>
      <c r="AF45" s="178">
        <v>12.255931</v>
      </c>
      <c r="AG45" s="179">
        <v>-8.0000000000000002E-3</v>
      </c>
    </row>
    <row r="46" spans="1:33">
      <c r="A46" s="178" t="s">
        <v>311</v>
      </c>
      <c r="B46" s="178" t="s">
        <v>2895</v>
      </c>
      <c r="C46" s="178" t="s">
        <v>2896</v>
      </c>
      <c r="D46" s="178" t="s">
        <v>2894</v>
      </c>
      <c r="F46" s="178">
        <v>0.87437500000000001</v>
      </c>
      <c r="G46" s="178">
        <v>0.85573900000000003</v>
      </c>
      <c r="H46" s="178">
        <v>0.83974099999999996</v>
      </c>
      <c r="I46" s="178">
        <v>0.82906299999999999</v>
      </c>
      <c r="J46" s="178">
        <v>0.81703800000000004</v>
      </c>
      <c r="K46" s="178">
        <v>0.80652299999999999</v>
      </c>
      <c r="L46" s="178">
        <v>0.79705300000000001</v>
      </c>
      <c r="M46" s="178">
        <v>0.78666800000000003</v>
      </c>
      <c r="N46" s="178">
        <v>0.77601900000000001</v>
      </c>
      <c r="O46" s="178">
        <v>0.76574799999999998</v>
      </c>
      <c r="P46" s="178">
        <v>0.75515299999999996</v>
      </c>
      <c r="Q46" s="178">
        <v>0.74423300000000003</v>
      </c>
      <c r="R46" s="178">
        <v>0.73315399999999997</v>
      </c>
      <c r="S46" s="178">
        <v>0.72199100000000005</v>
      </c>
      <c r="T46" s="178">
        <v>0.71085900000000002</v>
      </c>
      <c r="U46" s="178">
        <v>0.69993099999999997</v>
      </c>
      <c r="V46" s="178">
        <v>0.68972299999999997</v>
      </c>
      <c r="W46" s="178">
        <v>0.67865399999999998</v>
      </c>
      <c r="X46" s="178">
        <v>0.66812099999999996</v>
      </c>
      <c r="Y46" s="178">
        <v>0.65726200000000001</v>
      </c>
      <c r="Z46" s="178">
        <v>0.64687300000000003</v>
      </c>
      <c r="AA46" s="178">
        <v>0.63653199999999999</v>
      </c>
      <c r="AB46" s="178">
        <v>0.62642500000000001</v>
      </c>
      <c r="AC46" s="178">
        <v>0.61649600000000004</v>
      </c>
      <c r="AD46" s="178">
        <v>0.60653199999999996</v>
      </c>
      <c r="AE46" s="178">
        <v>0.59660599999999997</v>
      </c>
      <c r="AF46" s="178">
        <v>0.58668299999999995</v>
      </c>
      <c r="AG46" s="179">
        <v>-1.4999999999999999E-2</v>
      </c>
    </row>
    <row r="47" spans="1:33">
      <c r="A47" s="178" t="s">
        <v>279</v>
      </c>
      <c r="B47" s="178" t="s">
        <v>2897</v>
      </c>
      <c r="C47" s="178" t="s">
        <v>2898</v>
      </c>
      <c r="D47" s="178" t="s">
        <v>2894</v>
      </c>
      <c r="F47" s="178">
        <v>0.20785899999999999</v>
      </c>
      <c r="G47" s="178">
        <v>0.21351600000000001</v>
      </c>
      <c r="H47" s="178">
        <v>0.21612999999999999</v>
      </c>
      <c r="I47" s="178">
        <v>0.21712600000000001</v>
      </c>
      <c r="J47" s="178">
        <v>0.21748200000000001</v>
      </c>
      <c r="K47" s="178">
        <v>0.21742800000000001</v>
      </c>
      <c r="L47" s="178">
        <v>0.21724399999999999</v>
      </c>
      <c r="M47" s="178">
        <v>0.21624199999999999</v>
      </c>
      <c r="N47" s="178">
        <v>0.21476500000000001</v>
      </c>
      <c r="O47" s="178">
        <v>0.21318599999999999</v>
      </c>
      <c r="P47" s="178">
        <v>0.21190600000000001</v>
      </c>
      <c r="Q47" s="178">
        <v>0.210372</v>
      </c>
      <c r="R47" s="178">
        <v>0.208783</v>
      </c>
      <c r="S47" s="178">
        <v>0.20722499999999999</v>
      </c>
      <c r="T47" s="178">
        <v>0.20564499999999999</v>
      </c>
      <c r="U47" s="178">
        <v>0.20397999999999999</v>
      </c>
      <c r="V47" s="178">
        <v>0.20218700000000001</v>
      </c>
      <c r="W47" s="178">
        <v>0.20030100000000001</v>
      </c>
      <c r="X47" s="178">
        <v>0.198292</v>
      </c>
      <c r="Y47" s="178">
        <v>0.19633700000000001</v>
      </c>
      <c r="Z47" s="178">
        <v>0.19428100000000001</v>
      </c>
      <c r="AA47" s="178">
        <v>0.19231999999999999</v>
      </c>
      <c r="AB47" s="178">
        <v>0.190195</v>
      </c>
      <c r="AC47" s="178">
        <v>0.18795100000000001</v>
      </c>
      <c r="AD47" s="178">
        <v>0.18579200000000001</v>
      </c>
      <c r="AE47" s="178">
        <v>0.18369099999999999</v>
      </c>
      <c r="AF47" s="178">
        <v>0.18190400000000001</v>
      </c>
      <c r="AG47" s="179">
        <v>-5.0000000000000001E-3</v>
      </c>
    </row>
    <row r="48" spans="1:33">
      <c r="A48" s="178" t="s">
        <v>312</v>
      </c>
      <c r="B48" s="178" t="s">
        <v>2899</v>
      </c>
      <c r="C48" s="178" t="s">
        <v>2900</v>
      </c>
      <c r="D48" s="178" t="s">
        <v>2894</v>
      </c>
      <c r="F48" s="178">
        <v>6.005128</v>
      </c>
      <c r="G48" s="178">
        <v>6.058611</v>
      </c>
      <c r="H48" s="178">
        <v>6.0625530000000003</v>
      </c>
      <c r="I48" s="178">
        <v>6.0522770000000001</v>
      </c>
      <c r="J48" s="178">
        <v>6.0186789999999997</v>
      </c>
      <c r="K48" s="178">
        <v>5.988855</v>
      </c>
      <c r="L48" s="178">
        <v>5.9601290000000002</v>
      </c>
      <c r="M48" s="178">
        <v>5.9234799999999996</v>
      </c>
      <c r="N48" s="178">
        <v>5.8891929999999997</v>
      </c>
      <c r="O48" s="178">
        <v>5.8513450000000002</v>
      </c>
      <c r="P48" s="178">
        <v>5.82186</v>
      </c>
      <c r="Q48" s="178">
        <v>5.7964849999999997</v>
      </c>
      <c r="R48" s="178">
        <v>5.7830719999999998</v>
      </c>
      <c r="S48" s="178">
        <v>5.7776480000000001</v>
      </c>
      <c r="T48" s="178">
        <v>5.7755739999999998</v>
      </c>
      <c r="U48" s="178">
        <v>5.7705010000000003</v>
      </c>
      <c r="V48" s="178">
        <v>5.7706039999999996</v>
      </c>
      <c r="W48" s="178">
        <v>5.7710679999999996</v>
      </c>
      <c r="X48" s="178">
        <v>5.774972</v>
      </c>
      <c r="Y48" s="178">
        <v>5.7765789999999999</v>
      </c>
      <c r="Z48" s="178">
        <v>5.7777500000000002</v>
      </c>
      <c r="AA48" s="178">
        <v>5.7845149999999999</v>
      </c>
      <c r="AB48" s="178">
        <v>5.7897829999999999</v>
      </c>
      <c r="AC48" s="178">
        <v>5.816376</v>
      </c>
      <c r="AD48" s="178">
        <v>5.8437739999999998</v>
      </c>
      <c r="AE48" s="178">
        <v>5.8675810000000004</v>
      </c>
      <c r="AF48" s="178">
        <v>5.8845640000000001</v>
      </c>
      <c r="AG48" s="179">
        <v>-1E-3</v>
      </c>
    </row>
    <row r="49" spans="1:33">
      <c r="A49" s="178" t="s">
        <v>180</v>
      </c>
      <c r="B49" s="178" t="s">
        <v>2901</v>
      </c>
      <c r="C49" s="178" t="s">
        <v>2902</v>
      </c>
      <c r="D49" s="178" t="s">
        <v>2894</v>
      </c>
      <c r="F49" s="178">
        <v>4.3892E-2</v>
      </c>
      <c r="G49" s="178">
        <v>4.6490999999999998E-2</v>
      </c>
      <c r="H49" s="178">
        <v>4.7928999999999999E-2</v>
      </c>
      <c r="I49" s="178">
        <v>4.8710999999999997E-2</v>
      </c>
      <c r="J49" s="178">
        <v>4.9231999999999998E-2</v>
      </c>
      <c r="K49" s="178">
        <v>4.9773999999999999E-2</v>
      </c>
      <c r="L49" s="178">
        <v>5.0394000000000001E-2</v>
      </c>
      <c r="M49" s="178">
        <v>5.0847000000000003E-2</v>
      </c>
      <c r="N49" s="178">
        <v>5.1249999999999997E-2</v>
      </c>
      <c r="O49" s="178">
        <v>5.1577999999999999E-2</v>
      </c>
      <c r="P49" s="178">
        <v>5.1859000000000002E-2</v>
      </c>
      <c r="Q49" s="178">
        <v>5.2283999999999997E-2</v>
      </c>
      <c r="R49" s="178">
        <v>5.2821E-2</v>
      </c>
      <c r="S49" s="178">
        <v>5.3370000000000001E-2</v>
      </c>
      <c r="T49" s="178">
        <v>5.3935999999999998E-2</v>
      </c>
      <c r="U49" s="178">
        <v>5.4448999999999997E-2</v>
      </c>
      <c r="V49" s="178">
        <v>5.4919999999999997E-2</v>
      </c>
      <c r="W49" s="178">
        <v>5.534E-2</v>
      </c>
      <c r="X49" s="178">
        <v>5.5737000000000002E-2</v>
      </c>
      <c r="Y49" s="178">
        <v>5.6128999999999998E-2</v>
      </c>
      <c r="Z49" s="178">
        <v>5.6454999999999998E-2</v>
      </c>
      <c r="AA49" s="178">
        <v>5.6805000000000001E-2</v>
      </c>
      <c r="AB49" s="178">
        <v>5.7083000000000002E-2</v>
      </c>
      <c r="AC49" s="178">
        <v>5.7393E-2</v>
      </c>
      <c r="AD49" s="178">
        <v>5.7764999999999997E-2</v>
      </c>
      <c r="AE49" s="178">
        <v>5.8137000000000001E-2</v>
      </c>
      <c r="AF49" s="178">
        <v>5.8624999999999997E-2</v>
      </c>
      <c r="AG49" s="179">
        <v>1.0999999999999999E-2</v>
      </c>
    </row>
    <row r="50" spans="1:33">
      <c r="A50" s="178" t="s">
        <v>180</v>
      </c>
      <c r="B50" s="178" t="s">
        <v>2903</v>
      </c>
      <c r="C50" s="178" t="s">
        <v>2904</v>
      </c>
      <c r="D50" s="178" t="s">
        <v>2894</v>
      </c>
      <c r="F50" s="178">
        <v>0.43423099999999998</v>
      </c>
      <c r="G50" s="178">
        <v>0.44375900000000001</v>
      </c>
      <c r="H50" s="178">
        <v>0.43258099999999999</v>
      </c>
      <c r="I50" s="178">
        <v>0.41775200000000001</v>
      </c>
      <c r="J50" s="178">
        <v>0.41742499999999999</v>
      </c>
      <c r="K50" s="178">
        <v>0.41593799999999997</v>
      </c>
      <c r="L50" s="178">
        <v>0.403474</v>
      </c>
      <c r="M50" s="178">
        <v>0.40317799999999998</v>
      </c>
      <c r="N50" s="178">
        <v>0.38383200000000001</v>
      </c>
      <c r="O50" s="178">
        <v>0.38530700000000001</v>
      </c>
      <c r="P50" s="178">
        <v>0.38127499999999998</v>
      </c>
      <c r="Q50" s="178">
        <v>0.38103999999999999</v>
      </c>
      <c r="R50" s="178">
        <v>0.38219799999999998</v>
      </c>
      <c r="S50" s="178">
        <v>0.38373699999999999</v>
      </c>
      <c r="T50" s="178">
        <v>0.38856000000000002</v>
      </c>
      <c r="U50" s="178">
        <v>0.38572499999999998</v>
      </c>
      <c r="V50" s="178">
        <v>0.38717000000000001</v>
      </c>
      <c r="W50" s="178">
        <v>0.38733400000000001</v>
      </c>
      <c r="X50" s="178">
        <v>0.38897700000000002</v>
      </c>
      <c r="Y50" s="178">
        <v>0.39084999999999998</v>
      </c>
      <c r="Z50" s="178">
        <v>0.39176299999999997</v>
      </c>
      <c r="AA50" s="178">
        <v>0.39273799999999998</v>
      </c>
      <c r="AB50" s="178">
        <v>0.39265099999999997</v>
      </c>
      <c r="AC50" s="178">
        <v>0.39648099999999997</v>
      </c>
      <c r="AD50" s="178">
        <v>0.39958100000000002</v>
      </c>
      <c r="AE50" s="178">
        <v>0.40209800000000001</v>
      </c>
      <c r="AF50" s="178">
        <v>0.40297500000000003</v>
      </c>
      <c r="AG50" s="179">
        <v>-3.0000000000000001E-3</v>
      </c>
    </row>
    <row r="51" spans="1:33" s="180" customFormat="1">
      <c r="A51" s="180" t="s">
        <v>2905</v>
      </c>
      <c r="B51" s="180" t="s">
        <v>2906</v>
      </c>
      <c r="C51" s="180" t="s">
        <v>2907</v>
      </c>
      <c r="D51" s="180" t="s">
        <v>2894</v>
      </c>
      <c r="F51" s="180">
        <v>9.4440999999999997E-2</v>
      </c>
      <c r="G51" s="180">
        <v>9.5329999999999998E-2</v>
      </c>
      <c r="H51" s="180">
        <v>9.4565999999999997E-2</v>
      </c>
      <c r="I51" s="180">
        <v>9.3798000000000006E-2</v>
      </c>
      <c r="J51" s="180">
        <v>9.3107999999999996E-2</v>
      </c>
      <c r="K51" s="180">
        <v>9.2339000000000004E-2</v>
      </c>
      <c r="L51" s="180">
        <v>9.1481000000000007E-2</v>
      </c>
      <c r="M51" s="180">
        <v>9.0542999999999998E-2</v>
      </c>
      <c r="N51" s="180">
        <v>8.9462E-2</v>
      </c>
      <c r="O51" s="180">
        <v>8.8707999999999995E-2</v>
      </c>
      <c r="P51" s="180">
        <v>8.8034000000000001E-2</v>
      </c>
      <c r="Q51" s="180">
        <v>8.7319999999999995E-2</v>
      </c>
      <c r="R51" s="180">
        <v>8.6580000000000004E-2</v>
      </c>
      <c r="S51" s="180">
        <v>8.5944999999999994E-2</v>
      </c>
      <c r="T51" s="180">
        <v>8.5342000000000001E-2</v>
      </c>
      <c r="U51" s="180">
        <v>8.4675E-2</v>
      </c>
      <c r="V51" s="180">
        <v>8.4112000000000006E-2</v>
      </c>
      <c r="W51" s="180">
        <v>8.3540000000000003E-2</v>
      </c>
      <c r="X51" s="180">
        <v>8.2974000000000006E-2</v>
      </c>
      <c r="Y51" s="180">
        <v>8.2354999999999998E-2</v>
      </c>
      <c r="Z51" s="180">
        <v>8.1680000000000003E-2</v>
      </c>
      <c r="AA51" s="180">
        <v>8.1034999999999996E-2</v>
      </c>
      <c r="AB51" s="180">
        <v>8.0381999999999995E-2</v>
      </c>
      <c r="AC51" s="180">
        <v>7.9953999999999997E-2</v>
      </c>
      <c r="AD51" s="180">
        <v>7.9430000000000001E-2</v>
      </c>
      <c r="AE51" s="180">
        <v>7.8866000000000006E-2</v>
      </c>
      <c r="AF51" s="180">
        <v>7.8278E-2</v>
      </c>
      <c r="AG51" s="181">
        <v>-7.0000000000000001E-3</v>
      </c>
    </row>
    <row r="52" spans="1:33" s="180" customFormat="1">
      <c r="A52" s="180" t="s">
        <v>2905</v>
      </c>
      <c r="B52" s="180" t="s">
        <v>2908</v>
      </c>
      <c r="C52" s="180" t="s">
        <v>2909</v>
      </c>
      <c r="D52" s="180" t="s">
        <v>2894</v>
      </c>
      <c r="F52" s="180">
        <v>0.75211899999999998</v>
      </c>
      <c r="G52" s="180">
        <v>0.73338199999999998</v>
      </c>
      <c r="H52" s="180">
        <v>0.74175500000000005</v>
      </c>
      <c r="I52" s="180">
        <v>0.75531999999999999</v>
      </c>
      <c r="J52" s="180">
        <v>0.76629499999999995</v>
      </c>
      <c r="K52" s="180">
        <v>0.778196</v>
      </c>
      <c r="L52" s="180">
        <v>0.78992600000000002</v>
      </c>
      <c r="M52" s="180">
        <v>0.80055600000000005</v>
      </c>
      <c r="N52" s="180">
        <v>0.81212399999999996</v>
      </c>
      <c r="O52" s="180">
        <v>0.82328699999999999</v>
      </c>
      <c r="P52" s="180">
        <v>0.83492999999999995</v>
      </c>
      <c r="Q52" s="180">
        <v>0.84416400000000003</v>
      </c>
      <c r="R52" s="180">
        <v>0.85184199999999999</v>
      </c>
      <c r="S52" s="180">
        <v>0.85928400000000005</v>
      </c>
      <c r="T52" s="180">
        <v>0.86581799999999998</v>
      </c>
      <c r="U52" s="180">
        <v>0.87240700000000004</v>
      </c>
      <c r="V52" s="180">
        <v>0.87826199999999999</v>
      </c>
      <c r="W52" s="180">
        <v>0.88398900000000002</v>
      </c>
      <c r="X52" s="180">
        <v>0.88983500000000004</v>
      </c>
      <c r="Y52" s="180">
        <v>0.89557200000000003</v>
      </c>
      <c r="Z52" s="180">
        <v>0.90109300000000003</v>
      </c>
      <c r="AA52" s="180">
        <v>0.90631600000000001</v>
      </c>
      <c r="AB52" s="180">
        <v>0.91075899999999999</v>
      </c>
      <c r="AC52" s="180">
        <v>0.91678400000000004</v>
      </c>
      <c r="AD52" s="180">
        <v>0.92391900000000005</v>
      </c>
      <c r="AE52" s="180">
        <v>0.93080399999999996</v>
      </c>
      <c r="AF52" s="180">
        <v>0.93727300000000002</v>
      </c>
      <c r="AG52" s="181">
        <v>8.9999999999999993E-3</v>
      </c>
    </row>
    <row r="53" spans="1:33">
      <c r="A53" s="178" t="s">
        <v>281</v>
      </c>
      <c r="B53" s="178" t="s">
        <v>2910</v>
      </c>
      <c r="C53" s="178" t="s">
        <v>2911</v>
      </c>
      <c r="D53" s="178" t="s">
        <v>2894</v>
      </c>
      <c r="F53" s="178">
        <v>0.20760500000000001</v>
      </c>
      <c r="G53" s="178">
        <v>0.20604500000000001</v>
      </c>
      <c r="H53" s="178">
        <v>0.20525199999999999</v>
      </c>
      <c r="I53" s="178">
        <v>0.204434</v>
      </c>
      <c r="J53" s="178">
        <v>0.20314499999999999</v>
      </c>
      <c r="K53" s="178">
        <v>0.20208499999999999</v>
      </c>
      <c r="L53" s="178">
        <v>0.20075299999999999</v>
      </c>
      <c r="M53" s="178">
        <v>0.19906499999999999</v>
      </c>
      <c r="N53" s="178">
        <v>0.19771900000000001</v>
      </c>
      <c r="O53" s="178">
        <v>0.19650300000000001</v>
      </c>
      <c r="P53" s="178">
        <v>0.19525300000000001</v>
      </c>
      <c r="Q53" s="178">
        <v>0.19423499999999999</v>
      </c>
      <c r="R53" s="178">
        <v>0.193269</v>
      </c>
      <c r="S53" s="178">
        <v>0.19245499999999999</v>
      </c>
      <c r="T53" s="178">
        <v>0.19170200000000001</v>
      </c>
      <c r="U53" s="178">
        <v>0.19090599999999999</v>
      </c>
      <c r="V53" s="178">
        <v>0.19012599999999999</v>
      </c>
      <c r="W53" s="178">
        <v>0.18931899999999999</v>
      </c>
      <c r="X53" s="178">
        <v>0.18861600000000001</v>
      </c>
      <c r="Y53" s="178">
        <v>0.187856</v>
      </c>
      <c r="Z53" s="178">
        <v>0.18696299999999999</v>
      </c>
      <c r="AA53" s="178">
        <v>0.18601500000000001</v>
      </c>
      <c r="AB53" s="178">
        <v>0.18501600000000001</v>
      </c>
      <c r="AC53" s="178">
        <v>0.18428600000000001</v>
      </c>
      <c r="AD53" s="178">
        <v>0.183617</v>
      </c>
      <c r="AE53" s="178">
        <v>0.18285100000000001</v>
      </c>
      <c r="AF53" s="178">
        <v>0.18205499999999999</v>
      </c>
      <c r="AG53" s="179">
        <v>-5.0000000000000001E-3</v>
      </c>
    </row>
    <row r="54" spans="1:33" s="182" customFormat="1">
      <c r="A54" s="182" t="s">
        <v>185</v>
      </c>
      <c r="B54" s="182" t="s">
        <v>2912</v>
      </c>
      <c r="C54" s="182" t="s">
        <v>2913</v>
      </c>
      <c r="D54" s="182" t="s">
        <v>2894</v>
      </c>
      <c r="F54" s="182">
        <v>3.2683239999999998</v>
      </c>
      <c r="G54" s="182">
        <v>3.2620330000000002</v>
      </c>
      <c r="H54" s="182">
        <v>3.2887469999999999</v>
      </c>
      <c r="I54" s="182">
        <v>3.3238750000000001</v>
      </c>
      <c r="J54" s="182">
        <v>3.351261</v>
      </c>
      <c r="K54" s="182">
        <v>3.3835480000000002</v>
      </c>
      <c r="L54" s="182">
        <v>3.411572</v>
      </c>
      <c r="M54" s="182">
        <v>3.4309509999999999</v>
      </c>
      <c r="N54" s="182">
        <v>3.4546049999999999</v>
      </c>
      <c r="O54" s="182">
        <v>3.4793050000000001</v>
      </c>
      <c r="P54" s="182">
        <v>3.5032459999999999</v>
      </c>
      <c r="Q54" s="182">
        <v>3.5340240000000001</v>
      </c>
      <c r="R54" s="182">
        <v>3.5675560000000002</v>
      </c>
      <c r="S54" s="182">
        <v>3.6071569999999999</v>
      </c>
      <c r="T54" s="182">
        <v>3.6496209999999998</v>
      </c>
      <c r="U54" s="182">
        <v>3.6931419999999999</v>
      </c>
      <c r="V54" s="182">
        <v>3.735951</v>
      </c>
      <c r="W54" s="182">
        <v>3.776446</v>
      </c>
      <c r="X54" s="182">
        <v>3.821688</v>
      </c>
      <c r="Y54" s="182">
        <v>3.8639779999999999</v>
      </c>
      <c r="Z54" s="182">
        <v>3.9011779999999998</v>
      </c>
      <c r="AA54" s="182">
        <v>3.9369100000000001</v>
      </c>
      <c r="AB54" s="182">
        <v>3.970224</v>
      </c>
      <c r="AC54" s="182">
        <v>4.0111319999999999</v>
      </c>
      <c r="AD54" s="182">
        <v>4.0551300000000001</v>
      </c>
      <c r="AE54" s="182">
        <v>4.0945159999999996</v>
      </c>
      <c r="AF54" s="182">
        <v>4.1335119999999996</v>
      </c>
      <c r="AG54" s="183">
        <v>8.9999999999999993E-3</v>
      </c>
    </row>
    <row r="55" spans="1:33">
      <c r="A55" s="178" t="s">
        <v>278</v>
      </c>
      <c r="B55" s="178" t="s">
        <v>2914</v>
      </c>
      <c r="C55" s="178" t="s">
        <v>2915</v>
      </c>
      <c r="D55" s="178" t="s">
        <v>2894</v>
      </c>
      <c r="F55" s="178">
        <v>0.44478899999999999</v>
      </c>
      <c r="G55" s="178">
        <v>0.44984499999999999</v>
      </c>
      <c r="H55" s="178">
        <v>0.45296900000000001</v>
      </c>
      <c r="I55" s="178">
        <v>0.45489600000000002</v>
      </c>
      <c r="J55" s="178">
        <v>0.455762</v>
      </c>
      <c r="K55" s="178">
        <v>0.45559300000000003</v>
      </c>
      <c r="L55" s="178">
        <v>0.45537699999999998</v>
      </c>
      <c r="M55" s="178">
        <v>0.45584200000000002</v>
      </c>
      <c r="N55" s="178">
        <v>0.45621699999999998</v>
      </c>
      <c r="O55" s="178">
        <v>0.45661000000000002</v>
      </c>
      <c r="P55" s="178">
        <v>0.45693299999999998</v>
      </c>
      <c r="Q55" s="178">
        <v>0.45718500000000001</v>
      </c>
      <c r="R55" s="178">
        <v>0.45763300000000001</v>
      </c>
      <c r="S55" s="178">
        <v>0.45822099999999999</v>
      </c>
      <c r="T55" s="178">
        <v>0.458787</v>
      </c>
      <c r="U55" s="178">
        <v>0.459339</v>
      </c>
      <c r="V55" s="178">
        <v>0.45987499999999998</v>
      </c>
      <c r="W55" s="178">
        <v>0.460399</v>
      </c>
      <c r="X55" s="178">
        <v>0.46091399999999999</v>
      </c>
      <c r="Y55" s="178">
        <v>0.46142300000000003</v>
      </c>
      <c r="Z55" s="178">
        <v>0.46192699999999998</v>
      </c>
      <c r="AA55" s="178">
        <v>0.46242499999999997</v>
      </c>
      <c r="AB55" s="178">
        <v>0.462922</v>
      </c>
      <c r="AC55" s="178">
        <v>0.46341900000000003</v>
      </c>
      <c r="AD55" s="178">
        <v>0.46391300000000002</v>
      </c>
      <c r="AE55" s="178">
        <v>0.46440799999999999</v>
      </c>
      <c r="AF55" s="178">
        <v>0.46490399999999998</v>
      </c>
      <c r="AG55" s="179">
        <v>2E-3</v>
      </c>
    </row>
    <row r="56" spans="1:33">
      <c r="A56" s="178" t="s">
        <v>282</v>
      </c>
      <c r="B56" s="178" t="s">
        <v>2916</v>
      </c>
      <c r="C56" s="178" t="s">
        <v>2917</v>
      </c>
      <c r="D56" s="178" t="s">
        <v>2894</v>
      </c>
      <c r="F56" s="178">
        <v>0.134269</v>
      </c>
      <c r="G56" s="178">
        <v>0.13466500000000001</v>
      </c>
      <c r="H56" s="178">
        <v>0.13530500000000001</v>
      </c>
      <c r="I56" s="178">
        <v>0.135764</v>
      </c>
      <c r="J56" s="178">
        <v>0.13597200000000001</v>
      </c>
      <c r="K56" s="178">
        <v>0.13608500000000001</v>
      </c>
      <c r="L56" s="178">
        <v>0.136129</v>
      </c>
      <c r="M56" s="178">
        <v>0.13605500000000001</v>
      </c>
      <c r="N56" s="178">
        <v>0.135958</v>
      </c>
      <c r="O56" s="178">
        <v>0.13591</v>
      </c>
      <c r="P56" s="178">
        <v>0.13589200000000001</v>
      </c>
      <c r="Q56" s="178">
        <v>0.13586300000000001</v>
      </c>
      <c r="R56" s="178">
        <v>0.135821</v>
      </c>
      <c r="S56" s="178">
        <v>0.13577600000000001</v>
      </c>
      <c r="T56" s="178">
        <v>0.13575699999999999</v>
      </c>
      <c r="U56" s="178">
        <v>0.135764</v>
      </c>
      <c r="V56" s="178">
        <v>0.135768</v>
      </c>
      <c r="W56" s="178">
        <v>0.135743</v>
      </c>
      <c r="X56" s="178">
        <v>0.13569899999999999</v>
      </c>
      <c r="Y56" s="178">
        <v>0.135634</v>
      </c>
      <c r="Z56" s="178">
        <v>0.13556699999999999</v>
      </c>
      <c r="AA56" s="178">
        <v>0.13550100000000001</v>
      </c>
      <c r="AB56" s="178">
        <v>0.13541800000000001</v>
      </c>
      <c r="AC56" s="178">
        <v>0.135323</v>
      </c>
      <c r="AD56" s="178">
        <v>0.13519600000000001</v>
      </c>
      <c r="AE56" s="178">
        <v>0.13505600000000001</v>
      </c>
      <c r="AF56" s="178">
        <v>0.13491900000000001</v>
      </c>
      <c r="AG56" s="179">
        <v>0</v>
      </c>
    </row>
    <row r="57" spans="1:33">
      <c r="A57" s="178" t="s">
        <v>2918</v>
      </c>
      <c r="B57" s="178" t="s">
        <v>2919</v>
      </c>
      <c r="C57" s="178" t="s">
        <v>2920</v>
      </c>
      <c r="D57" s="178" t="s">
        <v>2894</v>
      </c>
      <c r="F57" s="178">
        <v>0.92415800000000004</v>
      </c>
      <c r="G57" s="178">
        <v>0.87021000000000004</v>
      </c>
      <c r="H57" s="178">
        <v>0.86357099999999998</v>
      </c>
      <c r="I57" s="178">
        <v>0.83560900000000005</v>
      </c>
      <c r="J57" s="178">
        <v>0.79156499999999996</v>
      </c>
      <c r="K57" s="178">
        <v>0.75778999999999996</v>
      </c>
      <c r="L57" s="178">
        <v>0.71301099999999995</v>
      </c>
      <c r="M57" s="178">
        <v>0.70335300000000001</v>
      </c>
      <c r="N57" s="178">
        <v>0.71609599999999995</v>
      </c>
      <c r="O57" s="178">
        <v>0.70919600000000005</v>
      </c>
      <c r="P57" s="178">
        <v>0.70162199999999997</v>
      </c>
      <c r="Q57" s="178">
        <v>0.70198499999999997</v>
      </c>
      <c r="R57" s="178">
        <v>0.70706999999999998</v>
      </c>
      <c r="S57" s="178">
        <v>0.71651200000000004</v>
      </c>
      <c r="T57" s="178">
        <v>0.72648199999999996</v>
      </c>
      <c r="U57" s="178">
        <v>0.73760999999999999</v>
      </c>
      <c r="V57" s="178">
        <v>0.746228</v>
      </c>
      <c r="W57" s="178">
        <v>0.752332</v>
      </c>
      <c r="X57" s="178">
        <v>0.75695699999999999</v>
      </c>
      <c r="Y57" s="178">
        <v>0.76515100000000003</v>
      </c>
      <c r="Z57" s="178">
        <v>0.77486100000000002</v>
      </c>
      <c r="AA57" s="178">
        <v>0.78181100000000003</v>
      </c>
      <c r="AB57" s="178">
        <v>0.79294299999999995</v>
      </c>
      <c r="AC57" s="178">
        <v>0.80118500000000004</v>
      </c>
      <c r="AD57" s="178">
        <v>0.81029300000000004</v>
      </c>
      <c r="AE57" s="178">
        <v>0.81983700000000004</v>
      </c>
      <c r="AF57" s="178">
        <v>0.83159899999999998</v>
      </c>
      <c r="AG57" s="179">
        <v>-4.0000000000000001E-3</v>
      </c>
    </row>
    <row r="58" spans="1:33">
      <c r="A58" s="178" t="s">
        <v>1144</v>
      </c>
      <c r="B58" s="178" t="s">
        <v>2921</v>
      </c>
      <c r="C58" s="178" t="s">
        <v>2922</v>
      </c>
      <c r="D58" s="178" t="s">
        <v>2894</v>
      </c>
      <c r="F58" s="178">
        <v>0.36798999999999998</v>
      </c>
      <c r="G58" s="178">
        <v>0.42041099999999998</v>
      </c>
      <c r="H58" s="178">
        <v>0.44769300000000001</v>
      </c>
      <c r="I58" s="178">
        <v>0.44849299999999998</v>
      </c>
      <c r="J58" s="178">
        <v>0.53499699999999994</v>
      </c>
      <c r="K58" s="178">
        <v>0.59558800000000001</v>
      </c>
      <c r="L58" s="178">
        <v>0.65857699999999997</v>
      </c>
      <c r="M58" s="178">
        <v>0.70078799999999997</v>
      </c>
      <c r="N58" s="178">
        <v>0.76951800000000004</v>
      </c>
      <c r="O58" s="178">
        <v>0.83505300000000005</v>
      </c>
      <c r="P58" s="178">
        <v>0.87701099999999999</v>
      </c>
      <c r="Q58" s="178">
        <v>0.89379399999999998</v>
      </c>
      <c r="R58" s="178">
        <v>0.91217599999999999</v>
      </c>
      <c r="S58" s="178">
        <v>0.92736099999999999</v>
      </c>
      <c r="T58" s="178">
        <v>0.93575200000000003</v>
      </c>
      <c r="U58" s="178">
        <v>0.93575200000000003</v>
      </c>
      <c r="V58" s="178">
        <v>0.93735100000000005</v>
      </c>
      <c r="W58" s="178">
        <v>0.93575200000000003</v>
      </c>
      <c r="X58" s="178">
        <v>0.93574199999999996</v>
      </c>
      <c r="Y58" s="178">
        <v>0.93075399999999997</v>
      </c>
      <c r="Z58" s="178">
        <v>0.93217099999999997</v>
      </c>
      <c r="AA58" s="178">
        <v>0.92952699999999999</v>
      </c>
      <c r="AB58" s="178">
        <v>0.93468700000000005</v>
      </c>
      <c r="AC58" s="178">
        <v>0.93499699999999997</v>
      </c>
      <c r="AD58" s="178">
        <v>0.93623199999999995</v>
      </c>
      <c r="AE58" s="178">
        <v>0.93412899999999999</v>
      </c>
      <c r="AF58" s="178">
        <v>0.93501800000000002</v>
      </c>
      <c r="AG58" s="179">
        <v>3.6999999999999998E-2</v>
      </c>
    </row>
    <row r="59" spans="1:33">
      <c r="A59" s="178" t="s">
        <v>193</v>
      </c>
      <c r="B59" s="178" t="s">
        <v>2923</v>
      </c>
      <c r="C59" s="178" t="s">
        <v>2924</v>
      </c>
      <c r="D59" s="178" t="s">
        <v>2894</v>
      </c>
      <c r="F59" s="178">
        <v>29.023834000000001</v>
      </c>
      <c r="G59" s="178">
        <v>29.108829</v>
      </c>
      <c r="H59" s="178">
        <v>29.092590000000001</v>
      </c>
      <c r="I59" s="178">
        <v>28.954325000000001</v>
      </c>
      <c r="J59" s="178">
        <v>28.829184000000001</v>
      </c>
      <c r="K59" s="178">
        <v>28.671766000000002</v>
      </c>
      <c r="L59" s="178">
        <v>28.471896999999998</v>
      </c>
      <c r="M59" s="178">
        <v>28.308323000000001</v>
      </c>
      <c r="N59" s="178">
        <v>28.159511999999999</v>
      </c>
      <c r="O59" s="178">
        <v>28.023869999999999</v>
      </c>
      <c r="P59" s="178">
        <v>27.891521000000001</v>
      </c>
      <c r="Q59" s="178">
        <v>27.749924</v>
      </c>
      <c r="R59" s="178">
        <v>27.603794000000001</v>
      </c>
      <c r="S59" s="178">
        <v>27.481891999999998</v>
      </c>
      <c r="T59" s="178">
        <v>27.396920999999999</v>
      </c>
      <c r="U59" s="178">
        <v>27.298918</v>
      </c>
      <c r="V59" s="178">
        <v>27.232672000000001</v>
      </c>
      <c r="W59" s="178">
        <v>27.171799</v>
      </c>
      <c r="X59" s="178">
        <v>27.104918000000001</v>
      </c>
      <c r="Y59" s="178">
        <v>27.072628000000002</v>
      </c>
      <c r="Z59" s="178">
        <v>27.025742000000001</v>
      </c>
      <c r="AA59" s="178">
        <v>26.999421999999999</v>
      </c>
      <c r="AB59" s="178">
        <v>26.969100999999998</v>
      </c>
      <c r="AC59" s="178">
        <v>26.995097999999999</v>
      </c>
      <c r="AD59" s="178">
        <v>26.992891</v>
      </c>
      <c r="AE59" s="178">
        <v>27.013369000000001</v>
      </c>
      <c r="AF59" s="178">
        <v>27.068242999999999</v>
      </c>
      <c r="AG59" s="179">
        <v>-3.0000000000000001E-3</v>
      </c>
    </row>
    <row r="60" spans="1:33">
      <c r="A60" s="178" t="s">
        <v>2925</v>
      </c>
    </row>
    <row r="61" spans="1:33">
      <c r="A61" s="178" t="s">
        <v>333</v>
      </c>
      <c r="B61" s="178" t="s">
        <v>2892</v>
      </c>
      <c r="C61" s="178" t="s">
        <v>2926</v>
      </c>
      <c r="D61" s="178" t="s">
        <v>2927</v>
      </c>
      <c r="F61" s="178">
        <v>8.2808890000000002</v>
      </c>
      <c r="G61" s="178">
        <v>8.3093610000000009</v>
      </c>
      <c r="H61" s="178">
        <v>8.2775669999999995</v>
      </c>
      <c r="I61" s="178">
        <v>8.2064699999999995</v>
      </c>
      <c r="J61" s="178">
        <v>8.1172900000000006</v>
      </c>
      <c r="K61" s="178">
        <v>8.0142310000000005</v>
      </c>
      <c r="L61" s="178">
        <v>7.9001390000000002</v>
      </c>
      <c r="M61" s="178">
        <v>7.8022710000000002</v>
      </c>
      <c r="N61" s="178">
        <v>7.6924460000000003</v>
      </c>
      <c r="O61" s="178">
        <v>7.5924829999999996</v>
      </c>
      <c r="P61" s="178">
        <v>7.5060650000000004</v>
      </c>
      <c r="Q61" s="178">
        <v>7.4175789999999999</v>
      </c>
      <c r="R61" s="178">
        <v>7.3148879999999998</v>
      </c>
      <c r="S61" s="178">
        <v>7.216888</v>
      </c>
      <c r="T61" s="178">
        <v>7.1375099999999998</v>
      </c>
      <c r="U61" s="178">
        <v>7.060346</v>
      </c>
      <c r="V61" s="178">
        <v>6.996391</v>
      </c>
      <c r="W61" s="178">
        <v>6.9408979999999998</v>
      </c>
      <c r="X61" s="178">
        <v>6.876627</v>
      </c>
      <c r="Y61" s="178">
        <v>6.8351490000000004</v>
      </c>
      <c r="Z61" s="178">
        <v>6.7852079999999999</v>
      </c>
      <c r="AA61" s="178">
        <v>6.7480399999999996</v>
      </c>
      <c r="AB61" s="178">
        <v>6.705527</v>
      </c>
      <c r="AC61" s="178">
        <v>6.6790250000000002</v>
      </c>
      <c r="AD61" s="178">
        <v>6.6338410000000003</v>
      </c>
      <c r="AE61" s="178">
        <v>6.6075730000000004</v>
      </c>
      <c r="AF61" s="178">
        <v>6.6020709999999996</v>
      </c>
      <c r="AG61" s="179">
        <v>-8.9999999999999993E-3</v>
      </c>
    </row>
    <row r="62" spans="1:33">
      <c r="A62" s="178" t="s">
        <v>311</v>
      </c>
      <c r="B62" s="178" t="s">
        <v>2895</v>
      </c>
      <c r="C62" s="178" t="s">
        <v>2928</v>
      </c>
      <c r="D62" s="178" t="s">
        <v>2927</v>
      </c>
      <c r="F62" s="178">
        <v>0.45701599999999998</v>
      </c>
      <c r="G62" s="178">
        <v>0.44781300000000002</v>
      </c>
      <c r="H62" s="178">
        <v>0.44001899999999999</v>
      </c>
      <c r="I62" s="178">
        <v>0.43496899999999999</v>
      </c>
      <c r="J62" s="178">
        <v>0.42930299999999999</v>
      </c>
      <c r="K62" s="178">
        <v>0.42444999999999999</v>
      </c>
      <c r="L62" s="178">
        <v>0.42006100000000002</v>
      </c>
      <c r="M62" s="178">
        <v>0.415188</v>
      </c>
      <c r="N62" s="178">
        <v>0.41015800000000002</v>
      </c>
      <c r="O62" s="178">
        <v>0.40529700000000002</v>
      </c>
      <c r="P62" s="178">
        <v>0.40024300000000002</v>
      </c>
      <c r="Q62" s="178">
        <v>0.39499000000000001</v>
      </c>
      <c r="R62" s="178">
        <v>0.389598</v>
      </c>
      <c r="S62" s="178">
        <v>0.38410699999999998</v>
      </c>
      <c r="T62" s="178">
        <v>0.37855699999999998</v>
      </c>
      <c r="U62" s="178">
        <v>0.37307699999999999</v>
      </c>
      <c r="V62" s="178">
        <v>0.36791600000000002</v>
      </c>
      <c r="W62" s="178">
        <v>0.36227700000000002</v>
      </c>
      <c r="X62" s="178">
        <v>0.35687000000000002</v>
      </c>
      <c r="Y62" s="178">
        <v>0.35124300000000003</v>
      </c>
      <c r="Z62" s="178">
        <v>0.34584900000000002</v>
      </c>
      <c r="AA62" s="178">
        <v>0.34045500000000001</v>
      </c>
      <c r="AB62" s="178">
        <v>0.33516899999999999</v>
      </c>
      <c r="AC62" s="178">
        <v>0.329957</v>
      </c>
      <c r="AD62" s="178">
        <v>0.32472099999999998</v>
      </c>
      <c r="AE62" s="178">
        <v>0.319494</v>
      </c>
      <c r="AF62" s="178">
        <v>0.31426399999999999</v>
      </c>
      <c r="AG62" s="179">
        <v>-1.4E-2</v>
      </c>
    </row>
    <row r="63" spans="1:33">
      <c r="A63" s="178" t="s">
        <v>279</v>
      </c>
      <c r="B63" s="178" t="s">
        <v>2897</v>
      </c>
      <c r="C63" s="178" t="s">
        <v>2929</v>
      </c>
      <c r="D63" s="178" t="s">
        <v>2927</v>
      </c>
      <c r="F63" s="178">
        <v>0.103228</v>
      </c>
      <c r="G63" s="178">
        <v>0.10592600000000001</v>
      </c>
      <c r="H63" s="178">
        <v>0.107151</v>
      </c>
      <c r="I63" s="178">
        <v>0.107583</v>
      </c>
      <c r="J63" s="178">
        <v>0.10771799999999999</v>
      </c>
      <c r="K63" s="178">
        <v>0.10764799999999999</v>
      </c>
      <c r="L63" s="178">
        <v>0.107517</v>
      </c>
      <c r="M63" s="178">
        <v>0.10698199999999999</v>
      </c>
      <c r="N63" s="178">
        <v>0.106228</v>
      </c>
      <c r="O63" s="178">
        <v>0.105447</v>
      </c>
      <c r="P63" s="178">
        <v>0.104835</v>
      </c>
      <c r="Q63" s="178">
        <v>0.104076</v>
      </c>
      <c r="R63" s="178">
        <v>0.103287</v>
      </c>
      <c r="S63" s="178">
        <v>0.102533</v>
      </c>
      <c r="T63" s="178">
        <v>0.101759</v>
      </c>
      <c r="U63" s="178">
        <v>0.10094400000000001</v>
      </c>
      <c r="V63" s="178">
        <v>0.10005500000000001</v>
      </c>
      <c r="W63" s="178">
        <v>9.9111000000000005E-2</v>
      </c>
      <c r="X63" s="178">
        <v>9.8109000000000002E-2</v>
      </c>
      <c r="Y63" s="178">
        <v>9.7108E-2</v>
      </c>
      <c r="Z63" s="178">
        <v>9.6051999999999998E-2</v>
      </c>
      <c r="AA63" s="178">
        <v>9.5036999999999996E-2</v>
      </c>
      <c r="AB63" s="178">
        <v>9.3949000000000005E-2</v>
      </c>
      <c r="AC63" s="178">
        <v>9.2840000000000006E-2</v>
      </c>
      <c r="AD63" s="178">
        <v>9.1764999999999999E-2</v>
      </c>
      <c r="AE63" s="178">
        <v>9.0727000000000002E-2</v>
      </c>
      <c r="AF63" s="178">
        <v>8.9831999999999995E-2</v>
      </c>
      <c r="AG63" s="179">
        <v>-5.0000000000000001E-3</v>
      </c>
    </row>
    <row r="64" spans="1:33">
      <c r="A64" s="178" t="s">
        <v>312</v>
      </c>
      <c r="B64" s="178" t="s">
        <v>2899</v>
      </c>
      <c r="C64" s="178" t="s">
        <v>2930</v>
      </c>
      <c r="D64" s="178" t="s">
        <v>2927</v>
      </c>
      <c r="F64" s="178">
        <v>2.8939409999999999</v>
      </c>
      <c r="G64" s="178">
        <v>2.9200170000000001</v>
      </c>
      <c r="H64" s="178">
        <v>2.9221780000000002</v>
      </c>
      <c r="I64" s="178">
        <v>2.9175800000000001</v>
      </c>
      <c r="J64" s="178">
        <v>2.9023850000000002</v>
      </c>
      <c r="K64" s="178">
        <v>2.8892139999999999</v>
      </c>
      <c r="L64" s="178">
        <v>2.8769239999999998</v>
      </c>
      <c r="M64" s="178">
        <v>2.8609070000000001</v>
      </c>
      <c r="N64" s="178">
        <v>2.8461609999999999</v>
      </c>
      <c r="O64" s="178">
        <v>2.8299210000000001</v>
      </c>
      <c r="P64" s="178">
        <v>2.817726</v>
      </c>
      <c r="Q64" s="178">
        <v>2.8072620000000001</v>
      </c>
      <c r="R64" s="178">
        <v>2.8023570000000002</v>
      </c>
      <c r="S64" s="178">
        <v>2.8011180000000002</v>
      </c>
      <c r="T64" s="178">
        <v>2.8012329999999999</v>
      </c>
      <c r="U64" s="178">
        <v>2.7997049999999999</v>
      </c>
      <c r="V64" s="178">
        <v>2.800392</v>
      </c>
      <c r="W64" s="178">
        <v>2.8007070000000001</v>
      </c>
      <c r="X64" s="178">
        <v>2.80227</v>
      </c>
      <c r="Y64" s="178">
        <v>2.802311</v>
      </c>
      <c r="Z64" s="178">
        <v>2.8020360000000002</v>
      </c>
      <c r="AA64" s="178">
        <v>2.8042590000000001</v>
      </c>
      <c r="AB64" s="178">
        <v>2.805666</v>
      </c>
      <c r="AC64" s="178">
        <v>2.8171620000000002</v>
      </c>
      <c r="AD64" s="178">
        <v>2.8287710000000001</v>
      </c>
      <c r="AE64" s="178">
        <v>2.8385180000000001</v>
      </c>
      <c r="AF64" s="178">
        <v>2.8448889999999998</v>
      </c>
      <c r="AG64" s="179">
        <v>-1E-3</v>
      </c>
    </row>
    <row r="65" spans="1:33">
      <c r="A65" s="178" t="s">
        <v>180</v>
      </c>
      <c r="B65" s="178" t="s">
        <v>2901</v>
      </c>
      <c r="C65" s="178" t="s">
        <v>2931</v>
      </c>
      <c r="D65" s="178" t="s">
        <v>2927</v>
      </c>
      <c r="F65" s="178">
        <v>2.0774999999999998E-2</v>
      </c>
      <c r="G65" s="178">
        <v>2.2003999999999999E-2</v>
      </c>
      <c r="H65" s="178">
        <v>2.2683999999999999E-2</v>
      </c>
      <c r="I65" s="178">
        <v>2.3053000000000001E-2</v>
      </c>
      <c r="J65" s="178">
        <v>2.3300000000000001E-2</v>
      </c>
      <c r="K65" s="178">
        <v>2.3556000000000001E-2</v>
      </c>
      <c r="L65" s="178">
        <v>2.3848999999999999E-2</v>
      </c>
      <c r="M65" s="178">
        <v>2.4063999999999999E-2</v>
      </c>
      <c r="N65" s="178">
        <v>2.4254000000000001E-2</v>
      </c>
      <c r="O65" s="178">
        <v>2.4410000000000001E-2</v>
      </c>
      <c r="P65" s="178">
        <v>2.4542999999999999E-2</v>
      </c>
      <c r="Q65" s="178">
        <v>2.4743000000000001E-2</v>
      </c>
      <c r="R65" s="178">
        <v>2.4997999999999999E-2</v>
      </c>
      <c r="S65" s="178">
        <v>2.5257999999999999E-2</v>
      </c>
      <c r="T65" s="178">
        <v>2.5526E-2</v>
      </c>
      <c r="U65" s="178">
        <v>2.5769E-2</v>
      </c>
      <c r="V65" s="178">
        <v>2.5992000000000001E-2</v>
      </c>
      <c r="W65" s="178">
        <v>2.6190999999999999E-2</v>
      </c>
      <c r="X65" s="178">
        <v>2.6377999999999999E-2</v>
      </c>
      <c r="Y65" s="178">
        <v>2.6564000000000001E-2</v>
      </c>
      <c r="Z65" s="178">
        <v>2.6717999999999999E-2</v>
      </c>
      <c r="AA65" s="178">
        <v>2.6884000000000002E-2</v>
      </c>
      <c r="AB65" s="178">
        <v>2.7015999999999998E-2</v>
      </c>
      <c r="AC65" s="178">
        <v>2.7163E-2</v>
      </c>
      <c r="AD65" s="178">
        <v>2.7338999999999999E-2</v>
      </c>
      <c r="AE65" s="178">
        <v>2.7515000000000001E-2</v>
      </c>
      <c r="AF65" s="178">
        <v>2.7746E-2</v>
      </c>
      <c r="AG65" s="179">
        <v>1.0999999999999999E-2</v>
      </c>
    </row>
    <row r="66" spans="1:33">
      <c r="A66" s="178" t="s">
        <v>180</v>
      </c>
      <c r="B66" s="178" t="s">
        <v>2903</v>
      </c>
      <c r="C66" s="178" t="s">
        <v>2932</v>
      </c>
      <c r="D66" s="178" t="s">
        <v>2927</v>
      </c>
      <c r="F66" s="178">
        <v>0.205982</v>
      </c>
      <c r="G66" s="178">
        <v>0.21049599999999999</v>
      </c>
      <c r="H66" s="178">
        <v>0.205175</v>
      </c>
      <c r="I66" s="178">
        <v>0.19812299999999999</v>
      </c>
      <c r="J66" s="178">
        <v>0.19797799999999999</v>
      </c>
      <c r="K66" s="178">
        <v>0.197273</v>
      </c>
      <c r="L66" s="178">
        <v>0.19136500000000001</v>
      </c>
      <c r="M66" s="178">
        <v>0.191222</v>
      </c>
      <c r="N66" s="178">
        <v>0.18204500000000001</v>
      </c>
      <c r="O66" s="178">
        <v>0.18274399999999999</v>
      </c>
      <c r="P66" s="178">
        <v>0.180835</v>
      </c>
      <c r="Q66" s="178">
        <v>0.18072099999999999</v>
      </c>
      <c r="R66" s="178">
        <v>0.18127199999999999</v>
      </c>
      <c r="S66" s="178">
        <v>0.182005</v>
      </c>
      <c r="T66" s="178">
        <v>0.18429200000000001</v>
      </c>
      <c r="U66" s="178">
        <v>0.182949</v>
      </c>
      <c r="V66" s="178">
        <v>0.18363699999999999</v>
      </c>
      <c r="W66" s="178">
        <v>0.18371299999999999</v>
      </c>
      <c r="X66" s="178">
        <v>0.18449199999999999</v>
      </c>
      <c r="Y66" s="178">
        <v>0.18537999999999999</v>
      </c>
      <c r="Z66" s="178">
        <v>0.18581500000000001</v>
      </c>
      <c r="AA66" s="178">
        <v>0.186277</v>
      </c>
      <c r="AB66" s="178">
        <v>0.18623899999999999</v>
      </c>
      <c r="AC66" s="178">
        <v>0.188059</v>
      </c>
      <c r="AD66" s="178">
        <v>0.189528</v>
      </c>
      <c r="AE66" s="178">
        <v>0.19072</v>
      </c>
      <c r="AF66" s="178">
        <v>0.191137</v>
      </c>
      <c r="AG66" s="179">
        <v>-3.0000000000000001E-3</v>
      </c>
    </row>
    <row r="67" spans="1:33">
      <c r="A67" s="178" t="s">
        <v>2905</v>
      </c>
      <c r="B67" s="178" t="s">
        <v>2906</v>
      </c>
      <c r="C67" s="178" t="s">
        <v>2933</v>
      </c>
      <c r="D67" s="178" t="s">
        <v>2927</v>
      </c>
      <c r="F67" s="178">
        <v>4.4743999999999999E-2</v>
      </c>
      <c r="G67" s="178">
        <v>4.5169000000000001E-2</v>
      </c>
      <c r="H67" s="178">
        <v>4.4804999999999998E-2</v>
      </c>
      <c r="I67" s="178">
        <v>4.4438999999999999E-2</v>
      </c>
      <c r="J67" s="178">
        <v>4.4117000000000003E-2</v>
      </c>
      <c r="K67" s="178">
        <v>4.3755000000000002E-2</v>
      </c>
      <c r="L67" s="178">
        <v>4.3351000000000001E-2</v>
      </c>
      <c r="M67" s="178">
        <v>4.2908000000000002E-2</v>
      </c>
      <c r="N67" s="178">
        <v>4.2397999999999998E-2</v>
      </c>
      <c r="O67" s="178">
        <v>4.2042000000000003E-2</v>
      </c>
      <c r="P67" s="178">
        <v>4.1724999999999998E-2</v>
      </c>
      <c r="Q67" s="178">
        <v>4.1388000000000001E-2</v>
      </c>
      <c r="R67" s="178">
        <v>4.104E-2</v>
      </c>
      <c r="S67" s="178">
        <v>4.0740999999999999E-2</v>
      </c>
      <c r="T67" s="178">
        <v>4.0457E-2</v>
      </c>
      <c r="U67" s="178">
        <v>4.0143999999999999E-2</v>
      </c>
      <c r="V67" s="178">
        <v>3.9878999999999998E-2</v>
      </c>
      <c r="W67" s="178">
        <v>3.9607999999999997E-2</v>
      </c>
      <c r="X67" s="178">
        <v>3.9338999999999999E-2</v>
      </c>
      <c r="Y67" s="178">
        <v>3.9045999999999997E-2</v>
      </c>
      <c r="Z67" s="178">
        <v>3.8725999999999997E-2</v>
      </c>
      <c r="AA67" s="178">
        <v>3.8419000000000002E-2</v>
      </c>
      <c r="AB67" s="178">
        <v>3.8109999999999998E-2</v>
      </c>
      <c r="AC67" s="178">
        <v>3.7907999999999997E-2</v>
      </c>
      <c r="AD67" s="178">
        <v>3.7658999999999998E-2</v>
      </c>
      <c r="AE67" s="178">
        <v>3.7391000000000001E-2</v>
      </c>
      <c r="AF67" s="178">
        <v>3.7111999999999999E-2</v>
      </c>
      <c r="AG67" s="179">
        <v>-7.0000000000000001E-3</v>
      </c>
    </row>
    <row r="68" spans="1:33">
      <c r="A68" s="178" t="s">
        <v>2905</v>
      </c>
      <c r="B68" s="178" t="s">
        <v>2908</v>
      </c>
      <c r="C68" s="178" t="s">
        <v>2934</v>
      </c>
      <c r="D68" s="178" t="s">
        <v>2927</v>
      </c>
      <c r="F68" s="178">
        <v>0.33552599999999999</v>
      </c>
      <c r="G68" s="178">
        <v>0.32803199999999999</v>
      </c>
      <c r="H68" s="178">
        <v>0.33212399999999997</v>
      </c>
      <c r="I68" s="178">
        <v>0.338171</v>
      </c>
      <c r="J68" s="178">
        <v>0.34316999999999998</v>
      </c>
      <c r="K68" s="178">
        <v>0.348464</v>
      </c>
      <c r="L68" s="178">
        <v>0.35370600000000002</v>
      </c>
      <c r="M68" s="178">
        <v>0.35850500000000002</v>
      </c>
      <c r="N68" s="178">
        <v>0.36379800000000001</v>
      </c>
      <c r="O68" s="178">
        <v>0.36891600000000002</v>
      </c>
      <c r="P68" s="178">
        <v>0.37424099999999999</v>
      </c>
      <c r="Q68" s="178">
        <v>0.37837799999999999</v>
      </c>
      <c r="R68" s="178">
        <v>0.381832</v>
      </c>
      <c r="S68" s="178">
        <v>0.38513900000000001</v>
      </c>
      <c r="T68" s="178">
        <v>0.38807799999999998</v>
      </c>
      <c r="U68" s="178">
        <v>0.39102700000000001</v>
      </c>
      <c r="V68" s="178">
        <v>0.39366099999999998</v>
      </c>
      <c r="W68" s="178">
        <v>0.39625199999999999</v>
      </c>
      <c r="X68" s="178">
        <v>0.398897</v>
      </c>
      <c r="Y68" s="178">
        <v>0.40148099999999998</v>
      </c>
      <c r="Z68" s="178">
        <v>0.40397100000000002</v>
      </c>
      <c r="AA68" s="178">
        <v>0.40631</v>
      </c>
      <c r="AB68" s="178">
        <v>0.40826099999999999</v>
      </c>
      <c r="AC68" s="178">
        <v>0.41094900000000001</v>
      </c>
      <c r="AD68" s="178">
        <v>0.41413299999999997</v>
      </c>
      <c r="AE68" s="178">
        <v>0.41722100000000001</v>
      </c>
      <c r="AF68" s="178">
        <v>0.42011900000000002</v>
      </c>
      <c r="AG68" s="179">
        <v>8.9999999999999993E-3</v>
      </c>
    </row>
    <row r="69" spans="1:33">
      <c r="A69" s="178" t="s">
        <v>281</v>
      </c>
      <c r="B69" s="178" t="s">
        <v>2910</v>
      </c>
      <c r="C69" s="178" t="s">
        <v>2935</v>
      </c>
      <c r="D69" s="178" t="s">
        <v>2927</v>
      </c>
      <c r="F69" s="178">
        <v>0.11264399999999999</v>
      </c>
      <c r="G69" s="178">
        <v>0.11182300000000001</v>
      </c>
      <c r="H69" s="178">
        <v>0.111419</v>
      </c>
      <c r="I69" s="178">
        <v>0.111002</v>
      </c>
      <c r="J69" s="178">
        <v>0.110329</v>
      </c>
      <c r="K69" s="178">
        <v>0.109779</v>
      </c>
      <c r="L69" s="178">
        <v>0.109081</v>
      </c>
      <c r="M69" s="178">
        <v>0.10818999999999999</v>
      </c>
      <c r="N69" s="178">
        <v>0.107484</v>
      </c>
      <c r="O69" s="178">
        <v>0.106848</v>
      </c>
      <c r="P69" s="178">
        <v>0.106194</v>
      </c>
      <c r="Q69" s="178">
        <v>0.105666</v>
      </c>
      <c r="R69" s="178">
        <v>0.105161</v>
      </c>
      <c r="S69" s="178">
        <v>0.104739</v>
      </c>
      <c r="T69" s="178">
        <v>0.10435</v>
      </c>
      <c r="U69" s="178">
        <v>0.103936</v>
      </c>
      <c r="V69" s="178">
        <v>0.103532</v>
      </c>
      <c r="W69" s="178">
        <v>0.10310999999999999</v>
      </c>
      <c r="X69" s="178">
        <v>0.102745</v>
      </c>
      <c r="Y69" s="178">
        <v>0.102349</v>
      </c>
      <c r="Z69" s="178">
        <v>0.10188</v>
      </c>
      <c r="AA69" s="178">
        <v>0.101381</v>
      </c>
      <c r="AB69" s="178">
        <v>0.100854</v>
      </c>
      <c r="AC69" s="178">
        <v>0.10047399999999999</v>
      </c>
      <c r="AD69" s="178">
        <v>0.10012699999999999</v>
      </c>
      <c r="AE69" s="178">
        <v>9.9725999999999995E-2</v>
      </c>
      <c r="AF69" s="178">
        <v>9.9308999999999995E-2</v>
      </c>
      <c r="AG69" s="179">
        <v>-5.0000000000000001E-3</v>
      </c>
    </row>
    <row r="70" spans="1:33">
      <c r="A70" s="178" t="s">
        <v>185</v>
      </c>
      <c r="B70" s="178" t="s">
        <v>2912</v>
      </c>
      <c r="C70" s="178" t="s">
        <v>2936</v>
      </c>
      <c r="D70" s="178" t="s">
        <v>2927</v>
      </c>
      <c r="F70" s="178">
        <v>1.5805739999999999</v>
      </c>
      <c r="G70" s="178">
        <v>1.577537</v>
      </c>
      <c r="H70" s="178">
        <v>1.5904469999999999</v>
      </c>
      <c r="I70" s="178">
        <v>1.607424</v>
      </c>
      <c r="J70" s="178">
        <v>1.6206590000000001</v>
      </c>
      <c r="K70" s="178">
        <v>1.636263</v>
      </c>
      <c r="L70" s="178">
        <v>1.649807</v>
      </c>
      <c r="M70" s="178">
        <v>1.659173</v>
      </c>
      <c r="N70" s="178">
        <v>1.6706049999999999</v>
      </c>
      <c r="O70" s="178">
        <v>1.6825429999999999</v>
      </c>
      <c r="P70" s="178">
        <v>1.6941139999999999</v>
      </c>
      <c r="Q70" s="178">
        <v>1.7089890000000001</v>
      </c>
      <c r="R70" s="178">
        <v>1.7251939999999999</v>
      </c>
      <c r="S70" s="178">
        <v>1.7443310000000001</v>
      </c>
      <c r="T70" s="178">
        <v>1.7648520000000001</v>
      </c>
      <c r="U70" s="178">
        <v>1.785884</v>
      </c>
      <c r="V70" s="178">
        <v>1.8065709999999999</v>
      </c>
      <c r="W70" s="178">
        <v>1.8261400000000001</v>
      </c>
      <c r="X70" s="178">
        <v>1.8480030000000001</v>
      </c>
      <c r="Y70" s="178">
        <v>1.8684400000000001</v>
      </c>
      <c r="Z70" s="178">
        <v>1.886417</v>
      </c>
      <c r="AA70" s="178">
        <v>1.9036839999999999</v>
      </c>
      <c r="AB70" s="178">
        <v>1.9197839999999999</v>
      </c>
      <c r="AC70" s="178">
        <v>1.9395519999999999</v>
      </c>
      <c r="AD70" s="178">
        <v>1.960815</v>
      </c>
      <c r="AE70" s="178">
        <v>1.9798480000000001</v>
      </c>
      <c r="AF70" s="178">
        <v>1.9986919999999999</v>
      </c>
      <c r="AG70" s="179">
        <v>8.9999999999999993E-3</v>
      </c>
    </row>
    <row r="71" spans="1:33">
      <c r="A71" s="178" t="s">
        <v>278</v>
      </c>
      <c r="B71" s="178" t="s">
        <v>2914</v>
      </c>
      <c r="C71" s="178" t="s">
        <v>2937</v>
      </c>
      <c r="D71" s="178" t="s">
        <v>2927</v>
      </c>
      <c r="F71" s="178">
        <v>0.21395900000000001</v>
      </c>
      <c r="G71" s="178">
        <v>0.216389</v>
      </c>
      <c r="H71" s="178">
        <v>0.217888</v>
      </c>
      <c r="I71" s="178">
        <v>0.218809</v>
      </c>
      <c r="J71" s="178">
        <v>0.21922900000000001</v>
      </c>
      <c r="K71" s="178">
        <v>0.21914800000000001</v>
      </c>
      <c r="L71" s="178">
        <v>0.21904499999999999</v>
      </c>
      <c r="M71" s="178">
        <v>0.21926699999999999</v>
      </c>
      <c r="N71" s="178">
        <v>0.219448</v>
      </c>
      <c r="O71" s="178">
        <v>0.219636</v>
      </c>
      <c r="P71" s="178">
        <v>0.21979199999999999</v>
      </c>
      <c r="Q71" s="178">
        <v>0.219913</v>
      </c>
      <c r="R71" s="178">
        <v>0.22012899999999999</v>
      </c>
      <c r="S71" s="178">
        <v>0.220413</v>
      </c>
      <c r="T71" s="178">
        <v>0.22068499999999999</v>
      </c>
      <c r="U71" s="178">
        <v>0.22095100000000001</v>
      </c>
      <c r="V71" s="178">
        <v>0.22120999999999999</v>
      </c>
      <c r="W71" s="178">
        <v>0.22146099999999999</v>
      </c>
      <c r="X71" s="178">
        <v>0.22170899999999999</v>
      </c>
      <c r="Y71" s="178">
        <v>0.22195400000000001</v>
      </c>
      <c r="Z71" s="178">
        <v>0.22219700000000001</v>
      </c>
      <c r="AA71" s="178">
        <v>0.22243599999999999</v>
      </c>
      <c r="AB71" s="178">
        <v>0.22267600000000001</v>
      </c>
      <c r="AC71" s="178">
        <v>0.222916</v>
      </c>
      <c r="AD71" s="178">
        <v>0.22315299999999999</v>
      </c>
      <c r="AE71" s="178">
        <v>0.22339100000000001</v>
      </c>
      <c r="AF71" s="178">
        <v>0.22363</v>
      </c>
      <c r="AG71" s="179">
        <v>2E-3</v>
      </c>
    </row>
    <row r="72" spans="1:33">
      <c r="A72" s="178" t="s">
        <v>282</v>
      </c>
      <c r="B72" s="178" t="s">
        <v>2916</v>
      </c>
      <c r="C72" s="178" t="s">
        <v>2938</v>
      </c>
      <c r="D72" s="178" t="s">
        <v>2927</v>
      </c>
      <c r="F72" s="178">
        <v>6.3423999999999994E-2</v>
      </c>
      <c r="G72" s="178">
        <v>6.3611000000000001E-2</v>
      </c>
      <c r="H72" s="178">
        <v>6.3912999999999998E-2</v>
      </c>
      <c r="I72" s="178">
        <v>6.4130999999999994E-2</v>
      </c>
      <c r="J72" s="178">
        <v>6.4227999999999993E-2</v>
      </c>
      <c r="K72" s="178">
        <v>6.4282000000000006E-2</v>
      </c>
      <c r="L72" s="178">
        <v>6.4302999999999999E-2</v>
      </c>
      <c r="M72" s="178">
        <v>6.4268000000000006E-2</v>
      </c>
      <c r="N72" s="178">
        <v>6.4222000000000001E-2</v>
      </c>
      <c r="O72" s="178">
        <v>6.4199000000000006E-2</v>
      </c>
      <c r="P72" s="178">
        <v>6.4190999999999998E-2</v>
      </c>
      <c r="Q72" s="178">
        <v>6.4176999999999998E-2</v>
      </c>
      <c r="R72" s="178">
        <v>6.4157000000000006E-2</v>
      </c>
      <c r="S72" s="178">
        <v>6.4135999999999999E-2</v>
      </c>
      <c r="T72" s="178">
        <v>6.4127000000000003E-2</v>
      </c>
      <c r="U72" s="178">
        <v>6.4130000000000006E-2</v>
      </c>
      <c r="V72" s="178">
        <v>6.4131999999999995E-2</v>
      </c>
      <c r="W72" s="178">
        <v>6.4120999999999997E-2</v>
      </c>
      <c r="X72" s="178">
        <v>6.4100000000000004E-2</v>
      </c>
      <c r="Y72" s="178">
        <v>6.4069000000000001E-2</v>
      </c>
      <c r="Z72" s="178">
        <v>6.4036999999999997E-2</v>
      </c>
      <c r="AA72" s="178">
        <v>6.4005999999999993E-2</v>
      </c>
      <c r="AB72" s="178">
        <v>6.3966999999999996E-2</v>
      </c>
      <c r="AC72" s="178">
        <v>6.3922000000000007E-2</v>
      </c>
      <c r="AD72" s="178">
        <v>6.3862000000000002E-2</v>
      </c>
      <c r="AE72" s="178">
        <v>6.3796000000000005E-2</v>
      </c>
      <c r="AF72" s="178">
        <v>6.3730999999999996E-2</v>
      </c>
      <c r="AG72" s="179">
        <v>0</v>
      </c>
    </row>
    <row r="73" spans="1:33">
      <c r="A73" s="178" t="s">
        <v>2918</v>
      </c>
      <c r="B73" s="178" t="s">
        <v>2919</v>
      </c>
      <c r="C73" s="178" t="s">
        <v>2939</v>
      </c>
      <c r="D73" s="178" t="s">
        <v>2927</v>
      </c>
      <c r="F73" s="178">
        <v>0.43654100000000001</v>
      </c>
      <c r="G73" s="178">
        <v>0.41105799999999998</v>
      </c>
      <c r="H73" s="178">
        <v>0.40792200000000001</v>
      </c>
      <c r="I73" s="178">
        <v>0.39471400000000001</v>
      </c>
      <c r="J73" s="178">
        <v>0.37390899999999999</v>
      </c>
      <c r="K73" s="178">
        <v>0.35795500000000002</v>
      </c>
      <c r="L73" s="178">
        <v>0.33680300000000002</v>
      </c>
      <c r="M73" s="178">
        <v>0.33223999999999998</v>
      </c>
      <c r="N73" s="178">
        <v>0.33826000000000001</v>
      </c>
      <c r="O73" s="178">
        <v>0.33500099999999999</v>
      </c>
      <c r="P73" s="178">
        <v>0.33142300000000002</v>
      </c>
      <c r="Q73" s="178">
        <v>0.331594</v>
      </c>
      <c r="R73" s="178">
        <v>0.33399600000000002</v>
      </c>
      <c r="S73" s="178">
        <v>0.33845599999999998</v>
      </c>
      <c r="T73" s="178">
        <v>0.34316600000000003</v>
      </c>
      <c r="U73" s="178">
        <v>0.34842200000000001</v>
      </c>
      <c r="V73" s="178">
        <v>0.352493</v>
      </c>
      <c r="W73" s="178">
        <v>0.35537600000000003</v>
      </c>
      <c r="X73" s="178">
        <v>0.35756100000000002</v>
      </c>
      <c r="Y73" s="178">
        <v>0.36143199999999998</v>
      </c>
      <c r="Z73" s="178">
        <v>0.36601800000000001</v>
      </c>
      <c r="AA73" s="178">
        <v>0.36930099999999999</v>
      </c>
      <c r="AB73" s="178">
        <v>0.37456</v>
      </c>
      <c r="AC73" s="178">
        <v>0.37845299999999998</v>
      </c>
      <c r="AD73" s="178">
        <v>0.38275500000000001</v>
      </c>
      <c r="AE73" s="178">
        <v>0.38726300000000002</v>
      </c>
      <c r="AF73" s="178">
        <v>0.39282</v>
      </c>
      <c r="AG73" s="179">
        <v>-4.0000000000000001E-3</v>
      </c>
    </row>
    <row r="74" spans="1:33">
      <c r="A74" s="178" t="s">
        <v>1144</v>
      </c>
      <c r="B74" s="178" t="s">
        <v>2921</v>
      </c>
      <c r="C74" s="178" t="s">
        <v>2940</v>
      </c>
      <c r="D74" s="178" t="s">
        <v>2927</v>
      </c>
      <c r="F74" s="178">
        <v>0.17382600000000001</v>
      </c>
      <c r="G74" s="178">
        <v>0.19858799999999999</v>
      </c>
      <c r="H74" s="178">
        <v>0.211475</v>
      </c>
      <c r="I74" s="178">
        <v>0.21185300000000001</v>
      </c>
      <c r="J74" s="178">
        <v>0.25271500000000002</v>
      </c>
      <c r="K74" s="178">
        <v>0.28133599999999997</v>
      </c>
      <c r="L74" s="178">
        <v>0.31108999999999998</v>
      </c>
      <c r="M74" s="178">
        <v>0.33102900000000002</v>
      </c>
      <c r="N74" s="178">
        <v>0.36349500000000001</v>
      </c>
      <c r="O74" s="178">
        <v>0.394451</v>
      </c>
      <c r="P74" s="178">
        <v>0.414271</v>
      </c>
      <c r="Q74" s="178">
        <v>0.42219899999999999</v>
      </c>
      <c r="R74" s="178">
        <v>0.43088100000000001</v>
      </c>
      <c r="S74" s="178">
        <v>0.438054</v>
      </c>
      <c r="T74" s="178">
        <v>0.44201800000000002</v>
      </c>
      <c r="U74" s="178">
        <v>0.44201800000000002</v>
      </c>
      <c r="V74" s="178">
        <v>0.44277300000000003</v>
      </c>
      <c r="W74" s="178">
        <v>0.44201800000000002</v>
      </c>
      <c r="X74" s="178">
        <v>0.44201299999999999</v>
      </c>
      <c r="Y74" s="178">
        <v>0.43965700000000002</v>
      </c>
      <c r="Z74" s="178">
        <v>0.440326</v>
      </c>
      <c r="AA74" s="178">
        <v>0.43907800000000002</v>
      </c>
      <c r="AB74" s="178">
        <v>0.44151499999999999</v>
      </c>
      <c r="AC74" s="178">
        <v>0.44166100000000003</v>
      </c>
      <c r="AD74" s="178">
        <v>0.442245</v>
      </c>
      <c r="AE74" s="178">
        <v>0.441251</v>
      </c>
      <c r="AF74" s="178">
        <v>0.44167099999999998</v>
      </c>
      <c r="AG74" s="179">
        <v>3.6999999999999998E-2</v>
      </c>
    </row>
    <row r="75" spans="1:33">
      <c r="A75" s="178" t="s">
        <v>193</v>
      </c>
      <c r="B75" s="178" t="s">
        <v>2923</v>
      </c>
      <c r="C75" s="178" t="s">
        <v>2941</v>
      </c>
      <c r="D75" s="178" t="s">
        <v>2927</v>
      </c>
      <c r="F75" s="178">
        <v>14.923069</v>
      </c>
      <c r="G75" s="178">
        <v>14.967827</v>
      </c>
      <c r="H75" s="178">
        <v>14.954769000000001</v>
      </c>
      <c r="I75" s="178">
        <v>14.878322000000001</v>
      </c>
      <c r="J75" s="178">
        <v>14.806329</v>
      </c>
      <c r="K75" s="178">
        <v>14.717354</v>
      </c>
      <c r="L75" s="178">
        <v>14.60704</v>
      </c>
      <c r="M75" s="178">
        <v>14.516214</v>
      </c>
      <c r="N75" s="178">
        <v>14.431001</v>
      </c>
      <c r="O75" s="178">
        <v>14.353937999999999</v>
      </c>
      <c r="P75" s="178">
        <v>14.280196999999999</v>
      </c>
      <c r="Q75" s="178">
        <v>14.201674000000001</v>
      </c>
      <c r="R75" s="178">
        <v>14.118790000000001</v>
      </c>
      <c r="S75" s="178">
        <v>14.047919</v>
      </c>
      <c r="T75" s="178">
        <v>13.996613</v>
      </c>
      <c r="U75" s="178">
        <v>13.939302</v>
      </c>
      <c r="V75" s="178">
        <v>13.898635000000001</v>
      </c>
      <c r="W75" s="178">
        <v>13.860984999999999</v>
      </c>
      <c r="X75" s="178">
        <v>13.819115</v>
      </c>
      <c r="Y75" s="178">
        <v>13.79618</v>
      </c>
      <c r="Z75" s="178">
        <v>13.765250999999999</v>
      </c>
      <c r="AA75" s="178">
        <v>13.745568</v>
      </c>
      <c r="AB75" s="178">
        <v>13.723292000000001</v>
      </c>
      <c r="AC75" s="178">
        <v>13.730040000000001</v>
      </c>
      <c r="AD75" s="178">
        <v>13.720713</v>
      </c>
      <c r="AE75" s="178">
        <v>13.724432999999999</v>
      </c>
      <c r="AF75" s="178">
        <v>13.747025000000001</v>
      </c>
      <c r="AG75" s="179">
        <v>-3.0000000000000001E-3</v>
      </c>
    </row>
    <row r="76" spans="1:33">
      <c r="A76" s="178" t="s">
        <v>2942</v>
      </c>
    </row>
    <row r="77" spans="1:33">
      <c r="A77" s="178" t="s">
        <v>333</v>
      </c>
    </row>
    <row r="78" spans="1:33">
      <c r="A78" s="178" t="s">
        <v>2943</v>
      </c>
      <c r="B78" s="178" t="s">
        <v>2944</v>
      </c>
      <c r="C78" s="178" t="s">
        <v>2945</v>
      </c>
      <c r="D78" s="178" t="s">
        <v>2946</v>
      </c>
      <c r="F78" s="178">
        <v>196.04522700000001</v>
      </c>
      <c r="G78" s="178">
        <v>171.409897</v>
      </c>
      <c r="H78" s="178">
        <v>162.355515</v>
      </c>
      <c r="I78" s="178">
        <v>154.321045</v>
      </c>
      <c r="J78" s="178">
        <v>148.64556899999999</v>
      </c>
      <c r="K78" s="178">
        <v>144.482483</v>
      </c>
      <c r="L78" s="178">
        <v>141.272278</v>
      </c>
      <c r="M78" s="178">
        <v>138.77520799999999</v>
      </c>
      <c r="N78" s="178">
        <v>136.615768</v>
      </c>
      <c r="O78" s="178">
        <v>134.627396</v>
      </c>
      <c r="P78" s="178">
        <v>133.028458</v>
      </c>
      <c r="Q78" s="178">
        <v>131.523697</v>
      </c>
      <c r="R78" s="178">
        <v>130.10266100000001</v>
      </c>
      <c r="S78" s="178">
        <v>128.795334</v>
      </c>
      <c r="T78" s="178">
        <v>127.58626599999999</v>
      </c>
      <c r="U78" s="178">
        <v>126.458855</v>
      </c>
      <c r="V78" s="178">
        <v>125.39215900000001</v>
      </c>
      <c r="W78" s="178">
        <v>124.39598100000001</v>
      </c>
      <c r="X78" s="178">
        <v>123.470978</v>
      </c>
      <c r="Y78" s="178">
        <v>122.61042</v>
      </c>
      <c r="Z78" s="178">
        <v>121.805725</v>
      </c>
      <c r="AA78" s="178">
        <v>121.053917</v>
      </c>
      <c r="AB78" s="178">
        <v>120.34687</v>
      </c>
      <c r="AC78" s="178">
        <v>119.68440200000001</v>
      </c>
      <c r="AD78" s="178">
        <v>119.062546</v>
      </c>
      <c r="AE78" s="178">
        <v>118.478157</v>
      </c>
      <c r="AF78" s="178">
        <v>117.926872</v>
      </c>
      <c r="AG78" s="179">
        <v>-1.9E-2</v>
      </c>
    </row>
    <row r="79" spans="1:33">
      <c r="A79" s="178" t="s">
        <v>2947</v>
      </c>
      <c r="B79" s="178" t="s">
        <v>2948</v>
      </c>
      <c r="C79" s="178" t="s">
        <v>2945</v>
      </c>
      <c r="D79" s="178" t="s">
        <v>2946</v>
      </c>
      <c r="F79" s="178">
        <v>570.03552200000001</v>
      </c>
      <c r="G79" s="178">
        <v>489.47833300000002</v>
      </c>
      <c r="H79" s="178">
        <v>459.87057499999997</v>
      </c>
      <c r="I79" s="178">
        <v>433.59802200000001</v>
      </c>
      <c r="J79" s="178">
        <v>415.03927599999997</v>
      </c>
      <c r="K79" s="178">
        <v>401.425995</v>
      </c>
      <c r="L79" s="178">
        <v>390.92867999999999</v>
      </c>
      <c r="M79" s="178">
        <v>382.763306</v>
      </c>
      <c r="N79" s="178">
        <v>375.70193499999999</v>
      </c>
      <c r="O79" s="178">
        <v>369.19998199999998</v>
      </c>
      <c r="P79" s="178">
        <v>363.971497</v>
      </c>
      <c r="Q79" s="178">
        <v>359.05090300000001</v>
      </c>
      <c r="R79" s="178">
        <v>354.40417500000001</v>
      </c>
      <c r="S79" s="178">
        <v>350.12924199999998</v>
      </c>
      <c r="T79" s="178">
        <v>346.17562900000001</v>
      </c>
      <c r="U79" s="178">
        <v>342.48895299999998</v>
      </c>
      <c r="V79" s="178">
        <v>339.00088499999998</v>
      </c>
      <c r="W79" s="178">
        <v>335.74340799999999</v>
      </c>
      <c r="X79" s="178">
        <v>332.718658</v>
      </c>
      <c r="Y79" s="178">
        <v>329.90460200000001</v>
      </c>
      <c r="Z79" s="178">
        <v>327.27328499999999</v>
      </c>
      <c r="AA79" s="178">
        <v>324.81484999999998</v>
      </c>
      <c r="AB79" s="178">
        <v>322.502838</v>
      </c>
      <c r="AC79" s="178">
        <v>320.33651700000001</v>
      </c>
      <c r="AD79" s="178">
        <v>318.30306999999999</v>
      </c>
      <c r="AE79" s="178">
        <v>316.39218099999999</v>
      </c>
      <c r="AF79" s="178">
        <v>314.58950800000002</v>
      </c>
      <c r="AG79" s="179">
        <v>-2.3E-2</v>
      </c>
    </row>
    <row r="80" spans="1:33">
      <c r="A80" s="178" t="s">
        <v>2949</v>
      </c>
      <c r="B80" s="178" t="s">
        <v>2950</v>
      </c>
      <c r="C80" s="178" t="s">
        <v>2945</v>
      </c>
      <c r="D80" s="178" t="s">
        <v>2946</v>
      </c>
      <c r="F80" s="178">
        <v>570.03552200000001</v>
      </c>
      <c r="G80" s="178">
        <v>489.47833300000002</v>
      </c>
      <c r="H80" s="178">
        <v>459.87057499999997</v>
      </c>
      <c r="I80" s="178">
        <v>433.59802200000001</v>
      </c>
      <c r="J80" s="178">
        <v>415.03927599999997</v>
      </c>
      <c r="K80" s="178">
        <v>401.425995</v>
      </c>
      <c r="L80" s="178">
        <v>390.92867999999999</v>
      </c>
      <c r="M80" s="178">
        <v>382.763306</v>
      </c>
      <c r="N80" s="178">
        <v>375.70193499999999</v>
      </c>
      <c r="O80" s="178">
        <v>369.19998199999998</v>
      </c>
      <c r="P80" s="178">
        <v>363.971497</v>
      </c>
      <c r="Q80" s="178">
        <v>359.05090300000001</v>
      </c>
      <c r="R80" s="178">
        <v>354.40417500000001</v>
      </c>
      <c r="S80" s="178">
        <v>350.12924199999998</v>
      </c>
      <c r="T80" s="178">
        <v>346.17562900000001</v>
      </c>
      <c r="U80" s="178">
        <v>342.48895299999998</v>
      </c>
      <c r="V80" s="178">
        <v>339.00088499999998</v>
      </c>
      <c r="W80" s="178">
        <v>335.74340799999999</v>
      </c>
      <c r="X80" s="178">
        <v>332.718658</v>
      </c>
      <c r="Y80" s="178">
        <v>329.90460200000001</v>
      </c>
      <c r="Z80" s="178">
        <v>327.27328499999999</v>
      </c>
      <c r="AA80" s="178">
        <v>324.81484999999998</v>
      </c>
      <c r="AB80" s="178">
        <v>322.502838</v>
      </c>
      <c r="AC80" s="178">
        <v>320.33651700000001</v>
      </c>
      <c r="AD80" s="178">
        <v>318.30306999999999</v>
      </c>
      <c r="AE80" s="178">
        <v>316.39218099999999</v>
      </c>
      <c r="AF80" s="178">
        <v>314.58950800000002</v>
      </c>
      <c r="AG80" s="179">
        <v>-2.3E-2</v>
      </c>
    </row>
    <row r="81" spans="1:33">
      <c r="A81" s="178" t="s">
        <v>312</v>
      </c>
    </row>
    <row r="82" spans="1:33">
      <c r="A82" s="178" t="s">
        <v>2951</v>
      </c>
      <c r="B82" s="178" t="s">
        <v>2952</v>
      </c>
      <c r="C82" s="178" t="s">
        <v>2953</v>
      </c>
      <c r="D82" s="178" t="s">
        <v>2954</v>
      </c>
      <c r="F82" s="178">
        <v>336.87881499999997</v>
      </c>
      <c r="G82" s="178">
        <v>307.29882800000001</v>
      </c>
      <c r="H82" s="178">
        <v>288.80246</v>
      </c>
      <c r="I82" s="178">
        <v>271.07699600000001</v>
      </c>
      <c r="J82" s="178">
        <v>255.568634</v>
      </c>
      <c r="K82" s="178">
        <v>244.600708</v>
      </c>
      <c r="L82" s="178">
        <v>236.54896500000001</v>
      </c>
      <c r="M82" s="178">
        <v>230.33711199999999</v>
      </c>
      <c r="N82" s="178">
        <v>225.49472</v>
      </c>
      <c r="O82" s="178">
        <v>221.30664100000001</v>
      </c>
      <c r="P82" s="178">
        <v>217.45829800000001</v>
      </c>
      <c r="Q82" s="178">
        <v>214.35638399999999</v>
      </c>
      <c r="R82" s="178">
        <v>211.433594</v>
      </c>
      <c r="S82" s="178">
        <v>208.67517100000001</v>
      </c>
      <c r="T82" s="178">
        <v>206.139725</v>
      </c>
      <c r="U82" s="178">
        <v>203.79489100000001</v>
      </c>
      <c r="V82" s="178">
        <v>201.60882599999999</v>
      </c>
      <c r="W82" s="178">
        <v>199.54255699999999</v>
      </c>
      <c r="X82" s="178">
        <v>197.61050399999999</v>
      </c>
      <c r="Y82" s="178">
        <v>195.81800799999999</v>
      </c>
      <c r="Z82" s="178">
        <v>194.15103099999999</v>
      </c>
      <c r="AA82" s="178">
        <v>192.59423799999999</v>
      </c>
      <c r="AB82" s="178">
        <v>191.14033499999999</v>
      </c>
      <c r="AC82" s="178">
        <v>189.77330000000001</v>
      </c>
      <c r="AD82" s="178">
        <v>188.49174500000001</v>
      </c>
      <c r="AE82" s="178">
        <v>187.289368</v>
      </c>
      <c r="AF82" s="178">
        <v>186.15943899999999</v>
      </c>
      <c r="AG82" s="179">
        <v>-2.3E-2</v>
      </c>
    </row>
    <row r="83" spans="1:33">
      <c r="A83" s="178" t="s">
        <v>2955</v>
      </c>
      <c r="B83" s="178" t="s">
        <v>2956</v>
      </c>
      <c r="C83" s="178" t="s">
        <v>2953</v>
      </c>
      <c r="D83" s="178" t="s">
        <v>2954</v>
      </c>
      <c r="F83" s="178">
        <v>483.723389</v>
      </c>
      <c r="G83" s="178">
        <v>441.24963400000001</v>
      </c>
      <c r="H83" s="178">
        <v>414.69073500000002</v>
      </c>
      <c r="I83" s="178">
        <v>389.23873900000001</v>
      </c>
      <c r="J83" s="178">
        <v>366.97033699999997</v>
      </c>
      <c r="K83" s="178">
        <v>351.22152699999998</v>
      </c>
      <c r="L83" s="178">
        <v>339.66006499999997</v>
      </c>
      <c r="M83" s="178">
        <v>330.74047899999999</v>
      </c>
      <c r="N83" s="178">
        <v>323.78732300000001</v>
      </c>
      <c r="O83" s="178">
        <v>317.77362099999999</v>
      </c>
      <c r="P83" s="178">
        <v>312.247772</v>
      </c>
      <c r="Q83" s="178">
        <v>307.79376200000002</v>
      </c>
      <c r="R83" s="178">
        <v>303.596924</v>
      </c>
      <c r="S83" s="178">
        <v>299.63619999999997</v>
      </c>
      <c r="T83" s="178">
        <v>295.99548299999998</v>
      </c>
      <c r="U83" s="178">
        <v>292.62853999999999</v>
      </c>
      <c r="V83" s="178">
        <v>289.489532</v>
      </c>
      <c r="W83" s="178">
        <v>286.52267499999999</v>
      </c>
      <c r="X83" s="178">
        <v>283.74841300000003</v>
      </c>
      <c r="Y83" s="178">
        <v>281.17456099999998</v>
      </c>
      <c r="Z83" s="178">
        <v>278.78097500000001</v>
      </c>
      <c r="AA83" s="178">
        <v>276.545593</v>
      </c>
      <c r="AB83" s="178">
        <v>274.45788599999997</v>
      </c>
      <c r="AC83" s="178">
        <v>272.49499500000002</v>
      </c>
      <c r="AD83" s="178">
        <v>270.65481599999998</v>
      </c>
      <c r="AE83" s="178">
        <v>268.92828400000002</v>
      </c>
      <c r="AF83" s="178">
        <v>267.30587800000001</v>
      </c>
      <c r="AG83" s="179">
        <v>-2.3E-2</v>
      </c>
    </row>
    <row r="84" spans="1:33">
      <c r="A84" s="178" t="s">
        <v>2957</v>
      </c>
      <c r="B84" s="178" t="s">
        <v>2958</v>
      </c>
      <c r="C84" s="178" t="s">
        <v>2953</v>
      </c>
      <c r="D84" s="178" t="s">
        <v>2954</v>
      </c>
      <c r="F84" s="178">
        <v>362.79254200000003</v>
      </c>
      <c r="G84" s="178">
        <v>330.93722500000001</v>
      </c>
      <c r="H84" s="178">
        <v>311.01800500000002</v>
      </c>
      <c r="I84" s="178">
        <v>291.92904700000003</v>
      </c>
      <c r="J84" s="178">
        <v>275.22778299999999</v>
      </c>
      <c r="K84" s="178">
        <v>263.41613799999999</v>
      </c>
      <c r="L84" s="178">
        <v>254.74504099999999</v>
      </c>
      <c r="M84" s="178">
        <v>248.05534399999999</v>
      </c>
      <c r="N84" s="178">
        <v>242.840485</v>
      </c>
      <c r="O84" s="178">
        <v>238.33019999999999</v>
      </c>
      <c r="P84" s="178">
        <v>234.18585200000001</v>
      </c>
      <c r="Q84" s="178">
        <v>230.84532200000001</v>
      </c>
      <c r="R84" s="178">
        <v>227.69770800000001</v>
      </c>
      <c r="S84" s="178">
        <v>224.727127</v>
      </c>
      <c r="T84" s="178">
        <v>221.99662799999999</v>
      </c>
      <c r="U84" s="178">
        <v>219.47141999999999</v>
      </c>
      <c r="V84" s="178">
        <v>217.11720299999999</v>
      </c>
      <c r="W84" s="178">
        <v>214.891998</v>
      </c>
      <c r="X84" s="178">
        <v>212.81132500000001</v>
      </c>
      <c r="Y84" s="178">
        <v>210.88093599999999</v>
      </c>
      <c r="Z84" s="178">
        <v>209.08573899999999</v>
      </c>
      <c r="AA84" s="178">
        <v>207.40919500000001</v>
      </c>
      <c r="AB84" s="178">
        <v>205.84343000000001</v>
      </c>
      <c r="AC84" s="178">
        <v>204.37124600000001</v>
      </c>
      <c r="AD84" s="178">
        <v>202.99110400000001</v>
      </c>
      <c r="AE84" s="178">
        <v>201.69624300000001</v>
      </c>
      <c r="AF84" s="178">
        <v>200.479401</v>
      </c>
      <c r="AG84" s="179">
        <v>-2.3E-2</v>
      </c>
    </row>
    <row r="85" spans="1:33">
      <c r="A85" s="178" t="s">
        <v>2959</v>
      </c>
      <c r="B85" s="178" t="s">
        <v>2960</v>
      </c>
      <c r="C85" s="178" t="s">
        <v>2953</v>
      </c>
      <c r="D85" s="178" t="s">
        <v>2954</v>
      </c>
      <c r="F85" s="178">
        <v>238.97354100000001</v>
      </c>
      <c r="G85" s="178">
        <v>217.99026499999999</v>
      </c>
      <c r="H85" s="178">
        <v>204.86937</v>
      </c>
      <c r="I85" s="178">
        <v>192.29534899999999</v>
      </c>
      <c r="J85" s="178">
        <v>181.29411300000001</v>
      </c>
      <c r="K85" s="178">
        <v>173.51374799999999</v>
      </c>
      <c r="L85" s="178">
        <v>167.802032</v>
      </c>
      <c r="M85" s="178">
        <v>163.39550800000001</v>
      </c>
      <c r="N85" s="178">
        <v>159.960419</v>
      </c>
      <c r="O85" s="178">
        <v>156.989487</v>
      </c>
      <c r="P85" s="178">
        <v>154.259567</v>
      </c>
      <c r="Q85" s="178">
        <v>152.05914300000001</v>
      </c>
      <c r="R85" s="178">
        <v>149.98577900000001</v>
      </c>
      <c r="S85" s="178">
        <v>148.029068</v>
      </c>
      <c r="T85" s="178">
        <v>146.23045300000001</v>
      </c>
      <c r="U85" s="178">
        <v>144.56707800000001</v>
      </c>
      <c r="V85" s="178">
        <v>143.01632699999999</v>
      </c>
      <c r="W85" s="178">
        <v>141.55059800000001</v>
      </c>
      <c r="X85" s="178">
        <v>140.180069</v>
      </c>
      <c r="Y85" s="178">
        <v>138.908478</v>
      </c>
      <c r="Z85" s="178">
        <v>137.72598300000001</v>
      </c>
      <c r="AA85" s="178">
        <v>136.62162799999999</v>
      </c>
      <c r="AB85" s="178">
        <v>135.590271</v>
      </c>
      <c r="AC85" s="178">
        <v>134.620529</v>
      </c>
      <c r="AD85" s="178">
        <v>133.71142599999999</v>
      </c>
      <c r="AE85" s="178">
        <v>132.85845900000001</v>
      </c>
      <c r="AF85" s="178">
        <v>132.05694600000001</v>
      </c>
      <c r="AG85" s="179">
        <v>-2.3E-2</v>
      </c>
    </row>
    <row r="86" spans="1:33">
      <c r="A86" s="178" t="s">
        <v>2949</v>
      </c>
      <c r="B86" s="178" t="s">
        <v>2961</v>
      </c>
      <c r="C86" s="178" t="s">
        <v>2953</v>
      </c>
      <c r="D86" s="178" t="s">
        <v>2954</v>
      </c>
      <c r="F86" s="178">
        <v>993.36047399999995</v>
      </c>
      <c r="G86" s="178">
        <v>906.13757299999997</v>
      </c>
      <c r="H86" s="178">
        <v>851.59698500000002</v>
      </c>
      <c r="I86" s="178">
        <v>799.32952899999998</v>
      </c>
      <c r="J86" s="178">
        <v>753.59985400000005</v>
      </c>
      <c r="K86" s="178">
        <v>721.25848399999995</v>
      </c>
      <c r="L86" s="178">
        <v>697.51623500000005</v>
      </c>
      <c r="M86" s="178">
        <v>679.19909700000005</v>
      </c>
      <c r="N86" s="178">
        <v>664.92034899999999</v>
      </c>
      <c r="O86" s="178">
        <v>652.57074</v>
      </c>
      <c r="P86" s="178">
        <v>641.22314500000005</v>
      </c>
      <c r="Q86" s="178">
        <v>632.07647699999995</v>
      </c>
      <c r="R86" s="178">
        <v>623.45794699999999</v>
      </c>
      <c r="S86" s="178">
        <v>615.32428000000004</v>
      </c>
      <c r="T86" s="178">
        <v>607.84789999999998</v>
      </c>
      <c r="U86" s="178">
        <v>600.93365500000004</v>
      </c>
      <c r="V86" s="178">
        <v>594.48748799999998</v>
      </c>
      <c r="W86" s="178">
        <v>588.39471400000002</v>
      </c>
      <c r="X86" s="178">
        <v>582.69769299999996</v>
      </c>
      <c r="Y86" s="178">
        <v>577.41204800000003</v>
      </c>
      <c r="Z86" s="178">
        <v>572.49664299999995</v>
      </c>
      <c r="AA86" s="178">
        <v>567.90606700000001</v>
      </c>
      <c r="AB86" s="178">
        <v>563.61889599999995</v>
      </c>
      <c r="AC86" s="178">
        <v>559.58795199999997</v>
      </c>
      <c r="AD86" s="178">
        <v>555.80895999999996</v>
      </c>
      <c r="AE86" s="178">
        <v>552.26348900000005</v>
      </c>
      <c r="AF86" s="178">
        <v>548.93164100000001</v>
      </c>
      <c r="AG86" s="179">
        <v>-2.3E-2</v>
      </c>
    </row>
    <row r="87" spans="1:33">
      <c r="A87" s="178" t="s">
        <v>2962</v>
      </c>
    </row>
    <row r="88" spans="1:33">
      <c r="A88" s="178" t="s">
        <v>2963</v>
      </c>
      <c r="B88" s="178" t="s">
        <v>2964</v>
      </c>
      <c r="C88" s="178" t="s">
        <v>2965</v>
      </c>
      <c r="D88" s="178" t="s">
        <v>2966</v>
      </c>
      <c r="F88" s="178">
        <v>14.660724999999999</v>
      </c>
      <c r="G88" s="178">
        <v>14.47932</v>
      </c>
      <c r="H88" s="178">
        <v>13.539622</v>
      </c>
      <c r="I88" s="178">
        <v>12.501745</v>
      </c>
      <c r="J88" s="178">
        <v>12.459519999999999</v>
      </c>
      <c r="K88" s="178">
        <v>12.533541</v>
      </c>
      <c r="L88" s="178">
        <v>12.655854</v>
      </c>
      <c r="M88" s="178">
        <v>12.79153</v>
      </c>
      <c r="N88" s="178">
        <v>12.88917</v>
      </c>
      <c r="O88" s="178">
        <v>13.116578000000001</v>
      </c>
      <c r="P88" s="178">
        <v>13.132267000000001</v>
      </c>
      <c r="Q88" s="178">
        <v>13.026171</v>
      </c>
      <c r="R88" s="178">
        <v>13.029432</v>
      </c>
      <c r="S88" s="178">
        <v>13.024822</v>
      </c>
      <c r="T88" s="178">
        <v>13.013798</v>
      </c>
      <c r="U88" s="178">
        <v>12.905737</v>
      </c>
      <c r="V88" s="178">
        <v>12.819233000000001</v>
      </c>
      <c r="W88" s="178">
        <v>12.860766999999999</v>
      </c>
      <c r="X88" s="178">
        <v>12.948478</v>
      </c>
      <c r="Y88" s="178">
        <v>13.121888999999999</v>
      </c>
      <c r="Z88" s="178">
        <v>13.205757999999999</v>
      </c>
      <c r="AA88" s="178">
        <v>13.272812999999999</v>
      </c>
      <c r="AB88" s="178">
        <v>13.279309</v>
      </c>
      <c r="AC88" s="178">
        <v>13.341877999999999</v>
      </c>
      <c r="AD88" s="178">
        <v>13.308396999999999</v>
      </c>
      <c r="AE88" s="178">
        <v>13.322649999999999</v>
      </c>
      <c r="AF88" s="178">
        <v>13.292918999999999</v>
      </c>
      <c r="AG88" s="179">
        <v>-4.0000000000000001E-3</v>
      </c>
    </row>
    <row r="89" spans="1:33">
      <c r="A89" s="178" t="s">
        <v>333</v>
      </c>
      <c r="B89" s="178" t="s">
        <v>2967</v>
      </c>
      <c r="C89" s="178" t="s">
        <v>2968</v>
      </c>
      <c r="D89" s="178" t="s">
        <v>2966</v>
      </c>
      <c r="F89" s="178">
        <v>21.406419</v>
      </c>
      <c r="G89" s="178">
        <v>20.894677000000001</v>
      </c>
      <c r="H89" s="178">
        <v>18.821584999999999</v>
      </c>
      <c r="I89" s="178">
        <v>17.486322000000001</v>
      </c>
      <c r="J89" s="178">
        <v>17.284580999999999</v>
      </c>
      <c r="K89" s="178">
        <v>17.332429000000001</v>
      </c>
      <c r="L89" s="178">
        <v>17.445575000000002</v>
      </c>
      <c r="M89" s="178">
        <v>17.659478</v>
      </c>
      <c r="N89" s="178">
        <v>17.786636999999999</v>
      </c>
      <c r="O89" s="178">
        <v>18.025981000000002</v>
      </c>
      <c r="P89" s="178">
        <v>18.087261000000002</v>
      </c>
      <c r="Q89" s="178">
        <v>18.058178000000002</v>
      </c>
      <c r="R89" s="178">
        <v>18.077915000000001</v>
      </c>
      <c r="S89" s="178">
        <v>18.038933</v>
      </c>
      <c r="T89" s="178">
        <v>18.008388</v>
      </c>
      <c r="U89" s="178">
        <v>17.904356</v>
      </c>
      <c r="V89" s="178">
        <v>17.860285000000001</v>
      </c>
      <c r="W89" s="178">
        <v>17.921337000000001</v>
      </c>
      <c r="X89" s="178">
        <v>18.047402999999999</v>
      </c>
      <c r="Y89" s="178">
        <v>18.188303999999999</v>
      </c>
      <c r="Z89" s="178">
        <v>18.280470000000001</v>
      </c>
      <c r="AA89" s="178">
        <v>18.398088000000001</v>
      </c>
      <c r="AB89" s="178">
        <v>18.47851</v>
      </c>
      <c r="AC89" s="178">
        <v>18.575382999999999</v>
      </c>
      <c r="AD89" s="178">
        <v>18.601012999999998</v>
      </c>
      <c r="AE89" s="178">
        <v>18.634260999999999</v>
      </c>
      <c r="AF89" s="178">
        <v>18.651931999999999</v>
      </c>
      <c r="AG89" s="179">
        <v>-5.0000000000000001E-3</v>
      </c>
    </row>
    <row r="90" spans="1:33">
      <c r="A90" s="178" t="s">
        <v>2969</v>
      </c>
      <c r="B90" s="178" t="s">
        <v>2970</v>
      </c>
      <c r="C90" s="178" t="s">
        <v>2968</v>
      </c>
      <c r="D90" s="178" t="s">
        <v>2966</v>
      </c>
      <c r="F90" s="178">
        <v>18.915469000000002</v>
      </c>
      <c r="G90" s="178">
        <v>18.494361000000001</v>
      </c>
      <c r="H90" s="178">
        <v>16.748058</v>
      </c>
      <c r="I90" s="178">
        <v>15.598786</v>
      </c>
      <c r="J90" s="178">
        <v>15.387491000000001</v>
      </c>
      <c r="K90" s="178">
        <v>15.411830999999999</v>
      </c>
      <c r="L90" s="178">
        <v>15.483029999999999</v>
      </c>
      <c r="M90" s="178">
        <v>15.651555999999999</v>
      </c>
      <c r="N90" s="178">
        <v>15.761011</v>
      </c>
      <c r="O90" s="178">
        <v>15.963941</v>
      </c>
      <c r="P90" s="178">
        <v>16.044131</v>
      </c>
      <c r="Q90" s="178">
        <v>16.044027</v>
      </c>
      <c r="R90" s="178">
        <v>16.074539000000001</v>
      </c>
      <c r="S90" s="178">
        <v>16.049256</v>
      </c>
      <c r="T90" s="178">
        <v>16.027716999999999</v>
      </c>
      <c r="U90" s="178">
        <v>15.944241</v>
      </c>
      <c r="V90" s="178">
        <v>15.890953</v>
      </c>
      <c r="W90" s="178">
        <v>15.949241000000001</v>
      </c>
      <c r="X90" s="178">
        <v>16.076356000000001</v>
      </c>
      <c r="Y90" s="178">
        <v>16.220196999999999</v>
      </c>
      <c r="Z90" s="178">
        <v>16.330137000000001</v>
      </c>
      <c r="AA90" s="178">
        <v>16.446974999999998</v>
      </c>
      <c r="AB90" s="178">
        <v>16.533956</v>
      </c>
      <c r="AC90" s="178">
        <v>16.647703</v>
      </c>
      <c r="AD90" s="178">
        <v>16.695798</v>
      </c>
      <c r="AE90" s="178">
        <v>16.747364000000001</v>
      </c>
      <c r="AF90" s="178">
        <v>16.791399999999999</v>
      </c>
      <c r="AG90" s="179">
        <v>-5.0000000000000001E-3</v>
      </c>
    </row>
    <row r="91" spans="1:33">
      <c r="A91" s="178" t="s">
        <v>2971</v>
      </c>
      <c r="B91" s="178" t="s">
        <v>2972</v>
      </c>
      <c r="C91" s="178" t="s">
        <v>2968</v>
      </c>
      <c r="D91" s="178" t="s">
        <v>2966</v>
      </c>
      <c r="F91" s="178">
        <v>24.560234000000001</v>
      </c>
      <c r="G91" s="178">
        <v>23.65334</v>
      </c>
      <c r="H91" s="178">
        <v>20.961617</v>
      </c>
      <c r="I91" s="178">
        <v>19.246886</v>
      </c>
      <c r="J91" s="178">
        <v>18.991436</v>
      </c>
      <c r="K91" s="178">
        <v>18.994349</v>
      </c>
      <c r="L91" s="178">
        <v>19.096301</v>
      </c>
      <c r="M91" s="178">
        <v>19.288595999999998</v>
      </c>
      <c r="N91" s="178">
        <v>19.346433000000001</v>
      </c>
      <c r="O91" s="178">
        <v>19.542026</v>
      </c>
      <c r="P91" s="178">
        <v>19.505562999999999</v>
      </c>
      <c r="Q91" s="178">
        <v>19.382211999999999</v>
      </c>
      <c r="R91" s="178">
        <v>19.341442000000001</v>
      </c>
      <c r="S91" s="178">
        <v>19.236585000000002</v>
      </c>
      <c r="T91" s="178">
        <v>19.152076000000001</v>
      </c>
      <c r="U91" s="178">
        <v>18.982410000000002</v>
      </c>
      <c r="V91" s="178">
        <v>18.923145000000002</v>
      </c>
      <c r="W91" s="178">
        <v>18.947120999999999</v>
      </c>
      <c r="X91" s="178">
        <v>19.024059000000001</v>
      </c>
      <c r="Y91" s="178">
        <v>19.112776</v>
      </c>
      <c r="Z91" s="178">
        <v>19.133858</v>
      </c>
      <c r="AA91" s="178">
        <v>19.210448</v>
      </c>
      <c r="AB91" s="178">
        <v>19.242525000000001</v>
      </c>
      <c r="AC91" s="178">
        <v>19.275586000000001</v>
      </c>
      <c r="AD91" s="178">
        <v>19.235341999999999</v>
      </c>
      <c r="AE91" s="178">
        <v>19.213842</v>
      </c>
      <c r="AF91" s="178">
        <v>19.162220999999999</v>
      </c>
      <c r="AG91" s="179">
        <v>-0.01</v>
      </c>
    </row>
    <row r="92" spans="1:33">
      <c r="A92" s="178" t="s">
        <v>2973</v>
      </c>
      <c r="B92" s="178" t="s">
        <v>2974</v>
      </c>
      <c r="C92" s="178" t="s">
        <v>2968</v>
      </c>
      <c r="D92" s="178" t="s">
        <v>2966</v>
      </c>
      <c r="F92" s="178">
        <v>32.392367999999998</v>
      </c>
      <c r="G92" s="178">
        <v>31.175576</v>
      </c>
      <c r="H92" s="178">
        <v>27.621338000000002</v>
      </c>
      <c r="I92" s="178">
        <v>25.355183</v>
      </c>
      <c r="J92" s="178">
        <v>25.018739</v>
      </c>
      <c r="K92" s="178">
        <v>25.021774000000001</v>
      </c>
      <c r="L92" s="178">
        <v>25.157150000000001</v>
      </c>
      <c r="M92" s="178">
        <v>25.409141999999999</v>
      </c>
      <c r="N92" s="178">
        <v>25.478199</v>
      </c>
      <c r="O92" s="178">
        <v>25.725657999999999</v>
      </c>
      <c r="P92" s="178">
        <v>25.6675</v>
      </c>
      <c r="Q92" s="178">
        <v>25.497035</v>
      </c>
      <c r="R92" s="178">
        <v>25.434052000000001</v>
      </c>
      <c r="S92" s="178">
        <v>25.300881</v>
      </c>
      <c r="T92" s="178">
        <v>25.193921</v>
      </c>
      <c r="U92" s="178">
        <v>24.978705999999999</v>
      </c>
      <c r="V92" s="178">
        <v>24.923964000000002</v>
      </c>
      <c r="W92" s="178">
        <v>24.959510000000002</v>
      </c>
      <c r="X92" s="178">
        <v>25.053393</v>
      </c>
      <c r="Y92" s="178">
        <v>25.160581000000001</v>
      </c>
      <c r="Z92" s="178">
        <v>25.174085999999999</v>
      </c>
      <c r="AA92" s="178">
        <v>25.273709</v>
      </c>
      <c r="AB92" s="178">
        <v>25.316188</v>
      </c>
      <c r="AC92" s="178">
        <v>25.346585000000001</v>
      </c>
      <c r="AD92" s="178">
        <v>25.289458</v>
      </c>
      <c r="AE92" s="178">
        <v>25.253147999999999</v>
      </c>
      <c r="AF92" s="178">
        <v>25.178395999999999</v>
      </c>
      <c r="AG92" s="179">
        <v>-0.01</v>
      </c>
    </row>
    <row r="93" spans="1:33">
      <c r="A93" s="178" t="s">
        <v>2975</v>
      </c>
      <c r="B93" s="178" t="s">
        <v>2976</v>
      </c>
      <c r="C93" s="178" t="s">
        <v>2977</v>
      </c>
      <c r="D93" s="178" t="s">
        <v>2966</v>
      </c>
      <c r="F93" s="178">
        <v>17.499977999999999</v>
      </c>
      <c r="G93" s="178">
        <v>16.868295</v>
      </c>
      <c r="H93" s="178">
        <v>14.858658</v>
      </c>
      <c r="I93" s="178">
        <v>13.690975</v>
      </c>
      <c r="J93" s="178">
        <v>13.510317000000001</v>
      </c>
      <c r="K93" s="178">
        <v>13.550777</v>
      </c>
      <c r="L93" s="178">
        <v>13.650695000000001</v>
      </c>
      <c r="M93" s="178">
        <v>13.814605999999999</v>
      </c>
      <c r="N93" s="178">
        <v>13.887226</v>
      </c>
      <c r="O93" s="178">
        <v>14.057883</v>
      </c>
      <c r="P93" s="178">
        <v>14.094117000000001</v>
      </c>
      <c r="Q93" s="178">
        <v>14.088540999999999</v>
      </c>
      <c r="R93" s="178">
        <v>14.142582000000001</v>
      </c>
      <c r="S93" s="178">
        <v>14.072425000000001</v>
      </c>
      <c r="T93" s="178">
        <v>14.010379</v>
      </c>
      <c r="U93" s="178">
        <v>13.850702</v>
      </c>
      <c r="V93" s="178">
        <v>13.739597</v>
      </c>
      <c r="W93" s="178">
        <v>13.741968</v>
      </c>
      <c r="X93" s="178">
        <v>13.801117</v>
      </c>
      <c r="Y93" s="178">
        <v>13.910145</v>
      </c>
      <c r="Z93" s="178">
        <v>13.958562000000001</v>
      </c>
      <c r="AA93" s="178">
        <v>14.029273999999999</v>
      </c>
      <c r="AB93" s="178">
        <v>14.033215</v>
      </c>
      <c r="AC93" s="178">
        <v>14.086240999999999</v>
      </c>
      <c r="AD93" s="178">
        <v>14.057613</v>
      </c>
      <c r="AE93" s="178">
        <v>14.07015</v>
      </c>
      <c r="AF93" s="178">
        <v>14.052716</v>
      </c>
      <c r="AG93" s="179">
        <v>-8.0000000000000002E-3</v>
      </c>
    </row>
    <row r="94" spans="1:33">
      <c r="A94" s="178" t="s">
        <v>340</v>
      </c>
      <c r="B94" s="178" t="s">
        <v>2978</v>
      </c>
      <c r="C94" s="178" t="s">
        <v>2977</v>
      </c>
      <c r="D94" s="178" t="s">
        <v>2966</v>
      </c>
      <c r="F94" s="178">
        <v>17.109794999999998</v>
      </c>
      <c r="G94" s="178">
        <v>16.165376999999999</v>
      </c>
      <c r="H94" s="178">
        <v>14.333702000000001</v>
      </c>
      <c r="I94" s="178">
        <v>13.116031</v>
      </c>
      <c r="J94" s="178">
        <v>12.958225000000001</v>
      </c>
      <c r="K94" s="178">
        <v>12.986746999999999</v>
      </c>
      <c r="L94" s="178">
        <v>13.083360000000001</v>
      </c>
      <c r="M94" s="178">
        <v>13.197463000000001</v>
      </c>
      <c r="N94" s="178">
        <v>13.253920000000001</v>
      </c>
      <c r="O94" s="178">
        <v>13.438112</v>
      </c>
      <c r="P94" s="178">
        <v>13.430469</v>
      </c>
      <c r="Q94" s="178">
        <v>13.314503</v>
      </c>
      <c r="R94" s="178">
        <v>13.323175000000001</v>
      </c>
      <c r="S94" s="178">
        <v>13.323256000000001</v>
      </c>
      <c r="T94" s="178">
        <v>13.299072000000001</v>
      </c>
      <c r="U94" s="178">
        <v>13.205408</v>
      </c>
      <c r="V94" s="178">
        <v>13.172117</v>
      </c>
      <c r="W94" s="178">
        <v>13.215064</v>
      </c>
      <c r="X94" s="178">
        <v>13.264645</v>
      </c>
      <c r="Y94" s="178">
        <v>13.397519000000001</v>
      </c>
      <c r="Z94" s="178">
        <v>13.428667000000001</v>
      </c>
      <c r="AA94" s="178">
        <v>13.513114</v>
      </c>
      <c r="AB94" s="178">
        <v>13.536572</v>
      </c>
      <c r="AC94" s="178">
        <v>13.570066000000001</v>
      </c>
      <c r="AD94" s="178">
        <v>13.520778</v>
      </c>
      <c r="AE94" s="178">
        <v>13.503270000000001</v>
      </c>
      <c r="AF94" s="178">
        <v>13.441691</v>
      </c>
      <c r="AG94" s="179">
        <v>-8.9999999999999993E-3</v>
      </c>
    </row>
    <row r="95" spans="1:33">
      <c r="A95" s="178" t="s">
        <v>338</v>
      </c>
      <c r="B95" s="178" t="s">
        <v>2979</v>
      </c>
      <c r="C95" s="178" t="s">
        <v>2977</v>
      </c>
      <c r="D95" s="178" t="s">
        <v>2966</v>
      </c>
      <c r="F95" s="178">
        <v>17.561288999999999</v>
      </c>
      <c r="G95" s="178">
        <v>17.024719999999999</v>
      </c>
      <c r="H95" s="178">
        <v>14.998709</v>
      </c>
      <c r="I95" s="178">
        <v>13.865487999999999</v>
      </c>
      <c r="J95" s="178">
        <v>13.694796999999999</v>
      </c>
      <c r="K95" s="178">
        <v>13.753669</v>
      </c>
      <c r="L95" s="178">
        <v>13.866458</v>
      </c>
      <c r="M95" s="178">
        <v>14.061038</v>
      </c>
      <c r="N95" s="178">
        <v>14.151945</v>
      </c>
      <c r="O95" s="178">
        <v>14.327889000000001</v>
      </c>
      <c r="P95" s="178">
        <v>14.392894</v>
      </c>
      <c r="Q95" s="178">
        <v>14.448506</v>
      </c>
      <c r="R95" s="178">
        <v>14.535325</v>
      </c>
      <c r="S95" s="178">
        <v>14.441808999999999</v>
      </c>
      <c r="T95" s="178">
        <v>14.369104999999999</v>
      </c>
      <c r="U95" s="178">
        <v>14.182898</v>
      </c>
      <c r="V95" s="178">
        <v>14.037635999999999</v>
      </c>
      <c r="W95" s="178">
        <v>14.023992</v>
      </c>
      <c r="X95" s="178">
        <v>14.093598</v>
      </c>
      <c r="Y95" s="178">
        <v>14.194001999999999</v>
      </c>
      <c r="Z95" s="178">
        <v>14.256455000000001</v>
      </c>
      <c r="AA95" s="178">
        <v>14.322983000000001</v>
      </c>
      <c r="AB95" s="178">
        <v>14.319469</v>
      </c>
      <c r="AC95" s="178">
        <v>14.387855</v>
      </c>
      <c r="AD95" s="178">
        <v>14.374874999999999</v>
      </c>
      <c r="AE95" s="178">
        <v>14.408455</v>
      </c>
      <c r="AF95" s="178">
        <v>14.418906</v>
      </c>
      <c r="AG95" s="179">
        <v>-8.0000000000000002E-3</v>
      </c>
    </row>
    <row r="96" spans="1:33">
      <c r="A96" s="178" t="s">
        <v>339</v>
      </c>
      <c r="B96" s="178" t="s">
        <v>2980</v>
      </c>
      <c r="C96" s="178" t="s">
        <v>2977</v>
      </c>
      <c r="D96" s="178" t="s">
        <v>2966</v>
      </c>
      <c r="F96" s="178">
        <v>12.941013</v>
      </c>
      <c r="G96" s="178">
        <v>12.624143999999999</v>
      </c>
      <c r="H96" s="178">
        <v>11.719846</v>
      </c>
      <c r="I96" s="178">
        <v>11.091652</v>
      </c>
      <c r="J96" s="178">
        <v>11.041523</v>
      </c>
      <c r="K96" s="178">
        <v>11.135455</v>
      </c>
      <c r="L96" s="178">
        <v>11.261929</v>
      </c>
      <c r="M96" s="178">
        <v>11.467452</v>
      </c>
      <c r="N96" s="178">
        <v>11.591284</v>
      </c>
      <c r="O96" s="178">
        <v>11.827546</v>
      </c>
      <c r="P96" s="178">
        <v>11.914558</v>
      </c>
      <c r="Q96" s="178">
        <v>11.840052999999999</v>
      </c>
      <c r="R96" s="178">
        <v>11.800545</v>
      </c>
      <c r="S96" s="178">
        <v>11.73856</v>
      </c>
      <c r="T96" s="178">
        <v>11.673352</v>
      </c>
      <c r="U96" s="178">
        <v>11.557297999999999</v>
      </c>
      <c r="V96" s="178">
        <v>11.491102</v>
      </c>
      <c r="W96" s="178">
        <v>11.510795</v>
      </c>
      <c r="X96" s="178">
        <v>11.566348</v>
      </c>
      <c r="Y96" s="178">
        <v>11.638818000000001</v>
      </c>
      <c r="Z96" s="178">
        <v>11.67062</v>
      </c>
      <c r="AA96" s="178">
        <v>11.73199</v>
      </c>
      <c r="AB96" s="178">
        <v>11.780459</v>
      </c>
      <c r="AC96" s="178">
        <v>11.801879</v>
      </c>
      <c r="AD96" s="178">
        <v>11.767419</v>
      </c>
      <c r="AE96" s="178">
        <v>11.731590000000001</v>
      </c>
      <c r="AF96" s="178">
        <v>11.686546</v>
      </c>
      <c r="AG96" s="179">
        <v>-4.0000000000000001E-3</v>
      </c>
    </row>
    <row r="97" spans="1:33">
      <c r="A97" s="178" t="s">
        <v>2981</v>
      </c>
      <c r="B97" s="178" t="s">
        <v>2982</v>
      </c>
      <c r="C97" s="178" t="s">
        <v>2983</v>
      </c>
      <c r="D97" s="178" t="s">
        <v>2966</v>
      </c>
      <c r="F97" s="178">
        <v>18.392759999999999</v>
      </c>
      <c r="G97" s="178">
        <v>17.964400000000001</v>
      </c>
      <c r="H97" s="178">
        <v>16.773347000000001</v>
      </c>
      <c r="I97" s="178">
        <v>15.913226999999999</v>
      </c>
      <c r="J97" s="178">
        <v>15.843658</v>
      </c>
      <c r="K97" s="178">
        <v>15.975294999999999</v>
      </c>
      <c r="L97" s="178">
        <v>16.123283000000001</v>
      </c>
      <c r="M97" s="178">
        <v>16.242621</v>
      </c>
      <c r="N97" s="178">
        <v>16.119142</v>
      </c>
      <c r="O97" s="178">
        <v>16.181032999999999</v>
      </c>
      <c r="P97" s="178">
        <v>15.929745</v>
      </c>
      <c r="Q97" s="178">
        <v>15.355148</v>
      </c>
      <c r="R97" s="178">
        <v>14.820855999999999</v>
      </c>
      <c r="S97" s="178">
        <v>14.332749</v>
      </c>
      <c r="T97" s="178">
        <v>13.900952</v>
      </c>
      <c r="U97" s="178">
        <v>13.469419</v>
      </c>
      <c r="V97" s="178">
        <v>13.144062</v>
      </c>
      <c r="W97" s="178">
        <v>12.936470999999999</v>
      </c>
      <c r="X97" s="178">
        <v>12.805147</v>
      </c>
      <c r="Y97" s="178">
        <v>12.721908000000001</v>
      </c>
      <c r="Z97" s="178">
        <v>12.632145</v>
      </c>
      <c r="AA97" s="178">
        <v>12.598369</v>
      </c>
      <c r="AB97" s="178">
        <v>12.569184</v>
      </c>
      <c r="AC97" s="178">
        <v>12.521887</v>
      </c>
      <c r="AD97" s="178">
        <v>12.426758</v>
      </c>
      <c r="AE97" s="178">
        <v>12.339561</v>
      </c>
      <c r="AF97" s="178">
        <v>12.250221</v>
      </c>
      <c r="AG97" s="179">
        <v>-1.6E-2</v>
      </c>
    </row>
    <row r="98" spans="1:33">
      <c r="A98" s="178" t="s">
        <v>2984</v>
      </c>
      <c r="B98" s="178" t="s">
        <v>2985</v>
      </c>
      <c r="C98" s="178" t="s">
        <v>2983</v>
      </c>
      <c r="D98" s="178" t="s">
        <v>2966</v>
      </c>
      <c r="F98" s="178">
        <v>12.941013</v>
      </c>
      <c r="G98" s="178">
        <v>12.624143999999999</v>
      </c>
      <c r="H98" s="178">
        <v>11.719846</v>
      </c>
      <c r="I98" s="178">
        <v>11.091652</v>
      </c>
      <c r="J98" s="178">
        <v>11.041523</v>
      </c>
      <c r="K98" s="178">
        <v>11.135455</v>
      </c>
      <c r="L98" s="178">
        <v>11.261929</v>
      </c>
      <c r="M98" s="178">
        <v>11.467452</v>
      </c>
      <c r="N98" s="178">
        <v>11.591284</v>
      </c>
      <c r="O98" s="178">
        <v>11.827546</v>
      </c>
      <c r="P98" s="178">
        <v>11.914558</v>
      </c>
      <c r="Q98" s="178">
        <v>11.840052999999999</v>
      </c>
      <c r="R98" s="178">
        <v>11.800545</v>
      </c>
      <c r="S98" s="178">
        <v>11.73856</v>
      </c>
      <c r="T98" s="178">
        <v>11.673352</v>
      </c>
      <c r="U98" s="178">
        <v>11.557297999999999</v>
      </c>
      <c r="V98" s="178">
        <v>11.491102</v>
      </c>
      <c r="W98" s="178">
        <v>11.510795</v>
      </c>
      <c r="X98" s="178">
        <v>11.566348</v>
      </c>
      <c r="Y98" s="178">
        <v>11.638818000000001</v>
      </c>
      <c r="Z98" s="178">
        <v>11.67062</v>
      </c>
      <c r="AA98" s="178">
        <v>11.73199</v>
      </c>
      <c r="AB98" s="178">
        <v>11.780459</v>
      </c>
      <c r="AC98" s="178">
        <v>11.801879</v>
      </c>
      <c r="AD98" s="178">
        <v>11.767419</v>
      </c>
      <c r="AE98" s="178">
        <v>11.731590000000001</v>
      </c>
      <c r="AF98" s="178">
        <v>11.686546</v>
      </c>
      <c r="AG98" s="179">
        <v>-4.0000000000000001E-3</v>
      </c>
    </row>
    <row r="99" spans="1:33">
      <c r="A99" s="178" t="s">
        <v>2986</v>
      </c>
      <c r="B99" s="178" t="s">
        <v>2987</v>
      </c>
      <c r="C99" s="178" t="s">
        <v>2983</v>
      </c>
      <c r="D99" s="178" t="s">
        <v>2966</v>
      </c>
      <c r="F99" s="178">
        <v>24.149308999999999</v>
      </c>
      <c r="G99" s="178">
        <v>23.538983999999999</v>
      </c>
      <c r="H99" s="178">
        <v>22.020655000000001</v>
      </c>
      <c r="I99" s="178">
        <v>20.899756</v>
      </c>
      <c r="J99" s="178">
        <v>20.810403000000001</v>
      </c>
      <c r="K99" s="178">
        <v>21.018688999999998</v>
      </c>
      <c r="L99" s="178">
        <v>21.265512999999999</v>
      </c>
      <c r="M99" s="178">
        <v>21.630918000000001</v>
      </c>
      <c r="N99" s="178">
        <v>21.821584999999999</v>
      </c>
      <c r="O99" s="178">
        <v>22.191970999999999</v>
      </c>
      <c r="P99" s="178">
        <v>22.233132000000001</v>
      </c>
      <c r="Q99" s="178">
        <v>21.968354000000001</v>
      </c>
      <c r="R99" s="178">
        <v>21.82507</v>
      </c>
      <c r="S99" s="178">
        <v>21.729991999999999</v>
      </c>
      <c r="T99" s="178">
        <v>21.668022000000001</v>
      </c>
      <c r="U99" s="178">
        <v>21.554518999999999</v>
      </c>
      <c r="V99" s="178">
        <v>21.546306999999999</v>
      </c>
      <c r="W99" s="178">
        <v>21.653545000000001</v>
      </c>
      <c r="X99" s="178">
        <v>21.818480999999998</v>
      </c>
      <c r="Y99" s="178">
        <v>21.973880999999999</v>
      </c>
      <c r="Z99" s="178">
        <v>22.062764000000001</v>
      </c>
      <c r="AA99" s="178">
        <v>22.223499</v>
      </c>
      <c r="AB99" s="178">
        <v>22.378456</v>
      </c>
      <c r="AC99" s="178">
        <v>22.459212000000001</v>
      </c>
      <c r="AD99" s="178">
        <v>22.427599000000001</v>
      </c>
      <c r="AE99" s="178">
        <v>22.37236</v>
      </c>
      <c r="AF99" s="178">
        <v>22.297429000000001</v>
      </c>
      <c r="AG99" s="179">
        <v>-3.0000000000000001E-3</v>
      </c>
    </row>
    <row r="100" spans="1:33">
      <c r="A100" s="178" t="s">
        <v>2988</v>
      </c>
    </row>
    <row r="101" spans="1:33">
      <c r="A101" s="178" t="s">
        <v>2984</v>
      </c>
      <c r="B101" s="178" t="s">
        <v>2989</v>
      </c>
      <c r="C101" s="178" t="s">
        <v>2990</v>
      </c>
      <c r="D101" s="178" t="s">
        <v>2966</v>
      </c>
      <c r="F101" s="178">
        <v>12.941013</v>
      </c>
      <c r="G101" s="178">
        <v>12.624143999999999</v>
      </c>
      <c r="H101" s="178">
        <v>11.719846</v>
      </c>
      <c r="I101" s="178">
        <v>11.091652</v>
      </c>
      <c r="J101" s="178">
        <v>11.041523</v>
      </c>
      <c r="K101" s="178">
        <v>11.135455</v>
      </c>
      <c r="L101" s="178">
        <v>11.261929</v>
      </c>
      <c r="M101" s="178">
        <v>11.467452</v>
      </c>
      <c r="N101" s="178">
        <v>11.591284</v>
      </c>
      <c r="O101" s="178">
        <v>11.827546</v>
      </c>
      <c r="P101" s="178">
        <v>11.914558</v>
      </c>
      <c r="Q101" s="178">
        <v>11.840052999999999</v>
      </c>
      <c r="R101" s="178">
        <v>11.800545</v>
      </c>
      <c r="S101" s="178">
        <v>11.73856</v>
      </c>
      <c r="T101" s="178">
        <v>11.673352</v>
      </c>
      <c r="U101" s="178">
        <v>11.557297999999999</v>
      </c>
      <c r="V101" s="178">
        <v>11.491102</v>
      </c>
      <c r="W101" s="178">
        <v>11.510795</v>
      </c>
      <c r="X101" s="178">
        <v>11.566348</v>
      </c>
      <c r="Y101" s="178">
        <v>11.638818000000001</v>
      </c>
      <c r="Z101" s="178">
        <v>11.67062</v>
      </c>
      <c r="AA101" s="178">
        <v>11.73199</v>
      </c>
      <c r="AB101" s="178">
        <v>11.780459</v>
      </c>
      <c r="AC101" s="178">
        <v>11.801879</v>
      </c>
      <c r="AD101" s="178">
        <v>11.767419</v>
      </c>
      <c r="AE101" s="178">
        <v>11.731590000000001</v>
      </c>
      <c r="AF101" s="178">
        <v>11.686546</v>
      </c>
      <c r="AG101" s="179">
        <v>-4.0000000000000001E-3</v>
      </c>
    </row>
    <row r="102" spans="1:33">
      <c r="A102" s="178" t="s">
        <v>2986</v>
      </c>
      <c r="B102" s="178" t="s">
        <v>2991</v>
      </c>
      <c r="C102" s="178" t="s">
        <v>2990</v>
      </c>
      <c r="D102" s="178" t="s">
        <v>2966</v>
      </c>
      <c r="F102" s="178">
        <v>24.149308999999999</v>
      </c>
      <c r="G102" s="178">
        <v>23.538983999999999</v>
      </c>
      <c r="H102" s="178">
        <v>22.020655000000001</v>
      </c>
      <c r="I102" s="178">
        <v>20.899756</v>
      </c>
      <c r="J102" s="178">
        <v>20.810403000000001</v>
      </c>
      <c r="K102" s="178">
        <v>21.018688999999998</v>
      </c>
      <c r="L102" s="178">
        <v>21.265512999999999</v>
      </c>
      <c r="M102" s="178">
        <v>21.630918000000001</v>
      </c>
      <c r="N102" s="178">
        <v>21.821584999999999</v>
      </c>
      <c r="O102" s="178">
        <v>22.191970999999999</v>
      </c>
      <c r="P102" s="178">
        <v>22.233132000000001</v>
      </c>
      <c r="Q102" s="178">
        <v>21.968354000000001</v>
      </c>
      <c r="R102" s="178">
        <v>21.82507</v>
      </c>
      <c r="S102" s="178">
        <v>21.729991999999999</v>
      </c>
      <c r="T102" s="178">
        <v>21.668022000000001</v>
      </c>
      <c r="U102" s="178">
        <v>21.554518999999999</v>
      </c>
      <c r="V102" s="178">
        <v>21.546306999999999</v>
      </c>
      <c r="W102" s="178">
        <v>21.653545000000001</v>
      </c>
      <c r="X102" s="178">
        <v>21.818480999999998</v>
      </c>
      <c r="Y102" s="178">
        <v>21.973880999999999</v>
      </c>
      <c r="Z102" s="178">
        <v>22.062764000000001</v>
      </c>
      <c r="AA102" s="178">
        <v>22.223499</v>
      </c>
      <c r="AB102" s="178">
        <v>22.378456</v>
      </c>
      <c r="AC102" s="178">
        <v>22.459212000000001</v>
      </c>
      <c r="AD102" s="178">
        <v>22.427599000000001</v>
      </c>
      <c r="AE102" s="178">
        <v>22.37236</v>
      </c>
      <c r="AF102" s="178">
        <v>22.297429000000001</v>
      </c>
      <c r="AG102" s="179">
        <v>-3.0000000000000001E-3</v>
      </c>
    </row>
    <row r="103" spans="1:33">
      <c r="A103" s="178" t="s">
        <v>2992</v>
      </c>
      <c r="B103" s="178" t="s">
        <v>2993</v>
      </c>
      <c r="C103" s="178" t="s">
        <v>2994</v>
      </c>
      <c r="D103" s="178" t="s">
        <v>2995</v>
      </c>
      <c r="F103" s="178">
        <v>8.2315170000000002</v>
      </c>
      <c r="G103" s="178">
        <v>8.356859</v>
      </c>
      <c r="H103" s="178">
        <v>8.3182880000000008</v>
      </c>
      <c r="I103" s="178">
        <v>8.2909299999999995</v>
      </c>
      <c r="J103" s="178">
        <v>8.3077780000000008</v>
      </c>
      <c r="K103" s="178">
        <v>8.3374550000000003</v>
      </c>
      <c r="L103" s="178">
        <v>8.3757319999999993</v>
      </c>
      <c r="M103" s="178">
        <v>8.4028349999999996</v>
      </c>
      <c r="N103" s="178">
        <v>8.4641330000000004</v>
      </c>
      <c r="O103" s="178">
        <v>8.4959319999999998</v>
      </c>
      <c r="P103" s="178">
        <v>8.5403179999999992</v>
      </c>
      <c r="Q103" s="178">
        <v>8.5279729999999994</v>
      </c>
      <c r="R103" s="178">
        <v>8.5055169999999993</v>
      </c>
      <c r="S103" s="178">
        <v>8.4888680000000001</v>
      </c>
      <c r="T103" s="178">
        <v>8.483689</v>
      </c>
      <c r="U103" s="178">
        <v>8.4763900000000003</v>
      </c>
      <c r="V103" s="178">
        <v>8.4840520000000001</v>
      </c>
      <c r="W103" s="178">
        <v>8.5093599999999991</v>
      </c>
      <c r="X103" s="178">
        <v>8.5356719999999999</v>
      </c>
      <c r="Y103" s="178">
        <v>8.5486109999999993</v>
      </c>
      <c r="Z103" s="178">
        <v>8.5571140000000003</v>
      </c>
      <c r="AA103" s="178">
        <v>8.5607380000000006</v>
      </c>
      <c r="AB103" s="178">
        <v>8.5608299999999993</v>
      </c>
      <c r="AC103" s="178">
        <v>8.5542350000000003</v>
      </c>
      <c r="AD103" s="178">
        <v>8.5512890000000006</v>
      </c>
      <c r="AE103" s="178">
        <v>8.5480119999999999</v>
      </c>
      <c r="AF103" s="178">
        <v>8.5461880000000008</v>
      </c>
      <c r="AG103" s="179">
        <v>1E-3</v>
      </c>
    </row>
    <row r="104" spans="1:33">
      <c r="A104" s="178" t="s">
        <v>2996</v>
      </c>
    </row>
    <row r="105" spans="1:33">
      <c r="A105" s="178" t="s">
        <v>316</v>
      </c>
    </row>
    <row r="106" spans="1:33">
      <c r="A106" s="178" t="s">
        <v>312</v>
      </c>
      <c r="B106" s="178" t="s">
        <v>2997</v>
      </c>
      <c r="C106" s="178" t="s">
        <v>2998</v>
      </c>
      <c r="D106" s="178" t="s">
        <v>2999</v>
      </c>
      <c r="F106" s="178">
        <v>17.766323</v>
      </c>
      <c r="G106" s="178">
        <v>17.970210999999999</v>
      </c>
      <c r="H106" s="178">
        <v>17.959671</v>
      </c>
      <c r="I106" s="178">
        <v>17.85622</v>
      </c>
      <c r="J106" s="178">
        <v>17.812985999999999</v>
      </c>
      <c r="K106" s="178">
        <v>17.876345000000001</v>
      </c>
      <c r="L106" s="178">
        <v>17.945992</v>
      </c>
      <c r="M106" s="178">
        <v>17.996148999999999</v>
      </c>
      <c r="N106" s="178">
        <v>18.214977000000001</v>
      </c>
      <c r="O106" s="178">
        <v>18.394098</v>
      </c>
      <c r="P106" s="178">
        <v>18.492505999999999</v>
      </c>
      <c r="Q106" s="178">
        <v>19.302897999999999</v>
      </c>
      <c r="R106" s="178">
        <v>19.313524000000001</v>
      </c>
      <c r="S106" s="178">
        <v>19.199712999999999</v>
      </c>
      <c r="T106" s="178">
        <v>19.099436000000001</v>
      </c>
      <c r="U106" s="178">
        <v>19.006401</v>
      </c>
      <c r="V106" s="178">
        <v>18.972618000000001</v>
      </c>
      <c r="W106" s="178">
        <v>19.015931999999999</v>
      </c>
      <c r="X106" s="178">
        <v>19.059194999999999</v>
      </c>
      <c r="Y106" s="178">
        <v>19.089003000000002</v>
      </c>
      <c r="Z106" s="178">
        <v>19.078462999999999</v>
      </c>
      <c r="AA106" s="178">
        <v>19.073222999999999</v>
      </c>
      <c r="AB106" s="178">
        <v>19.035549</v>
      </c>
      <c r="AC106" s="178">
        <v>18.976642999999999</v>
      </c>
      <c r="AD106" s="178">
        <v>18.914947999999999</v>
      </c>
      <c r="AE106" s="178">
        <v>18.991773999999999</v>
      </c>
      <c r="AF106" s="178">
        <v>18.961599</v>
      </c>
      <c r="AG106" s="179">
        <v>3.0000000000000001E-3</v>
      </c>
    </row>
    <row r="107" spans="1:33">
      <c r="A107" s="178" t="s">
        <v>2986</v>
      </c>
      <c r="B107" s="178" t="s">
        <v>3000</v>
      </c>
      <c r="C107" s="178" t="s">
        <v>3001</v>
      </c>
      <c r="D107" s="178" t="s">
        <v>2999</v>
      </c>
      <c r="F107" s="178">
        <v>19.777598999999999</v>
      </c>
      <c r="G107" s="178">
        <v>19.960829</v>
      </c>
      <c r="H107" s="178">
        <v>19.863551999999999</v>
      </c>
      <c r="I107" s="178">
        <v>19.700586000000001</v>
      </c>
      <c r="J107" s="178">
        <v>19.63954</v>
      </c>
      <c r="K107" s="178">
        <v>19.690778999999999</v>
      </c>
      <c r="L107" s="178">
        <v>19.757977</v>
      </c>
      <c r="M107" s="178">
        <v>19.798511999999999</v>
      </c>
      <c r="N107" s="178">
        <v>20.007479</v>
      </c>
      <c r="O107" s="178">
        <v>20.204947000000001</v>
      </c>
      <c r="P107" s="178">
        <v>20.307542999999999</v>
      </c>
      <c r="Q107" s="178">
        <v>20.827048999999999</v>
      </c>
      <c r="R107" s="178">
        <v>20.821225999999999</v>
      </c>
      <c r="S107" s="178">
        <v>20.723355999999999</v>
      </c>
      <c r="T107" s="178">
        <v>20.637675999999999</v>
      </c>
      <c r="U107" s="178">
        <v>20.552267000000001</v>
      </c>
      <c r="V107" s="178">
        <v>20.518706999999999</v>
      </c>
      <c r="W107" s="178">
        <v>20.559086000000001</v>
      </c>
      <c r="X107" s="178">
        <v>20.594023</v>
      </c>
      <c r="Y107" s="178">
        <v>20.612739999999999</v>
      </c>
      <c r="Z107" s="178">
        <v>20.589821000000001</v>
      </c>
      <c r="AA107" s="178">
        <v>20.572635999999999</v>
      </c>
      <c r="AB107" s="178">
        <v>20.518937999999999</v>
      </c>
      <c r="AC107" s="178">
        <v>20.441102999999998</v>
      </c>
      <c r="AD107" s="178">
        <v>20.358809000000001</v>
      </c>
      <c r="AE107" s="178">
        <v>20.404717999999999</v>
      </c>
      <c r="AF107" s="178">
        <v>20.358135000000001</v>
      </c>
      <c r="AG107" s="179">
        <v>1E-3</v>
      </c>
    </row>
    <row r="108" spans="1:33">
      <c r="A108" s="178" t="s">
        <v>2984</v>
      </c>
      <c r="B108" s="178" t="s">
        <v>3002</v>
      </c>
      <c r="C108" s="178" t="s">
        <v>3003</v>
      </c>
      <c r="D108" s="178" t="s">
        <v>2999</v>
      </c>
      <c r="F108" s="178">
        <v>17.562643000000001</v>
      </c>
      <c r="G108" s="178">
        <v>17.663405999999998</v>
      </c>
      <c r="H108" s="178">
        <v>17.567457000000001</v>
      </c>
      <c r="I108" s="178">
        <v>17.382929000000001</v>
      </c>
      <c r="J108" s="178">
        <v>17.291913999999998</v>
      </c>
      <c r="K108" s="178">
        <v>17.307409</v>
      </c>
      <c r="L108" s="178">
        <v>17.343654999999998</v>
      </c>
      <c r="M108" s="178">
        <v>17.378972999999998</v>
      </c>
      <c r="N108" s="178">
        <v>17.587420999999999</v>
      </c>
      <c r="O108" s="178">
        <v>17.754463000000001</v>
      </c>
      <c r="P108" s="178">
        <v>17.843942999999999</v>
      </c>
      <c r="Q108" s="178">
        <v>18.745529000000001</v>
      </c>
      <c r="R108" s="178">
        <v>18.747879000000001</v>
      </c>
      <c r="S108" s="178">
        <v>18.610184</v>
      </c>
      <c r="T108" s="178">
        <v>18.480103</v>
      </c>
      <c r="U108" s="178">
        <v>18.357793999999998</v>
      </c>
      <c r="V108" s="178">
        <v>18.290929999999999</v>
      </c>
      <c r="W108" s="178">
        <v>18.293406000000001</v>
      </c>
      <c r="X108" s="178">
        <v>18.292567999999999</v>
      </c>
      <c r="Y108" s="178">
        <v>18.276505</v>
      </c>
      <c r="Z108" s="178">
        <v>18.221741000000002</v>
      </c>
      <c r="AA108" s="178">
        <v>18.169429999999998</v>
      </c>
      <c r="AB108" s="178">
        <v>18.083389</v>
      </c>
      <c r="AC108" s="178">
        <v>17.971112999999999</v>
      </c>
      <c r="AD108" s="178">
        <v>17.858927000000001</v>
      </c>
      <c r="AE108" s="178">
        <v>17.892932999999999</v>
      </c>
      <c r="AF108" s="178">
        <v>17.811951000000001</v>
      </c>
      <c r="AG108" s="179">
        <v>1E-3</v>
      </c>
    </row>
    <row r="109" spans="1:33">
      <c r="A109" s="178" t="s">
        <v>3004</v>
      </c>
      <c r="B109" s="178" t="s">
        <v>3005</v>
      </c>
      <c r="C109" s="178" t="s">
        <v>3006</v>
      </c>
      <c r="D109" s="178" t="s">
        <v>2999</v>
      </c>
      <c r="F109" s="178">
        <v>0</v>
      </c>
      <c r="G109" s="178">
        <v>0</v>
      </c>
      <c r="H109" s="178">
        <v>0</v>
      </c>
      <c r="I109" s="178">
        <v>0</v>
      </c>
      <c r="J109" s="178">
        <v>0</v>
      </c>
      <c r="K109" s="178">
        <v>0</v>
      </c>
      <c r="L109" s="178">
        <v>0</v>
      </c>
      <c r="M109" s="178">
        <v>0</v>
      </c>
      <c r="N109" s="178">
        <v>0</v>
      </c>
      <c r="O109" s="178">
        <v>0</v>
      </c>
      <c r="P109" s="178">
        <v>0</v>
      </c>
      <c r="Q109" s="178">
        <v>0</v>
      </c>
      <c r="R109" s="178">
        <v>0</v>
      </c>
      <c r="S109" s="178">
        <v>0</v>
      </c>
      <c r="T109" s="178">
        <v>0</v>
      </c>
      <c r="U109" s="178">
        <v>0</v>
      </c>
      <c r="V109" s="178">
        <v>0</v>
      </c>
      <c r="W109" s="178">
        <v>0</v>
      </c>
      <c r="X109" s="178">
        <v>0</v>
      </c>
      <c r="Y109" s="178">
        <v>0</v>
      </c>
      <c r="Z109" s="178">
        <v>0</v>
      </c>
      <c r="AA109" s="178">
        <v>0</v>
      </c>
      <c r="AB109" s="178">
        <v>0</v>
      </c>
      <c r="AC109" s="178">
        <v>0</v>
      </c>
      <c r="AD109" s="178">
        <v>0</v>
      </c>
      <c r="AE109" s="178">
        <v>0</v>
      </c>
      <c r="AF109" s="178">
        <v>0</v>
      </c>
      <c r="AG109" s="178" t="s">
        <v>117</v>
      </c>
    </row>
    <row r="110" spans="1:33">
      <c r="A110" s="178" t="s">
        <v>422</v>
      </c>
      <c r="B110" s="178" t="s">
        <v>3007</v>
      </c>
      <c r="C110" s="178" t="s">
        <v>3008</v>
      </c>
      <c r="D110" s="178" t="s">
        <v>2999</v>
      </c>
      <c r="F110" s="178">
        <v>11.443804</v>
      </c>
      <c r="G110" s="178">
        <v>12.072668</v>
      </c>
      <c r="H110" s="178">
        <v>11.969920999999999</v>
      </c>
      <c r="I110" s="178">
        <v>11.783875</v>
      </c>
      <c r="J110" s="178">
        <v>11.726345999999999</v>
      </c>
      <c r="K110" s="178">
        <v>11.797737</v>
      </c>
      <c r="L110" s="178">
        <v>11.908505999999999</v>
      </c>
      <c r="M110" s="178">
        <v>11.999717</v>
      </c>
      <c r="N110" s="178">
        <v>12.302014</v>
      </c>
      <c r="O110" s="178">
        <v>12.554612000000001</v>
      </c>
      <c r="P110" s="178">
        <v>12.694451000000001</v>
      </c>
      <c r="Q110" s="178">
        <v>13.0364</v>
      </c>
      <c r="R110" s="178">
        <v>12.997778</v>
      </c>
      <c r="S110" s="178">
        <v>12.920356999999999</v>
      </c>
      <c r="T110" s="178">
        <v>12.858921</v>
      </c>
      <c r="U110" s="178">
        <v>12.790533999999999</v>
      </c>
      <c r="V110" s="178">
        <v>12.798731999999999</v>
      </c>
      <c r="W110" s="178">
        <v>12.878328</v>
      </c>
      <c r="X110" s="178">
        <v>12.934844999999999</v>
      </c>
      <c r="Y110" s="178">
        <v>12.995628</v>
      </c>
      <c r="Z110" s="178">
        <v>12.983548000000001</v>
      </c>
      <c r="AA110" s="178">
        <v>12.963507999999999</v>
      </c>
      <c r="AB110" s="178">
        <v>12.921654999999999</v>
      </c>
      <c r="AC110" s="178">
        <v>12.843486</v>
      </c>
      <c r="AD110" s="178">
        <v>12.780554</v>
      </c>
      <c r="AE110" s="178">
        <v>12.805318</v>
      </c>
      <c r="AF110" s="178">
        <v>12.774438999999999</v>
      </c>
      <c r="AG110" s="179">
        <v>4.0000000000000001E-3</v>
      </c>
    </row>
    <row r="111" spans="1:33">
      <c r="A111" s="178" t="s">
        <v>423</v>
      </c>
      <c r="B111" s="178" t="s">
        <v>3009</v>
      </c>
      <c r="C111" s="178" t="s">
        <v>3010</v>
      </c>
      <c r="D111" s="178" t="s">
        <v>2999</v>
      </c>
      <c r="F111" s="178">
        <v>11.443804</v>
      </c>
      <c r="G111" s="178">
        <v>12.072668</v>
      </c>
      <c r="H111" s="178">
        <v>11.969920999999999</v>
      </c>
      <c r="I111" s="178">
        <v>11.783875</v>
      </c>
      <c r="J111" s="178">
        <v>11.726345999999999</v>
      </c>
      <c r="K111" s="178">
        <v>11.797737</v>
      </c>
      <c r="L111" s="178">
        <v>11.908505999999999</v>
      </c>
      <c r="M111" s="178">
        <v>11.999717</v>
      </c>
      <c r="N111" s="178">
        <v>12.302014</v>
      </c>
      <c r="O111" s="178">
        <v>12.554612000000001</v>
      </c>
      <c r="P111" s="178">
        <v>12.694451000000001</v>
      </c>
      <c r="Q111" s="178">
        <v>13.0364</v>
      </c>
      <c r="R111" s="178">
        <v>12.997778</v>
      </c>
      <c r="S111" s="178">
        <v>12.920356999999999</v>
      </c>
      <c r="T111" s="178">
        <v>12.858921</v>
      </c>
      <c r="U111" s="178">
        <v>12.790533999999999</v>
      </c>
      <c r="V111" s="178">
        <v>12.798731999999999</v>
      </c>
      <c r="W111" s="178">
        <v>12.878328</v>
      </c>
      <c r="X111" s="178">
        <v>12.934844999999999</v>
      </c>
      <c r="Y111" s="178">
        <v>12.995628</v>
      </c>
      <c r="Z111" s="178">
        <v>12.983548000000001</v>
      </c>
      <c r="AA111" s="178">
        <v>12.963507999999999</v>
      </c>
      <c r="AB111" s="178">
        <v>12.921654999999999</v>
      </c>
      <c r="AC111" s="178">
        <v>12.843486</v>
      </c>
      <c r="AD111" s="178">
        <v>12.780554</v>
      </c>
      <c r="AE111" s="178">
        <v>12.805318</v>
      </c>
      <c r="AF111" s="178">
        <v>12.774438999999999</v>
      </c>
      <c r="AG111" s="179">
        <v>4.0000000000000001E-3</v>
      </c>
    </row>
    <row r="112" spans="1:33">
      <c r="A112" s="178" t="s">
        <v>317</v>
      </c>
    </row>
    <row r="113" spans="1:33">
      <c r="A113" s="178" t="s">
        <v>312</v>
      </c>
      <c r="B113" s="178" t="s">
        <v>3011</v>
      </c>
      <c r="C113" s="178" t="s">
        <v>3012</v>
      </c>
      <c r="D113" s="178" t="s">
        <v>2999</v>
      </c>
      <c r="F113" s="178">
        <v>26.082224</v>
      </c>
      <c r="G113" s="178">
        <v>27.372015000000001</v>
      </c>
      <c r="H113" s="178">
        <v>26.960653000000001</v>
      </c>
      <c r="I113" s="178">
        <v>26.532195999999999</v>
      </c>
      <c r="J113" s="178">
        <v>26.423973</v>
      </c>
      <c r="K113" s="178">
        <v>26.564364999999999</v>
      </c>
      <c r="L113" s="178">
        <v>26.776347999999999</v>
      </c>
      <c r="M113" s="178">
        <v>26.899049999999999</v>
      </c>
      <c r="N113" s="178">
        <v>27.525832999999999</v>
      </c>
      <c r="O113" s="178">
        <v>28.011175000000001</v>
      </c>
      <c r="P113" s="178">
        <v>28.278126</v>
      </c>
      <c r="Q113" s="178">
        <v>28.777691000000001</v>
      </c>
      <c r="R113" s="178">
        <v>28.634815</v>
      </c>
      <c r="S113" s="178">
        <v>28.390754999999999</v>
      </c>
      <c r="T113" s="178">
        <v>28.198139000000001</v>
      </c>
      <c r="U113" s="178">
        <v>28.004740000000002</v>
      </c>
      <c r="V113" s="178">
        <v>27.976728000000001</v>
      </c>
      <c r="W113" s="178">
        <v>28.080334000000001</v>
      </c>
      <c r="X113" s="178">
        <v>28.169062</v>
      </c>
      <c r="Y113" s="178">
        <v>28.202684000000001</v>
      </c>
      <c r="Z113" s="178">
        <v>28.142578</v>
      </c>
      <c r="AA113" s="178">
        <v>28.047516000000002</v>
      </c>
      <c r="AB113" s="178">
        <v>27.889599</v>
      </c>
      <c r="AC113" s="178">
        <v>27.643142999999998</v>
      </c>
      <c r="AD113" s="178">
        <v>27.423555</v>
      </c>
      <c r="AE113" s="178">
        <v>27.345938</v>
      </c>
      <c r="AF113" s="178">
        <v>27.191025</v>
      </c>
      <c r="AG113" s="179">
        <v>2E-3</v>
      </c>
    </row>
    <row r="114" spans="1:33">
      <c r="A114" s="178" t="s">
        <v>2986</v>
      </c>
      <c r="B114" s="178" t="s">
        <v>3013</v>
      </c>
      <c r="C114" s="178" t="s">
        <v>3014</v>
      </c>
      <c r="D114" s="178" t="s">
        <v>2999</v>
      </c>
      <c r="F114" s="178">
        <v>27.212330000000001</v>
      </c>
      <c r="G114" s="178">
        <v>28.590579999999999</v>
      </c>
      <c r="H114" s="178">
        <v>28.250004000000001</v>
      </c>
      <c r="I114" s="178">
        <v>27.861284000000001</v>
      </c>
      <c r="J114" s="178">
        <v>27.783439999999999</v>
      </c>
      <c r="K114" s="178">
        <v>27.948340999999999</v>
      </c>
      <c r="L114" s="178">
        <v>28.180513000000001</v>
      </c>
      <c r="M114" s="178">
        <v>28.31982</v>
      </c>
      <c r="N114" s="178">
        <v>28.963902000000001</v>
      </c>
      <c r="O114" s="178">
        <v>29.464773000000001</v>
      </c>
      <c r="P114" s="178">
        <v>29.745934999999999</v>
      </c>
      <c r="Q114" s="178">
        <v>30.258866999999999</v>
      </c>
      <c r="R114" s="178">
        <v>30.127694999999999</v>
      </c>
      <c r="S114" s="178">
        <v>29.898018</v>
      </c>
      <c r="T114" s="178">
        <v>29.718136000000001</v>
      </c>
      <c r="U114" s="178">
        <v>29.539587000000001</v>
      </c>
      <c r="V114" s="178">
        <v>29.532623000000001</v>
      </c>
      <c r="W114" s="178">
        <v>29.663944000000001</v>
      </c>
      <c r="X114" s="178">
        <v>29.776478000000001</v>
      </c>
      <c r="Y114" s="178">
        <v>29.836489</v>
      </c>
      <c r="Z114" s="178">
        <v>29.807697000000001</v>
      </c>
      <c r="AA114" s="178">
        <v>29.742032999999999</v>
      </c>
      <c r="AB114" s="178">
        <v>29.621078000000001</v>
      </c>
      <c r="AC114" s="178">
        <v>29.414465</v>
      </c>
      <c r="AD114" s="178">
        <v>29.243926999999999</v>
      </c>
      <c r="AE114" s="178">
        <v>29.218567</v>
      </c>
      <c r="AF114" s="178">
        <v>29.114000000000001</v>
      </c>
      <c r="AG114" s="179">
        <v>3.0000000000000001E-3</v>
      </c>
    </row>
    <row r="115" spans="1:33">
      <c r="A115" s="178" t="s">
        <v>2984</v>
      </c>
      <c r="B115" s="178" t="s">
        <v>3015</v>
      </c>
      <c r="C115" s="178" t="s">
        <v>3016</v>
      </c>
      <c r="D115" s="178" t="s">
        <v>2999</v>
      </c>
      <c r="F115" s="178">
        <v>24.282774</v>
      </c>
      <c r="G115" s="178">
        <v>25.647283999999999</v>
      </c>
      <c r="H115" s="178">
        <v>25.308827999999998</v>
      </c>
      <c r="I115" s="178">
        <v>24.922684</v>
      </c>
      <c r="J115" s="178">
        <v>24.84449</v>
      </c>
      <c r="K115" s="178">
        <v>25.006926</v>
      </c>
      <c r="L115" s="178">
        <v>25.235980999999999</v>
      </c>
      <c r="M115" s="178">
        <v>25.372945999999999</v>
      </c>
      <c r="N115" s="178">
        <v>26.010107000000001</v>
      </c>
      <c r="O115" s="178">
        <v>26.505376999999999</v>
      </c>
      <c r="P115" s="178">
        <v>26.782921000000002</v>
      </c>
      <c r="Q115" s="178">
        <v>27.294965999999999</v>
      </c>
      <c r="R115" s="178">
        <v>27.164916999999999</v>
      </c>
      <c r="S115" s="178">
        <v>26.936419000000001</v>
      </c>
      <c r="T115" s="178">
        <v>26.757287999999999</v>
      </c>
      <c r="U115" s="178">
        <v>26.579505999999999</v>
      </c>
      <c r="V115" s="178">
        <v>26.571735</v>
      </c>
      <c r="W115" s="178">
        <v>26.701001999999999</v>
      </c>
      <c r="X115" s="178">
        <v>26.811657</v>
      </c>
      <c r="Y115" s="178">
        <v>26.870258</v>
      </c>
      <c r="Z115" s="178">
        <v>26.840878</v>
      </c>
      <c r="AA115" s="178">
        <v>26.774963</v>
      </c>
      <c r="AB115" s="178">
        <v>26.654264000000001</v>
      </c>
      <c r="AC115" s="178">
        <v>26.448715</v>
      </c>
      <c r="AD115" s="178">
        <v>26.278912999999999</v>
      </c>
      <c r="AE115" s="178">
        <v>26.253814999999999</v>
      </c>
      <c r="AF115" s="178">
        <v>26.149422000000001</v>
      </c>
      <c r="AG115" s="179">
        <v>3.0000000000000001E-3</v>
      </c>
    </row>
    <row r="116" spans="1:33">
      <c r="A116" s="178" t="s">
        <v>314</v>
      </c>
      <c r="B116" s="178" t="s">
        <v>3017</v>
      </c>
      <c r="C116" s="178" t="s">
        <v>3018</v>
      </c>
      <c r="D116" s="178" t="s">
        <v>2999</v>
      </c>
      <c r="F116" s="178">
        <v>15.662438</v>
      </c>
      <c r="G116" s="178">
        <v>17.095972</v>
      </c>
      <c r="H116" s="178">
        <v>16.921756999999999</v>
      </c>
      <c r="I116" s="178">
        <v>16.564378999999999</v>
      </c>
      <c r="J116" s="178">
        <v>16.49259</v>
      </c>
      <c r="K116" s="178">
        <v>16.698236000000001</v>
      </c>
      <c r="L116" s="178">
        <v>16.991081000000001</v>
      </c>
      <c r="M116" s="178">
        <v>17.245121000000001</v>
      </c>
      <c r="N116" s="178">
        <v>17.959441999999999</v>
      </c>
      <c r="O116" s="178">
        <v>18.565225999999999</v>
      </c>
      <c r="P116" s="178">
        <v>18.924628999999999</v>
      </c>
      <c r="Q116" s="178">
        <v>19.662490999999999</v>
      </c>
      <c r="R116" s="178">
        <v>19.615673000000001</v>
      </c>
      <c r="S116" s="178">
        <v>19.493829999999999</v>
      </c>
      <c r="T116" s="178">
        <v>19.405608999999998</v>
      </c>
      <c r="U116" s="178">
        <v>19.300985000000001</v>
      </c>
      <c r="V116" s="178">
        <v>19.363647</v>
      </c>
      <c r="W116" s="178">
        <v>19.582083000000001</v>
      </c>
      <c r="X116" s="178">
        <v>19.75009</v>
      </c>
      <c r="Y116" s="178">
        <v>19.927520999999999</v>
      </c>
      <c r="Z116" s="178">
        <v>19.945639</v>
      </c>
      <c r="AA116" s="178">
        <v>19.946338999999998</v>
      </c>
      <c r="AB116" s="178">
        <v>19.898668000000001</v>
      </c>
      <c r="AC116" s="178">
        <v>19.771090999999998</v>
      </c>
      <c r="AD116" s="178">
        <v>19.676361</v>
      </c>
      <c r="AE116" s="178">
        <v>19.762139999999999</v>
      </c>
      <c r="AF116" s="178">
        <v>19.735866999999999</v>
      </c>
      <c r="AG116" s="179">
        <v>8.9999999999999993E-3</v>
      </c>
    </row>
    <row r="117" spans="1:33">
      <c r="A117" s="178" t="s">
        <v>3004</v>
      </c>
      <c r="B117" s="178" t="s">
        <v>3019</v>
      </c>
      <c r="C117" s="178" t="s">
        <v>3020</v>
      </c>
      <c r="D117" s="178" t="s">
        <v>2999</v>
      </c>
      <c r="F117" s="178">
        <v>11.131519000000001</v>
      </c>
      <c r="G117" s="178">
        <v>11.783325</v>
      </c>
      <c r="H117" s="178">
        <v>11.598039</v>
      </c>
      <c r="I117" s="178">
        <v>11.436346</v>
      </c>
      <c r="J117" s="178">
        <v>11.439994</v>
      </c>
      <c r="K117" s="178">
        <v>11.579726000000001</v>
      </c>
      <c r="L117" s="178">
        <v>11.769632</v>
      </c>
      <c r="M117" s="178">
        <v>11.890407</v>
      </c>
      <c r="N117" s="178">
        <v>12.266788</v>
      </c>
      <c r="O117" s="178">
        <v>12.528677999999999</v>
      </c>
      <c r="P117" s="178">
        <v>12.711942000000001</v>
      </c>
      <c r="Q117" s="178">
        <v>13.838943</v>
      </c>
      <c r="R117" s="178">
        <v>13.914254</v>
      </c>
      <c r="S117" s="178">
        <v>13.820492</v>
      </c>
      <c r="T117" s="178">
        <v>13.752132</v>
      </c>
      <c r="U117" s="178">
        <v>13.689482999999999</v>
      </c>
      <c r="V117" s="178">
        <v>13.71308</v>
      </c>
      <c r="W117" s="178">
        <v>13.800635</v>
      </c>
      <c r="X117" s="178">
        <v>13.886991</v>
      </c>
      <c r="Y117" s="178">
        <v>13.943507</v>
      </c>
      <c r="Z117" s="178">
        <v>13.96114</v>
      </c>
      <c r="AA117" s="178">
        <v>13.94815</v>
      </c>
      <c r="AB117" s="178">
        <v>13.912392000000001</v>
      </c>
      <c r="AC117" s="178">
        <v>13.839399999999999</v>
      </c>
      <c r="AD117" s="178">
        <v>13.792706000000001</v>
      </c>
      <c r="AE117" s="178">
        <v>13.955946000000001</v>
      </c>
      <c r="AF117" s="178">
        <v>13.916736999999999</v>
      </c>
      <c r="AG117" s="179">
        <v>8.9999999999999993E-3</v>
      </c>
    </row>
    <row r="118" spans="1:33">
      <c r="A118" s="178" t="s">
        <v>422</v>
      </c>
      <c r="B118" s="178" t="s">
        <v>3021</v>
      </c>
      <c r="C118" s="178" t="s">
        <v>3022</v>
      </c>
      <c r="D118" s="178" t="s">
        <v>2999</v>
      </c>
      <c r="F118" s="178">
        <v>10.518917999999999</v>
      </c>
      <c r="G118" s="178">
        <v>11.220459</v>
      </c>
      <c r="H118" s="178">
        <v>11.048302</v>
      </c>
      <c r="I118" s="178">
        <v>10.882524</v>
      </c>
      <c r="J118" s="178">
        <v>10.878577999999999</v>
      </c>
      <c r="K118" s="178">
        <v>10.997228</v>
      </c>
      <c r="L118" s="178">
        <v>11.141553999999999</v>
      </c>
      <c r="M118" s="178">
        <v>11.237958000000001</v>
      </c>
      <c r="N118" s="178">
        <v>11.587527</v>
      </c>
      <c r="O118" s="178">
        <v>11.865107</v>
      </c>
      <c r="P118" s="178">
        <v>12.042180999999999</v>
      </c>
      <c r="Q118" s="178">
        <v>12.425376999999999</v>
      </c>
      <c r="R118" s="178">
        <v>12.398633999999999</v>
      </c>
      <c r="S118" s="178">
        <v>12.306039999999999</v>
      </c>
      <c r="T118" s="178">
        <v>12.237890999999999</v>
      </c>
      <c r="U118" s="178">
        <v>12.169972</v>
      </c>
      <c r="V118" s="178">
        <v>12.187250000000001</v>
      </c>
      <c r="W118" s="178">
        <v>12.269031999999999</v>
      </c>
      <c r="X118" s="178">
        <v>12.346788999999999</v>
      </c>
      <c r="Y118" s="178">
        <v>12.400518999999999</v>
      </c>
      <c r="Z118" s="178">
        <v>12.414308999999999</v>
      </c>
      <c r="AA118" s="178">
        <v>12.404987999999999</v>
      </c>
      <c r="AB118" s="178">
        <v>12.371383</v>
      </c>
      <c r="AC118" s="178">
        <v>12.301284000000001</v>
      </c>
      <c r="AD118" s="178">
        <v>12.250579</v>
      </c>
      <c r="AE118" s="178">
        <v>12.284452</v>
      </c>
      <c r="AF118" s="178">
        <v>12.258368000000001</v>
      </c>
      <c r="AG118" s="179">
        <v>6.0000000000000001E-3</v>
      </c>
    </row>
    <row r="119" spans="1:33">
      <c r="A119" s="178" t="s">
        <v>423</v>
      </c>
      <c r="B119" s="178" t="s">
        <v>3023</v>
      </c>
      <c r="C119" s="178" t="s">
        <v>3024</v>
      </c>
      <c r="D119" s="178" t="s">
        <v>2999</v>
      </c>
      <c r="F119" s="178">
        <v>11.206511000000001</v>
      </c>
      <c r="G119" s="178">
        <v>11.851167999999999</v>
      </c>
      <c r="H119" s="178">
        <v>11.666744</v>
      </c>
      <c r="I119" s="178">
        <v>11.508732999999999</v>
      </c>
      <c r="J119" s="178">
        <v>11.513063000000001</v>
      </c>
      <c r="K119" s="178">
        <v>11.654737000000001</v>
      </c>
      <c r="L119" s="178">
        <v>11.849112999999999</v>
      </c>
      <c r="M119" s="178">
        <v>11.970824</v>
      </c>
      <c r="N119" s="178">
        <v>12.350697</v>
      </c>
      <c r="O119" s="178">
        <v>12.611025</v>
      </c>
      <c r="P119" s="178">
        <v>12.794636000000001</v>
      </c>
      <c r="Q119" s="178">
        <v>14.018115999999999</v>
      </c>
      <c r="R119" s="178">
        <v>14.107737999999999</v>
      </c>
      <c r="S119" s="178">
        <v>14.015776000000001</v>
      </c>
      <c r="T119" s="178">
        <v>13.949567999999999</v>
      </c>
      <c r="U119" s="178">
        <v>13.890155</v>
      </c>
      <c r="V119" s="178">
        <v>13.92394</v>
      </c>
      <c r="W119" s="178">
        <v>14.023643</v>
      </c>
      <c r="X119" s="178">
        <v>14.124241</v>
      </c>
      <c r="Y119" s="178">
        <v>14.193315</v>
      </c>
      <c r="Z119" s="178">
        <v>14.223763</v>
      </c>
      <c r="AA119" s="178">
        <v>14.221519000000001</v>
      </c>
      <c r="AB119" s="178">
        <v>14.199920000000001</v>
      </c>
      <c r="AC119" s="178">
        <v>14.141954</v>
      </c>
      <c r="AD119" s="178">
        <v>14.111420000000001</v>
      </c>
      <c r="AE119" s="178">
        <v>14.317017</v>
      </c>
      <c r="AF119" s="178">
        <v>14.291043999999999</v>
      </c>
      <c r="AG119" s="179">
        <v>8.9999999999999993E-3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election sqref="A1:H7"/>
    </sheetView>
  </sheetViews>
  <sheetFormatPr defaultRowHeight="14.75"/>
  <sheetData>
    <row r="1" spans="1:11">
      <c r="A1" t="s">
        <v>255</v>
      </c>
      <c r="B1" t="s">
        <v>111</v>
      </c>
      <c r="C1" t="s">
        <v>112</v>
      </c>
      <c r="D1" t="s">
        <v>113</v>
      </c>
      <c r="E1" t="s">
        <v>114</v>
      </c>
      <c r="F1" t="s">
        <v>115</v>
      </c>
      <c r="G1" t="s">
        <v>257</v>
      </c>
      <c r="H1" t="s">
        <v>258</v>
      </c>
    </row>
    <row r="2" spans="1:11">
      <c r="A2" t="s">
        <v>219</v>
      </c>
      <c r="B2">
        <v>2799214</v>
      </c>
      <c r="C2">
        <v>16648</v>
      </c>
      <c r="D2">
        <v>256819978</v>
      </c>
      <c r="E2">
        <v>1348635</v>
      </c>
      <c r="F2">
        <v>1130472</v>
      </c>
      <c r="G2">
        <v>16384</v>
      </c>
      <c r="H2">
        <v>15809</v>
      </c>
    </row>
    <row r="3" spans="1:11">
      <c r="A3" t="s">
        <v>134</v>
      </c>
      <c r="B3">
        <v>300</v>
      </c>
      <c r="C3">
        <v>123406</v>
      </c>
      <c r="D3">
        <v>98370</v>
      </c>
      <c r="E3">
        <v>703912</v>
      </c>
      <c r="F3">
        <v>0</v>
      </c>
      <c r="G3">
        <v>41837</v>
      </c>
      <c r="H3">
        <v>105</v>
      </c>
      <c r="K3" s="67"/>
    </row>
    <row r="4" spans="1:11">
      <c r="A4" t="s">
        <v>131</v>
      </c>
      <c r="B4">
        <v>0</v>
      </c>
      <c r="C4">
        <v>0</v>
      </c>
      <c r="D4">
        <v>0</v>
      </c>
      <c r="E4">
        <v>6646</v>
      </c>
      <c r="F4">
        <v>0</v>
      </c>
      <c r="G4">
        <v>0</v>
      </c>
      <c r="H4">
        <v>0</v>
      </c>
      <c r="K4" s="67"/>
    </row>
    <row r="5" spans="1:11">
      <c r="A5" t="s">
        <v>220</v>
      </c>
      <c r="B5">
        <v>2564</v>
      </c>
      <c r="C5">
        <v>0</v>
      </c>
      <c r="D5">
        <v>0</v>
      </c>
      <c r="E5">
        <v>173</v>
      </c>
      <c r="F5">
        <v>0</v>
      </c>
      <c r="G5">
        <v>0</v>
      </c>
      <c r="H5">
        <v>0</v>
      </c>
    </row>
    <row r="6" spans="1:11">
      <c r="A6" t="s">
        <v>221</v>
      </c>
      <c r="B6">
        <v>0</v>
      </c>
      <c r="C6">
        <v>0</v>
      </c>
      <c r="D6">
        <v>10231405</v>
      </c>
      <c r="E6">
        <v>2473595</v>
      </c>
      <c r="F6">
        <v>0</v>
      </c>
      <c r="G6">
        <v>0</v>
      </c>
      <c r="H6">
        <v>0</v>
      </c>
    </row>
    <row r="7" spans="1:11">
      <c r="A7" t="s">
        <v>222</v>
      </c>
      <c r="B7">
        <v>0</v>
      </c>
      <c r="C7">
        <v>0</v>
      </c>
      <c r="D7">
        <v>9516910</v>
      </c>
      <c r="E7">
        <v>0</v>
      </c>
      <c r="F7">
        <v>0</v>
      </c>
      <c r="G7">
        <v>0</v>
      </c>
      <c r="H7">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election sqref="A1:H7"/>
    </sheetView>
  </sheetViews>
  <sheetFormatPr defaultRowHeight="14.75"/>
  <sheetData>
    <row r="1" spans="1:8" s="60" customFormat="1" ht="44.25">
      <c r="A1" s="60" t="s">
        <v>255</v>
      </c>
      <c r="B1" s="60" t="s">
        <v>111</v>
      </c>
      <c r="C1" s="60" t="s">
        <v>112</v>
      </c>
      <c r="D1" s="60" t="s">
        <v>113</v>
      </c>
      <c r="E1" s="60" t="s">
        <v>114</v>
      </c>
      <c r="F1" s="60" t="s">
        <v>115</v>
      </c>
      <c r="G1" s="60" t="s">
        <v>257</v>
      </c>
      <c r="H1" s="60" t="s">
        <v>258</v>
      </c>
    </row>
    <row r="2" spans="1:8">
      <c r="A2" t="s">
        <v>219</v>
      </c>
      <c r="B2">
        <v>368</v>
      </c>
      <c r="C2">
        <v>15529</v>
      </c>
      <c r="D2">
        <v>12709652</v>
      </c>
      <c r="E2">
        <v>10634737</v>
      </c>
      <c r="F2">
        <v>2288</v>
      </c>
      <c r="G2">
        <v>3349</v>
      </c>
      <c r="H2">
        <v>0</v>
      </c>
    </row>
    <row r="3" spans="1:8">
      <c r="A3" t="s">
        <v>134</v>
      </c>
      <c r="B3">
        <v>255</v>
      </c>
      <c r="C3">
        <v>53506</v>
      </c>
      <c r="D3">
        <v>39244</v>
      </c>
      <c r="E3">
        <v>5288878</v>
      </c>
      <c r="F3">
        <v>0</v>
      </c>
      <c r="G3">
        <v>3134</v>
      </c>
      <c r="H3">
        <v>0</v>
      </c>
    </row>
    <row r="4" spans="1:8">
      <c r="A4" t="s">
        <v>131</v>
      </c>
      <c r="B4">
        <v>0</v>
      </c>
      <c r="C4">
        <v>0</v>
      </c>
      <c r="D4">
        <v>0</v>
      </c>
      <c r="E4">
        <v>1069</v>
      </c>
      <c r="F4">
        <v>0</v>
      </c>
      <c r="G4">
        <v>0</v>
      </c>
      <c r="H4">
        <v>0</v>
      </c>
    </row>
    <row r="5" spans="1:8">
      <c r="A5" t="s">
        <v>220</v>
      </c>
      <c r="B5">
        <v>0</v>
      </c>
      <c r="C5">
        <v>0</v>
      </c>
      <c r="D5">
        <v>0</v>
      </c>
      <c r="E5">
        <v>24526</v>
      </c>
      <c r="F5">
        <v>0</v>
      </c>
      <c r="G5">
        <v>0</v>
      </c>
      <c r="H5">
        <v>0</v>
      </c>
    </row>
    <row r="6" spans="1:8">
      <c r="A6" t="s">
        <v>221</v>
      </c>
      <c r="B6">
        <v>0</v>
      </c>
      <c r="C6">
        <v>0</v>
      </c>
      <c r="D6">
        <v>0</v>
      </c>
      <c r="E6">
        <v>9678</v>
      </c>
      <c r="F6">
        <v>0</v>
      </c>
      <c r="G6">
        <v>0</v>
      </c>
      <c r="H6">
        <v>0</v>
      </c>
    </row>
    <row r="7" spans="1:8">
      <c r="A7" t="s">
        <v>222</v>
      </c>
      <c r="B7">
        <v>0</v>
      </c>
      <c r="C7">
        <v>0</v>
      </c>
      <c r="D7">
        <v>0</v>
      </c>
      <c r="E7">
        <v>0</v>
      </c>
      <c r="F7">
        <v>0</v>
      </c>
      <c r="G7">
        <v>0</v>
      </c>
      <c r="H7">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election sqref="A1:XFD1048576"/>
    </sheetView>
  </sheetViews>
  <sheetFormatPr defaultRowHeight="14.7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7">
        <v>11068</v>
      </c>
      <c r="C2" s="67">
        <v>11354</v>
      </c>
      <c r="D2" s="67">
        <v>11470</v>
      </c>
      <c r="E2" s="67">
        <v>11489</v>
      </c>
      <c r="F2" s="67">
        <v>11477</v>
      </c>
      <c r="G2" s="67">
        <v>11476</v>
      </c>
      <c r="H2" s="67">
        <v>11492</v>
      </c>
      <c r="I2" s="67">
        <v>11524</v>
      </c>
      <c r="J2" s="67">
        <v>11571</v>
      </c>
      <c r="K2" s="67">
        <v>11603</v>
      </c>
      <c r="L2" s="67">
        <v>11629</v>
      </c>
      <c r="M2" s="67">
        <v>11653</v>
      </c>
      <c r="N2" s="67">
        <v>11671</v>
      </c>
      <c r="O2" s="67">
        <v>11699</v>
      </c>
      <c r="P2" s="67">
        <v>11743</v>
      </c>
      <c r="Q2" s="67">
        <v>11795</v>
      </c>
      <c r="R2" s="67">
        <v>11840</v>
      </c>
      <c r="S2" s="67">
        <v>11885</v>
      </c>
      <c r="T2" s="67">
        <v>11928</v>
      </c>
      <c r="U2" s="67">
        <v>11969</v>
      </c>
      <c r="V2" s="67">
        <v>12006</v>
      </c>
      <c r="W2" s="67">
        <v>12040</v>
      </c>
      <c r="X2" s="67">
        <v>12072</v>
      </c>
      <c r="Y2" s="67">
        <v>12108</v>
      </c>
      <c r="Z2" s="67">
        <v>12155</v>
      </c>
      <c r="AA2" s="67">
        <v>12215</v>
      </c>
      <c r="AB2" s="67">
        <v>12283</v>
      </c>
      <c r="AC2" s="67">
        <v>12356</v>
      </c>
      <c r="AD2" s="67"/>
      <c r="AE2" s="67"/>
      <c r="AF2" s="67"/>
    </row>
    <row r="3" spans="1:32">
      <c r="A3" t="s">
        <v>134</v>
      </c>
      <c r="B3" s="67">
        <v>18252</v>
      </c>
      <c r="C3" s="67">
        <v>18252</v>
      </c>
      <c r="D3" s="67">
        <v>18252</v>
      </c>
      <c r="E3" s="67">
        <v>18252</v>
      </c>
      <c r="F3" s="67">
        <v>18252</v>
      </c>
      <c r="G3" s="67">
        <v>18252</v>
      </c>
      <c r="H3" s="67">
        <v>18252</v>
      </c>
      <c r="I3" s="67">
        <v>18252</v>
      </c>
      <c r="J3" s="67">
        <v>18252</v>
      </c>
      <c r="K3" s="67">
        <v>18252</v>
      </c>
      <c r="L3" s="67">
        <v>18252</v>
      </c>
      <c r="M3" s="67">
        <v>18252</v>
      </c>
      <c r="N3" s="67">
        <v>18252</v>
      </c>
      <c r="O3" s="67">
        <v>18252</v>
      </c>
      <c r="P3" s="67">
        <v>18252</v>
      </c>
      <c r="Q3" s="67">
        <v>18252</v>
      </c>
      <c r="R3" s="67">
        <v>18252</v>
      </c>
      <c r="S3" s="67">
        <v>18252</v>
      </c>
      <c r="T3" s="67">
        <v>18252</v>
      </c>
      <c r="U3" s="67">
        <v>18252</v>
      </c>
      <c r="V3" s="67">
        <v>18252</v>
      </c>
      <c r="W3" s="67">
        <v>18252</v>
      </c>
      <c r="X3" s="67">
        <v>18252</v>
      </c>
      <c r="Y3" s="67">
        <v>18252</v>
      </c>
      <c r="Z3" s="67">
        <v>18252</v>
      </c>
      <c r="AA3" s="67">
        <v>18252</v>
      </c>
      <c r="AB3" s="67">
        <v>18252</v>
      </c>
      <c r="AC3" s="67">
        <v>18252</v>
      </c>
      <c r="AD3" s="67"/>
      <c r="AE3" s="67"/>
      <c r="AF3" s="67"/>
    </row>
    <row r="4" spans="1:32">
      <c r="A4" t="s">
        <v>131</v>
      </c>
      <c r="B4" s="67">
        <v>1006949</v>
      </c>
      <c r="C4" s="67">
        <v>1006949</v>
      </c>
      <c r="D4" s="67">
        <v>1006949</v>
      </c>
      <c r="E4" s="67">
        <v>1006949</v>
      </c>
      <c r="F4" s="67">
        <v>1006949</v>
      </c>
      <c r="G4" s="67">
        <v>1006949</v>
      </c>
      <c r="H4" s="67">
        <v>1006949</v>
      </c>
      <c r="I4" s="67">
        <v>1006949</v>
      </c>
      <c r="J4" s="67">
        <v>1006949</v>
      </c>
      <c r="K4" s="67">
        <v>1006949</v>
      </c>
      <c r="L4" s="67">
        <v>1006949</v>
      </c>
      <c r="M4" s="67">
        <v>1006949</v>
      </c>
      <c r="N4" s="67">
        <v>1006949</v>
      </c>
      <c r="O4" s="67">
        <v>1006949</v>
      </c>
      <c r="P4" s="67">
        <v>1006949</v>
      </c>
      <c r="Q4" s="67">
        <v>1006949</v>
      </c>
      <c r="R4" s="67">
        <v>1006949</v>
      </c>
      <c r="S4" s="67">
        <v>1006949</v>
      </c>
      <c r="T4" s="67">
        <v>1006949</v>
      </c>
      <c r="U4" s="67">
        <v>1006949</v>
      </c>
      <c r="V4" s="67">
        <v>1006949</v>
      </c>
      <c r="W4" s="67">
        <v>1006949</v>
      </c>
      <c r="X4" s="67">
        <v>1006949</v>
      </c>
      <c r="Y4" s="67">
        <v>1006949</v>
      </c>
      <c r="Z4" s="67">
        <v>1006949</v>
      </c>
      <c r="AA4" s="67">
        <v>1006949</v>
      </c>
      <c r="AB4" s="67">
        <v>1006949</v>
      </c>
      <c r="AC4" s="67">
        <v>1006949</v>
      </c>
      <c r="AD4" s="67"/>
      <c r="AE4" s="67"/>
      <c r="AF4" s="67"/>
    </row>
    <row r="5" spans="1:32">
      <c r="A5" t="s">
        <v>220</v>
      </c>
      <c r="B5" s="67">
        <v>395569</v>
      </c>
      <c r="C5" s="67">
        <v>395569</v>
      </c>
      <c r="D5" s="67">
        <v>395569</v>
      </c>
      <c r="E5" s="67">
        <v>395569</v>
      </c>
      <c r="F5" s="67">
        <v>395569</v>
      </c>
      <c r="G5" s="67">
        <v>395569</v>
      </c>
      <c r="H5" s="67">
        <v>395569</v>
      </c>
      <c r="I5" s="67">
        <v>395569</v>
      </c>
      <c r="J5" s="67">
        <v>395569</v>
      </c>
      <c r="K5" s="67">
        <v>395569</v>
      </c>
      <c r="L5" s="67">
        <v>395569</v>
      </c>
      <c r="M5" s="67">
        <v>395569</v>
      </c>
      <c r="N5" s="67">
        <v>395569</v>
      </c>
      <c r="O5" s="67">
        <v>395569</v>
      </c>
      <c r="P5" s="67">
        <v>395569</v>
      </c>
      <c r="Q5" s="67">
        <v>395569</v>
      </c>
      <c r="R5" s="67">
        <v>395569</v>
      </c>
      <c r="S5" s="67">
        <v>395569</v>
      </c>
      <c r="T5" s="67">
        <v>395569</v>
      </c>
      <c r="U5" s="67">
        <v>395569</v>
      </c>
      <c r="V5" s="67">
        <v>395569</v>
      </c>
      <c r="W5" s="67">
        <v>395569</v>
      </c>
      <c r="X5" s="67">
        <v>395569</v>
      </c>
      <c r="Y5" s="67">
        <v>395569</v>
      </c>
      <c r="Z5" s="67">
        <v>395569</v>
      </c>
      <c r="AA5" s="67">
        <v>395569</v>
      </c>
      <c r="AB5" s="67">
        <v>395569</v>
      </c>
      <c r="AC5" s="67">
        <v>395569</v>
      </c>
      <c r="AD5" s="67"/>
      <c r="AE5" s="67"/>
      <c r="AF5" s="67"/>
    </row>
    <row r="6" spans="1:32">
      <c r="A6" t="s">
        <v>221</v>
      </c>
      <c r="B6" s="67">
        <v>194</v>
      </c>
      <c r="C6" s="67">
        <v>194</v>
      </c>
      <c r="D6" s="67">
        <v>194</v>
      </c>
      <c r="E6" s="67">
        <v>194</v>
      </c>
      <c r="F6" s="67">
        <v>194</v>
      </c>
      <c r="G6" s="67">
        <v>194</v>
      </c>
      <c r="H6" s="67">
        <v>194</v>
      </c>
      <c r="I6" s="67">
        <v>194</v>
      </c>
      <c r="J6" s="67">
        <v>194</v>
      </c>
      <c r="K6" s="67">
        <v>194</v>
      </c>
      <c r="L6" s="67">
        <v>194</v>
      </c>
      <c r="M6" s="67">
        <v>194</v>
      </c>
      <c r="N6" s="67">
        <v>194</v>
      </c>
      <c r="O6" s="67">
        <v>194</v>
      </c>
      <c r="P6" s="67">
        <v>194</v>
      </c>
      <c r="Q6" s="67">
        <v>194</v>
      </c>
      <c r="R6" s="67">
        <v>194</v>
      </c>
      <c r="S6" s="67">
        <v>194</v>
      </c>
      <c r="T6" s="67">
        <v>194</v>
      </c>
      <c r="U6" s="67">
        <v>194</v>
      </c>
      <c r="V6" s="67">
        <v>194</v>
      </c>
      <c r="W6" s="67">
        <v>194</v>
      </c>
      <c r="X6" s="67">
        <v>194</v>
      </c>
      <c r="Y6" s="67">
        <v>194</v>
      </c>
      <c r="Z6" s="67">
        <v>194</v>
      </c>
      <c r="AA6" s="67">
        <v>194</v>
      </c>
      <c r="AB6" s="67">
        <v>194</v>
      </c>
      <c r="AC6" s="67">
        <v>194</v>
      </c>
      <c r="AD6" s="67"/>
      <c r="AE6" s="67"/>
      <c r="AF6" s="67"/>
    </row>
    <row r="7" spans="1:32">
      <c r="A7" t="s">
        <v>222</v>
      </c>
      <c r="B7" s="67">
        <v>8561</v>
      </c>
      <c r="C7" s="67">
        <v>8561</v>
      </c>
      <c r="D7" s="67">
        <v>8561</v>
      </c>
      <c r="E7" s="67">
        <v>8561</v>
      </c>
      <c r="F7" s="67">
        <v>8561</v>
      </c>
      <c r="G7" s="67">
        <v>8561</v>
      </c>
      <c r="H7" s="67">
        <v>8561</v>
      </c>
      <c r="I7" s="67">
        <v>8561</v>
      </c>
      <c r="J7" s="67">
        <v>8561</v>
      </c>
      <c r="K7" s="67">
        <v>8561</v>
      </c>
      <c r="L7" s="67">
        <v>8561</v>
      </c>
      <c r="M7" s="67">
        <v>8561</v>
      </c>
      <c r="N7" s="67">
        <v>8561</v>
      </c>
      <c r="O7" s="67">
        <v>8561</v>
      </c>
      <c r="P7" s="67">
        <v>8561</v>
      </c>
      <c r="Q7" s="67">
        <v>8561</v>
      </c>
      <c r="R7" s="67">
        <v>8561</v>
      </c>
      <c r="S7" s="67">
        <v>8561</v>
      </c>
      <c r="T7" s="67">
        <v>8561</v>
      </c>
      <c r="U7" s="67">
        <v>8561</v>
      </c>
      <c r="V7" s="67">
        <v>8561</v>
      </c>
      <c r="W7" s="67">
        <v>8561</v>
      </c>
      <c r="X7" s="67">
        <v>8561</v>
      </c>
      <c r="Y7" s="67">
        <v>8561</v>
      </c>
      <c r="Z7" s="67">
        <v>8561</v>
      </c>
      <c r="AA7" s="67">
        <v>8561</v>
      </c>
      <c r="AB7" s="67">
        <v>8561</v>
      </c>
      <c r="AC7" s="67">
        <v>8561</v>
      </c>
      <c r="AD7" s="67"/>
      <c r="AE7" s="67"/>
      <c r="AF7" s="67"/>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election activeCell="F10" sqref="F10"/>
    </sheetView>
  </sheetViews>
  <sheetFormatPr defaultRowHeight="14.7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10156</v>
      </c>
      <c r="C2">
        <v>9916</v>
      </c>
      <c r="D2">
        <v>9903</v>
      </c>
      <c r="E2">
        <v>9817</v>
      </c>
      <c r="F2">
        <v>9729</v>
      </c>
      <c r="G2">
        <v>9643</v>
      </c>
      <c r="H2">
        <v>9600</v>
      </c>
      <c r="I2">
        <v>9585</v>
      </c>
      <c r="J2">
        <v>9585</v>
      </c>
      <c r="K2">
        <v>9591</v>
      </c>
      <c r="L2">
        <v>9611</v>
      </c>
      <c r="M2">
        <v>9645</v>
      </c>
      <c r="N2">
        <v>9689</v>
      </c>
      <c r="O2">
        <v>9739</v>
      </c>
      <c r="P2">
        <v>9794</v>
      </c>
      <c r="Q2">
        <v>9851</v>
      </c>
      <c r="R2">
        <v>9904</v>
      </c>
      <c r="S2">
        <v>9968</v>
      </c>
      <c r="T2">
        <v>10020</v>
      </c>
      <c r="U2">
        <v>10066</v>
      </c>
      <c r="V2">
        <v>10083</v>
      </c>
      <c r="W2">
        <v>10084</v>
      </c>
      <c r="X2">
        <v>10097</v>
      </c>
      <c r="Y2">
        <v>10117</v>
      </c>
      <c r="Z2">
        <v>10158</v>
      </c>
      <c r="AA2">
        <v>10193</v>
      </c>
      <c r="AB2">
        <v>10235</v>
      </c>
      <c r="AC2">
        <v>10276</v>
      </c>
    </row>
    <row r="3" spans="1:29">
      <c r="A3" t="s">
        <v>134</v>
      </c>
      <c r="B3">
        <v>34683</v>
      </c>
      <c r="C3">
        <v>35195</v>
      </c>
      <c r="D3">
        <v>35481</v>
      </c>
      <c r="E3">
        <v>35327</v>
      </c>
      <c r="F3">
        <v>35021</v>
      </c>
      <c r="G3">
        <v>34630</v>
      </c>
      <c r="H3">
        <v>34343</v>
      </c>
      <c r="I3">
        <v>34091</v>
      </c>
      <c r="J3">
        <v>33821</v>
      </c>
      <c r="K3">
        <v>33589</v>
      </c>
      <c r="L3">
        <v>33361</v>
      </c>
      <c r="M3">
        <v>33221</v>
      </c>
      <c r="N3">
        <v>33079</v>
      </c>
      <c r="O3">
        <v>32948</v>
      </c>
      <c r="P3">
        <v>32832</v>
      </c>
      <c r="Q3">
        <v>32721</v>
      </c>
      <c r="R3">
        <v>32618</v>
      </c>
      <c r="S3">
        <v>32565</v>
      </c>
      <c r="T3">
        <v>32563</v>
      </c>
      <c r="U3">
        <v>32510</v>
      </c>
      <c r="V3">
        <v>32397</v>
      </c>
      <c r="W3">
        <v>32242</v>
      </c>
      <c r="X3">
        <v>32110</v>
      </c>
      <c r="Y3">
        <v>32000</v>
      </c>
      <c r="Z3">
        <v>32024</v>
      </c>
      <c r="AA3">
        <v>32063</v>
      </c>
      <c r="AB3">
        <v>32119</v>
      </c>
      <c r="AC3">
        <v>32185</v>
      </c>
    </row>
    <row r="4" spans="1:29">
      <c r="A4" t="s">
        <v>131</v>
      </c>
      <c r="B4">
        <v>1066931</v>
      </c>
      <c r="C4">
        <v>1066931</v>
      </c>
      <c r="D4">
        <v>1066931</v>
      </c>
      <c r="E4">
        <v>1066931</v>
      </c>
      <c r="F4">
        <v>1066931</v>
      </c>
      <c r="G4">
        <v>1066931</v>
      </c>
      <c r="H4">
        <v>1066931</v>
      </c>
      <c r="I4">
        <v>1066931</v>
      </c>
      <c r="J4">
        <v>1066931</v>
      </c>
      <c r="K4">
        <v>1066931</v>
      </c>
      <c r="L4">
        <v>1066931</v>
      </c>
      <c r="M4">
        <v>1066931</v>
      </c>
      <c r="N4">
        <v>1066931</v>
      </c>
      <c r="O4">
        <v>1066931</v>
      </c>
      <c r="P4">
        <v>1066931</v>
      </c>
      <c r="Q4">
        <v>1066931</v>
      </c>
      <c r="R4">
        <v>1066931</v>
      </c>
      <c r="S4">
        <v>1066931</v>
      </c>
      <c r="T4">
        <v>1066931</v>
      </c>
      <c r="U4">
        <v>1066931</v>
      </c>
      <c r="V4">
        <v>1066931</v>
      </c>
      <c r="W4">
        <v>1066931</v>
      </c>
      <c r="X4">
        <v>1066931</v>
      </c>
      <c r="Y4">
        <v>1066931</v>
      </c>
      <c r="Z4">
        <v>1066931</v>
      </c>
      <c r="AA4">
        <v>1066931</v>
      </c>
      <c r="AB4">
        <v>1066931</v>
      </c>
      <c r="AC4">
        <v>1066931</v>
      </c>
    </row>
    <row r="5" spans="1:29">
      <c r="A5" t="s">
        <v>220</v>
      </c>
      <c r="B5">
        <v>18575</v>
      </c>
      <c r="C5">
        <v>18575</v>
      </c>
      <c r="D5">
        <v>18575</v>
      </c>
      <c r="E5">
        <v>18575</v>
      </c>
      <c r="F5">
        <v>18575</v>
      </c>
      <c r="G5">
        <v>18575</v>
      </c>
      <c r="H5">
        <v>18575</v>
      </c>
      <c r="I5">
        <v>18575</v>
      </c>
      <c r="J5">
        <v>18575</v>
      </c>
      <c r="K5">
        <v>18575</v>
      </c>
      <c r="L5">
        <v>18575</v>
      </c>
      <c r="M5">
        <v>18575</v>
      </c>
      <c r="N5">
        <v>18575</v>
      </c>
      <c r="O5">
        <v>18575</v>
      </c>
      <c r="P5">
        <v>18575</v>
      </c>
      <c r="Q5">
        <v>18575</v>
      </c>
      <c r="R5">
        <v>18575</v>
      </c>
      <c r="S5">
        <v>18575</v>
      </c>
      <c r="T5">
        <v>18575</v>
      </c>
      <c r="U5">
        <v>18575</v>
      </c>
      <c r="V5">
        <v>18575</v>
      </c>
      <c r="W5">
        <v>18575</v>
      </c>
      <c r="X5">
        <v>18575</v>
      </c>
      <c r="Y5">
        <v>18575</v>
      </c>
      <c r="Z5">
        <v>18575</v>
      </c>
      <c r="AA5">
        <v>18575</v>
      </c>
      <c r="AB5">
        <v>18575</v>
      </c>
      <c r="AC5">
        <v>18575</v>
      </c>
    </row>
    <row r="6" spans="1:29">
      <c r="A6" t="s">
        <v>221</v>
      </c>
      <c r="B6">
        <v>247923</v>
      </c>
      <c r="C6">
        <v>247923</v>
      </c>
      <c r="D6">
        <v>247923</v>
      </c>
      <c r="E6">
        <v>247923</v>
      </c>
      <c r="F6">
        <v>247923</v>
      </c>
      <c r="G6">
        <v>247923</v>
      </c>
      <c r="H6">
        <v>247923</v>
      </c>
      <c r="I6">
        <v>247923</v>
      </c>
      <c r="J6">
        <v>247923</v>
      </c>
      <c r="K6">
        <v>247923</v>
      </c>
      <c r="L6">
        <v>247923</v>
      </c>
      <c r="M6">
        <v>247923</v>
      </c>
      <c r="N6">
        <v>247923</v>
      </c>
      <c r="O6">
        <v>247923</v>
      </c>
      <c r="P6">
        <v>247923</v>
      </c>
      <c r="Q6">
        <v>247923</v>
      </c>
      <c r="R6">
        <v>247923</v>
      </c>
      <c r="S6">
        <v>247923</v>
      </c>
      <c r="T6">
        <v>247923</v>
      </c>
      <c r="U6">
        <v>247923</v>
      </c>
      <c r="V6">
        <v>247923</v>
      </c>
      <c r="W6">
        <v>247923</v>
      </c>
      <c r="X6">
        <v>247923</v>
      </c>
      <c r="Y6">
        <v>247923</v>
      </c>
      <c r="Z6">
        <v>247923</v>
      </c>
      <c r="AA6">
        <v>247923</v>
      </c>
      <c r="AB6">
        <v>247923</v>
      </c>
      <c r="AC6">
        <v>247923</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3"/>
  <cols>
    <col min="1" max="1" width="41.7265625" style="41" customWidth="1"/>
    <col min="2" max="32" width="8.86328125" style="41" hidden="1" customWidth="1"/>
    <col min="33" max="35" width="8.86328125" style="41" bestFit="1" customWidth="1"/>
    <col min="36" max="37" width="8.86328125" style="41" customWidth="1"/>
    <col min="38" max="245" width="9.1328125" style="41"/>
    <col min="246" max="246" width="37.7265625" style="41" customWidth="1"/>
    <col min="247" max="273" width="12.1328125" style="41" customWidth="1"/>
    <col min="274" max="274" width="12.7265625" style="41" customWidth="1"/>
    <col min="275" max="276" width="9.1328125" style="41"/>
    <col min="277" max="278" width="13.40625" style="41" customWidth="1"/>
    <col min="279" max="279" width="13.86328125" style="41" customWidth="1"/>
    <col min="280" max="501" width="9.1328125" style="41"/>
    <col min="502" max="502" width="37.7265625" style="41" customWidth="1"/>
    <col min="503" max="529" width="12.1328125" style="41" customWidth="1"/>
    <col min="530" max="530" width="12.7265625" style="41" customWidth="1"/>
    <col min="531" max="532" width="9.1328125" style="41"/>
    <col min="533" max="534" width="13.40625" style="41" customWidth="1"/>
    <col min="535" max="535" width="13.86328125" style="41" customWidth="1"/>
    <col min="536" max="757" width="9.1328125" style="41"/>
    <col min="758" max="758" width="37.7265625" style="41" customWidth="1"/>
    <col min="759" max="785" width="12.1328125" style="41" customWidth="1"/>
    <col min="786" max="786" width="12.7265625" style="41" customWidth="1"/>
    <col min="787" max="788" width="9.1328125" style="41"/>
    <col min="789" max="790" width="13.40625" style="41" customWidth="1"/>
    <col min="791" max="791" width="13.86328125" style="41" customWidth="1"/>
    <col min="792" max="1013" width="9.1328125" style="41"/>
    <col min="1014" max="1014" width="37.7265625" style="41" customWidth="1"/>
    <col min="1015" max="1041" width="12.1328125" style="41" customWidth="1"/>
    <col min="1042" max="1042" width="12.7265625" style="41" customWidth="1"/>
    <col min="1043" max="1044" width="9.1328125" style="41"/>
    <col min="1045" max="1046" width="13.40625" style="41" customWidth="1"/>
    <col min="1047" max="1047" width="13.86328125" style="41" customWidth="1"/>
    <col min="1048" max="1269" width="9.1328125" style="41"/>
    <col min="1270" max="1270" width="37.7265625" style="41" customWidth="1"/>
    <col min="1271" max="1297" width="12.1328125" style="41" customWidth="1"/>
    <col min="1298" max="1298" width="12.7265625" style="41" customWidth="1"/>
    <col min="1299" max="1300" width="9.1328125" style="41"/>
    <col min="1301" max="1302" width="13.40625" style="41" customWidth="1"/>
    <col min="1303" max="1303" width="13.86328125" style="41" customWidth="1"/>
    <col min="1304" max="1525" width="9.1328125" style="41"/>
    <col min="1526" max="1526" width="37.7265625" style="41" customWidth="1"/>
    <col min="1527" max="1553" width="12.1328125" style="41" customWidth="1"/>
    <col min="1554" max="1554" width="12.7265625" style="41" customWidth="1"/>
    <col min="1555" max="1556" width="9.1328125" style="41"/>
    <col min="1557" max="1558" width="13.40625" style="41" customWidth="1"/>
    <col min="1559" max="1559" width="13.86328125" style="41" customWidth="1"/>
    <col min="1560" max="1781" width="9.1328125" style="41"/>
    <col min="1782" max="1782" width="37.7265625" style="41" customWidth="1"/>
    <col min="1783" max="1809" width="12.1328125" style="41" customWidth="1"/>
    <col min="1810" max="1810" width="12.7265625" style="41" customWidth="1"/>
    <col min="1811" max="1812" width="9.1328125" style="41"/>
    <col min="1813" max="1814" width="13.40625" style="41" customWidth="1"/>
    <col min="1815" max="1815" width="13.86328125" style="41" customWidth="1"/>
    <col min="1816" max="2037" width="9.1328125" style="41"/>
    <col min="2038" max="2038" width="37.7265625" style="41" customWidth="1"/>
    <col min="2039" max="2065" width="12.1328125" style="41" customWidth="1"/>
    <col min="2066" max="2066" width="12.7265625" style="41" customWidth="1"/>
    <col min="2067" max="2068" width="9.1328125" style="41"/>
    <col min="2069" max="2070" width="13.40625" style="41" customWidth="1"/>
    <col min="2071" max="2071" width="13.86328125" style="41" customWidth="1"/>
    <col min="2072" max="2293" width="9.1328125" style="41"/>
    <col min="2294" max="2294" width="37.7265625" style="41" customWidth="1"/>
    <col min="2295" max="2321" width="12.1328125" style="41" customWidth="1"/>
    <col min="2322" max="2322" width="12.7265625" style="41" customWidth="1"/>
    <col min="2323" max="2324" width="9.1328125" style="41"/>
    <col min="2325" max="2326" width="13.40625" style="41" customWidth="1"/>
    <col min="2327" max="2327" width="13.86328125" style="41" customWidth="1"/>
    <col min="2328" max="2549" width="9.1328125" style="41"/>
    <col min="2550" max="2550" width="37.7265625" style="41" customWidth="1"/>
    <col min="2551" max="2577" width="12.1328125" style="41" customWidth="1"/>
    <col min="2578" max="2578" width="12.7265625" style="41" customWidth="1"/>
    <col min="2579" max="2580" width="9.1328125" style="41"/>
    <col min="2581" max="2582" width="13.40625" style="41" customWidth="1"/>
    <col min="2583" max="2583" width="13.86328125" style="41" customWidth="1"/>
    <col min="2584" max="2805" width="9.1328125" style="41"/>
    <col min="2806" max="2806" width="37.7265625" style="41" customWidth="1"/>
    <col min="2807" max="2833" width="12.1328125" style="41" customWidth="1"/>
    <col min="2834" max="2834" width="12.7265625" style="41" customWidth="1"/>
    <col min="2835" max="2836" width="9.1328125" style="41"/>
    <col min="2837" max="2838" width="13.40625" style="41" customWidth="1"/>
    <col min="2839" max="2839" width="13.86328125" style="41" customWidth="1"/>
    <col min="2840" max="3061" width="9.1328125" style="41"/>
    <col min="3062" max="3062" width="37.7265625" style="41" customWidth="1"/>
    <col min="3063" max="3089" width="12.1328125" style="41" customWidth="1"/>
    <col min="3090" max="3090" width="12.7265625" style="41" customWidth="1"/>
    <col min="3091" max="3092" width="9.1328125" style="41"/>
    <col min="3093" max="3094" width="13.40625" style="41" customWidth="1"/>
    <col min="3095" max="3095" width="13.86328125" style="41" customWidth="1"/>
    <col min="3096" max="3317" width="9.1328125" style="41"/>
    <col min="3318" max="3318" width="37.7265625" style="41" customWidth="1"/>
    <col min="3319" max="3345" width="12.1328125" style="41" customWidth="1"/>
    <col min="3346" max="3346" width="12.7265625" style="41" customWidth="1"/>
    <col min="3347" max="3348" width="9.1328125" style="41"/>
    <col min="3349" max="3350" width="13.40625" style="41" customWidth="1"/>
    <col min="3351" max="3351" width="13.86328125" style="41" customWidth="1"/>
    <col min="3352" max="3573" width="9.1328125" style="41"/>
    <col min="3574" max="3574" width="37.7265625" style="41" customWidth="1"/>
    <col min="3575" max="3601" width="12.1328125" style="41" customWidth="1"/>
    <col min="3602" max="3602" width="12.7265625" style="41" customWidth="1"/>
    <col min="3603" max="3604" width="9.1328125" style="41"/>
    <col min="3605" max="3606" width="13.40625" style="41" customWidth="1"/>
    <col min="3607" max="3607" width="13.86328125" style="41" customWidth="1"/>
    <col min="3608" max="3829" width="9.1328125" style="41"/>
    <col min="3830" max="3830" width="37.7265625" style="41" customWidth="1"/>
    <col min="3831" max="3857" width="12.1328125" style="41" customWidth="1"/>
    <col min="3858" max="3858" width="12.7265625" style="41" customWidth="1"/>
    <col min="3859" max="3860" width="9.1328125" style="41"/>
    <col min="3861" max="3862" width="13.40625" style="41" customWidth="1"/>
    <col min="3863" max="3863" width="13.86328125" style="41" customWidth="1"/>
    <col min="3864" max="4085" width="9.1328125" style="41"/>
    <col min="4086" max="4086" width="37.7265625" style="41" customWidth="1"/>
    <col min="4087" max="4113" width="12.1328125" style="41" customWidth="1"/>
    <col min="4114" max="4114" width="12.7265625" style="41" customWidth="1"/>
    <col min="4115" max="4116" width="9.1328125" style="41"/>
    <col min="4117" max="4118" width="13.40625" style="41" customWidth="1"/>
    <col min="4119" max="4119" width="13.86328125" style="41" customWidth="1"/>
    <col min="4120" max="4341" width="9.1328125" style="41"/>
    <col min="4342" max="4342" width="37.7265625" style="41" customWidth="1"/>
    <col min="4343" max="4369" width="12.1328125" style="41" customWidth="1"/>
    <col min="4370" max="4370" width="12.7265625" style="41" customWidth="1"/>
    <col min="4371" max="4372" width="9.1328125" style="41"/>
    <col min="4373" max="4374" width="13.40625" style="41" customWidth="1"/>
    <col min="4375" max="4375" width="13.86328125" style="41" customWidth="1"/>
    <col min="4376" max="4597" width="9.1328125" style="41"/>
    <col min="4598" max="4598" width="37.7265625" style="41" customWidth="1"/>
    <col min="4599" max="4625" width="12.1328125" style="41" customWidth="1"/>
    <col min="4626" max="4626" width="12.7265625" style="41" customWidth="1"/>
    <col min="4627" max="4628" width="9.1328125" style="41"/>
    <col min="4629" max="4630" width="13.40625" style="41" customWidth="1"/>
    <col min="4631" max="4631" width="13.86328125" style="41" customWidth="1"/>
    <col min="4632" max="4853" width="9.1328125" style="41"/>
    <col min="4854" max="4854" width="37.7265625" style="41" customWidth="1"/>
    <col min="4855" max="4881" width="12.1328125" style="41" customWidth="1"/>
    <col min="4882" max="4882" width="12.7265625" style="41" customWidth="1"/>
    <col min="4883" max="4884" width="9.1328125" style="41"/>
    <col min="4885" max="4886" width="13.40625" style="41" customWidth="1"/>
    <col min="4887" max="4887" width="13.86328125" style="41" customWidth="1"/>
    <col min="4888" max="5109" width="9.1328125" style="41"/>
    <col min="5110" max="5110" width="37.7265625" style="41" customWidth="1"/>
    <col min="5111" max="5137" width="12.1328125" style="41" customWidth="1"/>
    <col min="5138" max="5138" width="12.7265625" style="41" customWidth="1"/>
    <col min="5139" max="5140" width="9.1328125" style="41"/>
    <col min="5141" max="5142" width="13.40625" style="41" customWidth="1"/>
    <col min="5143" max="5143" width="13.86328125" style="41" customWidth="1"/>
    <col min="5144" max="5365" width="9.1328125" style="41"/>
    <col min="5366" max="5366" width="37.7265625" style="41" customWidth="1"/>
    <col min="5367" max="5393" width="12.1328125" style="41" customWidth="1"/>
    <col min="5394" max="5394" width="12.7265625" style="41" customWidth="1"/>
    <col min="5395" max="5396" width="9.1328125" style="41"/>
    <col min="5397" max="5398" width="13.40625" style="41" customWidth="1"/>
    <col min="5399" max="5399" width="13.86328125" style="41" customWidth="1"/>
    <col min="5400" max="5621" width="9.1328125" style="41"/>
    <col min="5622" max="5622" width="37.7265625" style="41" customWidth="1"/>
    <col min="5623" max="5649" width="12.1328125" style="41" customWidth="1"/>
    <col min="5650" max="5650" width="12.7265625" style="41" customWidth="1"/>
    <col min="5651" max="5652" width="9.1328125" style="41"/>
    <col min="5653" max="5654" width="13.40625" style="41" customWidth="1"/>
    <col min="5655" max="5655" width="13.86328125" style="41" customWidth="1"/>
    <col min="5656" max="5877" width="9.1328125" style="41"/>
    <col min="5878" max="5878" width="37.7265625" style="41" customWidth="1"/>
    <col min="5879" max="5905" width="12.1328125" style="41" customWidth="1"/>
    <col min="5906" max="5906" width="12.7265625" style="41" customWidth="1"/>
    <col min="5907" max="5908" width="9.1328125" style="41"/>
    <col min="5909" max="5910" width="13.40625" style="41" customWidth="1"/>
    <col min="5911" max="5911" width="13.86328125" style="41" customWidth="1"/>
    <col min="5912" max="6133" width="9.1328125" style="41"/>
    <col min="6134" max="6134" width="37.7265625" style="41" customWidth="1"/>
    <col min="6135" max="6161" width="12.1328125" style="41" customWidth="1"/>
    <col min="6162" max="6162" width="12.7265625" style="41" customWidth="1"/>
    <col min="6163" max="6164" width="9.1328125" style="41"/>
    <col min="6165" max="6166" width="13.40625" style="41" customWidth="1"/>
    <col min="6167" max="6167" width="13.86328125" style="41" customWidth="1"/>
    <col min="6168" max="6389" width="9.1328125" style="41"/>
    <col min="6390" max="6390" width="37.7265625" style="41" customWidth="1"/>
    <col min="6391" max="6417" width="12.1328125" style="41" customWidth="1"/>
    <col min="6418" max="6418" width="12.7265625" style="41" customWidth="1"/>
    <col min="6419" max="6420" width="9.1328125" style="41"/>
    <col min="6421" max="6422" width="13.40625" style="41" customWidth="1"/>
    <col min="6423" max="6423" width="13.86328125" style="41" customWidth="1"/>
    <col min="6424" max="6645" width="9.1328125" style="41"/>
    <col min="6646" max="6646" width="37.7265625" style="41" customWidth="1"/>
    <col min="6647" max="6673" width="12.1328125" style="41" customWidth="1"/>
    <col min="6674" max="6674" width="12.7265625" style="41" customWidth="1"/>
    <col min="6675" max="6676" width="9.1328125" style="41"/>
    <col min="6677" max="6678" width="13.40625" style="41" customWidth="1"/>
    <col min="6679" max="6679" width="13.86328125" style="41" customWidth="1"/>
    <col min="6680" max="6901" width="9.1328125" style="41"/>
    <col min="6902" max="6902" width="37.7265625" style="41" customWidth="1"/>
    <col min="6903" max="6929" width="12.1328125" style="41" customWidth="1"/>
    <col min="6930" max="6930" width="12.7265625" style="41" customWidth="1"/>
    <col min="6931" max="6932" width="9.1328125" style="41"/>
    <col min="6933" max="6934" width="13.40625" style="41" customWidth="1"/>
    <col min="6935" max="6935" width="13.86328125" style="41" customWidth="1"/>
    <col min="6936" max="7157" width="9.1328125" style="41"/>
    <col min="7158" max="7158" width="37.7265625" style="41" customWidth="1"/>
    <col min="7159" max="7185" width="12.1328125" style="41" customWidth="1"/>
    <col min="7186" max="7186" width="12.7265625" style="41" customWidth="1"/>
    <col min="7187" max="7188" width="9.1328125" style="41"/>
    <col min="7189" max="7190" width="13.40625" style="41" customWidth="1"/>
    <col min="7191" max="7191" width="13.86328125" style="41" customWidth="1"/>
    <col min="7192" max="7413" width="9.1328125" style="41"/>
    <col min="7414" max="7414" width="37.7265625" style="41" customWidth="1"/>
    <col min="7415" max="7441" width="12.1328125" style="41" customWidth="1"/>
    <col min="7442" max="7442" width="12.7265625" style="41" customWidth="1"/>
    <col min="7443" max="7444" width="9.1328125" style="41"/>
    <col min="7445" max="7446" width="13.40625" style="41" customWidth="1"/>
    <col min="7447" max="7447" width="13.86328125" style="41" customWidth="1"/>
    <col min="7448" max="7669" width="9.1328125" style="41"/>
    <col min="7670" max="7670" width="37.7265625" style="41" customWidth="1"/>
    <col min="7671" max="7697" width="12.1328125" style="41" customWidth="1"/>
    <col min="7698" max="7698" width="12.7265625" style="41" customWidth="1"/>
    <col min="7699" max="7700" width="9.1328125" style="41"/>
    <col min="7701" max="7702" width="13.40625" style="41" customWidth="1"/>
    <col min="7703" max="7703" width="13.86328125" style="41" customWidth="1"/>
    <col min="7704" max="7925" width="9.1328125" style="41"/>
    <col min="7926" max="7926" width="37.7265625" style="41" customWidth="1"/>
    <col min="7927" max="7953" width="12.1328125" style="41" customWidth="1"/>
    <col min="7954" max="7954" width="12.7265625" style="41" customWidth="1"/>
    <col min="7955" max="7956" width="9.1328125" style="41"/>
    <col min="7957" max="7958" width="13.40625" style="41" customWidth="1"/>
    <col min="7959" max="7959" width="13.86328125" style="41" customWidth="1"/>
    <col min="7960" max="8181" width="9.1328125" style="41"/>
    <col min="8182" max="8182" width="37.7265625" style="41" customWidth="1"/>
    <col min="8183" max="8209" width="12.1328125" style="41" customWidth="1"/>
    <col min="8210" max="8210" width="12.7265625" style="41" customWidth="1"/>
    <col min="8211" max="8212" width="9.1328125" style="41"/>
    <col min="8213" max="8214" width="13.40625" style="41" customWidth="1"/>
    <col min="8215" max="8215" width="13.86328125" style="41" customWidth="1"/>
    <col min="8216" max="8437" width="9.1328125" style="41"/>
    <col min="8438" max="8438" width="37.7265625" style="41" customWidth="1"/>
    <col min="8439" max="8465" width="12.1328125" style="41" customWidth="1"/>
    <col min="8466" max="8466" width="12.7265625" style="41" customWidth="1"/>
    <col min="8467" max="8468" width="9.1328125" style="41"/>
    <col min="8469" max="8470" width="13.40625" style="41" customWidth="1"/>
    <col min="8471" max="8471" width="13.86328125" style="41" customWidth="1"/>
    <col min="8472" max="8693" width="9.1328125" style="41"/>
    <col min="8694" max="8694" width="37.7265625" style="41" customWidth="1"/>
    <col min="8695" max="8721" width="12.1328125" style="41" customWidth="1"/>
    <col min="8722" max="8722" width="12.7265625" style="41" customWidth="1"/>
    <col min="8723" max="8724" width="9.1328125" style="41"/>
    <col min="8725" max="8726" width="13.40625" style="41" customWidth="1"/>
    <col min="8727" max="8727" width="13.86328125" style="41" customWidth="1"/>
    <col min="8728" max="8949" width="9.1328125" style="41"/>
    <col min="8950" max="8950" width="37.7265625" style="41" customWidth="1"/>
    <col min="8951" max="8977" width="12.1328125" style="41" customWidth="1"/>
    <col min="8978" max="8978" width="12.7265625" style="41" customWidth="1"/>
    <col min="8979" max="8980" width="9.1328125" style="41"/>
    <col min="8981" max="8982" width="13.40625" style="41" customWidth="1"/>
    <col min="8983" max="8983" width="13.86328125" style="41" customWidth="1"/>
    <col min="8984" max="9205" width="9.1328125" style="41"/>
    <col min="9206" max="9206" width="37.7265625" style="41" customWidth="1"/>
    <col min="9207" max="9233" width="12.1328125" style="41" customWidth="1"/>
    <col min="9234" max="9234" width="12.7265625" style="41" customWidth="1"/>
    <col min="9235" max="9236" width="9.1328125" style="41"/>
    <col min="9237" max="9238" width="13.40625" style="41" customWidth="1"/>
    <col min="9239" max="9239" width="13.86328125" style="41" customWidth="1"/>
    <col min="9240" max="9461" width="9.1328125" style="41"/>
    <col min="9462" max="9462" width="37.7265625" style="41" customWidth="1"/>
    <col min="9463" max="9489" width="12.1328125" style="41" customWidth="1"/>
    <col min="9490" max="9490" width="12.7265625" style="41" customWidth="1"/>
    <col min="9491" max="9492" width="9.1328125" style="41"/>
    <col min="9493" max="9494" width="13.40625" style="41" customWidth="1"/>
    <col min="9495" max="9495" width="13.86328125" style="41" customWidth="1"/>
    <col min="9496" max="9717" width="9.1328125" style="41"/>
    <col min="9718" max="9718" width="37.7265625" style="41" customWidth="1"/>
    <col min="9719" max="9745" width="12.1328125" style="41" customWidth="1"/>
    <col min="9746" max="9746" width="12.7265625" style="41" customWidth="1"/>
    <col min="9747" max="9748" width="9.1328125" style="41"/>
    <col min="9749" max="9750" width="13.40625" style="41" customWidth="1"/>
    <col min="9751" max="9751" width="13.86328125" style="41" customWidth="1"/>
    <col min="9752" max="9973" width="9.1328125" style="41"/>
    <col min="9974" max="9974" width="37.7265625" style="41" customWidth="1"/>
    <col min="9975" max="10001" width="12.1328125" style="41" customWidth="1"/>
    <col min="10002" max="10002" width="12.7265625" style="41" customWidth="1"/>
    <col min="10003" max="10004" width="9.1328125" style="41"/>
    <col min="10005" max="10006" width="13.40625" style="41" customWidth="1"/>
    <col min="10007" max="10007" width="13.86328125" style="41" customWidth="1"/>
    <col min="10008" max="10229" width="9.1328125" style="41"/>
    <col min="10230" max="10230" width="37.7265625" style="41" customWidth="1"/>
    <col min="10231" max="10257" width="12.1328125" style="41" customWidth="1"/>
    <col min="10258" max="10258" width="12.7265625" style="41" customWidth="1"/>
    <col min="10259" max="10260" width="9.1328125" style="41"/>
    <col min="10261" max="10262" width="13.40625" style="41" customWidth="1"/>
    <col min="10263" max="10263" width="13.86328125" style="41" customWidth="1"/>
    <col min="10264" max="10485" width="9.1328125" style="41"/>
    <col min="10486" max="10486" width="37.7265625" style="41" customWidth="1"/>
    <col min="10487" max="10513" width="12.1328125" style="41" customWidth="1"/>
    <col min="10514" max="10514" width="12.7265625" style="41" customWidth="1"/>
    <col min="10515" max="10516" width="9.1328125" style="41"/>
    <col min="10517" max="10518" width="13.40625" style="41" customWidth="1"/>
    <col min="10519" max="10519" width="13.86328125" style="41" customWidth="1"/>
    <col min="10520" max="10741" width="9.1328125" style="41"/>
    <col min="10742" max="10742" width="37.7265625" style="41" customWidth="1"/>
    <col min="10743" max="10769" width="12.1328125" style="41" customWidth="1"/>
    <col min="10770" max="10770" width="12.7265625" style="41" customWidth="1"/>
    <col min="10771" max="10772" width="9.1328125" style="41"/>
    <col min="10773" max="10774" width="13.40625" style="41" customWidth="1"/>
    <col min="10775" max="10775" width="13.86328125" style="41" customWidth="1"/>
    <col min="10776" max="10997" width="9.1328125" style="41"/>
    <col min="10998" max="10998" width="37.7265625" style="41" customWidth="1"/>
    <col min="10999" max="11025" width="12.1328125" style="41" customWidth="1"/>
    <col min="11026" max="11026" width="12.7265625" style="41" customWidth="1"/>
    <col min="11027" max="11028" width="9.1328125" style="41"/>
    <col min="11029" max="11030" width="13.40625" style="41" customWidth="1"/>
    <col min="11031" max="11031" width="13.86328125" style="41" customWidth="1"/>
    <col min="11032" max="11253" width="9.1328125" style="41"/>
    <col min="11254" max="11254" width="37.7265625" style="41" customWidth="1"/>
    <col min="11255" max="11281" width="12.1328125" style="41" customWidth="1"/>
    <col min="11282" max="11282" width="12.7265625" style="41" customWidth="1"/>
    <col min="11283" max="11284" width="9.1328125" style="41"/>
    <col min="11285" max="11286" width="13.40625" style="41" customWidth="1"/>
    <col min="11287" max="11287" width="13.86328125" style="41" customWidth="1"/>
    <col min="11288" max="11509" width="9.1328125" style="41"/>
    <col min="11510" max="11510" width="37.7265625" style="41" customWidth="1"/>
    <col min="11511" max="11537" width="12.1328125" style="41" customWidth="1"/>
    <col min="11538" max="11538" width="12.7265625" style="41" customWidth="1"/>
    <col min="11539" max="11540" width="9.1328125" style="41"/>
    <col min="11541" max="11542" width="13.40625" style="41" customWidth="1"/>
    <col min="11543" max="11543" width="13.86328125" style="41" customWidth="1"/>
    <col min="11544" max="11765" width="9.1328125" style="41"/>
    <col min="11766" max="11766" width="37.7265625" style="41" customWidth="1"/>
    <col min="11767" max="11793" width="12.1328125" style="41" customWidth="1"/>
    <col min="11794" max="11794" width="12.7265625" style="41" customWidth="1"/>
    <col min="11795" max="11796" width="9.1328125" style="41"/>
    <col min="11797" max="11798" width="13.40625" style="41" customWidth="1"/>
    <col min="11799" max="11799" width="13.86328125" style="41" customWidth="1"/>
    <col min="11800" max="12021" width="9.1328125" style="41"/>
    <col min="12022" max="12022" width="37.7265625" style="41" customWidth="1"/>
    <col min="12023" max="12049" width="12.1328125" style="41" customWidth="1"/>
    <col min="12050" max="12050" width="12.7265625" style="41" customWidth="1"/>
    <col min="12051" max="12052" width="9.1328125" style="41"/>
    <col min="12053" max="12054" width="13.40625" style="41" customWidth="1"/>
    <col min="12055" max="12055" width="13.86328125" style="41" customWidth="1"/>
    <col min="12056" max="12277" width="9.1328125" style="41"/>
    <col min="12278" max="12278" width="37.7265625" style="41" customWidth="1"/>
    <col min="12279" max="12305" width="12.1328125" style="41" customWidth="1"/>
    <col min="12306" max="12306" width="12.7265625" style="41" customWidth="1"/>
    <col min="12307" max="12308" width="9.1328125" style="41"/>
    <col min="12309" max="12310" width="13.40625" style="41" customWidth="1"/>
    <col min="12311" max="12311" width="13.86328125" style="41" customWidth="1"/>
    <col min="12312" max="12533" width="9.1328125" style="41"/>
    <col min="12534" max="12534" width="37.7265625" style="41" customWidth="1"/>
    <col min="12535" max="12561" width="12.1328125" style="41" customWidth="1"/>
    <col min="12562" max="12562" width="12.7265625" style="41" customWidth="1"/>
    <col min="12563" max="12564" width="9.1328125" style="41"/>
    <col min="12565" max="12566" width="13.40625" style="41" customWidth="1"/>
    <col min="12567" max="12567" width="13.86328125" style="41" customWidth="1"/>
    <col min="12568" max="12789" width="9.1328125" style="41"/>
    <col min="12790" max="12790" width="37.7265625" style="41" customWidth="1"/>
    <col min="12791" max="12817" width="12.1328125" style="41" customWidth="1"/>
    <col min="12818" max="12818" width="12.7265625" style="41" customWidth="1"/>
    <col min="12819" max="12820" width="9.1328125" style="41"/>
    <col min="12821" max="12822" width="13.40625" style="41" customWidth="1"/>
    <col min="12823" max="12823" width="13.86328125" style="41" customWidth="1"/>
    <col min="12824" max="13045" width="9.1328125" style="41"/>
    <col min="13046" max="13046" width="37.7265625" style="41" customWidth="1"/>
    <col min="13047" max="13073" width="12.1328125" style="41" customWidth="1"/>
    <col min="13074" max="13074" width="12.7265625" style="41" customWidth="1"/>
    <col min="13075" max="13076" width="9.1328125" style="41"/>
    <col min="13077" max="13078" width="13.40625" style="41" customWidth="1"/>
    <col min="13079" max="13079" width="13.86328125" style="41" customWidth="1"/>
    <col min="13080" max="13301" width="9.1328125" style="41"/>
    <col min="13302" max="13302" width="37.7265625" style="41" customWidth="1"/>
    <col min="13303" max="13329" width="12.1328125" style="41" customWidth="1"/>
    <col min="13330" max="13330" width="12.7265625" style="41" customWidth="1"/>
    <col min="13331" max="13332" width="9.1328125" style="41"/>
    <col min="13333" max="13334" width="13.40625" style="41" customWidth="1"/>
    <col min="13335" max="13335" width="13.86328125" style="41" customWidth="1"/>
    <col min="13336" max="13557" width="9.1328125" style="41"/>
    <col min="13558" max="13558" width="37.7265625" style="41" customWidth="1"/>
    <col min="13559" max="13585" width="12.1328125" style="41" customWidth="1"/>
    <col min="13586" max="13586" width="12.7265625" style="41" customWidth="1"/>
    <col min="13587" max="13588" width="9.1328125" style="41"/>
    <col min="13589" max="13590" width="13.40625" style="41" customWidth="1"/>
    <col min="13591" max="13591" width="13.86328125" style="41" customWidth="1"/>
    <col min="13592" max="13813" width="9.1328125" style="41"/>
    <col min="13814" max="13814" width="37.7265625" style="41" customWidth="1"/>
    <col min="13815" max="13841" width="12.1328125" style="41" customWidth="1"/>
    <col min="13842" max="13842" width="12.7265625" style="41" customWidth="1"/>
    <col min="13843" max="13844" width="9.1328125" style="41"/>
    <col min="13845" max="13846" width="13.40625" style="41" customWidth="1"/>
    <col min="13847" max="13847" width="13.86328125" style="41" customWidth="1"/>
    <col min="13848" max="14069" width="9.1328125" style="41"/>
    <col min="14070" max="14070" width="37.7265625" style="41" customWidth="1"/>
    <col min="14071" max="14097" width="12.1328125" style="41" customWidth="1"/>
    <col min="14098" max="14098" width="12.7265625" style="41" customWidth="1"/>
    <col min="14099" max="14100" width="9.1328125" style="41"/>
    <col min="14101" max="14102" width="13.40625" style="41" customWidth="1"/>
    <col min="14103" max="14103" width="13.86328125" style="41" customWidth="1"/>
    <col min="14104" max="14325" width="9.1328125" style="41"/>
    <col min="14326" max="14326" width="37.7265625" style="41" customWidth="1"/>
    <col min="14327" max="14353" width="12.1328125" style="41" customWidth="1"/>
    <col min="14354" max="14354" width="12.7265625" style="41" customWidth="1"/>
    <col min="14355" max="14356" width="9.1328125" style="41"/>
    <col min="14357" max="14358" width="13.40625" style="41" customWidth="1"/>
    <col min="14359" max="14359" width="13.86328125" style="41" customWidth="1"/>
    <col min="14360" max="14581" width="9.1328125" style="41"/>
    <col min="14582" max="14582" width="37.7265625" style="41" customWidth="1"/>
    <col min="14583" max="14609" width="12.1328125" style="41" customWidth="1"/>
    <col min="14610" max="14610" width="12.7265625" style="41" customWidth="1"/>
    <col min="14611" max="14612" width="9.1328125" style="41"/>
    <col min="14613" max="14614" width="13.40625" style="41" customWidth="1"/>
    <col min="14615" max="14615" width="13.86328125" style="41" customWidth="1"/>
    <col min="14616" max="14837" width="9.1328125" style="41"/>
    <col min="14838" max="14838" width="37.7265625" style="41" customWidth="1"/>
    <col min="14839" max="14865" width="12.1328125" style="41" customWidth="1"/>
    <col min="14866" max="14866" width="12.7265625" style="41" customWidth="1"/>
    <col min="14867" max="14868" width="9.1328125" style="41"/>
    <col min="14869" max="14870" width="13.40625" style="41" customWidth="1"/>
    <col min="14871" max="14871" width="13.86328125" style="41" customWidth="1"/>
    <col min="14872" max="15093" width="9.1328125" style="41"/>
    <col min="15094" max="15094" width="37.7265625" style="41" customWidth="1"/>
    <col min="15095" max="15121" width="12.1328125" style="41" customWidth="1"/>
    <col min="15122" max="15122" width="12.7265625" style="41" customWidth="1"/>
    <col min="15123" max="15124" width="9.1328125" style="41"/>
    <col min="15125" max="15126" width="13.40625" style="41" customWidth="1"/>
    <col min="15127" max="15127" width="13.86328125" style="41" customWidth="1"/>
    <col min="15128" max="15349" width="9.1328125" style="41"/>
    <col min="15350" max="15350" width="37.7265625" style="41" customWidth="1"/>
    <col min="15351" max="15377" width="12.1328125" style="41" customWidth="1"/>
    <col min="15378" max="15378" width="12.7265625" style="41" customWidth="1"/>
    <col min="15379" max="15380" width="9.1328125" style="41"/>
    <col min="15381" max="15382" width="13.40625" style="41" customWidth="1"/>
    <col min="15383" max="15383" width="13.86328125" style="41" customWidth="1"/>
    <col min="15384" max="15605" width="9.1328125" style="41"/>
    <col min="15606" max="15606" width="37.7265625" style="41" customWidth="1"/>
    <col min="15607" max="15633" width="12.1328125" style="41" customWidth="1"/>
    <col min="15634" max="15634" width="12.7265625" style="41" customWidth="1"/>
    <col min="15635" max="15636" width="9.1328125" style="41"/>
    <col min="15637" max="15638" width="13.40625" style="41" customWidth="1"/>
    <col min="15639" max="15639" width="13.86328125" style="41" customWidth="1"/>
    <col min="15640" max="15861" width="9.1328125" style="41"/>
    <col min="15862" max="15862" width="37.7265625" style="41" customWidth="1"/>
    <col min="15863" max="15889" width="12.1328125" style="41" customWidth="1"/>
    <col min="15890" max="15890" width="12.7265625" style="41" customWidth="1"/>
    <col min="15891" max="15892" width="9.1328125" style="41"/>
    <col min="15893" max="15894" width="13.40625" style="41" customWidth="1"/>
    <col min="15895" max="15895" width="13.86328125" style="41" customWidth="1"/>
    <col min="15896" max="16117" width="9.1328125" style="41"/>
    <col min="16118" max="16118" width="37.7265625" style="41" customWidth="1"/>
    <col min="16119" max="16145" width="12.1328125" style="41" customWidth="1"/>
    <col min="16146" max="16146" width="12.7265625" style="41" customWidth="1"/>
    <col min="16147" max="16148" width="9.1328125" style="41"/>
    <col min="16149" max="16150" width="13.40625" style="41" customWidth="1"/>
    <col min="16151" max="16151" width="13.86328125" style="41" customWidth="1"/>
    <col min="16152" max="16384" width="9.1328125" style="41"/>
  </cols>
  <sheetData>
    <row r="1" spans="1:38" s="34" customFormat="1" ht="16.5" customHeight="1" thickBot="1">
      <c r="A1" s="187" t="s">
        <v>186</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188" t="s">
        <v>475</v>
      </c>
      <c r="B26" s="188"/>
      <c r="C26" s="188"/>
      <c r="D26" s="188"/>
      <c r="E26" s="188"/>
      <c r="F26" s="188"/>
      <c r="G26" s="188"/>
      <c r="H26" s="188"/>
      <c r="I26" s="188"/>
      <c r="J26" s="188"/>
      <c r="K26" s="188"/>
      <c r="L26" s="188"/>
      <c r="M26" s="188"/>
      <c r="N26" s="188"/>
      <c r="O26" s="188"/>
      <c r="P26" s="188"/>
      <c r="Q26" s="188"/>
      <c r="R26" s="188"/>
      <c r="S26" s="188"/>
      <c r="T26" s="188"/>
      <c r="U26" s="188"/>
      <c r="V26" s="188"/>
      <c r="W26" s="188"/>
      <c r="X26" s="188"/>
      <c r="Y26" s="188"/>
      <c r="Z26" s="188"/>
    </row>
    <row r="27" spans="1:38" s="56" customFormat="1" ht="12.75" customHeight="1">
      <c r="A27" s="189"/>
      <c r="B27" s="189"/>
      <c r="C27" s="189"/>
      <c r="D27" s="189"/>
      <c r="E27" s="189"/>
      <c r="F27" s="189"/>
      <c r="G27" s="189"/>
      <c r="H27" s="189"/>
      <c r="I27" s="189"/>
      <c r="J27" s="189"/>
      <c r="K27" s="189"/>
      <c r="L27" s="189"/>
      <c r="M27" s="189"/>
      <c r="N27" s="189"/>
      <c r="O27" s="189"/>
      <c r="P27" s="189"/>
      <c r="Q27" s="189"/>
      <c r="R27" s="189"/>
      <c r="S27" s="189"/>
      <c r="T27" s="189"/>
      <c r="U27" s="189"/>
      <c r="V27" s="189"/>
      <c r="W27" s="189"/>
      <c r="X27" s="189"/>
      <c r="Y27" s="189"/>
      <c r="Z27" s="189"/>
    </row>
    <row r="28" spans="1:38" s="44" customFormat="1" ht="38.25" customHeight="1">
      <c r="A28" s="198" t="s">
        <v>476</v>
      </c>
      <c r="B28" s="198"/>
      <c r="C28" s="198"/>
      <c r="D28" s="198"/>
      <c r="E28" s="198"/>
      <c r="F28" s="198"/>
      <c r="G28" s="198"/>
      <c r="H28" s="198"/>
      <c r="I28" s="198"/>
      <c r="J28" s="198"/>
      <c r="K28" s="198"/>
      <c r="L28" s="198"/>
      <c r="M28" s="198"/>
      <c r="N28" s="198"/>
      <c r="O28" s="198"/>
      <c r="P28" s="198"/>
      <c r="Q28" s="198"/>
      <c r="R28" s="198"/>
      <c r="S28" s="198"/>
      <c r="T28" s="198"/>
      <c r="U28" s="198"/>
      <c r="V28" s="198"/>
      <c r="W28" s="198"/>
      <c r="X28" s="198"/>
      <c r="Y28" s="198"/>
      <c r="Z28" s="198"/>
    </row>
    <row r="29" spans="1:38" s="44" customFormat="1" ht="12.75" customHeight="1">
      <c r="A29" s="198" t="s">
        <v>477</v>
      </c>
      <c r="B29" s="198"/>
      <c r="C29" s="198"/>
      <c r="D29" s="198"/>
      <c r="E29" s="198"/>
      <c r="F29" s="198"/>
      <c r="G29" s="198"/>
      <c r="H29" s="198"/>
      <c r="I29" s="198"/>
      <c r="J29" s="198"/>
      <c r="K29" s="198"/>
      <c r="L29" s="198"/>
      <c r="M29" s="198"/>
      <c r="N29" s="198"/>
      <c r="O29" s="198"/>
      <c r="P29" s="198"/>
      <c r="Q29" s="198"/>
      <c r="R29" s="198"/>
      <c r="S29" s="198"/>
      <c r="T29" s="198"/>
      <c r="U29" s="198"/>
      <c r="V29" s="198"/>
      <c r="W29" s="198"/>
      <c r="X29" s="198"/>
      <c r="Y29" s="198"/>
      <c r="Z29" s="198"/>
    </row>
    <row r="30" spans="1:38" s="44" customFormat="1" ht="12.75" customHeight="1">
      <c r="A30" s="198" t="s">
        <v>478</v>
      </c>
      <c r="B30" s="198"/>
      <c r="C30" s="198"/>
      <c r="D30" s="198"/>
      <c r="E30" s="198"/>
      <c r="F30" s="198"/>
      <c r="G30" s="198"/>
      <c r="H30" s="198"/>
      <c r="I30" s="198"/>
      <c r="J30" s="198"/>
      <c r="K30" s="198"/>
      <c r="L30" s="198"/>
      <c r="M30" s="198"/>
      <c r="N30" s="198"/>
      <c r="O30" s="198"/>
      <c r="P30" s="198"/>
      <c r="Q30" s="198"/>
      <c r="R30" s="198"/>
      <c r="S30" s="198"/>
      <c r="T30" s="198"/>
      <c r="U30" s="198"/>
      <c r="V30" s="198"/>
      <c r="W30" s="198"/>
      <c r="X30" s="198"/>
      <c r="Y30" s="198"/>
      <c r="Z30" s="198"/>
    </row>
    <row r="31" spans="1:38" s="44" customFormat="1" ht="25.5" customHeight="1">
      <c r="A31" s="198" t="s">
        <v>479</v>
      </c>
      <c r="B31" s="198"/>
      <c r="C31" s="198"/>
      <c r="D31" s="198"/>
      <c r="E31" s="198"/>
      <c r="F31" s="198"/>
      <c r="G31" s="198"/>
      <c r="H31" s="198"/>
      <c r="I31" s="198"/>
      <c r="J31" s="198"/>
      <c r="K31" s="198"/>
      <c r="L31" s="198"/>
      <c r="M31" s="198"/>
      <c r="N31" s="198"/>
      <c r="O31" s="198"/>
      <c r="P31" s="198"/>
      <c r="Q31" s="198"/>
      <c r="R31" s="198"/>
      <c r="S31" s="198"/>
      <c r="T31" s="198"/>
      <c r="U31" s="198"/>
      <c r="V31" s="198"/>
      <c r="W31" s="198"/>
      <c r="X31" s="198"/>
      <c r="Y31" s="198"/>
      <c r="Z31" s="198"/>
    </row>
    <row r="32" spans="1:38" s="44" customFormat="1" ht="12.75" customHeight="1">
      <c r="A32" s="198" t="s">
        <v>480</v>
      </c>
      <c r="B32" s="198"/>
      <c r="C32" s="198"/>
      <c r="D32" s="198"/>
      <c r="E32" s="198"/>
      <c r="F32" s="198"/>
      <c r="G32" s="198"/>
      <c r="H32" s="198"/>
      <c r="I32" s="198"/>
      <c r="J32" s="198"/>
      <c r="K32" s="198"/>
      <c r="L32" s="198"/>
      <c r="M32" s="198"/>
      <c r="N32" s="198"/>
      <c r="O32" s="198"/>
      <c r="P32" s="198"/>
      <c r="Q32" s="198"/>
      <c r="R32" s="198"/>
      <c r="S32" s="198"/>
      <c r="T32" s="198"/>
      <c r="U32" s="198"/>
      <c r="V32" s="198"/>
      <c r="W32" s="198"/>
      <c r="X32" s="198"/>
      <c r="Y32" s="198"/>
      <c r="Z32" s="198"/>
    </row>
    <row r="33" spans="1:26" s="44" customFormat="1" ht="12.75" customHeight="1">
      <c r="A33" s="198" t="s">
        <v>481</v>
      </c>
      <c r="B33" s="198"/>
      <c r="C33" s="198"/>
      <c r="D33" s="198"/>
      <c r="E33" s="198"/>
      <c r="F33" s="198"/>
      <c r="G33" s="198"/>
      <c r="H33" s="198"/>
      <c r="I33" s="198"/>
      <c r="J33" s="198"/>
      <c r="K33" s="198"/>
      <c r="L33" s="198"/>
      <c r="M33" s="198"/>
      <c r="N33" s="198"/>
      <c r="O33" s="198"/>
      <c r="P33" s="198"/>
      <c r="Q33" s="198"/>
      <c r="R33" s="198"/>
      <c r="S33" s="198"/>
      <c r="T33" s="198"/>
      <c r="U33" s="198"/>
      <c r="V33" s="198"/>
      <c r="W33" s="198"/>
      <c r="X33" s="198"/>
      <c r="Y33" s="198"/>
      <c r="Z33" s="198"/>
    </row>
    <row r="34" spans="1:26" s="44" customFormat="1" ht="12.75" customHeight="1">
      <c r="A34" s="198" t="s">
        <v>482</v>
      </c>
      <c r="B34" s="198"/>
      <c r="C34" s="198"/>
      <c r="D34" s="198"/>
      <c r="E34" s="198"/>
      <c r="F34" s="198"/>
      <c r="G34" s="198"/>
      <c r="H34" s="198"/>
      <c r="I34" s="198"/>
      <c r="J34" s="198"/>
      <c r="K34" s="198"/>
      <c r="L34" s="198"/>
      <c r="M34" s="198"/>
      <c r="N34" s="198"/>
      <c r="O34" s="198"/>
      <c r="P34" s="198"/>
      <c r="Q34" s="198"/>
      <c r="R34" s="198"/>
      <c r="S34" s="198"/>
      <c r="T34" s="198"/>
      <c r="U34" s="198"/>
      <c r="V34" s="198"/>
      <c r="W34" s="198"/>
      <c r="X34" s="198"/>
      <c r="Y34" s="198"/>
      <c r="Z34" s="198"/>
    </row>
    <row r="35" spans="1:26" s="44" customFormat="1" ht="12.75" customHeight="1">
      <c r="A35" s="199" t="s">
        <v>483</v>
      </c>
      <c r="B35" s="199"/>
      <c r="C35" s="199"/>
      <c r="D35" s="199"/>
      <c r="E35" s="199"/>
      <c r="F35" s="199"/>
      <c r="G35" s="199"/>
      <c r="H35" s="199"/>
      <c r="I35" s="199"/>
      <c r="J35" s="199"/>
      <c r="K35" s="199"/>
      <c r="L35" s="199"/>
      <c r="M35" s="199"/>
      <c r="N35" s="199"/>
      <c r="O35" s="199"/>
      <c r="P35" s="199"/>
      <c r="Q35" s="199"/>
      <c r="R35" s="199"/>
      <c r="S35" s="199"/>
      <c r="T35" s="199"/>
      <c r="U35" s="199"/>
      <c r="V35" s="199"/>
      <c r="W35" s="199"/>
      <c r="X35" s="199"/>
      <c r="Y35" s="199"/>
      <c r="Z35" s="199"/>
    </row>
    <row r="36" spans="1:26" s="44" customFormat="1" ht="12.75" customHeight="1">
      <c r="A36" s="198" t="s">
        <v>484</v>
      </c>
      <c r="B36" s="198"/>
      <c r="C36" s="198"/>
      <c r="D36" s="198"/>
      <c r="E36" s="198"/>
      <c r="F36" s="198"/>
      <c r="G36" s="198"/>
      <c r="H36" s="198"/>
      <c r="I36" s="198"/>
      <c r="J36" s="198"/>
      <c r="K36" s="198"/>
      <c r="L36" s="198"/>
      <c r="M36" s="198"/>
      <c r="N36" s="198"/>
      <c r="O36" s="198"/>
      <c r="P36" s="198"/>
      <c r="Q36" s="198"/>
      <c r="R36" s="198"/>
      <c r="S36" s="198"/>
      <c r="T36" s="198"/>
      <c r="U36" s="198"/>
      <c r="V36" s="198"/>
      <c r="W36" s="198"/>
      <c r="X36" s="198"/>
      <c r="Y36" s="198"/>
      <c r="Z36" s="198"/>
    </row>
    <row r="37" spans="1:26" s="44" customFormat="1" ht="25.5" customHeight="1">
      <c r="A37" s="198" t="s">
        <v>485</v>
      </c>
      <c r="B37" s="198"/>
      <c r="C37" s="198"/>
      <c r="D37" s="198"/>
      <c r="E37" s="198"/>
      <c r="F37" s="198"/>
      <c r="G37" s="198"/>
      <c r="H37" s="198"/>
      <c r="I37" s="198"/>
      <c r="J37" s="198"/>
      <c r="K37" s="198"/>
      <c r="L37" s="198"/>
      <c r="M37" s="198"/>
      <c r="N37" s="198"/>
      <c r="O37" s="198"/>
      <c r="P37" s="198"/>
      <c r="Q37" s="198"/>
      <c r="R37" s="198"/>
      <c r="S37" s="198"/>
      <c r="T37" s="198"/>
      <c r="U37" s="198"/>
      <c r="V37" s="198"/>
      <c r="W37" s="198"/>
      <c r="X37" s="198"/>
      <c r="Y37" s="198"/>
      <c r="Z37" s="198"/>
    </row>
    <row r="38" spans="1:26" s="44" customFormat="1" ht="12.75" customHeight="1">
      <c r="A38" s="200"/>
      <c r="B38" s="200"/>
      <c r="C38" s="200"/>
      <c r="D38" s="200"/>
      <c r="E38" s="200"/>
      <c r="F38" s="200"/>
      <c r="G38" s="200"/>
      <c r="H38" s="200"/>
      <c r="I38" s="200"/>
      <c r="J38" s="200"/>
      <c r="K38" s="200"/>
      <c r="L38" s="200"/>
      <c r="M38" s="200"/>
      <c r="N38" s="200"/>
      <c r="O38" s="200"/>
      <c r="P38" s="200"/>
      <c r="Q38" s="200"/>
      <c r="R38" s="200"/>
      <c r="S38" s="200"/>
      <c r="T38" s="200"/>
      <c r="U38" s="200"/>
      <c r="V38" s="200"/>
      <c r="W38" s="200"/>
      <c r="X38" s="200"/>
      <c r="Y38" s="200"/>
      <c r="Z38" s="200"/>
    </row>
    <row r="39" spans="1:26" s="44" customFormat="1" ht="12.75" customHeight="1">
      <c r="A39" s="201" t="s">
        <v>177</v>
      </c>
      <c r="B39" s="201"/>
      <c r="C39" s="201"/>
      <c r="D39" s="201"/>
      <c r="E39" s="201"/>
      <c r="F39" s="201"/>
      <c r="G39" s="201"/>
      <c r="H39" s="201"/>
      <c r="I39" s="201"/>
      <c r="J39" s="201"/>
      <c r="K39" s="201"/>
      <c r="L39" s="201"/>
      <c r="M39" s="201"/>
      <c r="N39" s="201"/>
      <c r="O39" s="201"/>
      <c r="P39" s="201"/>
      <c r="Q39" s="201"/>
      <c r="R39" s="201"/>
      <c r="S39" s="201"/>
      <c r="T39" s="201"/>
      <c r="U39" s="201"/>
      <c r="V39" s="201"/>
      <c r="W39" s="201"/>
      <c r="X39" s="201"/>
      <c r="Y39" s="201"/>
      <c r="Z39" s="201"/>
    </row>
    <row r="40" spans="1:26" s="44" customFormat="1" ht="12.75" customHeight="1">
      <c r="A40" s="194" t="s">
        <v>486</v>
      </c>
      <c r="B40" s="194"/>
      <c r="C40" s="194"/>
      <c r="D40" s="194"/>
      <c r="E40" s="194"/>
      <c r="F40" s="194"/>
      <c r="G40" s="194"/>
      <c r="H40" s="194"/>
      <c r="I40" s="194"/>
      <c r="J40" s="194"/>
      <c r="K40" s="194"/>
      <c r="L40" s="194"/>
      <c r="M40" s="194"/>
      <c r="N40" s="194"/>
      <c r="O40" s="194"/>
      <c r="P40" s="194"/>
      <c r="Q40" s="194"/>
      <c r="R40" s="194"/>
      <c r="S40" s="194"/>
      <c r="T40" s="194"/>
      <c r="U40" s="194"/>
      <c r="V40" s="194"/>
      <c r="W40" s="194"/>
      <c r="X40" s="194"/>
      <c r="Y40" s="194"/>
      <c r="Z40" s="194"/>
    </row>
    <row r="41" spans="1:26" s="44" customFormat="1" ht="38.25" customHeight="1">
      <c r="A41" s="194" t="s">
        <v>176</v>
      </c>
      <c r="B41" s="194"/>
      <c r="C41" s="194"/>
      <c r="D41" s="194"/>
      <c r="E41" s="194"/>
      <c r="F41" s="194"/>
      <c r="G41" s="194"/>
      <c r="H41" s="194"/>
      <c r="I41" s="194"/>
      <c r="J41" s="194"/>
      <c r="K41" s="194"/>
      <c r="L41" s="194"/>
      <c r="M41" s="194"/>
      <c r="N41" s="194"/>
      <c r="O41" s="194"/>
      <c r="P41" s="194"/>
      <c r="Q41" s="194"/>
      <c r="R41" s="194"/>
      <c r="S41" s="194"/>
      <c r="T41" s="194"/>
      <c r="U41" s="194"/>
      <c r="V41" s="194"/>
      <c r="W41" s="194"/>
      <c r="X41" s="194"/>
      <c r="Y41" s="194"/>
      <c r="Z41" s="194"/>
    </row>
    <row r="42" spans="1:26" s="44" customFormat="1" ht="25.5" customHeight="1">
      <c r="A42" s="194" t="s">
        <v>487</v>
      </c>
      <c r="B42" s="194"/>
      <c r="C42" s="194"/>
      <c r="D42" s="194"/>
      <c r="E42" s="194"/>
      <c r="F42" s="194"/>
      <c r="G42" s="194"/>
      <c r="H42" s="194"/>
      <c r="I42" s="194"/>
      <c r="J42" s="194"/>
      <c r="K42" s="194"/>
      <c r="L42" s="194"/>
      <c r="M42" s="194"/>
      <c r="N42" s="194"/>
      <c r="O42" s="194"/>
      <c r="P42" s="194"/>
      <c r="Q42" s="194"/>
      <c r="R42" s="194"/>
      <c r="S42" s="194"/>
      <c r="T42" s="194"/>
      <c r="U42" s="194"/>
      <c r="V42" s="194"/>
      <c r="W42" s="194"/>
      <c r="X42" s="194"/>
      <c r="Y42" s="194"/>
      <c r="Z42" s="194"/>
    </row>
    <row r="43" spans="1:26" s="44" customFormat="1" ht="25.5" customHeight="1">
      <c r="A43" s="194" t="s">
        <v>488</v>
      </c>
      <c r="B43" s="194"/>
      <c r="C43" s="194"/>
      <c r="D43" s="194"/>
      <c r="E43" s="194"/>
      <c r="F43" s="194"/>
      <c r="G43" s="194"/>
      <c r="H43" s="194"/>
      <c r="I43" s="194"/>
      <c r="J43" s="194"/>
      <c r="K43" s="194"/>
      <c r="L43" s="194"/>
      <c r="M43" s="194"/>
      <c r="N43" s="194"/>
      <c r="O43" s="194"/>
      <c r="P43" s="194"/>
      <c r="Q43" s="194"/>
      <c r="R43" s="194"/>
      <c r="S43" s="194"/>
      <c r="T43" s="194"/>
      <c r="U43" s="194"/>
      <c r="V43" s="194"/>
      <c r="W43" s="194"/>
      <c r="X43" s="194"/>
      <c r="Y43" s="194"/>
      <c r="Z43" s="194"/>
    </row>
    <row r="44" spans="1:26" s="44" customFormat="1" ht="12.75" customHeight="1">
      <c r="A44" s="196" t="s">
        <v>175</v>
      </c>
      <c r="B44" s="196"/>
      <c r="C44" s="196"/>
      <c r="D44" s="196"/>
      <c r="E44" s="196"/>
      <c r="F44" s="196"/>
      <c r="G44" s="196"/>
      <c r="H44" s="196"/>
      <c r="I44" s="196"/>
      <c r="J44" s="196"/>
      <c r="K44" s="196"/>
      <c r="L44" s="196"/>
      <c r="M44" s="196"/>
      <c r="N44" s="196"/>
      <c r="O44" s="196"/>
      <c r="P44" s="196"/>
      <c r="Q44" s="196"/>
      <c r="R44" s="196"/>
      <c r="S44" s="196"/>
      <c r="T44" s="196"/>
      <c r="U44" s="196"/>
      <c r="V44" s="196"/>
      <c r="W44" s="196"/>
      <c r="X44" s="196"/>
      <c r="Y44" s="196"/>
      <c r="Z44" s="196"/>
    </row>
    <row r="45" spans="1:26" s="44" customFormat="1" ht="24.75" customHeight="1">
      <c r="A45" s="196" t="s">
        <v>489</v>
      </c>
      <c r="B45" s="196"/>
      <c r="C45" s="196"/>
      <c r="D45" s="196"/>
      <c r="E45" s="196"/>
      <c r="F45" s="196"/>
      <c r="G45" s="196"/>
      <c r="H45" s="196"/>
      <c r="I45" s="196"/>
      <c r="J45" s="196"/>
      <c r="K45" s="196"/>
      <c r="L45" s="196"/>
      <c r="M45" s="196"/>
      <c r="N45" s="196"/>
      <c r="O45" s="196"/>
      <c r="P45" s="196"/>
      <c r="Q45" s="196"/>
      <c r="R45" s="196"/>
      <c r="S45" s="196"/>
      <c r="T45" s="196"/>
      <c r="U45" s="196"/>
      <c r="V45" s="196"/>
      <c r="W45" s="196"/>
      <c r="X45" s="196"/>
      <c r="Y45" s="196"/>
      <c r="Z45" s="196"/>
    </row>
    <row r="46" spans="1:26" s="44" customFormat="1" ht="12.75" customHeight="1">
      <c r="A46" s="192" t="s">
        <v>490</v>
      </c>
      <c r="B46" s="192"/>
      <c r="C46" s="192"/>
      <c r="D46" s="192"/>
      <c r="E46" s="192"/>
      <c r="F46" s="192"/>
      <c r="G46" s="192"/>
      <c r="H46" s="192"/>
      <c r="I46" s="192"/>
      <c r="J46" s="192"/>
      <c r="K46" s="192"/>
      <c r="L46" s="192"/>
      <c r="M46" s="192"/>
      <c r="N46" s="192"/>
      <c r="O46" s="192"/>
      <c r="P46" s="192"/>
      <c r="Q46" s="192"/>
      <c r="R46" s="192"/>
      <c r="S46" s="192"/>
      <c r="T46" s="192"/>
      <c r="U46" s="192"/>
      <c r="V46" s="192"/>
      <c r="W46" s="192"/>
      <c r="X46" s="192"/>
      <c r="Y46" s="192"/>
      <c r="Z46" s="192"/>
    </row>
    <row r="47" spans="1:26" s="44" customFormat="1" ht="12.75" customHeight="1">
      <c r="A47" s="197" t="s">
        <v>174</v>
      </c>
      <c r="B47" s="197"/>
      <c r="C47" s="197"/>
      <c r="D47" s="197"/>
      <c r="E47" s="197"/>
      <c r="F47" s="197"/>
      <c r="G47" s="197"/>
      <c r="H47" s="197"/>
      <c r="I47" s="197"/>
      <c r="J47" s="197"/>
      <c r="K47" s="197"/>
      <c r="L47" s="197"/>
      <c r="M47" s="197"/>
      <c r="N47" s="197"/>
      <c r="O47" s="197"/>
      <c r="P47" s="197"/>
      <c r="Q47" s="197"/>
      <c r="R47" s="197"/>
      <c r="S47" s="197"/>
      <c r="T47" s="197"/>
      <c r="U47" s="197"/>
      <c r="V47" s="197"/>
      <c r="W47" s="197"/>
      <c r="X47" s="197"/>
      <c r="Y47" s="197"/>
      <c r="Z47" s="197"/>
    </row>
    <row r="48" spans="1:26" s="44" customFormat="1" ht="12.75" customHeight="1">
      <c r="A48" s="194" t="s">
        <v>173</v>
      </c>
      <c r="B48" s="194"/>
      <c r="C48" s="194"/>
      <c r="D48" s="194"/>
      <c r="E48" s="194"/>
      <c r="F48" s="194"/>
      <c r="G48" s="194"/>
      <c r="H48" s="194"/>
      <c r="I48" s="194"/>
      <c r="J48" s="194"/>
      <c r="K48" s="194"/>
      <c r="L48" s="194"/>
      <c r="M48" s="194"/>
      <c r="N48" s="194"/>
      <c r="O48" s="194"/>
      <c r="P48" s="194"/>
      <c r="Q48" s="194"/>
      <c r="R48" s="194"/>
      <c r="S48" s="194"/>
      <c r="T48" s="194"/>
      <c r="U48" s="194"/>
      <c r="V48" s="194"/>
      <c r="W48" s="194"/>
      <c r="X48" s="194"/>
      <c r="Y48" s="194"/>
      <c r="Z48" s="194"/>
    </row>
    <row r="49" spans="1:26" s="44" customFormat="1" ht="12.75" customHeight="1">
      <c r="A49" s="194" t="s">
        <v>491</v>
      </c>
      <c r="B49" s="194"/>
      <c r="C49" s="194"/>
      <c r="D49" s="194"/>
      <c r="E49" s="194"/>
      <c r="F49" s="194"/>
      <c r="G49" s="194"/>
      <c r="H49" s="194"/>
      <c r="I49" s="194"/>
      <c r="J49" s="194"/>
      <c r="K49" s="194"/>
      <c r="L49" s="194"/>
      <c r="M49" s="194"/>
      <c r="N49" s="194"/>
      <c r="O49" s="194"/>
      <c r="P49" s="194"/>
      <c r="Q49" s="194"/>
      <c r="R49" s="194"/>
      <c r="S49" s="194"/>
      <c r="T49" s="194"/>
      <c r="U49" s="194"/>
      <c r="V49" s="194"/>
      <c r="W49" s="194"/>
      <c r="X49" s="194"/>
      <c r="Y49" s="194"/>
      <c r="Z49" s="194"/>
    </row>
    <row r="50" spans="1:26" s="44" customFormat="1" ht="12.75" customHeight="1">
      <c r="A50" s="192"/>
      <c r="B50" s="192"/>
      <c r="C50" s="192"/>
      <c r="D50" s="192"/>
      <c r="E50" s="192"/>
      <c r="F50" s="192"/>
      <c r="G50" s="192"/>
      <c r="H50" s="192"/>
      <c r="I50" s="192"/>
      <c r="J50" s="192"/>
      <c r="K50" s="192"/>
      <c r="L50" s="192"/>
      <c r="M50" s="192"/>
      <c r="N50" s="192"/>
      <c r="O50" s="192"/>
      <c r="P50" s="192"/>
      <c r="Q50" s="192"/>
      <c r="R50" s="192"/>
      <c r="S50" s="192"/>
      <c r="T50" s="192"/>
      <c r="U50" s="192"/>
      <c r="V50" s="192"/>
      <c r="W50" s="192"/>
      <c r="X50" s="192"/>
      <c r="Y50" s="192"/>
      <c r="Z50" s="192"/>
    </row>
    <row r="51" spans="1:26" s="44" customFormat="1" ht="12.75" customHeight="1">
      <c r="A51" s="195" t="s">
        <v>172</v>
      </c>
      <c r="B51" s="195"/>
      <c r="C51" s="195"/>
      <c r="D51" s="195"/>
      <c r="E51" s="195"/>
      <c r="F51" s="195"/>
      <c r="G51" s="195"/>
      <c r="H51" s="195"/>
      <c r="I51" s="195"/>
      <c r="J51" s="195"/>
      <c r="K51" s="195"/>
      <c r="L51" s="195"/>
      <c r="M51" s="195"/>
      <c r="N51" s="195"/>
      <c r="O51" s="195"/>
      <c r="P51" s="195"/>
      <c r="Q51" s="195"/>
      <c r="R51" s="195"/>
      <c r="S51" s="195"/>
      <c r="T51" s="195"/>
      <c r="U51" s="195"/>
      <c r="V51" s="195"/>
      <c r="W51" s="195"/>
      <c r="X51" s="195"/>
      <c r="Y51" s="195"/>
      <c r="Z51" s="195"/>
    </row>
    <row r="52" spans="1:26" s="44" customFormat="1" ht="12.75" customHeight="1">
      <c r="A52" s="195" t="s">
        <v>171</v>
      </c>
      <c r="B52" s="195"/>
      <c r="C52" s="195"/>
      <c r="D52" s="195"/>
      <c r="E52" s="195"/>
      <c r="F52" s="195"/>
      <c r="G52" s="195"/>
      <c r="H52" s="195"/>
      <c r="I52" s="195"/>
      <c r="J52" s="195"/>
      <c r="K52" s="195"/>
      <c r="L52" s="195"/>
      <c r="M52" s="195"/>
      <c r="N52" s="195"/>
      <c r="O52" s="195"/>
      <c r="P52" s="195"/>
      <c r="Q52" s="195"/>
      <c r="R52" s="195"/>
      <c r="S52" s="195"/>
      <c r="T52" s="195"/>
      <c r="U52" s="195"/>
      <c r="V52" s="195"/>
      <c r="W52" s="195"/>
      <c r="X52" s="195"/>
      <c r="Y52" s="195"/>
      <c r="Z52" s="195"/>
    </row>
    <row r="53" spans="1:26" s="44" customFormat="1" ht="12.75" customHeight="1">
      <c r="A53" s="193" t="s">
        <v>492</v>
      </c>
      <c r="B53" s="193"/>
      <c r="C53" s="193"/>
      <c r="D53" s="193"/>
      <c r="E53" s="193"/>
      <c r="F53" s="193"/>
      <c r="G53" s="193"/>
      <c r="H53" s="193"/>
      <c r="I53" s="193"/>
      <c r="J53" s="193"/>
      <c r="K53" s="193"/>
      <c r="L53" s="193"/>
      <c r="M53" s="193"/>
      <c r="N53" s="193"/>
      <c r="O53" s="193"/>
      <c r="P53" s="193"/>
      <c r="Q53" s="193"/>
      <c r="R53" s="193"/>
      <c r="S53" s="193"/>
      <c r="T53" s="193"/>
      <c r="U53" s="193"/>
      <c r="V53" s="193"/>
      <c r="W53" s="193"/>
      <c r="X53" s="193"/>
      <c r="Y53" s="193"/>
      <c r="Z53" s="193"/>
    </row>
    <row r="54" spans="1:26" s="44" customFormat="1" ht="12.75" customHeight="1">
      <c r="A54" s="186" t="s">
        <v>170</v>
      </c>
      <c r="B54" s="186"/>
      <c r="C54" s="186"/>
      <c r="D54" s="186"/>
      <c r="E54" s="186"/>
      <c r="F54" s="186"/>
      <c r="G54" s="186"/>
      <c r="H54" s="186"/>
      <c r="I54" s="186"/>
      <c r="J54" s="186"/>
      <c r="K54" s="186"/>
      <c r="L54" s="186"/>
      <c r="M54" s="186"/>
      <c r="N54" s="186"/>
      <c r="O54" s="186"/>
      <c r="P54" s="186"/>
      <c r="Q54" s="186"/>
      <c r="R54" s="186"/>
      <c r="S54" s="186"/>
      <c r="T54" s="186"/>
      <c r="U54" s="186"/>
      <c r="V54" s="186"/>
      <c r="W54" s="186"/>
      <c r="X54" s="186"/>
      <c r="Y54" s="186"/>
      <c r="Z54" s="186"/>
    </row>
    <row r="55" spans="1:26" s="44" customFormat="1" ht="12.75" customHeight="1">
      <c r="A55" s="186" t="s">
        <v>493</v>
      </c>
      <c r="B55" s="186"/>
      <c r="C55" s="186"/>
      <c r="D55" s="186"/>
      <c r="E55" s="186"/>
      <c r="F55" s="186"/>
      <c r="G55" s="186"/>
      <c r="H55" s="186"/>
      <c r="I55" s="186"/>
      <c r="J55" s="186"/>
      <c r="K55" s="186"/>
      <c r="L55" s="186"/>
      <c r="M55" s="186"/>
      <c r="N55" s="186"/>
      <c r="O55" s="186"/>
      <c r="P55" s="186"/>
      <c r="Q55" s="186"/>
      <c r="R55" s="186"/>
      <c r="S55" s="186"/>
      <c r="T55" s="186"/>
      <c r="U55" s="186"/>
      <c r="V55" s="186"/>
      <c r="W55" s="186"/>
      <c r="X55" s="186"/>
      <c r="Y55" s="186"/>
      <c r="Z55" s="186"/>
    </row>
    <row r="56" spans="1:26" s="44" customFormat="1" ht="12.75" customHeight="1">
      <c r="A56" s="192" t="s">
        <v>494</v>
      </c>
      <c r="B56" s="192"/>
      <c r="C56" s="192"/>
      <c r="D56" s="192"/>
      <c r="E56" s="192"/>
      <c r="F56" s="192"/>
      <c r="G56" s="192"/>
      <c r="H56" s="192"/>
      <c r="I56" s="192"/>
      <c r="J56" s="192"/>
      <c r="K56" s="192"/>
      <c r="L56" s="192"/>
      <c r="M56" s="192"/>
      <c r="N56" s="192"/>
      <c r="O56" s="192"/>
      <c r="P56" s="192"/>
      <c r="Q56" s="192"/>
      <c r="R56" s="192"/>
      <c r="S56" s="192"/>
      <c r="T56" s="192"/>
      <c r="U56" s="192"/>
      <c r="V56" s="192"/>
      <c r="W56" s="192"/>
      <c r="X56" s="192"/>
      <c r="Y56" s="192"/>
      <c r="Z56" s="192"/>
    </row>
    <row r="57" spans="1:26" s="44" customFormat="1" ht="12.75" customHeight="1">
      <c r="A57" s="192" t="s">
        <v>495</v>
      </c>
      <c r="B57" s="192"/>
      <c r="C57" s="192"/>
      <c r="D57" s="192"/>
      <c r="E57" s="192"/>
      <c r="F57" s="192"/>
      <c r="G57" s="192"/>
      <c r="H57" s="192"/>
      <c r="I57" s="192"/>
      <c r="J57" s="192"/>
      <c r="K57" s="192"/>
      <c r="L57" s="192"/>
      <c r="M57" s="192"/>
      <c r="N57" s="192"/>
      <c r="O57" s="192"/>
      <c r="P57" s="192"/>
      <c r="Q57" s="192"/>
      <c r="R57" s="192"/>
      <c r="S57" s="192"/>
      <c r="T57" s="192"/>
      <c r="U57" s="192"/>
      <c r="V57" s="192"/>
      <c r="W57" s="192"/>
      <c r="X57" s="192"/>
      <c r="Y57" s="192"/>
      <c r="Z57" s="192"/>
    </row>
    <row r="58" spans="1:26" s="44" customFormat="1" ht="12.95" customHeight="1">
      <c r="A58" s="193" t="s">
        <v>496</v>
      </c>
      <c r="B58" s="193"/>
      <c r="C58" s="193"/>
      <c r="D58" s="193"/>
      <c r="E58" s="193"/>
      <c r="F58" s="193"/>
      <c r="G58" s="193"/>
      <c r="H58" s="193"/>
      <c r="I58" s="193"/>
      <c r="J58" s="193"/>
      <c r="K58" s="193"/>
      <c r="L58" s="193"/>
      <c r="M58" s="193"/>
      <c r="N58" s="193"/>
      <c r="O58" s="193"/>
      <c r="P58" s="193"/>
      <c r="Q58" s="193"/>
      <c r="R58" s="193"/>
      <c r="S58" s="193"/>
      <c r="T58" s="193"/>
      <c r="U58" s="193"/>
      <c r="V58" s="193"/>
      <c r="W58" s="193"/>
      <c r="X58" s="193"/>
      <c r="Y58" s="193"/>
      <c r="Z58" s="193"/>
    </row>
    <row r="59" spans="1:26" s="44" customFormat="1" ht="12.95" customHeight="1">
      <c r="A59" s="192" t="s">
        <v>497</v>
      </c>
      <c r="B59" s="192"/>
      <c r="C59" s="192"/>
      <c r="D59" s="192"/>
      <c r="E59" s="192"/>
      <c r="F59" s="192"/>
      <c r="G59" s="192"/>
      <c r="H59" s="192"/>
      <c r="I59" s="192"/>
      <c r="J59" s="192"/>
      <c r="K59" s="192"/>
      <c r="L59" s="192"/>
      <c r="M59" s="192"/>
      <c r="N59" s="192"/>
      <c r="O59" s="192"/>
      <c r="P59" s="192"/>
      <c r="Q59" s="192"/>
      <c r="R59" s="192"/>
      <c r="S59" s="192"/>
      <c r="T59" s="192"/>
      <c r="U59" s="192"/>
      <c r="V59" s="192"/>
      <c r="W59" s="192"/>
      <c r="X59" s="192"/>
      <c r="Y59" s="192"/>
      <c r="Z59" s="192"/>
    </row>
    <row r="60" spans="1:26" s="44" customFormat="1" ht="12.75" customHeight="1">
      <c r="A60" s="190" t="s">
        <v>169</v>
      </c>
      <c r="B60" s="190"/>
      <c r="C60" s="190"/>
      <c r="D60" s="190"/>
      <c r="E60" s="190"/>
      <c r="F60" s="190"/>
      <c r="G60" s="190"/>
      <c r="H60" s="190"/>
      <c r="I60" s="190"/>
      <c r="J60" s="190"/>
      <c r="K60" s="190"/>
      <c r="L60" s="190"/>
      <c r="M60" s="190"/>
      <c r="N60" s="190"/>
      <c r="O60" s="190"/>
      <c r="P60" s="190"/>
      <c r="Q60" s="190"/>
      <c r="R60" s="190"/>
      <c r="S60" s="190"/>
      <c r="T60" s="190"/>
      <c r="U60" s="190"/>
      <c r="V60" s="190"/>
      <c r="W60" s="190"/>
      <c r="X60" s="190"/>
      <c r="Y60" s="190"/>
      <c r="Z60" s="190"/>
    </row>
    <row r="61" spans="1:26" s="44" customFormat="1" ht="12.75" customHeight="1">
      <c r="A61" s="191" t="s">
        <v>498</v>
      </c>
      <c r="B61" s="191"/>
      <c r="C61" s="191"/>
      <c r="D61" s="191"/>
      <c r="E61" s="191"/>
      <c r="F61" s="191"/>
      <c r="G61" s="191"/>
      <c r="H61" s="191"/>
      <c r="I61" s="191"/>
      <c r="J61" s="191"/>
      <c r="K61" s="191"/>
      <c r="L61" s="191"/>
      <c r="M61" s="191"/>
      <c r="N61" s="191"/>
      <c r="O61" s="191"/>
      <c r="P61" s="191"/>
      <c r="Q61" s="191"/>
      <c r="R61" s="191"/>
      <c r="S61" s="191"/>
      <c r="T61" s="191"/>
      <c r="U61" s="191"/>
      <c r="V61" s="191"/>
      <c r="W61" s="191"/>
      <c r="X61" s="191"/>
      <c r="Y61" s="191"/>
      <c r="Z61" s="191"/>
    </row>
    <row r="62" spans="1:26" s="44" customFormat="1" ht="12.75" customHeight="1">
      <c r="A62" s="192" t="s">
        <v>499</v>
      </c>
      <c r="B62" s="192"/>
      <c r="C62" s="192"/>
      <c r="D62" s="192"/>
      <c r="E62" s="192"/>
      <c r="F62" s="192"/>
      <c r="G62" s="192"/>
      <c r="H62" s="192"/>
      <c r="I62" s="192"/>
      <c r="J62" s="192"/>
      <c r="K62" s="192"/>
      <c r="L62" s="192"/>
      <c r="M62" s="192"/>
      <c r="N62" s="192"/>
      <c r="O62" s="192"/>
      <c r="P62" s="192"/>
      <c r="Q62" s="192"/>
      <c r="R62" s="192"/>
      <c r="S62" s="192"/>
      <c r="T62" s="192"/>
      <c r="U62" s="192"/>
      <c r="V62" s="192"/>
      <c r="W62" s="192"/>
      <c r="X62" s="192"/>
      <c r="Y62" s="192"/>
      <c r="Z62" s="192"/>
    </row>
    <row r="63" spans="1:26" s="45" customFormat="1" ht="12.75" customHeight="1">
      <c r="A63" s="186" t="s">
        <v>500</v>
      </c>
      <c r="B63" s="186"/>
      <c r="C63" s="186"/>
      <c r="D63" s="186"/>
      <c r="E63" s="186"/>
      <c r="F63" s="186"/>
      <c r="G63" s="186"/>
      <c r="H63" s="186"/>
      <c r="I63" s="186"/>
      <c r="J63" s="186"/>
      <c r="K63" s="186"/>
      <c r="L63" s="186"/>
      <c r="M63" s="186"/>
      <c r="N63" s="186"/>
      <c r="O63" s="186"/>
      <c r="P63" s="186"/>
      <c r="Q63" s="186"/>
      <c r="R63" s="186"/>
      <c r="S63" s="186"/>
      <c r="T63" s="186"/>
      <c r="U63" s="186"/>
      <c r="V63" s="186"/>
      <c r="W63" s="186"/>
      <c r="X63" s="186"/>
      <c r="Y63" s="186"/>
      <c r="Z63" s="186"/>
    </row>
    <row r="64" spans="1:26" s="45" customFormat="1" ht="12.75" customHeight="1">
      <c r="A64" s="191" t="s">
        <v>164</v>
      </c>
      <c r="B64" s="191"/>
      <c r="C64" s="191"/>
      <c r="D64" s="191"/>
      <c r="E64" s="191"/>
      <c r="F64" s="191"/>
      <c r="G64" s="191"/>
      <c r="H64" s="191"/>
      <c r="I64" s="191"/>
      <c r="J64" s="191"/>
      <c r="K64" s="191"/>
      <c r="L64" s="191"/>
      <c r="M64" s="191"/>
      <c r="N64" s="191"/>
      <c r="O64" s="191"/>
      <c r="P64" s="191"/>
      <c r="Q64" s="191"/>
      <c r="R64" s="191"/>
      <c r="S64" s="191"/>
      <c r="T64" s="191"/>
      <c r="U64" s="191"/>
      <c r="V64" s="191"/>
      <c r="W64" s="191"/>
      <c r="X64" s="191"/>
      <c r="Y64" s="191"/>
      <c r="Z64" s="191"/>
    </row>
    <row r="65" spans="1:26" s="44" customFormat="1" ht="12.75" customHeight="1">
      <c r="A65" s="192" t="s">
        <v>501</v>
      </c>
      <c r="B65" s="192"/>
      <c r="C65" s="192"/>
      <c r="D65" s="192"/>
      <c r="E65" s="192"/>
      <c r="F65" s="192"/>
      <c r="G65" s="192"/>
      <c r="H65" s="192"/>
      <c r="I65" s="192"/>
      <c r="J65" s="192"/>
      <c r="K65" s="192"/>
      <c r="L65" s="192"/>
      <c r="M65" s="192"/>
      <c r="N65" s="192"/>
      <c r="O65" s="192"/>
      <c r="P65" s="192"/>
      <c r="Q65" s="192"/>
      <c r="R65" s="192"/>
      <c r="S65" s="192"/>
      <c r="T65" s="192"/>
      <c r="U65" s="192"/>
      <c r="V65" s="192"/>
      <c r="W65" s="192"/>
      <c r="X65" s="192"/>
      <c r="Y65" s="192"/>
      <c r="Z65" s="192"/>
    </row>
    <row r="66" spans="1:26" s="45" customFormat="1" ht="12.75" customHeight="1">
      <c r="A66" s="186" t="s">
        <v>502</v>
      </c>
      <c r="B66" s="186"/>
      <c r="C66" s="186"/>
      <c r="D66" s="186"/>
      <c r="E66" s="186"/>
      <c r="F66" s="186"/>
      <c r="G66" s="186"/>
      <c r="H66" s="186"/>
      <c r="I66" s="186"/>
      <c r="J66" s="186"/>
      <c r="K66" s="186"/>
      <c r="L66" s="186"/>
      <c r="M66" s="186"/>
      <c r="N66" s="186"/>
      <c r="O66" s="186"/>
      <c r="P66" s="186"/>
      <c r="Q66" s="186"/>
      <c r="R66" s="186"/>
      <c r="S66" s="186"/>
      <c r="T66" s="186"/>
      <c r="U66" s="186"/>
      <c r="V66" s="186"/>
      <c r="W66" s="186"/>
      <c r="X66" s="186"/>
      <c r="Y66" s="186"/>
      <c r="Z66" s="186"/>
    </row>
    <row r="67" spans="1:26" s="45" customFormat="1" ht="12.75" customHeight="1">
      <c r="A67" s="190" t="s">
        <v>168</v>
      </c>
      <c r="B67" s="190"/>
      <c r="C67" s="190"/>
      <c r="D67" s="190"/>
      <c r="E67" s="190"/>
      <c r="F67" s="190"/>
      <c r="G67" s="190"/>
      <c r="H67" s="190"/>
      <c r="I67" s="190"/>
      <c r="J67" s="190"/>
      <c r="K67" s="190"/>
      <c r="L67" s="190"/>
      <c r="M67" s="190"/>
      <c r="N67" s="190"/>
      <c r="O67" s="190"/>
      <c r="P67" s="190"/>
      <c r="Q67" s="190"/>
      <c r="R67" s="190"/>
      <c r="S67" s="190"/>
      <c r="T67" s="190"/>
      <c r="U67" s="190"/>
      <c r="V67" s="190"/>
      <c r="W67" s="190"/>
      <c r="X67" s="190"/>
      <c r="Y67" s="190"/>
      <c r="Z67" s="190"/>
    </row>
    <row r="68" spans="1:26" s="45" customFormat="1" ht="12.75" customHeight="1">
      <c r="A68" s="191" t="s">
        <v>167</v>
      </c>
      <c r="B68" s="191"/>
      <c r="C68" s="191"/>
      <c r="D68" s="191"/>
      <c r="E68" s="191"/>
      <c r="F68" s="191"/>
      <c r="G68" s="191"/>
      <c r="H68" s="191"/>
      <c r="I68" s="191"/>
      <c r="J68" s="191"/>
      <c r="K68" s="191"/>
      <c r="L68" s="191"/>
      <c r="M68" s="191"/>
      <c r="N68" s="191"/>
      <c r="O68" s="191"/>
      <c r="P68" s="191"/>
      <c r="Q68" s="191"/>
      <c r="R68" s="191"/>
      <c r="S68" s="191"/>
      <c r="T68" s="191"/>
      <c r="U68" s="191"/>
      <c r="V68" s="191"/>
      <c r="W68" s="191"/>
      <c r="X68" s="191"/>
      <c r="Y68" s="191"/>
      <c r="Z68" s="191"/>
    </row>
    <row r="69" spans="1:26" s="45" customFormat="1" ht="12.75" customHeight="1">
      <c r="A69" s="186" t="s">
        <v>166</v>
      </c>
      <c r="B69" s="186"/>
      <c r="C69" s="186"/>
      <c r="D69" s="186"/>
      <c r="E69" s="186"/>
      <c r="F69" s="186"/>
      <c r="G69" s="186"/>
      <c r="H69" s="186"/>
      <c r="I69" s="186"/>
      <c r="J69" s="186"/>
      <c r="K69" s="186"/>
      <c r="L69" s="186"/>
      <c r="M69" s="186"/>
      <c r="N69" s="186"/>
      <c r="O69" s="186"/>
      <c r="P69" s="186"/>
      <c r="Q69" s="186"/>
      <c r="R69" s="186"/>
      <c r="S69" s="186"/>
      <c r="T69" s="186"/>
      <c r="U69" s="186"/>
      <c r="V69" s="186"/>
      <c r="W69" s="186"/>
      <c r="X69" s="186"/>
      <c r="Y69" s="186"/>
      <c r="Z69" s="186"/>
    </row>
    <row r="70" spans="1:26" s="44" customFormat="1" ht="12.75" customHeight="1">
      <c r="A70" s="186" t="s">
        <v>165</v>
      </c>
      <c r="B70" s="186"/>
      <c r="C70" s="186"/>
      <c r="D70" s="186"/>
      <c r="E70" s="186"/>
      <c r="F70" s="186"/>
      <c r="G70" s="186"/>
      <c r="H70" s="186"/>
      <c r="I70" s="186"/>
      <c r="J70" s="186"/>
      <c r="K70" s="186"/>
      <c r="L70" s="186"/>
      <c r="M70" s="186"/>
      <c r="N70" s="186"/>
      <c r="O70" s="186"/>
      <c r="P70" s="186"/>
      <c r="Q70" s="186"/>
      <c r="R70" s="186"/>
      <c r="S70" s="186"/>
      <c r="T70" s="186"/>
      <c r="U70" s="186"/>
      <c r="V70" s="186"/>
      <c r="W70" s="186"/>
      <c r="X70" s="186"/>
      <c r="Y70" s="186"/>
      <c r="Z70" s="186"/>
    </row>
    <row r="71" spans="1:26" s="44" customFormat="1" ht="12.75" customHeight="1">
      <c r="A71" s="186" t="s">
        <v>503</v>
      </c>
      <c r="B71" s="186"/>
      <c r="C71" s="186"/>
      <c r="D71" s="186"/>
      <c r="E71" s="186"/>
      <c r="F71" s="186"/>
      <c r="G71" s="186"/>
      <c r="H71" s="186"/>
      <c r="I71" s="186"/>
      <c r="J71" s="186"/>
      <c r="K71" s="186"/>
      <c r="L71" s="186"/>
      <c r="M71" s="186"/>
      <c r="N71" s="186"/>
      <c r="O71" s="186"/>
      <c r="P71" s="186"/>
      <c r="Q71" s="186"/>
      <c r="R71" s="186"/>
      <c r="S71" s="186"/>
      <c r="T71" s="186"/>
      <c r="U71" s="186"/>
      <c r="V71" s="186"/>
      <c r="W71" s="186"/>
      <c r="X71" s="186"/>
      <c r="Y71" s="186"/>
      <c r="Z71" s="186"/>
    </row>
    <row r="72" spans="1:26" s="44" customFormat="1" ht="12.75" customHeight="1">
      <c r="A72" s="186" t="s">
        <v>504</v>
      </c>
      <c r="B72" s="186"/>
      <c r="C72" s="186"/>
      <c r="D72" s="186"/>
      <c r="E72" s="186"/>
      <c r="F72" s="186"/>
      <c r="G72" s="186"/>
      <c r="H72" s="186"/>
      <c r="I72" s="186"/>
      <c r="J72" s="186"/>
      <c r="K72" s="186"/>
      <c r="L72" s="186"/>
      <c r="M72" s="186"/>
      <c r="N72" s="186"/>
      <c r="O72" s="186"/>
      <c r="P72" s="186"/>
      <c r="Q72" s="186"/>
      <c r="R72" s="186"/>
      <c r="S72" s="186"/>
      <c r="T72" s="186"/>
      <c r="U72" s="186"/>
      <c r="V72" s="186"/>
      <c r="W72" s="186"/>
      <c r="X72" s="186"/>
      <c r="Y72" s="186"/>
      <c r="Z72" s="186"/>
    </row>
    <row r="73" spans="1:26" s="44" customFormat="1" ht="12.75" customHeight="1">
      <c r="A73" s="191" t="s">
        <v>164</v>
      </c>
      <c r="B73" s="191"/>
      <c r="C73" s="191"/>
      <c r="D73" s="191"/>
      <c r="E73" s="191"/>
      <c r="F73" s="191"/>
      <c r="G73" s="191"/>
      <c r="H73" s="191"/>
      <c r="I73" s="191"/>
      <c r="J73" s="191"/>
      <c r="K73" s="191"/>
      <c r="L73" s="191"/>
      <c r="M73" s="191"/>
      <c r="N73" s="191"/>
      <c r="O73" s="191"/>
      <c r="P73" s="191"/>
      <c r="Q73" s="191"/>
      <c r="R73" s="191"/>
      <c r="S73" s="191"/>
      <c r="T73" s="191"/>
      <c r="U73" s="191"/>
      <c r="V73" s="191"/>
      <c r="W73" s="191"/>
      <c r="X73" s="191"/>
      <c r="Y73" s="191"/>
      <c r="Z73" s="191"/>
    </row>
    <row r="74" spans="1:26" s="45" customFormat="1" ht="12.75" customHeight="1">
      <c r="A74" s="186" t="s">
        <v>163</v>
      </c>
      <c r="B74" s="186"/>
      <c r="C74" s="186"/>
      <c r="D74" s="186"/>
      <c r="E74" s="186"/>
      <c r="F74" s="186"/>
      <c r="G74" s="186"/>
      <c r="H74" s="186"/>
      <c r="I74" s="186"/>
      <c r="J74" s="186"/>
      <c r="K74" s="186"/>
      <c r="L74" s="186"/>
      <c r="M74" s="186"/>
      <c r="N74" s="186"/>
      <c r="O74" s="186"/>
      <c r="P74" s="186"/>
      <c r="Q74" s="186"/>
      <c r="R74" s="186"/>
      <c r="S74" s="186"/>
      <c r="T74" s="186"/>
      <c r="U74" s="186"/>
      <c r="V74" s="186"/>
      <c r="W74" s="186"/>
      <c r="X74" s="186"/>
      <c r="Y74" s="186"/>
      <c r="Z74" s="186"/>
    </row>
    <row r="75" spans="1:26" s="44" customFormat="1" ht="12.75" customHeight="1">
      <c r="A75" s="186" t="s">
        <v>505</v>
      </c>
      <c r="B75" s="186"/>
      <c r="C75" s="186"/>
      <c r="D75" s="186"/>
      <c r="E75" s="186"/>
      <c r="F75" s="186"/>
      <c r="G75" s="186"/>
      <c r="H75" s="186"/>
      <c r="I75" s="186"/>
      <c r="J75" s="186"/>
      <c r="K75" s="186"/>
      <c r="L75" s="186"/>
      <c r="M75" s="186"/>
      <c r="N75" s="186"/>
      <c r="O75" s="186"/>
      <c r="P75" s="186"/>
      <c r="Q75" s="186"/>
      <c r="R75" s="186"/>
      <c r="S75" s="186"/>
      <c r="T75" s="186"/>
      <c r="U75" s="186"/>
      <c r="V75" s="186"/>
      <c r="W75" s="186"/>
      <c r="X75" s="186"/>
      <c r="Y75" s="186"/>
      <c r="Z75" s="186"/>
    </row>
    <row r="76" spans="1:26" s="44" customFormat="1" ht="12.75" customHeight="1">
      <c r="A76" s="186" t="s">
        <v>506</v>
      </c>
      <c r="B76" s="186"/>
      <c r="C76" s="186"/>
      <c r="D76" s="186"/>
      <c r="E76" s="186"/>
      <c r="F76" s="186"/>
      <c r="G76" s="186"/>
      <c r="H76" s="186"/>
      <c r="I76" s="186"/>
      <c r="J76" s="186"/>
      <c r="K76" s="186"/>
      <c r="L76" s="186"/>
      <c r="M76" s="186"/>
      <c r="N76" s="186"/>
      <c r="O76" s="186"/>
      <c r="P76" s="186"/>
      <c r="Q76" s="186"/>
      <c r="R76" s="186"/>
      <c r="S76" s="186"/>
      <c r="T76" s="186"/>
      <c r="U76" s="186"/>
      <c r="V76" s="186"/>
      <c r="W76" s="186"/>
      <c r="X76" s="186"/>
      <c r="Y76" s="186"/>
      <c r="Z76" s="186"/>
    </row>
    <row r="77" spans="1:26" s="44" customFormat="1" ht="12.75" customHeight="1">
      <c r="A77" s="190" t="s">
        <v>507</v>
      </c>
      <c r="B77" s="190"/>
      <c r="C77" s="190"/>
      <c r="D77" s="190"/>
      <c r="E77" s="190"/>
      <c r="F77" s="190"/>
      <c r="G77" s="190"/>
      <c r="H77" s="190"/>
      <c r="I77" s="190"/>
      <c r="J77" s="190"/>
      <c r="K77" s="190"/>
      <c r="L77" s="190"/>
      <c r="M77" s="190"/>
      <c r="N77" s="190"/>
      <c r="O77" s="190"/>
      <c r="P77" s="190"/>
      <c r="Q77" s="190"/>
      <c r="R77" s="190"/>
      <c r="S77" s="190"/>
      <c r="T77" s="190"/>
      <c r="U77" s="190"/>
      <c r="V77" s="190"/>
      <c r="W77" s="190"/>
      <c r="X77" s="190"/>
      <c r="Y77" s="190"/>
      <c r="Z77" s="190"/>
    </row>
    <row r="78" spans="1:26" s="44" customFormat="1" ht="12.75" customHeight="1">
      <c r="A78" s="186" t="s">
        <v>162</v>
      </c>
      <c r="B78" s="186"/>
      <c r="C78" s="186"/>
      <c r="D78" s="186"/>
      <c r="E78" s="186"/>
      <c r="F78" s="186"/>
      <c r="G78" s="186"/>
      <c r="H78" s="186"/>
      <c r="I78" s="186"/>
      <c r="J78" s="186"/>
      <c r="K78" s="186"/>
      <c r="L78" s="186"/>
      <c r="M78" s="186"/>
      <c r="N78" s="186"/>
      <c r="O78" s="186"/>
      <c r="P78" s="186"/>
      <c r="Q78" s="186"/>
      <c r="R78" s="186"/>
      <c r="S78" s="186"/>
      <c r="T78" s="186"/>
      <c r="U78" s="186"/>
      <c r="V78" s="186"/>
      <c r="W78" s="186"/>
      <c r="X78" s="186"/>
      <c r="Y78" s="186"/>
      <c r="Z78" s="186"/>
    </row>
    <row r="79" spans="1:26" s="44" customFormat="1" ht="12.75" customHeight="1">
      <c r="A79" s="186" t="s">
        <v>161</v>
      </c>
      <c r="B79" s="186"/>
      <c r="C79" s="186"/>
      <c r="D79" s="186"/>
      <c r="E79" s="186"/>
      <c r="F79" s="186"/>
      <c r="G79" s="186"/>
      <c r="H79" s="186"/>
      <c r="I79" s="186"/>
      <c r="J79" s="186"/>
      <c r="K79" s="186"/>
      <c r="L79" s="186"/>
      <c r="M79" s="186"/>
      <c r="N79" s="186"/>
      <c r="O79" s="186"/>
      <c r="P79" s="186"/>
      <c r="Q79" s="186"/>
      <c r="R79" s="186"/>
      <c r="S79" s="186"/>
      <c r="T79" s="186"/>
      <c r="U79" s="186"/>
      <c r="V79" s="186"/>
      <c r="W79" s="186"/>
      <c r="X79" s="186"/>
      <c r="Y79" s="186"/>
      <c r="Z79" s="186"/>
    </row>
    <row r="80" spans="1:26" s="44" customFormat="1" ht="12.75" customHeight="1">
      <c r="A80" s="186" t="s">
        <v>508</v>
      </c>
      <c r="B80" s="186"/>
      <c r="C80" s="186"/>
      <c r="D80" s="186"/>
      <c r="E80" s="186"/>
      <c r="F80" s="186"/>
      <c r="G80" s="186"/>
      <c r="H80" s="186"/>
      <c r="I80" s="186"/>
      <c r="J80" s="186"/>
      <c r="K80" s="186"/>
      <c r="L80" s="186"/>
      <c r="M80" s="186"/>
      <c r="N80" s="186"/>
      <c r="O80" s="186"/>
      <c r="P80" s="186"/>
      <c r="Q80" s="186"/>
      <c r="R80" s="186"/>
      <c r="S80" s="186"/>
      <c r="T80" s="186"/>
      <c r="U80" s="186"/>
      <c r="V80" s="186"/>
      <c r="W80" s="186"/>
      <c r="X80" s="186"/>
      <c r="Y80" s="186"/>
      <c r="Z80" s="186"/>
    </row>
    <row r="81" spans="1:26" ht="12.75" customHeight="1">
      <c r="A81" s="186" t="s">
        <v>509</v>
      </c>
      <c r="B81" s="186"/>
      <c r="C81" s="186"/>
      <c r="D81" s="186"/>
      <c r="E81" s="186"/>
      <c r="F81" s="186"/>
      <c r="G81" s="186"/>
      <c r="H81" s="186"/>
      <c r="I81" s="186"/>
      <c r="J81" s="186"/>
      <c r="K81" s="186"/>
      <c r="L81" s="186"/>
      <c r="M81" s="186"/>
      <c r="N81" s="186"/>
      <c r="O81" s="186"/>
      <c r="P81" s="186"/>
      <c r="Q81" s="186"/>
      <c r="R81" s="186"/>
      <c r="S81" s="186"/>
      <c r="T81" s="186"/>
      <c r="U81" s="186"/>
      <c r="V81" s="186"/>
      <c r="W81" s="186"/>
      <c r="X81" s="186"/>
      <c r="Y81" s="186"/>
      <c r="Z81" s="186"/>
    </row>
    <row r="82" spans="1:26" ht="12.75" customHeight="1">
      <c r="A82" s="190" t="s">
        <v>510</v>
      </c>
      <c r="B82" s="190"/>
      <c r="C82" s="190"/>
      <c r="D82" s="190"/>
      <c r="E82" s="190"/>
      <c r="F82" s="190"/>
      <c r="G82" s="190"/>
      <c r="H82" s="190"/>
      <c r="I82" s="190"/>
      <c r="J82" s="190"/>
      <c r="K82" s="190"/>
      <c r="L82" s="190"/>
      <c r="M82" s="190"/>
      <c r="N82" s="190"/>
      <c r="O82" s="190"/>
      <c r="P82" s="190"/>
      <c r="Q82" s="190"/>
      <c r="R82" s="190"/>
      <c r="S82" s="190"/>
      <c r="T82" s="190"/>
      <c r="U82" s="190"/>
      <c r="V82" s="190"/>
      <c r="W82" s="190"/>
      <c r="X82" s="190"/>
      <c r="Y82" s="190"/>
      <c r="Z82" s="190"/>
    </row>
    <row r="83" spans="1:26" ht="12.75" customHeight="1">
      <c r="A83" s="186" t="s">
        <v>511</v>
      </c>
      <c r="B83" s="186"/>
      <c r="C83" s="186"/>
      <c r="D83" s="186"/>
      <c r="E83" s="186"/>
      <c r="F83" s="186"/>
      <c r="G83" s="186"/>
      <c r="H83" s="186"/>
      <c r="I83" s="186"/>
      <c r="J83" s="186"/>
      <c r="K83" s="186"/>
      <c r="L83" s="186"/>
      <c r="M83" s="186"/>
      <c r="N83" s="186"/>
      <c r="O83" s="186"/>
      <c r="P83" s="186"/>
      <c r="Q83" s="186"/>
      <c r="R83" s="186"/>
      <c r="S83" s="186"/>
      <c r="T83" s="186"/>
      <c r="U83" s="186"/>
      <c r="V83" s="186"/>
      <c r="W83" s="186"/>
      <c r="X83" s="186"/>
      <c r="Y83" s="186"/>
      <c r="Z83" s="186"/>
    </row>
  </sheetData>
  <mergeCells count="59">
    <mergeCell ref="A38:Z38"/>
    <mergeCell ref="A39:Z39"/>
    <mergeCell ref="A40:Z40"/>
    <mergeCell ref="A41:Z41"/>
    <mergeCell ref="A42:Z42"/>
    <mergeCell ref="A28:Z28"/>
    <mergeCell ref="A29:Z29"/>
    <mergeCell ref="A30:Z30"/>
    <mergeCell ref="A31:Z31"/>
    <mergeCell ref="A37:Z37"/>
    <mergeCell ref="A32:Z32"/>
    <mergeCell ref="A33:Z33"/>
    <mergeCell ref="A34:Z34"/>
    <mergeCell ref="A35:Z35"/>
    <mergeCell ref="A36:Z36"/>
    <mergeCell ref="A43:Z43"/>
    <mergeCell ref="A44:Z44"/>
    <mergeCell ref="A45:Z45"/>
    <mergeCell ref="A46:Z46"/>
    <mergeCell ref="A47:Z47"/>
    <mergeCell ref="A48:Z48"/>
    <mergeCell ref="A49:Z49"/>
    <mergeCell ref="A50:Z50"/>
    <mergeCell ref="A51:Z51"/>
    <mergeCell ref="A52:Z52"/>
    <mergeCell ref="A53:Z53"/>
    <mergeCell ref="A54:Z54"/>
    <mergeCell ref="A55:Z55"/>
    <mergeCell ref="A56:Z56"/>
    <mergeCell ref="A57:Z57"/>
    <mergeCell ref="A58:Z58"/>
    <mergeCell ref="A59:Z59"/>
    <mergeCell ref="A60:Z60"/>
    <mergeCell ref="A61:Z61"/>
    <mergeCell ref="A62:Z62"/>
    <mergeCell ref="A70:Z70"/>
    <mergeCell ref="A71:Z71"/>
    <mergeCell ref="A72:Z72"/>
    <mergeCell ref="A63:Z63"/>
    <mergeCell ref="A64:Z64"/>
    <mergeCell ref="A65:Z65"/>
    <mergeCell ref="A66:Z66"/>
    <mergeCell ref="A67:Z67"/>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s>
  <pageMargins left="0.25" right="0.25" top="0.25" bottom="0.25" header="0.3" footer="0.3"/>
  <pageSetup scale="42"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4.75"/>
  <cols>
    <col min="1" max="1" width="26.86328125" customWidth="1"/>
    <col min="2" max="2" width="16.7265625" customWidth="1"/>
    <col min="3" max="3" width="12.54296875" customWidth="1"/>
    <col min="4" max="4" width="14.1328125" customWidth="1"/>
    <col min="5" max="5" width="16.7265625" customWidth="1"/>
    <col min="6" max="6" width="16.26953125" customWidth="1"/>
    <col min="7" max="7" width="15.86328125" customWidth="1"/>
  </cols>
  <sheetData>
    <row r="1" spans="1:7">
      <c r="A1" s="1" t="s">
        <v>137</v>
      </c>
    </row>
    <row r="2" spans="1:7">
      <c r="A2" s="1"/>
    </row>
    <row r="3" spans="1:7" ht="44.2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4.75"/>
  <cols>
    <col min="14" max="14" width="9.1328125" style="95"/>
    <col min="15" max="23" width="0" hidden="1" customWidth="1"/>
    <col min="24" max="24" width="11.40625" style="95" customWidth="1"/>
    <col min="25" max="45" width="0" hidden="1" customWidth="1"/>
    <col min="46" max="46" width="13.54296875" style="95" customWidth="1"/>
  </cols>
  <sheetData>
    <row r="1" spans="1:50" ht="64.25">
      <c r="A1" s="75" t="s">
        <v>673</v>
      </c>
      <c r="B1" s="75" t="s">
        <v>674</v>
      </c>
      <c r="C1" s="75" t="s">
        <v>675</v>
      </c>
      <c r="D1" s="75" t="s">
        <v>676</v>
      </c>
      <c r="E1" s="75" t="s">
        <v>677</v>
      </c>
      <c r="F1" s="75" t="s">
        <v>678</v>
      </c>
      <c r="G1" s="75" t="s">
        <v>679</v>
      </c>
      <c r="H1" s="75" t="s">
        <v>680</v>
      </c>
      <c r="I1" s="75" t="s">
        <v>681</v>
      </c>
      <c r="J1" s="75" t="s">
        <v>682</v>
      </c>
      <c r="K1" s="75" t="s">
        <v>683</v>
      </c>
      <c r="L1" s="75" t="s">
        <v>684</v>
      </c>
      <c r="M1" s="75" t="s">
        <v>685</v>
      </c>
      <c r="N1" s="76" t="s">
        <v>686</v>
      </c>
      <c r="O1" s="75" t="s">
        <v>687</v>
      </c>
      <c r="P1" s="75" t="s">
        <v>688</v>
      </c>
      <c r="Q1" s="75" t="s">
        <v>689</v>
      </c>
      <c r="R1" s="75" t="s">
        <v>690</v>
      </c>
      <c r="S1" s="75" t="s">
        <v>691</v>
      </c>
      <c r="T1" s="75" t="s">
        <v>692</v>
      </c>
      <c r="U1" s="75" t="s">
        <v>693</v>
      </c>
      <c r="V1" s="75" t="s">
        <v>694</v>
      </c>
      <c r="W1" s="75" t="s">
        <v>695</v>
      </c>
      <c r="X1" s="77" t="s">
        <v>696</v>
      </c>
      <c r="Y1" s="75" t="s">
        <v>697</v>
      </c>
      <c r="Z1" s="75" t="s">
        <v>698</v>
      </c>
      <c r="AA1" s="75" t="s">
        <v>699</v>
      </c>
      <c r="AB1" s="75" t="s">
        <v>700</v>
      </c>
      <c r="AC1" s="78" t="s">
        <v>701</v>
      </c>
      <c r="AD1" s="79" t="s">
        <v>702</v>
      </c>
      <c r="AE1" s="78" t="s">
        <v>703</v>
      </c>
      <c r="AF1" s="79" t="s">
        <v>704</v>
      </c>
      <c r="AG1" s="78" t="s">
        <v>705</v>
      </c>
      <c r="AH1" s="79" t="s">
        <v>706</v>
      </c>
      <c r="AI1" s="78" t="s">
        <v>707</v>
      </c>
      <c r="AJ1" s="79" t="s">
        <v>708</v>
      </c>
      <c r="AK1" s="78" t="s">
        <v>709</v>
      </c>
      <c r="AL1" s="79" t="s">
        <v>710</v>
      </c>
      <c r="AM1" s="78" t="s">
        <v>711</v>
      </c>
      <c r="AN1" s="79" t="s">
        <v>712</v>
      </c>
      <c r="AO1" s="78" t="s">
        <v>713</v>
      </c>
      <c r="AP1" s="79" t="s">
        <v>714</v>
      </c>
      <c r="AQ1" s="78" t="s">
        <v>715</v>
      </c>
      <c r="AR1" s="79" t="s">
        <v>716</v>
      </c>
      <c r="AS1" s="78" t="s">
        <v>717</v>
      </c>
      <c r="AT1" s="80" t="s">
        <v>718</v>
      </c>
      <c r="AU1" s="81" t="s">
        <v>719</v>
      </c>
      <c r="AV1" s="82" t="s">
        <v>720</v>
      </c>
      <c r="AW1" s="81" t="s">
        <v>721</v>
      </c>
      <c r="AX1" s="75" t="s">
        <v>722</v>
      </c>
    </row>
    <row r="2" spans="1:50">
      <c r="A2" s="83" t="s">
        <v>723</v>
      </c>
      <c r="B2" s="83" t="s">
        <v>724</v>
      </c>
      <c r="C2" s="83" t="s">
        <v>725</v>
      </c>
      <c r="D2" s="84">
        <v>2008</v>
      </c>
      <c r="E2" s="85">
        <v>20008</v>
      </c>
      <c r="F2" s="83" t="s">
        <v>726</v>
      </c>
      <c r="G2" s="83" t="s">
        <v>727</v>
      </c>
      <c r="H2" s="86">
        <v>18351295</v>
      </c>
      <c r="I2" s="87">
        <v>10427</v>
      </c>
      <c r="J2" s="83" t="s">
        <v>728</v>
      </c>
      <c r="K2" s="83" t="s">
        <v>729</v>
      </c>
      <c r="L2" s="88">
        <v>5413</v>
      </c>
      <c r="M2" s="83"/>
      <c r="N2" s="89">
        <v>527</v>
      </c>
      <c r="O2" s="87"/>
      <c r="P2" s="90">
        <v>18.215599999999998</v>
      </c>
      <c r="Q2" s="87"/>
      <c r="R2" s="90">
        <v>4.2031999999999998</v>
      </c>
      <c r="S2" s="87"/>
      <c r="T2" s="90">
        <v>62.403700000000001</v>
      </c>
      <c r="U2" s="87"/>
      <c r="V2" s="86">
        <v>376401985</v>
      </c>
      <c r="W2" s="87"/>
      <c r="X2" s="91">
        <v>334949157</v>
      </c>
      <c r="Y2" s="87"/>
      <c r="Z2" s="86">
        <v>324782077</v>
      </c>
      <c r="AA2" s="87"/>
      <c r="AB2" s="86">
        <v>10167080</v>
      </c>
      <c r="AC2" s="87"/>
      <c r="AD2" s="86">
        <v>18782357</v>
      </c>
      <c r="AE2" s="87"/>
      <c r="AF2" s="86">
        <v>17829918</v>
      </c>
      <c r="AG2" s="87"/>
      <c r="AH2" s="86">
        <v>952439</v>
      </c>
      <c r="AI2" s="87"/>
      <c r="AJ2" s="86">
        <v>36770774</v>
      </c>
      <c r="AK2" s="87"/>
      <c r="AL2" s="86">
        <v>35625281</v>
      </c>
      <c r="AM2" s="87"/>
      <c r="AN2" s="86">
        <v>2060234</v>
      </c>
      <c r="AO2" s="87"/>
      <c r="AP2" s="92">
        <v>1955760</v>
      </c>
      <c r="AQ2" s="87"/>
      <c r="AR2" s="86">
        <v>1112653405</v>
      </c>
      <c r="AS2" s="87"/>
      <c r="AT2" s="91">
        <v>4676670633</v>
      </c>
      <c r="AU2" s="83"/>
      <c r="AV2" s="93">
        <v>493.68</v>
      </c>
      <c r="AW2" s="83" t="s">
        <v>103</v>
      </c>
      <c r="AX2" s="83" t="s">
        <v>730</v>
      </c>
    </row>
    <row r="3" spans="1:50">
      <c r="A3" s="83" t="s">
        <v>731</v>
      </c>
      <c r="B3" s="83" t="s">
        <v>732</v>
      </c>
      <c r="C3" s="83" t="s">
        <v>733</v>
      </c>
      <c r="D3" s="84">
        <v>2080</v>
      </c>
      <c r="E3" s="85">
        <v>20080</v>
      </c>
      <c r="F3" s="83" t="s">
        <v>734</v>
      </c>
      <c r="G3" s="83" t="s">
        <v>727</v>
      </c>
      <c r="H3" s="86">
        <v>18351295</v>
      </c>
      <c r="I3" s="87">
        <v>3646</v>
      </c>
      <c r="J3" s="83" t="s">
        <v>735</v>
      </c>
      <c r="K3" s="83" t="s">
        <v>736</v>
      </c>
      <c r="L3" s="88">
        <v>42</v>
      </c>
      <c r="M3" s="83"/>
      <c r="N3" s="89">
        <v>20</v>
      </c>
      <c r="O3" s="87"/>
      <c r="P3" s="90">
        <v>16.576499999999999</v>
      </c>
      <c r="Q3" s="87"/>
      <c r="R3" s="90">
        <v>3.7544</v>
      </c>
      <c r="S3" s="87"/>
      <c r="T3" s="90">
        <v>104.70910000000001</v>
      </c>
      <c r="U3" s="87"/>
      <c r="V3" s="86">
        <v>1809860</v>
      </c>
      <c r="W3" s="87"/>
      <c r="X3" s="91">
        <v>1929113</v>
      </c>
      <c r="Y3" s="87"/>
      <c r="Z3" s="86">
        <v>1893039</v>
      </c>
      <c r="AA3" s="87"/>
      <c r="AB3" s="86">
        <v>36074</v>
      </c>
      <c r="AC3" s="87"/>
      <c r="AD3" s="86">
        <v>115699</v>
      </c>
      <c r="AE3" s="87"/>
      <c r="AF3" s="86">
        <v>114200</v>
      </c>
      <c r="AG3" s="87"/>
      <c r="AH3" s="86">
        <v>1499</v>
      </c>
      <c r="AI3" s="87"/>
      <c r="AJ3" s="86">
        <v>1096779</v>
      </c>
      <c r="AK3" s="87"/>
      <c r="AL3" s="86">
        <v>1076347</v>
      </c>
      <c r="AM3" s="87"/>
      <c r="AN3" s="86">
        <v>64689</v>
      </c>
      <c r="AO3" s="87"/>
      <c r="AP3" s="92">
        <v>63804</v>
      </c>
      <c r="AQ3" s="87"/>
      <c r="AR3" s="86">
        <v>11957780</v>
      </c>
      <c r="AS3" s="87"/>
      <c r="AT3" s="91">
        <v>44894834</v>
      </c>
      <c r="AU3" s="83"/>
      <c r="AV3" s="93">
        <v>34.08</v>
      </c>
      <c r="AW3" s="83" t="s">
        <v>103</v>
      </c>
      <c r="AX3" s="83" t="s">
        <v>730</v>
      </c>
    </row>
    <row r="4" spans="1:50">
      <c r="A4" s="83" t="s">
        <v>731</v>
      </c>
      <c r="B4" s="83" t="s">
        <v>732</v>
      </c>
      <c r="C4" s="83" t="s">
        <v>733</v>
      </c>
      <c r="D4" s="84">
        <v>2080</v>
      </c>
      <c r="E4" s="85">
        <v>20080</v>
      </c>
      <c r="F4" s="83" t="s">
        <v>734</v>
      </c>
      <c r="G4" s="83" t="s">
        <v>727</v>
      </c>
      <c r="H4" s="86">
        <v>18351295</v>
      </c>
      <c r="I4" s="87">
        <v>3646</v>
      </c>
      <c r="J4" s="83" t="s">
        <v>735</v>
      </c>
      <c r="K4" s="83" t="s">
        <v>729</v>
      </c>
      <c r="L4" s="88">
        <v>15</v>
      </c>
      <c r="M4" s="83"/>
      <c r="N4" s="89">
        <v>15</v>
      </c>
      <c r="O4" s="87"/>
      <c r="P4" s="90">
        <v>9.3912999999999993</v>
      </c>
      <c r="Q4" s="87"/>
      <c r="R4" s="90">
        <v>2.2517</v>
      </c>
      <c r="S4" s="87"/>
      <c r="T4" s="90">
        <v>88.662099999999995</v>
      </c>
      <c r="U4" s="87"/>
      <c r="V4" s="86">
        <v>458806</v>
      </c>
      <c r="W4" s="87"/>
      <c r="X4" s="91">
        <v>481308</v>
      </c>
      <c r="Y4" s="87"/>
      <c r="Z4" s="86">
        <v>470004</v>
      </c>
      <c r="AA4" s="87"/>
      <c r="AB4" s="86">
        <v>11304</v>
      </c>
      <c r="AC4" s="87"/>
      <c r="AD4" s="86">
        <v>55608</v>
      </c>
      <c r="AE4" s="87"/>
      <c r="AF4" s="86">
        <v>50047</v>
      </c>
      <c r="AG4" s="87"/>
      <c r="AH4" s="86">
        <v>5561</v>
      </c>
      <c r="AI4" s="87"/>
      <c r="AJ4" s="86">
        <v>481308</v>
      </c>
      <c r="AK4" s="87"/>
      <c r="AL4" s="86">
        <v>470004</v>
      </c>
      <c r="AM4" s="87"/>
      <c r="AN4" s="86">
        <v>55608</v>
      </c>
      <c r="AO4" s="87"/>
      <c r="AP4" s="92">
        <v>50047</v>
      </c>
      <c r="AQ4" s="87"/>
      <c r="AR4" s="86">
        <v>4437270</v>
      </c>
      <c r="AS4" s="87"/>
      <c r="AT4" s="91">
        <v>9991369</v>
      </c>
      <c r="AU4" s="83"/>
      <c r="AV4" s="93">
        <v>12.42</v>
      </c>
      <c r="AW4" s="83" t="s">
        <v>103</v>
      </c>
      <c r="AX4" s="83" t="s">
        <v>730</v>
      </c>
    </row>
    <row r="5" spans="1:50">
      <c r="A5" s="83" t="s">
        <v>731</v>
      </c>
      <c r="B5" s="83" t="s">
        <v>732</v>
      </c>
      <c r="C5" s="83" t="s">
        <v>733</v>
      </c>
      <c r="D5" s="84">
        <v>2080</v>
      </c>
      <c r="E5" s="85">
        <v>20080</v>
      </c>
      <c r="F5" s="83" t="s">
        <v>734</v>
      </c>
      <c r="G5" s="83" t="s">
        <v>727</v>
      </c>
      <c r="H5" s="86">
        <v>18351295</v>
      </c>
      <c r="I5" s="87">
        <v>3646</v>
      </c>
      <c r="J5" s="83" t="s">
        <v>737</v>
      </c>
      <c r="K5" s="83" t="s">
        <v>729</v>
      </c>
      <c r="L5" s="88">
        <v>904</v>
      </c>
      <c r="M5" s="83"/>
      <c r="N5" s="89">
        <v>105</v>
      </c>
      <c r="O5" s="87"/>
      <c r="P5" s="90">
        <v>32.758000000000003</v>
      </c>
      <c r="Q5" s="87"/>
      <c r="R5" s="90">
        <v>22.010100000000001</v>
      </c>
      <c r="S5" s="87"/>
      <c r="T5" s="90">
        <v>40.014699999999998</v>
      </c>
      <c r="U5" s="87"/>
      <c r="V5" s="86">
        <v>54847772</v>
      </c>
      <c r="W5" s="87"/>
      <c r="X5" s="91">
        <v>57155030</v>
      </c>
      <c r="Y5" s="87"/>
      <c r="Z5" s="86">
        <v>54301350</v>
      </c>
      <c r="AA5" s="87"/>
      <c r="AB5" s="86">
        <v>2853680</v>
      </c>
      <c r="AC5" s="87"/>
      <c r="AD5" s="86">
        <v>1953118</v>
      </c>
      <c r="AE5" s="87"/>
      <c r="AF5" s="86">
        <v>1657653</v>
      </c>
      <c r="AG5" s="87"/>
      <c r="AH5" s="86">
        <v>295465</v>
      </c>
      <c r="AI5" s="87"/>
      <c r="AJ5" s="86">
        <v>8422625</v>
      </c>
      <c r="AK5" s="87"/>
      <c r="AL5" s="86">
        <v>7942892</v>
      </c>
      <c r="AM5" s="87"/>
      <c r="AN5" s="86">
        <v>287491</v>
      </c>
      <c r="AO5" s="87"/>
      <c r="AP5" s="92">
        <v>248272</v>
      </c>
      <c r="AQ5" s="87"/>
      <c r="AR5" s="86">
        <v>66330426</v>
      </c>
      <c r="AS5" s="87"/>
      <c r="AT5" s="91">
        <v>1459936301</v>
      </c>
      <c r="AU5" s="83"/>
      <c r="AV5" s="93">
        <v>920.4</v>
      </c>
      <c r="AW5" s="83" t="s">
        <v>103</v>
      </c>
      <c r="AX5" s="83" t="s">
        <v>730</v>
      </c>
    </row>
    <row r="6" spans="1:50">
      <c r="A6" s="83" t="s">
        <v>738</v>
      </c>
      <c r="B6" s="83" t="s">
        <v>739</v>
      </c>
      <c r="C6" s="83" t="s">
        <v>740</v>
      </c>
      <c r="D6" s="84">
        <v>9154</v>
      </c>
      <c r="E6" s="85">
        <v>90154</v>
      </c>
      <c r="F6" s="83" t="s">
        <v>741</v>
      </c>
      <c r="G6" s="83" t="s">
        <v>727</v>
      </c>
      <c r="H6" s="86">
        <v>12150996</v>
      </c>
      <c r="I6" s="87">
        <v>3482</v>
      </c>
      <c r="J6" s="83" t="s">
        <v>735</v>
      </c>
      <c r="K6" s="83" t="s">
        <v>729</v>
      </c>
      <c r="L6" s="88">
        <v>203</v>
      </c>
      <c r="M6" s="83"/>
      <c r="N6" s="89">
        <v>74</v>
      </c>
      <c r="O6" s="87"/>
      <c r="P6" s="90">
        <v>20.558</v>
      </c>
      <c r="Q6" s="87"/>
      <c r="R6" s="90">
        <v>7.5712999999999999</v>
      </c>
      <c r="S6" s="87"/>
      <c r="T6" s="90">
        <v>55.704000000000001</v>
      </c>
      <c r="U6" s="87"/>
      <c r="V6" s="86">
        <v>15592469</v>
      </c>
      <c r="W6" s="87"/>
      <c r="X6" s="91">
        <v>16090545</v>
      </c>
      <c r="Y6" s="87"/>
      <c r="Z6" s="86">
        <v>15536688</v>
      </c>
      <c r="AA6" s="87"/>
      <c r="AB6" s="86">
        <v>553857</v>
      </c>
      <c r="AC6" s="87"/>
      <c r="AD6" s="86">
        <v>792734</v>
      </c>
      <c r="AE6" s="87"/>
      <c r="AF6" s="86">
        <v>755749</v>
      </c>
      <c r="AG6" s="87"/>
      <c r="AH6" s="86">
        <v>36985</v>
      </c>
      <c r="AI6" s="87"/>
      <c r="AJ6" s="86">
        <v>6384468</v>
      </c>
      <c r="AK6" s="87"/>
      <c r="AL6" s="86">
        <v>6156417</v>
      </c>
      <c r="AM6" s="87"/>
      <c r="AN6" s="86">
        <v>309440</v>
      </c>
      <c r="AO6" s="87"/>
      <c r="AP6" s="92">
        <v>294220</v>
      </c>
      <c r="AQ6" s="87"/>
      <c r="AR6" s="86">
        <v>42098255</v>
      </c>
      <c r="AS6" s="87"/>
      <c r="AT6" s="91">
        <v>318737668</v>
      </c>
      <c r="AU6" s="83"/>
      <c r="AV6" s="93">
        <v>171.92</v>
      </c>
      <c r="AW6" s="83" t="s">
        <v>103</v>
      </c>
      <c r="AX6" s="83" t="s">
        <v>730</v>
      </c>
    </row>
    <row r="7" spans="1:50">
      <c r="A7" s="83" t="s">
        <v>738</v>
      </c>
      <c r="B7" s="83" t="s">
        <v>739</v>
      </c>
      <c r="C7" s="83" t="s">
        <v>740</v>
      </c>
      <c r="D7" s="84">
        <v>9154</v>
      </c>
      <c r="E7" s="85">
        <v>90154</v>
      </c>
      <c r="F7" s="83" t="s">
        <v>741</v>
      </c>
      <c r="G7" s="83" t="s">
        <v>727</v>
      </c>
      <c r="H7" s="86">
        <v>12150996</v>
      </c>
      <c r="I7" s="87">
        <v>3482</v>
      </c>
      <c r="J7" s="83" t="s">
        <v>728</v>
      </c>
      <c r="K7" s="83" t="s">
        <v>729</v>
      </c>
      <c r="L7" s="88">
        <v>68</v>
      </c>
      <c r="M7" s="83"/>
      <c r="N7" s="89">
        <v>13</v>
      </c>
      <c r="O7" s="87"/>
      <c r="P7" s="90">
        <v>21.8993</v>
      </c>
      <c r="Q7" s="87"/>
      <c r="R7" s="90">
        <v>4.8391999999999999</v>
      </c>
      <c r="S7" s="87"/>
      <c r="T7" s="90">
        <v>108.40730000000001</v>
      </c>
      <c r="U7" s="87"/>
      <c r="V7" s="86">
        <v>6821561</v>
      </c>
      <c r="W7" s="87"/>
      <c r="X7" s="91">
        <v>6973555</v>
      </c>
      <c r="Y7" s="87"/>
      <c r="Z7" s="86">
        <v>6801301</v>
      </c>
      <c r="AA7" s="87"/>
      <c r="AB7" s="86">
        <v>172254</v>
      </c>
      <c r="AC7" s="87"/>
      <c r="AD7" s="86">
        <v>327668</v>
      </c>
      <c r="AE7" s="87"/>
      <c r="AF7" s="86">
        <v>310572</v>
      </c>
      <c r="AG7" s="87"/>
      <c r="AH7" s="86">
        <v>17096</v>
      </c>
      <c r="AI7" s="87"/>
      <c r="AJ7" s="86">
        <v>1383514</v>
      </c>
      <c r="AK7" s="87"/>
      <c r="AL7" s="86">
        <v>1350454</v>
      </c>
      <c r="AM7" s="87"/>
      <c r="AN7" s="86">
        <v>66480</v>
      </c>
      <c r="AO7" s="87"/>
      <c r="AP7" s="92">
        <v>63158</v>
      </c>
      <c r="AQ7" s="87"/>
      <c r="AR7" s="86">
        <v>33668265</v>
      </c>
      <c r="AS7" s="87"/>
      <c r="AT7" s="91">
        <v>162927528</v>
      </c>
      <c r="AU7" s="83"/>
      <c r="AV7" s="93">
        <v>31.9</v>
      </c>
      <c r="AW7" s="83" t="s">
        <v>103</v>
      </c>
      <c r="AX7" s="83" t="s">
        <v>730</v>
      </c>
    </row>
    <row r="8" spans="1:50">
      <c r="A8" s="83" t="s">
        <v>742</v>
      </c>
      <c r="B8" s="83" t="s">
        <v>743</v>
      </c>
      <c r="C8" s="83" t="s">
        <v>744</v>
      </c>
      <c r="D8" s="84">
        <v>3030</v>
      </c>
      <c r="E8" s="85">
        <v>30030</v>
      </c>
      <c r="F8" s="83" t="s">
        <v>741</v>
      </c>
      <c r="G8" s="83" t="s">
        <v>727</v>
      </c>
      <c r="H8" s="86">
        <v>4586770</v>
      </c>
      <c r="I8" s="87">
        <v>3304</v>
      </c>
      <c r="J8" s="83" t="s">
        <v>728</v>
      </c>
      <c r="K8" s="83" t="s">
        <v>729</v>
      </c>
      <c r="L8" s="88">
        <v>998</v>
      </c>
      <c r="M8" s="83"/>
      <c r="N8" s="89">
        <v>129</v>
      </c>
      <c r="O8" s="87"/>
      <c r="P8" s="90">
        <v>23.3386</v>
      </c>
      <c r="Q8" s="87"/>
      <c r="R8" s="90">
        <v>5.6486999999999998</v>
      </c>
      <c r="S8" s="87"/>
      <c r="T8" s="90">
        <v>51.016399999999997</v>
      </c>
      <c r="U8" s="87"/>
      <c r="V8" s="86">
        <v>81860566</v>
      </c>
      <c r="W8" s="87"/>
      <c r="X8" s="91">
        <v>82234530</v>
      </c>
      <c r="Y8" s="87"/>
      <c r="Z8" s="86">
        <v>79847615</v>
      </c>
      <c r="AA8" s="87"/>
      <c r="AB8" s="86">
        <v>2386915</v>
      </c>
      <c r="AC8" s="87"/>
      <c r="AD8" s="86">
        <v>3524685</v>
      </c>
      <c r="AE8" s="87"/>
      <c r="AF8" s="86">
        <v>3421264</v>
      </c>
      <c r="AG8" s="87"/>
      <c r="AH8" s="86">
        <v>103421</v>
      </c>
      <c r="AI8" s="87"/>
      <c r="AJ8" s="86">
        <v>11770449</v>
      </c>
      <c r="AK8" s="87"/>
      <c r="AL8" s="86">
        <v>11432619</v>
      </c>
      <c r="AM8" s="87"/>
      <c r="AN8" s="86">
        <v>505929</v>
      </c>
      <c r="AO8" s="87"/>
      <c r="AP8" s="92">
        <v>489793</v>
      </c>
      <c r="AQ8" s="87"/>
      <c r="AR8" s="86">
        <v>174540714</v>
      </c>
      <c r="AS8" s="87"/>
      <c r="AT8" s="91">
        <v>985922295</v>
      </c>
      <c r="AU8" s="83"/>
      <c r="AV8" s="93">
        <v>234.2</v>
      </c>
      <c r="AW8" s="83" t="s">
        <v>103</v>
      </c>
      <c r="AX8" s="83" t="s">
        <v>730</v>
      </c>
    </row>
    <row r="9" spans="1:50">
      <c r="A9" s="83" t="s">
        <v>745</v>
      </c>
      <c r="B9" s="83" t="s">
        <v>746</v>
      </c>
      <c r="C9" s="83" t="s">
        <v>747</v>
      </c>
      <c r="D9" s="84">
        <v>5066</v>
      </c>
      <c r="E9" s="85">
        <v>50066</v>
      </c>
      <c r="F9" s="83" t="s">
        <v>741</v>
      </c>
      <c r="G9" s="83" t="s">
        <v>727</v>
      </c>
      <c r="H9" s="86">
        <v>8608208</v>
      </c>
      <c r="I9" s="87">
        <v>2703</v>
      </c>
      <c r="J9" s="83" t="s">
        <v>728</v>
      </c>
      <c r="K9" s="83" t="s">
        <v>729</v>
      </c>
      <c r="L9" s="88">
        <v>1148</v>
      </c>
      <c r="M9" s="83"/>
      <c r="N9" s="89">
        <v>158</v>
      </c>
      <c r="O9" s="87"/>
      <c r="P9" s="90">
        <v>18.0276</v>
      </c>
      <c r="Q9" s="87"/>
      <c r="R9" s="90">
        <v>6.3144</v>
      </c>
      <c r="S9" s="87" t="s">
        <v>748</v>
      </c>
      <c r="T9" s="90">
        <v>19.723500000000001</v>
      </c>
      <c r="U9" s="87"/>
      <c r="V9" s="86">
        <v>82996946</v>
      </c>
      <c r="W9" s="87"/>
      <c r="X9" s="91">
        <v>70519745</v>
      </c>
      <c r="Y9" s="87"/>
      <c r="Z9" s="86">
        <v>69510641</v>
      </c>
      <c r="AA9" s="87"/>
      <c r="AB9" s="86">
        <v>1009104</v>
      </c>
      <c r="AC9" s="87"/>
      <c r="AD9" s="86">
        <v>4177041</v>
      </c>
      <c r="AE9" s="87"/>
      <c r="AF9" s="86">
        <v>3855798</v>
      </c>
      <c r="AG9" s="87"/>
      <c r="AH9" s="86">
        <v>321243</v>
      </c>
      <c r="AI9" s="87"/>
      <c r="AJ9" s="86">
        <v>10533049</v>
      </c>
      <c r="AK9" s="87"/>
      <c r="AL9" s="86">
        <v>10388783</v>
      </c>
      <c r="AM9" s="87"/>
      <c r="AN9" s="86">
        <v>631507</v>
      </c>
      <c r="AO9" s="87"/>
      <c r="AP9" s="92">
        <v>582079</v>
      </c>
      <c r="AQ9" s="87"/>
      <c r="AR9" s="86">
        <v>76049871</v>
      </c>
      <c r="AS9" s="87"/>
      <c r="AT9" s="91">
        <v>480210760</v>
      </c>
      <c r="AU9" s="83" t="s">
        <v>748</v>
      </c>
      <c r="AV9" s="93">
        <v>207.84</v>
      </c>
      <c r="AW9" s="83" t="s">
        <v>103</v>
      </c>
      <c r="AX9" s="83" t="s">
        <v>749</v>
      </c>
    </row>
    <row r="10" spans="1:50">
      <c r="A10" s="83" t="s">
        <v>750</v>
      </c>
      <c r="B10" s="83" t="s">
        <v>751</v>
      </c>
      <c r="C10" s="83" t="s">
        <v>752</v>
      </c>
      <c r="D10" s="84">
        <v>1003</v>
      </c>
      <c r="E10" s="85">
        <v>10003</v>
      </c>
      <c r="F10" s="83" t="s">
        <v>741</v>
      </c>
      <c r="G10" s="83" t="s">
        <v>727</v>
      </c>
      <c r="H10" s="86">
        <v>4181019</v>
      </c>
      <c r="I10" s="87">
        <v>2428</v>
      </c>
      <c r="J10" s="83" t="s">
        <v>735</v>
      </c>
      <c r="K10" s="83" t="s">
        <v>729</v>
      </c>
      <c r="L10" s="88">
        <v>154</v>
      </c>
      <c r="M10" s="83"/>
      <c r="N10" s="89">
        <v>86</v>
      </c>
      <c r="O10" s="87"/>
      <c r="P10" s="90">
        <v>7.3029000000000002</v>
      </c>
      <c r="Q10" s="87"/>
      <c r="R10" s="90">
        <v>2.3538000000000001</v>
      </c>
      <c r="S10" s="87"/>
      <c r="T10" s="90">
        <v>57.774500000000003</v>
      </c>
      <c r="U10" s="87"/>
      <c r="V10" s="86">
        <v>5714964</v>
      </c>
      <c r="W10" s="87"/>
      <c r="X10" s="91">
        <v>5260506</v>
      </c>
      <c r="Y10" s="87"/>
      <c r="Z10" s="86">
        <v>5241369</v>
      </c>
      <c r="AA10" s="87"/>
      <c r="AB10" s="86">
        <v>19137</v>
      </c>
      <c r="AC10" s="87"/>
      <c r="AD10" s="86">
        <v>726323</v>
      </c>
      <c r="AE10" s="87"/>
      <c r="AF10" s="86">
        <v>717709</v>
      </c>
      <c r="AG10" s="87"/>
      <c r="AH10" s="86">
        <v>8614</v>
      </c>
      <c r="AI10" s="87" t="s">
        <v>753</v>
      </c>
      <c r="AJ10" s="86">
        <v>2876932</v>
      </c>
      <c r="AK10" s="87"/>
      <c r="AL10" s="86">
        <v>2870560</v>
      </c>
      <c r="AM10" s="87"/>
      <c r="AN10" s="86">
        <v>321018</v>
      </c>
      <c r="AO10" s="87"/>
      <c r="AP10" s="92">
        <v>315916</v>
      </c>
      <c r="AQ10" s="87"/>
      <c r="AR10" s="86">
        <v>41465243</v>
      </c>
      <c r="AS10" s="87"/>
      <c r="AT10" s="91">
        <v>97602251</v>
      </c>
      <c r="AU10" s="83"/>
      <c r="AV10" s="93">
        <v>51</v>
      </c>
      <c r="AW10" s="83" t="s">
        <v>103</v>
      </c>
      <c r="AX10" s="83" t="s">
        <v>749</v>
      </c>
    </row>
    <row r="11" spans="1:50">
      <c r="A11" s="83" t="s">
        <v>750</v>
      </c>
      <c r="B11" s="83" t="s">
        <v>751</v>
      </c>
      <c r="C11" s="83" t="s">
        <v>752</v>
      </c>
      <c r="D11" s="84">
        <v>1003</v>
      </c>
      <c r="E11" s="85">
        <v>10003</v>
      </c>
      <c r="F11" s="83" t="s">
        <v>741</v>
      </c>
      <c r="G11" s="83" t="s">
        <v>727</v>
      </c>
      <c r="H11" s="86">
        <v>4181019</v>
      </c>
      <c r="I11" s="87">
        <v>2428</v>
      </c>
      <c r="J11" s="83" t="s">
        <v>728</v>
      </c>
      <c r="K11" s="83" t="s">
        <v>729</v>
      </c>
      <c r="L11" s="88">
        <v>338</v>
      </c>
      <c r="M11" s="83"/>
      <c r="N11" s="89">
        <v>56</v>
      </c>
      <c r="O11" s="87"/>
      <c r="P11" s="90">
        <v>16.707100000000001</v>
      </c>
      <c r="Q11" s="87"/>
      <c r="R11" s="90">
        <v>3.5198</v>
      </c>
      <c r="S11" s="87"/>
      <c r="T11" s="90">
        <v>87.046400000000006</v>
      </c>
      <c r="U11" s="87"/>
      <c r="V11" s="86">
        <v>23317516</v>
      </c>
      <c r="W11" s="87"/>
      <c r="X11" s="91">
        <v>22746421</v>
      </c>
      <c r="Y11" s="87"/>
      <c r="Z11" s="86">
        <v>22203578</v>
      </c>
      <c r="AA11" s="87"/>
      <c r="AB11" s="86">
        <v>542843</v>
      </c>
      <c r="AC11" s="87"/>
      <c r="AD11" s="86">
        <v>1393950</v>
      </c>
      <c r="AE11" s="87"/>
      <c r="AF11" s="86">
        <v>1328990</v>
      </c>
      <c r="AG11" s="87"/>
      <c r="AH11" s="86">
        <v>64960</v>
      </c>
      <c r="AI11" s="87"/>
      <c r="AJ11" s="86">
        <v>3791070</v>
      </c>
      <c r="AK11" s="87"/>
      <c r="AL11" s="86">
        <v>3700596</v>
      </c>
      <c r="AM11" s="87"/>
      <c r="AN11" s="86">
        <v>253575</v>
      </c>
      <c r="AO11" s="87"/>
      <c r="AP11" s="92">
        <v>242748</v>
      </c>
      <c r="AQ11" s="87"/>
      <c r="AR11" s="86">
        <v>115683733</v>
      </c>
      <c r="AS11" s="87"/>
      <c r="AT11" s="91">
        <v>407181618</v>
      </c>
      <c r="AU11" s="83"/>
      <c r="AV11" s="93">
        <v>76.3</v>
      </c>
      <c r="AW11" s="83" t="s">
        <v>103</v>
      </c>
      <c r="AX11" s="83" t="s">
        <v>730</v>
      </c>
    </row>
    <row r="12" spans="1:50">
      <c r="A12" s="83" t="s">
        <v>750</v>
      </c>
      <c r="B12" s="83" t="s">
        <v>751</v>
      </c>
      <c r="C12" s="83" t="s">
        <v>752</v>
      </c>
      <c r="D12" s="84">
        <v>1003</v>
      </c>
      <c r="E12" s="85">
        <v>10003</v>
      </c>
      <c r="F12" s="83" t="s">
        <v>741</v>
      </c>
      <c r="G12" s="83" t="s">
        <v>727</v>
      </c>
      <c r="H12" s="86">
        <v>4181019</v>
      </c>
      <c r="I12" s="87">
        <v>2428</v>
      </c>
      <c r="J12" s="83" t="s">
        <v>737</v>
      </c>
      <c r="K12" s="83" t="s">
        <v>736</v>
      </c>
      <c r="L12" s="88">
        <v>436</v>
      </c>
      <c r="M12" s="83"/>
      <c r="N12" s="89">
        <v>67</v>
      </c>
      <c r="O12" s="87"/>
      <c r="P12" s="90">
        <v>29.729199999999999</v>
      </c>
      <c r="Q12" s="87"/>
      <c r="R12" s="90">
        <v>20.751000000000001</v>
      </c>
      <c r="S12" s="87"/>
      <c r="T12" s="90">
        <v>33.01</v>
      </c>
      <c r="U12" s="87"/>
      <c r="V12" s="86">
        <v>22195183</v>
      </c>
      <c r="W12" s="87"/>
      <c r="X12" s="91">
        <v>22810502</v>
      </c>
      <c r="Y12" s="87"/>
      <c r="Z12" s="86">
        <v>22300695</v>
      </c>
      <c r="AA12" s="87"/>
      <c r="AB12" s="86">
        <v>509807</v>
      </c>
      <c r="AC12" s="87"/>
      <c r="AD12" s="86">
        <v>768699</v>
      </c>
      <c r="AE12" s="87"/>
      <c r="AF12" s="86">
        <v>750128</v>
      </c>
      <c r="AG12" s="87"/>
      <c r="AH12" s="86">
        <v>18571</v>
      </c>
      <c r="AI12" s="87"/>
      <c r="AJ12" s="86">
        <v>4189947</v>
      </c>
      <c r="AK12" s="87"/>
      <c r="AL12" s="86">
        <v>4093393</v>
      </c>
      <c r="AM12" s="87"/>
      <c r="AN12" s="86">
        <v>141215</v>
      </c>
      <c r="AO12" s="87"/>
      <c r="AP12" s="92">
        <v>137738</v>
      </c>
      <c r="AQ12" s="87"/>
      <c r="AR12" s="86">
        <v>24761705</v>
      </c>
      <c r="AS12" s="87"/>
      <c r="AT12" s="91">
        <v>513830968</v>
      </c>
      <c r="AU12" s="83"/>
      <c r="AV12" s="93">
        <v>776.08</v>
      </c>
      <c r="AW12" s="83" t="s">
        <v>103</v>
      </c>
      <c r="AX12" s="83" t="s">
        <v>730</v>
      </c>
    </row>
    <row r="13" spans="1:50">
      <c r="A13" s="83" t="s">
        <v>754</v>
      </c>
      <c r="B13" s="83" t="s">
        <v>755</v>
      </c>
      <c r="C13" s="83" t="s">
        <v>756</v>
      </c>
      <c r="D13" s="84">
        <v>3019</v>
      </c>
      <c r="E13" s="85">
        <v>30019</v>
      </c>
      <c r="F13" s="83" t="s">
        <v>741</v>
      </c>
      <c r="G13" s="83" t="s">
        <v>727</v>
      </c>
      <c r="H13" s="86">
        <v>5441567</v>
      </c>
      <c r="I13" s="87">
        <v>2406</v>
      </c>
      <c r="J13" s="83" t="s">
        <v>728</v>
      </c>
      <c r="K13" s="83" t="s">
        <v>729</v>
      </c>
      <c r="L13" s="88">
        <v>286</v>
      </c>
      <c r="M13" s="83"/>
      <c r="N13" s="89">
        <v>61</v>
      </c>
      <c r="O13" s="87"/>
      <c r="P13" s="90">
        <v>17.097100000000001</v>
      </c>
      <c r="Q13" s="87"/>
      <c r="R13" s="90">
        <v>4.4253999999999998</v>
      </c>
      <c r="S13" s="87" t="s">
        <v>748</v>
      </c>
      <c r="T13" s="90">
        <v>75.514099999999999</v>
      </c>
      <c r="U13" s="87" t="s">
        <v>748</v>
      </c>
      <c r="V13" s="86">
        <v>16431036</v>
      </c>
      <c r="W13" s="87"/>
      <c r="X13" s="91">
        <v>16168711</v>
      </c>
      <c r="Y13" s="87"/>
      <c r="Z13" s="86">
        <v>16089713</v>
      </c>
      <c r="AA13" s="87"/>
      <c r="AB13" s="86">
        <v>78998</v>
      </c>
      <c r="AC13" s="87"/>
      <c r="AD13" s="86">
        <v>945947</v>
      </c>
      <c r="AE13" s="87"/>
      <c r="AF13" s="86">
        <v>941080</v>
      </c>
      <c r="AG13" s="87"/>
      <c r="AH13" s="86">
        <v>4867</v>
      </c>
      <c r="AI13" s="87"/>
      <c r="AJ13" s="86">
        <v>3121305</v>
      </c>
      <c r="AK13" s="87"/>
      <c r="AL13" s="86">
        <v>3101700</v>
      </c>
      <c r="AM13" s="87"/>
      <c r="AN13" s="86">
        <v>182557</v>
      </c>
      <c r="AO13" s="87"/>
      <c r="AP13" s="92">
        <v>181391</v>
      </c>
      <c r="AQ13" s="87"/>
      <c r="AR13" s="86">
        <v>71064786</v>
      </c>
      <c r="AS13" s="87" t="s">
        <v>748</v>
      </c>
      <c r="AT13" s="91">
        <v>314489396</v>
      </c>
      <c r="AU13" s="83" t="s">
        <v>748</v>
      </c>
      <c r="AV13" s="93">
        <v>74.900000000000006</v>
      </c>
      <c r="AW13" s="83" t="s">
        <v>103</v>
      </c>
      <c r="AX13" s="83" t="s">
        <v>749</v>
      </c>
    </row>
    <row r="14" spans="1:50">
      <c r="A14" s="83" t="s">
        <v>754</v>
      </c>
      <c r="B14" s="83" t="s">
        <v>755</v>
      </c>
      <c r="C14" s="83" t="s">
        <v>756</v>
      </c>
      <c r="D14" s="84">
        <v>3019</v>
      </c>
      <c r="E14" s="85">
        <v>30019</v>
      </c>
      <c r="F14" s="83" t="s">
        <v>741</v>
      </c>
      <c r="G14" s="83" t="s">
        <v>727</v>
      </c>
      <c r="H14" s="86">
        <v>5441567</v>
      </c>
      <c r="I14" s="87">
        <v>2406</v>
      </c>
      <c r="J14" s="83" t="s">
        <v>737</v>
      </c>
      <c r="K14" s="83" t="s">
        <v>729</v>
      </c>
      <c r="L14" s="88">
        <v>357</v>
      </c>
      <c r="M14" s="83"/>
      <c r="N14" s="89">
        <v>84</v>
      </c>
      <c r="O14" s="87"/>
      <c r="P14" s="90">
        <v>19.690899999999999</v>
      </c>
      <c r="Q14" s="87"/>
      <c r="R14" s="90">
        <v>13.449400000000001</v>
      </c>
      <c r="S14" s="87" t="s">
        <v>748</v>
      </c>
      <c r="T14" s="90">
        <v>29.793900000000001</v>
      </c>
      <c r="U14" s="87" t="s">
        <v>748</v>
      </c>
      <c r="V14" s="86">
        <v>16896038</v>
      </c>
      <c r="W14" s="87"/>
      <c r="X14" s="91">
        <v>17498310</v>
      </c>
      <c r="Y14" s="87"/>
      <c r="Z14" s="86">
        <v>16621821</v>
      </c>
      <c r="AA14" s="87"/>
      <c r="AB14" s="86">
        <v>876489</v>
      </c>
      <c r="AC14" s="87"/>
      <c r="AD14" s="86">
        <v>882766</v>
      </c>
      <c r="AE14" s="87"/>
      <c r="AF14" s="86">
        <v>844136</v>
      </c>
      <c r="AG14" s="87"/>
      <c r="AH14" s="86">
        <v>38630</v>
      </c>
      <c r="AI14" s="87"/>
      <c r="AJ14" s="86">
        <v>4453116</v>
      </c>
      <c r="AK14" s="87"/>
      <c r="AL14" s="86">
        <v>4225898</v>
      </c>
      <c r="AM14" s="87"/>
      <c r="AN14" s="86">
        <v>224140</v>
      </c>
      <c r="AO14" s="87"/>
      <c r="AP14" s="92">
        <v>214329</v>
      </c>
      <c r="AQ14" s="87"/>
      <c r="AR14" s="86">
        <v>25150117</v>
      </c>
      <c r="AS14" s="87" t="s">
        <v>748</v>
      </c>
      <c r="AT14" s="91">
        <v>338253606</v>
      </c>
      <c r="AU14" s="83" t="s">
        <v>748</v>
      </c>
      <c r="AV14" s="93">
        <v>446.94</v>
      </c>
      <c r="AW14" s="83" t="s">
        <v>103</v>
      </c>
      <c r="AX14" s="83" t="s">
        <v>749</v>
      </c>
    </row>
    <row r="15" spans="1:50">
      <c r="A15" s="83" t="s">
        <v>757</v>
      </c>
      <c r="B15" s="83" t="s">
        <v>758</v>
      </c>
      <c r="C15" s="83" t="s">
        <v>759</v>
      </c>
      <c r="D15" s="84">
        <v>6008</v>
      </c>
      <c r="E15" s="85">
        <v>60008</v>
      </c>
      <c r="F15" s="83" t="s">
        <v>741</v>
      </c>
      <c r="G15" s="83" t="s">
        <v>727</v>
      </c>
      <c r="H15" s="86">
        <v>4944332</v>
      </c>
      <c r="I15" s="87">
        <v>2157</v>
      </c>
      <c r="J15" s="83" t="s">
        <v>735</v>
      </c>
      <c r="K15" s="83" t="s">
        <v>729</v>
      </c>
      <c r="L15" s="88">
        <v>56</v>
      </c>
      <c r="M15" s="83"/>
      <c r="N15" s="89">
        <v>29</v>
      </c>
      <c r="O15" s="87"/>
      <c r="P15" s="90">
        <v>12.147399999999999</v>
      </c>
      <c r="Q15" s="87"/>
      <c r="R15" s="90">
        <v>2.9095</v>
      </c>
      <c r="S15" s="87"/>
      <c r="T15" s="90">
        <v>48.3795</v>
      </c>
      <c r="U15" s="87"/>
      <c r="V15" s="86">
        <v>3257209</v>
      </c>
      <c r="W15" s="87"/>
      <c r="X15" s="91">
        <v>3247125</v>
      </c>
      <c r="Y15" s="87"/>
      <c r="Z15" s="86">
        <v>3236011</v>
      </c>
      <c r="AA15" s="87"/>
      <c r="AB15" s="86">
        <v>11114</v>
      </c>
      <c r="AC15" s="87"/>
      <c r="AD15" s="86">
        <v>268268</v>
      </c>
      <c r="AE15" s="87"/>
      <c r="AF15" s="86">
        <v>266396</v>
      </c>
      <c r="AG15" s="87"/>
      <c r="AH15" s="86">
        <v>1872</v>
      </c>
      <c r="AI15" s="87"/>
      <c r="AJ15" s="86">
        <v>1940638</v>
      </c>
      <c r="AK15" s="87"/>
      <c r="AL15" s="86">
        <v>1929524</v>
      </c>
      <c r="AM15" s="87"/>
      <c r="AN15" s="86">
        <v>176143</v>
      </c>
      <c r="AO15" s="87"/>
      <c r="AP15" s="92">
        <v>174271</v>
      </c>
      <c r="AQ15" s="87"/>
      <c r="AR15" s="86">
        <v>12888105</v>
      </c>
      <c r="AS15" s="87"/>
      <c r="AT15" s="91">
        <v>37497523</v>
      </c>
      <c r="AU15" s="83"/>
      <c r="AV15" s="93">
        <v>43.59</v>
      </c>
      <c r="AW15" s="83" t="s">
        <v>103</v>
      </c>
      <c r="AX15" s="83" t="s">
        <v>730</v>
      </c>
    </row>
    <row r="16" spans="1:50">
      <c r="A16" s="83" t="s">
        <v>760</v>
      </c>
      <c r="B16" s="83" t="s">
        <v>761</v>
      </c>
      <c r="C16" s="83" t="s">
        <v>762</v>
      </c>
      <c r="D16" s="84">
        <v>3034</v>
      </c>
      <c r="E16" s="85">
        <v>30034</v>
      </c>
      <c r="F16" s="83" t="s">
        <v>763</v>
      </c>
      <c r="G16" s="83" t="s">
        <v>727</v>
      </c>
      <c r="H16" s="86">
        <v>2203663</v>
      </c>
      <c r="I16" s="87">
        <v>1888</v>
      </c>
      <c r="J16" s="83" t="s">
        <v>735</v>
      </c>
      <c r="K16" s="83" t="s">
        <v>729</v>
      </c>
      <c r="L16" s="88">
        <v>38</v>
      </c>
      <c r="M16" s="83"/>
      <c r="N16" s="89">
        <v>18</v>
      </c>
      <c r="O16" s="87"/>
      <c r="P16" s="90">
        <v>19.6769</v>
      </c>
      <c r="Q16" s="87"/>
      <c r="R16" s="90">
        <v>5.7127999999999997</v>
      </c>
      <c r="S16" s="87" t="s">
        <v>748</v>
      </c>
      <c r="T16" s="90">
        <v>35.373800000000003</v>
      </c>
      <c r="U16" s="87"/>
      <c r="V16" s="86">
        <v>2774375</v>
      </c>
      <c r="W16" s="87"/>
      <c r="X16" s="91">
        <v>2676810</v>
      </c>
      <c r="Y16" s="87"/>
      <c r="Z16" s="86">
        <v>2588105</v>
      </c>
      <c r="AA16" s="87"/>
      <c r="AB16" s="86">
        <v>88705</v>
      </c>
      <c r="AC16" s="87"/>
      <c r="AD16" s="86">
        <v>138492</v>
      </c>
      <c r="AE16" s="87"/>
      <c r="AF16" s="86">
        <v>131530</v>
      </c>
      <c r="AG16" s="87"/>
      <c r="AH16" s="86">
        <v>6962</v>
      </c>
      <c r="AI16" s="87"/>
      <c r="AJ16" s="86">
        <v>1046361</v>
      </c>
      <c r="AK16" s="87"/>
      <c r="AL16" s="86">
        <v>1044905</v>
      </c>
      <c r="AM16" s="87"/>
      <c r="AN16" s="86">
        <v>58730</v>
      </c>
      <c r="AO16" s="87"/>
      <c r="AP16" s="92">
        <v>58193</v>
      </c>
      <c r="AQ16" s="87"/>
      <c r="AR16" s="86">
        <v>4652718</v>
      </c>
      <c r="AS16" s="87"/>
      <c r="AT16" s="91">
        <v>26579844</v>
      </c>
      <c r="AU16" s="83" t="s">
        <v>748</v>
      </c>
      <c r="AV16" s="93">
        <v>57.6</v>
      </c>
      <c r="AW16" s="83" t="s">
        <v>103</v>
      </c>
      <c r="AX16" s="83" t="s">
        <v>749</v>
      </c>
    </row>
    <row r="17" spans="1:50">
      <c r="A17" s="83" t="s">
        <v>760</v>
      </c>
      <c r="B17" s="83" t="s">
        <v>761</v>
      </c>
      <c r="C17" s="83" t="s">
        <v>762</v>
      </c>
      <c r="D17" s="84">
        <v>3034</v>
      </c>
      <c r="E17" s="85">
        <v>30034</v>
      </c>
      <c r="F17" s="83" t="s">
        <v>763</v>
      </c>
      <c r="G17" s="83" t="s">
        <v>727</v>
      </c>
      <c r="H17" s="86">
        <v>2203663</v>
      </c>
      <c r="I17" s="87">
        <v>1888</v>
      </c>
      <c r="J17" s="83" t="s">
        <v>728</v>
      </c>
      <c r="K17" s="83" t="s">
        <v>729</v>
      </c>
      <c r="L17" s="88">
        <v>54</v>
      </c>
      <c r="M17" s="83"/>
      <c r="N17" s="89">
        <v>9</v>
      </c>
      <c r="O17" s="87"/>
      <c r="P17" s="90">
        <v>26.092600000000001</v>
      </c>
      <c r="Q17" s="87"/>
      <c r="R17" s="90">
        <v>4.7674000000000003</v>
      </c>
      <c r="S17" s="87" t="s">
        <v>748</v>
      </c>
      <c r="T17" s="90">
        <v>36.698</v>
      </c>
      <c r="U17" s="87"/>
      <c r="V17" s="86">
        <v>4289979</v>
      </c>
      <c r="W17" s="87"/>
      <c r="X17" s="91">
        <v>4659371</v>
      </c>
      <c r="Y17" s="87"/>
      <c r="Z17" s="86">
        <v>4169492</v>
      </c>
      <c r="AA17" s="87"/>
      <c r="AB17" s="86">
        <v>489879</v>
      </c>
      <c r="AC17" s="87"/>
      <c r="AD17" s="86">
        <v>180401</v>
      </c>
      <c r="AE17" s="87"/>
      <c r="AF17" s="86">
        <v>159796</v>
      </c>
      <c r="AG17" s="87"/>
      <c r="AH17" s="86">
        <v>20605</v>
      </c>
      <c r="AI17" s="87"/>
      <c r="AJ17" s="86">
        <v>845652</v>
      </c>
      <c r="AK17" s="87"/>
      <c r="AL17" s="86">
        <v>734915</v>
      </c>
      <c r="AM17" s="87"/>
      <c r="AN17" s="86">
        <v>32887</v>
      </c>
      <c r="AO17" s="87"/>
      <c r="AP17" s="92">
        <v>28462</v>
      </c>
      <c r="AQ17" s="87"/>
      <c r="AR17" s="86">
        <v>5864191</v>
      </c>
      <c r="AS17" s="87"/>
      <c r="AT17" s="91">
        <v>27957087</v>
      </c>
      <c r="AU17" s="83" t="s">
        <v>748</v>
      </c>
      <c r="AV17" s="93">
        <v>29.4</v>
      </c>
      <c r="AW17" s="83" t="s">
        <v>103</v>
      </c>
      <c r="AX17" s="83" t="s">
        <v>749</v>
      </c>
    </row>
    <row r="18" spans="1:50">
      <c r="A18" s="83" t="s">
        <v>760</v>
      </c>
      <c r="B18" s="83" t="s">
        <v>761</v>
      </c>
      <c r="C18" s="83" t="s">
        <v>762</v>
      </c>
      <c r="D18" s="84">
        <v>3034</v>
      </c>
      <c r="E18" s="85">
        <v>30034</v>
      </c>
      <c r="F18" s="83" t="s">
        <v>763</v>
      </c>
      <c r="G18" s="83" t="s">
        <v>727</v>
      </c>
      <c r="H18" s="86">
        <v>2203663</v>
      </c>
      <c r="I18" s="87">
        <v>1888</v>
      </c>
      <c r="J18" s="83" t="s">
        <v>737</v>
      </c>
      <c r="K18" s="83" t="s">
        <v>736</v>
      </c>
      <c r="L18" s="88">
        <v>149</v>
      </c>
      <c r="M18" s="83"/>
      <c r="N18" s="89">
        <v>28</v>
      </c>
      <c r="O18" s="87"/>
      <c r="P18" s="90">
        <v>38.328299999999999</v>
      </c>
      <c r="Q18" s="87"/>
      <c r="R18" s="90">
        <v>29.584599999999998</v>
      </c>
      <c r="S18" s="87" t="s">
        <v>748</v>
      </c>
      <c r="T18" s="90">
        <v>45.747900000000001</v>
      </c>
      <c r="U18" s="87"/>
      <c r="V18" s="86">
        <v>6001808</v>
      </c>
      <c r="W18" s="87"/>
      <c r="X18" s="91">
        <v>5996542</v>
      </c>
      <c r="Y18" s="87"/>
      <c r="Z18" s="86">
        <v>5596811</v>
      </c>
      <c r="AA18" s="87"/>
      <c r="AB18" s="86">
        <v>399731</v>
      </c>
      <c r="AC18" s="87"/>
      <c r="AD18" s="86">
        <v>155174</v>
      </c>
      <c r="AE18" s="87"/>
      <c r="AF18" s="86">
        <v>146023</v>
      </c>
      <c r="AG18" s="87"/>
      <c r="AH18" s="86">
        <v>9151</v>
      </c>
      <c r="AI18" s="87"/>
      <c r="AJ18" s="86">
        <v>1094365</v>
      </c>
      <c r="AK18" s="87"/>
      <c r="AL18" s="86">
        <v>1036558</v>
      </c>
      <c r="AM18" s="87"/>
      <c r="AN18" s="86">
        <v>30902</v>
      </c>
      <c r="AO18" s="87"/>
      <c r="AP18" s="92">
        <v>28513</v>
      </c>
      <c r="AQ18" s="87"/>
      <c r="AR18" s="86">
        <v>6680248</v>
      </c>
      <c r="AS18" s="87"/>
      <c r="AT18" s="91">
        <v>197632189</v>
      </c>
      <c r="AU18" s="83" t="s">
        <v>748</v>
      </c>
      <c r="AV18" s="93">
        <v>400.4</v>
      </c>
      <c r="AW18" s="83" t="s">
        <v>103</v>
      </c>
      <c r="AX18" s="83" t="s">
        <v>749</v>
      </c>
    </row>
    <row r="19" spans="1:50">
      <c r="A19" s="83" t="s">
        <v>764</v>
      </c>
      <c r="B19" s="83" t="s">
        <v>765</v>
      </c>
      <c r="C19" s="83" t="s">
        <v>766</v>
      </c>
      <c r="D19" s="84">
        <v>4034</v>
      </c>
      <c r="E19" s="85">
        <v>40034</v>
      </c>
      <c r="F19" s="83" t="s">
        <v>767</v>
      </c>
      <c r="G19" s="83" t="s">
        <v>727</v>
      </c>
      <c r="H19" s="86">
        <v>5502379</v>
      </c>
      <c r="I19" s="87">
        <v>1452</v>
      </c>
      <c r="J19" s="83" t="s">
        <v>728</v>
      </c>
      <c r="K19" s="83" t="s">
        <v>729</v>
      </c>
      <c r="L19" s="88">
        <v>76</v>
      </c>
      <c r="M19" s="83"/>
      <c r="N19" s="89">
        <v>18</v>
      </c>
      <c r="O19" s="87"/>
      <c r="P19" s="90">
        <v>21.7622</v>
      </c>
      <c r="Q19" s="87"/>
      <c r="R19" s="90">
        <v>7.3830999999999998</v>
      </c>
      <c r="S19" s="87" t="s">
        <v>748</v>
      </c>
      <c r="T19" s="90">
        <v>35.960099999999997</v>
      </c>
      <c r="U19" s="87"/>
      <c r="V19" s="86">
        <v>7212362</v>
      </c>
      <c r="W19" s="87"/>
      <c r="X19" s="91">
        <v>7598157</v>
      </c>
      <c r="Y19" s="87"/>
      <c r="Z19" s="86">
        <v>7178627</v>
      </c>
      <c r="AA19" s="87"/>
      <c r="AB19" s="86">
        <v>419530</v>
      </c>
      <c r="AC19" s="87"/>
      <c r="AD19" s="86">
        <v>362201</v>
      </c>
      <c r="AE19" s="87"/>
      <c r="AF19" s="86">
        <v>329867</v>
      </c>
      <c r="AG19" s="87"/>
      <c r="AH19" s="86">
        <v>32334</v>
      </c>
      <c r="AI19" s="87"/>
      <c r="AJ19" s="86">
        <v>1899556</v>
      </c>
      <c r="AK19" s="87"/>
      <c r="AL19" s="86">
        <v>1794673</v>
      </c>
      <c r="AM19" s="87"/>
      <c r="AN19" s="86">
        <v>90549</v>
      </c>
      <c r="AO19" s="87"/>
      <c r="AP19" s="92">
        <v>82465</v>
      </c>
      <c r="AQ19" s="87"/>
      <c r="AR19" s="86">
        <v>11862059</v>
      </c>
      <c r="AS19" s="87"/>
      <c r="AT19" s="91">
        <v>87578321</v>
      </c>
      <c r="AU19" s="83" t="s">
        <v>748</v>
      </c>
      <c r="AV19" s="93">
        <v>49.84</v>
      </c>
      <c r="AW19" s="83" t="s">
        <v>103</v>
      </c>
      <c r="AX19" s="83" t="s">
        <v>749</v>
      </c>
    </row>
    <row r="20" spans="1:50">
      <c r="A20" s="83" t="s">
        <v>768</v>
      </c>
      <c r="B20" s="83" t="s">
        <v>769</v>
      </c>
      <c r="C20" s="83" t="s">
        <v>650</v>
      </c>
      <c r="D20" s="84">
        <v>8006</v>
      </c>
      <c r="E20" s="85">
        <v>80006</v>
      </c>
      <c r="F20" s="83" t="s">
        <v>741</v>
      </c>
      <c r="G20" s="83" t="s">
        <v>727</v>
      </c>
      <c r="H20" s="86">
        <v>2374203</v>
      </c>
      <c r="I20" s="87">
        <v>1431</v>
      </c>
      <c r="J20" s="83" t="s">
        <v>735</v>
      </c>
      <c r="K20" s="83" t="s">
        <v>729</v>
      </c>
      <c r="L20" s="88">
        <v>156</v>
      </c>
      <c r="M20" s="83"/>
      <c r="N20" s="89">
        <v>41</v>
      </c>
      <c r="O20" s="87"/>
      <c r="P20" s="90">
        <v>17.200199999999999</v>
      </c>
      <c r="Q20" s="87"/>
      <c r="R20" s="90">
        <v>6.9672999999999998</v>
      </c>
      <c r="S20" s="87"/>
      <c r="T20" s="90">
        <v>19.858599999999999</v>
      </c>
      <c r="U20" s="87"/>
      <c r="V20" s="86">
        <v>9004264</v>
      </c>
      <c r="W20" s="87"/>
      <c r="X20" s="91">
        <v>9327859</v>
      </c>
      <c r="Y20" s="87"/>
      <c r="Z20" s="86">
        <v>9063803</v>
      </c>
      <c r="AA20" s="87"/>
      <c r="AB20" s="86">
        <v>264056</v>
      </c>
      <c r="AC20" s="87"/>
      <c r="AD20" s="86">
        <v>590892</v>
      </c>
      <c r="AE20" s="87"/>
      <c r="AF20" s="86">
        <v>526960</v>
      </c>
      <c r="AG20" s="87"/>
      <c r="AH20" s="86">
        <v>63932</v>
      </c>
      <c r="AI20" s="87"/>
      <c r="AJ20" s="86">
        <v>3900081</v>
      </c>
      <c r="AK20" s="87"/>
      <c r="AL20" s="86">
        <v>3745938</v>
      </c>
      <c r="AM20" s="87"/>
      <c r="AN20" s="86">
        <v>267096</v>
      </c>
      <c r="AO20" s="87"/>
      <c r="AP20" s="92">
        <v>226007</v>
      </c>
      <c r="AQ20" s="87"/>
      <c r="AR20" s="86">
        <v>10464678</v>
      </c>
      <c r="AS20" s="87"/>
      <c r="AT20" s="91">
        <v>72910951</v>
      </c>
      <c r="AU20" s="83"/>
      <c r="AV20" s="93">
        <v>119.78</v>
      </c>
      <c r="AW20" s="83" t="s">
        <v>103</v>
      </c>
      <c r="AX20" s="83" t="s">
        <v>730</v>
      </c>
    </row>
    <row r="21" spans="1:50">
      <c r="A21" s="83" t="s">
        <v>768</v>
      </c>
      <c r="B21" s="83" t="s">
        <v>769</v>
      </c>
      <c r="C21" s="83" t="s">
        <v>650</v>
      </c>
      <c r="D21" s="84">
        <v>8006</v>
      </c>
      <c r="E21" s="85">
        <v>80006</v>
      </c>
      <c r="F21" s="83" t="s">
        <v>741</v>
      </c>
      <c r="G21" s="83" t="s">
        <v>727</v>
      </c>
      <c r="H21" s="86">
        <v>2374203</v>
      </c>
      <c r="I21" s="87">
        <v>1431</v>
      </c>
      <c r="J21" s="83" t="s">
        <v>737</v>
      </c>
      <c r="K21" s="83" t="s">
        <v>736</v>
      </c>
      <c r="L21" s="88">
        <v>44</v>
      </c>
      <c r="M21" s="83"/>
      <c r="N21" s="89">
        <v>12</v>
      </c>
      <c r="O21" s="87"/>
      <c r="P21" s="90">
        <v>27.563099999999999</v>
      </c>
      <c r="Q21" s="87"/>
      <c r="R21" s="90">
        <v>11.5166</v>
      </c>
      <c r="S21" s="87"/>
      <c r="T21" s="90">
        <v>21.7837</v>
      </c>
      <c r="U21" s="87"/>
      <c r="V21" s="86">
        <v>6222945</v>
      </c>
      <c r="W21" s="87"/>
      <c r="X21" s="91">
        <v>6197643</v>
      </c>
      <c r="Y21" s="87"/>
      <c r="Z21" s="86">
        <v>6048702</v>
      </c>
      <c r="AA21" s="87"/>
      <c r="AB21" s="86">
        <v>148941</v>
      </c>
      <c r="AC21" s="87"/>
      <c r="AD21" s="86">
        <v>228257</v>
      </c>
      <c r="AE21" s="87"/>
      <c r="AF21" s="86">
        <v>219449</v>
      </c>
      <c r="AG21" s="87"/>
      <c r="AH21" s="86">
        <v>8808</v>
      </c>
      <c r="AI21" s="87"/>
      <c r="AJ21" s="86">
        <v>2010537</v>
      </c>
      <c r="AK21" s="87"/>
      <c r="AL21" s="86">
        <v>1917204</v>
      </c>
      <c r="AM21" s="87"/>
      <c r="AN21" s="86">
        <v>74540</v>
      </c>
      <c r="AO21" s="87"/>
      <c r="AP21" s="92">
        <v>70293</v>
      </c>
      <c r="AQ21" s="87"/>
      <c r="AR21" s="86">
        <v>4780402</v>
      </c>
      <c r="AS21" s="87"/>
      <c r="AT21" s="91">
        <v>55053882</v>
      </c>
      <c r="AU21" s="83"/>
      <c r="AV21" s="93">
        <v>72.760000000000005</v>
      </c>
      <c r="AW21" s="83" t="s">
        <v>103</v>
      </c>
      <c r="AX21" s="83" t="s">
        <v>730</v>
      </c>
    </row>
    <row r="22" spans="1:50">
      <c r="A22" s="83" t="s">
        <v>768</v>
      </c>
      <c r="B22" s="83" t="s">
        <v>769</v>
      </c>
      <c r="C22" s="83" t="s">
        <v>650</v>
      </c>
      <c r="D22" s="84">
        <v>8006</v>
      </c>
      <c r="E22" s="85">
        <v>80006</v>
      </c>
      <c r="F22" s="83" t="s">
        <v>741</v>
      </c>
      <c r="G22" s="83" t="s">
        <v>727</v>
      </c>
      <c r="H22" s="86">
        <v>2374203</v>
      </c>
      <c r="I22" s="87">
        <v>1431</v>
      </c>
      <c r="J22" s="83" t="s">
        <v>737</v>
      </c>
      <c r="K22" s="83" t="s">
        <v>729</v>
      </c>
      <c r="L22" s="88">
        <v>8</v>
      </c>
      <c r="M22" s="83"/>
      <c r="N22" s="89">
        <v>3</v>
      </c>
      <c r="O22" s="87"/>
      <c r="P22" s="90">
        <v>20.484200000000001</v>
      </c>
      <c r="Q22" s="87"/>
      <c r="R22" s="90">
        <v>8.6130999999999993</v>
      </c>
      <c r="S22" s="87"/>
      <c r="T22" s="90">
        <v>18.016100000000002</v>
      </c>
      <c r="U22" s="87"/>
      <c r="V22" s="86">
        <v>203262</v>
      </c>
      <c r="W22" s="87"/>
      <c r="X22" s="91">
        <v>223786</v>
      </c>
      <c r="Y22" s="87"/>
      <c r="Z22" s="86">
        <v>197570</v>
      </c>
      <c r="AA22" s="87"/>
      <c r="AB22" s="86">
        <v>26216</v>
      </c>
      <c r="AC22" s="87"/>
      <c r="AD22" s="86">
        <v>12511</v>
      </c>
      <c r="AE22" s="87"/>
      <c r="AF22" s="86">
        <v>9645</v>
      </c>
      <c r="AG22" s="87"/>
      <c r="AH22" s="86">
        <v>2866</v>
      </c>
      <c r="AI22" s="87"/>
      <c r="AJ22" s="86">
        <v>115030</v>
      </c>
      <c r="AK22" s="87"/>
      <c r="AL22" s="86">
        <v>98743</v>
      </c>
      <c r="AM22" s="87"/>
      <c r="AN22" s="86">
        <v>6243</v>
      </c>
      <c r="AO22" s="87"/>
      <c r="AP22" s="92">
        <v>4937</v>
      </c>
      <c r="AQ22" s="87"/>
      <c r="AR22" s="86">
        <v>173765</v>
      </c>
      <c r="AS22" s="87"/>
      <c r="AT22" s="91">
        <v>1496661</v>
      </c>
      <c r="AU22" s="83"/>
      <c r="AV22" s="93">
        <v>26.32</v>
      </c>
      <c r="AW22" s="83" t="s">
        <v>103</v>
      </c>
      <c r="AX22" s="83" t="s">
        <v>730</v>
      </c>
    </row>
    <row r="23" spans="1:50">
      <c r="A23" s="83" t="s">
        <v>770</v>
      </c>
      <c r="B23" s="83" t="s">
        <v>771</v>
      </c>
      <c r="C23" s="83" t="s">
        <v>725</v>
      </c>
      <c r="D23" s="84">
        <v>2078</v>
      </c>
      <c r="E23" s="85">
        <v>20078</v>
      </c>
      <c r="F23" s="83" t="s">
        <v>726</v>
      </c>
      <c r="G23" s="83" t="s">
        <v>727</v>
      </c>
      <c r="H23" s="86">
        <v>18351295</v>
      </c>
      <c r="I23" s="87">
        <v>1133</v>
      </c>
      <c r="J23" s="83" t="s">
        <v>737</v>
      </c>
      <c r="K23" s="83" t="s">
        <v>729</v>
      </c>
      <c r="L23" s="88">
        <v>1122</v>
      </c>
      <c r="M23" s="83"/>
      <c r="N23" s="89">
        <v>135</v>
      </c>
      <c r="O23" s="87"/>
      <c r="P23" s="90">
        <v>31.299700000000001</v>
      </c>
      <c r="Q23" s="87"/>
      <c r="R23" s="90">
        <v>22.852399999999999</v>
      </c>
      <c r="S23" s="87" t="s">
        <v>748</v>
      </c>
      <c r="T23" s="90">
        <v>18.882400000000001</v>
      </c>
      <c r="U23" s="87"/>
      <c r="V23" s="86">
        <v>47488237</v>
      </c>
      <c r="W23" s="87"/>
      <c r="X23" s="91">
        <v>53139671</v>
      </c>
      <c r="Y23" s="87"/>
      <c r="Z23" s="86">
        <v>48719168</v>
      </c>
      <c r="AA23" s="87"/>
      <c r="AB23" s="86">
        <v>4420503</v>
      </c>
      <c r="AC23" s="87"/>
      <c r="AD23" s="86">
        <v>1709469</v>
      </c>
      <c r="AE23" s="87"/>
      <c r="AF23" s="86">
        <v>1556539</v>
      </c>
      <c r="AG23" s="87"/>
      <c r="AH23" s="86">
        <v>152930</v>
      </c>
      <c r="AI23" s="87"/>
      <c r="AJ23" s="86">
        <v>7201726</v>
      </c>
      <c r="AK23" s="87"/>
      <c r="AL23" s="86">
        <v>6564652</v>
      </c>
      <c r="AM23" s="87"/>
      <c r="AN23" s="86">
        <v>225218</v>
      </c>
      <c r="AO23" s="87"/>
      <c r="AP23" s="92">
        <v>203440</v>
      </c>
      <c r="AQ23" s="87"/>
      <c r="AR23" s="86">
        <v>29391259</v>
      </c>
      <c r="AS23" s="87"/>
      <c r="AT23" s="91">
        <v>671661254</v>
      </c>
      <c r="AU23" s="83" t="s">
        <v>748</v>
      </c>
      <c r="AV23" s="93">
        <v>545.74</v>
      </c>
      <c r="AW23" s="83" t="s">
        <v>103</v>
      </c>
      <c r="AX23" s="83" t="s">
        <v>749</v>
      </c>
    </row>
    <row r="24" spans="1:50">
      <c r="A24" s="83" t="s">
        <v>772</v>
      </c>
      <c r="B24" s="83" t="s">
        <v>773</v>
      </c>
      <c r="C24" s="83" t="s">
        <v>759</v>
      </c>
      <c r="D24" s="84">
        <v>6056</v>
      </c>
      <c r="E24" s="85">
        <v>60056</v>
      </c>
      <c r="F24" s="83" t="s">
        <v>741</v>
      </c>
      <c r="G24" s="83" t="s">
        <v>727</v>
      </c>
      <c r="H24" s="86">
        <v>5121892</v>
      </c>
      <c r="I24" s="87">
        <v>1082</v>
      </c>
      <c r="J24" s="83" t="s">
        <v>735</v>
      </c>
      <c r="K24" s="83" t="s">
        <v>729</v>
      </c>
      <c r="L24" s="88">
        <v>117</v>
      </c>
      <c r="M24" s="83"/>
      <c r="N24" s="89">
        <v>44</v>
      </c>
      <c r="O24" s="87"/>
      <c r="P24" s="90">
        <v>20.510100000000001</v>
      </c>
      <c r="Q24" s="87"/>
      <c r="R24" s="90">
        <v>8.1821999999999999</v>
      </c>
      <c r="S24" s="87"/>
      <c r="T24" s="90">
        <v>41.742400000000004</v>
      </c>
      <c r="U24" s="87"/>
      <c r="V24" s="86">
        <v>9953657</v>
      </c>
      <c r="W24" s="87"/>
      <c r="X24" s="91">
        <v>9937246</v>
      </c>
      <c r="Y24" s="87"/>
      <c r="Z24" s="86">
        <v>9866803</v>
      </c>
      <c r="AA24" s="87"/>
      <c r="AB24" s="86">
        <v>70443</v>
      </c>
      <c r="AC24" s="87"/>
      <c r="AD24" s="86">
        <v>486886</v>
      </c>
      <c r="AE24" s="87"/>
      <c r="AF24" s="86">
        <v>481071</v>
      </c>
      <c r="AG24" s="87"/>
      <c r="AH24" s="86">
        <v>5815</v>
      </c>
      <c r="AI24" s="87"/>
      <c r="AJ24" s="86">
        <v>5348975</v>
      </c>
      <c r="AK24" s="87"/>
      <c r="AL24" s="86">
        <v>5310292</v>
      </c>
      <c r="AM24" s="87"/>
      <c r="AN24" s="86">
        <v>261692</v>
      </c>
      <c r="AO24" s="87"/>
      <c r="AP24" s="92">
        <v>258495</v>
      </c>
      <c r="AQ24" s="87"/>
      <c r="AR24" s="86">
        <v>20081036</v>
      </c>
      <c r="AS24" s="87"/>
      <c r="AT24" s="91">
        <v>164306746</v>
      </c>
      <c r="AU24" s="83"/>
      <c r="AV24" s="93">
        <v>182.44</v>
      </c>
      <c r="AW24" s="83" t="s">
        <v>103</v>
      </c>
      <c r="AX24" s="83" t="s">
        <v>730</v>
      </c>
    </row>
    <row r="25" spans="1:50">
      <c r="A25" s="83" t="s">
        <v>772</v>
      </c>
      <c r="B25" s="83" t="s">
        <v>773</v>
      </c>
      <c r="C25" s="83" t="s">
        <v>759</v>
      </c>
      <c r="D25" s="84">
        <v>6056</v>
      </c>
      <c r="E25" s="85">
        <v>60056</v>
      </c>
      <c r="F25" s="83" t="s">
        <v>741</v>
      </c>
      <c r="G25" s="83" t="s">
        <v>727</v>
      </c>
      <c r="H25" s="86">
        <v>5121892</v>
      </c>
      <c r="I25" s="87">
        <v>1082</v>
      </c>
      <c r="J25" s="83" t="s">
        <v>737</v>
      </c>
      <c r="K25" s="83" t="s">
        <v>736</v>
      </c>
      <c r="L25" s="88">
        <v>23</v>
      </c>
      <c r="M25" s="83"/>
      <c r="N25" s="89">
        <v>3</v>
      </c>
      <c r="O25" s="87"/>
      <c r="P25" s="90">
        <v>22.474</v>
      </c>
      <c r="Q25" s="87"/>
      <c r="R25" s="90">
        <v>17.300799999999999</v>
      </c>
      <c r="S25" s="87"/>
      <c r="T25" s="90">
        <v>20.252400000000002</v>
      </c>
      <c r="U25" s="87"/>
      <c r="V25" s="86">
        <v>1390207</v>
      </c>
      <c r="W25" s="87"/>
      <c r="X25" s="91">
        <v>1437340</v>
      </c>
      <c r="Y25" s="87"/>
      <c r="Z25" s="86">
        <v>1404961</v>
      </c>
      <c r="AA25" s="87"/>
      <c r="AB25" s="86">
        <v>32379</v>
      </c>
      <c r="AC25" s="87"/>
      <c r="AD25" s="86">
        <v>63773</v>
      </c>
      <c r="AE25" s="87"/>
      <c r="AF25" s="86">
        <v>62515</v>
      </c>
      <c r="AG25" s="87"/>
      <c r="AH25" s="86">
        <v>1258</v>
      </c>
      <c r="AI25" s="87"/>
      <c r="AJ25" s="86">
        <v>506768</v>
      </c>
      <c r="AK25" s="87"/>
      <c r="AL25" s="86">
        <v>495677</v>
      </c>
      <c r="AM25" s="87"/>
      <c r="AN25" s="86">
        <v>22535</v>
      </c>
      <c r="AO25" s="87"/>
      <c r="AP25" s="92">
        <v>22090</v>
      </c>
      <c r="AQ25" s="87"/>
      <c r="AR25" s="86">
        <v>1266076</v>
      </c>
      <c r="AS25" s="87"/>
      <c r="AT25" s="91">
        <v>21904126</v>
      </c>
      <c r="AU25" s="83"/>
      <c r="AV25" s="93">
        <v>72.3</v>
      </c>
      <c r="AW25" s="83" t="s">
        <v>103</v>
      </c>
      <c r="AX25" s="83" t="s">
        <v>730</v>
      </c>
    </row>
    <row r="26" spans="1:50">
      <c r="A26" s="83" t="s">
        <v>774</v>
      </c>
      <c r="B26" s="83" t="s">
        <v>775</v>
      </c>
      <c r="C26" s="83" t="s">
        <v>776</v>
      </c>
      <c r="D26" s="84">
        <v>8001</v>
      </c>
      <c r="E26" s="85">
        <v>80001</v>
      </c>
      <c r="F26" s="83" t="s">
        <v>741</v>
      </c>
      <c r="G26" s="83" t="s">
        <v>727</v>
      </c>
      <c r="H26" s="86">
        <v>1021243</v>
      </c>
      <c r="I26" s="87">
        <v>1081</v>
      </c>
      <c r="J26" s="83" t="s">
        <v>735</v>
      </c>
      <c r="K26" s="83" t="s">
        <v>729</v>
      </c>
      <c r="L26" s="88">
        <v>89</v>
      </c>
      <c r="M26" s="83"/>
      <c r="N26" s="89">
        <v>22</v>
      </c>
      <c r="O26" s="87"/>
      <c r="P26" s="90">
        <v>17.192799999999998</v>
      </c>
      <c r="Q26" s="87"/>
      <c r="R26" s="90">
        <v>4.7436999999999996</v>
      </c>
      <c r="S26" s="87"/>
      <c r="T26" s="90">
        <v>23.191400000000002</v>
      </c>
      <c r="U26" s="87"/>
      <c r="V26" s="86">
        <v>6112222</v>
      </c>
      <c r="W26" s="87"/>
      <c r="X26" s="91">
        <v>6204641</v>
      </c>
      <c r="Y26" s="87"/>
      <c r="Z26" s="86">
        <v>6114108</v>
      </c>
      <c r="AA26" s="87"/>
      <c r="AB26" s="86">
        <v>90533</v>
      </c>
      <c r="AC26" s="87"/>
      <c r="AD26" s="86">
        <v>367255</v>
      </c>
      <c r="AE26" s="87"/>
      <c r="AF26" s="86">
        <v>355621</v>
      </c>
      <c r="AG26" s="87"/>
      <c r="AH26" s="86">
        <v>11634</v>
      </c>
      <c r="AI26" s="87"/>
      <c r="AJ26" s="86">
        <v>2255583</v>
      </c>
      <c r="AK26" s="87"/>
      <c r="AL26" s="86">
        <v>2223959</v>
      </c>
      <c r="AM26" s="87"/>
      <c r="AN26" s="86">
        <v>136213</v>
      </c>
      <c r="AO26" s="87"/>
      <c r="AP26" s="92">
        <v>131989</v>
      </c>
      <c r="AQ26" s="87"/>
      <c r="AR26" s="86">
        <v>8247364</v>
      </c>
      <c r="AS26" s="87"/>
      <c r="AT26" s="91">
        <v>39122864</v>
      </c>
      <c r="AU26" s="83"/>
      <c r="AV26" s="93">
        <v>93.91</v>
      </c>
      <c r="AW26" s="83" t="s">
        <v>103</v>
      </c>
      <c r="AX26" s="83" t="s">
        <v>730</v>
      </c>
    </row>
    <row r="27" spans="1:50">
      <c r="A27" s="83" t="s">
        <v>774</v>
      </c>
      <c r="B27" s="83" t="s">
        <v>775</v>
      </c>
      <c r="C27" s="83" t="s">
        <v>776</v>
      </c>
      <c r="D27" s="84">
        <v>8001</v>
      </c>
      <c r="E27" s="85">
        <v>80001</v>
      </c>
      <c r="F27" s="83" t="s">
        <v>741</v>
      </c>
      <c r="G27" s="83" t="s">
        <v>727</v>
      </c>
      <c r="H27" s="86">
        <v>1021243</v>
      </c>
      <c r="I27" s="87">
        <v>1081</v>
      </c>
      <c r="J27" s="83" t="s">
        <v>737</v>
      </c>
      <c r="K27" s="83" t="s">
        <v>729</v>
      </c>
      <c r="L27" s="88">
        <v>50</v>
      </c>
      <c r="M27" s="83"/>
      <c r="N27" s="89">
        <v>9</v>
      </c>
      <c r="O27" s="87"/>
      <c r="P27" s="90">
        <v>32.473599999999998</v>
      </c>
      <c r="Q27" s="87"/>
      <c r="R27" s="90">
        <v>25.643899999999999</v>
      </c>
      <c r="S27" s="87"/>
      <c r="T27" s="90">
        <v>16.274799999999999</v>
      </c>
      <c r="U27" s="87"/>
      <c r="V27" s="86">
        <v>4053946</v>
      </c>
      <c r="W27" s="87"/>
      <c r="X27" s="91">
        <v>4051779</v>
      </c>
      <c r="Y27" s="87"/>
      <c r="Z27" s="86">
        <v>4039581</v>
      </c>
      <c r="AA27" s="87"/>
      <c r="AB27" s="86">
        <v>12198</v>
      </c>
      <c r="AC27" s="87"/>
      <c r="AD27" s="86">
        <v>128674</v>
      </c>
      <c r="AE27" s="87"/>
      <c r="AF27" s="86">
        <v>124396</v>
      </c>
      <c r="AG27" s="87"/>
      <c r="AH27" s="86">
        <v>4278</v>
      </c>
      <c r="AI27" s="87"/>
      <c r="AJ27" s="86">
        <v>1067699</v>
      </c>
      <c r="AK27" s="87"/>
      <c r="AL27" s="86">
        <v>1064546</v>
      </c>
      <c r="AM27" s="87"/>
      <c r="AN27" s="86">
        <v>33846</v>
      </c>
      <c r="AO27" s="87"/>
      <c r="AP27" s="92">
        <v>32741</v>
      </c>
      <c r="AQ27" s="87"/>
      <c r="AR27" s="86">
        <v>2024524</v>
      </c>
      <c r="AS27" s="87"/>
      <c r="AT27" s="91">
        <v>51916777</v>
      </c>
      <c r="AU27" s="83"/>
      <c r="AV27" s="93">
        <v>174.46</v>
      </c>
      <c r="AW27" s="83" t="s">
        <v>103</v>
      </c>
      <c r="AX27" s="83" t="s">
        <v>730</v>
      </c>
    </row>
    <row r="28" spans="1:50">
      <c r="A28" s="83" t="s">
        <v>777</v>
      </c>
      <c r="B28" s="83" t="s">
        <v>746</v>
      </c>
      <c r="C28" s="83" t="s">
        <v>747</v>
      </c>
      <c r="D28" s="84">
        <v>5118</v>
      </c>
      <c r="E28" s="85">
        <v>50118</v>
      </c>
      <c r="F28" s="83" t="s">
        <v>741</v>
      </c>
      <c r="G28" s="83" t="s">
        <v>727</v>
      </c>
      <c r="H28" s="86">
        <v>8608208</v>
      </c>
      <c r="I28" s="87">
        <v>1066</v>
      </c>
      <c r="J28" s="83" t="s">
        <v>737</v>
      </c>
      <c r="K28" s="83" t="s">
        <v>736</v>
      </c>
      <c r="L28" s="88">
        <v>527</v>
      </c>
      <c r="M28" s="83"/>
      <c r="N28" s="89">
        <v>40</v>
      </c>
      <c r="O28" s="87"/>
      <c r="P28" s="90">
        <v>30.932500000000001</v>
      </c>
      <c r="Q28" s="87"/>
      <c r="R28" s="90">
        <v>21.712499999999999</v>
      </c>
      <c r="S28" s="87"/>
      <c r="T28" s="90">
        <v>18.979099999999999</v>
      </c>
      <c r="U28" s="87"/>
      <c r="V28" s="86">
        <v>16284231</v>
      </c>
      <c r="W28" s="87"/>
      <c r="X28" s="91">
        <v>16302662</v>
      </c>
      <c r="Y28" s="87"/>
      <c r="Z28" s="86">
        <v>15388572</v>
      </c>
      <c r="AA28" s="87"/>
      <c r="AB28" s="86">
        <v>914090</v>
      </c>
      <c r="AC28" s="87"/>
      <c r="AD28" s="86">
        <v>520340</v>
      </c>
      <c r="AE28" s="87"/>
      <c r="AF28" s="86">
        <v>497488</v>
      </c>
      <c r="AG28" s="87"/>
      <c r="AH28" s="86">
        <v>22852</v>
      </c>
      <c r="AI28" s="87"/>
      <c r="AJ28" s="86">
        <v>2394714</v>
      </c>
      <c r="AK28" s="87"/>
      <c r="AL28" s="86">
        <v>2258067</v>
      </c>
      <c r="AM28" s="87"/>
      <c r="AN28" s="86">
        <v>76862</v>
      </c>
      <c r="AO28" s="87"/>
      <c r="AP28" s="92">
        <v>73504</v>
      </c>
      <c r="AQ28" s="87"/>
      <c r="AR28" s="86">
        <v>9441882</v>
      </c>
      <c r="AS28" s="87"/>
      <c r="AT28" s="91">
        <v>205006670</v>
      </c>
      <c r="AU28" s="83"/>
      <c r="AV28" s="93">
        <v>399.6</v>
      </c>
      <c r="AW28" s="83" t="s">
        <v>103</v>
      </c>
      <c r="AX28" s="83" t="s">
        <v>730</v>
      </c>
    </row>
    <row r="29" spans="1:50">
      <c r="A29" s="83" t="s">
        <v>777</v>
      </c>
      <c r="B29" s="83" t="s">
        <v>746</v>
      </c>
      <c r="C29" s="83" t="s">
        <v>747</v>
      </c>
      <c r="D29" s="84">
        <v>5118</v>
      </c>
      <c r="E29" s="85">
        <v>50118</v>
      </c>
      <c r="F29" s="83" t="s">
        <v>741</v>
      </c>
      <c r="G29" s="83" t="s">
        <v>727</v>
      </c>
      <c r="H29" s="86">
        <v>8608208</v>
      </c>
      <c r="I29" s="87">
        <v>1066</v>
      </c>
      <c r="J29" s="83" t="s">
        <v>737</v>
      </c>
      <c r="K29" s="83" t="s">
        <v>729</v>
      </c>
      <c r="L29" s="88">
        <v>539</v>
      </c>
      <c r="M29" s="83"/>
      <c r="N29" s="89">
        <v>53</v>
      </c>
      <c r="O29" s="87"/>
      <c r="P29" s="90">
        <v>29.0824</v>
      </c>
      <c r="Q29" s="87"/>
      <c r="R29" s="90">
        <v>21.172499999999999</v>
      </c>
      <c r="S29" s="87"/>
      <c r="T29" s="90">
        <v>13.8796</v>
      </c>
      <c r="U29" s="87"/>
      <c r="V29" s="86">
        <v>16028080</v>
      </c>
      <c r="W29" s="87"/>
      <c r="X29" s="91">
        <v>15585872</v>
      </c>
      <c r="Y29" s="87"/>
      <c r="Z29" s="86">
        <v>15273179</v>
      </c>
      <c r="AA29" s="87"/>
      <c r="AB29" s="86">
        <v>312693</v>
      </c>
      <c r="AC29" s="87"/>
      <c r="AD29" s="86">
        <v>535954</v>
      </c>
      <c r="AE29" s="87"/>
      <c r="AF29" s="86">
        <v>525169</v>
      </c>
      <c r="AG29" s="87"/>
      <c r="AH29" s="86">
        <v>10785</v>
      </c>
      <c r="AI29" s="87"/>
      <c r="AJ29" s="86">
        <v>2545102</v>
      </c>
      <c r="AK29" s="87"/>
      <c r="AL29" s="86">
        <v>2494601</v>
      </c>
      <c r="AM29" s="87"/>
      <c r="AN29" s="86">
        <v>89035</v>
      </c>
      <c r="AO29" s="87"/>
      <c r="AP29" s="92">
        <v>87312</v>
      </c>
      <c r="AQ29" s="87"/>
      <c r="AR29" s="86">
        <v>7289149</v>
      </c>
      <c r="AS29" s="87"/>
      <c r="AT29" s="91">
        <v>154329520</v>
      </c>
      <c r="AU29" s="83"/>
      <c r="AV29" s="93">
        <v>575.4</v>
      </c>
      <c r="AW29" s="83" t="s">
        <v>103</v>
      </c>
      <c r="AX29" s="83" t="s">
        <v>730</v>
      </c>
    </row>
    <row r="30" spans="1:50">
      <c r="A30" s="83" t="s">
        <v>778</v>
      </c>
      <c r="B30" s="83" t="s">
        <v>779</v>
      </c>
      <c r="C30" s="83" t="s">
        <v>725</v>
      </c>
      <c r="D30" s="84">
        <v>2100</v>
      </c>
      <c r="E30" s="85">
        <v>20100</v>
      </c>
      <c r="F30" s="83" t="s">
        <v>726</v>
      </c>
      <c r="G30" s="83" t="s">
        <v>727</v>
      </c>
      <c r="H30" s="86">
        <v>18351295</v>
      </c>
      <c r="I30" s="87">
        <v>1022</v>
      </c>
      <c r="J30" s="83" t="s">
        <v>737</v>
      </c>
      <c r="K30" s="83" t="s">
        <v>729</v>
      </c>
      <c r="L30" s="88">
        <v>1022</v>
      </c>
      <c r="M30" s="83"/>
      <c r="N30" s="89">
        <v>107</v>
      </c>
      <c r="O30" s="87"/>
      <c r="P30" s="90">
        <v>29.212299999999999</v>
      </c>
      <c r="Q30" s="87"/>
      <c r="R30" s="90">
        <v>28.269200000000001</v>
      </c>
      <c r="S30" s="87" t="s">
        <v>748</v>
      </c>
      <c r="T30" s="90">
        <v>20.565999999999999</v>
      </c>
      <c r="U30" s="87" t="s">
        <v>748</v>
      </c>
      <c r="V30" s="86">
        <v>61301708</v>
      </c>
      <c r="W30" s="87"/>
      <c r="X30" s="91">
        <v>68469245</v>
      </c>
      <c r="Y30" s="87"/>
      <c r="Z30" s="86">
        <v>61766650</v>
      </c>
      <c r="AA30" s="87"/>
      <c r="AB30" s="86">
        <v>6702595</v>
      </c>
      <c r="AC30" s="87"/>
      <c r="AD30" s="86">
        <v>2305899</v>
      </c>
      <c r="AE30" s="87"/>
      <c r="AF30" s="86">
        <v>2114409</v>
      </c>
      <c r="AG30" s="87"/>
      <c r="AH30" s="86">
        <v>191490</v>
      </c>
      <c r="AI30" s="87"/>
      <c r="AJ30" s="86">
        <v>7765181</v>
      </c>
      <c r="AK30" s="87"/>
      <c r="AL30" s="86">
        <v>6968685</v>
      </c>
      <c r="AM30" s="87"/>
      <c r="AN30" s="86">
        <v>266731</v>
      </c>
      <c r="AO30" s="87"/>
      <c r="AP30" s="92">
        <v>199752</v>
      </c>
      <c r="AQ30" s="87"/>
      <c r="AR30" s="86">
        <v>43484907</v>
      </c>
      <c r="AS30" s="87" t="s">
        <v>748</v>
      </c>
      <c r="AT30" s="91">
        <v>1229284540</v>
      </c>
      <c r="AU30" s="83" t="s">
        <v>748</v>
      </c>
      <c r="AV30" s="93">
        <v>638.20000000000005</v>
      </c>
      <c r="AW30" s="83" t="s">
        <v>103</v>
      </c>
      <c r="AX30" s="83" t="s">
        <v>749</v>
      </c>
    </row>
    <row r="31" spans="1:50">
      <c r="A31" s="83" t="s">
        <v>780</v>
      </c>
      <c r="B31" s="83" t="s">
        <v>781</v>
      </c>
      <c r="C31" s="83" t="s">
        <v>740</v>
      </c>
      <c r="D31" s="84">
        <v>9015</v>
      </c>
      <c r="E31" s="85">
        <v>90015</v>
      </c>
      <c r="F31" s="83" t="s">
        <v>767</v>
      </c>
      <c r="G31" s="83" t="s">
        <v>727</v>
      </c>
      <c r="H31" s="86">
        <v>3281212</v>
      </c>
      <c r="I31" s="87">
        <v>996</v>
      </c>
      <c r="J31" s="83" t="s">
        <v>735</v>
      </c>
      <c r="K31" s="83" t="s">
        <v>729</v>
      </c>
      <c r="L31" s="88">
        <v>149</v>
      </c>
      <c r="M31" s="83"/>
      <c r="N31" s="89">
        <v>141</v>
      </c>
      <c r="O31" s="87"/>
      <c r="P31" s="90">
        <v>9.4969999999999999</v>
      </c>
      <c r="Q31" s="87"/>
      <c r="R31" s="90">
        <v>2.7421000000000002</v>
      </c>
      <c r="S31" s="87"/>
      <c r="T31" s="90">
        <v>76.584800000000001</v>
      </c>
      <c r="U31" s="87"/>
      <c r="V31" s="86">
        <v>4944335</v>
      </c>
      <c r="W31" s="87"/>
      <c r="X31" s="91">
        <v>4660934</v>
      </c>
      <c r="Y31" s="87"/>
      <c r="Z31" s="86">
        <v>4640244</v>
      </c>
      <c r="AA31" s="87"/>
      <c r="AB31" s="86">
        <v>20690</v>
      </c>
      <c r="AC31" s="87"/>
      <c r="AD31" s="86">
        <v>491748</v>
      </c>
      <c r="AE31" s="87"/>
      <c r="AF31" s="86">
        <v>488601</v>
      </c>
      <c r="AG31" s="87"/>
      <c r="AH31" s="86">
        <v>3147</v>
      </c>
      <c r="AI31" s="87"/>
      <c r="AJ31" s="86">
        <v>3097363</v>
      </c>
      <c r="AK31" s="87"/>
      <c r="AL31" s="86">
        <v>3084167</v>
      </c>
      <c r="AM31" s="87"/>
      <c r="AN31" s="86">
        <v>326422</v>
      </c>
      <c r="AO31" s="87"/>
      <c r="AP31" s="92">
        <v>324323</v>
      </c>
      <c r="AQ31" s="87"/>
      <c r="AR31" s="86">
        <v>37419416</v>
      </c>
      <c r="AS31" s="87"/>
      <c r="AT31" s="91">
        <v>102607757</v>
      </c>
      <c r="AU31" s="83"/>
      <c r="AV31" s="93">
        <v>64.400000000000006</v>
      </c>
      <c r="AW31" s="83" t="s">
        <v>103</v>
      </c>
      <c r="AX31" s="83" t="s">
        <v>730</v>
      </c>
    </row>
    <row r="32" spans="1:50">
      <c r="A32" s="83" t="s">
        <v>782</v>
      </c>
      <c r="B32" s="83" t="s">
        <v>783</v>
      </c>
      <c r="C32" s="83" t="s">
        <v>784</v>
      </c>
      <c r="D32" s="84">
        <v>8</v>
      </c>
      <c r="E32" s="85">
        <v>8</v>
      </c>
      <c r="F32" s="83" t="s">
        <v>741</v>
      </c>
      <c r="G32" s="83" t="s">
        <v>727</v>
      </c>
      <c r="H32" s="86">
        <v>1849898</v>
      </c>
      <c r="I32" s="87">
        <v>982</v>
      </c>
      <c r="J32" s="83" t="s">
        <v>735</v>
      </c>
      <c r="K32" s="83" t="s">
        <v>729</v>
      </c>
      <c r="L32" s="88">
        <v>116</v>
      </c>
      <c r="M32" s="83"/>
      <c r="N32" s="89">
        <v>55</v>
      </c>
      <c r="O32" s="87"/>
      <c r="P32" s="90">
        <v>14.136900000000001</v>
      </c>
      <c r="Q32" s="87"/>
      <c r="R32" s="90">
        <v>5.2552000000000003</v>
      </c>
      <c r="S32" s="87"/>
      <c r="T32" s="90">
        <v>48.392400000000002</v>
      </c>
      <c r="U32" s="87"/>
      <c r="V32" s="86">
        <v>8977599</v>
      </c>
      <c r="W32" s="87"/>
      <c r="X32" s="91">
        <v>8981104</v>
      </c>
      <c r="Y32" s="87"/>
      <c r="Z32" s="86">
        <v>8864217</v>
      </c>
      <c r="AA32" s="87"/>
      <c r="AB32" s="86">
        <v>116887</v>
      </c>
      <c r="AC32" s="87"/>
      <c r="AD32" s="86">
        <v>636882</v>
      </c>
      <c r="AE32" s="87"/>
      <c r="AF32" s="86">
        <v>627025</v>
      </c>
      <c r="AG32" s="87"/>
      <c r="AH32" s="86">
        <v>9857</v>
      </c>
      <c r="AI32" s="87"/>
      <c r="AJ32" s="86">
        <v>4501055</v>
      </c>
      <c r="AK32" s="87"/>
      <c r="AL32" s="86">
        <v>4442373</v>
      </c>
      <c r="AM32" s="87"/>
      <c r="AN32" s="86">
        <v>319090</v>
      </c>
      <c r="AO32" s="87"/>
      <c r="AP32" s="92">
        <v>314140</v>
      </c>
      <c r="AQ32" s="87"/>
      <c r="AR32" s="86">
        <v>30343267</v>
      </c>
      <c r="AS32" s="87"/>
      <c r="AT32" s="91">
        <v>159458488</v>
      </c>
      <c r="AU32" s="83"/>
      <c r="AV32" s="93">
        <v>118.91</v>
      </c>
      <c r="AW32" s="83" t="s">
        <v>103</v>
      </c>
      <c r="AX32" s="83" t="s">
        <v>730</v>
      </c>
    </row>
    <row r="33" spans="1:50">
      <c r="A33" s="83" t="s">
        <v>785</v>
      </c>
      <c r="B33" s="83" t="s">
        <v>786</v>
      </c>
      <c r="C33" s="83" t="s">
        <v>787</v>
      </c>
      <c r="D33" s="84">
        <v>4022</v>
      </c>
      <c r="E33" s="85">
        <v>40022</v>
      </c>
      <c r="F33" s="83" t="s">
        <v>741</v>
      </c>
      <c r="G33" s="83" t="s">
        <v>727</v>
      </c>
      <c r="H33" s="86">
        <v>4515419</v>
      </c>
      <c r="I33" s="87">
        <v>943</v>
      </c>
      <c r="J33" s="83" t="s">
        <v>728</v>
      </c>
      <c r="K33" s="83" t="s">
        <v>729</v>
      </c>
      <c r="L33" s="88">
        <v>212</v>
      </c>
      <c r="M33" s="83"/>
      <c r="N33" s="89">
        <v>39</v>
      </c>
      <c r="O33" s="87"/>
      <c r="P33" s="90">
        <v>26.494</v>
      </c>
      <c r="Q33" s="87"/>
      <c r="R33" s="90">
        <v>7.2762000000000002</v>
      </c>
      <c r="S33" s="87"/>
      <c r="T33" s="90">
        <v>58.747300000000003</v>
      </c>
      <c r="U33" s="87"/>
      <c r="V33" s="86">
        <v>20499724</v>
      </c>
      <c r="W33" s="87"/>
      <c r="X33" s="91">
        <v>21145309</v>
      </c>
      <c r="Y33" s="87"/>
      <c r="Z33" s="86">
        <v>20430752</v>
      </c>
      <c r="AA33" s="87"/>
      <c r="AB33" s="86">
        <v>714557</v>
      </c>
      <c r="AC33" s="87"/>
      <c r="AD33" s="86">
        <v>794602</v>
      </c>
      <c r="AE33" s="87"/>
      <c r="AF33" s="86">
        <v>771146</v>
      </c>
      <c r="AG33" s="87"/>
      <c r="AH33" s="86">
        <v>23456</v>
      </c>
      <c r="AI33" s="87"/>
      <c r="AJ33" s="86">
        <v>3715370</v>
      </c>
      <c r="AK33" s="87"/>
      <c r="AL33" s="86">
        <v>3628801</v>
      </c>
      <c r="AM33" s="87"/>
      <c r="AN33" s="86">
        <v>143614</v>
      </c>
      <c r="AO33" s="87"/>
      <c r="AP33" s="92">
        <v>139086</v>
      </c>
      <c r="AQ33" s="87"/>
      <c r="AR33" s="86">
        <v>45302714</v>
      </c>
      <c r="AS33" s="87"/>
      <c r="AT33" s="91">
        <v>329631085</v>
      </c>
      <c r="AU33" s="83"/>
      <c r="AV33" s="93">
        <v>96.06</v>
      </c>
      <c r="AW33" s="83" t="s">
        <v>103</v>
      </c>
      <c r="AX33" s="83" t="s">
        <v>730</v>
      </c>
    </row>
    <row r="34" spans="1:50">
      <c r="A34" s="83" t="s">
        <v>788</v>
      </c>
      <c r="B34" s="83" t="s">
        <v>789</v>
      </c>
      <c r="C34" s="83" t="s">
        <v>756</v>
      </c>
      <c r="D34" s="84">
        <v>3022</v>
      </c>
      <c r="E34" s="85">
        <v>30022</v>
      </c>
      <c r="F34" s="83" t="s">
        <v>741</v>
      </c>
      <c r="G34" s="83" t="s">
        <v>727</v>
      </c>
      <c r="H34" s="86">
        <v>1733853</v>
      </c>
      <c r="I34" s="87">
        <v>930</v>
      </c>
      <c r="J34" s="83" t="s">
        <v>735</v>
      </c>
      <c r="K34" s="83" t="s">
        <v>729</v>
      </c>
      <c r="L34" s="88">
        <v>58</v>
      </c>
      <c r="M34" s="83"/>
      <c r="N34" s="89">
        <v>29</v>
      </c>
      <c r="O34" s="87"/>
      <c r="P34" s="90">
        <v>12.909700000000001</v>
      </c>
      <c r="Q34" s="87"/>
      <c r="R34" s="90">
        <v>4.0317999999999996</v>
      </c>
      <c r="S34" s="87"/>
      <c r="T34" s="90">
        <v>37.530500000000004</v>
      </c>
      <c r="U34" s="87"/>
      <c r="V34" s="86">
        <v>2027777</v>
      </c>
      <c r="W34" s="87"/>
      <c r="X34" s="91">
        <v>1999310</v>
      </c>
      <c r="Y34" s="87"/>
      <c r="Z34" s="86">
        <v>1916792</v>
      </c>
      <c r="AA34" s="87"/>
      <c r="AB34" s="86">
        <v>82518</v>
      </c>
      <c r="AC34" s="87"/>
      <c r="AD34" s="86">
        <v>155486</v>
      </c>
      <c r="AE34" s="87"/>
      <c r="AF34" s="86">
        <v>148477</v>
      </c>
      <c r="AG34" s="87"/>
      <c r="AH34" s="86">
        <v>7009</v>
      </c>
      <c r="AI34" s="87"/>
      <c r="AJ34" s="86">
        <v>1497766</v>
      </c>
      <c r="AK34" s="87"/>
      <c r="AL34" s="86">
        <v>1442245</v>
      </c>
      <c r="AM34" s="87"/>
      <c r="AN34" s="86">
        <v>116738</v>
      </c>
      <c r="AO34" s="87"/>
      <c r="AP34" s="92">
        <v>112071</v>
      </c>
      <c r="AQ34" s="87"/>
      <c r="AR34" s="86">
        <v>5572417</v>
      </c>
      <c r="AS34" s="87"/>
      <c r="AT34" s="91">
        <v>22466673</v>
      </c>
      <c r="AU34" s="83"/>
      <c r="AV34" s="93">
        <v>49.64</v>
      </c>
      <c r="AW34" s="83" t="s">
        <v>103</v>
      </c>
      <c r="AX34" s="83" t="s">
        <v>730</v>
      </c>
    </row>
    <row r="35" spans="1:50">
      <c r="A35" s="83" t="s">
        <v>790</v>
      </c>
      <c r="B35" s="83" t="s">
        <v>791</v>
      </c>
      <c r="C35" s="83" t="s">
        <v>740</v>
      </c>
      <c r="D35" s="84">
        <v>9026</v>
      </c>
      <c r="E35" s="85">
        <v>90026</v>
      </c>
      <c r="F35" s="83" t="s">
        <v>741</v>
      </c>
      <c r="G35" s="83" t="s">
        <v>727</v>
      </c>
      <c r="H35" s="86">
        <v>2956746</v>
      </c>
      <c r="I35" s="87">
        <v>906</v>
      </c>
      <c r="J35" s="83" t="s">
        <v>735</v>
      </c>
      <c r="K35" s="83" t="s">
        <v>729</v>
      </c>
      <c r="L35" s="88">
        <v>103</v>
      </c>
      <c r="M35" s="83"/>
      <c r="N35" s="89">
        <v>35</v>
      </c>
      <c r="O35" s="87"/>
      <c r="P35" s="90">
        <v>18.120799999999999</v>
      </c>
      <c r="Q35" s="87"/>
      <c r="R35" s="90">
        <v>6.0708000000000002</v>
      </c>
      <c r="S35" s="87"/>
      <c r="T35" s="90">
        <v>62.966000000000001</v>
      </c>
      <c r="U35" s="87"/>
      <c r="V35" s="86">
        <v>9662505</v>
      </c>
      <c r="W35" s="87"/>
      <c r="X35" s="91">
        <v>9410942</v>
      </c>
      <c r="Y35" s="87"/>
      <c r="Z35" s="86">
        <v>9210076</v>
      </c>
      <c r="AA35" s="87"/>
      <c r="AB35" s="86">
        <v>200866</v>
      </c>
      <c r="AC35" s="87"/>
      <c r="AD35" s="86">
        <v>527144</v>
      </c>
      <c r="AE35" s="87"/>
      <c r="AF35" s="86">
        <v>508259</v>
      </c>
      <c r="AG35" s="87"/>
      <c r="AH35" s="86">
        <v>18885</v>
      </c>
      <c r="AI35" s="87"/>
      <c r="AJ35" s="86">
        <v>3279625</v>
      </c>
      <c r="AK35" s="87"/>
      <c r="AL35" s="86">
        <v>3207856</v>
      </c>
      <c r="AM35" s="87"/>
      <c r="AN35" s="86">
        <v>183992</v>
      </c>
      <c r="AO35" s="87"/>
      <c r="AP35" s="92">
        <v>177429</v>
      </c>
      <c r="AQ35" s="87"/>
      <c r="AR35" s="86">
        <v>32003027</v>
      </c>
      <c r="AS35" s="87"/>
      <c r="AT35" s="91">
        <v>194284885</v>
      </c>
      <c r="AU35" s="83"/>
      <c r="AV35" s="93">
        <v>108.4</v>
      </c>
      <c r="AW35" s="83" t="s">
        <v>103</v>
      </c>
      <c r="AX35" s="83" t="s">
        <v>730</v>
      </c>
    </row>
    <row r="36" spans="1:50">
      <c r="A36" s="83" t="s">
        <v>792</v>
      </c>
      <c r="B36" s="83" t="s">
        <v>793</v>
      </c>
      <c r="C36" s="83" t="s">
        <v>794</v>
      </c>
      <c r="D36" s="84">
        <v>5027</v>
      </c>
      <c r="E36" s="85">
        <v>50027</v>
      </c>
      <c r="F36" s="83" t="s">
        <v>726</v>
      </c>
      <c r="G36" s="83" t="s">
        <v>727</v>
      </c>
      <c r="H36" s="86">
        <v>2650890</v>
      </c>
      <c r="I36" s="87">
        <v>823</v>
      </c>
      <c r="J36" s="83" t="s">
        <v>735</v>
      </c>
      <c r="K36" s="83" t="s">
        <v>729</v>
      </c>
      <c r="L36" s="88">
        <v>76</v>
      </c>
      <c r="M36" s="83"/>
      <c r="N36" s="89">
        <v>23</v>
      </c>
      <c r="O36" s="87"/>
      <c r="P36" s="90">
        <v>11.985900000000001</v>
      </c>
      <c r="Q36" s="87"/>
      <c r="R36" s="90">
        <v>3.9723999999999999</v>
      </c>
      <c r="S36" s="87" t="s">
        <v>748</v>
      </c>
      <c r="T36" s="90">
        <v>30.465299999999999</v>
      </c>
      <c r="U36" s="87"/>
      <c r="V36" s="86">
        <v>4237895</v>
      </c>
      <c r="W36" s="87"/>
      <c r="X36" s="91">
        <v>4129925</v>
      </c>
      <c r="Y36" s="87"/>
      <c r="Z36" s="86">
        <v>4034814</v>
      </c>
      <c r="AA36" s="87"/>
      <c r="AB36" s="86">
        <v>95111</v>
      </c>
      <c r="AC36" s="87"/>
      <c r="AD36" s="86">
        <v>354913</v>
      </c>
      <c r="AE36" s="87"/>
      <c r="AF36" s="86">
        <v>336629</v>
      </c>
      <c r="AG36" s="87"/>
      <c r="AH36" s="86">
        <v>18284</v>
      </c>
      <c r="AI36" s="87"/>
      <c r="AJ36" s="86">
        <v>1500026</v>
      </c>
      <c r="AK36" s="87"/>
      <c r="AL36" s="86">
        <v>1436691</v>
      </c>
      <c r="AM36" s="87"/>
      <c r="AN36" s="86">
        <v>125192</v>
      </c>
      <c r="AO36" s="87"/>
      <c r="AP36" s="92">
        <v>118274</v>
      </c>
      <c r="AQ36" s="87"/>
      <c r="AR36" s="86">
        <v>10255520</v>
      </c>
      <c r="AS36" s="87"/>
      <c r="AT36" s="91">
        <v>40738989</v>
      </c>
      <c r="AU36" s="83" t="s">
        <v>748</v>
      </c>
      <c r="AV36" s="93">
        <v>44.26</v>
      </c>
      <c r="AW36" s="83" t="s">
        <v>103</v>
      </c>
      <c r="AX36" s="83" t="s">
        <v>749</v>
      </c>
    </row>
    <row r="37" spans="1:50">
      <c r="A37" s="83" t="s">
        <v>792</v>
      </c>
      <c r="B37" s="83" t="s">
        <v>793</v>
      </c>
      <c r="C37" s="83" t="s">
        <v>794</v>
      </c>
      <c r="D37" s="84">
        <v>5027</v>
      </c>
      <c r="E37" s="85">
        <v>50027</v>
      </c>
      <c r="F37" s="83" t="s">
        <v>726</v>
      </c>
      <c r="G37" s="83" t="s">
        <v>727</v>
      </c>
      <c r="H37" s="86">
        <v>2650890</v>
      </c>
      <c r="I37" s="87">
        <v>823</v>
      </c>
      <c r="J37" s="83" t="s">
        <v>737</v>
      </c>
      <c r="K37" s="83" t="s">
        <v>736</v>
      </c>
      <c r="L37" s="88">
        <v>20</v>
      </c>
      <c r="M37" s="83"/>
      <c r="N37" s="89">
        <v>4</v>
      </c>
      <c r="O37" s="87"/>
      <c r="P37" s="90">
        <v>43.768999999999998</v>
      </c>
      <c r="Q37" s="87"/>
      <c r="R37" s="90">
        <v>24.702500000000001</v>
      </c>
      <c r="S37" s="87" t="s">
        <v>748</v>
      </c>
      <c r="T37" s="90">
        <v>26.3444</v>
      </c>
      <c r="U37" s="87"/>
      <c r="V37" s="86">
        <v>253487</v>
      </c>
      <c r="W37" s="87"/>
      <c r="X37" s="91">
        <v>256360</v>
      </c>
      <c r="Y37" s="87"/>
      <c r="Z37" s="86">
        <v>253291</v>
      </c>
      <c r="AA37" s="87"/>
      <c r="AB37" s="86">
        <v>3069</v>
      </c>
      <c r="AC37" s="87"/>
      <c r="AD37" s="86">
        <v>6199</v>
      </c>
      <c r="AE37" s="87"/>
      <c r="AF37" s="86">
        <v>5787</v>
      </c>
      <c r="AG37" s="87"/>
      <c r="AH37" s="86">
        <v>412</v>
      </c>
      <c r="AI37" s="87"/>
      <c r="AJ37" s="86">
        <v>64139</v>
      </c>
      <c r="AK37" s="87"/>
      <c r="AL37" s="86">
        <v>63372</v>
      </c>
      <c r="AM37" s="87"/>
      <c r="AN37" s="86">
        <v>1552</v>
      </c>
      <c r="AO37" s="87"/>
      <c r="AP37" s="92">
        <v>1448</v>
      </c>
      <c r="AQ37" s="87"/>
      <c r="AR37" s="86">
        <v>152455</v>
      </c>
      <c r="AS37" s="87"/>
      <c r="AT37" s="91">
        <v>3766017</v>
      </c>
      <c r="AU37" s="83" t="s">
        <v>748</v>
      </c>
      <c r="AV37" s="93">
        <v>77.900000000000006</v>
      </c>
      <c r="AW37" s="83" t="s">
        <v>103</v>
      </c>
      <c r="AX37" s="83" t="s">
        <v>749</v>
      </c>
    </row>
    <row r="38" spans="1:50">
      <c r="A38" s="83" t="s">
        <v>795</v>
      </c>
      <c r="B38" s="83" t="s">
        <v>796</v>
      </c>
      <c r="C38" s="83" t="s">
        <v>740</v>
      </c>
      <c r="D38" s="84">
        <v>9013</v>
      </c>
      <c r="E38" s="85">
        <v>90013</v>
      </c>
      <c r="F38" s="83" t="s">
        <v>741</v>
      </c>
      <c r="G38" s="83" t="s">
        <v>727</v>
      </c>
      <c r="H38" s="86">
        <v>1664496</v>
      </c>
      <c r="I38" s="87">
        <v>635</v>
      </c>
      <c r="J38" s="83" t="s">
        <v>735</v>
      </c>
      <c r="K38" s="83" t="s">
        <v>729</v>
      </c>
      <c r="L38" s="88">
        <v>61</v>
      </c>
      <c r="M38" s="83"/>
      <c r="N38" s="89">
        <v>29</v>
      </c>
      <c r="O38" s="87"/>
      <c r="P38" s="90">
        <v>14.6876</v>
      </c>
      <c r="Q38" s="87"/>
      <c r="R38" s="90">
        <v>5.3385999999999996</v>
      </c>
      <c r="S38" s="87"/>
      <c r="T38" s="90">
        <v>31.957599999999999</v>
      </c>
      <c r="U38" s="87"/>
      <c r="V38" s="86">
        <v>3049391</v>
      </c>
      <c r="W38" s="87"/>
      <c r="X38" s="91">
        <v>3045104</v>
      </c>
      <c r="Y38" s="87"/>
      <c r="Z38" s="86">
        <v>2886997</v>
      </c>
      <c r="AA38" s="87"/>
      <c r="AB38" s="86">
        <v>158107</v>
      </c>
      <c r="AC38" s="87"/>
      <c r="AD38" s="86">
        <v>208938</v>
      </c>
      <c r="AE38" s="87"/>
      <c r="AF38" s="86">
        <v>196560</v>
      </c>
      <c r="AG38" s="87"/>
      <c r="AH38" s="86">
        <v>12378</v>
      </c>
      <c r="AI38" s="87"/>
      <c r="AJ38" s="86">
        <v>1824324</v>
      </c>
      <c r="AK38" s="87"/>
      <c r="AL38" s="86">
        <v>1733696</v>
      </c>
      <c r="AM38" s="87"/>
      <c r="AN38" s="86">
        <v>131172</v>
      </c>
      <c r="AO38" s="87"/>
      <c r="AP38" s="92">
        <v>123509</v>
      </c>
      <c r="AQ38" s="87"/>
      <c r="AR38" s="86">
        <v>6281578</v>
      </c>
      <c r="AS38" s="87"/>
      <c r="AT38" s="91">
        <v>33535077</v>
      </c>
      <c r="AU38" s="83"/>
      <c r="AV38" s="93">
        <v>80.959999999999994</v>
      </c>
      <c r="AW38" s="83" t="s">
        <v>103</v>
      </c>
      <c r="AX38" s="83" t="s">
        <v>730</v>
      </c>
    </row>
    <row r="39" spans="1:50">
      <c r="A39" s="83" t="s">
        <v>797</v>
      </c>
      <c r="B39" s="83" t="s">
        <v>798</v>
      </c>
      <c r="C39" s="83" t="s">
        <v>740</v>
      </c>
      <c r="D39" s="84">
        <v>9003</v>
      </c>
      <c r="E39" s="85">
        <v>90003</v>
      </c>
      <c r="F39" s="83" t="s">
        <v>741</v>
      </c>
      <c r="G39" s="83" t="s">
        <v>727</v>
      </c>
      <c r="H39" s="86">
        <v>3281212</v>
      </c>
      <c r="I39" s="87">
        <v>616</v>
      </c>
      <c r="J39" s="83" t="s">
        <v>728</v>
      </c>
      <c r="K39" s="83" t="s">
        <v>729</v>
      </c>
      <c r="L39" s="88">
        <v>599</v>
      </c>
      <c r="M39" s="83"/>
      <c r="N39" s="89">
        <v>56</v>
      </c>
      <c r="O39" s="87"/>
      <c r="P39" s="90">
        <v>34.829900000000002</v>
      </c>
      <c r="Q39" s="87" t="s">
        <v>748</v>
      </c>
      <c r="R39" s="90">
        <v>13.962999999999999</v>
      </c>
      <c r="S39" s="87"/>
      <c r="T39" s="90">
        <v>44.260899999999999</v>
      </c>
      <c r="U39" s="87" t="s">
        <v>748</v>
      </c>
      <c r="V39" s="86">
        <v>69597595</v>
      </c>
      <c r="W39" s="87"/>
      <c r="X39" s="91">
        <v>72050709</v>
      </c>
      <c r="Y39" s="87"/>
      <c r="Z39" s="86">
        <v>69799195</v>
      </c>
      <c r="AA39" s="87"/>
      <c r="AB39" s="86">
        <v>2251514</v>
      </c>
      <c r="AC39" s="87"/>
      <c r="AD39" s="86">
        <v>2377255</v>
      </c>
      <c r="AE39" s="87"/>
      <c r="AF39" s="86">
        <v>2004002</v>
      </c>
      <c r="AG39" s="87" t="s">
        <v>748</v>
      </c>
      <c r="AH39" s="86">
        <v>373253</v>
      </c>
      <c r="AI39" s="87"/>
      <c r="AJ39" s="86">
        <v>8255518</v>
      </c>
      <c r="AK39" s="87"/>
      <c r="AL39" s="86">
        <v>7973519</v>
      </c>
      <c r="AM39" s="87"/>
      <c r="AN39" s="86">
        <v>277276</v>
      </c>
      <c r="AO39" s="87"/>
      <c r="AP39" s="92">
        <v>229211</v>
      </c>
      <c r="AQ39" s="87"/>
      <c r="AR39" s="86">
        <v>88698878</v>
      </c>
      <c r="AS39" s="87"/>
      <c r="AT39" s="91">
        <v>1238506222</v>
      </c>
      <c r="AU39" s="83"/>
      <c r="AV39" s="93">
        <v>239.42</v>
      </c>
      <c r="AW39" s="83" t="s">
        <v>103</v>
      </c>
      <c r="AX39" s="83" t="s">
        <v>749</v>
      </c>
    </row>
    <row r="40" spans="1:50">
      <c r="A40" s="83" t="s">
        <v>799</v>
      </c>
      <c r="B40" s="83" t="s">
        <v>800</v>
      </c>
      <c r="C40" s="83" t="s">
        <v>801</v>
      </c>
      <c r="D40" s="84">
        <v>7006</v>
      </c>
      <c r="E40" s="85">
        <v>70006</v>
      </c>
      <c r="F40" s="83" t="s">
        <v>741</v>
      </c>
      <c r="G40" s="83" t="s">
        <v>727</v>
      </c>
      <c r="H40" s="86">
        <v>2150706</v>
      </c>
      <c r="I40" s="87">
        <v>493</v>
      </c>
      <c r="J40" s="83" t="s">
        <v>735</v>
      </c>
      <c r="K40" s="83" t="s">
        <v>729</v>
      </c>
      <c r="L40" s="88">
        <v>50</v>
      </c>
      <c r="M40" s="83"/>
      <c r="N40" s="89">
        <v>25</v>
      </c>
      <c r="O40" s="87"/>
      <c r="P40" s="90">
        <v>23.1905</v>
      </c>
      <c r="Q40" s="87"/>
      <c r="R40" s="90">
        <v>6.7489999999999997</v>
      </c>
      <c r="S40" s="87"/>
      <c r="T40" s="90">
        <v>41.739400000000003</v>
      </c>
      <c r="U40" s="87"/>
      <c r="V40" s="86">
        <v>5954691</v>
      </c>
      <c r="W40" s="87"/>
      <c r="X40" s="91">
        <v>5905439</v>
      </c>
      <c r="Y40" s="87"/>
      <c r="Z40" s="86">
        <v>5839491</v>
      </c>
      <c r="AA40" s="87"/>
      <c r="AB40" s="86">
        <v>65948</v>
      </c>
      <c r="AC40" s="87"/>
      <c r="AD40" s="86">
        <v>256119</v>
      </c>
      <c r="AE40" s="87"/>
      <c r="AF40" s="86">
        <v>251805</v>
      </c>
      <c r="AG40" s="87"/>
      <c r="AH40" s="86">
        <v>4314</v>
      </c>
      <c r="AI40" s="87"/>
      <c r="AJ40" s="86">
        <v>2952712</v>
      </c>
      <c r="AK40" s="87"/>
      <c r="AL40" s="86">
        <v>2919745</v>
      </c>
      <c r="AM40" s="87"/>
      <c r="AN40" s="86">
        <v>128060</v>
      </c>
      <c r="AO40" s="87"/>
      <c r="AP40" s="92">
        <v>125902</v>
      </c>
      <c r="AQ40" s="87"/>
      <c r="AR40" s="86">
        <v>10510179</v>
      </c>
      <c r="AS40" s="87"/>
      <c r="AT40" s="91">
        <v>70933375</v>
      </c>
      <c r="AU40" s="83"/>
      <c r="AV40" s="93">
        <v>91.06</v>
      </c>
      <c r="AW40" s="83" t="s">
        <v>103</v>
      </c>
      <c r="AX40" s="83" t="s">
        <v>730</v>
      </c>
    </row>
    <row r="41" spans="1:50">
      <c r="A41" s="83" t="s">
        <v>802</v>
      </c>
      <c r="B41" s="83" t="s">
        <v>803</v>
      </c>
      <c r="C41" s="83" t="s">
        <v>804</v>
      </c>
      <c r="D41" s="84">
        <v>5015</v>
      </c>
      <c r="E41" s="85">
        <v>50015</v>
      </c>
      <c r="F41" s="83" t="s">
        <v>741</v>
      </c>
      <c r="G41" s="83" t="s">
        <v>727</v>
      </c>
      <c r="H41" s="86">
        <v>1780673</v>
      </c>
      <c r="I41" s="87">
        <v>418</v>
      </c>
      <c r="J41" s="83" t="s">
        <v>735</v>
      </c>
      <c r="K41" s="83" t="s">
        <v>729</v>
      </c>
      <c r="L41" s="88">
        <v>6</v>
      </c>
      <c r="M41" s="83"/>
      <c r="N41" s="89">
        <v>6</v>
      </c>
      <c r="O41" s="87"/>
      <c r="P41" s="90">
        <v>14.0802</v>
      </c>
      <c r="Q41" s="87"/>
      <c r="R41" s="90">
        <v>3.5057</v>
      </c>
      <c r="S41" s="87" t="s">
        <v>748</v>
      </c>
      <c r="T41" s="90">
        <v>14.4611</v>
      </c>
      <c r="U41" s="87"/>
      <c r="V41" s="86">
        <v>559327</v>
      </c>
      <c r="W41" s="87"/>
      <c r="X41" s="91">
        <v>577077</v>
      </c>
      <c r="Y41" s="87"/>
      <c r="Z41" s="86">
        <v>573726</v>
      </c>
      <c r="AA41" s="87"/>
      <c r="AB41" s="86">
        <v>3351</v>
      </c>
      <c r="AC41" s="87"/>
      <c r="AD41" s="86">
        <v>41389</v>
      </c>
      <c r="AE41" s="87"/>
      <c r="AF41" s="86">
        <v>40747</v>
      </c>
      <c r="AG41" s="87"/>
      <c r="AH41" s="86">
        <v>642</v>
      </c>
      <c r="AI41" s="87"/>
      <c r="AJ41" s="86">
        <v>562513</v>
      </c>
      <c r="AK41" s="87"/>
      <c r="AL41" s="86">
        <v>559161</v>
      </c>
      <c r="AM41" s="87"/>
      <c r="AN41" s="86">
        <v>40336</v>
      </c>
      <c r="AO41" s="87"/>
      <c r="AP41" s="92">
        <v>39693</v>
      </c>
      <c r="AQ41" s="87"/>
      <c r="AR41" s="86">
        <v>589245</v>
      </c>
      <c r="AS41" s="87"/>
      <c r="AT41" s="91">
        <v>2065735</v>
      </c>
      <c r="AU41" s="83" t="s">
        <v>748</v>
      </c>
      <c r="AV41" s="93">
        <v>30.38</v>
      </c>
      <c r="AW41" s="83" t="s">
        <v>103</v>
      </c>
      <c r="AX41" s="83" t="s">
        <v>749</v>
      </c>
    </row>
    <row r="42" spans="1:50">
      <c r="A42" s="83" t="s">
        <v>802</v>
      </c>
      <c r="B42" s="83" t="s">
        <v>803</v>
      </c>
      <c r="C42" s="83" t="s">
        <v>804</v>
      </c>
      <c r="D42" s="84">
        <v>5015</v>
      </c>
      <c r="E42" s="85">
        <v>50015</v>
      </c>
      <c r="F42" s="83" t="s">
        <v>741</v>
      </c>
      <c r="G42" s="83" t="s">
        <v>727</v>
      </c>
      <c r="H42" s="86">
        <v>1780673</v>
      </c>
      <c r="I42" s="87">
        <v>418</v>
      </c>
      <c r="J42" s="83" t="s">
        <v>728</v>
      </c>
      <c r="K42" s="83" t="s">
        <v>729</v>
      </c>
      <c r="L42" s="88">
        <v>16</v>
      </c>
      <c r="M42" s="83"/>
      <c r="N42" s="89">
        <v>8</v>
      </c>
      <c r="O42" s="87"/>
      <c r="P42" s="90">
        <v>19.014700000000001</v>
      </c>
      <c r="Q42" s="87"/>
      <c r="R42" s="90">
        <v>6.9599000000000002</v>
      </c>
      <c r="S42" s="87" t="s">
        <v>748</v>
      </c>
      <c r="T42" s="90">
        <v>20.605499999999999</v>
      </c>
      <c r="U42" s="87"/>
      <c r="V42" s="86">
        <v>2472057</v>
      </c>
      <c r="W42" s="87"/>
      <c r="X42" s="91">
        <v>2440418</v>
      </c>
      <c r="Y42" s="87"/>
      <c r="Z42" s="86">
        <v>2434523</v>
      </c>
      <c r="AA42" s="87"/>
      <c r="AB42" s="86">
        <v>5895</v>
      </c>
      <c r="AC42" s="87"/>
      <c r="AD42" s="86">
        <v>129302</v>
      </c>
      <c r="AE42" s="87"/>
      <c r="AF42" s="86">
        <v>128034</v>
      </c>
      <c r="AG42" s="87"/>
      <c r="AH42" s="86">
        <v>1268</v>
      </c>
      <c r="AI42" s="87"/>
      <c r="AJ42" s="86">
        <v>1238321</v>
      </c>
      <c r="AK42" s="87"/>
      <c r="AL42" s="86">
        <v>1235375</v>
      </c>
      <c r="AM42" s="87"/>
      <c r="AN42" s="86">
        <v>65610</v>
      </c>
      <c r="AO42" s="87"/>
      <c r="AP42" s="92">
        <v>64976</v>
      </c>
      <c r="AQ42" s="87"/>
      <c r="AR42" s="86">
        <v>2638201</v>
      </c>
      <c r="AS42" s="87"/>
      <c r="AT42" s="91">
        <v>18361515</v>
      </c>
      <c r="AU42" s="83" t="s">
        <v>748</v>
      </c>
      <c r="AV42" s="93">
        <v>38.08</v>
      </c>
      <c r="AW42" s="83" t="s">
        <v>103</v>
      </c>
      <c r="AX42" s="83" t="s">
        <v>749</v>
      </c>
    </row>
    <row r="43" spans="1:50">
      <c r="A43" s="83" t="s">
        <v>805</v>
      </c>
      <c r="B43" s="83" t="s">
        <v>806</v>
      </c>
      <c r="C43" s="83" t="s">
        <v>807</v>
      </c>
      <c r="D43" s="84">
        <v>3083</v>
      </c>
      <c r="E43" s="85">
        <v>30083</v>
      </c>
      <c r="F43" s="83" t="s">
        <v>741</v>
      </c>
      <c r="G43" s="83" t="s">
        <v>727</v>
      </c>
      <c r="H43" s="86">
        <v>1439666</v>
      </c>
      <c r="I43" s="87">
        <v>417</v>
      </c>
      <c r="J43" s="83" t="s">
        <v>735</v>
      </c>
      <c r="K43" s="83" t="s">
        <v>729</v>
      </c>
      <c r="L43" s="88">
        <v>6</v>
      </c>
      <c r="M43" s="83"/>
      <c r="N43" s="89">
        <v>6</v>
      </c>
      <c r="O43" s="87"/>
      <c r="P43" s="90">
        <v>13.267099999999999</v>
      </c>
      <c r="Q43" s="87"/>
      <c r="R43" s="90">
        <v>3.2271999999999998</v>
      </c>
      <c r="S43" s="87"/>
      <c r="T43" s="90">
        <v>40.308999999999997</v>
      </c>
      <c r="U43" s="87"/>
      <c r="V43" s="86">
        <v>344336</v>
      </c>
      <c r="W43" s="87"/>
      <c r="X43" s="91">
        <v>344847</v>
      </c>
      <c r="Y43" s="87"/>
      <c r="Z43" s="86">
        <v>343618</v>
      </c>
      <c r="AA43" s="87"/>
      <c r="AB43" s="86">
        <v>1229</v>
      </c>
      <c r="AC43" s="87"/>
      <c r="AD43" s="86">
        <v>26101</v>
      </c>
      <c r="AE43" s="87"/>
      <c r="AF43" s="86">
        <v>25900</v>
      </c>
      <c r="AG43" s="87"/>
      <c r="AH43" s="86">
        <v>201</v>
      </c>
      <c r="AI43" s="87"/>
      <c r="AJ43" s="86">
        <v>344847</v>
      </c>
      <c r="AK43" s="87"/>
      <c r="AL43" s="86">
        <v>343618</v>
      </c>
      <c r="AM43" s="87"/>
      <c r="AN43" s="86">
        <v>26101</v>
      </c>
      <c r="AO43" s="87"/>
      <c r="AP43" s="92">
        <v>25900</v>
      </c>
      <c r="AQ43" s="87"/>
      <c r="AR43" s="86">
        <v>1044002</v>
      </c>
      <c r="AS43" s="87"/>
      <c r="AT43" s="91">
        <v>3369249</v>
      </c>
      <c r="AU43" s="83"/>
      <c r="AV43" s="93">
        <v>14.8</v>
      </c>
      <c r="AW43" s="83" t="s">
        <v>103</v>
      </c>
      <c r="AX43" s="83" t="s">
        <v>730</v>
      </c>
    </row>
    <row r="44" spans="1:50">
      <c r="A44" s="83" t="s">
        <v>808</v>
      </c>
      <c r="B44" s="83" t="s">
        <v>809</v>
      </c>
      <c r="C44" s="83" t="s">
        <v>810</v>
      </c>
      <c r="D44" s="84">
        <v>4008</v>
      </c>
      <c r="E44" s="85">
        <v>40008</v>
      </c>
      <c r="F44" s="83" t="s">
        <v>767</v>
      </c>
      <c r="G44" s="83" t="s">
        <v>727</v>
      </c>
      <c r="H44" s="86">
        <v>1249442</v>
      </c>
      <c r="I44" s="87">
        <v>409</v>
      </c>
      <c r="J44" s="83" t="s">
        <v>735</v>
      </c>
      <c r="K44" s="83" t="s">
        <v>729</v>
      </c>
      <c r="L44" s="88">
        <v>36</v>
      </c>
      <c r="M44" s="83"/>
      <c r="N44" s="89">
        <v>16</v>
      </c>
      <c r="O44" s="87"/>
      <c r="P44" s="90">
        <v>16.140799999999999</v>
      </c>
      <c r="Q44" s="87"/>
      <c r="R44" s="90">
        <v>5.1829999999999998</v>
      </c>
      <c r="S44" s="87"/>
      <c r="T44" s="90">
        <v>55.526200000000003</v>
      </c>
      <c r="U44" s="87"/>
      <c r="V44" s="86">
        <v>2178959</v>
      </c>
      <c r="W44" s="87"/>
      <c r="X44" s="91">
        <v>2267166</v>
      </c>
      <c r="Y44" s="87"/>
      <c r="Z44" s="86">
        <v>2110955</v>
      </c>
      <c r="AA44" s="87"/>
      <c r="AB44" s="86">
        <v>156211</v>
      </c>
      <c r="AC44" s="87"/>
      <c r="AD44" s="86">
        <v>138754</v>
      </c>
      <c r="AE44" s="87"/>
      <c r="AF44" s="86">
        <v>130784</v>
      </c>
      <c r="AG44" s="87"/>
      <c r="AH44" s="86">
        <v>7970</v>
      </c>
      <c r="AI44" s="87"/>
      <c r="AJ44" s="86">
        <v>1141671</v>
      </c>
      <c r="AK44" s="87"/>
      <c r="AL44" s="86">
        <v>1059265</v>
      </c>
      <c r="AM44" s="87"/>
      <c r="AN44" s="86">
        <v>69828</v>
      </c>
      <c r="AO44" s="87"/>
      <c r="AP44" s="92">
        <v>65622</v>
      </c>
      <c r="AQ44" s="87"/>
      <c r="AR44" s="86">
        <v>7261944</v>
      </c>
      <c r="AS44" s="87"/>
      <c r="AT44" s="91">
        <v>37638865</v>
      </c>
      <c r="AU44" s="83"/>
      <c r="AV44" s="93">
        <v>37.299999999999997</v>
      </c>
      <c r="AW44" s="83" t="s">
        <v>103</v>
      </c>
      <c r="AX44" s="83" t="s">
        <v>730</v>
      </c>
    </row>
    <row r="45" spans="1:50">
      <c r="A45" s="83" t="s">
        <v>811</v>
      </c>
      <c r="B45" s="83" t="s">
        <v>812</v>
      </c>
      <c r="C45" s="83" t="s">
        <v>813</v>
      </c>
      <c r="D45" s="84">
        <v>40</v>
      </c>
      <c r="E45" s="85">
        <v>40</v>
      </c>
      <c r="F45" s="83" t="s">
        <v>741</v>
      </c>
      <c r="G45" s="83" t="s">
        <v>727</v>
      </c>
      <c r="H45" s="86">
        <v>3059393</v>
      </c>
      <c r="I45" s="87">
        <v>381</v>
      </c>
      <c r="J45" s="83" t="s">
        <v>735</v>
      </c>
      <c r="K45" s="83" t="s">
        <v>729</v>
      </c>
      <c r="L45" s="88">
        <v>48</v>
      </c>
      <c r="M45" s="83"/>
      <c r="N45" s="89">
        <v>17</v>
      </c>
      <c r="O45" s="87"/>
      <c r="P45" s="90">
        <v>18.259</v>
      </c>
      <c r="Q45" s="87"/>
      <c r="R45" s="90">
        <v>6.3029999999999999</v>
      </c>
      <c r="S45" s="87"/>
      <c r="T45" s="90">
        <v>35.367199999999997</v>
      </c>
      <c r="U45" s="87"/>
      <c r="V45" s="86">
        <v>3994837</v>
      </c>
      <c r="W45" s="87"/>
      <c r="X45" s="91">
        <v>4168064</v>
      </c>
      <c r="Y45" s="87"/>
      <c r="Z45" s="86">
        <v>4078592</v>
      </c>
      <c r="AA45" s="87"/>
      <c r="AB45" s="86">
        <v>89472</v>
      </c>
      <c r="AC45" s="87"/>
      <c r="AD45" s="86">
        <v>233843</v>
      </c>
      <c r="AE45" s="87"/>
      <c r="AF45" s="86">
        <v>223374</v>
      </c>
      <c r="AG45" s="87"/>
      <c r="AH45" s="86">
        <v>10469</v>
      </c>
      <c r="AI45" s="87"/>
      <c r="AJ45" s="86">
        <v>1165448</v>
      </c>
      <c r="AK45" s="87"/>
      <c r="AL45" s="86">
        <v>1140397</v>
      </c>
      <c r="AM45" s="87"/>
      <c r="AN45" s="86">
        <v>65104</v>
      </c>
      <c r="AO45" s="87"/>
      <c r="AP45" s="92">
        <v>61879</v>
      </c>
      <c r="AQ45" s="87"/>
      <c r="AR45" s="86">
        <v>7900122</v>
      </c>
      <c r="AS45" s="87"/>
      <c r="AT45" s="91">
        <v>49794569</v>
      </c>
      <c r="AU45" s="83"/>
      <c r="AV45" s="93">
        <v>40.4</v>
      </c>
      <c r="AW45" s="83" t="s">
        <v>103</v>
      </c>
      <c r="AX45" s="83" t="s">
        <v>730</v>
      </c>
    </row>
    <row r="46" spans="1:50">
      <c r="A46" s="83" t="s">
        <v>811</v>
      </c>
      <c r="B46" s="83" t="s">
        <v>812</v>
      </c>
      <c r="C46" s="83" t="s">
        <v>813</v>
      </c>
      <c r="D46" s="84">
        <v>40</v>
      </c>
      <c r="E46" s="85">
        <v>40</v>
      </c>
      <c r="F46" s="83" t="s">
        <v>741</v>
      </c>
      <c r="G46" s="83" t="s">
        <v>727</v>
      </c>
      <c r="H46" s="86">
        <v>3059393</v>
      </c>
      <c r="I46" s="87">
        <v>381</v>
      </c>
      <c r="J46" s="83" t="s">
        <v>737</v>
      </c>
      <c r="K46" s="83" t="s">
        <v>736</v>
      </c>
      <c r="L46" s="88">
        <v>70</v>
      </c>
      <c r="M46" s="83"/>
      <c r="N46" s="89">
        <v>23</v>
      </c>
      <c r="O46" s="87"/>
      <c r="P46" s="90">
        <v>30.116700000000002</v>
      </c>
      <c r="Q46" s="87"/>
      <c r="R46" s="90">
        <v>25.192499999999999</v>
      </c>
      <c r="S46" s="87"/>
      <c r="T46" s="90">
        <v>24.971</v>
      </c>
      <c r="U46" s="87"/>
      <c r="V46" s="86">
        <v>1617729</v>
      </c>
      <c r="W46" s="87"/>
      <c r="X46" s="91">
        <v>1562310</v>
      </c>
      <c r="Y46" s="87"/>
      <c r="Z46" s="86">
        <v>1526737</v>
      </c>
      <c r="AA46" s="87"/>
      <c r="AB46" s="86">
        <v>35573</v>
      </c>
      <c r="AC46" s="87"/>
      <c r="AD46" s="86">
        <v>54020</v>
      </c>
      <c r="AE46" s="87"/>
      <c r="AF46" s="86">
        <v>50694</v>
      </c>
      <c r="AG46" s="87"/>
      <c r="AH46" s="86">
        <v>3326</v>
      </c>
      <c r="AI46" s="87"/>
      <c r="AJ46" s="86">
        <v>250453</v>
      </c>
      <c r="AK46" s="87"/>
      <c r="AL46" s="86">
        <v>244746</v>
      </c>
      <c r="AM46" s="87"/>
      <c r="AN46" s="86">
        <v>8818</v>
      </c>
      <c r="AO46" s="87"/>
      <c r="AP46" s="92">
        <v>8281</v>
      </c>
      <c r="AQ46" s="87"/>
      <c r="AR46" s="86">
        <v>1265882</v>
      </c>
      <c r="AS46" s="87"/>
      <c r="AT46" s="91">
        <v>31890678</v>
      </c>
      <c r="AU46" s="83"/>
      <c r="AV46" s="93">
        <v>163.84</v>
      </c>
      <c r="AW46" s="83" t="s">
        <v>103</v>
      </c>
      <c r="AX46" s="83" t="s">
        <v>730</v>
      </c>
    </row>
    <row r="47" spans="1:50">
      <c r="A47" s="83" t="s">
        <v>814</v>
      </c>
      <c r="B47" s="83" t="s">
        <v>815</v>
      </c>
      <c r="C47" s="83" t="s">
        <v>725</v>
      </c>
      <c r="D47" s="84">
        <v>2004</v>
      </c>
      <c r="E47" s="85">
        <v>20004</v>
      </c>
      <c r="F47" s="83" t="s">
        <v>741</v>
      </c>
      <c r="G47" s="83" t="s">
        <v>727</v>
      </c>
      <c r="H47" s="86">
        <v>935906</v>
      </c>
      <c r="I47" s="87">
        <v>359</v>
      </c>
      <c r="J47" s="83" t="s">
        <v>735</v>
      </c>
      <c r="K47" s="83" t="s">
        <v>729</v>
      </c>
      <c r="L47" s="88">
        <v>23</v>
      </c>
      <c r="M47" s="83"/>
      <c r="N47" s="89">
        <v>7</v>
      </c>
      <c r="O47" s="87"/>
      <c r="P47" s="90">
        <v>11.1447</v>
      </c>
      <c r="Q47" s="87"/>
      <c r="R47" s="90">
        <v>2.6665000000000001</v>
      </c>
      <c r="S47" s="87"/>
      <c r="T47" s="90">
        <v>48.610100000000003</v>
      </c>
      <c r="U47" s="87"/>
      <c r="V47" s="86">
        <v>962940</v>
      </c>
      <c r="W47" s="87"/>
      <c r="X47" s="91">
        <v>984827</v>
      </c>
      <c r="Y47" s="87"/>
      <c r="Z47" s="86">
        <v>968353</v>
      </c>
      <c r="AA47" s="87"/>
      <c r="AB47" s="86">
        <v>16474</v>
      </c>
      <c r="AC47" s="87"/>
      <c r="AD47" s="86">
        <v>91599</v>
      </c>
      <c r="AE47" s="87"/>
      <c r="AF47" s="86">
        <v>86889</v>
      </c>
      <c r="AG47" s="87"/>
      <c r="AH47" s="86">
        <v>4710</v>
      </c>
      <c r="AI47" s="87"/>
      <c r="AJ47" s="86">
        <v>347313</v>
      </c>
      <c r="AK47" s="87"/>
      <c r="AL47" s="86">
        <v>341503</v>
      </c>
      <c r="AM47" s="87"/>
      <c r="AN47" s="86">
        <v>32115</v>
      </c>
      <c r="AO47" s="87"/>
      <c r="AP47" s="92">
        <v>30462</v>
      </c>
      <c r="AQ47" s="87"/>
      <c r="AR47" s="86">
        <v>4223681</v>
      </c>
      <c r="AS47" s="87"/>
      <c r="AT47" s="91">
        <v>11262397</v>
      </c>
      <c r="AU47" s="83"/>
      <c r="AV47" s="93">
        <v>12.4</v>
      </c>
      <c r="AW47" s="83" t="s">
        <v>103</v>
      </c>
      <c r="AX47" s="83" t="s">
        <v>730</v>
      </c>
    </row>
    <row r="48" spans="1:50">
      <c r="A48" s="83" t="s">
        <v>816</v>
      </c>
      <c r="B48" s="83" t="s">
        <v>817</v>
      </c>
      <c r="C48" s="83" t="s">
        <v>740</v>
      </c>
      <c r="D48" s="84">
        <v>9019</v>
      </c>
      <c r="E48" s="85">
        <v>90019</v>
      </c>
      <c r="F48" s="83" t="s">
        <v>741</v>
      </c>
      <c r="G48" s="83" t="s">
        <v>727</v>
      </c>
      <c r="H48" s="86">
        <v>1723634</v>
      </c>
      <c r="I48" s="87">
        <v>331</v>
      </c>
      <c r="J48" s="83" t="s">
        <v>735</v>
      </c>
      <c r="K48" s="83" t="s">
        <v>729</v>
      </c>
      <c r="L48" s="88">
        <v>69</v>
      </c>
      <c r="M48" s="83"/>
      <c r="N48" s="89">
        <v>18</v>
      </c>
      <c r="O48" s="87"/>
      <c r="P48" s="90">
        <v>17.4438</v>
      </c>
      <c r="Q48" s="87"/>
      <c r="R48" s="90">
        <v>5.9108000000000001</v>
      </c>
      <c r="S48" s="87"/>
      <c r="T48" s="90">
        <v>43.433199999999999</v>
      </c>
      <c r="U48" s="87"/>
      <c r="V48" s="86">
        <v>3637080</v>
      </c>
      <c r="W48" s="87"/>
      <c r="X48" s="91">
        <v>3765256</v>
      </c>
      <c r="Y48" s="87"/>
      <c r="Z48" s="86">
        <v>3610107</v>
      </c>
      <c r="AA48" s="87"/>
      <c r="AB48" s="86">
        <v>155149</v>
      </c>
      <c r="AC48" s="87"/>
      <c r="AD48" s="86">
        <v>213385</v>
      </c>
      <c r="AE48" s="87"/>
      <c r="AF48" s="86">
        <v>206957</v>
      </c>
      <c r="AG48" s="87"/>
      <c r="AH48" s="86">
        <v>6428</v>
      </c>
      <c r="AI48" s="87"/>
      <c r="AJ48" s="86">
        <v>1757466</v>
      </c>
      <c r="AK48" s="87"/>
      <c r="AL48" s="86">
        <v>1710343</v>
      </c>
      <c r="AM48" s="87"/>
      <c r="AN48" s="86">
        <v>101083</v>
      </c>
      <c r="AO48" s="87"/>
      <c r="AP48" s="92">
        <v>98064</v>
      </c>
      <c r="AQ48" s="87"/>
      <c r="AR48" s="86">
        <v>8988806</v>
      </c>
      <c r="AS48" s="87"/>
      <c r="AT48" s="91">
        <v>53131252</v>
      </c>
      <c r="AU48" s="83"/>
      <c r="AV48" s="93">
        <v>84.92</v>
      </c>
      <c r="AW48" s="83" t="s">
        <v>103</v>
      </c>
      <c r="AX48" s="83" t="s">
        <v>730</v>
      </c>
    </row>
    <row r="49" spans="1:50">
      <c r="A49" s="83" t="s">
        <v>818</v>
      </c>
      <c r="B49" s="83" t="s">
        <v>819</v>
      </c>
      <c r="C49" s="83" t="s">
        <v>759</v>
      </c>
      <c r="D49" s="84">
        <v>6007</v>
      </c>
      <c r="E49" s="85">
        <v>60007</v>
      </c>
      <c r="F49" s="83" t="s">
        <v>741</v>
      </c>
      <c r="G49" s="83" t="s">
        <v>727</v>
      </c>
      <c r="H49" s="86">
        <v>5121892</v>
      </c>
      <c r="I49" s="87">
        <v>312</v>
      </c>
      <c r="J49" s="83" t="s">
        <v>737</v>
      </c>
      <c r="K49" s="83" t="s">
        <v>736</v>
      </c>
      <c r="L49" s="88">
        <v>20</v>
      </c>
      <c r="M49" s="83"/>
      <c r="N49" s="89">
        <v>5</v>
      </c>
      <c r="O49" s="87"/>
      <c r="P49" s="90">
        <v>19.5091</v>
      </c>
      <c r="Q49" s="87"/>
      <c r="R49" s="90">
        <v>15.8208</v>
      </c>
      <c r="S49" s="87" t="s">
        <v>753</v>
      </c>
      <c r="T49" s="90">
        <v>2.8578999999999999</v>
      </c>
      <c r="U49" s="87" t="s">
        <v>753</v>
      </c>
      <c r="V49" s="86">
        <v>2417541</v>
      </c>
      <c r="W49" s="87"/>
      <c r="X49" s="91">
        <v>2349671</v>
      </c>
      <c r="Y49" s="87"/>
      <c r="Z49" s="86">
        <v>2320998</v>
      </c>
      <c r="AA49" s="87"/>
      <c r="AB49" s="86">
        <v>28673</v>
      </c>
      <c r="AC49" s="87"/>
      <c r="AD49" s="86">
        <v>120510</v>
      </c>
      <c r="AE49" s="87"/>
      <c r="AF49" s="86">
        <v>118970</v>
      </c>
      <c r="AG49" s="87"/>
      <c r="AH49" s="86">
        <v>1540</v>
      </c>
      <c r="AI49" s="87"/>
      <c r="AJ49" s="86">
        <v>587418</v>
      </c>
      <c r="AK49" s="87"/>
      <c r="AL49" s="86">
        <v>580250</v>
      </c>
      <c r="AM49" s="87" t="s">
        <v>753</v>
      </c>
      <c r="AN49" s="86">
        <v>30128</v>
      </c>
      <c r="AO49" s="87"/>
      <c r="AP49" s="92">
        <v>29743</v>
      </c>
      <c r="AQ49" s="87" t="s">
        <v>753</v>
      </c>
      <c r="AR49" s="86">
        <v>340008</v>
      </c>
      <c r="AS49" s="87" t="s">
        <v>753</v>
      </c>
      <c r="AT49" s="91">
        <v>5379214</v>
      </c>
      <c r="AU49" s="83" t="s">
        <v>753</v>
      </c>
      <c r="AV49" s="93">
        <v>52.34</v>
      </c>
      <c r="AW49" s="83" t="s">
        <v>103</v>
      </c>
      <c r="AX49" s="83" t="s">
        <v>749</v>
      </c>
    </row>
    <row r="50" spans="1:50">
      <c r="A50" s="83" t="s">
        <v>820</v>
      </c>
      <c r="B50" s="83" t="s">
        <v>771</v>
      </c>
      <c r="C50" s="83" t="s">
        <v>733</v>
      </c>
      <c r="D50" s="84">
        <v>2098</v>
      </c>
      <c r="E50" s="85">
        <v>20098</v>
      </c>
      <c r="F50" s="83" t="s">
        <v>741</v>
      </c>
      <c r="G50" s="83" t="s">
        <v>727</v>
      </c>
      <c r="H50" s="86">
        <v>18351295</v>
      </c>
      <c r="I50" s="87">
        <v>310</v>
      </c>
      <c r="J50" s="83" t="s">
        <v>728</v>
      </c>
      <c r="K50" s="83" t="s">
        <v>729</v>
      </c>
      <c r="L50" s="88">
        <v>304</v>
      </c>
      <c r="M50" s="83"/>
      <c r="N50" s="89">
        <v>33</v>
      </c>
      <c r="O50" s="87"/>
      <c r="P50" s="90">
        <v>13.624599999999999</v>
      </c>
      <c r="Q50" s="87"/>
      <c r="R50" s="90">
        <v>5.0683999999999996</v>
      </c>
      <c r="S50" s="87"/>
      <c r="T50" s="90">
        <v>31.703499999999998</v>
      </c>
      <c r="U50" s="87"/>
      <c r="V50" s="86">
        <v>12823047</v>
      </c>
      <c r="W50" s="87"/>
      <c r="X50" s="91">
        <v>13103345</v>
      </c>
      <c r="Y50" s="87"/>
      <c r="Z50" s="86">
        <v>12744198</v>
      </c>
      <c r="AA50" s="87"/>
      <c r="AB50" s="86">
        <v>359147</v>
      </c>
      <c r="AC50" s="87"/>
      <c r="AD50" s="86">
        <v>954091</v>
      </c>
      <c r="AE50" s="87"/>
      <c r="AF50" s="86">
        <v>935379</v>
      </c>
      <c r="AG50" s="87"/>
      <c r="AH50" s="86">
        <v>18712</v>
      </c>
      <c r="AI50" s="87"/>
      <c r="AJ50" s="86">
        <v>1753804</v>
      </c>
      <c r="AK50" s="87"/>
      <c r="AL50" s="86">
        <v>1705415</v>
      </c>
      <c r="AM50" s="87"/>
      <c r="AN50" s="86">
        <v>129406</v>
      </c>
      <c r="AO50" s="87"/>
      <c r="AP50" s="92">
        <v>126903</v>
      </c>
      <c r="AQ50" s="87"/>
      <c r="AR50" s="86">
        <v>29654770</v>
      </c>
      <c r="AS50" s="87"/>
      <c r="AT50" s="91">
        <v>150302485</v>
      </c>
      <c r="AU50" s="83"/>
      <c r="AV50" s="93">
        <v>28.6</v>
      </c>
      <c r="AW50" s="83" t="s">
        <v>103</v>
      </c>
      <c r="AX50" s="83" t="s">
        <v>730</v>
      </c>
    </row>
    <row r="51" spans="1:50">
      <c r="A51" s="83" t="s">
        <v>821</v>
      </c>
      <c r="B51" s="83" t="s">
        <v>822</v>
      </c>
      <c r="C51" s="83" t="s">
        <v>740</v>
      </c>
      <c r="D51" s="84">
        <v>9030</v>
      </c>
      <c r="E51" s="85">
        <v>90030</v>
      </c>
      <c r="F51" s="83" t="s">
        <v>741</v>
      </c>
      <c r="G51" s="83" t="s">
        <v>727</v>
      </c>
      <c r="H51" s="86">
        <v>2956746</v>
      </c>
      <c r="I51" s="87">
        <v>205</v>
      </c>
      <c r="J51" s="83" t="s">
        <v>737</v>
      </c>
      <c r="K51" s="83" t="s">
        <v>736</v>
      </c>
      <c r="L51" s="88">
        <v>24</v>
      </c>
      <c r="M51" s="83"/>
      <c r="N51" s="89">
        <v>4</v>
      </c>
      <c r="O51" s="87"/>
      <c r="P51" s="90">
        <v>31.677499999999998</v>
      </c>
      <c r="Q51" s="87"/>
      <c r="R51" s="90">
        <v>26.441199999999998</v>
      </c>
      <c r="S51" s="87"/>
      <c r="T51" s="90">
        <v>25.204499999999999</v>
      </c>
      <c r="U51" s="87"/>
      <c r="V51" s="86">
        <v>1181583</v>
      </c>
      <c r="W51" s="87"/>
      <c r="X51" s="91">
        <v>1254334</v>
      </c>
      <c r="Y51" s="87"/>
      <c r="Z51" s="86">
        <v>1186577</v>
      </c>
      <c r="AA51" s="87"/>
      <c r="AB51" s="86">
        <v>67757</v>
      </c>
      <c r="AC51" s="87"/>
      <c r="AD51" s="86">
        <v>42212</v>
      </c>
      <c r="AE51" s="87"/>
      <c r="AF51" s="86">
        <v>37458</v>
      </c>
      <c r="AG51" s="87"/>
      <c r="AH51" s="86">
        <v>4754</v>
      </c>
      <c r="AI51" s="87"/>
      <c r="AJ51" s="86">
        <v>243076</v>
      </c>
      <c r="AK51" s="87"/>
      <c r="AL51" s="86">
        <v>230008</v>
      </c>
      <c r="AM51" s="87"/>
      <c r="AN51" s="86">
        <v>7881</v>
      </c>
      <c r="AO51" s="87"/>
      <c r="AP51" s="92">
        <v>7305</v>
      </c>
      <c r="AQ51" s="87"/>
      <c r="AR51" s="86">
        <v>944109</v>
      </c>
      <c r="AS51" s="87"/>
      <c r="AT51" s="91">
        <v>24963395</v>
      </c>
      <c r="AU51" s="83"/>
      <c r="AV51" s="93">
        <v>82.2</v>
      </c>
      <c r="AW51" s="83" t="s">
        <v>103</v>
      </c>
      <c r="AX51" s="83" t="s">
        <v>730</v>
      </c>
    </row>
    <row r="52" spans="1:50">
      <c r="A52" s="83" t="s">
        <v>823</v>
      </c>
      <c r="B52" s="83" t="s">
        <v>739</v>
      </c>
      <c r="C52" s="83" t="s">
        <v>740</v>
      </c>
      <c r="D52" s="84">
        <v>9151</v>
      </c>
      <c r="E52" s="85">
        <v>90151</v>
      </c>
      <c r="F52" s="83" t="s">
        <v>741</v>
      </c>
      <c r="G52" s="83" t="s">
        <v>727</v>
      </c>
      <c r="H52" s="86">
        <v>12150996</v>
      </c>
      <c r="I52" s="87">
        <v>195</v>
      </c>
      <c r="J52" s="83" t="s">
        <v>737</v>
      </c>
      <c r="K52" s="83" t="s">
        <v>736</v>
      </c>
      <c r="L52" s="88">
        <v>195</v>
      </c>
      <c r="M52" s="83"/>
      <c r="N52" s="89">
        <v>40</v>
      </c>
      <c r="O52" s="87"/>
      <c r="P52" s="90">
        <v>36.3401</v>
      </c>
      <c r="Q52" s="87"/>
      <c r="R52" s="90">
        <v>34.358199999999997</v>
      </c>
      <c r="S52" s="87" t="s">
        <v>748</v>
      </c>
      <c r="T52" s="90">
        <v>26.057400000000001</v>
      </c>
      <c r="U52" s="87" t="s">
        <v>748</v>
      </c>
      <c r="V52" s="86">
        <v>13061501</v>
      </c>
      <c r="W52" s="87"/>
      <c r="X52" s="91">
        <v>13618637</v>
      </c>
      <c r="Y52" s="87"/>
      <c r="Z52" s="86">
        <v>13049429</v>
      </c>
      <c r="AA52" s="87"/>
      <c r="AB52" s="86">
        <v>569208</v>
      </c>
      <c r="AC52" s="87"/>
      <c r="AD52" s="86">
        <v>387165</v>
      </c>
      <c r="AE52" s="87"/>
      <c r="AF52" s="86">
        <v>359092</v>
      </c>
      <c r="AG52" s="87"/>
      <c r="AH52" s="86">
        <v>28073</v>
      </c>
      <c r="AI52" s="87"/>
      <c r="AJ52" s="86">
        <v>2786037</v>
      </c>
      <c r="AK52" s="87"/>
      <c r="AL52" s="86">
        <v>2674879</v>
      </c>
      <c r="AM52" s="87"/>
      <c r="AN52" s="86">
        <v>80963</v>
      </c>
      <c r="AO52" s="87"/>
      <c r="AP52" s="92">
        <v>73871</v>
      </c>
      <c r="AQ52" s="87"/>
      <c r="AR52" s="86">
        <v>9357013</v>
      </c>
      <c r="AS52" s="87" t="s">
        <v>748</v>
      </c>
      <c r="AT52" s="91">
        <v>321490316</v>
      </c>
      <c r="AU52" s="83" t="s">
        <v>748</v>
      </c>
      <c r="AV52" s="93">
        <v>826.8</v>
      </c>
      <c r="AW52" s="83" t="s">
        <v>103</v>
      </c>
      <c r="AX52" s="83" t="s">
        <v>749</v>
      </c>
    </row>
    <row r="53" spans="1:50">
      <c r="A53" s="83" t="s">
        <v>824</v>
      </c>
      <c r="B53" s="83" t="s">
        <v>825</v>
      </c>
      <c r="C53" s="83" t="s">
        <v>740</v>
      </c>
      <c r="D53" s="84">
        <v>9134</v>
      </c>
      <c r="E53" s="85">
        <v>90134</v>
      </c>
      <c r="F53" s="83" t="s">
        <v>741</v>
      </c>
      <c r="G53" s="83" t="s">
        <v>727</v>
      </c>
      <c r="H53" s="86">
        <v>3281212</v>
      </c>
      <c r="I53" s="87">
        <v>141</v>
      </c>
      <c r="J53" s="83" t="s">
        <v>737</v>
      </c>
      <c r="K53" s="83" t="s">
        <v>736</v>
      </c>
      <c r="L53" s="88">
        <v>111</v>
      </c>
      <c r="M53" s="83"/>
      <c r="N53" s="89">
        <v>20</v>
      </c>
      <c r="O53" s="87"/>
      <c r="P53" s="90">
        <v>32.338700000000003</v>
      </c>
      <c r="Q53" s="87"/>
      <c r="R53" s="90">
        <v>22.0776</v>
      </c>
      <c r="S53" s="87"/>
      <c r="T53" s="90">
        <v>68.261899999999997</v>
      </c>
      <c r="U53" s="87"/>
      <c r="V53" s="86">
        <v>6469218</v>
      </c>
      <c r="W53" s="87"/>
      <c r="X53" s="91">
        <v>6644705</v>
      </c>
      <c r="Y53" s="87"/>
      <c r="Z53" s="86">
        <v>6486852</v>
      </c>
      <c r="AA53" s="87"/>
      <c r="AB53" s="86">
        <v>157853</v>
      </c>
      <c r="AC53" s="87"/>
      <c r="AD53" s="86">
        <v>216487</v>
      </c>
      <c r="AE53" s="87"/>
      <c r="AF53" s="86">
        <v>200591</v>
      </c>
      <c r="AG53" s="87"/>
      <c r="AH53" s="86">
        <v>15896</v>
      </c>
      <c r="AI53" s="87"/>
      <c r="AJ53" s="86">
        <v>1179829</v>
      </c>
      <c r="AK53" s="87"/>
      <c r="AL53" s="86">
        <v>1151035</v>
      </c>
      <c r="AM53" s="87"/>
      <c r="AN53" s="86">
        <v>38509</v>
      </c>
      <c r="AO53" s="87"/>
      <c r="AP53" s="92">
        <v>35662</v>
      </c>
      <c r="AQ53" s="87"/>
      <c r="AR53" s="86">
        <v>13692716</v>
      </c>
      <c r="AS53" s="87"/>
      <c r="AT53" s="91">
        <v>302302869</v>
      </c>
      <c r="AU53" s="83"/>
      <c r="AV53" s="93">
        <v>153.68</v>
      </c>
      <c r="AW53" s="83" t="s">
        <v>103</v>
      </c>
      <c r="AX53" s="83" t="s">
        <v>730</v>
      </c>
    </row>
    <row r="54" spans="1:50">
      <c r="A54" s="83" t="s">
        <v>826</v>
      </c>
      <c r="B54" s="83" t="s">
        <v>827</v>
      </c>
      <c r="C54" s="83" t="s">
        <v>807</v>
      </c>
      <c r="D54" s="84">
        <v>3073</v>
      </c>
      <c r="E54" s="85">
        <v>30073</v>
      </c>
      <c r="F54" s="83" t="s">
        <v>741</v>
      </c>
      <c r="G54" s="83" t="s">
        <v>727</v>
      </c>
      <c r="H54" s="86">
        <v>4586770</v>
      </c>
      <c r="I54" s="87">
        <v>99</v>
      </c>
      <c r="J54" s="83" t="s">
        <v>737</v>
      </c>
      <c r="K54" s="83" t="s">
        <v>736</v>
      </c>
      <c r="L54" s="88">
        <v>99</v>
      </c>
      <c r="M54" s="83"/>
      <c r="N54" s="89">
        <v>32</v>
      </c>
      <c r="O54" s="87"/>
      <c r="P54" s="90">
        <v>30.826899999999998</v>
      </c>
      <c r="Q54" s="87"/>
      <c r="R54" s="90">
        <v>30.3917</v>
      </c>
      <c r="S54" s="87"/>
      <c r="T54" s="90">
        <v>46.2879</v>
      </c>
      <c r="U54" s="87"/>
      <c r="V54" s="86">
        <v>2148620</v>
      </c>
      <c r="W54" s="87"/>
      <c r="X54" s="91">
        <v>2234620</v>
      </c>
      <c r="Y54" s="87"/>
      <c r="Z54" s="86">
        <v>2146074</v>
      </c>
      <c r="AA54" s="87"/>
      <c r="AB54" s="86">
        <v>88546</v>
      </c>
      <c r="AC54" s="87"/>
      <c r="AD54" s="86">
        <v>76838</v>
      </c>
      <c r="AE54" s="87"/>
      <c r="AF54" s="86">
        <v>69617</v>
      </c>
      <c r="AG54" s="87"/>
      <c r="AH54" s="86">
        <v>7221</v>
      </c>
      <c r="AI54" s="87"/>
      <c r="AJ54" s="86">
        <v>333795</v>
      </c>
      <c r="AK54" s="87"/>
      <c r="AL54" s="86">
        <v>320541</v>
      </c>
      <c r="AM54" s="87"/>
      <c r="AN54" s="86">
        <v>11411</v>
      </c>
      <c r="AO54" s="87"/>
      <c r="AP54" s="92">
        <v>10330</v>
      </c>
      <c r="AQ54" s="87"/>
      <c r="AR54" s="86">
        <v>3222428</v>
      </c>
      <c r="AS54" s="87"/>
      <c r="AT54" s="91">
        <v>97935058</v>
      </c>
      <c r="AU54" s="83"/>
      <c r="AV54" s="93">
        <v>173.62</v>
      </c>
      <c r="AW54" s="83" t="s">
        <v>103</v>
      </c>
      <c r="AX54" s="83" t="s">
        <v>730</v>
      </c>
    </row>
    <row r="55" spans="1:50">
      <c r="A55" s="83" t="s">
        <v>828</v>
      </c>
      <c r="B55" s="83" t="s">
        <v>829</v>
      </c>
      <c r="C55" s="83" t="s">
        <v>733</v>
      </c>
      <c r="D55" s="84">
        <v>2075</v>
      </c>
      <c r="E55" s="85">
        <v>20075</v>
      </c>
      <c r="F55" s="83" t="s">
        <v>741</v>
      </c>
      <c r="G55" s="83" t="s">
        <v>727</v>
      </c>
      <c r="H55" s="86">
        <v>5441567</v>
      </c>
      <c r="I55" s="87">
        <v>78</v>
      </c>
      <c r="J55" s="83" t="s">
        <v>728</v>
      </c>
      <c r="K55" s="83" t="s">
        <v>729</v>
      </c>
      <c r="L55" s="88">
        <v>78</v>
      </c>
      <c r="M55" s="83"/>
      <c r="N55" s="89">
        <v>11</v>
      </c>
      <c r="O55" s="87"/>
      <c r="P55" s="90">
        <v>31.0718</v>
      </c>
      <c r="Q55" s="87"/>
      <c r="R55" s="90">
        <v>8.5806000000000004</v>
      </c>
      <c r="S55" s="87"/>
      <c r="T55" s="90">
        <v>27.423500000000001</v>
      </c>
      <c r="U55" s="87"/>
      <c r="V55" s="86">
        <v>5618718</v>
      </c>
      <c r="W55" s="87"/>
      <c r="X55" s="91">
        <v>4662890</v>
      </c>
      <c r="Y55" s="87"/>
      <c r="Z55" s="86">
        <v>4474868</v>
      </c>
      <c r="AA55" s="87"/>
      <c r="AB55" s="86">
        <v>188022</v>
      </c>
      <c r="AC55" s="87"/>
      <c r="AD55" s="86">
        <v>154306</v>
      </c>
      <c r="AE55" s="87"/>
      <c r="AF55" s="86">
        <v>144017</v>
      </c>
      <c r="AG55" s="87"/>
      <c r="AH55" s="86">
        <v>10289</v>
      </c>
      <c r="AI55" s="87"/>
      <c r="AJ55" s="86">
        <v>899973</v>
      </c>
      <c r="AK55" s="87"/>
      <c r="AL55" s="86">
        <v>836001</v>
      </c>
      <c r="AM55" s="87"/>
      <c r="AN55" s="86">
        <v>31034</v>
      </c>
      <c r="AO55" s="87"/>
      <c r="AP55" s="92">
        <v>28828</v>
      </c>
      <c r="AQ55" s="87"/>
      <c r="AR55" s="86">
        <v>3949450</v>
      </c>
      <c r="AS55" s="87"/>
      <c r="AT55" s="91">
        <v>33888694</v>
      </c>
      <c r="AU55" s="83"/>
      <c r="AV55" s="93">
        <v>31.5</v>
      </c>
      <c r="AW55" s="83" t="s">
        <v>103</v>
      </c>
      <c r="AX55" s="83" t="s">
        <v>730</v>
      </c>
    </row>
    <row r="56" spans="1:50">
      <c r="A56" s="83" t="s">
        <v>830</v>
      </c>
      <c r="B56" s="83" t="s">
        <v>831</v>
      </c>
      <c r="C56" s="83" t="s">
        <v>832</v>
      </c>
      <c r="D56" s="84">
        <v>5104</v>
      </c>
      <c r="E56" s="85">
        <v>50104</v>
      </c>
      <c r="F56" s="83" t="s">
        <v>741</v>
      </c>
      <c r="G56" s="83" t="s">
        <v>727</v>
      </c>
      <c r="H56" s="86">
        <v>8608208</v>
      </c>
      <c r="I56" s="87">
        <v>70</v>
      </c>
      <c r="J56" s="83" t="s">
        <v>737</v>
      </c>
      <c r="K56" s="83" t="s">
        <v>729</v>
      </c>
      <c r="L56" s="88">
        <v>70</v>
      </c>
      <c r="M56" s="83"/>
      <c r="N56" s="89">
        <v>17</v>
      </c>
      <c r="O56" s="87"/>
      <c r="P56" s="90">
        <v>34.768900000000002</v>
      </c>
      <c r="Q56" s="87"/>
      <c r="R56" s="90">
        <v>33</v>
      </c>
      <c r="S56" s="87"/>
      <c r="T56" s="90">
        <v>8.8186</v>
      </c>
      <c r="U56" s="87"/>
      <c r="V56" s="86">
        <v>4013838</v>
      </c>
      <c r="W56" s="87"/>
      <c r="X56" s="91">
        <v>3988838</v>
      </c>
      <c r="Y56" s="87"/>
      <c r="Z56" s="86">
        <v>3923145</v>
      </c>
      <c r="AA56" s="87"/>
      <c r="AB56" s="86">
        <v>65693</v>
      </c>
      <c r="AC56" s="87"/>
      <c r="AD56" s="86">
        <v>114811</v>
      </c>
      <c r="AE56" s="87"/>
      <c r="AF56" s="86">
        <v>112835</v>
      </c>
      <c r="AG56" s="87"/>
      <c r="AH56" s="86">
        <v>1976</v>
      </c>
      <c r="AI56" s="87"/>
      <c r="AJ56" s="86">
        <v>739801</v>
      </c>
      <c r="AK56" s="87"/>
      <c r="AL56" s="86">
        <v>724288</v>
      </c>
      <c r="AM56" s="87"/>
      <c r="AN56" s="86">
        <v>21331</v>
      </c>
      <c r="AO56" s="87"/>
      <c r="AP56" s="92">
        <v>20981</v>
      </c>
      <c r="AQ56" s="87"/>
      <c r="AR56" s="86">
        <v>995049</v>
      </c>
      <c r="AS56" s="87"/>
      <c r="AT56" s="91">
        <v>32836617</v>
      </c>
      <c r="AU56" s="83"/>
      <c r="AV56" s="93">
        <v>179.8</v>
      </c>
      <c r="AW56" s="83" t="s">
        <v>103</v>
      </c>
      <c r="AX56" s="83" t="s">
        <v>730</v>
      </c>
    </row>
    <row r="57" spans="1:50">
      <c r="A57" s="83" t="s">
        <v>833</v>
      </c>
      <c r="B57" s="83" t="s">
        <v>834</v>
      </c>
      <c r="C57" s="83" t="s">
        <v>766</v>
      </c>
      <c r="D57" s="84">
        <v>4077</v>
      </c>
      <c r="E57" s="85">
        <v>40077</v>
      </c>
      <c r="F57" s="83" t="s">
        <v>741</v>
      </c>
      <c r="G57" s="83" t="s">
        <v>727</v>
      </c>
      <c r="H57" s="86">
        <v>5502379</v>
      </c>
      <c r="I57" s="87">
        <v>65</v>
      </c>
      <c r="J57" s="83" t="s">
        <v>737</v>
      </c>
      <c r="K57" s="83" t="s">
        <v>736</v>
      </c>
      <c r="L57" s="88">
        <v>43</v>
      </c>
      <c r="M57" s="83"/>
      <c r="N57" s="89">
        <v>10</v>
      </c>
      <c r="O57" s="87"/>
      <c r="P57" s="90">
        <v>27.9588</v>
      </c>
      <c r="Q57" s="87"/>
      <c r="R57" s="90">
        <v>27.164899999999999</v>
      </c>
      <c r="S57" s="87"/>
      <c r="T57" s="90">
        <v>31.171099999999999</v>
      </c>
      <c r="U57" s="87"/>
      <c r="V57" s="86">
        <v>3327000</v>
      </c>
      <c r="W57" s="87"/>
      <c r="X57" s="91">
        <v>3379135</v>
      </c>
      <c r="Y57" s="87"/>
      <c r="Z57" s="86">
        <v>3159070</v>
      </c>
      <c r="AA57" s="87"/>
      <c r="AB57" s="86">
        <v>220065</v>
      </c>
      <c r="AC57" s="87"/>
      <c r="AD57" s="86">
        <v>125765</v>
      </c>
      <c r="AE57" s="87"/>
      <c r="AF57" s="86">
        <v>112990</v>
      </c>
      <c r="AG57" s="87"/>
      <c r="AH57" s="86">
        <v>12775</v>
      </c>
      <c r="AI57" s="87"/>
      <c r="AJ57" s="86">
        <v>1016844</v>
      </c>
      <c r="AK57" s="87"/>
      <c r="AL57" s="86">
        <v>958905</v>
      </c>
      <c r="AM57" s="87"/>
      <c r="AN57" s="86">
        <v>37346</v>
      </c>
      <c r="AO57" s="87"/>
      <c r="AP57" s="92">
        <v>33681</v>
      </c>
      <c r="AQ57" s="87"/>
      <c r="AR57" s="86">
        <v>3522017</v>
      </c>
      <c r="AS57" s="87"/>
      <c r="AT57" s="91">
        <v>95675095</v>
      </c>
      <c r="AU57" s="83"/>
      <c r="AV57" s="93">
        <v>142.24</v>
      </c>
      <c r="AW57" s="83" t="s">
        <v>103</v>
      </c>
      <c r="AX57" s="83" t="s">
        <v>730</v>
      </c>
    </row>
    <row r="58" spans="1:50">
      <c r="A58" s="83" t="s">
        <v>835</v>
      </c>
      <c r="B58" s="83" t="s">
        <v>836</v>
      </c>
      <c r="C58" s="83" t="s">
        <v>837</v>
      </c>
      <c r="D58" s="84">
        <v>6111</v>
      </c>
      <c r="E58" s="85">
        <v>60111</v>
      </c>
      <c r="F58" s="83" t="s">
        <v>741</v>
      </c>
      <c r="G58" s="83" t="s">
        <v>727</v>
      </c>
      <c r="H58" s="86">
        <v>741318</v>
      </c>
      <c r="I58" s="87">
        <v>58</v>
      </c>
      <c r="J58" s="83" t="s">
        <v>737</v>
      </c>
      <c r="K58" s="83" t="s">
        <v>736</v>
      </c>
      <c r="L58" s="88">
        <v>25</v>
      </c>
      <c r="M58" s="83"/>
      <c r="N58" s="89">
        <v>7</v>
      </c>
      <c r="O58" s="87"/>
      <c r="P58" s="90">
        <v>37.376199999999997</v>
      </c>
      <c r="Q58" s="87"/>
      <c r="R58" s="90">
        <v>46.606200000000001</v>
      </c>
      <c r="S58" s="87"/>
      <c r="T58" s="90">
        <v>20.342199999999998</v>
      </c>
      <c r="U58" s="87"/>
      <c r="V58" s="86">
        <v>949106</v>
      </c>
      <c r="W58" s="87"/>
      <c r="X58" s="91">
        <v>965030</v>
      </c>
      <c r="Y58" s="87"/>
      <c r="Z58" s="86">
        <v>948235</v>
      </c>
      <c r="AA58" s="87"/>
      <c r="AB58" s="86">
        <v>16795</v>
      </c>
      <c r="AC58" s="87"/>
      <c r="AD58" s="86">
        <v>26411</v>
      </c>
      <c r="AE58" s="87"/>
      <c r="AF58" s="86">
        <v>25370</v>
      </c>
      <c r="AG58" s="87"/>
      <c r="AH58" s="86">
        <v>1041</v>
      </c>
      <c r="AI58" s="87"/>
      <c r="AJ58" s="86">
        <v>350454</v>
      </c>
      <c r="AK58" s="87"/>
      <c r="AL58" s="86">
        <v>318879</v>
      </c>
      <c r="AM58" s="87"/>
      <c r="AN58" s="86">
        <v>8899</v>
      </c>
      <c r="AO58" s="87"/>
      <c r="AP58" s="92">
        <v>8580</v>
      </c>
      <c r="AQ58" s="87"/>
      <c r="AR58" s="86">
        <v>516082</v>
      </c>
      <c r="AS58" s="87"/>
      <c r="AT58" s="91">
        <v>24052625</v>
      </c>
      <c r="AU58" s="83"/>
      <c r="AV58" s="93">
        <v>193.1</v>
      </c>
      <c r="AW58" s="83" t="s">
        <v>103</v>
      </c>
      <c r="AX58" s="83" t="s">
        <v>730</v>
      </c>
    </row>
    <row r="59" spans="1:50">
      <c r="A59" s="83" t="s">
        <v>838</v>
      </c>
      <c r="B59" s="83" t="s">
        <v>839</v>
      </c>
      <c r="C59" s="83" t="s">
        <v>840</v>
      </c>
      <c r="D59" s="84">
        <v>4094</v>
      </c>
      <c r="E59" s="85">
        <v>40094</v>
      </c>
      <c r="F59" s="83" t="s">
        <v>763</v>
      </c>
      <c r="G59" s="83" t="s">
        <v>727</v>
      </c>
      <c r="H59" s="86">
        <v>2148346</v>
      </c>
      <c r="I59" s="87">
        <v>54</v>
      </c>
      <c r="J59" s="83" t="s">
        <v>728</v>
      </c>
      <c r="K59" s="83" t="s">
        <v>736</v>
      </c>
      <c r="L59" s="88">
        <v>32</v>
      </c>
      <c r="M59" s="83"/>
      <c r="N59" s="89">
        <v>8</v>
      </c>
      <c r="O59" s="87"/>
      <c r="P59" s="90">
        <v>18.242100000000001</v>
      </c>
      <c r="Q59" s="87"/>
      <c r="R59" s="90">
        <v>4.7439</v>
      </c>
      <c r="S59" s="87"/>
      <c r="T59" s="90">
        <v>48.951300000000003</v>
      </c>
      <c r="U59" s="87"/>
      <c r="V59" s="86">
        <v>1280494</v>
      </c>
      <c r="W59" s="87"/>
      <c r="X59" s="91">
        <v>1388955</v>
      </c>
      <c r="Y59" s="87"/>
      <c r="Z59" s="86">
        <v>1315913</v>
      </c>
      <c r="AA59" s="87"/>
      <c r="AB59" s="86">
        <v>73042</v>
      </c>
      <c r="AC59" s="87"/>
      <c r="AD59" s="86">
        <v>75239</v>
      </c>
      <c r="AE59" s="87"/>
      <c r="AF59" s="86">
        <v>72136</v>
      </c>
      <c r="AG59" s="87"/>
      <c r="AH59" s="86">
        <v>3103</v>
      </c>
      <c r="AI59" s="87"/>
      <c r="AJ59" s="86">
        <v>434149</v>
      </c>
      <c r="AK59" s="87"/>
      <c r="AL59" s="86">
        <v>411208</v>
      </c>
      <c r="AM59" s="87"/>
      <c r="AN59" s="86">
        <v>23224</v>
      </c>
      <c r="AO59" s="87"/>
      <c r="AP59" s="92">
        <v>22380</v>
      </c>
      <c r="AQ59" s="87"/>
      <c r="AR59" s="86">
        <v>3531150</v>
      </c>
      <c r="AS59" s="87"/>
      <c r="AT59" s="91">
        <v>16751299</v>
      </c>
      <c r="AU59" s="83"/>
      <c r="AV59" s="93">
        <v>20.62</v>
      </c>
      <c r="AW59" s="83" t="s">
        <v>103</v>
      </c>
      <c r="AX59" s="83" t="s">
        <v>730</v>
      </c>
    </row>
    <row r="60" spans="1:50">
      <c r="A60" s="83" t="s">
        <v>841</v>
      </c>
      <c r="B60" s="83" t="s">
        <v>842</v>
      </c>
      <c r="C60" s="83" t="s">
        <v>843</v>
      </c>
      <c r="D60" s="84">
        <v>4159</v>
      </c>
      <c r="E60" s="85">
        <v>40159</v>
      </c>
      <c r="F60" s="83" t="s">
        <v>741</v>
      </c>
      <c r="G60" s="83" t="s">
        <v>727</v>
      </c>
      <c r="H60" s="86">
        <v>969587</v>
      </c>
      <c r="I60" s="87">
        <v>46</v>
      </c>
      <c r="J60" s="83" t="s">
        <v>737</v>
      </c>
      <c r="K60" s="83" t="s">
        <v>736</v>
      </c>
      <c r="L60" s="88">
        <v>8</v>
      </c>
      <c r="M60" s="83"/>
      <c r="N60" s="89">
        <v>2</v>
      </c>
      <c r="O60" s="87"/>
      <c r="P60" s="90">
        <v>27.200099999999999</v>
      </c>
      <c r="Q60" s="87"/>
      <c r="R60" s="90">
        <v>15.894600000000001</v>
      </c>
      <c r="S60" s="87"/>
      <c r="T60" s="90">
        <v>31.578299999999999</v>
      </c>
      <c r="U60" s="87"/>
      <c r="V60" s="86">
        <v>185032</v>
      </c>
      <c r="W60" s="87"/>
      <c r="X60" s="91">
        <v>208873</v>
      </c>
      <c r="Y60" s="87"/>
      <c r="Z60" s="86">
        <v>184417</v>
      </c>
      <c r="AA60" s="87"/>
      <c r="AB60" s="86">
        <v>24456</v>
      </c>
      <c r="AC60" s="87"/>
      <c r="AD60" s="86">
        <v>9329</v>
      </c>
      <c r="AE60" s="87"/>
      <c r="AF60" s="86">
        <v>6780</v>
      </c>
      <c r="AG60" s="87"/>
      <c r="AH60" s="86">
        <v>2549</v>
      </c>
      <c r="AI60" s="87"/>
      <c r="AJ60" s="86">
        <v>80763</v>
      </c>
      <c r="AK60" s="87"/>
      <c r="AL60" s="86">
        <v>75873</v>
      </c>
      <c r="AM60" s="87"/>
      <c r="AN60" s="86">
        <v>3127</v>
      </c>
      <c r="AO60" s="87"/>
      <c r="AP60" s="92">
        <v>2616</v>
      </c>
      <c r="AQ60" s="87"/>
      <c r="AR60" s="86">
        <v>214101</v>
      </c>
      <c r="AS60" s="87"/>
      <c r="AT60" s="91">
        <v>3403059</v>
      </c>
      <c r="AU60" s="83"/>
      <c r="AV60" s="93">
        <v>62.8</v>
      </c>
      <c r="AW60" s="83" t="s">
        <v>103</v>
      </c>
      <c r="AX60" s="83" t="s">
        <v>730</v>
      </c>
    </row>
    <row r="61" spans="1:50">
      <c r="A61" s="83" t="s">
        <v>844</v>
      </c>
      <c r="B61" s="83" t="s">
        <v>845</v>
      </c>
      <c r="C61" s="83" t="s">
        <v>725</v>
      </c>
      <c r="D61" s="84">
        <v>2099</v>
      </c>
      <c r="E61" s="85">
        <v>20099</v>
      </c>
      <c r="F61" s="83" t="s">
        <v>726</v>
      </c>
      <c r="G61" s="83" t="s">
        <v>727</v>
      </c>
      <c r="H61" s="86">
        <v>18351295</v>
      </c>
      <c r="I61" s="87">
        <v>44</v>
      </c>
      <c r="J61" s="83" t="s">
        <v>728</v>
      </c>
      <c r="K61" s="83" t="s">
        <v>729</v>
      </c>
      <c r="L61" s="88">
        <v>44</v>
      </c>
      <c r="M61" s="83"/>
      <c r="N61" s="89">
        <v>11</v>
      </c>
      <c r="O61" s="87"/>
      <c r="P61" s="90">
        <v>14.9787</v>
      </c>
      <c r="Q61" s="87"/>
      <c r="R61" s="90">
        <v>6.2369000000000003</v>
      </c>
      <c r="S61" s="87"/>
      <c r="T61" s="90">
        <v>20.2651</v>
      </c>
      <c r="U61" s="87"/>
      <c r="V61" s="86">
        <v>2119585</v>
      </c>
      <c r="W61" s="87"/>
      <c r="X61" s="91">
        <v>2255067</v>
      </c>
      <c r="Y61" s="87"/>
      <c r="Z61" s="86">
        <v>2005981</v>
      </c>
      <c r="AA61" s="87"/>
      <c r="AB61" s="86">
        <v>249086</v>
      </c>
      <c r="AC61" s="87"/>
      <c r="AD61" s="86">
        <v>144198</v>
      </c>
      <c r="AE61" s="87"/>
      <c r="AF61" s="86">
        <v>133922</v>
      </c>
      <c r="AG61" s="87"/>
      <c r="AH61" s="86">
        <v>10276</v>
      </c>
      <c r="AI61" s="87"/>
      <c r="AJ61" s="86">
        <v>563767</v>
      </c>
      <c r="AK61" s="87"/>
      <c r="AL61" s="86">
        <v>501496</v>
      </c>
      <c r="AM61" s="87"/>
      <c r="AN61" s="86">
        <v>36049</v>
      </c>
      <c r="AO61" s="87"/>
      <c r="AP61" s="92">
        <v>33480</v>
      </c>
      <c r="AQ61" s="87"/>
      <c r="AR61" s="86">
        <v>2713941</v>
      </c>
      <c r="AS61" s="87"/>
      <c r="AT61" s="91">
        <v>16926538</v>
      </c>
      <c r="AU61" s="83"/>
      <c r="AV61" s="93">
        <v>28.6</v>
      </c>
      <c r="AW61" s="83" t="s">
        <v>103</v>
      </c>
      <c r="AX61" s="83" t="s">
        <v>730</v>
      </c>
    </row>
    <row r="62" spans="1:50">
      <c r="A62" s="83" t="s">
        <v>846</v>
      </c>
      <c r="B62" s="83" t="s">
        <v>847</v>
      </c>
      <c r="C62" s="83" t="s">
        <v>848</v>
      </c>
      <c r="D62" s="84">
        <v>1102</v>
      </c>
      <c r="E62" s="85">
        <v>10102</v>
      </c>
      <c r="F62" s="83" t="s">
        <v>763</v>
      </c>
      <c r="G62" s="83" t="s">
        <v>727</v>
      </c>
      <c r="H62" s="86">
        <v>924859</v>
      </c>
      <c r="I62" s="87">
        <v>43</v>
      </c>
      <c r="J62" s="83" t="s">
        <v>737</v>
      </c>
      <c r="K62" s="83" t="s">
        <v>736</v>
      </c>
      <c r="L62" s="88">
        <v>28</v>
      </c>
      <c r="M62" s="83"/>
      <c r="N62" s="89">
        <v>5</v>
      </c>
      <c r="O62" s="87"/>
      <c r="P62" s="90">
        <v>41.5304</v>
      </c>
      <c r="Q62" s="87"/>
      <c r="R62" s="90">
        <v>26.974699999999999</v>
      </c>
      <c r="S62" s="87"/>
      <c r="T62" s="90">
        <v>14.137</v>
      </c>
      <c r="U62" s="87"/>
      <c r="V62" s="86">
        <v>1532134</v>
      </c>
      <c r="W62" s="87"/>
      <c r="X62" s="91">
        <v>1717047</v>
      </c>
      <c r="Y62" s="87"/>
      <c r="Z62" s="86">
        <v>1403229</v>
      </c>
      <c r="AA62" s="87"/>
      <c r="AB62" s="86">
        <v>313818</v>
      </c>
      <c r="AC62" s="87"/>
      <c r="AD62" s="86">
        <v>40817</v>
      </c>
      <c r="AE62" s="87"/>
      <c r="AF62" s="86">
        <v>33788</v>
      </c>
      <c r="AG62" s="87"/>
      <c r="AH62" s="86">
        <v>7029</v>
      </c>
      <c r="AI62" s="87"/>
      <c r="AJ62" s="86">
        <v>501997</v>
      </c>
      <c r="AK62" s="87"/>
      <c r="AL62" s="86">
        <v>418641</v>
      </c>
      <c r="AM62" s="87"/>
      <c r="AN62" s="86">
        <v>11906</v>
      </c>
      <c r="AO62" s="87"/>
      <c r="AP62" s="92">
        <v>9943</v>
      </c>
      <c r="AQ62" s="87"/>
      <c r="AR62" s="86">
        <v>477660</v>
      </c>
      <c r="AS62" s="87"/>
      <c r="AT62" s="91">
        <v>12884750</v>
      </c>
      <c r="AU62" s="83"/>
      <c r="AV62" s="93">
        <v>101.2</v>
      </c>
      <c r="AW62" s="83" t="s">
        <v>103</v>
      </c>
      <c r="AX62" s="83" t="s">
        <v>730</v>
      </c>
    </row>
    <row r="63" spans="1:50">
      <c r="A63" s="83" t="s">
        <v>849</v>
      </c>
      <c r="B63" s="83" t="s">
        <v>850</v>
      </c>
      <c r="C63" s="83" t="s">
        <v>851</v>
      </c>
      <c r="D63" s="84">
        <v>9209</v>
      </c>
      <c r="E63" s="85">
        <v>90209</v>
      </c>
      <c r="F63" s="83" t="s">
        <v>734</v>
      </c>
      <c r="G63" s="83" t="s">
        <v>727</v>
      </c>
      <c r="H63" s="86">
        <v>3629114</v>
      </c>
      <c r="I63" s="87">
        <v>38</v>
      </c>
      <c r="J63" s="83" t="s">
        <v>735</v>
      </c>
      <c r="K63" s="83" t="s">
        <v>736</v>
      </c>
      <c r="L63" s="88">
        <v>38</v>
      </c>
      <c r="M63" s="83"/>
      <c r="N63" s="89">
        <v>17</v>
      </c>
      <c r="O63" s="87"/>
      <c r="P63" s="90">
        <v>15.732699999999999</v>
      </c>
      <c r="Q63" s="87"/>
      <c r="R63" s="90">
        <v>7.0598999999999998</v>
      </c>
      <c r="S63" s="87"/>
      <c r="T63" s="90">
        <v>59.326099999999997</v>
      </c>
      <c r="U63" s="87"/>
      <c r="V63" s="86">
        <v>3379368</v>
      </c>
      <c r="W63" s="87"/>
      <c r="X63" s="91">
        <v>3435184</v>
      </c>
      <c r="Y63" s="87"/>
      <c r="Z63" s="86">
        <v>3401452</v>
      </c>
      <c r="AA63" s="87"/>
      <c r="AB63" s="86">
        <v>33732</v>
      </c>
      <c r="AC63" s="87"/>
      <c r="AD63" s="86">
        <v>220467</v>
      </c>
      <c r="AE63" s="87"/>
      <c r="AF63" s="86">
        <v>216203</v>
      </c>
      <c r="AG63" s="87"/>
      <c r="AH63" s="86">
        <v>4264</v>
      </c>
      <c r="AI63" s="87"/>
      <c r="AJ63" s="86">
        <v>1639416</v>
      </c>
      <c r="AK63" s="87"/>
      <c r="AL63" s="86">
        <v>1623906</v>
      </c>
      <c r="AM63" s="87"/>
      <c r="AN63" s="86">
        <v>105253</v>
      </c>
      <c r="AO63" s="87"/>
      <c r="AP63" s="92">
        <v>103186</v>
      </c>
      <c r="AQ63" s="87"/>
      <c r="AR63" s="86">
        <v>12826471</v>
      </c>
      <c r="AS63" s="87"/>
      <c r="AT63" s="91">
        <v>90553779</v>
      </c>
      <c r="AU63" s="83"/>
      <c r="AV63" s="93">
        <v>54.48</v>
      </c>
      <c r="AW63" s="83" t="s">
        <v>103</v>
      </c>
      <c r="AX63" s="83" t="s">
        <v>730</v>
      </c>
    </row>
    <row r="64" spans="1:50">
      <c r="A64" s="83" t="s">
        <v>852</v>
      </c>
      <c r="B64" s="83" t="s">
        <v>853</v>
      </c>
      <c r="C64" s="83" t="s">
        <v>740</v>
      </c>
      <c r="D64" s="84">
        <v>9182</v>
      </c>
      <c r="E64" s="85">
        <v>90182</v>
      </c>
      <c r="F64" s="83" t="s">
        <v>741</v>
      </c>
      <c r="G64" s="83" t="s">
        <v>727</v>
      </c>
      <c r="H64" s="86">
        <v>370583</v>
      </c>
      <c r="I64" s="87">
        <v>35</v>
      </c>
      <c r="J64" s="83" t="s">
        <v>737</v>
      </c>
      <c r="K64" s="83" t="s">
        <v>736</v>
      </c>
      <c r="L64" s="88">
        <v>35</v>
      </c>
      <c r="M64" s="83"/>
      <c r="N64" s="89">
        <v>7</v>
      </c>
      <c r="O64" s="87"/>
      <c r="P64" s="90">
        <v>39.364699999999999</v>
      </c>
      <c r="Q64" s="87"/>
      <c r="R64" s="90">
        <v>43.7104</v>
      </c>
      <c r="S64" s="87"/>
      <c r="T64" s="90">
        <v>41.436999999999998</v>
      </c>
      <c r="U64" s="87"/>
      <c r="V64" s="86">
        <v>1050950</v>
      </c>
      <c r="W64" s="87"/>
      <c r="X64" s="91">
        <v>1050950</v>
      </c>
      <c r="Y64" s="87"/>
      <c r="Z64" s="86">
        <v>1008877</v>
      </c>
      <c r="AA64" s="87"/>
      <c r="AB64" s="86">
        <v>42073</v>
      </c>
      <c r="AC64" s="87"/>
      <c r="AD64" s="86">
        <v>31545</v>
      </c>
      <c r="AE64" s="87"/>
      <c r="AF64" s="86">
        <v>25629</v>
      </c>
      <c r="AG64" s="87"/>
      <c r="AH64" s="86">
        <v>5916</v>
      </c>
      <c r="AI64" s="87"/>
      <c r="AJ64" s="86">
        <v>168072</v>
      </c>
      <c r="AK64" s="87"/>
      <c r="AL64" s="86">
        <v>158131</v>
      </c>
      <c r="AM64" s="87"/>
      <c r="AN64" s="86">
        <v>4801</v>
      </c>
      <c r="AO64" s="87"/>
      <c r="AP64" s="92">
        <v>4126</v>
      </c>
      <c r="AQ64" s="87"/>
      <c r="AR64" s="86">
        <v>1061990</v>
      </c>
      <c r="AS64" s="87"/>
      <c r="AT64" s="91">
        <v>46419957</v>
      </c>
      <c r="AU64" s="83"/>
      <c r="AV64" s="93">
        <v>172</v>
      </c>
      <c r="AW64" s="83" t="s">
        <v>103</v>
      </c>
      <c r="AX64" s="83" t="s">
        <v>730</v>
      </c>
    </row>
    <row r="65" spans="1:50">
      <c r="A65" s="83" t="s">
        <v>854</v>
      </c>
      <c r="B65" s="83" t="s">
        <v>855</v>
      </c>
      <c r="C65" s="83" t="s">
        <v>766</v>
      </c>
      <c r="D65" s="84">
        <v>4232</v>
      </c>
      <c r="E65" s="85">
        <v>40232</v>
      </c>
      <c r="F65" s="83" t="s">
        <v>763</v>
      </c>
      <c r="G65" s="83" t="s">
        <v>727</v>
      </c>
      <c r="H65" s="86">
        <v>1510516</v>
      </c>
      <c r="I65" s="87">
        <v>25</v>
      </c>
      <c r="J65" s="83" t="s">
        <v>737</v>
      </c>
      <c r="K65" s="83" t="s">
        <v>736</v>
      </c>
      <c r="L65" s="88">
        <v>25</v>
      </c>
      <c r="M65" s="83"/>
      <c r="N65" s="89">
        <v>7</v>
      </c>
      <c r="O65" s="87"/>
      <c r="P65" s="90">
        <v>27.875299999999999</v>
      </c>
      <c r="Q65" s="87"/>
      <c r="R65" s="90">
        <v>16.655999999999999</v>
      </c>
      <c r="S65" s="87"/>
      <c r="T65" s="90">
        <v>36.110199999999999</v>
      </c>
      <c r="U65" s="87"/>
      <c r="V65" s="86">
        <v>961119</v>
      </c>
      <c r="W65" s="87"/>
      <c r="X65" s="91">
        <v>987220</v>
      </c>
      <c r="Y65" s="87"/>
      <c r="Z65" s="86">
        <v>959969</v>
      </c>
      <c r="AA65" s="87"/>
      <c r="AB65" s="86">
        <v>27251</v>
      </c>
      <c r="AC65" s="87"/>
      <c r="AD65" s="86">
        <v>35457</v>
      </c>
      <c r="AE65" s="87"/>
      <c r="AF65" s="86">
        <v>34438</v>
      </c>
      <c r="AG65" s="87"/>
      <c r="AH65" s="86">
        <v>1019</v>
      </c>
      <c r="AI65" s="87"/>
      <c r="AJ65" s="86">
        <v>486222</v>
      </c>
      <c r="AK65" s="87"/>
      <c r="AL65" s="86">
        <v>472840</v>
      </c>
      <c r="AM65" s="87"/>
      <c r="AN65" s="86">
        <v>17449</v>
      </c>
      <c r="AO65" s="87"/>
      <c r="AP65" s="92">
        <v>16961</v>
      </c>
      <c r="AQ65" s="87"/>
      <c r="AR65" s="86">
        <v>1243563</v>
      </c>
      <c r="AS65" s="87"/>
      <c r="AT65" s="91">
        <v>20712830</v>
      </c>
      <c r="AU65" s="83"/>
      <c r="AV65" s="93">
        <v>97.94</v>
      </c>
      <c r="AW65" s="83" t="s">
        <v>103</v>
      </c>
      <c r="AX65" s="83" t="s">
        <v>730</v>
      </c>
    </row>
    <row r="66" spans="1:50">
      <c r="A66" s="83" t="s">
        <v>856</v>
      </c>
      <c r="B66" s="83" t="s">
        <v>783</v>
      </c>
      <c r="C66" s="83" t="s">
        <v>857</v>
      </c>
      <c r="D66" s="84">
        <v>1115</v>
      </c>
      <c r="E66" s="85">
        <v>10115</v>
      </c>
      <c r="F66" s="83" t="s">
        <v>741</v>
      </c>
      <c r="G66" s="83" t="s">
        <v>727</v>
      </c>
      <c r="H66" s="86">
        <v>203914</v>
      </c>
      <c r="I66" s="87">
        <v>21</v>
      </c>
      <c r="J66" s="83" t="s">
        <v>737</v>
      </c>
      <c r="K66" s="83" t="s">
        <v>736</v>
      </c>
      <c r="L66" s="88">
        <v>21</v>
      </c>
      <c r="M66" s="83"/>
      <c r="N66" s="89">
        <v>3</v>
      </c>
      <c r="O66" s="87"/>
      <c r="P66" s="90">
        <v>31.0428</v>
      </c>
      <c r="Q66" s="87"/>
      <c r="R66" s="90">
        <v>80.967200000000005</v>
      </c>
      <c r="S66" s="87"/>
      <c r="T66" s="90">
        <v>6.5294999999999996</v>
      </c>
      <c r="U66" s="87"/>
      <c r="V66" s="86">
        <v>2681492</v>
      </c>
      <c r="W66" s="87"/>
      <c r="X66" s="91">
        <v>1974842</v>
      </c>
      <c r="Y66" s="87"/>
      <c r="Z66" s="86">
        <v>1962156</v>
      </c>
      <c r="AA66" s="87"/>
      <c r="AB66" s="86">
        <v>12686</v>
      </c>
      <c r="AC66" s="87"/>
      <c r="AD66" s="86">
        <v>64602</v>
      </c>
      <c r="AE66" s="87"/>
      <c r="AF66" s="86">
        <v>63208</v>
      </c>
      <c r="AG66" s="87"/>
      <c r="AH66" s="86">
        <v>1394</v>
      </c>
      <c r="AI66" s="87"/>
      <c r="AJ66" s="86">
        <v>394968</v>
      </c>
      <c r="AK66" s="87"/>
      <c r="AL66" s="86">
        <v>392431</v>
      </c>
      <c r="AM66" s="87"/>
      <c r="AN66" s="86">
        <v>12909</v>
      </c>
      <c r="AO66" s="87"/>
      <c r="AP66" s="92">
        <v>12630</v>
      </c>
      <c r="AQ66" s="87"/>
      <c r="AR66" s="86">
        <v>412718</v>
      </c>
      <c r="AS66" s="87"/>
      <c r="AT66" s="91">
        <v>33416609</v>
      </c>
      <c r="AU66" s="83"/>
      <c r="AV66" s="93">
        <v>287.60000000000002</v>
      </c>
      <c r="AW66" s="83" t="s">
        <v>103</v>
      </c>
      <c r="AX66" s="83" t="s">
        <v>730</v>
      </c>
    </row>
    <row r="67" spans="1:50">
      <c r="A67" s="83" t="s">
        <v>858</v>
      </c>
      <c r="B67" s="83" t="s">
        <v>859</v>
      </c>
      <c r="C67" s="83" t="s">
        <v>756</v>
      </c>
      <c r="D67" s="84">
        <v>3057</v>
      </c>
      <c r="E67" s="85">
        <v>30057</v>
      </c>
      <c r="F67" s="83" t="s">
        <v>763</v>
      </c>
      <c r="G67" s="83" t="s">
        <v>727</v>
      </c>
      <c r="H67" s="86">
        <v>5441567</v>
      </c>
      <c r="I67" s="87">
        <v>20</v>
      </c>
      <c r="J67" s="83" t="s">
        <v>737</v>
      </c>
      <c r="K67" s="83" t="s">
        <v>736</v>
      </c>
      <c r="L67" s="88">
        <v>20</v>
      </c>
      <c r="M67" s="83"/>
      <c r="N67" s="89">
        <v>2</v>
      </c>
      <c r="O67" s="87"/>
      <c r="P67" s="90">
        <v>56.726300000000002</v>
      </c>
      <c r="Q67" s="87"/>
      <c r="R67" s="90">
        <v>86.293899999999994</v>
      </c>
      <c r="S67" s="87"/>
      <c r="T67" s="90">
        <v>20.154699999999998</v>
      </c>
      <c r="U67" s="87"/>
      <c r="V67" s="86">
        <v>2195188</v>
      </c>
      <c r="W67" s="87"/>
      <c r="X67" s="91">
        <v>1628329</v>
      </c>
      <c r="Y67" s="87"/>
      <c r="Z67" s="86">
        <v>1628329</v>
      </c>
      <c r="AA67" s="87"/>
      <c r="AB67" s="86">
        <v>0</v>
      </c>
      <c r="AC67" s="87"/>
      <c r="AD67" s="86">
        <v>28705</v>
      </c>
      <c r="AE67" s="87"/>
      <c r="AF67" s="86">
        <v>28705</v>
      </c>
      <c r="AG67" s="87"/>
      <c r="AH67" s="86">
        <v>0</v>
      </c>
      <c r="AI67" s="87"/>
      <c r="AJ67" s="86">
        <v>325666</v>
      </c>
      <c r="AK67" s="87"/>
      <c r="AL67" s="86">
        <v>325666</v>
      </c>
      <c r="AM67" s="87"/>
      <c r="AN67" s="86">
        <v>5741</v>
      </c>
      <c r="AO67" s="87"/>
      <c r="AP67" s="92">
        <v>5741</v>
      </c>
      <c r="AQ67" s="87"/>
      <c r="AR67" s="86">
        <v>578541</v>
      </c>
      <c r="AS67" s="87"/>
      <c r="AT67" s="91">
        <v>49924566</v>
      </c>
      <c r="AU67" s="83"/>
      <c r="AV67" s="93">
        <v>144.4</v>
      </c>
      <c r="AW67" s="83" t="s">
        <v>103</v>
      </c>
      <c r="AX67" s="83" t="s">
        <v>730</v>
      </c>
    </row>
    <row r="68" spans="1:50">
      <c r="A68" s="83" t="s">
        <v>860</v>
      </c>
      <c r="B68" s="83" t="s">
        <v>861</v>
      </c>
      <c r="C68" s="83" t="s">
        <v>740</v>
      </c>
      <c r="D68" s="84"/>
      <c r="E68" s="85">
        <v>90299</v>
      </c>
      <c r="F68" s="83" t="s">
        <v>741</v>
      </c>
      <c r="G68" s="83" t="s">
        <v>727</v>
      </c>
      <c r="H68" s="86">
        <v>308231</v>
      </c>
      <c r="I68" s="87">
        <v>12</v>
      </c>
      <c r="J68" s="83" t="s">
        <v>737</v>
      </c>
      <c r="K68" s="83" t="s">
        <v>729</v>
      </c>
      <c r="L68" s="88">
        <v>12</v>
      </c>
      <c r="M68" s="83"/>
      <c r="N68" s="89">
        <v>4</v>
      </c>
      <c r="O68" s="87"/>
      <c r="P68" s="90">
        <v>28.331499999999998</v>
      </c>
      <c r="Q68" s="87"/>
      <c r="R68" s="90">
        <v>23.8338</v>
      </c>
      <c r="S68" s="87"/>
      <c r="T68" s="90">
        <v>19.559999999999999</v>
      </c>
      <c r="U68" s="87"/>
      <c r="V68" s="86">
        <v>857003</v>
      </c>
      <c r="W68" s="87"/>
      <c r="X68" s="91">
        <v>833350</v>
      </c>
      <c r="Y68" s="87"/>
      <c r="Z68" s="86">
        <v>821415</v>
      </c>
      <c r="AA68" s="87"/>
      <c r="AB68" s="86">
        <v>11935</v>
      </c>
      <c r="AC68" s="87"/>
      <c r="AD68" s="86">
        <v>30370</v>
      </c>
      <c r="AE68" s="87"/>
      <c r="AF68" s="86">
        <v>28993</v>
      </c>
      <c r="AG68" s="87"/>
      <c r="AH68" s="86">
        <v>1377</v>
      </c>
      <c r="AI68" s="87"/>
      <c r="AJ68" s="86">
        <v>389580</v>
      </c>
      <c r="AK68" s="87"/>
      <c r="AL68" s="86">
        <v>384000</v>
      </c>
      <c r="AM68" s="87"/>
      <c r="AN68" s="86">
        <v>14198</v>
      </c>
      <c r="AO68" s="87"/>
      <c r="AP68" s="92">
        <v>13554</v>
      </c>
      <c r="AQ68" s="87"/>
      <c r="AR68" s="86">
        <v>567103</v>
      </c>
      <c r="AS68" s="87"/>
      <c r="AT68" s="91">
        <v>13516234</v>
      </c>
      <c r="AU68" s="83"/>
      <c r="AV68" s="93">
        <v>90.1</v>
      </c>
      <c r="AW68" s="83" t="s">
        <v>103</v>
      </c>
      <c r="AX68" s="83" t="s">
        <v>730</v>
      </c>
    </row>
    <row r="71" spans="1:50">
      <c r="N71" s="94">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DD546-4AAB-4255-B8B6-21F7CDE25BB1}">
  <dimension ref="A1:G106"/>
  <sheetViews>
    <sheetView topLeftCell="A94" workbookViewId="0">
      <selection activeCell="I106" sqref="I106"/>
    </sheetView>
  </sheetViews>
  <sheetFormatPr defaultRowHeight="14.75"/>
  <cols>
    <col min="2" max="2" width="37.90625" bestFit="1" customWidth="1"/>
    <col min="3" max="3" width="17.54296875" bestFit="1" customWidth="1"/>
    <col min="4" max="4" width="13.58984375" bestFit="1" customWidth="1"/>
    <col min="5" max="5" width="13.31640625" bestFit="1" customWidth="1"/>
    <col min="6" max="6" width="13.2265625" bestFit="1" customWidth="1"/>
  </cols>
  <sheetData>
    <row r="1" spans="1:7">
      <c r="A1" t="s">
        <v>3037</v>
      </c>
    </row>
    <row r="2" spans="1:7">
      <c r="A2" t="s">
        <v>3038</v>
      </c>
      <c r="B2" t="s">
        <v>3039</v>
      </c>
      <c r="C2" t="s">
        <v>3040</v>
      </c>
      <c r="D2" t="s">
        <v>3041</v>
      </c>
      <c r="E2" t="s">
        <v>3042</v>
      </c>
      <c r="F2" t="s">
        <v>3043</v>
      </c>
      <c r="G2" t="s">
        <v>3044</v>
      </c>
    </row>
    <row r="3" spans="1:7">
      <c r="A3">
        <v>1990</v>
      </c>
      <c r="B3" t="s">
        <v>3045</v>
      </c>
      <c r="C3" s="6">
        <v>4057195988</v>
      </c>
      <c r="D3" s="6">
        <v>11568</v>
      </c>
      <c r="E3" s="6">
        <v>1562</v>
      </c>
      <c r="F3" s="6">
        <v>34820800463</v>
      </c>
      <c r="G3">
        <v>109.9</v>
      </c>
    </row>
    <row r="4" spans="1:7">
      <c r="B4" t="s">
        <v>3046</v>
      </c>
      <c r="C4" s="6">
        <v>599486893</v>
      </c>
      <c r="D4" s="6">
        <v>3155</v>
      </c>
      <c r="E4">
        <v>426</v>
      </c>
      <c r="F4" s="6">
        <v>9497397919</v>
      </c>
      <c r="G4">
        <v>30</v>
      </c>
    </row>
    <row r="5" spans="1:7">
      <c r="B5" t="s">
        <v>3047</v>
      </c>
      <c r="C5" s="6">
        <v>3984482217</v>
      </c>
      <c r="D5" s="6">
        <v>11287</v>
      </c>
      <c r="E5" s="6">
        <v>1524</v>
      </c>
      <c r="F5" s="6">
        <v>33972832399</v>
      </c>
      <c r="G5">
        <v>107.2</v>
      </c>
    </row>
    <row r="6" spans="1:7">
      <c r="B6" t="s">
        <v>3048</v>
      </c>
      <c r="C6" s="6">
        <v>617671849</v>
      </c>
      <c r="D6" s="6">
        <v>3228</v>
      </c>
      <c r="E6">
        <v>436</v>
      </c>
      <c r="F6" s="6">
        <v>9714974766</v>
      </c>
      <c r="G6">
        <v>30.7</v>
      </c>
    </row>
    <row r="7" spans="1:7">
      <c r="A7" t="s">
        <v>3049</v>
      </c>
      <c r="B7" t="s">
        <v>3045</v>
      </c>
      <c r="C7" t="s">
        <v>3050</v>
      </c>
      <c r="D7" s="6">
        <v>12136</v>
      </c>
      <c r="E7" s="6">
        <v>1638</v>
      </c>
      <c r="F7" s="6">
        <v>36528990675</v>
      </c>
      <c r="G7">
        <v>115.2</v>
      </c>
    </row>
    <row r="8" spans="1:7">
      <c r="A8" t="s">
        <v>3051</v>
      </c>
      <c r="B8" t="s">
        <v>3045</v>
      </c>
      <c r="C8" t="s">
        <v>3050</v>
      </c>
      <c r="D8" s="6">
        <v>12492</v>
      </c>
      <c r="E8" s="6">
        <v>1686</v>
      </c>
      <c r="F8" s="6">
        <v>37600624534</v>
      </c>
      <c r="G8">
        <v>118.6</v>
      </c>
    </row>
    <row r="9" spans="1:7">
      <c r="A9" t="s">
        <v>3052</v>
      </c>
      <c r="B9" t="s">
        <v>3045</v>
      </c>
      <c r="C9" t="s">
        <v>3050</v>
      </c>
      <c r="D9" s="6">
        <v>12937</v>
      </c>
      <c r="E9" s="6">
        <v>1747</v>
      </c>
      <c r="F9" s="6">
        <v>38940896854</v>
      </c>
      <c r="G9">
        <v>122.9</v>
      </c>
    </row>
    <row r="10" spans="1:7">
      <c r="A10" t="s">
        <v>3053</v>
      </c>
      <c r="B10" t="s">
        <v>3045</v>
      </c>
      <c r="C10" t="s">
        <v>3050</v>
      </c>
      <c r="D10" s="6">
        <v>12601</v>
      </c>
      <c r="E10" s="6">
        <v>1701</v>
      </c>
      <c r="F10" s="6">
        <v>37930582643</v>
      </c>
      <c r="G10">
        <v>119.7</v>
      </c>
    </row>
    <row r="11" spans="1:7">
      <c r="A11" t="s">
        <v>3054</v>
      </c>
      <c r="B11" t="s">
        <v>3045</v>
      </c>
      <c r="C11" t="s">
        <v>3050</v>
      </c>
      <c r="D11" s="6">
        <v>13726</v>
      </c>
      <c r="E11" s="6">
        <v>1853</v>
      </c>
      <c r="F11" s="6">
        <v>41314843250</v>
      </c>
      <c r="G11">
        <v>130.30000000000001</v>
      </c>
    </row>
    <row r="12" spans="1:7">
      <c r="A12">
        <v>2000</v>
      </c>
      <c r="B12" t="s">
        <v>3045</v>
      </c>
      <c r="C12" s="6">
        <v>5994679944</v>
      </c>
      <c r="D12" s="6">
        <v>14672</v>
      </c>
      <c r="E12" s="6">
        <v>1981</v>
      </c>
      <c r="F12" s="6">
        <v>44161841348</v>
      </c>
      <c r="G12">
        <v>139.30000000000001</v>
      </c>
    </row>
    <row r="13" spans="1:7">
      <c r="B13" t="s">
        <v>3046</v>
      </c>
      <c r="C13" s="6">
        <v>1309565963</v>
      </c>
      <c r="D13" s="6">
        <v>6040</v>
      </c>
      <c r="E13">
        <v>815</v>
      </c>
      <c r="F13" s="6">
        <v>18181535058</v>
      </c>
      <c r="G13">
        <v>57.4</v>
      </c>
    </row>
    <row r="14" spans="1:7">
      <c r="B14" t="s">
        <v>3047</v>
      </c>
      <c r="C14" s="6">
        <v>5891481028</v>
      </c>
      <c r="D14" s="6">
        <v>14349</v>
      </c>
      <c r="E14" s="6">
        <v>1937</v>
      </c>
      <c r="F14" s="6">
        <v>43191000202</v>
      </c>
      <c r="G14">
        <v>136.30000000000001</v>
      </c>
    </row>
    <row r="15" spans="1:7">
      <c r="B15" t="s">
        <v>3048</v>
      </c>
      <c r="C15" s="6">
        <v>1331784289</v>
      </c>
      <c r="D15" s="6">
        <v>6117</v>
      </c>
      <c r="E15">
        <v>826</v>
      </c>
      <c r="F15" s="6">
        <v>18412169613</v>
      </c>
      <c r="G15">
        <v>58.1</v>
      </c>
    </row>
    <row r="16" spans="1:7">
      <c r="A16" t="s">
        <v>3055</v>
      </c>
      <c r="B16" t="s">
        <v>3045</v>
      </c>
      <c r="C16" s="6">
        <v>5360977447</v>
      </c>
      <c r="D16" s="6">
        <v>13121</v>
      </c>
      <c r="E16" s="6">
        <v>1771</v>
      </c>
      <c r="F16" s="6">
        <v>39493457147</v>
      </c>
      <c r="G16">
        <v>124.6</v>
      </c>
    </row>
    <row r="17" spans="1:7">
      <c r="B17" t="s">
        <v>3046</v>
      </c>
      <c r="C17" s="6">
        <v>1171130679</v>
      </c>
      <c r="D17" s="6">
        <v>5402</v>
      </c>
      <c r="E17">
        <v>729</v>
      </c>
      <c r="F17" s="6">
        <v>16259550186</v>
      </c>
      <c r="G17">
        <v>51.3</v>
      </c>
    </row>
    <row r="18" spans="1:7">
      <c r="B18" t="s">
        <v>3047</v>
      </c>
      <c r="C18" s="6">
        <v>5268687772</v>
      </c>
      <c r="D18" s="6">
        <v>12832</v>
      </c>
      <c r="E18" s="6">
        <v>1732</v>
      </c>
      <c r="F18" s="6">
        <v>38625244409</v>
      </c>
      <c r="G18">
        <v>121.9</v>
      </c>
    </row>
    <row r="19" spans="1:7">
      <c r="B19" t="s">
        <v>3048</v>
      </c>
      <c r="C19" s="6">
        <v>1191000288</v>
      </c>
      <c r="D19" s="6">
        <v>5470</v>
      </c>
      <c r="E19">
        <v>739</v>
      </c>
      <c r="F19" s="6">
        <v>16465804174</v>
      </c>
      <c r="G19">
        <v>51.9</v>
      </c>
    </row>
    <row r="20" spans="1:7">
      <c r="A20" t="s">
        <v>3056</v>
      </c>
      <c r="B20" t="s">
        <v>3045</v>
      </c>
      <c r="C20" s="6">
        <v>5219345344</v>
      </c>
      <c r="D20" s="6">
        <v>12774</v>
      </c>
      <c r="E20" s="6">
        <v>1725</v>
      </c>
      <c r="F20" s="6">
        <v>38450076259</v>
      </c>
      <c r="G20">
        <v>121.3</v>
      </c>
    </row>
    <row r="21" spans="1:7">
      <c r="B21" t="s">
        <v>3046</v>
      </c>
      <c r="C21" s="6">
        <v>1140190481</v>
      </c>
      <c r="D21" s="6">
        <v>5259</v>
      </c>
      <c r="E21">
        <v>710</v>
      </c>
      <c r="F21" s="6">
        <v>15829987794</v>
      </c>
      <c r="G21">
        <v>49.9</v>
      </c>
    </row>
    <row r="22" spans="1:7">
      <c r="B22" t="s">
        <v>3047</v>
      </c>
      <c r="C22" s="6">
        <v>5129493877</v>
      </c>
      <c r="D22" s="6">
        <v>12493</v>
      </c>
      <c r="E22" s="6">
        <v>1687</v>
      </c>
      <c r="F22" s="6">
        <v>37604800905</v>
      </c>
      <c r="G22">
        <v>118.6</v>
      </c>
    </row>
    <row r="23" spans="1:7">
      <c r="B23" t="s">
        <v>3048</v>
      </c>
      <c r="C23" s="6">
        <v>1159535153</v>
      </c>
      <c r="D23" s="6">
        <v>5326</v>
      </c>
      <c r="E23">
        <v>719</v>
      </c>
      <c r="F23" s="6">
        <v>16030792741</v>
      </c>
      <c r="G23">
        <v>50.6</v>
      </c>
    </row>
    <row r="24" spans="1:7">
      <c r="A24" t="s">
        <v>3057</v>
      </c>
      <c r="B24" t="s">
        <v>3045</v>
      </c>
      <c r="C24" s="6">
        <v>5288138079</v>
      </c>
      <c r="D24" s="6">
        <v>12942</v>
      </c>
      <c r="E24" s="6">
        <v>1747</v>
      </c>
      <c r="F24" s="6">
        <v>38956861262</v>
      </c>
      <c r="G24">
        <v>122.9</v>
      </c>
    </row>
    <row r="25" spans="1:7">
      <c r="B25" t="s">
        <v>3046</v>
      </c>
      <c r="C25" s="6">
        <v>1155218577</v>
      </c>
      <c r="D25" s="6">
        <v>5328</v>
      </c>
      <c r="E25">
        <v>719</v>
      </c>
      <c r="F25" s="6">
        <v>16038632384</v>
      </c>
      <c r="G25">
        <v>50.6</v>
      </c>
    </row>
    <row r="26" spans="1:7">
      <c r="B26" t="s">
        <v>3047</v>
      </c>
      <c r="C26" s="6">
        <v>5197102340</v>
      </c>
      <c r="D26" s="6">
        <v>12658</v>
      </c>
      <c r="E26" s="6">
        <v>1709</v>
      </c>
      <c r="F26" s="6">
        <v>38100444893</v>
      </c>
      <c r="G26">
        <v>120.2</v>
      </c>
    </row>
    <row r="27" spans="1:7">
      <c r="B27" t="s">
        <v>3048</v>
      </c>
      <c r="C27" s="6">
        <v>1174818219</v>
      </c>
      <c r="D27" s="6">
        <v>5396</v>
      </c>
      <c r="E27">
        <v>728</v>
      </c>
      <c r="F27" s="6">
        <v>16242084008</v>
      </c>
      <c r="G27">
        <v>51.2</v>
      </c>
    </row>
    <row r="28" spans="1:7">
      <c r="A28" t="s">
        <v>3058</v>
      </c>
      <c r="B28" t="s">
        <v>3045</v>
      </c>
      <c r="C28" s="6">
        <v>5371498689</v>
      </c>
      <c r="D28" s="6">
        <v>13146</v>
      </c>
      <c r="E28" s="6">
        <v>1775</v>
      </c>
      <c r="F28" s="6">
        <v>39570965441</v>
      </c>
      <c r="G28">
        <v>124.8</v>
      </c>
    </row>
    <row r="29" spans="1:7">
      <c r="B29" t="s">
        <v>3046</v>
      </c>
      <c r="C29" s="6">
        <v>1173429093</v>
      </c>
      <c r="D29" s="6">
        <v>5412</v>
      </c>
      <c r="E29">
        <v>731</v>
      </c>
      <c r="F29" s="6">
        <v>16291460535</v>
      </c>
      <c r="G29">
        <v>51.4</v>
      </c>
    </row>
    <row r="30" spans="1:7">
      <c r="B30" t="s">
        <v>3047</v>
      </c>
      <c r="C30" s="6">
        <v>5279027890</v>
      </c>
      <c r="D30" s="6">
        <v>12857</v>
      </c>
      <c r="E30" s="6">
        <v>1736</v>
      </c>
      <c r="F30" s="6">
        <v>38701048784</v>
      </c>
      <c r="G30">
        <v>122.1</v>
      </c>
    </row>
    <row r="31" spans="1:7">
      <c r="B31" t="s">
        <v>3048</v>
      </c>
      <c r="C31" s="6">
        <v>1193337698</v>
      </c>
      <c r="D31" s="6">
        <v>5481</v>
      </c>
      <c r="E31">
        <v>740</v>
      </c>
      <c r="F31" s="6">
        <v>16498119309</v>
      </c>
      <c r="G31">
        <v>52.1</v>
      </c>
    </row>
    <row r="32" spans="1:7">
      <c r="A32">
        <v>2005</v>
      </c>
      <c r="B32" t="s">
        <v>3045</v>
      </c>
      <c r="C32" s="6">
        <v>6476007697</v>
      </c>
      <c r="D32" s="6">
        <v>13976</v>
      </c>
      <c r="E32" s="6">
        <v>1887</v>
      </c>
      <c r="F32" s="6">
        <v>42067562737</v>
      </c>
      <c r="G32">
        <v>132.69999999999999</v>
      </c>
    </row>
    <row r="33" spans="1:7">
      <c r="B33" t="s">
        <v>3046</v>
      </c>
      <c r="C33" s="6">
        <v>1373543928</v>
      </c>
      <c r="D33" s="6">
        <v>5858</v>
      </c>
      <c r="E33">
        <v>791</v>
      </c>
      <c r="F33" s="6">
        <v>17633508081</v>
      </c>
      <c r="G33">
        <v>55.6</v>
      </c>
    </row>
    <row r="34" spans="1:7">
      <c r="B34" t="s">
        <v>3047</v>
      </c>
      <c r="C34" s="6">
        <v>6370544998</v>
      </c>
      <c r="D34" s="6">
        <v>13654</v>
      </c>
      <c r="E34" s="6">
        <v>1843</v>
      </c>
      <c r="F34" s="6">
        <v>41098359387</v>
      </c>
      <c r="G34">
        <v>129.69999999999999</v>
      </c>
    </row>
    <row r="35" spans="1:7">
      <c r="B35" t="s">
        <v>3048</v>
      </c>
      <c r="C35" s="6">
        <v>1397051323</v>
      </c>
      <c r="D35" s="6">
        <v>5936</v>
      </c>
      <c r="E35">
        <v>801</v>
      </c>
      <c r="F35" s="6">
        <v>17868972965</v>
      </c>
      <c r="G35">
        <v>56.4</v>
      </c>
    </row>
    <row r="36" spans="1:7">
      <c r="A36" t="s">
        <v>3059</v>
      </c>
      <c r="B36" t="s">
        <v>3045</v>
      </c>
      <c r="C36" s="6">
        <v>5894323482</v>
      </c>
      <c r="D36" s="6">
        <v>14426</v>
      </c>
      <c r="E36" s="6">
        <v>1948</v>
      </c>
      <c r="F36" s="6">
        <v>43422531461</v>
      </c>
      <c r="G36">
        <v>137</v>
      </c>
    </row>
    <row r="37" spans="1:7">
      <c r="B37" t="s">
        <v>3046</v>
      </c>
      <c r="C37" s="6">
        <v>1287642623</v>
      </c>
      <c r="D37" s="6">
        <v>5939</v>
      </c>
      <c r="E37">
        <v>802</v>
      </c>
      <c r="F37" s="6">
        <v>17877159421</v>
      </c>
      <c r="G37">
        <v>56.4</v>
      </c>
    </row>
    <row r="38" spans="1:7">
      <c r="B38" t="s">
        <v>3047</v>
      </c>
      <c r="C38" s="6">
        <v>5792852211</v>
      </c>
      <c r="D38" s="6">
        <v>14109</v>
      </c>
      <c r="E38" s="6">
        <v>1905</v>
      </c>
      <c r="F38" s="6">
        <v>42467943091</v>
      </c>
      <c r="G38">
        <v>134</v>
      </c>
    </row>
    <row r="39" spans="1:7">
      <c r="B39" t="s">
        <v>3048</v>
      </c>
      <c r="C39" s="6">
        <v>1309488994</v>
      </c>
      <c r="D39" s="6">
        <v>6015</v>
      </c>
      <c r="E39">
        <v>812</v>
      </c>
      <c r="F39" s="6">
        <v>18103932940</v>
      </c>
      <c r="G39">
        <v>57.1</v>
      </c>
    </row>
    <row r="40" spans="1:7">
      <c r="A40" t="s">
        <v>3060</v>
      </c>
      <c r="B40" t="s">
        <v>3045</v>
      </c>
      <c r="C40" s="6">
        <v>6009247818</v>
      </c>
      <c r="D40" s="6">
        <v>14707</v>
      </c>
      <c r="E40" s="6">
        <v>1986</v>
      </c>
      <c r="F40" s="6">
        <v>44269160525</v>
      </c>
      <c r="G40">
        <v>139.69999999999999</v>
      </c>
    </row>
    <row r="41" spans="1:7">
      <c r="B41" t="s">
        <v>3046</v>
      </c>
      <c r="C41" s="6">
        <v>1312748383</v>
      </c>
      <c r="D41" s="6">
        <v>6055</v>
      </c>
      <c r="E41">
        <v>817</v>
      </c>
      <c r="F41" s="6">
        <v>18225718619</v>
      </c>
      <c r="G41">
        <v>57.5</v>
      </c>
    </row>
    <row r="42" spans="1:7">
      <c r="B42" t="s">
        <v>3047</v>
      </c>
      <c r="C42" s="6">
        <v>5905798114</v>
      </c>
      <c r="D42" s="6">
        <v>14384</v>
      </c>
      <c r="E42" s="6">
        <v>1942</v>
      </c>
      <c r="F42" s="6">
        <v>43295960105</v>
      </c>
      <c r="G42">
        <v>136.6</v>
      </c>
    </row>
    <row r="43" spans="1:7">
      <c r="B43" t="s">
        <v>3048</v>
      </c>
      <c r="C43" s="6">
        <v>1335020703</v>
      </c>
      <c r="D43" s="6">
        <v>6132</v>
      </c>
      <c r="E43">
        <v>828</v>
      </c>
      <c r="F43" s="6">
        <v>18456913646</v>
      </c>
      <c r="G43">
        <v>58.2</v>
      </c>
    </row>
    <row r="44" spans="1:7">
      <c r="A44" t="s">
        <v>3061</v>
      </c>
      <c r="B44" t="s">
        <v>3045</v>
      </c>
      <c r="C44" s="6">
        <v>5475092456</v>
      </c>
      <c r="D44" s="6">
        <v>13400</v>
      </c>
      <c r="E44" s="6">
        <v>1809</v>
      </c>
      <c r="F44" s="6">
        <v>40334124033</v>
      </c>
      <c r="G44">
        <v>127.3</v>
      </c>
    </row>
    <row r="45" spans="1:7">
      <c r="B45" t="s">
        <v>3046</v>
      </c>
      <c r="C45" s="6">
        <v>1196059638</v>
      </c>
      <c r="D45" s="6">
        <v>5517</v>
      </c>
      <c r="E45">
        <v>745</v>
      </c>
      <c r="F45" s="6">
        <v>16605654741</v>
      </c>
      <c r="G45">
        <v>52.4</v>
      </c>
    </row>
    <row r="46" spans="1:7">
      <c r="B46" t="s">
        <v>3047</v>
      </c>
      <c r="C46" s="6">
        <v>5380838282</v>
      </c>
      <c r="D46" s="6">
        <v>13105</v>
      </c>
      <c r="E46" s="6">
        <v>1769</v>
      </c>
      <c r="F46" s="6">
        <v>39447430318</v>
      </c>
      <c r="G46">
        <v>124.5</v>
      </c>
    </row>
    <row r="47" spans="1:7">
      <c r="B47" t="s">
        <v>3048</v>
      </c>
      <c r="C47" s="6">
        <v>1216352196</v>
      </c>
      <c r="D47" s="6">
        <v>5587</v>
      </c>
      <c r="E47">
        <v>754</v>
      </c>
      <c r="F47" s="6">
        <v>16816299099</v>
      </c>
      <c r="G47">
        <v>53.1</v>
      </c>
    </row>
    <row r="48" spans="1:7">
      <c r="A48" t="s">
        <v>3062</v>
      </c>
      <c r="B48" t="s">
        <v>3045</v>
      </c>
      <c r="C48" s="6">
        <v>5143268671</v>
      </c>
      <c r="D48" s="6">
        <v>12588</v>
      </c>
      <c r="E48" s="6">
        <v>1699</v>
      </c>
      <c r="F48" s="6">
        <v>37889631668</v>
      </c>
      <c r="G48">
        <v>119.5</v>
      </c>
    </row>
    <row r="49" spans="1:7">
      <c r="B49" t="s">
        <v>3046</v>
      </c>
      <c r="C49" s="6">
        <v>1123571175</v>
      </c>
      <c r="D49" s="6">
        <v>5182</v>
      </c>
      <c r="E49">
        <v>700</v>
      </c>
      <c r="F49" s="6">
        <v>15599251424</v>
      </c>
      <c r="G49">
        <v>49.2</v>
      </c>
    </row>
    <row r="50" spans="1:7">
      <c r="B50" t="s">
        <v>3047</v>
      </c>
      <c r="C50" s="6">
        <v>5054726871</v>
      </c>
      <c r="D50" s="6">
        <v>12311</v>
      </c>
      <c r="E50" s="6">
        <v>1662</v>
      </c>
      <c r="F50" s="6">
        <v>37056676966</v>
      </c>
      <c r="G50">
        <v>116.9</v>
      </c>
    </row>
    <row r="51" spans="1:7">
      <c r="B51" t="s">
        <v>3048</v>
      </c>
      <c r="C51" s="6">
        <v>1142633881</v>
      </c>
      <c r="D51" s="6">
        <v>5248</v>
      </c>
      <c r="E51">
        <v>709</v>
      </c>
      <c r="F51" s="6">
        <v>15797129457</v>
      </c>
      <c r="G51">
        <v>49.8</v>
      </c>
    </row>
    <row r="52" spans="1:7">
      <c r="A52">
        <v>2010</v>
      </c>
      <c r="B52" t="s">
        <v>3045</v>
      </c>
      <c r="C52" s="6">
        <v>5652264576</v>
      </c>
      <c r="D52" s="6">
        <v>11931</v>
      </c>
      <c r="E52" s="6">
        <v>1611</v>
      </c>
      <c r="F52" s="6">
        <v>35912723830</v>
      </c>
      <c r="G52">
        <v>113.3</v>
      </c>
    </row>
    <row r="53" spans="1:7">
      <c r="B53" t="s">
        <v>3046</v>
      </c>
      <c r="C53" s="6">
        <v>1474839733</v>
      </c>
      <c r="D53" s="6">
        <v>6044</v>
      </c>
      <c r="E53">
        <v>816</v>
      </c>
      <c r="F53" s="6">
        <v>18192953916</v>
      </c>
      <c r="G53">
        <v>57.4</v>
      </c>
    </row>
    <row r="54" spans="1:7">
      <c r="B54" t="s">
        <v>3047</v>
      </c>
      <c r="C54" s="6">
        <v>5554043585</v>
      </c>
      <c r="D54" s="6">
        <v>11667</v>
      </c>
      <c r="E54" s="6">
        <v>1575</v>
      </c>
      <c r="F54" s="6">
        <v>35116863245</v>
      </c>
      <c r="G54">
        <v>110.8</v>
      </c>
    </row>
    <row r="55" spans="1:7">
      <c r="B55" t="s">
        <v>3048</v>
      </c>
      <c r="C55" s="6">
        <v>1497606695</v>
      </c>
      <c r="D55" s="6">
        <v>6113</v>
      </c>
      <c r="E55">
        <v>825</v>
      </c>
      <c r="F55" s="6">
        <v>18398996825</v>
      </c>
      <c r="G55">
        <v>58</v>
      </c>
    </row>
    <row r="56" spans="1:7">
      <c r="A56">
        <v>2011</v>
      </c>
      <c r="B56" t="s">
        <v>3045</v>
      </c>
      <c r="C56" s="6">
        <v>5767378664</v>
      </c>
      <c r="D56" s="6">
        <v>12067</v>
      </c>
      <c r="E56" s="6">
        <v>1629</v>
      </c>
      <c r="F56" s="6">
        <v>36321170730</v>
      </c>
      <c r="G56">
        <v>114.6</v>
      </c>
    </row>
    <row r="57" spans="1:7">
      <c r="B57" t="s">
        <v>3046</v>
      </c>
      <c r="C57" s="6">
        <v>1576982962</v>
      </c>
      <c r="D57" s="6">
        <v>6496</v>
      </c>
      <c r="E57">
        <v>877</v>
      </c>
      <c r="F57" s="6">
        <v>19551631939</v>
      </c>
      <c r="G57">
        <v>61.7</v>
      </c>
    </row>
    <row r="58" spans="1:7">
      <c r="B58" t="s">
        <v>3047</v>
      </c>
      <c r="C58" s="6">
        <v>5673689481</v>
      </c>
      <c r="D58" s="6">
        <v>11823</v>
      </c>
      <c r="E58" s="6">
        <v>1596</v>
      </c>
      <c r="F58" s="6">
        <v>35588754827</v>
      </c>
      <c r="G58">
        <v>112.3</v>
      </c>
    </row>
    <row r="59" spans="1:7">
      <c r="B59" t="s">
        <v>3048</v>
      </c>
      <c r="C59" s="6">
        <v>1596797398</v>
      </c>
      <c r="D59" s="6">
        <v>6554</v>
      </c>
      <c r="E59">
        <v>885</v>
      </c>
      <c r="F59" s="6">
        <v>19727043614</v>
      </c>
      <c r="G59">
        <v>62.2</v>
      </c>
    </row>
    <row r="60" spans="1:7">
      <c r="A60">
        <v>2012</v>
      </c>
      <c r="B60" t="s">
        <v>3045</v>
      </c>
      <c r="C60" s="6">
        <v>5735605432</v>
      </c>
      <c r="D60" s="6">
        <v>11932</v>
      </c>
      <c r="E60" s="6">
        <v>1611</v>
      </c>
      <c r="F60" s="6">
        <v>35915745616</v>
      </c>
      <c r="G60">
        <v>113.3</v>
      </c>
    </row>
    <row r="61" spans="1:7">
      <c r="B61" t="s">
        <v>3046</v>
      </c>
      <c r="C61" s="6">
        <v>1619012587</v>
      </c>
      <c r="D61" s="6">
        <v>6464</v>
      </c>
      <c r="E61">
        <v>873</v>
      </c>
      <c r="F61" s="6">
        <v>19457378739</v>
      </c>
      <c r="G61">
        <v>61.4</v>
      </c>
    </row>
    <row r="62" spans="1:7">
      <c r="B62" t="s">
        <v>3047</v>
      </c>
      <c r="C62" s="6">
        <v>5636910529</v>
      </c>
      <c r="D62" s="6">
        <v>11672</v>
      </c>
      <c r="E62" s="6">
        <v>1576</v>
      </c>
      <c r="F62" s="6">
        <v>35132961140</v>
      </c>
      <c r="G62">
        <v>110.8</v>
      </c>
    </row>
    <row r="63" spans="1:7">
      <c r="B63" t="s">
        <v>3048</v>
      </c>
      <c r="C63" s="6">
        <v>1637917110</v>
      </c>
      <c r="D63" s="6">
        <v>6507</v>
      </c>
      <c r="E63">
        <v>879</v>
      </c>
      <c r="F63" s="6">
        <v>19587140347</v>
      </c>
      <c r="G63">
        <v>61.8</v>
      </c>
    </row>
    <row r="64" spans="1:7">
      <c r="A64">
        <v>2013</v>
      </c>
      <c r="B64" t="s">
        <v>3045</v>
      </c>
      <c r="C64" s="6">
        <v>5808034123</v>
      </c>
      <c r="D64" s="6">
        <v>12031</v>
      </c>
      <c r="E64" s="6">
        <v>1624</v>
      </c>
      <c r="F64" s="6">
        <v>36212974471</v>
      </c>
      <c r="G64">
        <v>114.3</v>
      </c>
    </row>
    <row r="65" spans="1:7">
      <c r="B65" t="s">
        <v>3046</v>
      </c>
      <c r="C65" s="6">
        <v>1641151400</v>
      </c>
      <c r="D65" s="6">
        <v>6611</v>
      </c>
      <c r="E65">
        <v>892</v>
      </c>
      <c r="F65" s="6">
        <v>19898871458</v>
      </c>
      <c r="G65">
        <v>62.8</v>
      </c>
    </row>
    <row r="66" spans="1:7">
      <c r="B66" t="s">
        <v>3047</v>
      </c>
      <c r="C66" s="6">
        <v>5708807315</v>
      </c>
      <c r="D66" s="6">
        <v>11780</v>
      </c>
      <c r="E66" s="6">
        <v>1590</v>
      </c>
      <c r="F66" s="6">
        <v>35458690595</v>
      </c>
      <c r="G66">
        <v>111.9</v>
      </c>
    </row>
    <row r="67" spans="1:7">
      <c r="B67" t="s">
        <v>3048</v>
      </c>
      <c r="C67" s="6">
        <v>1661167498</v>
      </c>
      <c r="D67" s="6">
        <v>6657</v>
      </c>
      <c r="E67">
        <v>899</v>
      </c>
      <c r="F67" s="6">
        <v>20036865038</v>
      </c>
      <c r="G67">
        <v>63.2</v>
      </c>
    </row>
    <row r="68" spans="1:7">
      <c r="A68">
        <v>2014</v>
      </c>
      <c r="B68" t="s">
        <v>3045</v>
      </c>
      <c r="C68" s="6">
        <v>5825999388</v>
      </c>
      <c r="D68" s="6">
        <v>12131</v>
      </c>
      <c r="E68" s="6">
        <v>1638</v>
      </c>
      <c r="F68" s="6">
        <v>36514970659</v>
      </c>
      <c r="G68">
        <v>115.2</v>
      </c>
    </row>
    <row r="69" spans="1:7">
      <c r="B69" t="s">
        <v>3046</v>
      </c>
      <c r="C69" s="6">
        <v>1724559209</v>
      </c>
      <c r="D69" s="6">
        <v>6980</v>
      </c>
      <c r="E69">
        <v>942</v>
      </c>
      <c r="F69" s="6">
        <v>21008818741</v>
      </c>
      <c r="G69">
        <v>66.3</v>
      </c>
    </row>
    <row r="70" spans="1:7">
      <c r="B70" t="s">
        <v>3047</v>
      </c>
      <c r="C70" s="6">
        <v>5725819482</v>
      </c>
      <c r="D70" s="6">
        <v>11882</v>
      </c>
      <c r="E70" s="6">
        <v>1604</v>
      </c>
      <c r="F70" s="6">
        <v>35764791774</v>
      </c>
      <c r="G70">
        <v>112.8</v>
      </c>
    </row>
    <row r="71" spans="1:7">
      <c r="B71" t="s">
        <v>3048</v>
      </c>
      <c r="C71" s="6">
        <v>1745315059</v>
      </c>
      <c r="D71" s="6">
        <v>7027</v>
      </c>
      <c r="E71">
        <v>949</v>
      </c>
      <c r="F71" s="6">
        <v>21152418387</v>
      </c>
      <c r="G71">
        <v>66.7</v>
      </c>
    </row>
    <row r="72" spans="1:7">
      <c r="A72">
        <v>2015</v>
      </c>
      <c r="B72" t="s">
        <v>3045</v>
      </c>
      <c r="C72" s="6">
        <v>5900440363</v>
      </c>
      <c r="D72" s="6">
        <v>12534</v>
      </c>
      <c r="E72" s="6">
        <v>1692</v>
      </c>
      <c r="F72" s="6">
        <v>37727860796</v>
      </c>
      <c r="G72">
        <v>119</v>
      </c>
    </row>
    <row r="73" spans="1:7">
      <c r="B73" t="s">
        <v>3046</v>
      </c>
      <c r="C73" s="6">
        <v>1757724661</v>
      </c>
      <c r="D73" s="6">
        <v>7227</v>
      </c>
      <c r="E73">
        <v>976</v>
      </c>
      <c r="F73" s="6">
        <v>21752301359</v>
      </c>
      <c r="G73">
        <v>68.599999999999994</v>
      </c>
    </row>
    <row r="74" spans="1:7">
      <c r="B74" t="s">
        <v>3047</v>
      </c>
      <c r="C74" s="6">
        <v>5801594806</v>
      </c>
      <c r="D74" s="6">
        <v>12291</v>
      </c>
      <c r="E74" s="6">
        <v>1659</v>
      </c>
      <c r="F74" s="6">
        <v>36997658406</v>
      </c>
      <c r="G74">
        <v>116.7</v>
      </c>
    </row>
    <row r="75" spans="1:7">
      <c r="B75" t="s">
        <v>3048</v>
      </c>
      <c r="C75" s="6">
        <v>1793787700</v>
      </c>
      <c r="D75" s="6">
        <v>7310</v>
      </c>
      <c r="E75">
        <v>987</v>
      </c>
      <c r="F75" s="6">
        <v>22002733062</v>
      </c>
      <c r="G75">
        <v>69.400000000000006</v>
      </c>
    </row>
    <row r="76" spans="1:7">
      <c r="A76">
        <v>2016</v>
      </c>
      <c r="B76" t="s">
        <v>3045</v>
      </c>
      <c r="C76" s="6">
        <v>5929429373</v>
      </c>
      <c r="D76" s="6">
        <v>12674</v>
      </c>
      <c r="E76" s="6">
        <v>1711</v>
      </c>
      <c r="F76" s="6">
        <v>38148578811</v>
      </c>
      <c r="G76">
        <v>120.4</v>
      </c>
    </row>
    <row r="77" spans="1:7">
      <c r="B77" t="s">
        <v>3046</v>
      </c>
      <c r="C77" s="6">
        <v>1817739570</v>
      </c>
      <c r="D77" s="6">
        <v>7453</v>
      </c>
      <c r="E77" s="6">
        <v>1006</v>
      </c>
      <c r="F77" s="6">
        <v>22434619940</v>
      </c>
      <c r="G77">
        <v>70.8</v>
      </c>
    </row>
    <row r="78" spans="1:7">
      <c r="B78" t="s">
        <v>3047</v>
      </c>
      <c r="C78" s="6">
        <v>5827141640</v>
      </c>
      <c r="D78" s="6">
        <v>12422</v>
      </c>
      <c r="E78" s="6">
        <v>1677</v>
      </c>
      <c r="F78" s="6">
        <v>37391339601</v>
      </c>
      <c r="G78">
        <v>118</v>
      </c>
    </row>
    <row r="79" spans="1:7">
      <c r="B79" t="s">
        <v>3048</v>
      </c>
      <c r="C79" s="6">
        <v>1839651091</v>
      </c>
      <c r="D79" s="6">
        <v>7504</v>
      </c>
      <c r="E79" s="6">
        <v>1013</v>
      </c>
      <c r="F79" s="6">
        <v>22588366704</v>
      </c>
      <c r="G79">
        <v>71.3</v>
      </c>
    </row>
    <row r="80" spans="1:7">
      <c r="A80">
        <v>2017</v>
      </c>
      <c r="B80" t="s">
        <v>3045</v>
      </c>
      <c r="C80" s="6">
        <v>6264650997</v>
      </c>
      <c r="D80" s="6">
        <v>13475</v>
      </c>
      <c r="E80" s="6">
        <v>1819</v>
      </c>
      <c r="F80" s="6">
        <v>40560206261</v>
      </c>
      <c r="G80">
        <v>128</v>
      </c>
    </row>
    <row r="81" spans="1:7">
      <c r="B81" t="s">
        <v>3046</v>
      </c>
      <c r="C81" s="6">
        <v>1944104275</v>
      </c>
      <c r="D81" s="6">
        <v>7841</v>
      </c>
      <c r="E81" s="6">
        <v>1059</v>
      </c>
      <c r="F81" s="6">
        <v>23602935694</v>
      </c>
      <c r="G81">
        <v>74.5</v>
      </c>
    </row>
    <row r="82" spans="1:7">
      <c r="B82" t="s">
        <v>3047</v>
      </c>
      <c r="C82" s="6">
        <v>6214083068</v>
      </c>
      <c r="D82" s="6">
        <v>13358</v>
      </c>
      <c r="E82" s="6">
        <v>1803</v>
      </c>
      <c r="F82" s="6">
        <v>40207759885</v>
      </c>
      <c r="G82">
        <v>126.9</v>
      </c>
    </row>
    <row r="83" spans="1:7">
      <c r="B83" t="s">
        <v>3048</v>
      </c>
      <c r="C83" s="6">
        <v>1912096739</v>
      </c>
      <c r="D83" s="6">
        <v>7755</v>
      </c>
      <c r="E83" s="6">
        <v>1047</v>
      </c>
      <c r="F83" s="6">
        <v>23343627689</v>
      </c>
      <c r="G83">
        <v>73.599999999999994</v>
      </c>
    </row>
    <row r="84" spans="1:7">
      <c r="A84">
        <v>2018</v>
      </c>
      <c r="B84" t="s">
        <v>3045</v>
      </c>
      <c r="C84" s="6">
        <v>6408870104</v>
      </c>
      <c r="D84" s="6">
        <v>13650</v>
      </c>
      <c r="E84" s="6">
        <v>1843</v>
      </c>
      <c r="F84" s="6">
        <v>41085494597</v>
      </c>
      <c r="G84">
        <v>129.6</v>
      </c>
    </row>
    <row r="85" spans="1:7">
      <c r="B85" t="s">
        <v>3046</v>
      </c>
      <c r="C85" s="6">
        <v>2037055865</v>
      </c>
      <c r="D85" s="6">
        <v>8402</v>
      </c>
      <c r="E85" s="6">
        <v>1134</v>
      </c>
      <c r="F85" s="6">
        <v>25291329878</v>
      </c>
      <c r="G85">
        <v>79.8</v>
      </c>
    </row>
    <row r="86" spans="1:7">
      <c r="B86" t="s">
        <v>3047</v>
      </c>
      <c r="C86" s="6">
        <v>6318774158</v>
      </c>
      <c r="D86" s="6">
        <v>13425</v>
      </c>
      <c r="E86" s="6">
        <v>1812</v>
      </c>
      <c r="F86" s="6">
        <v>40410478534</v>
      </c>
      <c r="G86">
        <v>127.5</v>
      </c>
    </row>
    <row r="87" spans="1:7">
      <c r="B87" t="s">
        <v>3048</v>
      </c>
      <c r="C87" s="6">
        <v>2066756708</v>
      </c>
      <c r="D87" s="6">
        <v>8254</v>
      </c>
      <c r="E87" s="6">
        <v>1114</v>
      </c>
      <c r="F87" s="6">
        <v>24843232462</v>
      </c>
      <c r="G87">
        <v>78.400000000000006</v>
      </c>
    </row>
    <row r="88" spans="1:7">
      <c r="B88" t="s">
        <v>3045</v>
      </c>
      <c r="C88" s="6">
        <v>6721417987</v>
      </c>
      <c r="D88" s="6">
        <v>14397</v>
      </c>
      <c r="E88" s="6">
        <v>1944</v>
      </c>
      <c r="F88" s="6">
        <v>43334968184</v>
      </c>
      <c r="G88">
        <v>136.69999999999999</v>
      </c>
    </row>
    <row r="89" spans="1:7">
      <c r="A89">
        <v>2019</v>
      </c>
      <c r="B89" t="s">
        <v>3046</v>
      </c>
      <c r="C89" s="6">
        <v>1980425952</v>
      </c>
      <c r="D89" s="6">
        <v>7908</v>
      </c>
      <c r="E89" s="6">
        <v>1068</v>
      </c>
      <c r="F89" s="6">
        <v>23803403228</v>
      </c>
      <c r="G89">
        <v>75.099999999999994</v>
      </c>
    </row>
    <row r="90" spans="1:7">
      <c r="B90" t="s">
        <v>3047</v>
      </c>
      <c r="C90" s="6">
        <v>6617074577</v>
      </c>
      <c r="D90" s="6">
        <v>14131</v>
      </c>
      <c r="E90" s="6">
        <v>1908</v>
      </c>
      <c r="F90" s="6">
        <v>42535165758</v>
      </c>
      <c r="G90">
        <v>134.19999999999999</v>
      </c>
    </row>
    <row r="91" spans="1:7">
      <c r="B91" t="s">
        <v>3048</v>
      </c>
      <c r="C91" s="6">
        <v>2008158986</v>
      </c>
      <c r="D91" s="6">
        <v>7973</v>
      </c>
      <c r="E91" s="6">
        <v>1076</v>
      </c>
      <c r="F91" s="6">
        <v>23997773004</v>
      </c>
      <c r="G91">
        <v>75.7</v>
      </c>
    </row>
    <row r="92" spans="1:7">
      <c r="A92">
        <v>2020</v>
      </c>
      <c r="B92" t="s">
        <v>3045</v>
      </c>
      <c r="C92" s="6">
        <v>4391123811</v>
      </c>
      <c r="D92" s="6">
        <v>9613</v>
      </c>
      <c r="E92" s="6">
        <v>1298</v>
      </c>
      <c r="F92" s="6">
        <v>28934254672</v>
      </c>
      <c r="G92">
        <v>91.3</v>
      </c>
    </row>
    <row r="93" spans="1:7">
      <c r="B93" t="s">
        <v>3046</v>
      </c>
      <c r="C93" s="6">
        <v>910801671</v>
      </c>
      <c r="D93" s="6">
        <v>3863</v>
      </c>
      <c r="E93">
        <v>521</v>
      </c>
      <c r="F93" s="6">
        <v>11626780467</v>
      </c>
      <c r="G93">
        <v>36.700000000000003</v>
      </c>
    </row>
    <row r="94" spans="1:7">
      <c r="B94" t="s">
        <v>3047</v>
      </c>
      <c r="C94" s="6">
        <v>4297034877</v>
      </c>
      <c r="D94" s="6">
        <v>9358</v>
      </c>
      <c r="E94" s="6">
        <v>1263</v>
      </c>
      <c r="F94" s="6">
        <v>28167145166</v>
      </c>
      <c r="G94">
        <v>88.9</v>
      </c>
    </row>
    <row r="95" spans="1:7">
      <c r="B95" t="s">
        <v>3048</v>
      </c>
      <c r="C95" s="6">
        <v>944600496</v>
      </c>
      <c r="D95" s="6">
        <v>3954</v>
      </c>
      <c r="E95">
        <v>534</v>
      </c>
      <c r="F95" s="6">
        <v>11900792661</v>
      </c>
      <c r="G95">
        <v>37.5</v>
      </c>
    </row>
    <row r="96" spans="1:7">
      <c r="A96">
        <v>2021</v>
      </c>
      <c r="B96" t="s">
        <v>3045</v>
      </c>
      <c r="C96" s="6">
        <v>5930926254</v>
      </c>
      <c r="D96" s="6">
        <v>12527</v>
      </c>
      <c r="E96" s="6">
        <v>1691</v>
      </c>
      <c r="F96" s="6">
        <v>37706548317</v>
      </c>
      <c r="G96">
        <v>119</v>
      </c>
    </row>
    <row r="97" spans="1:7">
      <c r="B97" t="s">
        <v>3046</v>
      </c>
      <c r="C97" s="6">
        <v>1287078625</v>
      </c>
      <c r="D97" s="6">
        <v>5013</v>
      </c>
      <c r="E97">
        <v>677</v>
      </c>
      <c r="F97" s="6">
        <v>15089773728</v>
      </c>
      <c r="G97">
        <v>47.6</v>
      </c>
    </row>
    <row r="98" spans="1:7">
      <c r="B98" t="s">
        <v>3047</v>
      </c>
      <c r="C98" s="6">
        <v>5800480719</v>
      </c>
      <c r="D98" s="6">
        <v>12207</v>
      </c>
      <c r="E98" s="6">
        <v>1648</v>
      </c>
      <c r="F98" s="6">
        <v>36742811013</v>
      </c>
      <c r="G98">
        <v>115.9</v>
      </c>
    </row>
    <row r="99" spans="1:7">
      <c r="B99" t="s">
        <v>3048</v>
      </c>
      <c r="C99" s="6">
        <v>1346199492</v>
      </c>
      <c r="D99" s="6">
        <v>5156</v>
      </c>
      <c r="E99">
        <v>696</v>
      </c>
      <c r="F99" s="6">
        <v>15520560694</v>
      </c>
      <c r="G99">
        <v>49</v>
      </c>
    </row>
    <row r="100" spans="1:7" s="14" customFormat="1">
      <c r="A100" s="14">
        <v>2022</v>
      </c>
      <c r="B100" s="14" t="s">
        <v>3045</v>
      </c>
      <c r="C100" s="202">
        <v>6469480586</v>
      </c>
      <c r="D100" s="202">
        <v>13654</v>
      </c>
      <c r="E100" s="202">
        <v>1843</v>
      </c>
      <c r="F100" s="202">
        <v>41099281239</v>
      </c>
      <c r="G100" s="14">
        <v>129.69999999999999</v>
      </c>
    </row>
    <row r="101" spans="1:7" s="14" customFormat="1">
      <c r="B101" s="14" t="s">
        <v>3046</v>
      </c>
      <c r="C101" s="202">
        <v>1757904798</v>
      </c>
      <c r="D101" s="202">
        <v>6682</v>
      </c>
      <c r="E101" s="14">
        <v>902</v>
      </c>
      <c r="F101" s="202">
        <v>20112901563</v>
      </c>
      <c r="G101" s="14">
        <v>63.5</v>
      </c>
    </row>
    <row r="102" spans="1:7">
      <c r="B102" t="s">
        <v>3047</v>
      </c>
      <c r="C102" s="6">
        <v>6344925589</v>
      </c>
      <c r="D102" s="6">
        <v>13354</v>
      </c>
      <c r="E102" s="6">
        <v>1803</v>
      </c>
      <c r="F102" s="6">
        <v>40195855499</v>
      </c>
      <c r="G102">
        <v>126.8</v>
      </c>
    </row>
    <row r="103" spans="1:7">
      <c r="B103" t="s">
        <v>3063</v>
      </c>
      <c r="C103" s="6">
        <v>1814091613</v>
      </c>
      <c r="D103" s="6">
        <v>6816</v>
      </c>
      <c r="E103">
        <v>920</v>
      </c>
      <c r="F103" s="6">
        <v>20515625892</v>
      </c>
      <c r="G103">
        <v>64.7</v>
      </c>
    </row>
    <row r="104" spans="1:7">
      <c r="A104" t="s">
        <v>3064</v>
      </c>
    </row>
    <row r="105" spans="1:7">
      <c r="E105" s="6"/>
      <c r="F105" s="6"/>
    </row>
    <row r="106" spans="1:7">
      <c r="E106" s="21"/>
      <c r="F106" s="21"/>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4.75"/>
  <cols>
    <col min="12" max="12" width="11.26953125" customWidth="1"/>
    <col min="13" max="13" width="11.1328125" bestFit="1" customWidth="1"/>
    <col min="14" max="14" width="11.7265625" customWidth="1"/>
    <col min="25" max="25" width="12.7265625" customWidth="1"/>
    <col min="29" max="29" width="11.1328125" customWidth="1"/>
    <col min="40" max="40" width="11.1328125" customWidth="1"/>
  </cols>
  <sheetData>
    <row r="1" spans="1:59" ht="64.25">
      <c r="A1" s="96" t="s">
        <v>673</v>
      </c>
      <c r="B1" s="96" t="s">
        <v>674</v>
      </c>
      <c r="C1" s="97" t="s">
        <v>675</v>
      </c>
      <c r="D1" s="98" t="s">
        <v>676</v>
      </c>
      <c r="E1" s="99" t="s">
        <v>677</v>
      </c>
      <c r="F1" s="100" t="s">
        <v>678</v>
      </c>
      <c r="G1" s="101" t="s">
        <v>680</v>
      </c>
      <c r="H1" s="101" t="s">
        <v>681</v>
      </c>
      <c r="I1" s="100" t="s">
        <v>682</v>
      </c>
      <c r="J1" s="100" t="s">
        <v>862</v>
      </c>
      <c r="K1" s="100" t="s">
        <v>684</v>
      </c>
      <c r="L1" s="100" t="s">
        <v>863</v>
      </c>
      <c r="M1" s="101" t="s">
        <v>864</v>
      </c>
      <c r="N1" s="101" t="s">
        <v>865</v>
      </c>
      <c r="O1" s="101" t="s">
        <v>866</v>
      </c>
      <c r="P1" s="101" t="s">
        <v>867</v>
      </c>
      <c r="Q1" s="101" t="s">
        <v>868</v>
      </c>
      <c r="R1" s="101" t="s">
        <v>869</v>
      </c>
      <c r="S1" s="101" t="s">
        <v>870</v>
      </c>
      <c r="T1" s="101" t="s">
        <v>871</v>
      </c>
      <c r="U1" s="101" t="s">
        <v>872</v>
      </c>
      <c r="V1" s="101" t="s">
        <v>873</v>
      </c>
      <c r="W1" s="101" t="s">
        <v>874</v>
      </c>
      <c r="X1" s="101" t="s">
        <v>875</v>
      </c>
      <c r="Y1" s="101" t="s">
        <v>876</v>
      </c>
      <c r="Z1" s="101" t="s">
        <v>877</v>
      </c>
      <c r="AA1" s="101" t="s">
        <v>878</v>
      </c>
      <c r="AB1" s="101" t="s">
        <v>879</v>
      </c>
      <c r="AC1" s="102" t="s">
        <v>880</v>
      </c>
      <c r="AD1" s="103" t="s">
        <v>327</v>
      </c>
      <c r="AE1" s="103" t="s">
        <v>881</v>
      </c>
      <c r="AF1" s="103" t="s">
        <v>330</v>
      </c>
      <c r="AG1" s="103" t="s">
        <v>882</v>
      </c>
      <c r="AH1" s="103" t="s">
        <v>883</v>
      </c>
      <c r="AI1" s="103" t="s">
        <v>884</v>
      </c>
      <c r="AJ1" s="103" t="s">
        <v>316</v>
      </c>
      <c r="AK1" s="103" t="s">
        <v>885</v>
      </c>
      <c r="AL1" s="103" t="s">
        <v>886</v>
      </c>
      <c r="AM1" s="103" t="s">
        <v>887</v>
      </c>
      <c r="AN1" s="103" t="s">
        <v>888</v>
      </c>
      <c r="AO1" s="103" t="s">
        <v>889</v>
      </c>
      <c r="AP1" s="103" t="s">
        <v>890</v>
      </c>
      <c r="AQ1" s="103" t="s">
        <v>891</v>
      </c>
      <c r="AR1" s="104" t="s">
        <v>892</v>
      </c>
      <c r="AS1" s="105" t="s">
        <v>893</v>
      </c>
      <c r="AT1" s="105" t="s">
        <v>894</v>
      </c>
      <c r="AU1" s="105" t="s">
        <v>895</v>
      </c>
      <c r="AV1" s="105" t="s">
        <v>896</v>
      </c>
      <c r="AW1" s="105" t="s">
        <v>897</v>
      </c>
      <c r="AX1" s="105" t="s">
        <v>898</v>
      </c>
      <c r="AY1" s="105" t="s">
        <v>899</v>
      </c>
      <c r="AZ1" s="105" t="s">
        <v>900</v>
      </c>
      <c r="BA1" s="105" t="s">
        <v>901</v>
      </c>
      <c r="BB1" s="105" t="s">
        <v>902</v>
      </c>
      <c r="BC1" s="105" t="s">
        <v>903</v>
      </c>
      <c r="BD1" s="105" t="s">
        <v>904</v>
      </c>
      <c r="BE1" s="105" t="s">
        <v>905</v>
      </c>
      <c r="BF1" s="105" t="s">
        <v>906</v>
      </c>
      <c r="BG1" s="100" t="s">
        <v>907</v>
      </c>
    </row>
    <row r="2" spans="1:59">
      <c r="A2" s="106" t="s">
        <v>723</v>
      </c>
      <c r="B2" s="106" t="s">
        <v>724</v>
      </c>
      <c r="C2" s="107" t="s">
        <v>725</v>
      </c>
      <c r="D2" s="108">
        <v>2008</v>
      </c>
      <c r="E2" s="109">
        <v>20008</v>
      </c>
      <c r="F2" s="107" t="s">
        <v>726</v>
      </c>
      <c r="G2" s="110">
        <v>18351295</v>
      </c>
      <c r="H2" s="111">
        <v>10427</v>
      </c>
      <c r="I2" s="107" t="s">
        <v>728</v>
      </c>
      <c r="J2" s="112" t="s">
        <v>729</v>
      </c>
      <c r="K2" s="112">
        <v>5413</v>
      </c>
      <c r="L2" s="113"/>
      <c r="M2" s="114">
        <v>0</v>
      </c>
      <c r="N2" s="114"/>
      <c r="O2" s="114">
        <v>0</v>
      </c>
      <c r="P2" s="114"/>
      <c r="Q2" s="114">
        <v>0</v>
      </c>
      <c r="R2" s="114"/>
      <c r="S2" s="114">
        <v>0</v>
      </c>
      <c r="T2" s="114"/>
      <c r="U2" s="114">
        <v>0</v>
      </c>
      <c r="V2" s="114"/>
      <c r="W2" s="114">
        <v>0</v>
      </c>
      <c r="X2" s="114"/>
      <c r="Y2" s="114">
        <v>1596235000</v>
      </c>
      <c r="Z2" s="114"/>
      <c r="AA2" s="111">
        <v>0</v>
      </c>
      <c r="AB2" s="115"/>
      <c r="AC2" s="116"/>
      <c r="AD2" s="115">
        <v>0</v>
      </c>
      <c r="AE2" s="115"/>
      <c r="AF2" s="115">
        <v>0</v>
      </c>
      <c r="AG2" s="115"/>
      <c r="AH2" s="115">
        <v>0</v>
      </c>
      <c r="AI2" s="115"/>
      <c r="AJ2" s="115">
        <v>0</v>
      </c>
      <c r="AK2" s="115"/>
      <c r="AL2" s="115">
        <v>0</v>
      </c>
      <c r="AM2" s="115"/>
      <c r="AN2" s="115">
        <v>335497633</v>
      </c>
      <c r="AO2" s="115"/>
      <c r="AP2" s="115">
        <v>0</v>
      </c>
      <c r="AQ2" s="106"/>
      <c r="AR2" s="117"/>
      <c r="AS2" s="118"/>
      <c r="AT2" s="118"/>
      <c r="AU2" s="118"/>
      <c r="AV2" s="118"/>
      <c r="AW2" s="118"/>
      <c r="AX2" s="118"/>
      <c r="AY2" s="118"/>
      <c r="AZ2" s="118"/>
      <c r="BA2" s="118"/>
      <c r="BB2" s="118"/>
      <c r="BC2" s="118">
        <v>0.2102</v>
      </c>
      <c r="BD2" s="118"/>
      <c r="BE2" s="118"/>
      <c r="BF2" s="106"/>
      <c r="BG2" s="106" t="s">
        <v>730</v>
      </c>
    </row>
    <row r="3" spans="1:59">
      <c r="A3" s="106" t="s">
        <v>731</v>
      </c>
      <c r="B3" s="106" t="s">
        <v>732</v>
      </c>
      <c r="C3" s="107" t="s">
        <v>733</v>
      </c>
      <c r="D3" s="108">
        <v>2080</v>
      </c>
      <c r="E3" s="109">
        <v>20080</v>
      </c>
      <c r="F3" s="107" t="s">
        <v>734</v>
      </c>
      <c r="G3" s="110">
        <v>18351295</v>
      </c>
      <c r="H3" s="111">
        <v>3646</v>
      </c>
      <c r="I3" s="107" t="s">
        <v>737</v>
      </c>
      <c r="J3" s="112" t="s">
        <v>729</v>
      </c>
      <c r="K3" s="112">
        <v>904</v>
      </c>
      <c r="L3" s="113"/>
      <c r="M3" s="114">
        <v>13166567</v>
      </c>
      <c r="N3" s="114"/>
      <c r="O3" s="114">
        <v>0</v>
      </c>
      <c r="P3" s="114"/>
      <c r="Q3" s="114">
        <v>0</v>
      </c>
      <c r="R3" s="114"/>
      <c r="S3" s="114">
        <v>0</v>
      </c>
      <c r="T3" s="114"/>
      <c r="U3" s="114">
        <v>0</v>
      </c>
      <c r="V3" s="114"/>
      <c r="W3" s="114">
        <v>0</v>
      </c>
      <c r="X3" s="114"/>
      <c r="Y3" s="114">
        <v>359673989</v>
      </c>
      <c r="Z3" s="114"/>
      <c r="AA3" s="111">
        <v>0</v>
      </c>
      <c r="AB3" s="115"/>
      <c r="AC3" s="116"/>
      <c r="AD3" s="115">
        <v>2485889</v>
      </c>
      <c r="AE3" s="115"/>
      <c r="AF3" s="115">
        <v>0</v>
      </c>
      <c r="AG3" s="115"/>
      <c r="AH3" s="115">
        <v>0</v>
      </c>
      <c r="AI3" s="115"/>
      <c r="AJ3" s="115">
        <v>0</v>
      </c>
      <c r="AK3" s="115"/>
      <c r="AL3" s="115">
        <v>1663636</v>
      </c>
      <c r="AM3" s="115"/>
      <c r="AN3" s="115">
        <v>8381067</v>
      </c>
      <c r="AO3" s="115"/>
      <c r="AP3" s="115">
        <v>0</v>
      </c>
      <c r="AQ3" s="106"/>
      <c r="AR3" s="117"/>
      <c r="AS3" s="118">
        <v>0.1888</v>
      </c>
      <c r="AT3" s="118"/>
      <c r="AU3" s="118"/>
      <c r="AV3" s="118"/>
      <c r="AW3" s="118"/>
      <c r="AX3" s="118"/>
      <c r="AY3" s="118"/>
      <c r="AZ3" s="118"/>
      <c r="BA3" s="118"/>
      <c r="BB3" s="118"/>
      <c r="BC3" s="118">
        <v>2.3300000000000001E-2</v>
      </c>
      <c r="BD3" s="118"/>
      <c r="BE3" s="118"/>
      <c r="BF3" s="106"/>
      <c r="BG3" s="106" t="s">
        <v>730</v>
      </c>
    </row>
    <row r="4" spans="1:59">
      <c r="A4" s="106" t="s">
        <v>731</v>
      </c>
      <c r="B4" s="106" t="s">
        <v>732</v>
      </c>
      <c r="C4" s="107" t="s">
        <v>733</v>
      </c>
      <c r="D4" s="108">
        <v>2080</v>
      </c>
      <c r="E4" s="109">
        <v>20080</v>
      </c>
      <c r="F4" s="107" t="s">
        <v>734</v>
      </c>
      <c r="G4" s="110">
        <v>18351295</v>
      </c>
      <c r="H4" s="111">
        <v>3646</v>
      </c>
      <c r="I4" s="107" t="s">
        <v>735</v>
      </c>
      <c r="J4" s="112" t="s">
        <v>736</v>
      </c>
      <c r="K4" s="112">
        <v>42</v>
      </c>
      <c r="L4" s="113"/>
      <c r="M4" s="114">
        <v>0</v>
      </c>
      <c r="N4" s="114"/>
      <c r="O4" s="114">
        <v>0</v>
      </c>
      <c r="P4" s="114"/>
      <c r="Q4" s="114">
        <v>0</v>
      </c>
      <c r="R4" s="114"/>
      <c r="S4" s="114">
        <v>0</v>
      </c>
      <c r="T4" s="114"/>
      <c r="U4" s="114">
        <v>0</v>
      </c>
      <c r="V4" s="114"/>
      <c r="W4" s="114">
        <v>0</v>
      </c>
      <c r="X4" s="114"/>
      <c r="Y4" s="114">
        <v>27163871</v>
      </c>
      <c r="Z4" s="114"/>
      <c r="AA4" s="111">
        <v>0</v>
      </c>
      <c r="AB4" s="115"/>
      <c r="AC4" s="116"/>
      <c r="AD4" s="115">
        <v>0</v>
      </c>
      <c r="AE4" s="115"/>
      <c r="AF4" s="115">
        <v>0</v>
      </c>
      <c r="AG4" s="115"/>
      <c r="AH4" s="115">
        <v>0</v>
      </c>
      <c r="AI4" s="115"/>
      <c r="AJ4" s="115">
        <v>0</v>
      </c>
      <c r="AK4" s="115"/>
      <c r="AL4" s="115">
        <v>0</v>
      </c>
      <c r="AM4" s="115"/>
      <c r="AN4" s="115">
        <v>2073346</v>
      </c>
      <c r="AO4" s="115"/>
      <c r="AP4" s="115">
        <v>0</v>
      </c>
      <c r="AQ4" s="106"/>
      <c r="AR4" s="117"/>
      <c r="AS4" s="118"/>
      <c r="AT4" s="118"/>
      <c r="AU4" s="118"/>
      <c r="AV4" s="118"/>
      <c r="AW4" s="118"/>
      <c r="AX4" s="118"/>
      <c r="AY4" s="118"/>
      <c r="AZ4" s="118"/>
      <c r="BA4" s="118"/>
      <c r="BB4" s="118"/>
      <c r="BC4" s="118">
        <v>7.6300000000000007E-2</v>
      </c>
      <c r="BD4" s="118"/>
      <c r="BE4" s="118"/>
      <c r="BF4" s="106"/>
      <c r="BG4" s="106" t="s">
        <v>730</v>
      </c>
    </row>
    <row r="5" spans="1:59">
      <c r="A5" s="106" t="s">
        <v>731</v>
      </c>
      <c r="B5" s="106" t="s">
        <v>732</v>
      </c>
      <c r="C5" s="107" t="s">
        <v>733</v>
      </c>
      <c r="D5" s="108">
        <v>2080</v>
      </c>
      <c r="E5" s="109">
        <v>20080</v>
      </c>
      <c r="F5" s="107" t="s">
        <v>734</v>
      </c>
      <c r="G5" s="110">
        <v>18351295</v>
      </c>
      <c r="H5" s="111">
        <v>3646</v>
      </c>
      <c r="I5" s="107" t="s">
        <v>735</v>
      </c>
      <c r="J5" s="112" t="s">
        <v>729</v>
      </c>
      <c r="K5" s="112">
        <v>15</v>
      </c>
      <c r="L5" s="113"/>
      <c r="M5" s="114">
        <v>0</v>
      </c>
      <c r="N5" s="114"/>
      <c r="O5" s="114">
        <v>0</v>
      </c>
      <c r="P5" s="114"/>
      <c r="Q5" s="114">
        <v>0</v>
      </c>
      <c r="R5" s="114"/>
      <c r="S5" s="114">
        <v>0</v>
      </c>
      <c r="T5" s="114"/>
      <c r="U5" s="114">
        <v>0</v>
      </c>
      <c r="V5" s="114"/>
      <c r="W5" s="114">
        <v>0</v>
      </c>
      <c r="X5" s="114"/>
      <c r="Y5" s="114">
        <v>6694675</v>
      </c>
      <c r="Z5" s="114"/>
      <c r="AA5" s="111">
        <v>0</v>
      </c>
      <c r="AB5" s="115"/>
      <c r="AC5" s="116"/>
      <c r="AD5" s="115">
        <v>0</v>
      </c>
      <c r="AE5" s="115"/>
      <c r="AF5" s="115">
        <v>0</v>
      </c>
      <c r="AG5" s="115"/>
      <c r="AH5" s="115">
        <v>0</v>
      </c>
      <c r="AI5" s="115"/>
      <c r="AJ5" s="115">
        <v>0</v>
      </c>
      <c r="AK5" s="115"/>
      <c r="AL5" s="115">
        <v>0</v>
      </c>
      <c r="AM5" s="115"/>
      <c r="AN5" s="115">
        <v>492775</v>
      </c>
      <c r="AO5" s="115"/>
      <c r="AP5" s="115">
        <v>0</v>
      </c>
      <c r="AQ5" s="106"/>
      <c r="AR5" s="117"/>
      <c r="AS5" s="118"/>
      <c r="AT5" s="118"/>
      <c r="AU5" s="118"/>
      <c r="AV5" s="118"/>
      <c r="AW5" s="118"/>
      <c r="AX5" s="118"/>
      <c r="AY5" s="118"/>
      <c r="AZ5" s="118"/>
      <c r="BA5" s="118"/>
      <c r="BB5" s="118"/>
      <c r="BC5" s="118">
        <v>7.3599999999999999E-2</v>
      </c>
      <c r="BD5" s="118"/>
      <c r="BE5" s="118"/>
      <c r="BF5" s="106"/>
      <c r="BG5" s="106" t="s">
        <v>730</v>
      </c>
    </row>
    <row r="6" spans="1:59">
      <c r="A6" s="106" t="s">
        <v>738</v>
      </c>
      <c r="B6" s="106" t="s">
        <v>739</v>
      </c>
      <c r="C6" s="107" t="s">
        <v>740</v>
      </c>
      <c r="D6" s="108">
        <v>9154</v>
      </c>
      <c r="E6" s="109">
        <v>90154</v>
      </c>
      <c r="F6" s="107" t="s">
        <v>741</v>
      </c>
      <c r="G6" s="110">
        <v>12150996</v>
      </c>
      <c r="H6" s="111">
        <v>3482</v>
      </c>
      <c r="I6" s="107" t="s">
        <v>728</v>
      </c>
      <c r="J6" s="112" t="s">
        <v>729</v>
      </c>
      <c r="K6" s="112">
        <v>68</v>
      </c>
      <c r="L6" s="113"/>
      <c r="M6" s="114">
        <v>0</v>
      </c>
      <c r="N6" s="114"/>
      <c r="O6" s="114">
        <v>0</v>
      </c>
      <c r="P6" s="114"/>
      <c r="Q6" s="114">
        <v>0</v>
      </c>
      <c r="R6" s="114"/>
      <c r="S6" s="114">
        <v>0</v>
      </c>
      <c r="T6" s="114"/>
      <c r="U6" s="114">
        <v>0</v>
      </c>
      <c r="V6" s="114"/>
      <c r="W6" s="114">
        <v>0</v>
      </c>
      <c r="X6" s="114"/>
      <c r="Y6" s="114">
        <v>82163176</v>
      </c>
      <c r="Z6" s="114"/>
      <c r="AA6" s="111">
        <v>0</v>
      </c>
      <c r="AB6" s="115"/>
      <c r="AC6" s="116"/>
      <c r="AD6" s="115">
        <v>0</v>
      </c>
      <c r="AE6" s="115"/>
      <c r="AF6" s="115">
        <v>0</v>
      </c>
      <c r="AG6" s="115"/>
      <c r="AH6" s="115">
        <v>0</v>
      </c>
      <c r="AI6" s="115"/>
      <c r="AJ6" s="115">
        <v>0</v>
      </c>
      <c r="AK6" s="115"/>
      <c r="AL6" s="115">
        <v>0</v>
      </c>
      <c r="AM6" s="115"/>
      <c r="AN6" s="115">
        <v>6909214</v>
      </c>
      <c r="AO6" s="115"/>
      <c r="AP6" s="115">
        <v>0</v>
      </c>
      <c r="AQ6" s="106"/>
      <c r="AR6" s="117"/>
      <c r="AS6" s="118"/>
      <c r="AT6" s="118"/>
      <c r="AU6" s="118"/>
      <c r="AV6" s="118"/>
      <c r="AW6" s="118"/>
      <c r="AX6" s="118"/>
      <c r="AY6" s="118"/>
      <c r="AZ6" s="118"/>
      <c r="BA6" s="118"/>
      <c r="BB6" s="118"/>
      <c r="BC6" s="118">
        <v>8.4099999999999994E-2</v>
      </c>
      <c r="BD6" s="118"/>
      <c r="BE6" s="118"/>
      <c r="BF6" s="106"/>
      <c r="BG6" s="106" t="s">
        <v>730</v>
      </c>
    </row>
    <row r="7" spans="1:59">
      <c r="A7" s="106" t="s">
        <v>738</v>
      </c>
      <c r="B7" s="106" t="s">
        <v>739</v>
      </c>
      <c r="C7" s="107" t="s">
        <v>740</v>
      </c>
      <c r="D7" s="108">
        <v>9154</v>
      </c>
      <c r="E7" s="109">
        <v>90154</v>
      </c>
      <c r="F7" s="107" t="s">
        <v>741</v>
      </c>
      <c r="G7" s="110">
        <v>12150996</v>
      </c>
      <c r="H7" s="111">
        <v>3482</v>
      </c>
      <c r="I7" s="107" t="s">
        <v>735</v>
      </c>
      <c r="J7" s="112" t="s">
        <v>729</v>
      </c>
      <c r="K7" s="112">
        <v>203</v>
      </c>
      <c r="L7" s="113"/>
      <c r="M7" s="114">
        <v>0</v>
      </c>
      <c r="N7" s="114"/>
      <c r="O7" s="114">
        <v>0</v>
      </c>
      <c r="P7" s="114"/>
      <c r="Q7" s="114">
        <v>0</v>
      </c>
      <c r="R7" s="114"/>
      <c r="S7" s="114">
        <v>0</v>
      </c>
      <c r="T7" s="114"/>
      <c r="U7" s="114">
        <v>0</v>
      </c>
      <c r="V7" s="114"/>
      <c r="W7" s="114">
        <v>0</v>
      </c>
      <c r="X7" s="114"/>
      <c r="Y7" s="114">
        <v>144995154</v>
      </c>
      <c r="Z7" s="114"/>
      <c r="AA7" s="111">
        <v>0</v>
      </c>
      <c r="AB7" s="115"/>
      <c r="AC7" s="116"/>
      <c r="AD7" s="115">
        <v>0</v>
      </c>
      <c r="AE7" s="115"/>
      <c r="AF7" s="115">
        <v>0</v>
      </c>
      <c r="AG7" s="115"/>
      <c r="AH7" s="115">
        <v>0</v>
      </c>
      <c r="AI7" s="115"/>
      <c r="AJ7" s="115">
        <v>0</v>
      </c>
      <c r="AK7" s="115"/>
      <c r="AL7" s="115">
        <v>0</v>
      </c>
      <c r="AM7" s="115"/>
      <c r="AN7" s="115">
        <v>16469107</v>
      </c>
      <c r="AO7" s="115"/>
      <c r="AP7" s="115">
        <v>0</v>
      </c>
      <c r="AQ7" s="106"/>
      <c r="AR7" s="117"/>
      <c r="AS7" s="118"/>
      <c r="AT7" s="118"/>
      <c r="AU7" s="118"/>
      <c r="AV7" s="118"/>
      <c r="AW7" s="118"/>
      <c r="AX7" s="118"/>
      <c r="AY7" s="118"/>
      <c r="AZ7" s="118"/>
      <c r="BA7" s="118"/>
      <c r="BB7" s="118"/>
      <c r="BC7" s="118">
        <v>0.11360000000000001</v>
      </c>
      <c r="BD7" s="118"/>
      <c r="BE7" s="118"/>
      <c r="BF7" s="106"/>
      <c r="BG7" s="106" t="s">
        <v>730</v>
      </c>
    </row>
    <row r="8" spans="1:59">
      <c r="A8" s="106" t="s">
        <v>742</v>
      </c>
      <c r="B8" s="106" t="s">
        <v>743</v>
      </c>
      <c r="C8" s="107" t="s">
        <v>744</v>
      </c>
      <c r="D8" s="108">
        <v>3030</v>
      </c>
      <c r="E8" s="109">
        <v>30030</v>
      </c>
      <c r="F8" s="107" t="s">
        <v>741</v>
      </c>
      <c r="G8" s="110">
        <v>4586770</v>
      </c>
      <c r="H8" s="111">
        <v>3304</v>
      </c>
      <c r="I8" s="107" t="s">
        <v>728</v>
      </c>
      <c r="J8" s="112" t="s">
        <v>729</v>
      </c>
      <c r="K8" s="112">
        <v>998</v>
      </c>
      <c r="L8" s="113"/>
      <c r="M8" s="114">
        <v>0</v>
      </c>
      <c r="N8" s="114"/>
      <c r="O8" s="114">
        <v>0</v>
      </c>
      <c r="P8" s="114"/>
      <c r="Q8" s="114">
        <v>0</v>
      </c>
      <c r="R8" s="114"/>
      <c r="S8" s="114">
        <v>0</v>
      </c>
      <c r="T8" s="114"/>
      <c r="U8" s="114">
        <v>0</v>
      </c>
      <c r="V8" s="114"/>
      <c r="W8" s="114">
        <v>0</v>
      </c>
      <c r="X8" s="114"/>
      <c r="Y8" s="114">
        <v>576455528</v>
      </c>
      <c r="Z8" s="114"/>
      <c r="AA8" s="111">
        <v>0</v>
      </c>
      <c r="AB8" s="115"/>
      <c r="AC8" s="116"/>
      <c r="AD8" s="115">
        <v>0</v>
      </c>
      <c r="AE8" s="115"/>
      <c r="AF8" s="115">
        <v>0</v>
      </c>
      <c r="AG8" s="115"/>
      <c r="AH8" s="115">
        <v>0</v>
      </c>
      <c r="AI8" s="115"/>
      <c r="AJ8" s="115">
        <v>0</v>
      </c>
      <c r="AK8" s="115"/>
      <c r="AL8" s="115">
        <v>0</v>
      </c>
      <c r="AM8" s="115"/>
      <c r="AN8" s="115">
        <v>64920984</v>
      </c>
      <c r="AO8" s="115"/>
      <c r="AP8" s="115">
        <v>0</v>
      </c>
      <c r="AQ8" s="106"/>
      <c r="AR8" s="117"/>
      <c r="AS8" s="118"/>
      <c r="AT8" s="118"/>
      <c r="AU8" s="118"/>
      <c r="AV8" s="118"/>
      <c r="AW8" s="118"/>
      <c r="AX8" s="118"/>
      <c r="AY8" s="118"/>
      <c r="AZ8" s="118"/>
      <c r="BA8" s="118"/>
      <c r="BB8" s="118"/>
      <c r="BC8" s="118">
        <v>0.11260000000000001</v>
      </c>
      <c r="BD8" s="118"/>
      <c r="BE8" s="118"/>
      <c r="BF8" s="106"/>
      <c r="BG8" s="106" t="s">
        <v>730</v>
      </c>
    </row>
    <row r="9" spans="1:59">
      <c r="A9" s="106" t="s">
        <v>745</v>
      </c>
      <c r="B9" s="106" t="s">
        <v>746</v>
      </c>
      <c r="C9" s="107" t="s">
        <v>747</v>
      </c>
      <c r="D9" s="108">
        <v>5066</v>
      </c>
      <c r="E9" s="109">
        <v>50066</v>
      </c>
      <c r="F9" s="107" t="s">
        <v>741</v>
      </c>
      <c r="G9" s="110">
        <v>8608208</v>
      </c>
      <c r="H9" s="111">
        <v>2703</v>
      </c>
      <c r="I9" s="107" t="s">
        <v>728</v>
      </c>
      <c r="J9" s="112" t="s">
        <v>729</v>
      </c>
      <c r="K9" s="112">
        <v>1148</v>
      </c>
      <c r="L9" s="113"/>
      <c r="M9" s="114">
        <v>0</v>
      </c>
      <c r="N9" s="114"/>
      <c r="O9" s="114">
        <v>0</v>
      </c>
      <c r="P9" s="114"/>
      <c r="Q9" s="114">
        <v>0</v>
      </c>
      <c r="R9" s="114"/>
      <c r="S9" s="114">
        <v>0</v>
      </c>
      <c r="T9" s="114"/>
      <c r="U9" s="114">
        <v>0</v>
      </c>
      <c r="V9" s="114"/>
      <c r="W9" s="114">
        <v>0</v>
      </c>
      <c r="X9" s="114"/>
      <c r="Y9" s="114">
        <v>366545522</v>
      </c>
      <c r="Z9" s="114"/>
      <c r="AA9" s="111">
        <v>0</v>
      </c>
      <c r="AB9" s="115"/>
      <c r="AC9" s="116"/>
      <c r="AD9" s="115">
        <v>0</v>
      </c>
      <c r="AE9" s="115"/>
      <c r="AF9" s="115">
        <v>0</v>
      </c>
      <c r="AG9" s="115"/>
      <c r="AH9" s="115">
        <v>0</v>
      </c>
      <c r="AI9" s="115"/>
      <c r="AJ9" s="115">
        <v>0</v>
      </c>
      <c r="AK9" s="115"/>
      <c r="AL9" s="115">
        <v>0</v>
      </c>
      <c r="AM9" s="115"/>
      <c r="AN9" s="115">
        <v>63157258</v>
      </c>
      <c r="AO9" s="115"/>
      <c r="AP9" s="115">
        <v>0</v>
      </c>
      <c r="AQ9" s="106"/>
      <c r="AR9" s="117"/>
      <c r="AS9" s="118"/>
      <c r="AT9" s="118"/>
      <c r="AU9" s="118"/>
      <c r="AV9" s="118"/>
      <c r="AW9" s="118"/>
      <c r="AX9" s="118"/>
      <c r="AY9" s="118"/>
      <c r="AZ9" s="118"/>
      <c r="BA9" s="118"/>
      <c r="BB9" s="118"/>
      <c r="BC9" s="118">
        <v>0.17230000000000001</v>
      </c>
      <c r="BD9" s="118"/>
      <c r="BE9" s="118"/>
      <c r="BF9" s="106"/>
      <c r="BG9" s="106" t="s">
        <v>730</v>
      </c>
    </row>
    <row r="10" spans="1:59">
      <c r="A10" s="106" t="s">
        <v>750</v>
      </c>
      <c r="B10" s="106" t="s">
        <v>751</v>
      </c>
      <c r="C10" s="107" t="s">
        <v>752</v>
      </c>
      <c r="D10" s="108">
        <v>1003</v>
      </c>
      <c r="E10" s="109">
        <v>10003</v>
      </c>
      <c r="F10" s="107" t="s">
        <v>741</v>
      </c>
      <c r="G10" s="110">
        <v>4181019</v>
      </c>
      <c r="H10" s="111">
        <v>2428</v>
      </c>
      <c r="I10" s="107" t="s">
        <v>737</v>
      </c>
      <c r="J10" s="112" t="s">
        <v>736</v>
      </c>
      <c r="K10" s="112">
        <v>436</v>
      </c>
      <c r="L10" s="113"/>
      <c r="M10" s="114">
        <v>13360985</v>
      </c>
      <c r="N10" s="114"/>
      <c r="O10" s="114">
        <v>0</v>
      </c>
      <c r="P10" s="114"/>
      <c r="Q10" s="114">
        <v>0</v>
      </c>
      <c r="R10" s="114"/>
      <c r="S10" s="114">
        <v>0</v>
      </c>
      <c r="T10" s="114"/>
      <c r="U10" s="114">
        <v>0</v>
      </c>
      <c r="V10" s="114"/>
      <c r="W10" s="114">
        <v>0</v>
      </c>
      <c r="X10" s="114"/>
      <c r="Y10" s="114">
        <v>0</v>
      </c>
      <c r="Z10" s="114"/>
      <c r="AA10" s="111">
        <v>0</v>
      </c>
      <c r="AB10" s="115"/>
      <c r="AC10" s="116"/>
      <c r="AD10" s="115">
        <v>4339139</v>
      </c>
      <c r="AE10" s="115"/>
      <c r="AF10" s="115">
        <v>0</v>
      </c>
      <c r="AG10" s="115"/>
      <c r="AH10" s="115">
        <v>0</v>
      </c>
      <c r="AI10" s="115"/>
      <c r="AJ10" s="115">
        <v>0</v>
      </c>
      <c r="AK10" s="115"/>
      <c r="AL10" s="115">
        <v>0</v>
      </c>
      <c r="AM10" s="115"/>
      <c r="AN10" s="115">
        <v>0</v>
      </c>
      <c r="AO10" s="115"/>
      <c r="AP10" s="115">
        <v>0</v>
      </c>
      <c r="AQ10" s="106"/>
      <c r="AR10" s="117"/>
      <c r="AS10" s="118">
        <v>0.32479999999999998</v>
      </c>
      <c r="AT10" s="118"/>
      <c r="AU10" s="118"/>
      <c r="AV10" s="118"/>
      <c r="AW10" s="118"/>
      <c r="AX10" s="118"/>
      <c r="AY10" s="118"/>
      <c r="AZ10" s="118"/>
      <c r="BA10" s="118"/>
      <c r="BB10" s="118"/>
      <c r="BC10" s="118"/>
      <c r="BD10" s="118"/>
      <c r="BE10" s="118"/>
      <c r="BF10" s="106"/>
      <c r="BG10" s="106" t="s">
        <v>730</v>
      </c>
    </row>
    <row r="11" spans="1:59">
      <c r="A11" s="106" t="s">
        <v>750</v>
      </c>
      <c r="B11" s="106" t="s">
        <v>751</v>
      </c>
      <c r="C11" s="107" t="s">
        <v>752</v>
      </c>
      <c r="D11" s="108">
        <v>1003</v>
      </c>
      <c r="E11" s="109">
        <v>10003</v>
      </c>
      <c r="F11" s="107" t="s">
        <v>741</v>
      </c>
      <c r="G11" s="110">
        <v>4181019</v>
      </c>
      <c r="H11" s="111">
        <v>2428</v>
      </c>
      <c r="I11" s="107" t="s">
        <v>728</v>
      </c>
      <c r="J11" s="112" t="s">
        <v>729</v>
      </c>
      <c r="K11" s="112">
        <v>338</v>
      </c>
      <c r="L11" s="113"/>
      <c r="M11" s="114">
        <v>0</v>
      </c>
      <c r="N11" s="114"/>
      <c r="O11" s="114">
        <v>0</v>
      </c>
      <c r="P11" s="114"/>
      <c r="Q11" s="114">
        <v>0</v>
      </c>
      <c r="R11" s="114"/>
      <c r="S11" s="114">
        <v>0</v>
      </c>
      <c r="T11" s="114"/>
      <c r="U11" s="114">
        <v>0</v>
      </c>
      <c r="V11" s="114"/>
      <c r="W11" s="114">
        <v>0</v>
      </c>
      <c r="X11" s="114"/>
      <c r="Y11" s="114">
        <v>178406868</v>
      </c>
      <c r="Z11" s="114"/>
      <c r="AA11" s="111">
        <v>0</v>
      </c>
      <c r="AB11" s="115"/>
      <c r="AC11" s="116"/>
      <c r="AD11" s="115">
        <v>0</v>
      </c>
      <c r="AE11" s="115"/>
      <c r="AF11" s="115">
        <v>0</v>
      </c>
      <c r="AG11" s="115"/>
      <c r="AH11" s="115">
        <v>0</v>
      </c>
      <c r="AI11" s="115"/>
      <c r="AJ11" s="115">
        <v>0</v>
      </c>
      <c r="AK11" s="115"/>
      <c r="AL11" s="115">
        <v>0</v>
      </c>
      <c r="AM11" s="115"/>
      <c r="AN11" s="115">
        <v>22078161</v>
      </c>
      <c r="AO11" s="115"/>
      <c r="AP11" s="115">
        <v>0</v>
      </c>
      <c r="AQ11" s="106"/>
      <c r="AR11" s="117"/>
      <c r="AS11" s="118"/>
      <c r="AT11" s="118"/>
      <c r="AU11" s="118"/>
      <c r="AV11" s="118"/>
      <c r="AW11" s="118"/>
      <c r="AX11" s="118"/>
      <c r="AY11" s="118"/>
      <c r="AZ11" s="118"/>
      <c r="BA11" s="118"/>
      <c r="BB11" s="118"/>
      <c r="BC11" s="118">
        <v>0.12379999999999999</v>
      </c>
      <c r="BD11" s="118"/>
      <c r="BE11" s="118"/>
      <c r="BF11" s="106"/>
      <c r="BG11" s="106" t="s">
        <v>730</v>
      </c>
    </row>
    <row r="12" spans="1:59">
      <c r="A12" s="106" t="s">
        <v>750</v>
      </c>
      <c r="B12" s="106" t="s">
        <v>751</v>
      </c>
      <c r="C12" s="107" t="s">
        <v>752</v>
      </c>
      <c r="D12" s="108">
        <v>1003</v>
      </c>
      <c r="E12" s="109">
        <v>10003</v>
      </c>
      <c r="F12" s="107" t="s">
        <v>741</v>
      </c>
      <c r="G12" s="110">
        <v>4181019</v>
      </c>
      <c r="H12" s="111">
        <v>2428</v>
      </c>
      <c r="I12" s="107" t="s">
        <v>735</v>
      </c>
      <c r="J12" s="112" t="s">
        <v>729</v>
      </c>
      <c r="K12" s="112">
        <v>154</v>
      </c>
      <c r="L12" s="113"/>
      <c r="M12" s="114">
        <v>0</v>
      </c>
      <c r="N12" s="114"/>
      <c r="O12" s="114">
        <v>0</v>
      </c>
      <c r="P12" s="114"/>
      <c r="Q12" s="114">
        <v>0</v>
      </c>
      <c r="R12" s="114"/>
      <c r="S12" s="114">
        <v>0</v>
      </c>
      <c r="T12" s="114"/>
      <c r="U12" s="114">
        <v>0</v>
      </c>
      <c r="V12" s="114"/>
      <c r="W12" s="114">
        <v>0</v>
      </c>
      <c r="X12" s="114"/>
      <c r="Y12" s="114">
        <v>46803331</v>
      </c>
      <c r="Z12" s="114"/>
      <c r="AA12" s="111">
        <v>0</v>
      </c>
      <c r="AB12" s="115"/>
      <c r="AC12" s="116"/>
      <c r="AD12" s="115">
        <v>0</v>
      </c>
      <c r="AE12" s="115"/>
      <c r="AF12" s="115">
        <v>0</v>
      </c>
      <c r="AG12" s="115"/>
      <c r="AH12" s="115">
        <v>0</v>
      </c>
      <c r="AI12" s="115"/>
      <c r="AJ12" s="115">
        <v>0</v>
      </c>
      <c r="AK12" s="115"/>
      <c r="AL12" s="115">
        <v>0</v>
      </c>
      <c r="AM12" s="115"/>
      <c r="AN12" s="115">
        <v>5523588</v>
      </c>
      <c r="AO12" s="115"/>
      <c r="AP12" s="115">
        <v>0</v>
      </c>
      <c r="AQ12" s="106"/>
      <c r="AR12" s="117"/>
      <c r="AS12" s="118"/>
      <c r="AT12" s="118"/>
      <c r="AU12" s="118"/>
      <c r="AV12" s="118"/>
      <c r="AW12" s="118"/>
      <c r="AX12" s="118"/>
      <c r="AY12" s="118"/>
      <c r="AZ12" s="118"/>
      <c r="BA12" s="118"/>
      <c r="BB12" s="118"/>
      <c r="BC12" s="118">
        <v>0.11799999999999999</v>
      </c>
      <c r="BD12" s="118"/>
      <c r="BE12" s="118"/>
      <c r="BF12" s="106"/>
      <c r="BG12" s="106" t="s">
        <v>730</v>
      </c>
    </row>
    <row r="13" spans="1:59">
      <c r="A13" s="106" t="s">
        <v>754</v>
      </c>
      <c r="B13" s="106" t="s">
        <v>755</v>
      </c>
      <c r="C13" s="107" t="s">
        <v>756</v>
      </c>
      <c r="D13" s="108">
        <v>3019</v>
      </c>
      <c r="E13" s="109">
        <v>30019</v>
      </c>
      <c r="F13" s="107" t="s">
        <v>741</v>
      </c>
      <c r="G13" s="110">
        <v>5441567</v>
      </c>
      <c r="H13" s="111">
        <v>2406</v>
      </c>
      <c r="I13" s="107" t="s">
        <v>737</v>
      </c>
      <c r="J13" s="112" t="s">
        <v>729</v>
      </c>
      <c r="K13" s="112">
        <v>357</v>
      </c>
      <c r="L13" s="113"/>
      <c r="M13" s="114">
        <v>0</v>
      </c>
      <c r="N13" s="114"/>
      <c r="O13" s="114">
        <v>0</v>
      </c>
      <c r="P13" s="114"/>
      <c r="Q13" s="114">
        <v>0</v>
      </c>
      <c r="R13" s="114"/>
      <c r="S13" s="114">
        <v>0</v>
      </c>
      <c r="T13" s="114"/>
      <c r="U13" s="114">
        <v>0</v>
      </c>
      <c r="V13" s="114"/>
      <c r="W13" s="114">
        <v>0</v>
      </c>
      <c r="X13" s="114"/>
      <c r="Y13" s="114">
        <v>190958248</v>
      </c>
      <c r="Z13" s="114"/>
      <c r="AA13" s="111">
        <v>0</v>
      </c>
      <c r="AB13" s="115"/>
      <c r="AC13" s="116"/>
      <c r="AD13" s="115">
        <v>0</v>
      </c>
      <c r="AE13" s="115"/>
      <c r="AF13" s="115">
        <v>0</v>
      </c>
      <c r="AG13" s="115"/>
      <c r="AH13" s="115">
        <v>0</v>
      </c>
      <c r="AI13" s="115"/>
      <c r="AJ13" s="115">
        <v>0</v>
      </c>
      <c r="AK13" s="115"/>
      <c r="AL13" s="115">
        <v>0</v>
      </c>
      <c r="AM13" s="115"/>
      <c r="AN13" s="115">
        <v>15598066</v>
      </c>
      <c r="AO13" s="115"/>
      <c r="AP13" s="115">
        <v>0</v>
      </c>
      <c r="AQ13" s="106"/>
      <c r="AR13" s="117"/>
      <c r="AS13" s="118"/>
      <c r="AT13" s="118"/>
      <c r="AU13" s="118"/>
      <c r="AV13" s="118"/>
      <c r="AW13" s="118"/>
      <c r="AX13" s="118"/>
      <c r="AY13" s="118"/>
      <c r="AZ13" s="118"/>
      <c r="BA13" s="118"/>
      <c r="BB13" s="118"/>
      <c r="BC13" s="118">
        <v>8.1699999999999995E-2</v>
      </c>
      <c r="BD13" s="118"/>
      <c r="BE13" s="118"/>
      <c r="BF13" s="106"/>
      <c r="BG13" s="106" t="s">
        <v>730</v>
      </c>
    </row>
    <row r="14" spans="1:59">
      <c r="A14" s="106" t="s">
        <v>754</v>
      </c>
      <c r="B14" s="106" t="s">
        <v>755</v>
      </c>
      <c r="C14" s="107" t="s">
        <v>756</v>
      </c>
      <c r="D14" s="108">
        <v>3019</v>
      </c>
      <c r="E14" s="109">
        <v>30019</v>
      </c>
      <c r="F14" s="107" t="s">
        <v>741</v>
      </c>
      <c r="G14" s="110">
        <v>5441567</v>
      </c>
      <c r="H14" s="111">
        <v>2406</v>
      </c>
      <c r="I14" s="107" t="s">
        <v>728</v>
      </c>
      <c r="J14" s="112" t="s">
        <v>729</v>
      </c>
      <c r="K14" s="112">
        <v>286</v>
      </c>
      <c r="L14" s="113"/>
      <c r="M14" s="114">
        <v>0</v>
      </c>
      <c r="N14" s="114"/>
      <c r="O14" s="114">
        <v>0</v>
      </c>
      <c r="P14" s="114"/>
      <c r="Q14" s="114">
        <v>0</v>
      </c>
      <c r="R14" s="114"/>
      <c r="S14" s="114">
        <v>0</v>
      </c>
      <c r="T14" s="114"/>
      <c r="U14" s="114">
        <v>0</v>
      </c>
      <c r="V14" s="114"/>
      <c r="W14" s="114">
        <v>0</v>
      </c>
      <c r="X14" s="114"/>
      <c r="Y14" s="114">
        <v>125067726</v>
      </c>
      <c r="Z14" s="114"/>
      <c r="AA14" s="111">
        <v>0</v>
      </c>
      <c r="AB14" s="115"/>
      <c r="AC14" s="116"/>
      <c r="AD14" s="115">
        <v>0</v>
      </c>
      <c r="AE14" s="115"/>
      <c r="AF14" s="115">
        <v>0</v>
      </c>
      <c r="AG14" s="115"/>
      <c r="AH14" s="115">
        <v>0</v>
      </c>
      <c r="AI14" s="115"/>
      <c r="AJ14" s="115">
        <v>0</v>
      </c>
      <c r="AK14" s="115"/>
      <c r="AL14" s="115">
        <v>0</v>
      </c>
      <c r="AM14" s="115"/>
      <c r="AN14" s="115">
        <v>14000061</v>
      </c>
      <c r="AO14" s="115"/>
      <c r="AP14" s="115">
        <v>0</v>
      </c>
      <c r="AQ14" s="106"/>
      <c r="AR14" s="117"/>
      <c r="AS14" s="118"/>
      <c r="AT14" s="118"/>
      <c r="AU14" s="118"/>
      <c r="AV14" s="118"/>
      <c r="AW14" s="118"/>
      <c r="AX14" s="118"/>
      <c r="AY14" s="118"/>
      <c r="AZ14" s="118"/>
      <c r="BA14" s="118"/>
      <c r="BB14" s="118"/>
      <c r="BC14" s="118">
        <v>0.1119</v>
      </c>
      <c r="BD14" s="118"/>
      <c r="BE14" s="118"/>
      <c r="BF14" s="106"/>
      <c r="BG14" s="106" t="s">
        <v>730</v>
      </c>
    </row>
    <row r="15" spans="1:59">
      <c r="A15" s="106" t="s">
        <v>757</v>
      </c>
      <c r="B15" s="106" t="s">
        <v>758</v>
      </c>
      <c r="C15" s="107" t="s">
        <v>759</v>
      </c>
      <c r="D15" s="108">
        <v>6008</v>
      </c>
      <c r="E15" s="109">
        <v>60008</v>
      </c>
      <c r="F15" s="107" t="s">
        <v>741</v>
      </c>
      <c r="G15" s="110">
        <v>4944332</v>
      </c>
      <c r="H15" s="111">
        <v>2157</v>
      </c>
      <c r="I15" s="107" t="s">
        <v>735</v>
      </c>
      <c r="J15" s="112" t="s">
        <v>729</v>
      </c>
      <c r="K15" s="112">
        <v>56</v>
      </c>
      <c r="L15" s="113"/>
      <c r="M15" s="114">
        <v>0</v>
      </c>
      <c r="N15" s="114"/>
      <c r="O15" s="114">
        <v>0</v>
      </c>
      <c r="P15" s="114"/>
      <c r="Q15" s="114">
        <v>0</v>
      </c>
      <c r="R15" s="114"/>
      <c r="S15" s="114">
        <v>0</v>
      </c>
      <c r="T15" s="114"/>
      <c r="U15" s="114">
        <v>0</v>
      </c>
      <c r="V15" s="114"/>
      <c r="W15" s="114">
        <v>0</v>
      </c>
      <c r="X15" s="114"/>
      <c r="Y15" s="114">
        <v>20764234</v>
      </c>
      <c r="Z15" s="114"/>
      <c r="AA15" s="111">
        <v>0</v>
      </c>
      <c r="AB15" s="115"/>
      <c r="AC15" s="116"/>
      <c r="AD15" s="115">
        <v>0</v>
      </c>
      <c r="AE15" s="115"/>
      <c r="AF15" s="115">
        <v>0</v>
      </c>
      <c r="AG15" s="115"/>
      <c r="AH15" s="115">
        <v>0</v>
      </c>
      <c r="AI15" s="115"/>
      <c r="AJ15" s="115">
        <v>0</v>
      </c>
      <c r="AK15" s="115"/>
      <c r="AL15" s="115">
        <v>0</v>
      </c>
      <c r="AM15" s="115"/>
      <c r="AN15" s="115">
        <v>3420524</v>
      </c>
      <c r="AO15" s="115"/>
      <c r="AP15" s="115">
        <v>0</v>
      </c>
      <c r="AQ15" s="106"/>
      <c r="AR15" s="117"/>
      <c r="AS15" s="118"/>
      <c r="AT15" s="118"/>
      <c r="AU15" s="118"/>
      <c r="AV15" s="118"/>
      <c r="AW15" s="118"/>
      <c r="AX15" s="118"/>
      <c r="AY15" s="118"/>
      <c r="AZ15" s="118"/>
      <c r="BA15" s="118"/>
      <c r="BB15" s="118"/>
      <c r="BC15" s="118">
        <v>0.16470000000000001</v>
      </c>
      <c r="BD15" s="118"/>
      <c r="BE15" s="118"/>
      <c r="BF15" s="106"/>
      <c r="BG15" s="106" t="s">
        <v>730</v>
      </c>
    </row>
    <row r="16" spans="1:59">
      <c r="A16" s="106" t="s">
        <v>760</v>
      </c>
      <c r="B16" s="106" t="s">
        <v>761</v>
      </c>
      <c r="C16" s="107" t="s">
        <v>762</v>
      </c>
      <c r="D16" s="108">
        <v>3034</v>
      </c>
      <c r="E16" s="109">
        <v>30034</v>
      </c>
      <c r="F16" s="107" t="s">
        <v>763</v>
      </c>
      <c r="G16" s="110">
        <v>2203663</v>
      </c>
      <c r="H16" s="111">
        <v>1888</v>
      </c>
      <c r="I16" s="107" t="s">
        <v>728</v>
      </c>
      <c r="J16" s="112" t="s">
        <v>729</v>
      </c>
      <c r="K16" s="112">
        <v>54</v>
      </c>
      <c r="L16" s="113"/>
      <c r="M16" s="114">
        <v>0</v>
      </c>
      <c r="N16" s="114"/>
      <c r="O16" s="114">
        <v>0</v>
      </c>
      <c r="P16" s="114"/>
      <c r="Q16" s="114">
        <v>0</v>
      </c>
      <c r="R16" s="114"/>
      <c r="S16" s="114">
        <v>0</v>
      </c>
      <c r="T16" s="114"/>
      <c r="U16" s="114">
        <v>0</v>
      </c>
      <c r="V16" s="114"/>
      <c r="W16" s="114">
        <v>0</v>
      </c>
      <c r="X16" s="114"/>
      <c r="Y16" s="114">
        <v>44465246</v>
      </c>
      <c r="Z16" s="114"/>
      <c r="AA16" s="111">
        <v>0</v>
      </c>
      <c r="AB16" s="115"/>
      <c r="AC16" s="116"/>
      <c r="AD16" s="115">
        <v>0</v>
      </c>
      <c r="AE16" s="115"/>
      <c r="AF16" s="115">
        <v>0</v>
      </c>
      <c r="AG16" s="115"/>
      <c r="AH16" s="115">
        <v>0</v>
      </c>
      <c r="AI16" s="115"/>
      <c r="AJ16" s="115">
        <v>0</v>
      </c>
      <c r="AK16" s="115"/>
      <c r="AL16" s="115">
        <v>0</v>
      </c>
      <c r="AM16" s="115"/>
      <c r="AN16" s="115">
        <v>0</v>
      </c>
      <c r="AO16" s="115"/>
      <c r="AP16" s="115">
        <v>0</v>
      </c>
      <c r="AQ16" s="106"/>
      <c r="AR16" s="117"/>
      <c r="AS16" s="118"/>
      <c r="AT16" s="118"/>
      <c r="AU16" s="118"/>
      <c r="AV16" s="118"/>
      <c r="AW16" s="118"/>
      <c r="AX16" s="118"/>
      <c r="AY16" s="118"/>
      <c r="AZ16" s="118"/>
      <c r="BA16" s="118"/>
      <c r="BB16" s="118"/>
      <c r="BC16" s="118">
        <v>0</v>
      </c>
      <c r="BD16" s="118"/>
      <c r="BE16" s="118"/>
      <c r="BF16" s="106"/>
      <c r="BG16" s="106" t="s">
        <v>730</v>
      </c>
    </row>
    <row r="17" spans="1:59">
      <c r="A17" s="106" t="s">
        <v>760</v>
      </c>
      <c r="B17" s="106" t="s">
        <v>761</v>
      </c>
      <c r="C17" s="107" t="s">
        <v>762</v>
      </c>
      <c r="D17" s="108">
        <v>3034</v>
      </c>
      <c r="E17" s="109">
        <v>30034</v>
      </c>
      <c r="F17" s="107" t="s">
        <v>763</v>
      </c>
      <c r="G17" s="110">
        <v>2203663</v>
      </c>
      <c r="H17" s="111">
        <v>1888</v>
      </c>
      <c r="I17" s="107" t="s">
        <v>735</v>
      </c>
      <c r="J17" s="112" t="s">
        <v>729</v>
      </c>
      <c r="K17" s="112">
        <v>38</v>
      </c>
      <c r="L17" s="113"/>
      <c r="M17" s="114">
        <v>0</v>
      </c>
      <c r="N17" s="114"/>
      <c r="O17" s="114">
        <v>0</v>
      </c>
      <c r="P17" s="114"/>
      <c r="Q17" s="114">
        <v>0</v>
      </c>
      <c r="R17" s="114"/>
      <c r="S17" s="114">
        <v>0</v>
      </c>
      <c r="T17" s="114"/>
      <c r="U17" s="114">
        <v>0</v>
      </c>
      <c r="V17" s="114"/>
      <c r="W17" s="114">
        <v>0</v>
      </c>
      <c r="X17" s="114"/>
      <c r="Y17" s="114">
        <v>25044315</v>
      </c>
      <c r="Z17" s="114"/>
      <c r="AA17" s="111">
        <v>0</v>
      </c>
      <c r="AB17" s="115"/>
      <c r="AC17" s="116"/>
      <c r="AD17" s="115">
        <v>0</v>
      </c>
      <c r="AE17" s="115"/>
      <c r="AF17" s="115">
        <v>0</v>
      </c>
      <c r="AG17" s="115"/>
      <c r="AH17" s="115">
        <v>0</v>
      </c>
      <c r="AI17" s="115"/>
      <c r="AJ17" s="115">
        <v>0</v>
      </c>
      <c r="AK17" s="115"/>
      <c r="AL17" s="115">
        <v>0</v>
      </c>
      <c r="AM17" s="115"/>
      <c r="AN17" s="115">
        <v>2679810</v>
      </c>
      <c r="AO17" s="115"/>
      <c r="AP17" s="115">
        <v>0</v>
      </c>
      <c r="AQ17" s="106"/>
      <c r="AR17" s="117"/>
      <c r="AS17" s="118"/>
      <c r="AT17" s="118"/>
      <c r="AU17" s="118"/>
      <c r="AV17" s="118"/>
      <c r="AW17" s="118"/>
      <c r="AX17" s="118"/>
      <c r="AY17" s="118"/>
      <c r="AZ17" s="118"/>
      <c r="BA17" s="118"/>
      <c r="BB17" s="118"/>
      <c r="BC17" s="118">
        <v>0.107</v>
      </c>
      <c r="BD17" s="118"/>
      <c r="BE17" s="118"/>
      <c r="BF17" s="106"/>
      <c r="BG17" s="106" t="s">
        <v>730</v>
      </c>
    </row>
    <row r="18" spans="1:59">
      <c r="A18" s="106" t="s">
        <v>760</v>
      </c>
      <c r="B18" s="106" t="s">
        <v>761</v>
      </c>
      <c r="C18" s="107" t="s">
        <v>762</v>
      </c>
      <c r="D18" s="108">
        <v>3034</v>
      </c>
      <c r="E18" s="109">
        <v>30034</v>
      </c>
      <c r="F18" s="107" t="s">
        <v>763</v>
      </c>
      <c r="G18" s="110">
        <v>2203663</v>
      </c>
      <c r="H18" s="111">
        <v>1888</v>
      </c>
      <c r="I18" s="107" t="s">
        <v>737</v>
      </c>
      <c r="J18" s="112" t="s">
        <v>736</v>
      </c>
      <c r="K18" s="112">
        <v>149</v>
      </c>
      <c r="L18" s="113"/>
      <c r="M18" s="114">
        <v>3709703</v>
      </c>
      <c r="N18" s="114"/>
      <c r="O18" s="114">
        <v>0</v>
      </c>
      <c r="P18" s="114"/>
      <c r="Q18" s="114">
        <v>0</v>
      </c>
      <c r="R18" s="114"/>
      <c r="S18" s="114">
        <v>0</v>
      </c>
      <c r="T18" s="114"/>
      <c r="U18" s="114">
        <v>0</v>
      </c>
      <c r="V18" s="114"/>
      <c r="W18" s="114">
        <v>0</v>
      </c>
      <c r="X18" s="114"/>
      <c r="Y18" s="114">
        <v>21715405</v>
      </c>
      <c r="Z18" s="114"/>
      <c r="AA18" s="111">
        <v>0</v>
      </c>
      <c r="AB18" s="115"/>
      <c r="AC18" s="116"/>
      <c r="AD18" s="115">
        <v>764117</v>
      </c>
      <c r="AE18" s="115"/>
      <c r="AF18" s="115">
        <v>0</v>
      </c>
      <c r="AG18" s="115"/>
      <c r="AH18" s="115">
        <v>0</v>
      </c>
      <c r="AI18" s="115"/>
      <c r="AJ18" s="115">
        <v>0</v>
      </c>
      <c r="AK18" s="115"/>
      <c r="AL18" s="115">
        <v>0</v>
      </c>
      <c r="AM18" s="115"/>
      <c r="AN18" s="115">
        <v>163832</v>
      </c>
      <c r="AO18" s="115"/>
      <c r="AP18" s="115">
        <v>0</v>
      </c>
      <c r="AQ18" s="106"/>
      <c r="AR18" s="117"/>
      <c r="AS18" s="118">
        <v>0.20599999999999999</v>
      </c>
      <c r="AT18" s="118"/>
      <c r="AU18" s="118"/>
      <c r="AV18" s="118"/>
      <c r="AW18" s="118"/>
      <c r="AX18" s="118"/>
      <c r="AY18" s="118"/>
      <c r="AZ18" s="118"/>
      <c r="BA18" s="118"/>
      <c r="BB18" s="118"/>
      <c r="BC18" s="118">
        <v>7.4999999999999997E-3</v>
      </c>
      <c r="BD18" s="118"/>
      <c r="BE18" s="118"/>
      <c r="BF18" s="106"/>
      <c r="BG18" s="106" t="s">
        <v>730</v>
      </c>
    </row>
    <row r="19" spans="1:59">
      <c r="A19" s="106" t="s">
        <v>764</v>
      </c>
      <c r="B19" s="106" t="s">
        <v>765</v>
      </c>
      <c r="C19" s="107" t="s">
        <v>766</v>
      </c>
      <c r="D19" s="108">
        <v>4034</v>
      </c>
      <c r="E19" s="109">
        <v>40034</v>
      </c>
      <c r="F19" s="107" t="s">
        <v>767</v>
      </c>
      <c r="G19" s="110">
        <v>5502379</v>
      </c>
      <c r="H19" s="111">
        <v>1452</v>
      </c>
      <c r="I19" s="107" t="s">
        <v>728</v>
      </c>
      <c r="J19" s="112" t="s">
        <v>729</v>
      </c>
      <c r="K19" s="112">
        <v>76</v>
      </c>
      <c r="L19" s="113"/>
      <c r="M19" s="114">
        <v>0</v>
      </c>
      <c r="N19" s="114"/>
      <c r="O19" s="114">
        <v>0</v>
      </c>
      <c r="P19" s="114"/>
      <c r="Q19" s="114">
        <v>0</v>
      </c>
      <c r="R19" s="114"/>
      <c r="S19" s="114">
        <v>0</v>
      </c>
      <c r="T19" s="114"/>
      <c r="U19" s="114">
        <v>0</v>
      </c>
      <c r="V19" s="114"/>
      <c r="W19" s="114">
        <v>0</v>
      </c>
      <c r="X19" s="114"/>
      <c r="Y19" s="114">
        <v>66954261</v>
      </c>
      <c r="Z19" s="114"/>
      <c r="AA19" s="111">
        <v>0</v>
      </c>
      <c r="AB19" s="115"/>
      <c r="AC19" s="116"/>
      <c r="AD19" s="115">
        <v>0</v>
      </c>
      <c r="AE19" s="115"/>
      <c r="AF19" s="115">
        <v>0</v>
      </c>
      <c r="AG19" s="115"/>
      <c r="AH19" s="115">
        <v>0</v>
      </c>
      <c r="AI19" s="115"/>
      <c r="AJ19" s="115">
        <v>0</v>
      </c>
      <c r="AK19" s="115"/>
      <c r="AL19" s="115">
        <v>0</v>
      </c>
      <c r="AM19" s="115"/>
      <c r="AN19" s="115">
        <v>559892</v>
      </c>
      <c r="AO19" s="115"/>
      <c r="AP19" s="115">
        <v>0</v>
      </c>
      <c r="AQ19" s="106"/>
      <c r="AR19" s="117"/>
      <c r="AS19" s="118"/>
      <c r="AT19" s="118"/>
      <c r="AU19" s="118"/>
      <c r="AV19" s="118"/>
      <c r="AW19" s="118"/>
      <c r="AX19" s="118"/>
      <c r="AY19" s="118"/>
      <c r="AZ19" s="118"/>
      <c r="BA19" s="118"/>
      <c r="BB19" s="118"/>
      <c r="BC19" s="118">
        <v>8.3999999999999995E-3</v>
      </c>
      <c r="BD19" s="118"/>
      <c r="BE19" s="118"/>
      <c r="BF19" s="106"/>
      <c r="BG19" s="106" t="s">
        <v>730</v>
      </c>
    </row>
    <row r="20" spans="1:59">
      <c r="A20" s="106" t="s">
        <v>768</v>
      </c>
      <c r="B20" s="106" t="s">
        <v>769</v>
      </c>
      <c r="C20" s="107" t="s">
        <v>650</v>
      </c>
      <c r="D20" s="108">
        <v>8006</v>
      </c>
      <c r="E20" s="109">
        <v>80006</v>
      </c>
      <c r="F20" s="107" t="s">
        <v>741</v>
      </c>
      <c r="G20" s="110">
        <v>2374203</v>
      </c>
      <c r="H20" s="111">
        <v>1431</v>
      </c>
      <c r="I20" s="107" t="s">
        <v>737</v>
      </c>
      <c r="J20" s="112" t="s">
        <v>729</v>
      </c>
      <c r="K20" s="112">
        <v>8</v>
      </c>
      <c r="L20" s="113"/>
      <c r="M20" s="114">
        <v>0</v>
      </c>
      <c r="N20" s="114"/>
      <c r="O20" s="114">
        <v>0</v>
      </c>
      <c r="P20" s="114"/>
      <c r="Q20" s="114">
        <v>0</v>
      </c>
      <c r="R20" s="114"/>
      <c r="S20" s="114">
        <v>0</v>
      </c>
      <c r="T20" s="114"/>
      <c r="U20" s="114">
        <v>0</v>
      </c>
      <c r="V20" s="114"/>
      <c r="W20" s="114">
        <v>0</v>
      </c>
      <c r="X20" s="114"/>
      <c r="Y20" s="114">
        <v>688983</v>
      </c>
      <c r="Z20" s="114"/>
      <c r="AA20" s="111">
        <v>0</v>
      </c>
      <c r="AB20" s="115"/>
      <c r="AC20" s="116"/>
      <c r="AD20" s="115">
        <v>0</v>
      </c>
      <c r="AE20" s="115"/>
      <c r="AF20" s="115">
        <v>0</v>
      </c>
      <c r="AG20" s="115"/>
      <c r="AH20" s="115">
        <v>0</v>
      </c>
      <c r="AI20" s="115"/>
      <c r="AJ20" s="115">
        <v>0</v>
      </c>
      <c r="AK20" s="115"/>
      <c r="AL20" s="115">
        <v>0</v>
      </c>
      <c r="AM20" s="115"/>
      <c r="AN20" s="115">
        <v>0</v>
      </c>
      <c r="AO20" s="115"/>
      <c r="AP20" s="115">
        <v>0</v>
      </c>
      <c r="AQ20" s="106"/>
      <c r="AR20" s="117"/>
      <c r="AS20" s="118"/>
      <c r="AT20" s="118"/>
      <c r="AU20" s="118"/>
      <c r="AV20" s="118"/>
      <c r="AW20" s="118"/>
      <c r="AX20" s="118"/>
      <c r="AY20" s="118"/>
      <c r="AZ20" s="118"/>
      <c r="BA20" s="118"/>
      <c r="BB20" s="118"/>
      <c r="BC20" s="118">
        <v>0</v>
      </c>
      <c r="BD20" s="118"/>
      <c r="BE20" s="118"/>
      <c r="BF20" s="106"/>
      <c r="BG20" s="106" t="s">
        <v>730</v>
      </c>
    </row>
    <row r="21" spans="1:59">
      <c r="A21" s="106" t="s">
        <v>768</v>
      </c>
      <c r="B21" s="106" t="s">
        <v>769</v>
      </c>
      <c r="C21" s="107" t="s">
        <v>650</v>
      </c>
      <c r="D21" s="108">
        <v>8006</v>
      </c>
      <c r="E21" s="109">
        <v>80006</v>
      </c>
      <c r="F21" s="107" t="s">
        <v>741</v>
      </c>
      <c r="G21" s="110">
        <v>2374203</v>
      </c>
      <c r="H21" s="111">
        <v>1431</v>
      </c>
      <c r="I21" s="107" t="s">
        <v>737</v>
      </c>
      <c r="J21" s="112" t="s">
        <v>736</v>
      </c>
      <c r="K21" s="112">
        <v>44</v>
      </c>
      <c r="L21" s="113"/>
      <c r="M21" s="114">
        <v>0</v>
      </c>
      <c r="N21" s="114"/>
      <c r="O21" s="114">
        <v>0</v>
      </c>
      <c r="P21" s="114"/>
      <c r="Q21" s="114">
        <v>0</v>
      </c>
      <c r="R21" s="114"/>
      <c r="S21" s="114">
        <v>0</v>
      </c>
      <c r="T21" s="114"/>
      <c r="U21" s="114">
        <v>0</v>
      </c>
      <c r="V21" s="114"/>
      <c r="W21" s="114">
        <v>0</v>
      </c>
      <c r="X21" s="114"/>
      <c r="Y21" s="114">
        <v>40149051</v>
      </c>
      <c r="Z21" s="114"/>
      <c r="AA21" s="111">
        <v>0</v>
      </c>
      <c r="AB21" s="115"/>
      <c r="AC21" s="116"/>
      <c r="AD21" s="115">
        <v>0</v>
      </c>
      <c r="AE21" s="115"/>
      <c r="AF21" s="115">
        <v>0</v>
      </c>
      <c r="AG21" s="115"/>
      <c r="AH21" s="115">
        <v>0</v>
      </c>
      <c r="AI21" s="115"/>
      <c r="AJ21" s="115">
        <v>0</v>
      </c>
      <c r="AK21" s="115"/>
      <c r="AL21" s="115">
        <v>0</v>
      </c>
      <c r="AM21" s="115"/>
      <c r="AN21" s="115">
        <v>6311542</v>
      </c>
      <c r="AO21" s="115"/>
      <c r="AP21" s="115">
        <v>0</v>
      </c>
      <c r="AQ21" s="106"/>
      <c r="AR21" s="117"/>
      <c r="AS21" s="118"/>
      <c r="AT21" s="118"/>
      <c r="AU21" s="118"/>
      <c r="AV21" s="118"/>
      <c r="AW21" s="118"/>
      <c r="AX21" s="118"/>
      <c r="AY21" s="118"/>
      <c r="AZ21" s="118"/>
      <c r="BA21" s="118"/>
      <c r="BB21" s="118"/>
      <c r="BC21" s="118">
        <v>0.15720000000000001</v>
      </c>
      <c r="BD21" s="118"/>
      <c r="BE21" s="118"/>
      <c r="BF21" s="106"/>
      <c r="BG21" s="106" t="s">
        <v>730</v>
      </c>
    </row>
    <row r="22" spans="1:59">
      <c r="A22" s="106" t="s">
        <v>768</v>
      </c>
      <c r="B22" s="106" t="s">
        <v>769</v>
      </c>
      <c r="C22" s="107" t="s">
        <v>650</v>
      </c>
      <c r="D22" s="108">
        <v>8006</v>
      </c>
      <c r="E22" s="109">
        <v>80006</v>
      </c>
      <c r="F22" s="107" t="s">
        <v>741</v>
      </c>
      <c r="G22" s="110">
        <v>2374203</v>
      </c>
      <c r="H22" s="111">
        <v>1431</v>
      </c>
      <c r="I22" s="107" t="s">
        <v>735</v>
      </c>
      <c r="J22" s="112" t="s">
        <v>729</v>
      </c>
      <c r="K22" s="112">
        <v>156</v>
      </c>
      <c r="L22" s="113"/>
      <c r="M22" s="114">
        <v>0</v>
      </c>
      <c r="N22" s="114"/>
      <c r="O22" s="114">
        <v>0</v>
      </c>
      <c r="P22" s="114"/>
      <c r="Q22" s="114">
        <v>0</v>
      </c>
      <c r="R22" s="114"/>
      <c r="S22" s="114">
        <v>0</v>
      </c>
      <c r="T22" s="114"/>
      <c r="U22" s="114">
        <v>0</v>
      </c>
      <c r="V22" s="114"/>
      <c r="W22" s="114">
        <v>0</v>
      </c>
      <c r="X22" s="114"/>
      <c r="Y22" s="114">
        <v>60630772</v>
      </c>
      <c r="Z22" s="114"/>
      <c r="AA22" s="111">
        <v>0</v>
      </c>
      <c r="AB22" s="115"/>
      <c r="AC22" s="116"/>
      <c r="AD22" s="115">
        <v>0</v>
      </c>
      <c r="AE22" s="115"/>
      <c r="AF22" s="115">
        <v>0</v>
      </c>
      <c r="AG22" s="115"/>
      <c r="AH22" s="115">
        <v>0</v>
      </c>
      <c r="AI22" s="115"/>
      <c r="AJ22" s="115">
        <v>0</v>
      </c>
      <c r="AK22" s="115"/>
      <c r="AL22" s="115">
        <v>0</v>
      </c>
      <c r="AM22" s="115"/>
      <c r="AN22" s="115">
        <v>9327859</v>
      </c>
      <c r="AO22" s="115"/>
      <c r="AP22" s="115">
        <v>0</v>
      </c>
      <c r="AQ22" s="106"/>
      <c r="AR22" s="117"/>
      <c r="AS22" s="118"/>
      <c r="AT22" s="118"/>
      <c r="AU22" s="118"/>
      <c r="AV22" s="118"/>
      <c r="AW22" s="118"/>
      <c r="AX22" s="118"/>
      <c r="AY22" s="118"/>
      <c r="AZ22" s="118"/>
      <c r="BA22" s="118"/>
      <c r="BB22" s="118"/>
      <c r="BC22" s="118">
        <v>0.15379999999999999</v>
      </c>
      <c r="BD22" s="118"/>
      <c r="BE22" s="118"/>
      <c r="BF22" s="106"/>
      <c r="BG22" s="106" t="s">
        <v>730</v>
      </c>
    </row>
    <row r="23" spans="1:59">
      <c r="A23" s="106" t="s">
        <v>770</v>
      </c>
      <c r="B23" s="106" t="s">
        <v>771</v>
      </c>
      <c r="C23" s="107" t="s">
        <v>725</v>
      </c>
      <c r="D23" s="108">
        <v>2078</v>
      </c>
      <c r="E23" s="109">
        <v>20078</v>
      </c>
      <c r="F23" s="107" t="s">
        <v>726</v>
      </c>
      <c r="G23" s="110">
        <v>18351295</v>
      </c>
      <c r="H23" s="111">
        <v>1133</v>
      </c>
      <c r="I23" s="107" t="s">
        <v>737</v>
      </c>
      <c r="J23" s="112" t="s">
        <v>729</v>
      </c>
      <c r="K23" s="112">
        <v>1122</v>
      </c>
      <c r="L23" s="113"/>
      <c r="M23" s="114">
        <v>5697351</v>
      </c>
      <c r="N23" s="114"/>
      <c r="O23" s="114">
        <v>0</v>
      </c>
      <c r="P23" s="114"/>
      <c r="Q23" s="114">
        <v>0</v>
      </c>
      <c r="R23" s="114"/>
      <c r="S23" s="114">
        <v>0</v>
      </c>
      <c r="T23" s="114"/>
      <c r="U23" s="114">
        <v>0</v>
      </c>
      <c r="V23" s="114"/>
      <c r="W23" s="114">
        <v>0</v>
      </c>
      <c r="X23" s="114"/>
      <c r="Y23" s="114">
        <v>367362724</v>
      </c>
      <c r="Z23" s="114"/>
      <c r="AA23" s="111">
        <v>0</v>
      </c>
      <c r="AB23" s="115"/>
      <c r="AC23" s="116"/>
      <c r="AD23" s="115">
        <v>0</v>
      </c>
      <c r="AE23" s="115"/>
      <c r="AF23" s="115">
        <v>0</v>
      </c>
      <c r="AG23" s="115"/>
      <c r="AH23" s="115">
        <v>0</v>
      </c>
      <c r="AI23" s="115"/>
      <c r="AJ23" s="115">
        <v>0</v>
      </c>
      <c r="AK23" s="115"/>
      <c r="AL23" s="115">
        <v>2002432</v>
      </c>
      <c r="AM23" s="115"/>
      <c r="AN23" s="115">
        <v>40070882</v>
      </c>
      <c r="AO23" s="115"/>
      <c r="AP23" s="115">
        <v>0</v>
      </c>
      <c r="AQ23" s="106"/>
      <c r="AR23" s="117"/>
      <c r="AS23" s="118">
        <v>0</v>
      </c>
      <c r="AT23" s="118"/>
      <c r="AU23" s="118"/>
      <c r="AV23" s="118"/>
      <c r="AW23" s="118"/>
      <c r="AX23" s="118"/>
      <c r="AY23" s="118"/>
      <c r="AZ23" s="118"/>
      <c r="BA23" s="118"/>
      <c r="BB23" s="118"/>
      <c r="BC23" s="118">
        <v>0.1091</v>
      </c>
      <c r="BD23" s="118"/>
      <c r="BE23" s="118"/>
      <c r="BF23" s="106"/>
      <c r="BG23" s="106" t="s">
        <v>730</v>
      </c>
    </row>
    <row r="24" spans="1:59">
      <c r="A24" s="106" t="s">
        <v>772</v>
      </c>
      <c r="B24" s="106" t="s">
        <v>773</v>
      </c>
      <c r="C24" s="107" t="s">
        <v>759</v>
      </c>
      <c r="D24" s="108">
        <v>6056</v>
      </c>
      <c r="E24" s="109">
        <v>60056</v>
      </c>
      <c r="F24" s="107" t="s">
        <v>741</v>
      </c>
      <c r="G24" s="110">
        <v>5121892</v>
      </c>
      <c r="H24" s="111">
        <v>1082</v>
      </c>
      <c r="I24" s="107" t="s">
        <v>737</v>
      </c>
      <c r="J24" s="112" t="s">
        <v>736</v>
      </c>
      <c r="K24" s="112">
        <v>23</v>
      </c>
      <c r="L24" s="113"/>
      <c r="M24" s="114">
        <v>1375987</v>
      </c>
      <c r="N24" s="114"/>
      <c r="O24" s="114">
        <v>0</v>
      </c>
      <c r="P24" s="114"/>
      <c r="Q24" s="114">
        <v>0</v>
      </c>
      <c r="R24" s="114"/>
      <c r="S24" s="114">
        <v>0</v>
      </c>
      <c r="T24" s="114"/>
      <c r="U24" s="114">
        <v>0</v>
      </c>
      <c r="V24" s="114"/>
      <c r="W24" s="114">
        <v>0</v>
      </c>
      <c r="X24" s="114"/>
      <c r="Y24" s="114">
        <v>0</v>
      </c>
      <c r="Z24" s="114"/>
      <c r="AA24" s="111">
        <v>0</v>
      </c>
      <c r="AB24" s="115"/>
      <c r="AC24" s="116"/>
      <c r="AD24" s="115">
        <v>460806</v>
      </c>
      <c r="AE24" s="115"/>
      <c r="AF24" s="115">
        <v>0</v>
      </c>
      <c r="AG24" s="115"/>
      <c r="AH24" s="115">
        <v>0</v>
      </c>
      <c r="AI24" s="115"/>
      <c r="AJ24" s="115">
        <v>0</v>
      </c>
      <c r="AK24" s="115"/>
      <c r="AL24" s="115">
        <v>0</v>
      </c>
      <c r="AM24" s="115"/>
      <c r="AN24" s="115">
        <v>0</v>
      </c>
      <c r="AO24" s="115"/>
      <c r="AP24" s="115">
        <v>0</v>
      </c>
      <c r="AQ24" s="106"/>
      <c r="AR24" s="117"/>
      <c r="AS24" s="118">
        <v>0.33489999999999998</v>
      </c>
      <c r="AT24" s="118"/>
      <c r="AU24" s="118"/>
      <c r="AV24" s="118"/>
      <c r="AW24" s="118"/>
      <c r="AX24" s="118"/>
      <c r="AY24" s="118"/>
      <c r="AZ24" s="118"/>
      <c r="BA24" s="118"/>
      <c r="BB24" s="118"/>
      <c r="BC24" s="118"/>
      <c r="BD24" s="118"/>
      <c r="BE24" s="118"/>
      <c r="BF24" s="106"/>
      <c r="BG24" s="106" t="s">
        <v>730</v>
      </c>
    </row>
    <row r="25" spans="1:59">
      <c r="A25" s="106" t="s">
        <v>772</v>
      </c>
      <c r="B25" s="106" t="s">
        <v>773</v>
      </c>
      <c r="C25" s="107" t="s">
        <v>759</v>
      </c>
      <c r="D25" s="108">
        <v>6056</v>
      </c>
      <c r="E25" s="109">
        <v>60056</v>
      </c>
      <c r="F25" s="107" t="s">
        <v>741</v>
      </c>
      <c r="G25" s="110">
        <v>5121892</v>
      </c>
      <c r="H25" s="111">
        <v>1082</v>
      </c>
      <c r="I25" s="107" t="s">
        <v>735</v>
      </c>
      <c r="J25" s="112" t="s">
        <v>729</v>
      </c>
      <c r="K25" s="112">
        <v>117</v>
      </c>
      <c r="L25" s="113"/>
      <c r="M25" s="114">
        <v>0</v>
      </c>
      <c r="N25" s="114"/>
      <c r="O25" s="114">
        <v>0</v>
      </c>
      <c r="P25" s="114"/>
      <c r="Q25" s="114">
        <v>0</v>
      </c>
      <c r="R25" s="114"/>
      <c r="S25" s="114">
        <v>0</v>
      </c>
      <c r="T25" s="114"/>
      <c r="U25" s="114">
        <v>0</v>
      </c>
      <c r="V25" s="114"/>
      <c r="W25" s="114">
        <v>0</v>
      </c>
      <c r="X25" s="114"/>
      <c r="Y25" s="114">
        <v>116183770</v>
      </c>
      <c r="Z25" s="114"/>
      <c r="AA25" s="111">
        <v>0</v>
      </c>
      <c r="AB25" s="115"/>
      <c r="AC25" s="116"/>
      <c r="AD25" s="115">
        <v>0</v>
      </c>
      <c r="AE25" s="115"/>
      <c r="AF25" s="115">
        <v>0</v>
      </c>
      <c r="AG25" s="115"/>
      <c r="AH25" s="115">
        <v>0</v>
      </c>
      <c r="AI25" s="115"/>
      <c r="AJ25" s="115">
        <v>0</v>
      </c>
      <c r="AK25" s="115"/>
      <c r="AL25" s="115">
        <v>0</v>
      </c>
      <c r="AM25" s="115"/>
      <c r="AN25" s="115">
        <v>9894309</v>
      </c>
      <c r="AO25" s="115"/>
      <c r="AP25" s="115">
        <v>0</v>
      </c>
      <c r="AQ25" s="106"/>
      <c r="AR25" s="117"/>
      <c r="AS25" s="118"/>
      <c r="AT25" s="118"/>
      <c r="AU25" s="118"/>
      <c r="AV25" s="118"/>
      <c r="AW25" s="118"/>
      <c r="AX25" s="118"/>
      <c r="AY25" s="118"/>
      <c r="AZ25" s="118"/>
      <c r="BA25" s="118"/>
      <c r="BB25" s="118"/>
      <c r="BC25" s="118">
        <v>8.5199999999999998E-2</v>
      </c>
      <c r="BD25" s="118"/>
      <c r="BE25" s="118"/>
      <c r="BF25" s="106"/>
      <c r="BG25" s="106" t="s">
        <v>730</v>
      </c>
    </row>
    <row r="26" spans="1:59">
      <c r="A26" s="106" t="s">
        <v>774</v>
      </c>
      <c r="B26" s="106" t="s">
        <v>775</v>
      </c>
      <c r="C26" s="107" t="s">
        <v>776</v>
      </c>
      <c r="D26" s="108">
        <v>8001</v>
      </c>
      <c r="E26" s="109">
        <v>80001</v>
      </c>
      <c r="F26" s="107" t="s">
        <v>741</v>
      </c>
      <c r="G26" s="110">
        <v>1021243</v>
      </c>
      <c r="H26" s="111">
        <v>1081</v>
      </c>
      <c r="I26" s="107" t="s">
        <v>735</v>
      </c>
      <c r="J26" s="112" t="s">
        <v>729</v>
      </c>
      <c r="K26" s="112">
        <v>89</v>
      </c>
      <c r="L26" s="113"/>
      <c r="M26" s="114">
        <v>0</v>
      </c>
      <c r="N26" s="114"/>
      <c r="O26" s="114">
        <v>0</v>
      </c>
      <c r="P26" s="114"/>
      <c r="Q26" s="114">
        <v>0</v>
      </c>
      <c r="R26" s="114"/>
      <c r="S26" s="114">
        <v>0</v>
      </c>
      <c r="T26" s="114"/>
      <c r="U26" s="114">
        <v>0</v>
      </c>
      <c r="V26" s="114"/>
      <c r="W26" s="114">
        <v>0</v>
      </c>
      <c r="X26" s="114"/>
      <c r="Y26" s="114">
        <v>39602347</v>
      </c>
      <c r="Z26" s="114"/>
      <c r="AA26" s="111">
        <v>0</v>
      </c>
      <c r="AB26" s="115"/>
      <c r="AC26" s="116"/>
      <c r="AD26" s="115">
        <v>0</v>
      </c>
      <c r="AE26" s="115"/>
      <c r="AF26" s="115">
        <v>0</v>
      </c>
      <c r="AG26" s="115"/>
      <c r="AH26" s="115">
        <v>0</v>
      </c>
      <c r="AI26" s="115"/>
      <c r="AJ26" s="115">
        <v>0</v>
      </c>
      <c r="AK26" s="115"/>
      <c r="AL26" s="115">
        <v>0</v>
      </c>
      <c r="AM26" s="115"/>
      <c r="AN26" s="115">
        <v>6307169</v>
      </c>
      <c r="AO26" s="115"/>
      <c r="AP26" s="115">
        <v>0</v>
      </c>
      <c r="AQ26" s="106"/>
      <c r="AR26" s="117"/>
      <c r="AS26" s="118"/>
      <c r="AT26" s="118"/>
      <c r="AU26" s="118"/>
      <c r="AV26" s="118"/>
      <c r="AW26" s="118"/>
      <c r="AX26" s="118"/>
      <c r="AY26" s="118"/>
      <c r="AZ26" s="118"/>
      <c r="BA26" s="118"/>
      <c r="BB26" s="118"/>
      <c r="BC26" s="118">
        <v>0.1593</v>
      </c>
      <c r="BD26" s="118"/>
      <c r="BE26" s="118"/>
      <c r="BF26" s="106"/>
      <c r="BG26" s="106" t="s">
        <v>730</v>
      </c>
    </row>
    <row r="27" spans="1:59">
      <c r="A27" s="106" t="s">
        <v>774</v>
      </c>
      <c r="B27" s="106" t="s">
        <v>775</v>
      </c>
      <c r="C27" s="107" t="s">
        <v>776</v>
      </c>
      <c r="D27" s="108">
        <v>8001</v>
      </c>
      <c r="E27" s="109">
        <v>80001</v>
      </c>
      <c r="F27" s="107" t="s">
        <v>741</v>
      </c>
      <c r="G27" s="110">
        <v>1021243</v>
      </c>
      <c r="H27" s="111">
        <v>1081</v>
      </c>
      <c r="I27" s="107" t="s">
        <v>737</v>
      </c>
      <c r="J27" s="112" t="s">
        <v>729</v>
      </c>
      <c r="K27" s="112">
        <v>50</v>
      </c>
      <c r="L27" s="113"/>
      <c r="M27" s="114">
        <v>1921417</v>
      </c>
      <c r="N27" s="114"/>
      <c r="O27" s="114">
        <v>0</v>
      </c>
      <c r="P27" s="114"/>
      <c r="Q27" s="114">
        <v>0</v>
      </c>
      <c r="R27" s="114"/>
      <c r="S27" s="114">
        <v>0</v>
      </c>
      <c r="T27" s="114"/>
      <c r="U27" s="114">
        <v>0</v>
      </c>
      <c r="V27" s="114"/>
      <c r="W27" s="114">
        <v>0</v>
      </c>
      <c r="X27" s="114"/>
      <c r="Y27" s="114">
        <v>0</v>
      </c>
      <c r="Z27" s="114"/>
      <c r="AA27" s="111">
        <v>0</v>
      </c>
      <c r="AB27" s="115"/>
      <c r="AC27" s="116"/>
      <c r="AD27" s="115">
        <v>850933</v>
      </c>
      <c r="AE27" s="115"/>
      <c r="AF27" s="115">
        <v>0</v>
      </c>
      <c r="AG27" s="115"/>
      <c r="AH27" s="115">
        <v>0</v>
      </c>
      <c r="AI27" s="115"/>
      <c r="AJ27" s="115">
        <v>0</v>
      </c>
      <c r="AK27" s="115"/>
      <c r="AL27" s="115">
        <v>0</v>
      </c>
      <c r="AM27" s="115"/>
      <c r="AN27" s="115">
        <v>0</v>
      </c>
      <c r="AO27" s="115"/>
      <c r="AP27" s="115">
        <v>0</v>
      </c>
      <c r="AQ27" s="106"/>
      <c r="AR27" s="117"/>
      <c r="AS27" s="118">
        <v>0.44290000000000002</v>
      </c>
      <c r="AT27" s="118"/>
      <c r="AU27" s="118"/>
      <c r="AV27" s="118"/>
      <c r="AW27" s="118"/>
      <c r="AX27" s="118"/>
      <c r="AY27" s="118"/>
      <c r="AZ27" s="118"/>
      <c r="BA27" s="118"/>
      <c r="BB27" s="118"/>
      <c r="BC27" s="118"/>
      <c r="BD27" s="118"/>
      <c r="BE27" s="118"/>
      <c r="BF27" s="106"/>
      <c r="BG27" s="106" t="s">
        <v>730</v>
      </c>
    </row>
    <row r="28" spans="1:59">
      <c r="A28" s="106" t="s">
        <v>777</v>
      </c>
      <c r="B28" s="106" t="s">
        <v>746</v>
      </c>
      <c r="C28" s="107" t="s">
        <v>747</v>
      </c>
      <c r="D28" s="108">
        <v>5118</v>
      </c>
      <c r="E28" s="109">
        <v>50118</v>
      </c>
      <c r="F28" s="107" t="s">
        <v>741</v>
      </c>
      <c r="G28" s="110">
        <v>8608208</v>
      </c>
      <c r="H28" s="111">
        <v>1066</v>
      </c>
      <c r="I28" s="107" t="s">
        <v>737</v>
      </c>
      <c r="J28" s="112" t="s">
        <v>729</v>
      </c>
      <c r="K28" s="112">
        <v>539</v>
      </c>
      <c r="L28" s="113"/>
      <c r="M28" s="114">
        <v>18100043</v>
      </c>
      <c r="N28" s="114"/>
      <c r="O28" s="114">
        <v>0</v>
      </c>
      <c r="P28" s="114"/>
      <c r="Q28" s="114">
        <v>0</v>
      </c>
      <c r="R28" s="114"/>
      <c r="S28" s="114">
        <v>0</v>
      </c>
      <c r="T28" s="114"/>
      <c r="U28" s="114">
        <v>0</v>
      </c>
      <c r="V28" s="114"/>
      <c r="W28" s="114">
        <v>0</v>
      </c>
      <c r="X28" s="114"/>
      <c r="Y28" s="114">
        <v>56262281</v>
      </c>
      <c r="Z28" s="114"/>
      <c r="AA28" s="111">
        <v>0</v>
      </c>
      <c r="AB28" s="115"/>
      <c r="AC28" s="116"/>
      <c r="AD28" s="115">
        <v>5202961</v>
      </c>
      <c r="AE28" s="115"/>
      <c r="AF28" s="115">
        <v>0</v>
      </c>
      <c r="AG28" s="115"/>
      <c r="AH28" s="115">
        <v>0</v>
      </c>
      <c r="AI28" s="115"/>
      <c r="AJ28" s="115">
        <v>0</v>
      </c>
      <c r="AK28" s="115"/>
      <c r="AL28" s="115">
        <v>0</v>
      </c>
      <c r="AM28" s="115"/>
      <c r="AN28" s="115">
        <v>3759786</v>
      </c>
      <c r="AO28" s="115"/>
      <c r="AP28" s="115">
        <v>0</v>
      </c>
      <c r="AQ28" s="106"/>
      <c r="AR28" s="117"/>
      <c r="AS28" s="118">
        <v>0.28749999999999998</v>
      </c>
      <c r="AT28" s="118"/>
      <c r="AU28" s="118"/>
      <c r="AV28" s="118"/>
      <c r="AW28" s="118"/>
      <c r="AX28" s="118"/>
      <c r="AY28" s="118"/>
      <c r="AZ28" s="118"/>
      <c r="BA28" s="118"/>
      <c r="BB28" s="118"/>
      <c r="BC28" s="118">
        <v>6.6799999999999998E-2</v>
      </c>
      <c r="BD28" s="118"/>
      <c r="BE28" s="118"/>
      <c r="BF28" s="106"/>
      <c r="BG28" s="106" t="s">
        <v>730</v>
      </c>
    </row>
    <row r="29" spans="1:59">
      <c r="A29" s="106" t="s">
        <v>777</v>
      </c>
      <c r="B29" s="106" t="s">
        <v>746</v>
      </c>
      <c r="C29" s="107" t="s">
        <v>747</v>
      </c>
      <c r="D29" s="108">
        <v>5118</v>
      </c>
      <c r="E29" s="109">
        <v>50118</v>
      </c>
      <c r="F29" s="107" t="s">
        <v>741</v>
      </c>
      <c r="G29" s="110">
        <v>8608208</v>
      </c>
      <c r="H29" s="111">
        <v>1066</v>
      </c>
      <c r="I29" s="107" t="s">
        <v>737</v>
      </c>
      <c r="J29" s="112" t="s">
        <v>736</v>
      </c>
      <c r="K29" s="112">
        <v>527</v>
      </c>
      <c r="L29" s="113"/>
      <c r="M29" s="114">
        <v>18100043</v>
      </c>
      <c r="N29" s="114"/>
      <c r="O29" s="114">
        <v>0</v>
      </c>
      <c r="P29" s="114"/>
      <c r="Q29" s="114">
        <v>0</v>
      </c>
      <c r="R29" s="114"/>
      <c r="S29" s="114">
        <v>0</v>
      </c>
      <c r="T29" s="114"/>
      <c r="U29" s="114">
        <v>0</v>
      </c>
      <c r="V29" s="114"/>
      <c r="W29" s="114">
        <v>0</v>
      </c>
      <c r="X29" s="114"/>
      <c r="Y29" s="114">
        <v>0</v>
      </c>
      <c r="Z29" s="114"/>
      <c r="AA29" s="111">
        <v>0</v>
      </c>
      <c r="AB29" s="115"/>
      <c r="AC29" s="116"/>
      <c r="AD29" s="115">
        <v>0</v>
      </c>
      <c r="AE29" s="115"/>
      <c r="AF29" s="115">
        <v>0</v>
      </c>
      <c r="AG29" s="115"/>
      <c r="AH29" s="115">
        <v>0</v>
      </c>
      <c r="AI29" s="115"/>
      <c r="AJ29" s="115">
        <v>0</v>
      </c>
      <c r="AK29" s="115"/>
      <c r="AL29" s="115">
        <v>0</v>
      </c>
      <c r="AM29" s="115"/>
      <c r="AN29" s="115">
        <v>0</v>
      </c>
      <c r="AO29" s="115"/>
      <c r="AP29" s="115">
        <v>0</v>
      </c>
      <c r="AQ29" s="106"/>
      <c r="AR29" s="117"/>
      <c r="AS29" s="118">
        <v>0</v>
      </c>
      <c r="AT29" s="118"/>
      <c r="AU29" s="118"/>
      <c r="AV29" s="118"/>
      <c r="AW29" s="118"/>
      <c r="AX29" s="118"/>
      <c r="AY29" s="118"/>
      <c r="AZ29" s="118"/>
      <c r="BA29" s="118"/>
      <c r="BB29" s="118"/>
      <c r="BC29" s="118"/>
      <c r="BD29" s="118"/>
      <c r="BE29" s="118"/>
      <c r="BF29" s="106"/>
      <c r="BG29" s="106" t="s">
        <v>730</v>
      </c>
    </row>
    <row r="30" spans="1:59">
      <c r="A30" s="106" t="s">
        <v>778</v>
      </c>
      <c r="B30" s="106" t="s">
        <v>779</v>
      </c>
      <c r="C30" s="107" t="s">
        <v>725</v>
      </c>
      <c r="D30" s="108">
        <v>2100</v>
      </c>
      <c r="E30" s="109">
        <v>20100</v>
      </c>
      <c r="F30" s="107" t="s">
        <v>726</v>
      </c>
      <c r="G30" s="110">
        <v>18351295</v>
      </c>
      <c r="H30" s="111">
        <v>1022</v>
      </c>
      <c r="I30" s="107" t="s">
        <v>737</v>
      </c>
      <c r="J30" s="112" t="s">
        <v>729</v>
      </c>
      <c r="K30" s="112">
        <v>1022</v>
      </c>
      <c r="L30" s="113"/>
      <c r="M30" s="114">
        <v>7034074</v>
      </c>
      <c r="N30" s="114"/>
      <c r="O30" s="114">
        <v>0</v>
      </c>
      <c r="P30" s="114"/>
      <c r="Q30" s="114">
        <v>0</v>
      </c>
      <c r="R30" s="114"/>
      <c r="S30" s="114">
        <v>0</v>
      </c>
      <c r="T30" s="114"/>
      <c r="U30" s="114">
        <v>0</v>
      </c>
      <c r="V30" s="114"/>
      <c r="W30" s="114">
        <v>0</v>
      </c>
      <c r="X30" s="114"/>
      <c r="Y30" s="114">
        <v>471350200</v>
      </c>
      <c r="Z30" s="114"/>
      <c r="AA30" s="111">
        <v>0</v>
      </c>
      <c r="AB30" s="115"/>
      <c r="AC30" s="116"/>
      <c r="AD30" s="115">
        <v>757533</v>
      </c>
      <c r="AE30" s="115"/>
      <c r="AF30" s="115">
        <v>0</v>
      </c>
      <c r="AG30" s="115"/>
      <c r="AH30" s="115">
        <v>0</v>
      </c>
      <c r="AI30" s="115"/>
      <c r="AJ30" s="115">
        <v>0</v>
      </c>
      <c r="AK30" s="115"/>
      <c r="AL30" s="115">
        <v>757533</v>
      </c>
      <c r="AM30" s="115"/>
      <c r="AN30" s="115">
        <v>54919600</v>
      </c>
      <c r="AO30" s="115"/>
      <c r="AP30" s="115">
        <v>0</v>
      </c>
      <c r="AQ30" s="106"/>
      <c r="AR30" s="117"/>
      <c r="AS30" s="118">
        <v>0.1077</v>
      </c>
      <c r="AT30" s="118"/>
      <c r="AU30" s="118"/>
      <c r="AV30" s="118"/>
      <c r="AW30" s="118"/>
      <c r="AX30" s="118"/>
      <c r="AY30" s="118"/>
      <c r="AZ30" s="118"/>
      <c r="BA30" s="118"/>
      <c r="BB30" s="118"/>
      <c r="BC30" s="118">
        <v>0.11650000000000001</v>
      </c>
      <c r="BD30" s="118"/>
      <c r="BE30" s="118"/>
      <c r="BF30" s="106"/>
      <c r="BG30" s="106" t="s">
        <v>730</v>
      </c>
    </row>
    <row r="31" spans="1:59">
      <c r="A31" s="106" t="s">
        <v>780</v>
      </c>
      <c r="B31" s="106" t="s">
        <v>781</v>
      </c>
      <c r="C31" s="107" t="s">
        <v>740</v>
      </c>
      <c r="D31" s="108">
        <v>9015</v>
      </c>
      <c r="E31" s="109">
        <v>90015</v>
      </c>
      <c r="F31" s="107" t="s">
        <v>767</v>
      </c>
      <c r="G31" s="110">
        <v>3281212</v>
      </c>
      <c r="H31" s="111">
        <v>996</v>
      </c>
      <c r="I31" s="107" t="s">
        <v>735</v>
      </c>
      <c r="J31" s="112" t="s">
        <v>729</v>
      </c>
      <c r="K31" s="112">
        <v>149</v>
      </c>
      <c r="L31" s="113"/>
      <c r="M31" s="114">
        <v>0</v>
      </c>
      <c r="N31" s="114"/>
      <c r="O31" s="114">
        <v>0</v>
      </c>
      <c r="P31" s="114"/>
      <c r="Q31" s="114">
        <v>0</v>
      </c>
      <c r="R31" s="114"/>
      <c r="S31" s="114">
        <v>0</v>
      </c>
      <c r="T31" s="114"/>
      <c r="U31" s="114">
        <v>0</v>
      </c>
      <c r="V31" s="114"/>
      <c r="W31" s="114">
        <v>0</v>
      </c>
      <c r="X31" s="114"/>
      <c r="Y31" s="114">
        <v>51453351</v>
      </c>
      <c r="Z31" s="114"/>
      <c r="AA31" s="111">
        <v>0</v>
      </c>
      <c r="AB31" s="115"/>
      <c r="AC31" s="116"/>
      <c r="AD31" s="115">
        <v>0</v>
      </c>
      <c r="AE31" s="115"/>
      <c r="AF31" s="115">
        <v>0</v>
      </c>
      <c r="AG31" s="115"/>
      <c r="AH31" s="115">
        <v>0</v>
      </c>
      <c r="AI31" s="115"/>
      <c r="AJ31" s="115">
        <v>0</v>
      </c>
      <c r="AK31" s="115"/>
      <c r="AL31" s="115">
        <v>0</v>
      </c>
      <c r="AM31" s="115"/>
      <c r="AN31" s="115">
        <v>5286597</v>
      </c>
      <c r="AO31" s="115"/>
      <c r="AP31" s="115">
        <v>0</v>
      </c>
      <c r="AQ31" s="106"/>
      <c r="AR31" s="117"/>
      <c r="AS31" s="118"/>
      <c r="AT31" s="118"/>
      <c r="AU31" s="118"/>
      <c r="AV31" s="118"/>
      <c r="AW31" s="118"/>
      <c r="AX31" s="118"/>
      <c r="AY31" s="118"/>
      <c r="AZ31" s="118"/>
      <c r="BA31" s="118"/>
      <c r="BB31" s="118"/>
      <c r="BC31" s="118">
        <v>0.1027</v>
      </c>
      <c r="BD31" s="118"/>
      <c r="BE31" s="118"/>
      <c r="BF31" s="106"/>
      <c r="BG31" s="106" t="s">
        <v>730</v>
      </c>
    </row>
    <row r="32" spans="1:59">
      <c r="A32" s="106" t="s">
        <v>782</v>
      </c>
      <c r="B32" s="106" t="s">
        <v>783</v>
      </c>
      <c r="C32" s="107" t="s">
        <v>784</v>
      </c>
      <c r="D32" s="108">
        <v>8</v>
      </c>
      <c r="E32" s="109">
        <v>8</v>
      </c>
      <c r="F32" s="107" t="s">
        <v>741</v>
      </c>
      <c r="G32" s="110">
        <v>1849898</v>
      </c>
      <c r="H32" s="111">
        <v>982</v>
      </c>
      <c r="I32" s="107" t="s">
        <v>735</v>
      </c>
      <c r="J32" s="112" t="s">
        <v>729</v>
      </c>
      <c r="K32" s="112">
        <v>116</v>
      </c>
      <c r="L32" s="113"/>
      <c r="M32" s="114">
        <v>0</v>
      </c>
      <c r="N32" s="114"/>
      <c r="O32" s="114">
        <v>0</v>
      </c>
      <c r="P32" s="114"/>
      <c r="Q32" s="114">
        <v>0</v>
      </c>
      <c r="R32" s="114"/>
      <c r="S32" s="114">
        <v>0</v>
      </c>
      <c r="T32" s="114"/>
      <c r="U32" s="114">
        <v>0</v>
      </c>
      <c r="V32" s="114"/>
      <c r="W32" s="114">
        <v>0</v>
      </c>
      <c r="X32" s="114"/>
      <c r="Y32" s="114">
        <v>54389715</v>
      </c>
      <c r="Z32" s="114"/>
      <c r="AA32" s="111">
        <v>0</v>
      </c>
      <c r="AB32" s="115"/>
      <c r="AC32" s="116"/>
      <c r="AD32" s="115">
        <v>0</v>
      </c>
      <c r="AE32" s="115"/>
      <c r="AF32" s="115">
        <v>0</v>
      </c>
      <c r="AG32" s="115"/>
      <c r="AH32" s="115">
        <v>0</v>
      </c>
      <c r="AI32" s="115"/>
      <c r="AJ32" s="115">
        <v>0</v>
      </c>
      <c r="AK32" s="115"/>
      <c r="AL32" s="115">
        <v>0</v>
      </c>
      <c r="AM32" s="115"/>
      <c r="AN32" s="115">
        <v>9045741</v>
      </c>
      <c r="AO32" s="115"/>
      <c r="AP32" s="115">
        <v>0</v>
      </c>
      <c r="AQ32" s="106"/>
      <c r="AR32" s="117"/>
      <c r="AS32" s="118"/>
      <c r="AT32" s="118"/>
      <c r="AU32" s="118"/>
      <c r="AV32" s="118"/>
      <c r="AW32" s="118"/>
      <c r="AX32" s="118"/>
      <c r="AY32" s="118"/>
      <c r="AZ32" s="118"/>
      <c r="BA32" s="118"/>
      <c r="BB32" s="118"/>
      <c r="BC32" s="118">
        <v>0.1663</v>
      </c>
      <c r="BD32" s="118"/>
      <c r="BE32" s="118"/>
      <c r="BF32" s="106"/>
      <c r="BG32" s="106" t="s">
        <v>730</v>
      </c>
    </row>
    <row r="33" spans="1:59">
      <c r="A33" s="106" t="s">
        <v>785</v>
      </c>
      <c r="B33" s="106" t="s">
        <v>786</v>
      </c>
      <c r="C33" s="107" t="s">
        <v>787</v>
      </c>
      <c r="D33" s="108">
        <v>4022</v>
      </c>
      <c r="E33" s="109">
        <v>40022</v>
      </c>
      <c r="F33" s="107" t="s">
        <v>741</v>
      </c>
      <c r="G33" s="110">
        <v>4515419</v>
      </c>
      <c r="H33" s="111">
        <v>943</v>
      </c>
      <c r="I33" s="107" t="s">
        <v>728</v>
      </c>
      <c r="J33" s="112" t="s">
        <v>729</v>
      </c>
      <c r="K33" s="112">
        <v>212</v>
      </c>
      <c r="L33" s="113"/>
      <c r="M33" s="114">
        <v>0</v>
      </c>
      <c r="N33" s="114"/>
      <c r="O33" s="114">
        <v>0</v>
      </c>
      <c r="P33" s="114"/>
      <c r="Q33" s="114">
        <v>0</v>
      </c>
      <c r="R33" s="114"/>
      <c r="S33" s="114">
        <v>0</v>
      </c>
      <c r="T33" s="114"/>
      <c r="U33" s="114">
        <v>0</v>
      </c>
      <c r="V33" s="114"/>
      <c r="W33" s="114">
        <v>0</v>
      </c>
      <c r="X33" s="114"/>
      <c r="Y33" s="114">
        <v>83566447</v>
      </c>
      <c r="Z33" s="114"/>
      <c r="AA33" s="111">
        <v>0</v>
      </c>
      <c r="AB33" s="115"/>
      <c r="AC33" s="116"/>
      <c r="AD33" s="115">
        <v>0</v>
      </c>
      <c r="AE33" s="115"/>
      <c r="AF33" s="115">
        <v>0</v>
      </c>
      <c r="AG33" s="115"/>
      <c r="AH33" s="115">
        <v>0</v>
      </c>
      <c r="AI33" s="115"/>
      <c r="AJ33" s="115">
        <v>0</v>
      </c>
      <c r="AK33" s="115"/>
      <c r="AL33" s="115">
        <v>0</v>
      </c>
      <c r="AM33" s="115"/>
      <c r="AN33" s="115">
        <v>19692749</v>
      </c>
      <c r="AO33" s="115"/>
      <c r="AP33" s="115">
        <v>0</v>
      </c>
      <c r="AQ33" s="106"/>
      <c r="AR33" s="117"/>
      <c r="AS33" s="118"/>
      <c r="AT33" s="118"/>
      <c r="AU33" s="118"/>
      <c r="AV33" s="118"/>
      <c r="AW33" s="118"/>
      <c r="AX33" s="118"/>
      <c r="AY33" s="118"/>
      <c r="AZ33" s="118"/>
      <c r="BA33" s="118"/>
      <c r="BB33" s="118"/>
      <c r="BC33" s="118">
        <v>0.23569999999999999</v>
      </c>
      <c r="BD33" s="118"/>
      <c r="BE33" s="118"/>
      <c r="BF33" s="106"/>
      <c r="BG33" s="106" t="s">
        <v>730</v>
      </c>
    </row>
    <row r="34" spans="1:59">
      <c r="A34" s="106" t="s">
        <v>788</v>
      </c>
      <c r="B34" s="106" t="s">
        <v>789</v>
      </c>
      <c r="C34" s="107" t="s">
        <v>756</v>
      </c>
      <c r="D34" s="108">
        <v>3022</v>
      </c>
      <c r="E34" s="109">
        <v>30022</v>
      </c>
      <c r="F34" s="107" t="s">
        <v>741</v>
      </c>
      <c r="G34" s="110">
        <v>1733853</v>
      </c>
      <c r="H34" s="111">
        <v>930</v>
      </c>
      <c r="I34" s="107" t="s">
        <v>735</v>
      </c>
      <c r="J34" s="112" t="s">
        <v>729</v>
      </c>
      <c r="K34" s="112">
        <v>58</v>
      </c>
      <c r="L34" s="113"/>
      <c r="M34" s="114">
        <v>0</v>
      </c>
      <c r="N34" s="114"/>
      <c r="O34" s="114">
        <v>0</v>
      </c>
      <c r="P34" s="114"/>
      <c r="Q34" s="114">
        <v>0</v>
      </c>
      <c r="R34" s="114"/>
      <c r="S34" s="114">
        <v>0</v>
      </c>
      <c r="T34" s="114"/>
      <c r="U34" s="114">
        <v>0</v>
      </c>
      <c r="V34" s="114"/>
      <c r="W34" s="114">
        <v>0</v>
      </c>
      <c r="X34" s="114"/>
      <c r="Y34" s="114">
        <v>30547053</v>
      </c>
      <c r="Z34" s="114"/>
      <c r="AA34" s="111">
        <v>0</v>
      </c>
      <c r="AB34" s="115"/>
      <c r="AC34" s="116"/>
      <c r="AD34" s="115">
        <v>0</v>
      </c>
      <c r="AE34" s="115"/>
      <c r="AF34" s="115">
        <v>0</v>
      </c>
      <c r="AG34" s="115"/>
      <c r="AH34" s="115">
        <v>0</v>
      </c>
      <c r="AI34" s="115"/>
      <c r="AJ34" s="115">
        <v>0</v>
      </c>
      <c r="AK34" s="115"/>
      <c r="AL34" s="115">
        <v>0</v>
      </c>
      <c r="AM34" s="115"/>
      <c r="AN34" s="115">
        <v>2154526</v>
      </c>
      <c r="AO34" s="115"/>
      <c r="AP34" s="115">
        <v>0</v>
      </c>
      <c r="AQ34" s="106"/>
      <c r="AR34" s="117"/>
      <c r="AS34" s="118"/>
      <c r="AT34" s="118"/>
      <c r="AU34" s="118"/>
      <c r="AV34" s="118"/>
      <c r="AW34" s="118"/>
      <c r="AX34" s="118"/>
      <c r="AY34" s="118"/>
      <c r="AZ34" s="118"/>
      <c r="BA34" s="118"/>
      <c r="BB34" s="118"/>
      <c r="BC34" s="118">
        <v>7.0499999999999993E-2</v>
      </c>
      <c r="BD34" s="118"/>
      <c r="BE34" s="118"/>
      <c r="BF34" s="106"/>
      <c r="BG34" s="106" t="s">
        <v>730</v>
      </c>
    </row>
    <row r="35" spans="1:59">
      <c r="A35" s="106" t="s">
        <v>790</v>
      </c>
      <c r="B35" s="106" t="s">
        <v>791</v>
      </c>
      <c r="C35" s="107" t="s">
        <v>740</v>
      </c>
      <c r="D35" s="108">
        <v>9026</v>
      </c>
      <c r="E35" s="109">
        <v>90026</v>
      </c>
      <c r="F35" s="107" t="s">
        <v>741</v>
      </c>
      <c r="G35" s="110">
        <v>2956746</v>
      </c>
      <c r="H35" s="111">
        <v>906</v>
      </c>
      <c r="I35" s="107" t="s">
        <v>735</v>
      </c>
      <c r="J35" s="112" t="s">
        <v>729</v>
      </c>
      <c r="K35" s="112">
        <v>103</v>
      </c>
      <c r="L35" s="113"/>
      <c r="M35" s="114">
        <v>0</v>
      </c>
      <c r="N35" s="114"/>
      <c r="O35" s="114">
        <v>0</v>
      </c>
      <c r="P35" s="114"/>
      <c r="Q35" s="114">
        <v>0</v>
      </c>
      <c r="R35" s="114"/>
      <c r="S35" s="114">
        <v>0</v>
      </c>
      <c r="T35" s="114"/>
      <c r="U35" s="114">
        <v>0</v>
      </c>
      <c r="V35" s="114"/>
      <c r="W35" s="114">
        <v>0</v>
      </c>
      <c r="X35" s="114"/>
      <c r="Y35" s="114">
        <v>52502166</v>
      </c>
      <c r="Z35" s="114"/>
      <c r="AA35" s="111">
        <v>0</v>
      </c>
      <c r="AB35" s="115"/>
      <c r="AC35" s="116"/>
      <c r="AD35" s="115">
        <v>0</v>
      </c>
      <c r="AE35" s="115"/>
      <c r="AF35" s="115">
        <v>0</v>
      </c>
      <c r="AG35" s="115"/>
      <c r="AH35" s="115">
        <v>0</v>
      </c>
      <c r="AI35" s="115"/>
      <c r="AJ35" s="115">
        <v>0</v>
      </c>
      <c r="AK35" s="115"/>
      <c r="AL35" s="115">
        <v>0</v>
      </c>
      <c r="AM35" s="115"/>
      <c r="AN35" s="115">
        <v>9579691</v>
      </c>
      <c r="AO35" s="115"/>
      <c r="AP35" s="115">
        <v>0</v>
      </c>
      <c r="AQ35" s="106"/>
      <c r="AR35" s="117"/>
      <c r="AS35" s="118"/>
      <c r="AT35" s="118"/>
      <c r="AU35" s="118"/>
      <c r="AV35" s="118"/>
      <c r="AW35" s="118"/>
      <c r="AX35" s="118"/>
      <c r="AY35" s="118"/>
      <c r="AZ35" s="118"/>
      <c r="BA35" s="118"/>
      <c r="BB35" s="118"/>
      <c r="BC35" s="118">
        <v>0.1825</v>
      </c>
      <c r="BD35" s="118"/>
      <c r="BE35" s="118"/>
      <c r="BF35" s="106"/>
      <c r="BG35" s="106" t="s">
        <v>730</v>
      </c>
    </row>
    <row r="36" spans="1:59">
      <c r="A36" s="106" t="s">
        <v>792</v>
      </c>
      <c r="B36" s="106" t="s">
        <v>793</v>
      </c>
      <c r="C36" s="107" t="s">
        <v>794</v>
      </c>
      <c r="D36" s="108">
        <v>5027</v>
      </c>
      <c r="E36" s="109">
        <v>50027</v>
      </c>
      <c r="F36" s="107" t="s">
        <v>726</v>
      </c>
      <c r="G36" s="110">
        <v>2650890</v>
      </c>
      <c r="H36" s="111">
        <v>823</v>
      </c>
      <c r="I36" s="107" t="s">
        <v>735</v>
      </c>
      <c r="J36" s="112" t="s">
        <v>729</v>
      </c>
      <c r="K36" s="112">
        <v>76</v>
      </c>
      <c r="L36" s="113"/>
      <c r="M36" s="114">
        <v>0</v>
      </c>
      <c r="N36" s="114"/>
      <c r="O36" s="114">
        <v>0</v>
      </c>
      <c r="P36" s="114"/>
      <c r="Q36" s="114">
        <v>0</v>
      </c>
      <c r="R36" s="114"/>
      <c r="S36" s="114">
        <v>0</v>
      </c>
      <c r="T36" s="114"/>
      <c r="U36" s="114">
        <v>0</v>
      </c>
      <c r="V36" s="114"/>
      <c r="W36" s="114">
        <v>0</v>
      </c>
      <c r="X36" s="114"/>
      <c r="Y36" s="114">
        <v>31871652</v>
      </c>
      <c r="Z36" s="114"/>
      <c r="AA36" s="111">
        <v>0</v>
      </c>
      <c r="AB36" s="115"/>
      <c r="AC36" s="116"/>
      <c r="AD36" s="115">
        <v>0</v>
      </c>
      <c r="AE36" s="115"/>
      <c r="AF36" s="115">
        <v>0</v>
      </c>
      <c r="AG36" s="115"/>
      <c r="AH36" s="115">
        <v>0</v>
      </c>
      <c r="AI36" s="115"/>
      <c r="AJ36" s="115">
        <v>0</v>
      </c>
      <c r="AK36" s="115"/>
      <c r="AL36" s="115">
        <v>0</v>
      </c>
      <c r="AM36" s="115"/>
      <c r="AN36" s="115">
        <v>4153269</v>
      </c>
      <c r="AO36" s="115"/>
      <c r="AP36" s="115">
        <v>0</v>
      </c>
      <c r="AQ36" s="106"/>
      <c r="AR36" s="117"/>
      <c r="AS36" s="118"/>
      <c r="AT36" s="118"/>
      <c r="AU36" s="118"/>
      <c r="AV36" s="118"/>
      <c r="AW36" s="118"/>
      <c r="AX36" s="118"/>
      <c r="AY36" s="118"/>
      <c r="AZ36" s="118"/>
      <c r="BA36" s="118"/>
      <c r="BB36" s="118"/>
      <c r="BC36" s="118">
        <v>0.1303</v>
      </c>
      <c r="BD36" s="118"/>
      <c r="BE36" s="118"/>
      <c r="BF36" s="106"/>
      <c r="BG36" s="106" t="s">
        <v>730</v>
      </c>
    </row>
    <row r="37" spans="1:59">
      <c r="A37" s="106" t="s">
        <v>792</v>
      </c>
      <c r="B37" s="106" t="s">
        <v>793</v>
      </c>
      <c r="C37" s="107" t="s">
        <v>794</v>
      </c>
      <c r="D37" s="108">
        <v>5027</v>
      </c>
      <c r="E37" s="109">
        <v>50027</v>
      </c>
      <c r="F37" s="107" t="s">
        <v>726</v>
      </c>
      <c r="G37" s="110">
        <v>2650890</v>
      </c>
      <c r="H37" s="111">
        <v>823</v>
      </c>
      <c r="I37" s="107" t="s">
        <v>737</v>
      </c>
      <c r="J37" s="112" t="s">
        <v>736</v>
      </c>
      <c r="K37" s="112">
        <v>20</v>
      </c>
      <c r="L37" s="113"/>
      <c r="M37" s="114">
        <v>213780</v>
      </c>
      <c r="N37" s="114"/>
      <c r="O37" s="114">
        <v>0</v>
      </c>
      <c r="P37" s="114"/>
      <c r="Q37" s="114">
        <v>0</v>
      </c>
      <c r="R37" s="114"/>
      <c r="S37" s="114">
        <v>0</v>
      </c>
      <c r="T37" s="114"/>
      <c r="U37" s="114">
        <v>0</v>
      </c>
      <c r="V37" s="114"/>
      <c r="W37" s="114">
        <v>0</v>
      </c>
      <c r="X37" s="114"/>
      <c r="Y37" s="114">
        <v>0</v>
      </c>
      <c r="Z37" s="114"/>
      <c r="AA37" s="111">
        <v>0</v>
      </c>
      <c r="AB37" s="115"/>
      <c r="AC37" s="116"/>
      <c r="AD37" s="115">
        <v>63438</v>
      </c>
      <c r="AE37" s="115"/>
      <c r="AF37" s="115">
        <v>0</v>
      </c>
      <c r="AG37" s="115"/>
      <c r="AH37" s="115">
        <v>0</v>
      </c>
      <c r="AI37" s="115"/>
      <c r="AJ37" s="115">
        <v>0</v>
      </c>
      <c r="AK37" s="115"/>
      <c r="AL37" s="115">
        <v>0</v>
      </c>
      <c r="AM37" s="115"/>
      <c r="AN37" s="115">
        <v>0</v>
      </c>
      <c r="AO37" s="115"/>
      <c r="AP37" s="115">
        <v>0</v>
      </c>
      <c r="AQ37" s="106"/>
      <c r="AR37" s="117"/>
      <c r="AS37" s="118">
        <v>0.29670000000000002</v>
      </c>
      <c r="AT37" s="118"/>
      <c r="AU37" s="118"/>
      <c r="AV37" s="118"/>
      <c r="AW37" s="118"/>
      <c r="AX37" s="118"/>
      <c r="AY37" s="118"/>
      <c r="AZ37" s="118"/>
      <c r="BA37" s="118"/>
      <c r="BB37" s="118"/>
      <c r="BC37" s="118"/>
      <c r="BD37" s="118"/>
      <c r="BE37" s="118"/>
      <c r="BF37" s="106"/>
      <c r="BG37" s="106" t="s">
        <v>730</v>
      </c>
    </row>
    <row r="38" spans="1:59">
      <c r="A38" s="106" t="s">
        <v>795</v>
      </c>
      <c r="B38" s="106" t="s">
        <v>796</v>
      </c>
      <c r="C38" s="107" t="s">
        <v>740</v>
      </c>
      <c r="D38" s="108">
        <v>9013</v>
      </c>
      <c r="E38" s="109">
        <v>90013</v>
      </c>
      <c r="F38" s="107" t="s">
        <v>741</v>
      </c>
      <c r="G38" s="110">
        <v>1664496</v>
      </c>
      <c r="H38" s="111">
        <v>635</v>
      </c>
      <c r="I38" s="107" t="s">
        <v>735</v>
      </c>
      <c r="J38" s="112" t="s">
        <v>729</v>
      </c>
      <c r="K38" s="112">
        <v>61</v>
      </c>
      <c r="L38" s="113"/>
      <c r="M38" s="114">
        <v>0</v>
      </c>
      <c r="N38" s="114"/>
      <c r="O38" s="114">
        <v>0</v>
      </c>
      <c r="P38" s="114"/>
      <c r="Q38" s="114">
        <v>0</v>
      </c>
      <c r="R38" s="114"/>
      <c r="S38" s="114">
        <v>0</v>
      </c>
      <c r="T38" s="114"/>
      <c r="U38" s="114">
        <v>0</v>
      </c>
      <c r="V38" s="114"/>
      <c r="W38" s="114">
        <v>0</v>
      </c>
      <c r="X38" s="114"/>
      <c r="Y38" s="114">
        <v>22062611</v>
      </c>
      <c r="Z38" s="114"/>
      <c r="AA38" s="111">
        <v>0</v>
      </c>
      <c r="AB38" s="115"/>
      <c r="AC38" s="116"/>
      <c r="AD38" s="115">
        <v>0</v>
      </c>
      <c r="AE38" s="115"/>
      <c r="AF38" s="115">
        <v>0</v>
      </c>
      <c r="AG38" s="115"/>
      <c r="AH38" s="115">
        <v>0</v>
      </c>
      <c r="AI38" s="115"/>
      <c r="AJ38" s="115">
        <v>0</v>
      </c>
      <c r="AK38" s="115"/>
      <c r="AL38" s="115">
        <v>0</v>
      </c>
      <c r="AM38" s="115"/>
      <c r="AN38" s="115">
        <v>3093884</v>
      </c>
      <c r="AO38" s="115"/>
      <c r="AP38" s="115">
        <v>0</v>
      </c>
      <c r="AQ38" s="106"/>
      <c r="AR38" s="117"/>
      <c r="AS38" s="118"/>
      <c r="AT38" s="118"/>
      <c r="AU38" s="118"/>
      <c r="AV38" s="118"/>
      <c r="AW38" s="118"/>
      <c r="AX38" s="118"/>
      <c r="AY38" s="118"/>
      <c r="AZ38" s="118"/>
      <c r="BA38" s="118"/>
      <c r="BB38" s="118"/>
      <c r="BC38" s="118">
        <v>0.14019999999999999</v>
      </c>
      <c r="BD38" s="118"/>
      <c r="BE38" s="118"/>
      <c r="BF38" s="106"/>
      <c r="BG38" s="106" t="s">
        <v>730</v>
      </c>
    </row>
    <row r="39" spans="1:59">
      <c r="A39" s="106" t="s">
        <v>797</v>
      </c>
      <c r="B39" s="106" t="s">
        <v>798</v>
      </c>
      <c r="C39" s="107" t="s">
        <v>740</v>
      </c>
      <c r="D39" s="108">
        <v>9003</v>
      </c>
      <c r="E39" s="109">
        <v>90003</v>
      </c>
      <c r="F39" s="107" t="s">
        <v>741</v>
      </c>
      <c r="G39" s="110">
        <v>3281212</v>
      </c>
      <c r="H39" s="111">
        <v>616</v>
      </c>
      <c r="I39" s="107" t="s">
        <v>728</v>
      </c>
      <c r="J39" s="112" t="s">
        <v>729</v>
      </c>
      <c r="K39" s="112">
        <v>599</v>
      </c>
      <c r="L39" s="113"/>
      <c r="M39" s="114">
        <v>0</v>
      </c>
      <c r="N39" s="114"/>
      <c r="O39" s="114">
        <v>0</v>
      </c>
      <c r="P39" s="114"/>
      <c r="Q39" s="114">
        <v>0</v>
      </c>
      <c r="R39" s="114"/>
      <c r="S39" s="114">
        <v>0</v>
      </c>
      <c r="T39" s="114"/>
      <c r="U39" s="114">
        <v>0</v>
      </c>
      <c r="V39" s="114"/>
      <c r="W39" s="114">
        <v>0</v>
      </c>
      <c r="X39" s="114"/>
      <c r="Y39" s="114">
        <v>298200780</v>
      </c>
      <c r="Z39" s="114"/>
      <c r="AA39" s="111">
        <v>0</v>
      </c>
      <c r="AB39" s="115"/>
      <c r="AC39" s="116"/>
      <c r="AD39" s="115">
        <v>0</v>
      </c>
      <c r="AE39" s="115"/>
      <c r="AF39" s="115">
        <v>0</v>
      </c>
      <c r="AG39" s="115"/>
      <c r="AH39" s="115">
        <v>0</v>
      </c>
      <c r="AI39" s="115"/>
      <c r="AJ39" s="115">
        <v>0</v>
      </c>
      <c r="AK39" s="115"/>
      <c r="AL39" s="115">
        <v>0</v>
      </c>
      <c r="AM39" s="115"/>
      <c r="AN39" s="115">
        <v>61097126</v>
      </c>
      <c r="AO39" s="115"/>
      <c r="AP39" s="115">
        <v>0</v>
      </c>
      <c r="AQ39" s="106"/>
      <c r="AR39" s="117"/>
      <c r="AS39" s="118"/>
      <c r="AT39" s="118"/>
      <c r="AU39" s="118"/>
      <c r="AV39" s="118"/>
      <c r="AW39" s="118"/>
      <c r="AX39" s="118"/>
      <c r="AY39" s="118"/>
      <c r="AZ39" s="118"/>
      <c r="BA39" s="118"/>
      <c r="BB39" s="118"/>
      <c r="BC39" s="118">
        <v>0.2049</v>
      </c>
      <c r="BD39" s="118"/>
      <c r="BE39" s="118"/>
      <c r="BF39" s="106"/>
      <c r="BG39" s="106" t="s">
        <v>730</v>
      </c>
    </row>
    <row r="40" spans="1:59">
      <c r="A40" s="106" t="s">
        <v>799</v>
      </c>
      <c r="B40" s="106" t="s">
        <v>800</v>
      </c>
      <c r="C40" s="107" t="s">
        <v>801</v>
      </c>
      <c r="D40" s="108">
        <v>7006</v>
      </c>
      <c r="E40" s="109">
        <v>70006</v>
      </c>
      <c r="F40" s="107" t="s">
        <v>741</v>
      </c>
      <c r="G40" s="110">
        <v>2150706</v>
      </c>
      <c r="H40" s="111">
        <v>493</v>
      </c>
      <c r="I40" s="107" t="s">
        <v>735</v>
      </c>
      <c r="J40" s="112" t="s">
        <v>729</v>
      </c>
      <c r="K40" s="112">
        <v>50</v>
      </c>
      <c r="L40" s="113"/>
      <c r="M40" s="114">
        <v>0</v>
      </c>
      <c r="N40" s="114"/>
      <c r="O40" s="114">
        <v>0</v>
      </c>
      <c r="P40" s="114"/>
      <c r="Q40" s="114">
        <v>0</v>
      </c>
      <c r="R40" s="114"/>
      <c r="S40" s="114">
        <v>0</v>
      </c>
      <c r="T40" s="114"/>
      <c r="U40" s="114">
        <v>0</v>
      </c>
      <c r="V40" s="114"/>
      <c r="W40" s="114">
        <v>0</v>
      </c>
      <c r="X40" s="114"/>
      <c r="Y40" s="114">
        <v>36496148</v>
      </c>
      <c r="Z40" s="114"/>
      <c r="AA40" s="111">
        <v>0</v>
      </c>
      <c r="AB40" s="115"/>
      <c r="AC40" s="116"/>
      <c r="AD40" s="115">
        <v>0</v>
      </c>
      <c r="AE40" s="115"/>
      <c r="AF40" s="115">
        <v>0</v>
      </c>
      <c r="AG40" s="115"/>
      <c r="AH40" s="115">
        <v>0</v>
      </c>
      <c r="AI40" s="115"/>
      <c r="AJ40" s="115">
        <v>0</v>
      </c>
      <c r="AK40" s="115"/>
      <c r="AL40" s="115">
        <v>0</v>
      </c>
      <c r="AM40" s="115"/>
      <c r="AN40" s="115">
        <v>5934378</v>
      </c>
      <c r="AO40" s="115"/>
      <c r="AP40" s="115">
        <v>0</v>
      </c>
      <c r="AQ40" s="106"/>
      <c r="AR40" s="117"/>
      <c r="AS40" s="118"/>
      <c r="AT40" s="118"/>
      <c r="AU40" s="118"/>
      <c r="AV40" s="118"/>
      <c r="AW40" s="118"/>
      <c r="AX40" s="118"/>
      <c r="AY40" s="118"/>
      <c r="AZ40" s="118"/>
      <c r="BA40" s="118"/>
      <c r="BB40" s="118"/>
      <c r="BC40" s="118">
        <v>0.16259999999999999</v>
      </c>
      <c r="BD40" s="118"/>
      <c r="BE40" s="118"/>
      <c r="BF40" s="106"/>
      <c r="BG40" s="106" t="s">
        <v>730</v>
      </c>
    </row>
    <row r="41" spans="1:59">
      <c r="A41" s="106" t="s">
        <v>802</v>
      </c>
      <c r="B41" s="106" t="s">
        <v>803</v>
      </c>
      <c r="C41" s="107" t="s">
        <v>804</v>
      </c>
      <c r="D41" s="108">
        <v>5015</v>
      </c>
      <c r="E41" s="109">
        <v>50015</v>
      </c>
      <c r="F41" s="107" t="s">
        <v>741</v>
      </c>
      <c r="G41" s="110">
        <v>1780673</v>
      </c>
      <c r="H41" s="111">
        <v>418</v>
      </c>
      <c r="I41" s="107" t="s">
        <v>735</v>
      </c>
      <c r="J41" s="112" t="s">
        <v>729</v>
      </c>
      <c r="K41" s="112">
        <v>6</v>
      </c>
      <c r="L41" s="113"/>
      <c r="M41" s="114">
        <v>0</v>
      </c>
      <c r="N41" s="114"/>
      <c r="O41" s="114">
        <v>0</v>
      </c>
      <c r="P41" s="114"/>
      <c r="Q41" s="114">
        <v>0</v>
      </c>
      <c r="R41" s="114"/>
      <c r="S41" s="114">
        <v>0</v>
      </c>
      <c r="T41" s="114"/>
      <c r="U41" s="114">
        <v>0</v>
      </c>
      <c r="V41" s="114"/>
      <c r="W41" s="114">
        <v>0</v>
      </c>
      <c r="X41" s="114"/>
      <c r="Y41" s="114">
        <v>11321758</v>
      </c>
      <c r="Z41" s="114"/>
      <c r="AA41" s="111">
        <v>0</v>
      </c>
      <c r="AB41" s="115"/>
      <c r="AC41" s="116"/>
      <c r="AD41" s="115">
        <v>0</v>
      </c>
      <c r="AE41" s="115"/>
      <c r="AF41" s="115">
        <v>0</v>
      </c>
      <c r="AG41" s="115"/>
      <c r="AH41" s="115">
        <v>0</v>
      </c>
      <c r="AI41" s="115"/>
      <c r="AJ41" s="115">
        <v>0</v>
      </c>
      <c r="AK41" s="115"/>
      <c r="AL41" s="115">
        <v>0</v>
      </c>
      <c r="AM41" s="115"/>
      <c r="AN41" s="115">
        <v>625941</v>
      </c>
      <c r="AO41" s="115"/>
      <c r="AP41" s="115">
        <v>0</v>
      </c>
      <c r="AQ41" s="106"/>
      <c r="AR41" s="117"/>
      <c r="AS41" s="118"/>
      <c r="AT41" s="118"/>
      <c r="AU41" s="118"/>
      <c r="AV41" s="118"/>
      <c r="AW41" s="118"/>
      <c r="AX41" s="118"/>
      <c r="AY41" s="118"/>
      <c r="AZ41" s="118"/>
      <c r="BA41" s="118"/>
      <c r="BB41" s="118"/>
      <c r="BC41" s="118">
        <v>5.5300000000000002E-2</v>
      </c>
      <c r="BD41" s="118"/>
      <c r="BE41" s="118"/>
      <c r="BF41" s="106"/>
      <c r="BG41" s="106" t="s">
        <v>730</v>
      </c>
    </row>
    <row r="42" spans="1:59">
      <c r="A42" s="106" t="s">
        <v>802</v>
      </c>
      <c r="B42" s="106" t="s">
        <v>803</v>
      </c>
      <c r="C42" s="107" t="s">
        <v>804</v>
      </c>
      <c r="D42" s="108">
        <v>5015</v>
      </c>
      <c r="E42" s="109">
        <v>50015</v>
      </c>
      <c r="F42" s="107" t="s">
        <v>741</v>
      </c>
      <c r="G42" s="110">
        <v>1780673</v>
      </c>
      <c r="H42" s="111">
        <v>418</v>
      </c>
      <c r="I42" s="107" t="s">
        <v>728</v>
      </c>
      <c r="J42" s="112" t="s">
        <v>729</v>
      </c>
      <c r="K42" s="112">
        <v>16</v>
      </c>
      <c r="L42" s="113"/>
      <c r="M42" s="114">
        <v>0</v>
      </c>
      <c r="N42" s="114"/>
      <c r="O42" s="114">
        <v>0</v>
      </c>
      <c r="P42" s="114"/>
      <c r="Q42" s="114">
        <v>0</v>
      </c>
      <c r="R42" s="114"/>
      <c r="S42" s="114">
        <v>0</v>
      </c>
      <c r="T42" s="114"/>
      <c r="U42" s="114">
        <v>0</v>
      </c>
      <c r="V42" s="114"/>
      <c r="W42" s="114">
        <v>0</v>
      </c>
      <c r="X42" s="114"/>
      <c r="Y42" s="114">
        <v>20768378</v>
      </c>
      <c r="Z42" s="114"/>
      <c r="AA42" s="111">
        <v>0</v>
      </c>
      <c r="AB42" s="115"/>
      <c r="AC42" s="116"/>
      <c r="AD42" s="115">
        <v>0</v>
      </c>
      <c r="AE42" s="115"/>
      <c r="AF42" s="115">
        <v>0</v>
      </c>
      <c r="AG42" s="115"/>
      <c r="AH42" s="115">
        <v>0</v>
      </c>
      <c r="AI42" s="115"/>
      <c r="AJ42" s="115">
        <v>0</v>
      </c>
      <c r="AK42" s="115"/>
      <c r="AL42" s="115">
        <v>0</v>
      </c>
      <c r="AM42" s="115"/>
      <c r="AN42" s="115">
        <v>2295631</v>
      </c>
      <c r="AO42" s="115"/>
      <c r="AP42" s="115">
        <v>0</v>
      </c>
      <c r="AQ42" s="106"/>
      <c r="AR42" s="117"/>
      <c r="AS42" s="118"/>
      <c r="AT42" s="118"/>
      <c r="AU42" s="118"/>
      <c r="AV42" s="118"/>
      <c r="AW42" s="118"/>
      <c r="AX42" s="118"/>
      <c r="AY42" s="118"/>
      <c r="AZ42" s="118"/>
      <c r="BA42" s="118"/>
      <c r="BB42" s="118"/>
      <c r="BC42" s="118">
        <v>0.1105</v>
      </c>
      <c r="BD42" s="118"/>
      <c r="BE42" s="118"/>
      <c r="BF42" s="106"/>
      <c r="BG42" s="106" t="s">
        <v>730</v>
      </c>
    </row>
    <row r="43" spans="1:59">
      <c r="A43" s="106" t="s">
        <v>805</v>
      </c>
      <c r="B43" s="106" t="s">
        <v>806</v>
      </c>
      <c r="C43" s="107" t="s">
        <v>807</v>
      </c>
      <c r="D43" s="108">
        <v>3083</v>
      </c>
      <c r="E43" s="109">
        <v>30083</v>
      </c>
      <c r="F43" s="107" t="s">
        <v>741</v>
      </c>
      <c r="G43" s="110">
        <v>1439666</v>
      </c>
      <c r="H43" s="111">
        <v>417</v>
      </c>
      <c r="I43" s="107" t="s">
        <v>735</v>
      </c>
      <c r="J43" s="112" t="s">
        <v>729</v>
      </c>
      <c r="K43" s="112">
        <v>6</v>
      </c>
      <c r="L43" s="113"/>
      <c r="M43" s="114">
        <v>0</v>
      </c>
      <c r="N43" s="114"/>
      <c r="O43" s="114">
        <v>0</v>
      </c>
      <c r="P43" s="114"/>
      <c r="Q43" s="114">
        <v>0</v>
      </c>
      <c r="R43" s="114"/>
      <c r="S43" s="114">
        <v>0</v>
      </c>
      <c r="T43" s="114"/>
      <c r="U43" s="114">
        <v>0</v>
      </c>
      <c r="V43" s="114"/>
      <c r="W43" s="114">
        <v>0</v>
      </c>
      <c r="X43" s="114"/>
      <c r="Y43" s="114">
        <v>3318000</v>
      </c>
      <c r="Z43" s="114"/>
      <c r="AA43" s="111">
        <v>0</v>
      </c>
      <c r="AB43" s="115"/>
      <c r="AC43" s="116"/>
      <c r="AD43" s="115">
        <v>0</v>
      </c>
      <c r="AE43" s="115"/>
      <c r="AF43" s="115">
        <v>0</v>
      </c>
      <c r="AG43" s="115"/>
      <c r="AH43" s="115">
        <v>0</v>
      </c>
      <c r="AI43" s="115"/>
      <c r="AJ43" s="115">
        <v>0</v>
      </c>
      <c r="AK43" s="115"/>
      <c r="AL43" s="115">
        <v>0</v>
      </c>
      <c r="AM43" s="115"/>
      <c r="AN43" s="115">
        <v>345837</v>
      </c>
      <c r="AO43" s="115"/>
      <c r="AP43" s="115">
        <v>0</v>
      </c>
      <c r="AQ43" s="106"/>
      <c r="AR43" s="117"/>
      <c r="AS43" s="118"/>
      <c r="AT43" s="118"/>
      <c r="AU43" s="118"/>
      <c r="AV43" s="118"/>
      <c r="AW43" s="118"/>
      <c r="AX43" s="118"/>
      <c r="AY43" s="118"/>
      <c r="AZ43" s="118"/>
      <c r="BA43" s="118"/>
      <c r="BB43" s="118"/>
      <c r="BC43" s="118">
        <v>0.1042</v>
      </c>
      <c r="BD43" s="118"/>
      <c r="BE43" s="118"/>
      <c r="BF43" s="106"/>
      <c r="BG43" s="106" t="s">
        <v>730</v>
      </c>
    </row>
    <row r="44" spans="1:59">
      <c r="A44" s="106" t="s">
        <v>808</v>
      </c>
      <c r="B44" s="106" t="s">
        <v>809</v>
      </c>
      <c r="C44" s="107" t="s">
        <v>810</v>
      </c>
      <c r="D44" s="108">
        <v>4008</v>
      </c>
      <c r="E44" s="109">
        <v>40008</v>
      </c>
      <c r="F44" s="107" t="s">
        <v>767</v>
      </c>
      <c r="G44" s="110">
        <v>1249442</v>
      </c>
      <c r="H44" s="111">
        <v>409</v>
      </c>
      <c r="I44" s="107" t="s">
        <v>735</v>
      </c>
      <c r="J44" s="112" t="s">
        <v>729</v>
      </c>
      <c r="K44" s="112">
        <v>36</v>
      </c>
      <c r="L44" s="113"/>
      <c r="M44" s="114">
        <v>0</v>
      </c>
      <c r="N44" s="114"/>
      <c r="O44" s="114">
        <v>0</v>
      </c>
      <c r="P44" s="114"/>
      <c r="Q44" s="114">
        <v>0</v>
      </c>
      <c r="R44" s="114"/>
      <c r="S44" s="114">
        <v>0</v>
      </c>
      <c r="T44" s="114"/>
      <c r="U44" s="114">
        <v>0</v>
      </c>
      <c r="V44" s="114"/>
      <c r="W44" s="114">
        <v>0</v>
      </c>
      <c r="X44" s="114"/>
      <c r="Y44" s="114">
        <v>16786660</v>
      </c>
      <c r="Z44" s="114"/>
      <c r="AA44" s="111">
        <v>0</v>
      </c>
      <c r="AB44" s="115"/>
      <c r="AC44" s="116"/>
      <c r="AD44" s="115">
        <v>0</v>
      </c>
      <c r="AE44" s="115"/>
      <c r="AF44" s="115">
        <v>0</v>
      </c>
      <c r="AG44" s="115"/>
      <c r="AH44" s="115">
        <v>0</v>
      </c>
      <c r="AI44" s="115"/>
      <c r="AJ44" s="115">
        <v>0</v>
      </c>
      <c r="AK44" s="115"/>
      <c r="AL44" s="115">
        <v>0</v>
      </c>
      <c r="AM44" s="115"/>
      <c r="AN44" s="115">
        <v>2267804</v>
      </c>
      <c r="AO44" s="115"/>
      <c r="AP44" s="115">
        <v>0</v>
      </c>
      <c r="AQ44" s="106"/>
      <c r="AR44" s="117"/>
      <c r="AS44" s="118"/>
      <c r="AT44" s="118"/>
      <c r="AU44" s="118"/>
      <c r="AV44" s="118"/>
      <c r="AW44" s="118"/>
      <c r="AX44" s="118"/>
      <c r="AY44" s="118"/>
      <c r="AZ44" s="118"/>
      <c r="BA44" s="118"/>
      <c r="BB44" s="118"/>
      <c r="BC44" s="118">
        <v>0.1351</v>
      </c>
      <c r="BD44" s="118"/>
      <c r="BE44" s="118"/>
      <c r="BF44" s="106"/>
      <c r="BG44" s="106" t="s">
        <v>730</v>
      </c>
    </row>
    <row r="45" spans="1:59">
      <c r="A45" s="106" t="s">
        <v>811</v>
      </c>
      <c r="B45" s="106" t="s">
        <v>812</v>
      </c>
      <c r="C45" s="107" t="s">
        <v>813</v>
      </c>
      <c r="D45" s="108">
        <v>40</v>
      </c>
      <c r="E45" s="109">
        <v>40</v>
      </c>
      <c r="F45" s="107" t="s">
        <v>741</v>
      </c>
      <c r="G45" s="110">
        <v>3059393</v>
      </c>
      <c r="H45" s="111">
        <v>381</v>
      </c>
      <c r="I45" s="107" t="s">
        <v>737</v>
      </c>
      <c r="J45" s="112" t="s">
        <v>736</v>
      </c>
      <c r="K45" s="112">
        <v>70</v>
      </c>
      <c r="L45" s="113"/>
      <c r="M45" s="114">
        <v>625305</v>
      </c>
      <c r="N45" s="114"/>
      <c r="O45" s="114">
        <v>0</v>
      </c>
      <c r="P45" s="114"/>
      <c r="Q45" s="114">
        <v>0</v>
      </c>
      <c r="R45" s="114"/>
      <c r="S45" s="114">
        <v>0</v>
      </c>
      <c r="T45" s="114"/>
      <c r="U45" s="114">
        <v>0</v>
      </c>
      <c r="V45" s="114"/>
      <c r="W45" s="114">
        <v>0</v>
      </c>
      <c r="X45" s="114"/>
      <c r="Y45" s="114">
        <v>0</v>
      </c>
      <c r="Z45" s="114"/>
      <c r="AA45" s="111">
        <v>0</v>
      </c>
      <c r="AB45" s="115"/>
      <c r="AC45" s="116"/>
      <c r="AD45" s="115">
        <v>335545</v>
      </c>
      <c r="AE45" s="115"/>
      <c r="AF45" s="115">
        <v>0</v>
      </c>
      <c r="AG45" s="115"/>
      <c r="AH45" s="115">
        <v>0</v>
      </c>
      <c r="AI45" s="115"/>
      <c r="AJ45" s="115">
        <v>0</v>
      </c>
      <c r="AK45" s="115"/>
      <c r="AL45" s="115">
        <v>0</v>
      </c>
      <c r="AM45" s="115"/>
      <c r="AN45" s="115">
        <v>0</v>
      </c>
      <c r="AO45" s="115"/>
      <c r="AP45" s="115">
        <v>0</v>
      </c>
      <c r="AQ45" s="106"/>
      <c r="AR45" s="117"/>
      <c r="AS45" s="118">
        <v>0.53659999999999997</v>
      </c>
      <c r="AT45" s="118"/>
      <c r="AU45" s="118"/>
      <c r="AV45" s="118"/>
      <c r="AW45" s="118"/>
      <c r="AX45" s="118"/>
      <c r="AY45" s="118"/>
      <c r="AZ45" s="118"/>
      <c r="BA45" s="118"/>
      <c r="BB45" s="118"/>
      <c r="BC45" s="118"/>
      <c r="BD45" s="118"/>
      <c r="BE45" s="118"/>
      <c r="BF45" s="106"/>
      <c r="BG45" s="106" t="s">
        <v>730</v>
      </c>
    </row>
    <row r="46" spans="1:59">
      <c r="A46" s="106" t="s">
        <v>811</v>
      </c>
      <c r="B46" s="106" t="s">
        <v>812</v>
      </c>
      <c r="C46" s="107" t="s">
        <v>813</v>
      </c>
      <c r="D46" s="108">
        <v>40</v>
      </c>
      <c r="E46" s="109">
        <v>40</v>
      </c>
      <c r="F46" s="107" t="s">
        <v>741</v>
      </c>
      <c r="G46" s="110">
        <v>3059393</v>
      </c>
      <c r="H46" s="111">
        <v>381</v>
      </c>
      <c r="I46" s="107" t="s">
        <v>735</v>
      </c>
      <c r="J46" s="112" t="s">
        <v>729</v>
      </c>
      <c r="K46" s="112">
        <v>48</v>
      </c>
      <c r="L46" s="113"/>
      <c r="M46" s="114">
        <v>0</v>
      </c>
      <c r="N46" s="114"/>
      <c r="O46" s="114">
        <v>0</v>
      </c>
      <c r="P46" s="114"/>
      <c r="Q46" s="114">
        <v>0</v>
      </c>
      <c r="R46" s="114"/>
      <c r="S46" s="114">
        <v>0</v>
      </c>
      <c r="T46" s="114"/>
      <c r="U46" s="114">
        <v>0</v>
      </c>
      <c r="V46" s="114"/>
      <c r="W46" s="114">
        <v>0</v>
      </c>
      <c r="X46" s="114"/>
      <c r="Y46" s="114">
        <v>20355203</v>
      </c>
      <c r="Z46" s="114"/>
      <c r="AA46" s="111">
        <v>0</v>
      </c>
      <c r="AB46" s="115"/>
      <c r="AC46" s="116"/>
      <c r="AD46" s="115">
        <v>0</v>
      </c>
      <c r="AE46" s="115"/>
      <c r="AF46" s="115">
        <v>0</v>
      </c>
      <c r="AG46" s="115"/>
      <c r="AH46" s="115">
        <v>0</v>
      </c>
      <c r="AI46" s="115"/>
      <c r="AJ46" s="115">
        <v>0</v>
      </c>
      <c r="AK46" s="115"/>
      <c r="AL46" s="115">
        <v>0</v>
      </c>
      <c r="AM46" s="115"/>
      <c r="AN46" s="115">
        <v>4232555</v>
      </c>
      <c r="AO46" s="115"/>
      <c r="AP46" s="115">
        <v>0</v>
      </c>
      <c r="AQ46" s="106"/>
      <c r="AR46" s="117"/>
      <c r="AS46" s="118"/>
      <c r="AT46" s="118"/>
      <c r="AU46" s="118"/>
      <c r="AV46" s="118"/>
      <c r="AW46" s="118"/>
      <c r="AX46" s="118"/>
      <c r="AY46" s="118"/>
      <c r="AZ46" s="118"/>
      <c r="BA46" s="118"/>
      <c r="BB46" s="118"/>
      <c r="BC46" s="118">
        <v>0.2079</v>
      </c>
      <c r="BD46" s="118"/>
      <c r="BE46" s="118"/>
      <c r="BF46" s="106"/>
      <c r="BG46" s="106" t="s">
        <v>730</v>
      </c>
    </row>
    <row r="47" spans="1:59">
      <c r="A47" s="106" t="s">
        <v>814</v>
      </c>
      <c r="B47" s="106" t="s">
        <v>815</v>
      </c>
      <c r="C47" s="107" t="s">
        <v>725</v>
      </c>
      <c r="D47" s="108">
        <v>2004</v>
      </c>
      <c r="E47" s="109">
        <v>20004</v>
      </c>
      <c r="F47" s="107" t="s">
        <v>741</v>
      </c>
      <c r="G47" s="110">
        <v>935906</v>
      </c>
      <c r="H47" s="111">
        <v>359</v>
      </c>
      <c r="I47" s="107" t="s">
        <v>735</v>
      </c>
      <c r="J47" s="112" t="s">
        <v>729</v>
      </c>
      <c r="K47" s="112">
        <v>23</v>
      </c>
      <c r="L47" s="113"/>
      <c r="M47" s="114">
        <v>0</v>
      </c>
      <c r="N47" s="114"/>
      <c r="O47" s="114">
        <v>0</v>
      </c>
      <c r="P47" s="114"/>
      <c r="Q47" s="114">
        <v>0</v>
      </c>
      <c r="R47" s="114"/>
      <c r="S47" s="114">
        <v>0</v>
      </c>
      <c r="T47" s="114"/>
      <c r="U47" s="114">
        <v>0</v>
      </c>
      <c r="V47" s="114"/>
      <c r="W47" s="114">
        <v>0</v>
      </c>
      <c r="X47" s="114"/>
      <c r="Y47" s="114">
        <v>7920559</v>
      </c>
      <c r="Z47" s="114"/>
      <c r="AA47" s="111">
        <v>0</v>
      </c>
      <c r="AB47" s="115"/>
      <c r="AC47" s="116"/>
      <c r="AD47" s="115">
        <v>0</v>
      </c>
      <c r="AE47" s="115"/>
      <c r="AF47" s="115">
        <v>0</v>
      </c>
      <c r="AG47" s="115"/>
      <c r="AH47" s="115">
        <v>0</v>
      </c>
      <c r="AI47" s="115"/>
      <c r="AJ47" s="115">
        <v>0</v>
      </c>
      <c r="AK47" s="115"/>
      <c r="AL47" s="115">
        <v>0</v>
      </c>
      <c r="AM47" s="115"/>
      <c r="AN47" s="115">
        <v>990450</v>
      </c>
      <c r="AO47" s="115"/>
      <c r="AP47" s="115">
        <v>0</v>
      </c>
      <c r="AQ47" s="106"/>
      <c r="AR47" s="117"/>
      <c r="AS47" s="118"/>
      <c r="AT47" s="118"/>
      <c r="AU47" s="118"/>
      <c r="AV47" s="118"/>
      <c r="AW47" s="118"/>
      <c r="AX47" s="118"/>
      <c r="AY47" s="118"/>
      <c r="AZ47" s="118"/>
      <c r="BA47" s="118"/>
      <c r="BB47" s="118"/>
      <c r="BC47" s="118">
        <v>0.125</v>
      </c>
      <c r="BD47" s="118"/>
      <c r="BE47" s="118"/>
      <c r="BF47" s="106"/>
      <c r="BG47" s="106" t="s">
        <v>730</v>
      </c>
    </row>
    <row r="48" spans="1:59">
      <c r="A48" s="106" t="s">
        <v>816</v>
      </c>
      <c r="B48" s="106" t="s">
        <v>817</v>
      </c>
      <c r="C48" s="107" t="s">
        <v>740</v>
      </c>
      <c r="D48" s="108">
        <v>9019</v>
      </c>
      <c r="E48" s="109">
        <v>90019</v>
      </c>
      <c r="F48" s="107" t="s">
        <v>741</v>
      </c>
      <c r="G48" s="110">
        <v>1723634</v>
      </c>
      <c r="H48" s="111">
        <v>331</v>
      </c>
      <c r="I48" s="107" t="s">
        <v>735</v>
      </c>
      <c r="J48" s="112" t="s">
        <v>729</v>
      </c>
      <c r="K48" s="112">
        <v>69</v>
      </c>
      <c r="L48" s="113"/>
      <c r="M48" s="114">
        <v>0</v>
      </c>
      <c r="N48" s="114"/>
      <c r="O48" s="114">
        <v>0</v>
      </c>
      <c r="P48" s="114"/>
      <c r="Q48" s="114">
        <v>0</v>
      </c>
      <c r="R48" s="114"/>
      <c r="S48" s="114">
        <v>0</v>
      </c>
      <c r="T48" s="114"/>
      <c r="U48" s="114">
        <v>0</v>
      </c>
      <c r="V48" s="114"/>
      <c r="W48" s="114">
        <v>0</v>
      </c>
      <c r="X48" s="114"/>
      <c r="Y48" s="114">
        <v>30089655</v>
      </c>
      <c r="Z48" s="114"/>
      <c r="AA48" s="111">
        <v>0</v>
      </c>
      <c r="AB48" s="115"/>
      <c r="AC48" s="116"/>
      <c r="AD48" s="115">
        <v>0</v>
      </c>
      <c r="AE48" s="115"/>
      <c r="AF48" s="115">
        <v>0</v>
      </c>
      <c r="AG48" s="115"/>
      <c r="AH48" s="115">
        <v>0</v>
      </c>
      <c r="AI48" s="115"/>
      <c r="AJ48" s="115">
        <v>0</v>
      </c>
      <c r="AK48" s="115"/>
      <c r="AL48" s="115">
        <v>0</v>
      </c>
      <c r="AM48" s="115"/>
      <c r="AN48" s="115">
        <v>3768892</v>
      </c>
      <c r="AO48" s="115"/>
      <c r="AP48" s="115">
        <v>0</v>
      </c>
      <c r="AQ48" s="106"/>
      <c r="AR48" s="117"/>
      <c r="AS48" s="118"/>
      <c r="AT48" s="118"/>
      <c r="AU48" s="118"/>
      <c r="AV48" s="118"/>
      <c r="AW48" s="118"/>
      <c r="AX48" s="118"/>
      <c r="AY48" s="118"/>
      <c r="AZ48" s="118"/>
      <c r="BA48" s="118"/>
      <c r="BB48" s="118"/>
      <c r="BC48" s="118">
        <v>0.12529999999999999</v>
      </c>
      <c r="BD48" s="118"/>
      <c r="BE48" s="118"/>
      <c r="BF48" s="106"/>
      <c r="BG48" s="106" t="s">
        <v>730</v>
      </c>
    </row>
    <row r="49" spans="1:59">
      <c r="A49" s="106" t="s">
        <v>818</v>
      </c>
      <c r="B49" s="106" t="s">
        <v>819</v>
      </c>
      <c r="C49" s="107" t="s">
        <v>759</v>
      </c>
      <c r="D49" s="108">
        <v>6007</v>
      </c>
      <c r="E49" s="109">
        <v>60007</v>
      </c>
      <c r="F49" s="107" t="s">
        <v>741</v>
      </c>
      <c r="G49" s="110">
        <v>5121892</v>
      </c>
      <c r="H49" s="111">
        <v>312</v>
      </c>
      <c r="I49" s="107" t="s">
        <v>737</v>
      </c>
      <c r="J49" s="112" t="s">
        <v>736</v>
      </c>
      <c r="K49" s="112">
        <v>20</v>
      </c>
      <c r="L49" s="113"/>
      <c r="M49" s="114">
        <v>442412</v>
      </c>
      <c r="N49" s="114"/>
      <c r="O49" s="114">
        <v>0</v>
      </c>
      <c r="P49" s="114"/>
      <c r="Q49" s="114">
        <v>0</v>
      </c>
      <c r="R49" s="114"/>
      <c r="S49" s="114">
        <v>0</v>
      </c>
      <c r="T49" s="114"/>
      <c r="U49" s="114">
        <v>0</v>
      </c>
      <c r="V49" s="114"/>
      <c r="W49" s="114">
        <v>0</v>
      </c>
      <c r="X49" s="114"/>
      <c r="Y49" s="114">
        <v>0</v>
      </c>
      <c r="Z49" s="114"/>
      <c r="AA49" s="111">
        <v>0</v>
      </c>
      <c r="AB49" s="115"/>
      <c r="AC49" s="116"/>
      <c r="AD49" s="115">
        <v>2349673</v>
      </c>
      <c r="AE49" s="115"/>
      <c r="AF49" s="115">
        <v>0</v>
      </c>
      <c r="AG49" s="115"/>
      <c r="AH49" s="115">
        <v>0</v>
      </c>
      <c r="AI49" s="115"/>
      <c r="AJ49" s="115">
        <v>0</v>
      </c>
      <c r="AK49" s="115"/>
      <c r="AL49" s="115">
        <v>0</v>
      </c>
      <c r="AM49" s="115"/>
      <c r="AN49" s="115">
        <v>0</v>
      </c>
      <c r="AO49" s="115"/>
      <c r="AP49" s="115">
        <v>0</v>
      </c>
      <c r="AQ49" s="106"/>
      <c r="AR49" s="117"/>
      <c r="AS49" s="118">
        <v>5.3110999999999997</v>
      </c>
      <c r="AT49" s="118"/>
      <c r="AU49" s="118"/>
      <c r="AV49" s="118"/>
      <c r="AW49" s="118"/>
      <c r="AX49" s="118"/>
      <c r="AY49" s="118"/>
      <c r="AZ49" s="118"/>
      <c r="BA49" s="118"/>
      <c r="BB49" s="118"/>
      <c r="BC49" s="118"/>
      <c r="BD49" s="118"/>
      <c r="BE49" s="118"/>
      <c r="BF49" s="106"/>
      <c r="BG49" s="106" t="s">
        <v>730</v>
      </c>
    </row>
    <row r="50" spans="1:59">
      <c r="A50" s="106" t="s">
        <v>820</v>
      </c>
      <c r="B50" s="106" t="s">
        <v>771</v>
      </c>
      <c r="C50" s="107" t="s">
        <v>733</v>
      </c>
      <c r="D50" s="108">
        <v>2098</v>
      </c>
      <c r="E50" s="109">
        <v>20098</v>
      </c>
      <c r="F50" s="107" t="s">
        <v>741</v>
      </c>
      <c r="G50" s="110">
        <v>18351295</v>
      </c>
      <c r="H50" s="111">
        <v>310</v>
      </c>
      <c r="I50" s="107" t="s">
        <v>728</v>
      </c>
      <c r="J50" s="112" t="s">
        <v>729</v>
      </c>
      <c r="K50" s="112">
        <v>304</v>
      </c>
      <c r="L50" s="113"/>
      <c r="M50" s="114">
        <v>0</v>
      </c>
      <c r="N50" s="114"/>
      <c r="O50" s="114">
        <v>0</v>
      </c>
      <c r="P50" s="114"/>
      <c r="Q50" s="114">
        <v>0</v>
      </c>
      <c r="R50" s="114"/>
      <c r="S50" s="114">
        <v>0</v>
      </c>
      <c r="T50" s="114"/>
      <c r="U50" s="114">
        <v>0</v>
      </c>
      <c r="V50" s="114"/>
      <c r="W50" s="114">
        <v>0</v>
      </c>
      <c r="X50" s="114"/>
      <c r="Y50" s="114">
        <v>93567629</v>
      </c>
      <c r="Z50" s="114"/>
      <c r="AA50" s="111">
        <v>0</v>
      </c>
      <c r="AB50" s="115"/>
      <c r="AC50" s="116"/>
      <c r="AD50" s="115">
        <v>0</v>
      </c>
      <c r="AE50" s="115"/>
      <c r="AF50" s="115">
        <v>0</v>
      </c>
      <c r="AG50" s="115"/>
      <c r="AH50" s="115">
        <v>0</v>
      </c>
      <c r="AI50" s="115"/>
      <c r="AJ50" s="115">
        <v>0</v>
      </c>
      <c r="AK50" s="115"/>
      <c r="AL50" s="115">
        <v>0</v>
      </c>
      <c r="AM50" s="115"/>
      <c r="AN50" s="115">
        <v>13256385</v>
      </c>
      <c r="AO50" s="115"/>
      <c r="AP50" s="115">
        <v>0</v>
      </c>
      <c r="AQ50" s="106"/>
      <c r="AR50" s="117"/>
      <c r="AS50" s="118"/>
      <c r="AT50" s="118"/>
      <c r="AU50" s="118"/>
      <c r="AV50" s="118"/>
      <c r="AW50" s="118"/>
      <c r="AX50" s="118"/>
      <c r="AY50" s="118"/>
      <c r="AZ50" s="118"/>
      <c r="BA50" s="118"/>
      <c r="BB50" s="118"/>
      <c r="BC50" s="118">
        <v>0.14169999999999999</v>
      </c>
      <c r="BD50" s="118"/>
      <c r="BE50" s="118"/>
      <c r="BF50" s="106"/>
      <c r="BG50" s="106" t="s">
        <v>730</v>
      </c>
    </row>
    <row r="51" spans="1:59">
      <c r="A51" s="106" t="s">
        <v>821</v>
      </c>
      <c r="B51" s="106" t="s">
        <v>822</v>
      </c>
      <c r="C51" s="107" t="s">
        <v>740</v>
      </c>
      <c r="D51" s="108">
        <v>9030</v>
      </c>
      <c r="E51" s="109">
        <v>90030</v>
      </c>
      <c r="F51" s="107" t="s">
        <v>741</v>
      </c>
      <c r="G51" s="110">
        <v>2956746</v>
      </c>
      <c r="H51" s="111">
        <v>205</v>
      </c>
      <c r="I51" s="107" t="s">
        <v>737</v>
      </c>
      <c r="J51" s="112" t="s">
        <v>736</v>
      </c>
      <c r="K51" s="112">
        <v>24</v>
      </c>
      <c r="L51" s="113"/>
      <c r="M51" s="114">
        <v>766773</v>
      </c>
      <c r="N51" s="114"/>
      <c r="O51" s="114">
        <v>0</v>
      </c>
      <c r="P51" s="114"/>
      <c r="Q51" s="114">
        <v>0</v>
      </c>
      <c r="R51" s="114"/>
      <c r="S51" s="114">
        <v>0</v>
      </c>
      <c r="T51" s="114"/>
      <c r="U51" s="114">
        <v>0</v>
      </c>
      <c r="V51" s="114"/>
      <c r="W51" s="114">
        <v>0</v>
      </c>
      <c r="X51" s="114"/>
      <c r="Y51" s="114">
        <v>0</v>
      </c>
      <c r="Z51" s="114"/>
      <c r="AA51" s="111">
        <v>0</v>
      </c>
      <c r="AB51" s="115"/>
      <c r="AC51" s="116"/>
      <c r="AD51" s="115">
        <v>253519</v>
      </c>
      <c r="AE51" s="115"/>
      <c r="AF51" s="115">
        <v>0</v>
      </c>
      <c r="AG51" s="115"/>
      <c r="AH51" s="115">
        <v>0</v>
      </c>
      <c r="AI51" s="115"/>
      <c r="AJ51" s="115">
        <v>0</v>
      </c>
      <c r="AK51" s="115"/>
      <c r="AL51" s="115">
        <v>0</v>
      </c>
      <c r="AM51" s="115"/>
      <c r="AN51" s="115">
        <v>0</v>
      </c>
      <c r="AO51" s="115"/>
      <c r="AP51" s="115">
        <v>0</v>
      </c>
      <c r="AQ51" s="106"/>
      <c r="AR51" s="117"/>
      <c r="AS51" s="118">
        <v>0.3306</v>
      </c>
      <c r="AT51" s="118"/>
      <c r="AU51" s="118"/>
      <c r="AV51" s="118"/>
      <c r="AW51" s="118"/>
      <c r="AX51" s="118"/>
      <c r="AY51" s="118"/>
      <c r="AZ51" s="118"/>
      <c r="BA51" s="118"/>
      <c r="BB51" s="118"/>
      <c r="BC51" s="118"/>
      <c r="BD51" s="118"/>
      <c r="BE51" s="118"/>
      <c r="BF51" s="106"/>
      <c r="BG51" s="106" t="s">
        <v>730</v>
      </c>
    </row>
    <row r="52" spans="1:59">
      <c r="A52" s="106" t="s">
        <v>823</v>
      </c>
      <c r="B52" s="106" t="s">
        <v>739</v>
      </c>
      <c r="C52" s="107" t="s">
        <v>740</v>
      </c>
      <c r="D52" s="108">
        <v>9151</v>
      </c>
      <c r="E52" s="109">
        <v>90151</v>
      </c>
      <c r="F52" s="107" t="s">
        <v>741</v>
      </c>
      <c r="G52" s="110">
        <v>12150996</v>
      </c>
      <c r="H52" s="111">
        <v>195</v>
      </c>
      <c r="I52" s="107" t="s">
        <v>737</v>
      </c>
      <c r="J52" s="112" t="s">
        <v>736</v>
      </c>
      <c r="K52" s="112">
        <v>195</v>
      </c>
      <c r="L52" s="113"/>
      <c r="M52" s="114">
        <v>8293151</v>
      </c>
      <c r="N52" s="114"/>
      <c r="O52" s="114">
        <v>0</v>
      </c>
      <c r="P52" s="114"/>
      <c r="Q52" s="114">
        <v>0</v>
      </c>
      <c r="R52" s="114"/>
      <c r="S52" s="114">
        <v>0</v>
      </c>
      <c r="T52" s="114"/>
      <c r="U52" s="114">
        <v>0</v>
      </c>
      <c r="V52" s="114"/>
      <c r="W52" s="114">
        <v>0</v>
      </c>
      <c r="X52" s="114"/>
      <c r="Y52" s="114">
        <v>0</v>
      </c>
      <c r="Z52" s="114"/>
      <c r="AA52" s="111">
        <v>0</v>
      </c>
      <c r="AB52" s="115"/>
      <c r="AC52" s="116"/>
      <c r="AD52" s="115">
        <v>2539026</v>
      </c>
      <c r="AE52" s="115"/>
      <c r="AF52" s="115">
        <v>0</v>
      </c>
      <c r="AG52" s="115"/>
      <c r="AH52" s="115">
        <v>0</v>
      </c>
      <c r="AI52" s="115"/>
      <c r="AJ52" s="115">
        <v>0</v>
      </c>
      <c r="AK52" s="115"/>
      <c r="AL52" s="115">
        <v>0</v>
      </c>
      <c r="AM52" s="115"/>
      <c r="AN52" s="115">
        <v>0</v>
      </c>
      <c r="AO52" s="115"/>
      <c r="AP52" s="115">
        <v>0</v>
      </c>
      <c r="AQ52" s="106"/>
      <c r="AR52" s="117"/>
      <c r="AS52" s="118">
        <v>0.30620000000000003</v>
      </c>
      <c r="AT52" s="118"/>
      <c r="AU52" s="118"/>
      <c r="AV52" s="118"/>
      <c r="AW52" s="118"/>
      <c r="AX52" s="118"/>
      <c r="AY52" s="118"/>
      <c r="AZ52" s="118"/>
      <c r="BA52" s="118"/>
      <c r="BB52" s="118"/>
      <c r="BC52" s="118"/>
      <c r="BD52" s="118"/>
      <c r="BE52" s="118"/>
      <c r="BF52" s="106"/>
      <c r="BG52" s="106" t="s">
        <v>730</v>
      </c>
    </row>
    <row r="53" spans="1:59">
      <c r="A53" s="106" t="s">
        <v>824</v>
      </c>
      <c r="B53" s="106" t="s">
        <v>825</v>
      </c>
      <c r="C53" s="107" t="s">
        <v>740</v>
      </c>
      <c r="D53" s="108">
        <v>9134</v>
      </c>
      <c r="E53" s="109">
        <v>90134</v>
      </c>
      <c r="F53" s="107" t="s">
        <v>741</v>
      </c>
      <c r="G53" s="110">
        <v>3281212</v>
      </c>
      <c r="H53" s="111">
        <v>141</v>
      </c>
      <c r="I53" s="107" t="s">
        <v>737</v>
      </c>
      <c r="J53" s="112" t="s">
        <v>736</v>
      </c>
      <c r="K53" s="112">
        <v>111</v>
      </c>
      <c r="L53" s="113"/>
      <c r="M53" s="114">
        <v>3805923</v>
      </c>
      <c r="N53" s="114"/>
      <c r="O53" s="114">
        <v>0</v>
      </c>
      <c r="P53" s="114"/>
      <c r="Q53" s="114">
        <v>0</v>
      </c>
      <c r="R53" s="114"/>
      <c r="S53" s="114">
        <v>0</v>
      </c>
      <c r="T53" s="114"/>
      <c r="U53" s="114">
        <v>0</v>
      </c>
      <c r="V53" s="114"/>
      <c r="W53" s="114">
        <v>0</v>
      </c>
      <c r="X53" s="114"/>
      <c r="Y53" s="114">
        <v>0</v>
      </c>
      <c r="Z53" s="114"/>
      <c r="AA53" s="111">
        <v>0</v>
      </c>
      <c r="AB53" s="115"/>
      <c r="AC53" s="116"/>
      <c r="AD53" s="115">
        <v>1179829</v>
      </c>
      <c r="AE53" s="115"/>
      <c r="AF53" s="115">
        <v>0</v>
      </c>
      <c r="AG53" s="115"/>
      <c r="AH53" s="115">
        <v>0</v>
      </c>
      <c r="AI53" s="115"/>
      <c r="AJ53" s="115">
        <v>0</v>
      </c>
      <c r="AK53" s="115"/>
      <c r="AL53" s="115">
        <v>0</v>
      </c>
      <c r="AM53" s="115"/>
      <c r="AN53" s="115">
        <v>0</v>
      </c>
      <c r="AO53" s="115"/>
      <c r="AP53" s="115">
        <v>0</v>
      </c>
      <c r="AQ53" s="106"/>
      <c r="AR53" s="117"/>
      <c r="AS53" s="118">
        <v>0.31</v>
      </c>
      <c r="AT53" s="118"/>
      <c r="AU53" s="118"/>
      <c r="AV53" s="118"/>
      <c r="AW53" s="118"/>
      <c r="AX53" s="118"/>
      <c r="AY53" s="118"/>
      <c r="AZ53" s="118"/>
      <c r="BA53" s="118"/>
      <c r="BB53" s="118"/>
      <c r="BC53" s="118"/>
      <c r="BD53" s="118"/>
      <c r="BE53" s="118"/>
      <c r="BF53" s="106"/>
      <c r="BG53" s="106" t="s">
        <v>730</v>
      </c>
    </row>
    <row r="54" spans="1:59">
      <c r="A54" s="106" t="s">
        <v>826</v>
      </c>
      <c r="B54" s="106" t="s">
        <v>827</v>
      </c>
      <c r="C54" s="107" t="s">
        <v>807</v>
      </c>
      <c r="D54" s="108">
        <v>3073</v>
      </c>
      <c r="E54" s="109">
        <v>30073</v>
      </c>
      <c r="F54" s="107" t="s">
        <v>741</v>
      </c>
      <c r="G54" s="110">
        <v>4586770</v>
      </c>
      <c r="H54" s="111">
        <v>99</v>
      </c>
      <c r="I54" s="107" t="s">
        <v>737</v>
      </c>
      <c r="J54" s="112" t="s">
        <v>736</v>
      </c>
      <c r="K54" s="112">
        <v>99</v>
      </c>
      <c r="L54" s="113"/>
      <c r="M54" s="114">
        <v>1430638</v>
      </c>
      <c r="N54" s="114"/>
      <c r="O54" s="114">
        <v>0</v>
      </c>
      <c r="P54" s="114"/>
      <c r="Q54" s="114">
        <v>0</v>
      </c>
      <c r="R54" s="114"/>
      <c r="S54" s="114">
        <v>0</v>
      </c>
      <c r="T54" s="114"/>
      <c r="U54" s="114">
        <v>0</v>
      </c>
      <c r="V54" s="114"/>
      <c r="W54" s="114">
        <v>0</v>
      </c>
      <c r="X54" s="114"/>
      <c r="Y54" s="114">
        <v>0</v>
      </c>
      <c r="Z54" s="114"/>
      <c r="AA54" s="111">
        <v>0</v>
      </c>
      <c r="AB54" s="115"/>
      <c r="AC54" s="116"/>
      <c r="AD54" s="115">
        <v>333956</v>
      </c>
      <c r="AE54" s="115"/>
      <c r="AF54" s="115">
        <v>0</v>
      </c>
      <c r="AG54" s="115"/>
      <c r="AH54" s="115">
        <v>0</v>
      </c>
      <c r="AI54" s="115"/>
      <c r="AJ54" s="115">
        <v>0</v>
      </c>
      <c r="AK54" s="115"/>
      <c r="AL54" s="115">
        <v>0</v>
      </c>
      <c r="AM54" s="115"/>
      <c r="AN54" s="115">
        <v>0</v>
      </c>
      <c r="AO54" s="115"/>
      <c r="AP54" s="115">
        <v>0</v>
      </c>
      <c r="AQ54" s="106"/>
      <c r="AR54" s="117"/>
      <c r="AS54" s="118">
        <v>0.2334</v>
      </c>
      <c r="AT54" s="118"/>
      <c r="AU54" s="118"/>
      <c r="AV54" s="118"/>
      <c r="AW54" s="118"/>
      <c r="AX54" s="118"/>
      <c r="AY54" s="118"/>
      <c r="AZ54" s="118"/>
      <c r="BA54" s="118"/>
      <c r="BB54" s="118"/>
      <c r="BC54" s="118"/>
      <c r="BD54" s="118"/>
      <c r="BE54" s="118"/>
      <c r="BF54" s="106"/>
      <c r="BG54" s="106" t="s">
        <v>730</v>
      </c>
    </row>
    <row r="55" spans="1:59">
      <c r="A55" s="106" t="s">
        <v>828</v>
      </c>
      <c r="B55" s="106" t="s">
        <v>829</v>
      </c>
      <c r="C55" s="107" t="s">
        <v>733</v>
      </c>
      <c r="D55" s="108">
        <v>2075</v>
      </c>
      <c r="E55" s="109">
        <v>20075</v>
      </c>
      <c r="F55" s="107" t="s">
        <v>741</v>
      </c>
      <c r="G55" s="110">
        <v>5441567</v>
      </c>
      <c r="H55" s="111">
        <v>78</v>
      </c>
      <c r="I55" s="107" t="s">
        <v>728</v>
      </c>
      <c r="J55" s="112" t="s">
        <v>729</v>
      </c>
      <c r="K55" s="112">
        <v>78</v>
      </c>
      <c r="L55" s="113"/>
      <c r="M55" s="114">
        <v>0</v>
      </c>
      <c r="N55" s="114"/>
      <c r="O55" s="114">
        <v>0</v>
      </c>
      <c r="P55" s="114"/>
      <c r="Q55" s="114">
        <v>0</v>
      </c>
      <c r="R55" s="114"/>
      <c r="S55" s="114">
        <v>0</v>
      </c>
      <c r="T55" s="114"/>
      <c r="U55" s="114">
        <v>0</v>
      </c>
      <c r="V55" s="114"/>
      <c r="W55" s="114">
        <v>0</v>
      </c>
      <c r="X55" s="114"/>
      <c r="Y55" s="114">
        <v>32179173</v>
      </c>
      <c r="Z55" s="114"/>
      <c r="AA55" s="111">
        <v>0</v>
      </c>
      <c r="AB55" s="115"/>
      <c r="AC55" s="116"/>
      <c r="AD55" s="115">
        <v>0</v>
      </c>
      <c r="AE55" s="115"/>
      <c r="AF55" s="115">
        <v>0</v>
      </c>
      <c r="AG55" s="115"/>
      <c r="AH55" s="115">
        <v>0</v>
      </c>
      <c r="AI55" s="115"/>
      <c r="AJ55" s="115">
        <v>0</v>
      </c>
      <c r="AK55" s="115"/>
      <c r="AL55" s="115">
        <v>0</v>
      </c>
      <c r="AM55" s="115"/>
      <c r="AN55" s="115">
        <v>4661254</v>
      </c>
      <c r="AO55" s="115"/>
      <c r="AP55" s="115">
        <v>0</v>
      </c>
      <c r="AQ55" s="106"/>
      <c r="AR55" s="117"/>
      <c r="AS55" s="118"/>
      <c r="AT55" s="118"/>
      <c r="AU55" s="118"/>
      <c r="AV55" s="118"/>
      <c r="AW55" s="118"/>
      <c r="AX55" s="118"/>
      <c r="AY55" s="118"/>
      <c r="AZ55" s="118"/>
      <c r="BA55" s="118"/>
      <c r="BB55" s="118"/>
      <c r="BC55" s="118">
        <v>0.1449</v>
      </c>
      <c r="BD55" s="118"/>
      <c r="BE55" s="118"/>
      <c r="BF55" s="106"/>
      <c r="BG55" s="106" t="s">
        <v>730</v>
      </c>
    </row>
    <row r="56" spans="1:59">
      <c r="A56" s="106" t="s">
        <v>830</v>
      </c>
      <c r="B56" s="106" t="s">
        <v>831</v>
      </c>
      <c r="C56" s="107" t="s">
        <v>832</v>
      </c>
      <c r="D56" s="108">
        <v>5104</v>
      </c>
      <c r="E56" s="109">
        <v>50104</v>
      </c>
      <c r="F56" s="107" t="s">
        <v>741</v>
      </c>
      <c r="G56" s="110">
        <v>8608208</v>
      </c>
      <c r="H56" s="111">
        <v>70</v>
      </c>
      <c r="I56" s="107" t="s">
        <v>737</v>
      </c>
      <c r="J56" s="112" t="s">
        <v>729</v>
      </c>
      <c r="K56" s="112">
        <v>70</v>
      </c>
      <c r="L56" s="113"/>
      <c r="M56" s="114">
        <v>0</v>
      </c>
      <c r="N56" s="114"/>
      <c r="O56" s="114">
        <v>0</v>
      </c>
      <c r="P56" s="114"/>
      <c r="Q56" s="114">
        <v>0</v>
      </c>
      <c r="R56" s="114"/>
      <c r="S56" s="114">
        <v>0</v>
      </c>
      <c r="T56" s="114"/>
      <c r="U56" s="114">
        <v>0</v>
      </c>
      <c r="V56" s="114"/>
      <c r="W56" s="114">
        <v>0</v>
      </c>
      <c r="X56" s="114"/>
      <c r="Y56" s="114">
        <v>18158000</v>
      </c>
      <c r="Z56" s="114"/>
      <c r="AA56" s="111">
        <v>0</v>
      </c>
      <c r="AB56" s="115"/>
      <c r="AC56" s="116"/>
      <c r="AD56" s="115">
        <v>0</v>
      </c>
      <c r="AE56" s="115"/>
      <c r="AF56" s="115">
        <v>0</v>
      </c>
      <c r="AG56" s="115"/>
      <c r="AH56" s="115">
        <v>0</v>
      </c>
      <c r="AI56" s="115"/>
      <c r="AJ56" s="115">
        <v>0</v>
      </c>
      <c r="AK56" s="115"/>
      <c r="AL56" s="115">
        <v>0</v>
      </c>
      <c r="AM56" s="115"/>
      <c r="AN56" s="115">
        <v>3510093</v>
      </c>
      <c r="AO56" s="115"/>
      <c r="AP56" s="115">
        <v>0</v>
      </c>
      <c r="AQ56" s="106"/>
      <c r="AR56" s="117"/>
      <c r="AS56" s="118"/>
      <c r="AT56" s="118"/>
      <c r="AU56" s="118"/>
      <c r="AV56" s="118"/>
      <c r="AW56" s="118"/>
      <c r="AX56" s="118"/>
      <c r="AY56" s="118"/>
      <c r="AZ56" s="118"/>
      <c r="BA56" s="118"/>
      <c r="BB56" s="118"/>
      <c r="BC56" s="118">
        <v>0.1933</v>
      </c>
      <c r="BD56" s="118"/>
      <c r="BE56" s="118"/>
      <c r="BF56" s="106"/>
      <c r="BG56" s="106" t="s">
        <v>730</v>
      </c>
    </row>
    <row r="57" spans="1:59">
      <c r="A57" s="106" t="s">
        <v>833</v>
      </c>
      <c r="B57" s="106" t="s">
        <v>834</v>
      </c>
      <c r="C57" s="107" t="s">
        <v>766</v>
      </c>
      <c r="D57" s="108">
        <v>4077</v>
      </c>
      <c r="E57" s="109">
        <v>40077</v>
      </c>
      <c r="F57" s="107" t="s">
        <v>741</v>
      </c>
      <c r="G57" s="110">
        <v>5502379</v>
      </c>
      <c r="H57" s="111">
        <v>65</v>
      </c>
      <c r="I57" s="107" t="s">
        <v>737</v>
      </c>
      <c r="J57" s="112" t="s">
        <v>736</v>
      </c>
      <c r="K57" s="112">
        <v>43</v>
      </c>
      <c r="L57" s="113"/>
      <c r="M57" s="114">
        <v>2838234</v>
      </c>
      <c r="N57" s="114"/>
      <c r="O57" s="114">
        <v>0</v>
      </c>
      <c r="P57" s="114"/>
      <c r="Q57" s="114">
        <v>0</v>
      </c>
      <c r="R57" s="114"/>
      <c r="S57" s="114">
        <v>0</v>
      </c>
      <c r="T57" s="114"/>
      <c r="U57" s="114">
        <v>0</v>
      </c>
      <c r="V57" s="114"/>
      <c r="W57" s="114">
        <v>0</v>
      </c>
      <c r="X57" s="114"/>
      <c r="Y57" s="114">
        <v>0</v>
      </c>
      <c r="Z57" s="114"/>
      <c r="AA57" s="111">
        <v>0</v>
      </c>
      <c r="AB57" s="115"/>
      <c r="AC57" s="116"/>
      <c r="AD57" s="115">
        <v>1018267</v>
      </c>
      <c r="AE57" s="115"/>
      <c r="AF57" s="115">
        <v>0</v>
      </c>
      <c r="AG57" s="115"/>
      <c r="AH57" s="115">
        <v>0</v>
      </c>
      <c r="AI57" s="115"/>
      <c r="AJ57" s="115">
        <v>0</v>
      </c>
      <c r="AK57" s="115"/>
      <c r="AL57" s="115">
        <v>0</v>
      </c>
      <c r="AM57" s="115"/>
      <c r="AN57" s="115">
        <v>0</v>
      </c>
      <c r="AO57" s="115"/>
      <c r="AP57" s="115">
        <v>0</v>
      </c>
      <c r="AQ57" s="106"/>
      <c r="AR57" s="117"/>
      <c r="AS57" s="118">
        <v>0.35880000000000001</v>
      </c>
      <c r="AT57" s="118"/>
      <c r="AU57" s="118"/>
      <c r="AV57" s="118"/>
      <c r="AW57" s="118"/>
      <c r="AX57" s="118"/>
      <c r="AY57" s="118"/>
      <c r="AZ57" s="118"/>
      <c r="BA57" s="118"/>
      <c r="BB57" s="118"/>
      <c r="BC57" s="118"/>
      <c r="BD57" s="118"/>
      <c r="BE57" s="118"/>
      <c r="BF57" s="106"/>
      <c r="BG57" s="106" t="s">
        <v>730</v>
      </c>
    </row>
    <row r="58" spans="1:59">
      <c r="A58" s="106" t="s">
        <v>835</v>
      </c>
      <c r="B58" s="106" t="s">
        <v>836</v>
      </c>
      <c r="C58" s="107" t="s">
        <v>837</v>
      </c>
      <c r="D58" s="108">
        <v>6111</v>
      </c>
      <c r="E58" s="109">
        <v>60111</v>
      </c>
      <c r="F58" s="107" t="s">
        <v>741</v>
      </c>
      <c r="G58" s="110">
        <v>741318</v>
      </c>
      <c r="H58" s="111">
        <v>58</v>
      </c>
      <c r="I58" s="107" t="s">
        <v>737</v>
      </c>
      <c r="J58" s="112" t="s">
        <v>736</v>
      </c>
      <c r="K58" s="112">
        <v>25</v>
      </c>
      <c r="L58" s="113"/>
      <c r="M58" s="114">
        <v>0</v>
      </c>
      <c r="N58" s="114"/>
      <c r="O58" s="114">
        <v>0</v>
      </c>
      <c r="P58" s="114"/>
      <c r="Q58" s="114">
        <v>0</v>
      </c>
      <c r="R58" s="114"/>
      <c r="S58" s="114">
        <v>0</v>
      </c>
      <c r="T58" s="114"/>
      <c r="U58" s="114">
        <v>792273</v>
      </c>
      <c r="V58" s="114"/>
      <c r="W58" s="114">
        <v>0</v>
      </c>
      <c r="X58" s="114"/>
      <c r="Y58" s="114">
        <v>0</v>
      </c>
      <c r="Z58" s="114"/>
      <c r="AA58" s="111">
        <v>0</v>
      </c>
      <c r="AB58" s="115"/>
      <c r="AC58" s="116"/>
      <c r="AD58" s="115">
        <v>350453</v>
      </c>
      <c r="AE58" s="115"/>
      <c r="AF58" s="115">
        <v>0</v>
      </c>
      <c r="AG58" s="115"/>
      <c r="AH58" s="115">
        <v>0</v>
      </c>
      <c r="AI58" s="115"/>
      <c r="AJ58" s="115">
        <v>0</v>
      </c>
      <c r="AK58" s="115"/>
      <c r="AL58" s="115">
        <v>0</v>
      </c>
      <c r="AM58" s="115"/>
      <c r="AN58" s="115">
        <v>0</v>
      </c>
      <c r="AO58" s="115"/>
      <c r="AP58" s="115">
        <v>0</v>
      </c>
      <c r="AQ58" s="106"/>
      <c r="AR58" s="117"/>
      <c r="AS58" s="118"/>
      <c r="AT58" s="118"/>
      <c r="AU58" s="118"/>
      <c r="AV58" s="118"/>
      <c r="AW58" s="118"/>
      <c r="AX58" s="118"/>
      <c r="AY58" s="118"/>
      <c r="AZ58" s="118"/>
      <c r="BA58" s="118"/>
      <c r="BB58" s="118"/>
      <c r="BC58" s="118"/>
      <c r="BD58" s="118"/>
      <c r="BE58" s="118"/>
      <c r="BF58" s="106"/>
      <c r="BG58" s="106" t="s">
        <v>730</v>
      </c>
    </row>
    <row r="59" spans="1:59">
      <c r="A59" s="106" t="s">
        <v>838</v>
      </c>
      <c r="B59" s="106" t="s">
        <v>839</v>
      </c>
      <c r="C59" s="107" t="s">
        <v>840</v>
      </c>
      <c r="D59" s="108">
        <v>4094</v>
      </c>
      <c r="E59" s="109">
        <v>40094</v>
      </c>
      <c r="F59" s="107" t="s">
        <v>763</v>
      </c>
      <c r="G59" s="110">
        <v>2148346</v>
      </c>
      <c r="H59" s="111">
        <v>54</v>
      </c>
      <c r="I59" s="107" t="s">
        <v>728</v>
      </c>
      <c r="J59" s="112" t="s">
        <v>736</v>
      </c>
      <c r="K59" s="112">
        <v>32</v>
      </c>
      <c r="L59" s="113"/>
      <c r="M59" s="114">
        <v>0</v>
      </c>
      <c r="N59" s="114"/>
      <c r="O59" s="114">
        <v>0</v>
      </c>
      <c r="P59" s="114"/>
      <c r="Q59" s="114">
        <v>0</v>
      </c>
      <c r="R59" s="114"/>
      <c r="S59" s="114">
        <v>0</v>
      </c>
      <c r="T59" s="114"/>
      <c r="U59" s="114">
        <v>0</v>
      </c>
      <c r="V59" s="114"/>
      <c r="W59" s="114">
        <v>0</v>
      </c>
      <c r="X59" s="114"/>
      <c r="Y59" s="114">
        <v>4009792</v>
      </c>
      <c r="Z59" s="114"/>
      <c r="AA59" s="111">
        <v>0</v>
      </c>
      <c r="AB59" s="115"/>
      <c r="AC59" s="116"/>
      <c r="AD59" s="115">
        <v>0</v>
      </c>
      <c r="AE59" s="115"/>
      <c r="AF59" s="115">
        <v>0</v>
      </c>
      <c r="AG59" s="115"/>
      <c r="AH59" s="115">
        <v>0</v>
      </c>
      <c r="AI59" s="115"/>
      <c r="AJ59" s="115">
        <v>0</v>
      </c>
      <c r="AK59" s="115"/>
      <c r="AL59" s="115">
        <v>0</v>
      </c>
      <c r="AM59" s="115"/>
      <c r="AN59" s="115">
        <v>1432878</v>
      </c>
      <c r="AO59" s="115"/>
      <c r="AP59" s="115">
        <v>0</v>
      </c>
      <c r="AQ59" s="106"/>
      <c r="AR59" s="117"/>
      <c r="AS59" s="118"/>
      <c r="AT59" s="118"/>
      <c r="AU59" s="118"/>
      <c r="AV59" s="118"/>
      <c r="AW59" s="118"/>
      <c r="AX59" s="118"/>
      <c r="AY59" s="118"/>
      <c r="AZ59" s="118"/>
      <c r="BA59" s="118"/>
      <c r="BB59" s="118"/>
      <c r="BC59" s="118">
        <v>0.35730000000000001</v>
      </c>
      <c r="BD59" s="118"/>
      <c r="BE59" s="118"/>
      <c r="BF59" s="106"/>
      <c r="BG59" s="106" t="s">
        <v>730</v>
      </c>
    </row>
    <row r="60" spans="1:59">
      <c r="A60" s="106" t="s">
        <v>841</v>
      </c>
      <c r="B60" s="106" t="s">
        <v>842</v>
      </c>
      <c r="C60" s="107" t="s">
        <v>843</v>
      </c>
      <c r="D60" s="108">
        <v>4159</v>
      </c>
      <c r="E60" s="109">
        <v>40159</v>
      </c>
      <c r="F60" s="107" t="s">
        <v>741</v>
      </c>
      <c r="G60" s="110">
        <v>969587</v>
      </c>
      <c r="H60" s="111">
        <v>46</v>
      </c>
      <c r="I60" s="107" t="s">
        <v>737</v>
      </c>
      <c r="J60" s="112" t="s">
        <v>736</v>
      </c>
      <c r="K60" s="112">
        <v>8</v>
      </c>
      <c r="L60" s="113"/>
      <c r="M60" s="114">
        <v>195054</v>
      </c>
      <c r="N60" s="114"/>
      <c r="O60" s="114">
        <v>0</v>
      </c>
      <c r="P60" s="114"/>
      <c r="Q60" s="114">
        <v>0</v>
      </c>
      <c r="R60" s="114"/>
      <c r="S60" s="114">
        <v>0</v>
      </c>
      <c r="T60" s="114"/>
      <c r="U60" s="114">
        <v>0</v>
      </c>
      <c r="V60" s="114"/>
      <c r="W60" s="114">
        <v>0</v>
      </c>
      <c r="X60" s="114"/>
      <c r="Y60" s="114">
        <v>0</v>
      </c>
      <c r="Z60" s="114"/>
      <c r="AA60" s="111">
        <v>0</v>
      </c>
      <c r="AB60" s="115"/>
      <c r="AC60" s="116"/>
      <c r="AD60" s="115">
        <v>71832</v>
      </c>
      <c r="AE60" s="115"/>
      <c r="AF60" s="115">
        <v>0</v>
      </c>
      <c r="AG60" s="115"/>
      <c r="AH60" s="115">
        <v>0</v>
      </c>
      <c r="AI60" s="115"/>
      <c r="AJ60" s="115">
        <v>0</v>
      </c>
      <c r="AK60" s="115"/>
      <c r="AL60" s="115">
        <v>0</v>
      </c>
      <c r="AM60" s="115"/>
      <c r="AN60" s="115">
        <v>0</v>
      </c>
      <c r="AO60" s="115"/>
      <c r="AP60" s="115">
        <v>0</v>
      </c>
      <c r="AQ60" s="106"/>
      <c r="AR60" s="117"/>
      <c r="AS60" s="118">
        <v>0.36830000000000002</v>
      </c>
      <c r="AT60" s="118"/>
      <c r="AU60" s="118"/>
      <c r="AV60" s="118"/>
      <c r="AW60" s="118"/>
      <c r="AX60" s="118"/>
      <c r="AY60" s="118"/>
      <c r="AZ60" s="118"/>
      <c r="BA60" s="118"/>
      <c r="BB60" s="118"/>
      <c r="BC60" s="118"/>
      <c r="BD60" s="118"/>
      <c r="BE60" s="118"/>
      <c r="BF60" s="106"/>
      <c r="BG60" s="106" t="s">
        <v>730</v>
      </c>
    </row>
    <row r="61" spans="1:59">
      <c r="A61" s="106" t="s">
        <v>844</v>
      </c>
      <c r="B61" s="106" t="s">
        <v>845</v>
      </c>
      <c r="C61" s="107" t="s">
        <v>725</v>
      </c>
      <c r="D61" s="108">
        <v>2099</v>
      </c>
      <c r="E61" s="109">
        <v>20099</v>
      </c>
      <c r="F61" s="107" t="s">
        <v>726</v>
      </c>
      <c r="G61" s="110">
        <v>18351295</v>
      </c>
      <c r="H61" s="111">
        <v>44</v>
      </c>
      <c r="I61" s="107" t="s">
        <v>728</v>
      </c>
      <c r="J61" s="112" t="s">
        <v>729</v>
      </c>
      <c r="K61" s="112">
        <v>44</v>
      </c>
      <c r="L61" s="113"/>
      <c r="M61" s="114">
        <v>0</v>
      </c>
      <c r="N61" s="114"/>
      <c r="O61" s="114">
        <v>0</v>
      </c>
      <c r="P61" s="114"/>
      <c r="Q61" s="114">
        <v>0</v>
      </c>
      <c r="R61" s="114"/>
      <c r="S61" s="114">
        <v>0</v>
      </c>
      <c r="T61" s="114"/>
      <c r="U61" s="114">
        <v>0</v>
      </c>
      <c r="V61" s="114"/>
      <c r="W61" s="114">
        <v>0</v>
      </c>
      <c r="X61" s="114"/>
      <c r="Y61" s="114">
        <v>27982542</v>
      </c>
      <c r="Z61" s="114"/>
      <c r="AA61" s="111">
        <v>0</v>
      </c>
      <c r="AB61" s="115"/>
      <c r="AC61" s="116"/>
      <c r="AD61" s="115">
        <v>0</v>
      </c>
      <c r="AE61" s="115"/>
      <c r="AF61" s="115">
        <v>0</v>
      </c>
      <c r="AG61" s="115"/>
      <c r="AH61" s="115">
        <v>0</v>
      </c>
      <c r="AI61" s="115"/>
      <c r="AJ61" s="115">
        <v>0</v>
      </c>
      <c r="AK61" s="115"/>
      <c r="AL61" s="115">
        <v>0</v>
      </c>
      <c r="AM61" s="115"/>
      <c r="AN61" s="115">
        <v>2267541</v>
      </c>
      <c r="AO61" s="115"/>
      <c r="AP61" s="115">
        <v>0</v>
      </c>
      <c r="AQ61" s="106"/>
      <c r="AR61" s="117"/>
      <c r="AS61" s="118"/>
      <c r="AT61" s="118"/>
      <c r="AU61" s="118"/>
      <c r="AV61" s="118"/>
      <c r="AW61" s="118"/>
      <c r="AX61" s="118"/>
      <c r="AY61" s="118"/>
      <c r="AZ61" s="118"/>
      <c r="BA61" s="118"/>
      <c r="BB61" s="118"/>
      <c r="BC61" s="118">
        <v>8.1000000000000003E-2</v>
      </c>
      <c r="BD61" s="118"/>
      <c r="BE61" s="118"/>
      <c r="BF61" s="106"/>
      <c r="BG61" s="106" t="s">
        <v>730</v>
      </c>
    </row>
    <row r="62" spans="1:59">
      <c r="A62" s="106" t="s">
        <v>846</v>
      </c>
      <c r="B62" s="106" t="s">
        <v>847</v>
      </c>
      <c r="C62" s="107" t="s">
        <v>848</v>
      </c>
      <c r="D62" s="108">
        <v>1102</v>
      </c>
      <c r="E62" s="109">
        <v>10102</v>
      </c>
      <c r="F62" s="107" t="s">
        <v>763</v>
      </c>
      <c r="G62" s="110">
        <v>924859</v>
      </c>
      <c r="H62" s="111">
        <v>43</v>
      </c>
      <c r="I62" s="107" t="s">
        <v>737</v>
      </c>
      <c r="J62" s="112" t="s">
        <v>736</v>
      </c>
      <c r="K62" s="112">
        <v>28</v>
      </c>
      <c r="L62" s="113"/>
      <c r="M62" s="114">
        <v>1678569</v>
      </c>
      <c r="N62" s="114"/>
      <c r="O62" s="114">
        <v>0</v>
      </c>
      <c r="P62" s="114"/>
      <c r="Q62" s="114">
        <v>0</v>
      </c>
      <c r="R62" s="114"/>
      <c r="S62" s="114">
        <v>0</v>
      </c>
      <c r="T62" s="114"/>
      <c r="U62" s="114">
        <v>0</v>
      </c>
      <c r="V62" s="114"/>
      <c r="W62" s="114">
        <v>0</v>
      </c>
      <c r="X62" s="114"/>
      <c r="Y62" s="114">
        <v>0</v>
      </c>
      <c r="Z62" s="114"/>
      <c r="AA62" s="111">
        <v>0</v>
      </c>
      <c r="AB62" s="115"/>
      <c r="AC62" s="116"/>
      <c r="AD62" s="115">
        <v>724004</v>
      </c>
      <c r="AE62" s="115"/>
      <c r="AF62" s="115">
        <v>0</v>
      </c>
      <c r="AG62" s="115"/>
      <c r="AH62" s="115">
        <v>0</v>
      </c>
      <c r="AI62" s="115"/>
      <c r="AJ62" s="115">
        <v>0</v>
      </c>
      <c r="AK62" s="115"/>
      <c r="AL62" s="115">
        <v>0</v>
      </c>
      <c r="AM62" s="115"/>
      <c r="AN62" s="115">
        <v>0</v>
      </c>
      <c r="AO62" s="115"/>
      <c r="AP62" s="115">
        <v>0</v>
      </c>
      <c r="AQ62" s="106"/>
      <c r="AR62" s="117"/>
      <c r="AS62" s="118">
        <v>0.43130000000000002</v>
      </c>
      <c r="AT62" s="118"/>
      <c r="AU62" s="118"/>
      <c r="AV62" s="118"/>
      <c r="AW62" s="118"/>
      <c r="AX62" s="118"/>
      <c r="AY62" s="118"/>
      <c r="AZ62" s="118"/>
      <c r="BA62" s="118"/>
      <c r="BB62" s="118"/>
      <c r="BC62" s="118"/>
      <c r="BD62" s="118"/>
      <c r="BE62" s="118"/>
      <c r="BF62" s="106"/>
      <c r="BG62" s="106" t="s">
        <v>730</v>
      </c>
    </row>
    <row r="63" spans="1:59">
      <c r="A63" s="106" t="s">
        <v>849</v>
      </c>
      <c r="B63" s="106" t="s">
        <v>850</v>
      </c>
      <c r="C63" s="107" t="s">
        <v>851</v>
      </c>
      <c r="D63" s="108">
        <v>9209</v>
      </c>
      <c r="E63" s="109">
        <v>90209</v>
      </c>
      <c r="F63" s="107" t="s">
        <v>734</v>
      </c>
      <c r="G63" s="110">
        <v>3629114</v>
      </c>
      <c r="H63" s="111">
        <v>38</v>
      </c>
      <c r="I63" s="107" t="s">
        <v>735</v>
      </c>
      <c r="J63" s="112" t="s">
        <v>736</v>
      </c>
      <c r="K63" s="112">
        <v>38</v>
      </c>
      <c r="L63" s="113"/>
      <c r="M63" s="114">
        <v>0</v>
      </c>
      <c r="N63" s="114"/>
      <c r="O63" s="114">
        <v>0</v>
      </c>
      <c r="P63" s="114"/>
      <c r="Q63" s="114">
        <v>0</v>
      </c>
      <c r="R63" s="114"/>
      <c r="S63" s="114">
        <v>0</v>
      </c>
      <c r="T63" s="114"/>
      <c r="U63" s="114">
        <v>0</v>
      </c>
      <c r="V63" s="114"/>
      <c r="W63" s="114">
        <v>0</v>
      </c>
      <c r="X63" s="114"/>
      <c r="Y63" s="114">
        <v>23474521</v>
      </c>
      <c r="Z63" s="114"/>
      <c r="AA63" s="111">
        <v>0</v>
      </c>
      <c r="AB63" s="115"/>
      <c r="AC63" s="116"/>
      <c r="AD63" s="115">
        <v>0</v>
      </c>
      <c r="AE63" s="115"/>
      <c r="AF63" s="115">
        <v>0</v>
      </c>
      <c r="AG63" s="115"/>
      <c r="AH63" s="115">
        <v>0</v>
      </c>
      <c r="AI63" s="115"/>
      <c r="AJ63" s="115">
        <v>0</v>
      </c>
      <c r="AK63" s="115"/>
      <c r="AL63" s="115">
        <v>0</v>
      </c>
      <c r="AM63" s="115"/>
      <c r="AN63" s="115">
        <v>3452467</v>
      </c>
      <c r="AO63" s="115"/>
      <c r="AP63" s="115">
        <v>0</v>
      </c>
      <c r="AQ63" s="106"/>
      <c r="AR63" s="117"/>
      <c r="AS63" s="118"/>
      <c r="AT63" s="118"/>
      <c r="AU63" s="118"/>
      <c r="AV63" s="118"/>
      <c r="AW63" s="118"/>
      <c r="AX63" s="118"/>
      <c r="AY63" s="118"/>
      <c r="AZ63" s="118"/>
      <c r="BA63" s="118"/>
      <c r="BB63" s="118"/>
      <c r="BC63" s="118">
        <v>0.14710000000000001</v>
      </c>
      <c r="BD63" s="118"/>
      <c r="BE63" s="118"/>
      <c r="BF63" s="106"/>
      <c r="BG63" s="106" t="s">
        <v>730</v>
      </c>
    </row>
    <row r="64" spans="1:59">
      <c r="A64" s="106" t="s">
        <v>852</v>
      </c>
      <c r="B64" s="106" t="s">
        <v>853</v>
      </c>
      <c r="C64" s="107" t="s">
        <v>740</v>
      </c>
      <c r="D64" s="108">
        <v>9182</v>
      </c>
      <c r="E64" s="109">
        <v>90182</v>
      </c>
      <c r="F64" s="107" t="s">
        <v>741</v>
      </c>
      <c r="G64" s="110">
        <v>370583</v>
      </c>
      <c r="H64" s="111">
        <v>35</v>
      </c>
      <c r="I64" s="107" t="s">
        <v>737</v>
      </c>
      <c r="J64" s="112" t="s">
        <v>736</v>
      </c>
      <c r="K64" s="112">
        <v>35</v>
      </c>
      <c r="L64" s="113"/>
      <c r="M64" s="114">
        <v>514210</v>
      </c>
      <c r="N64" s="114"/>
      <c r="O64" s="114">
        <v>0</v>
      </c>
      <c r="P64" s="114"/>
      <c r="Q64" s="114">
        <v>0</v>
      </c>
      <c r="R64" s="114"/>
      <c r="S64" s="114">
        <v>0</v>
      </c>
      <c r="T64" s="114"/>
      <c r="U64" s="114">
        <v>0</v>
      </c>
      <c r="V64" s="114"/>
      <c r="W64" s="114">
        <v>0</v>
      </c>
      <c r="X64" s="114"/>
      <c r="Y64" s="114">
        <v>0</v>
      </c>
      <c r="Z64" s="114"/>
      <c r="AA64" s="111">
        <v>0</v>
      </c>
      <c r="AB64" s="115"/>
      <c r="AC64" s="116"/>
      <c r="AD64" s="115">
        <v>130583</v>
      </c>
      <c r="AE64" s="115"/>
      <c r="AF64" s="115">
        <v>0</v>
      </c>
      <c r="AG64" s="115"/>
      <c r="AH64" s="115">
        <v>0</v>
      </c>
      <c r="AI64" s="115"/>
      <c r="AJ64" s="115">
        <v>0</v>
      </c>
      <c r="AK64" s="115"/>
      <c r="AL64" s="115">
        <v>0</v>
      </c>
      <c r="AM64" s="115"/>
      <c r="AN64" s="115">
        <v>0</v>
      </c>
      <c r="AO64" s="115"/>
      <c r="AP64" s="115">
        <v>0</v>
      </c>
      <c r="AQ64" s="106"/>
      <c r="AR64" s="117"/>
      <c r="AS64" s="118">
        <v>0.25390000000000001</v>
      </c>
      <c r="AT64" s="118"/>
      <c r="AU64" s="118"/>
      <c r="AV64" s="118"/>
      <c r="AW64" s="118"/>
      <c r="AX64" s="118"/>
      <c r="AY64" s="118"/>
      <c r="AZ64" s="118"/>
      <c r="BA64" s="118"/>
      <c r="BB64" s="118"/>
      <c r="BC64" s="118"/>
      <c r="BD64" s="118"/>
      <c r="BE64" s="118"/>
      <c r="BF64" s="106"/>
      <c r="BG64" s="106" t="s">
        <v>730</v>
      </c>
    </row>
    <row r="65" spans="1:59">
      <c r="A65" s="106" t="s">
        <v>854</v>
      </c>
      <c r="B65" s="106" t="s">
        <v>855</v>
      </c>
      <c r="C65" s="107" t="s">
        <v>766</v>
      </c>
      <c r="D65" s="108">
        <v>4232</v>
      </c>
      <c r="E65" s="109">
        <v>40232</v>
      </c>
      <c r="F65" s="107" t="s">
        <v>763</v>
      </c>
      <c r="G65" s="110">
        <v>1510516</v>
      </c>
      <c r="H65" s="111">
        <v>25</v>
      </c>
      <c r="I65" s="107" t="s">
        <v>737</v>
      </c>
      <c r="J65" s="112" t="s">
        <v>736</v>
      </c>
      <c r="K65" s="112">
        <v>25</v>
      </c>
      <c r="L65" s="113"/>
      <c r="M65" s="114">
        <v>810032</v>
      </c>
      <c r="N65" s="114"/>
      <c r="O65" s="114">
        <v>0</v>
      </c>
      <c r="P65" s="114"/>
      <c r="Q65" s="114">
        <v>0</v>
      </c>
      <c r="R65" s="114"/>
      <c r="S65" s="114">
        <v>0</v>
      </c>
      <c r="T65" s="114"/>
      <c r="U65" s="114">
        <v>0</v>
      </c>
      <c r="V65" s="114"/>
      <c r="W65" s="114">
        <v>0</v>
      </c>
      <c r="X65" s="114"/>
      <c r="Y65" s="114">
        <v>0</v>
      </c>
      <c r="Z65" s="114"/>
      <c r="AA65" s="111">
        <v>0</v>
      </c>
      <c r="AB65" s="115"/>
      <c r="AC65" s="116"/>
      <c r="AD65" s="115">
        <v>486222</v>
      </c>
      <c r="AE65" s="115"/>
      <c r="AF65" s="115">
        <v>0</v>
      </c>
      <c r="AG65" s="115"/>
      <c r="AH65" s="115">
        <v>0</v>
      </c>
      <c r="AI65" s="115"/>
      <c r="AJ65" s="115">
        <v>0</v>
      </c>
      <c r="AK65" s="115"/>
      <c r="AL65" s="115">
        <v>0</v>
      </c>
      <c r="AM65" s="115"/>
      <c r="AN65" s="115">
        <v>0</v>
      </c>
      <c r="AO65" s="115"/>
      <c r="AP65" s="115">
        <v>0</v>
      </c>
      <c r="AQ65" s="106"/>
      <c r="AR65" s="117"/>
      <c r="AS65" s="118">
        <v>0.60029999999999994</v>
      </c>
      <c r="AT65" s="118"/>
      <c r="AU65" s="118"/>
      <c r="AV65" s="118"/>
      <c r="AW65" s="118"/>
      <c r="AX65" s="118"/>
      <c r="AY65" s="118"/>
      <c r="AZ65" s="118"/>
      <c r="BA65" s="118"/>
      <c r="BB65" s="118"/>
      <c r="BC65" s="118"/>
      <c r="BD65" s="118"/>
      <c r="BE65" s="118"/>
      <c r="BF65" s="106"/>
      <c r="BG65" s="106" t="s">
        <v>730</v>
      </c>
    </row>
    <row r="66" spans="1:59">
      <c r="A66" s="106" t="s">
        <v>856</v>
      </c>
      <c r="B66" s="106" t="s">
        <v>783</v>
      </c>
      <c r="C66" s="107" t="s">
        <v>857</v>
      </c>
      <c r="D66" s="108">
        <v>1115</v>
      </c>
      <c r="E66" s="109">
        <v>10115</v>
      </c>
      <c r="F66" s="107" t="s">
        <v>741</v>
      </c>
      <c r="G66" s="110">
        <v>203914</v>
      </c>
      <c r="H66" s="111">
        <v>21</v>
      </c>
      <c r="I66" s="107" t="s">
        <v>737</v>
      </c>
      <c r="J66" s="112" t="s">
        <v>736</v>
      </c>
      <c r="K66" s="112">
        <v>21</v>
      </c>
      <c r="L66" s="113"/>
      <c r="M66" s="114">
        <v>628302</v>
      </c>
      <c r="N66" s="114"/>
      <c r="O66" s="114">
        <v>0</v>
      </c>
      <c r="P66" s="114"/>
      <c r="Q66" s="114">
        <v>0</v>
      </c>
      <c r="R66" s="114"/>
      <c r="S66" s="114">
        <v>0</v>
      </c>
      <c r="T66" s="114"/>
      <c r="U66" s="114">
        <v>0</v>
      </c>
      <c r="V66" s="114"/>
      <c r="W66" s="114">
        <v>0</v>
      </c>
      <c r="X66" s="114"/>
      <c r="Y66" s="114">
        <v>0</v>
      </c>
      <c r="Z66" s="114"/>
      <c r="AA66" s="111">
        <v>0</v>
      </c>
      <c r="AB66" s="115"/>
      <c r="AC66" s="116"/>
      <c r="AD66" s="115">
        <v>0</v>
      </c>
      <c r="AE66" s="115"/>
      <c r="AF66" s="115">
        <v>0</v>
      </c>
      <c r="AG66" s="115"/>
      <c r="AH66" s="115">
        <v>0</v>
      </c>
      <c r="AI66" s="115"/>
      <c r="AJ66" s="115">
        <v>0</v>
      </c>
      <c r="AK66" s="115"/>
      <c r="AL66" s="115">
        <v>0</v>
      </c>
      <c r="AM66" s="115"/>
      <c r="AN66" s="115">
        <v>0</v>
      </c>
      <c r="AO66" s="115"/>
      <c r="AP66" s="115">
        <v>0</v>
      </c>
      <c r="AQ66" s="106"/>
      <c r="AR66" s="117"/>
      <c r="AS66" s="118">
        <v>0</v>
      </c>
      <c r="AT66" s="118"/>
      <c r="AU66" s="118"/>
      <c r="AV66" s="118"/>
      <c r="AW66" s="118"/>
      <c r="AX66" s="118"/>
      <c r="AY66" s="118"/>
      <c r="AZ66" s="118"/>
      <c r="BA66" s="118"/>
      <c r="BB66" s="118"/>
      <c r="BC66" s="118"/>
      <c r="BD66" s="118"/>
      <c r="BE66" s="118"/>
      <c r="BF66" s="106"/>
      <c r="BG66" s="106" t="s">
        <v>730</v>
      </c>
    </row>
    <row r="67" spans="1:59">
      <c r="A67" s="106" t="s">
        <v>858</v>
      </c>
      <c r="B67" s="106" t="s">
        <v>859</v>
      </c>
      <c r="C67" s="107" t="s">
        <v>756</v>
      </c>
      <c r="D67" s="108">
        <v>3057</v>
      </c>
      <c r="E67" s="109">
        <v>30057</v>
      </c>
      <c r="F67" s="107" t="s">
        <v>763</v>
      </c>
      <c r="G67" s="110">
        <v>5441567</v>
      </c>
      <c r="H67" s="111">
        <v>20</v>
      </c>
      <c r="I67" s="107" t="s">
        <v>737</v>
      </c>
      <c r="J67" s="112" t="s">
        <v>736</v>
      </c>
      <c r="K67" s="112">
        <v>20</v>
      </c>
      <c r="L67" s="113"/>
      <c r="M67" s="114">
        <v>0</v>
      </c>
      <c r="N67" s="114"/>
      <c r="O67" s="114">
        <v>0</v>
      </c>
      <c r="P67" s="114"/>
      <c r="Q67" s="114">
        <v>0</v>
      </c>
      <c r="R67" s="114"/>
      <c r="S67" s="114">
        <v>0</v>
      </c>
      <c r="T67" s="114"/>
      <c r="U67" s="114">
        <v>0</v>
      </c>
      <c r="V67" s="114"/>
      <c r="W67" s="114">
        <v>0</v>
      </c>
      <c r="X67" s="114"/>
      <c r="Y67" s="114">
        <v>27325354</v>
      </c>
      <c r="Z67" s="114"/>
      <c r="AA67" s="111">
        <v>0</v>
      </c>
      <c r="AB67" s="115"/>
      <c r="AC67" s="116"/>
      <c r="AD67" s="115">
        <v>0</v>
      </c>
      <c r="AE67" s="115"/>
      <c r="AF67" s="115">
        <v>0</v>
      </c>
      <c r="AG67" s="115"/>
      <c r="AH67" s="115">
        <v>0</v>
      </c>
      <c r="AI67" s="115"/>
      <c r="AJ67" s="115">
        <v>0</v>
      </c>
      <c r="AK67" s="115"/>
      <c r="AL67" s="115">
        <v>0</v>
      </c>
      <c r="AM67" s="115"/>
      <c r="AN67" s="115">
        <v>0</v>
      </c>
      <c r="AO67" s="115"/>
      <c r="AP67" s="115">
        <v>0</v>
      </c>
      <c r="AQ67" s="106"/>
      <c r="AR67" s="117"/>
      <c r="AS67" s="118"/>
      <c r="AT67" s="118"/>
      <c r="AU67" s="118"/>
      <c r="AV67" s="118"/>
      <c r="AW67" s="118"/>
      <c r="AX67" s="118"/>
      <c r="AY67" s="118"/>
      <c r="AZ67" s="118"/>
      <c r="BA67" s="118"/>
      <c r="BB67" s="118"/>
      <c r="BC67" s="118">
        <v>0</v>
      </c>
      <c r="BD67" s="118"/>
      <c r="BE67" s="118"/>
      <c r="BF67" s="106"/>
      <c r="BG67" s="106" t="s">
        <v>730</v>
      </c>
    </row>
    <row r="68" spans="1:59">
      <c r="A68" s="106" t="s">
        <v>860</v>
      </c>
      <c r="B68" s="106" t="s">
        <v>861</v>
      </c>
      <c r="C68" s="107" t="s">
        <v>740</v>
      </c>
      <c r="D68" s="108"/>
      <c r="E68" s="109">
        <v>90299</v>
      </c>
      <c r="F68" s="107" t="s">
        <v>741</v>
      </c>
      <c r="G68" s="110">
        <v>308231</v>
      </c>
      <c r="H68" s="111">
        <v>12</v>
      </c>
      <c r="I68" s="107" t="s">
        <v>737</v>
      </c>
      <c r="J68" s="112" t="s">
        <v>729</v>
      </c>
      <c r="K68" s="112">
        <v>12</v>
      </c>
      <c r="L68" s="113"/>
      <c r="M68" s="114">
        <v>286520</v>
      </c>
      <c r="N68" s="114"/>
      <c r="O68" s="114">
        <v>0</v>
      </c>
      <c r="P68" s="114"/>
      <c r="Q68" s="114">
        <v>0</v>
      </c>
      <c r="R68" s="114"/>
      <c r="S68" s="114">
        <v>0</v>
      </c>
      <c r="T68" s="114"/>
      <c r="U68" s="114">
        <v>0</v>
      </c>
      <c r="V68" s="114"/>
      <c r="W68" s="114">
        <v>0</v>
      </c>
      <c r="X68" s="114"/>
      <c r="Y68" s="114">
        <v>0</v>
      </c>
      <c r="Z68" s="114"/>
      <c r="AA68" s="111">
        <v>0</v>
      </c>
      <c r="AB68" s="115"/>
      <c r="AC68" s="116"/>
      <c r="AD68" s="115">
        <v>931897</v>
      </c>
      <c r="AE68" s="115"/>
      <c r="AF68" s="115">
        <v>0</v>
      </c>
      <c r="AG68" s="115"/>
      <c r="AH68" s="115">
        <v>0</v>
      </c>
      <c r="AI68" s="115"/>
      <c r="AJ68" s="115">
        <v>0</v>
      </c>
      <c r="AK68" s="115"/>
      <c r="AL68" s="115">
        <v>0</v>
      </c>
      <c r="AM68" s="115"/>
      <c r="AN68" s="115">
        <v>0</v>
      </c>
      <c r="AO68" s="115"/>
      <c r="AP68" s="115">
        <v>0</v>
      </c>
      <c r="AQ68" s="106"/>
      <c r="AR68" s="117"/>
      <c r="AS68" s="118">
        <v>3.2524999999999999</v>
      </c>
      <c r="AT68" s="118"/>
      <c r="AU68" s="118"/>
      <c r="AV68" s="118"/>
      <c r="AW68" s="118"/>
      <c r="AX68" s="118"/>
      <c r="AY68" s="118"/>
      <c r="AZ68" s="118"/>
      <c r="BA68" s="118"/>
      <c r="BB68" s="118"/>
      <c r="BC68" s="118"/>
      <c r="BD68" s="118"/>
      <c r="BE68" s="118"/>
      <c r="BF68" s="106"/>
      <c r="BG68" s="106" t="s">
        <v>730</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4.75"/>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4.75"/>
  <cols>
    <col min="1" max="1" width="12.26953125" customWidth="1"/>
    <col min="2" max="2" width="21.86328125" customWidth="1"/>
    <col min="3" max="3" width="18.1328125" customWidth="1"/>
    <col min="4" max="5" width="16.7265625" customWidth="1"/>
    <col min="6" max="8" width="20.5429687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D44F6-CA87-4F62-836C-4369A46DD67C}">
  <dimension ref="A1:I13"/>
  <sheetViews>
    <sheetView workbookViewId="0">
      <selection activeCell="I1" sqref="I1"/>
    </sheetView>
  </sheetViews>
  <sheetFormatPr defaultColWidth="9.1328125" defaultRowHeight="14.75"/>
  <cols>
    <col min="1" max="1" width="27.54296875" customWidth="1"/>
    <col min="2" max="2" width="12.1328125" bestFit="1" customWidth="1"/>
    <col min="3" max="7" width="12.7265625" bestFit="1" customWidth="1"/>
    <col min="8" max="8" width="12.1328125" bestFit="1" customWidth="1"/>
  </cols>
  <sheetData>
    <row r="1" spans="1:9" ht="44.25">
      <c r="B1" s="167" t="s">
        <v>111</v>
      </c>
      <c r="C1" s="167" t="s">
        <v>112</v>
      </c>
      <c r="D1" s="167" t="s">
        <v>113</v>
      </c>
      <c r="E1" s="167" t="s">
        <v>114</v>
      </c>
      <c r="F1" s="167" t="s">
        <v>115</v>
      </c>
      <c r="G1" s="167" t="s">
        <v>257</v>
      </c>
      <c r="H1" s="175" t="s">
        <v>258</v>
      </c>
      <c r="I1" s="175" t="s">
        <v>2805</v>
      </c>
    </row>
    <row r="2" spans="1:9">
      <c r="A2" t="s">
        <v>1050</v>
      </c>
      <c r="B2" s="176">
        <f>SUMIFS('AEO 2023 46'!$H$61:$H$70,'AEO 2023 46'!$A$61:$A$70,'freight LDV calcs'!B$1)</f>
        <v>0</v>
      </c>
      <c r="C2" s="176">
        <f>SUMIFS('AEO 2023 46'!$H$61:$H$70,'AEO 2023 46'!$A$61:$A$70,'freight LDV calcs'!C$1)</f>
        <v>7.7089000000000005E-2</v>
      </c>
      <c r="D2" s="176">
        <f>SUMIFS('AEO 2023 46'!$H$61:$H$70,'AEO 2023 46'!$A$61:$A$70,'freight LDV calcs'!D$1)</f>
        <v>68.065060000000003</v>
      </c>
      <c r="E2" s="176">
        <f>SUMIFS('AEO 2023 46'!$H$61:$H$70,'AEO 2023 46'!$A$61:$A$70,'freight LDV calcs'!E$1)</f>
        <v>35.168990999999998</v>
      </c>
      <c r="F2" s="176">
        <f>SUMIFS('AEO 2023 46'!$H$61:$H$70,'AEO 2023 46'!$A$61:$A$70,'freight LDV calcs'!F$1)</f>
        <v>2.5620999999999998E-2</v>
      </c>
      <c r="G2" s="176">
        <f>SUMIFS('AEO 2023 46'!$H$61:$H$70,'AEO 2023 46'!$A$61:$A$70,'freight LDV calcs'!G$1)</f>
        <v>6.7080000000000004E-3</v>
      </c>
      <c r="H2" s="176">
        <f>SUMIFS('AEO 2023 46'!$I$61:$I$70,'AEO 2023 46'!$A$61:$A$70,'freight LDV calcs'!H$1)</f>
        <v>0</v>
      </c>
    </row>
    <row r="3" spans="1:9">
      <c r="A3" t="s">
        <v>1051</v>
      </c>
      <c r="B3" s="177">
        <f>SUMIFS('AEO 2023 49'!$H$19:$H$28,'AEO 2023 49'!$A$19:$A$28,'freight LDV calcs'!B$1)</f>
        <v>7.2599999999999997E-4</v>
      </c>
      <c r="C3" s="177">
        <f>SUMIFS('AEO 2023 49'!$H$19:$H$28,'AEO 2023 49'!$A$19:$A$28,'freight LDV calcs'!C$1)</f>
        <v>1.3986E-2</v>
      </c>
      <c r="D3" s="177">
        <f>SUMIFS('AEO 2023 49'!$H$19:$H$28,'AEO 2023 49'!$A$19:$A$28,'freight LDV calcs'!D$1)</f>
        <v>21.495881000000001</v>
      </c>
      <c r="E3" s="177">
        <f>SUMIFS('AEO 2023 49'!$H$19:$H$28,'AEO 2023 49'!$A$19:$A$28,'freight LDV calcs'!E$1)</f>
        <v>53.187412000000002</v>
      </c>
      <c r="F3" s="177">
        <f>SUMIFS('AEO 2023 49'!$H$19:$H$28,'AEO 2023 49'!$A$19:$A$28,'freight LDV calcs'!F$1)</f>
        <v>1.1816E-2</v>
      </c>
      <c r="G3" s="177">
        <f>SUMIFS('AEO 2023 49'!$H$19:$H$28,'AEO 2023 49'!$A$19:$A$28,'freight LDV calcs'!G$1)</f>
        <v>7.6309999999999998E-3</v>
      </c>
      <c r="H3" s="177">
        <f>SUMIFS('AEO 2023 49'!$I$19:$I$28,'AEO 2023 49'!$A$19:$A$28,'freight LDV calcs'!H$1)</f>
        <v>1.9999999999999999E-6</v>
      </c>
    </row>
    <row r="4" spans="1:9">
      <c r="A4" t="s">
        <v>1052</v>
      </c>
      <c r="B4" s="3">
        <f>SUMIFS('AEO 2023 49'!$H$30:$H$39,'AEO 2023 49'!$A$30:$A$39,'freight LDV calcs'!B$1)</f>
        <v>5.7080000000000004E-3</v>
      </c>
      <c r="C4" s="3">
        <f>SUMIFS('AEO 2023 49'!$H$30:$H$39,'AEO 2023 49'!$A$30:$A$39,'freight LDV calcs'!C$1)</f>
        <v>3.8744000000000001E-2</v>
      </c>
      <c r="D4" s="3">
        <f>SUMIFS('AEO 2023 49'!$H$30:$H$39,'AEO 2023 49'!$A$30:$A$39,'freight LDV calcs'!D$1)</f>
        <v>19.813300999999999</v>
      </c>
      <c r="E4" s="3">
        <f>SUMIFS('AEO 2023 49'!$H$30:$H$39,'AEO 2023 49'!$A$30:$A$39,'freight LDV calcs'!E$1)</f>
        <v>39.337626999999998</v>
      </c>
      <c r="F4" s="3">
        <f>SUMIFS('AEO 2023 49'!$H$30:$H$39,'AEO 2023 49'!$A$30:$A$39,'freight LDV calcs'!F$1)</f>
        <v>0</v>
      </c>
      <c r="G4" s="3">
        <f>SUMIFS('AEO 2023 49'!$H$30:$H$39,'AEO 2023 49'!$A$30:$A$39,'freight LDV calcs'!G$1)</f>
        <v>3.6849E-2</v>
      </c>
      <c r="H4" s="3">
        <f>SUMIFS('AEO 2023 49'!$I$30:$I$39,'AEO 2023 49'!$A$30:$A$39,'freight LDV calcs'!H$1)</f>
        <v>8.0780000000000001E-3</v>
      </c>
    </row>
    <row r="6" spans="1:9">
      <c r="A6" t="s">
        <v>1053</v>
      </c>
      <c r="B6">
        <f>SUMIFS('AEO 2023 43'!$H$61:$H$70,'AEO 2023 43'!$A$61:$A$70,'freight LDV calcs'!B1)*10^15</f>
        <v>0</v>
      </c>
      <c r="C6">
        <f>SUMIFS('AEO 2023 43'!$H$61:$H$70,'AEO 2023 43'!$A$61:$A$70,'freight LDV calcs'!C1)*10^15</f>
        <v>1028095999999999.9</v>
      </c>
      <c r="D6">
        <f>SUMIFS('AEO 2023 43'!$H$61:$H$70,'AEO 2023 43'!$A$61:$A$70,'freight LDV calcs'!D1)*10^15</f>
        <v>6.5457269300000013E+17</v>
      </c>
      <c r="E6">
        <f>SUMIFS('AEO 2023 43'!$H$61:$H$70,'AEO 2023 43'!$A$61:$A$70,'freight LDV calcs'!E1)*10^15</f>
        <v>2.8675845299999997E+17</v>
      </c>
      <c r="F6">
        <f>SUMIFS('AEO 2023 43'!$H$61:$H$70,'AEO 2023 43'!$A$61:$A$70,'freight LDV calcs'!F1)*10^15</f>
        <v>139625000000000</v>
      </c>
      <c r="G6">
        <f>SUMIFS('AEO 2023 43'!$H$61:$H$70,'AEO 2023 43'!$A$61:$A$70,'freight LDV calcs'!H1)*10^15</f>
        <v>0</v>
      </c>
      <c r="H6">
        <f>SUMIFS('AEO 2023 43'!$H$61:$H$70,'AEO 2023 43'!$A$61:$A$70,'freight LDV calcs'!H1)*10^15</f>
        <v>0</v>
      </c>
    </row>
    <row r="8" spans="1:9" ht="44.25">
      <c r="B8" s="167" t="s">
        <v>111</v>
      </c>
      <c r="C8" s="167" t="s">
        <v>112</v>
      </c>
      <c r="D8" s="167" t="s">
        <v>113</v>
      </c>
      <c r="E8" s="167" t="s">
        <v>114</v>
      </c>
      <c r="F8" s="167" t="s">
        <v>115</v>
      </c>
      <c r="G8" s="167" t="s">
        <v>257</v>
      </c>
      <c r="H8" s="167" t="s">
        <v>258</v>
      </c>
    </row>
    <row r="9" spans="1:9">
      <c r="A9" t="s">
        <v>1054</v>
      </c>
      <c r="B9">
        <f>IFERROR(B2*10^12/B6,0)</f>
        <v>0</v>
      </c>
      <c r="C9">
        <f t="shared" ref="C9:F9" si="0">C2*10^12/C6</f>
        <v>7.4982297373007981E-5</v>
      </c>
      <c r="D9">
        <f t="shared" si="0"/>
        <v>1.0398395889087292E-4</v>
      </c>
      <c r="E9">
        <f t="shared" si="0"/>
        <v>1.2264325822681154E-4</v>
      </c>
      <c r="F9">
        <f t="shared" si="0"/>
        <v>1.8349865711727841E-4</v>
      </c>
      <c r="G9">
        <f>IFERROR(G2*10^12/G6,0)</f>
        <v>0</v>
      </c>
      <c r="H9">
        <v>0</v>
      </c>
    </row>
    <row r="10" spans="1:9">
      <c r="A10" t="s">
        <v>1055</v>
      </c>
      <c r="B10">
        <f>'AEO 2023 49'!H104/'Calculations Etc'!B26</f>
        <v>1.7548417629426998E-4</v>
      </c>
      <c r="C10">
        <f>'AEO 2023 49'!H102/'Calculations Etc'!B25</f>
        <v>8.3321574421461539E-5</v>
      </c>
      <c r="D10">
        <f>'AEO 2023 49'!H100/'Calculations Etc'!B25</f>
        <v>9.1546158571001687E-5</v>
      </c>
      <c r="E10">
        <f>'AEO 2023 49'!H99/'Calculations Etc'!B26</f>
        <v>1.1070407123941448E-4</v>
      </c>
      <c r="F10">
        <f>'AEO 2023 49'!H106/'Calculations Etc'!B25</f>
        <v>1.5737443972243433E-4</v>
      </c>
      <c r="G10">
        <f>'AEO 2023 49'!H101/'Calculations Etc'!B25</f>
        <v>1.0018607025465652E-4</v>
      </c>
      <c r="H10">
        <f>'AEO 2023 49'!I107/'Calculations Etc'!B26</f>
        <v>1.3524129150539827E-4</v>
      </c>
    </row>
    <row r="11" spans="1:9">
      <c r="A11" t="s">
        <v>1056</v>
      </c>
      <c r="B11">
        <f>'AEO 2023 49'!H115/'Calculations Etc'!B26</f>
        <v>1.2676730058493147E-4</v>
      </c>
      <c r="C11">
        <f>'AEO 2023 49'!H113/'Calculations Etc'!B25</f>
        <v>5.5964216939473426E-5</v>
      </c>
      <c r="D11">
        <f>'AEO 2023 49'!H111/'Calculations Etc'!B25</f>
        <v>5.6598675254822533E-5</v>
      </c>
      <c r="E11">
        <f>'AEO 2023 49'!H110/'Calculations Etc'!B26</f>
        <v>6.8137298838867391E-5</v>
      </c>
      <c r="F11">
        <f>'AEO 2023 49'!H116/'Calculations Etc'!B26</f>
        <v>0</v>
      </c>
      <c r="G11">
        <f>'AEO 2023 49'!H112/'Calculations Etc'!B25</f>
        <v>5.6030578704472259E-5</v>
      </c>
      <c r="H11">
        <f>'AEO 2023 49'!I118/'Calculations Etc'!B26</f>
        <v>8.3786165352268431E-5</v>
      </c>
    </row>
    <row r="13" spans="1:9">
      <c r="A13" t="s">
        <v>1057</v>
      </c>
      <c r="B13">
        <f>SUMPRODUCT(B2:B4,B9:B11)/SUM(B2:B4)</f>
        <v>1.3226441773833212E-4</v>
      </c>
      <c r="C13">
        <f t="shared" ref="C13:H13" si="1">SUMPRODUCT(C2:C4,C9:C11)/SUM(C2:C4)</f>
        <v>7.0204850469879831E-5</v>
      </c>
      <c r="D13">
        <f t="shared" si="1"/>
        <v>9.2955581997260681E-5</v>
      </c>
      <c r="E13">
        <f t="shared" si="1"/>
        <v>1.0087912753938768E-4</v>
      </c>
      <c r="F13">
        <f t="shared" si="1"/>
        <v>1.7525323807361898E-4</v>
      </c>
      <c r="G13">
        <f>SUMPRODUCT(G2:G4,G9:G11)/SUM(G2:G4)</f>
        <v>5.5270584840087177E-5</v>
      </c>
      <c r="H13">
        <f t="shared" si="1"/>
        <v>8.379890176963306E-5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4"/>
  <sheetViews>
    <sheetView workbookViewId="0"/>
  </sheetViews>
  <sheetFormatPr defaultRowHeight="14.75"/>
  <cols>
    <col min="2" max="2" width="18.26953125" customWidth="1"/>
    <col min="3" max="3" width="9.86328125" bestFit="1" customWidth="1"/>
    <col min="4" max="4" width="11.40625" customWidth="1"/>
    <col min="5" max="5" width="22.40625" bestFit="1" customWidth="1"/>
    <col min="6" max="6" width="15.26953125" bestFit="1" customWidth="1"/>
    <col min="7" max="7" width="16.86328125" bestFit="1" customWidth="1"/>
    <col min="8" max="8" width="15.86328125" customWidth="1"/>
    <col min="9" max="9" width="18.54296875" customWidth="1"/>
    <col min="10" max="10" width="16.40625" bestFit="1" customWidth="1"/>
    <col min="11" max="11" width="17.86328125" bestFit="1" customWidth="1"/>
    <col min="12" max="12" width="9.7265625" bestFit="1" customWidth="1"/>
    <col min="13" max="13" width="14.26953125" bestFit="1" customWidth="1"/>
    <col min="14" max="20" width="14.26953125" customWidth="1"/>
    <col min="21" max="21" width="18.1328125" bestFit="1" customWidth="1"/>
    <col min="22" max="22" width="19.40625" bestFit="1" customWidth="1"/>
  </cols>
  <sheetData>
    <row r="2" spans="2:22">
      <c r="B2" s="1" t="s">
        <v>908</v>
      </c>
      <c r="C2" s="6">
        <v>138700</v>
      </c>
    </row>
    <row r="3" spans="2:22">
      <c r="B3" s="1" t="s">
        <v>909</v>
      </c>
      <c r="C3">
        <v>3412.14</v>
      </c>
      <c r="H3" s="21"/>
    </row>
    <row r="4" spans="2:22">
      <c r="B4" s="1" t="s">
        <v>682</v>
      </c>
      <c r="C4" s="119" t="s">
        <v>910</v>
      </c>
      <c r="D4" s="119" t="s">
        <v>728</v>
      </c>
      <c r="E4" s="119" t="s">
        <v>737</v>
      </c>
      <c r="F4" s="119" t="s">
        <v>735</v>
      </c>
    </row>
    <row r="5" spans="2:22">
      <c r="B5" s="1"/>
      <c r="C5" s="1"/>
      <c r="D5" s="1"/>
      <c r="E5" s="1"/>
      <c r="F5" s="1"/>
    </row>
    <row r="6" spans="2:22">
      <c r="B6" s="1"/>
      <c r="C6" s="1"/>
      <c r="D6" s="1"/>
      <c r="E6" s="120" t="s">
        <v>911</v>
      </c>
      <c r="F6" s="120"/>
      <c r="G6" s="121"/>
      <c r="H6" s="121"/>
      <c r="I6" s="121"/>
      <c r="J6" s="121"/>
      <c r="K6" s="121"/>
      <c r="L6" s="121"/>
      <c r="M6" s="121"/>
      <c r="N6" s="121"/>
      <c r="O6" s="121"/>
      <c r="P6" s="122" t="s">
        <v>912</v>
      </c>
      <c r="Q6" s="123"/>
      <c r="R6" s="123"/>
      <c r="S6" s="123"/>
      <c r="T6" s="123"/>
      <c r="U6" s="123"/>
      <c r="V6" s="123"/>
    </row>
    <row r="7" spans="2:22">
      <c r="G7" s="124"/>
      <c r="H7" s="1" t="s">
        <v>880</v>
      </c>
      <c r="I7" s="1"/>
      <c r="J7" s="1"/>
      <c r="K7" s="1"/>
      <c r="N7" s="1"/>
      <c r="O7" s="1"/>
    </row>
    <row r="8" spans="2:22">
      <c r="B8" s="125" t="s">
        <v>675</v>
      </c>
      <c r="C8" s="125" t="s">
        <v>675</v>
      </c>
      <c r="D8" s="1" t="s">
        <v>913</v>
      </c>
      <c r="E8" s="1" t="s">
        <v>686</v>
      </c>
      <c r="F8" s="1" t="s">
        <v>696</v>
      </c>
      <c r="G8" s="1" t="s">
        <v>718</v>
      </c>
      <c r="H8" s="1" t="s">
        <v>327</v>
      </c>
      <c r="I8" s="1" t="s">
        <v>888</v>
      </c>
      <c r="J8" s="1" t="s">
        <v>914</v>
      </c>
      <c r="K8" s="1" t="s">
        <v>915</v>
      </c>
      <c r="L8" s="126" t="s">
        <v>916</v>
      </c>
      <c r="M8" s="126" t="s">
        <v>917</v>
      </c>
      <c r="N8" s="126" t="s">
        <v>918</v>
      </c>
      <c r="O8" s="126" t="s">
        <v>919</v>
      </c>
      <c r="P8" s="1" t="s">
        <v>864</v>
      </c>
      <c r="Q8" s="1" t="s">
        <v>872</v>
      </c>
      <c r="R8" s="1" t="s">
        <v>876</v>
      </c>
      <c r="S8" s="1" t="s">
        <v>920</v>
      </c>
      <c r="T8" s="1" t="s">
        <v>921</v>
      </c>
      <c r="U8" s="126" t="s">
        <v>922</v>
      </c>
      <c r="V8" s="126" t="s">
        <v>923</v>
      </c>
    </row>
    <row r="9" spans="2:22">
      <c r="B9" s="127" t="s">
        <v>924</v>
      </c>
      <c r="C9" s="127" t="s">
        <v>925</v>
      </c>
      <c r="D9" t="s">
        <v>926</v>
      </c>
      <c r="E9">
        <f>SUMIFS('Annual Service Data_rail only'!N:N,'Annual Service Data_rail only'!C:C,C9)</f>
        <v>0</v>
      </c>
      <c r="F9" s="124">
        <f>SUMIFS('Annual Service Data_rail only'!X:X,'Annual Service Data_rail only'!C:C,C9)</f>
        <v>0</v>
      </c>
      <c r="G9" s="124">
        <f>SUMIFS('Annual Service Data_rail only'!AT:AT,'Annual Service Data_rail only'!C:C,C9)</f>
        <v>0</v>
      </c>
      <c r="H9">
        <f>SUMIFS('Fuel and Energy_rail only'!AD:AD,'Fuel and Energy_rail only'!C:C,C9)</f>
        <v>0</v>
      </c>
      <c r="I9">
        <f>SUMIFS('Fuel and Energy_rail only'!AN:AN,'Fuel and Energy_rail only'!C:C,C9)</f>
        <v>0</v>
      </c>
      <c r="J9" s="21">
        <f>IFERROR(H9/SUM($H9:$I9),0)</f>
        <v>0</v>
      </c>
      <c r="K9" s="21">
        <f>IFERROR(I9/SUM($H9:$I9),0)</f>
        <v>0</v>
      </c>
      <c r="L9" s="128">
        <f t="shared" ref="L9:L40" si="0">IFERROR(G9/F9,0)</f>
        <v>0</v>
      </c>
      <c r="M9" s="129">
        <f t="shared" ref="M9:M40" si="1">IFERROR(F9/E9,0)</f>
        <v>0</v>
      </c>
      <c r="N9" s="129">
        <f>E9*J9</f>
        <v>0</v>
      </c>
      <c r="O9" s="129">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0">
        <f>IFERROR(($L9*$M9*N9)/S9,0)</f>
        <v>0</v>
      </c>
      <c r="V9" s="130">
        <f>IFERROR(($L9*$M9*O9)/T9,0)</f>
        <v>0</v>
      </c>
    </row>
    <row r="10" spans="2:22">
      <c r="B10" s="127" t="s">
        <v>927</v>
      </c>
      <c r="C10" s="127" t="s">
        <v>928</v>
      </c>
      <c r="D10" t="s">
        <v>929</v>
      </c>
      <c r="E10">
        <f>SUMIFS('Annual Service Data_rail only'!N:N,'Annual Service Data_rail only'!C:C,C10)</f>
        <v>0</v>
      </c>
      <c r="F10" s="124">
        <f>SUMIFS('Annual Service Data_rail only'!X:X,'Annual Service Data_rail only'!C:C,C10)</f>
        <v>0</v>
      </c>
      <c r="G10" s="124">
        <f>SUMIFS('Annual Service Data_rail only'!AT:AT,'Annual Service Data_rail only'!C:C,C10)</f>
        <v>0</v>
      </c>
      <c r="H10">
        <f>SUMIFS('Fuel and Energy_rail only'!AD:AD,'Fuel and Energy_rail only'!C:C,C10)</f>
        <v>0</v>
      </c>
      <c r="I10">
        <f>SUMIFS('Fuel and Energy_rail only'!AN:AN,'Fuel and Energy_rail only'!C:C,C10)</f>
        <v>0</v>
      </c>
      <c r="J10" s="21">
        <f t="shared" ref="J10:K59" si="2">IFERROR(H10/SUM($H10:$I10),0)</f>
        <v>0</v>
      </c>
      <c r="K10" s="21">
        <f t="shared" si="2"/>
        <v>0</v>
      </c>
      <c r="L10" s="128">
        <f t="shared" si="0"/>
        <v>0</v>
      </c>
      <c r="M10" s="129">
        <f t="shared" si="1"/>
        <v>0</v>
      </c>
      <c r="N10" s="129">
        <f t="shared" ref="N10:N59" si="3">E10*J10</f>
        <v>0</v>
      </c>
      <c r="O10" s="129">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0">
        <f t="shared" ref="U10:V59" si="7">IFERROR(($L10*$M10*N10)/S10,0)</f>
        <v>0</v>
      </c>
      <c r="V10" s="130">
        <f t="shared" si="7"/>
        <v>0</v>
      </c>
    </row>
    <row r="11" spans="2:22">
      <c r="B11" s="127" t="s">
        <v>930</v>
      </c>
      <c r="C11" s="127" t="s">
        <v>851</v>
      </c>
      <c r="D11" t="s">
        <v>931</v>
      </c>
      <c r="E11">
        <f>SUMIFS('Annual Service Data_rail only'!N:N,'Annual Service Data_rail only'!C:C,C11)</f>
        <v>17</v>
      </c>
      <c r="F11" s="124">
        <f>SUMIFS('Annual Service Data_rail only'!X:X,'Annual Service Data_rail only'!C:C,C11)</f>
        <v>3435184</v>
      </c>
      <c r="G11" s="124">
        <f>SUMIFS('Annual Service Data_rail only'!AT:AT,'Annual Service Data_rail only'!C:C,C11)</f>
        <v>90553779</v>
      </c>
      <c r="H11">
        <f>SUMIFS('Fuel and Energy_rail only'!AD:AD,'Fuel and Energy_rail only'!C:C,C11)</f>
        <v>0</v>
      </c>
      <c r="I11">
        <f>SUMIFS('Fuel and Energy_rail only'!AN:AN,'Fuel and Energy_rail only'!C:C,C11)</f>
        <v>3452467</v>
      </c>
      <c r="J11" s="21">
        <f t="shared" si="2"/>
        <v>0</v>
      </c>
      <c r="K11" s="21">
        <f t="shared" si="2"/>
        <v>1</v>
      </c>
      <c r="L11" s="128">
        <f t="shared" si="0"/>
        <v>26.360677914196152</v>
      </c>
      <c r="M11" s="129">
        <f t="shared" si="1"/>
        <v>202069.64705882352</v>
      </c>
      <c r="N11" s="129">
        <f t="shared" si="3"/>
        <v>0</v>
      </c>
      <c r="O11" s="129">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0">
        <f t="shared" si="7"/>
        <v>0</v>
      </c>
      <c r="V11" s="130">
        <f t="shared" si="7"/>
        <v>1.1305323598164989E-3</v>
      </c>
    </row>
    <row r="12" spans="2:22">
      <c r="B12" s="127" t="s">
        <v>932</v>
      </c>
      <c r="C12" s="127" t="s">
        <v>933</v>
      </c>
      <c r="D12" t="s">
        <v>934</v>
      </c>
      <c r="E12">
        <f>SUMIFS('Annual Service Data_rail only'!N:N,'Annual Service Data_rail only'!C:C,C12)</f>
        <v>0</v>
      </c>
      <c r="F12" s="124">
        <f>SUMIFS('Annual Service Data_rail only'!X:X,'Annual Service Data_rail only'!C:C,C12)</f>
        <v>0</v>
      </c>
      <c r="G12" s="124">
        <f>SUMIFS('Annual Service Data_rail only'!AT:AT,'Annual Service Data_rail only'!C:C,C12)</f>
        <v>0</v>
      </c>
      <c r="H12">
        <f>SUMIFS('Fuel and Energy_rail only'!AD:AD,'Fuel and Energy_rail only'!C:C,C12)</f>
        <v>0</v>
      </c>
      <c r="I12">
        <f>SUMIFS('Fuel and Energy_rail only'!AN:AN,'Fuel and Energy_rail only'!C:C,C12)</f>
        <v>0</v>
      </c>
      <c r="J12" s="21">
        <f t="shared" si="2"/>
        <v>0</v>
      </c>
      <c r="K12" s="21">
        <f t="shared" si="2"/>
        <v>0</v>
      </c>
      <c r="L12" s="128">
        <f t="shared" si="0"/>
        <v>0</v>
      </c>
      <c r="M12" s="129">
        <f t="shared" si="1"/>
        <v>0</v>
      </c>
      <c r="N12" s="129">
        <f t="shared" si="3"/>
        <v>0</v>
      </c>
      <c r="O12" s="129">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0">
        <f t="shared" si="7"/>
        <v>0</v>
      </c>
      <c r="V12" s="130">
        <f t="shared" si="7"/>
        <v>0</v>
      </c>
    </row>
    <row r="13" spans="2:22">
      <c r="B13" s="127" t="s">
        <v>935</v>
      </c>
      <c r="C13" s="127" t="s">
        <v>740</v>
      </c>
      <c r="D13" t="s">
        <v>936</v>
      </c>
      <c r="E13">
        <f>SUMIFS('Annual Service Data_rail only'!N:N,'Annual Service Data_rail only'!C:C,C13)</f>
        <v>441</v>
      </c>
      <c r="F13" s="124">
        <f>SUMIFS('Annual Service Data_rail only'!X:X,'Annual Service Data_rail only'!C:C,C13)</f>
        <v>139399021</v>
      </c>
      <c r="G13" s="124">
        <f>SUMIFS('Annual Service Data_rail only'!AT:AT,'Annual Service Data_rail only'!C:C,C13)</f>
        <v>2812423160</v>
      </c>
      <c r="H13">
        <f>SUMIFS('Fuel and Energy_rail only'!AD:AD,'Fuel and Energy_rail only'!C:C,C13)</f>
        <v>5034854</v>
      </c>
      <c r="I13">
        <f>SUMIFS('Fuel and Energy_rail only'!AN:AN,'Fuel and Energy_rail only'!C:C,C13)</f>
        <v>106204511</v>
      </c>
      <c r="J13" s="21">
        <f t="shared" si="2"/>
        <v>4.5261441397116929E-2</v>
      </c>
      <c r="K13" s="21">
        <f t="shared" si="2"/>
        <v>0.95473855860288304</v>
      </c>
      <c r="L13" s="128">
        <f t="shared" si="0"/>
        <v>20.175343699149796</v>
      </c>
      <c r="M13" s="129">
        <f t="shared" si="1"/>
        <v>316097.55328798183</v>
      </c>
      <c r="N13" s="129">
        <f t="shared" si="3"/>
        <v>19.960295656128565</v>
      </c>
      <c r="O13" s="129">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0">
        <f t="shared" si="7"/>
        <v>6.7154146282034786E-5</v>
      </c>
      <c r="V13" s="130">
        <f t="shared" si="7"/>
        <v>1.154764766486198E-3</v>
      </c>
    </row>
    <row r="14" spans="2:22">
      <c r="B14" s="127" t="s">
        <v>937</v>
      </c>
      <c r="C14" s="127" t="s">
        <v>650</v>
      </c>
      <c r="D14" t="s">
        <v>938</v>
      </c>
      <c r="E14">
        <f>SUMIFS('Annual Service Data_rail only'!N:N,'Annual Service Data_rail only'!C:C,C14)</f>
        <v>56</v>
      </c>
      <c r="F14" s="124">
        <f>SUMIFS('Annual Service Data_rail only'!X:X,'Annual Service Data_rail only'!C:C,C14)</f>
        <v>15749288</v>
      </c>
      <c r="G14" s="124">
        <f>SUMIFS('Annual Service Data_rail only'!AT:AT,'Annual Service Data_rail only'!C:C,C14)</f>
        <v>129461494</v>
      </c>
      <c r="H14">
        <f>SUMIFS('Fuel and Energy_rail only'!AD:AD,'Fuel and Energy_rail only'!C:C,C14)</f>
        <v>0</v>
      </c>
      <c r="I14">
        <f>SUMIFS('Fuel and Energy_rail only'!AN:AN,'Fuel and Energy_rail only'!C:C,C14)</f>
        <v>15639401</v>
      </c>
      <c r="J14" s="21">
        <f t="shared" si="2"/>
        <v>0</v>
      </c>
      <c r="K14" s="21">
        <f t="shared" si="2"/>
        <v>1</v>
      </c>
      <c r="L14" s="128">
        <f t="shared" si="0"/>
        <v>8.2201489997516077</v>
      </c>
      <c r="M14" s="129">
        <f t="shared" si="1"/>
        <v>281237.28571428574</v>
      </c>
      <c r="N14" s="129">
        <f t="shared" si="3"/>
        <v>0</v>
      </c>
      <c r="O14" s="129">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0">
        <f t="shared" si="7"/>
        <v>0</v>
      </c>
      <c r="V14" s="130">
        <f t="shared" si="7"/>
        <v>3.739221761641906E-4</v>
      </c>
    </row>
    <row r="15" spans="2:22">
      <c r="B15" s="127" t="s">
        <v>939</v>
      </c>
      <c r="C15" s="127" t="s">
        <v>848</v>
      </c>
      <c r="D15" t="s">
        <v>940</v>
      </c>
      <c r="E15">
        <f>SUMIFS('Annual Service Data_rail only'!N:N,'Annual Service Data_rail only'!C:C,C15)</f>
        <v>5</v>
      </c>
      <c r="F15" s="124">
        <f>SUMIFS('Annual Service Data_rail only'!X:X,'Annual Service Data_rail only'!C:C,C15)</f>
        <v>1717047</v>
      </c>
      <c r="G15" s="124">
        <f>SUMIFS('Annual Service Data_rail only'!AT:AT,'Annual Service Data_rail only'!C:C,C15)</f>
        <v>12884750</v>
      </c>
      <c r="H15">
        <f>SUMIFS('Fuel and Energy_rail only'!AD:AD,'Fuel and Energy_rail only'!C:C,C15)</f>
        <v>724004</v>
      </c>
      <c r="I15">
        <f>SUMIFS('Fuel and Energy_rail only'!AN:AN,'Fuel and Energy_rail only'!C:C,C15)</f>
        <v>0</v>
      </c>
      <c r="J15" s="21">
        <f t="shared" si="2"/>
        <v>1</v>
      </c>
      <c r="K15" s="21">
        <f t="shared" si="2"/>
        <v>0</v>
      </c>
      <c r="L15" s="128">
        <f t="shared" si="0"/>
        <v>7.5040170711692804</v>
      </c>
      <c r="M15" s="129">
        <f t="shared" si="1"/>
        <v>343409.4</v>
      </c>
      <c r="N15" s="129">
        <f t="shared" si="3"/>
        <v>5</v>
      </c>
      <c r="O15" s="129">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0">
        <f t="shared" si="7"/>
        <v>5.5342699223826415E-5</v>
      </c>
      <c r="V15" s="130">
        <f t="shared" si="7"/>
        <v>0</v>
      </c>
    </row>
    <row r="16" spans="2:22">
      <c r="B16" s="127" t="s">
        <v>941</v>
      </c>
      <c r="C16" s="127" t="s">
        <v>942</v>
      </c>
      <c r="D16" t="s">
        <v>943</v>
      </c>
      <c r="E16">
        <f>SUMIFS('Annual Service Data_rail only'!N:N,'Annual Service Data_rail only'!C:C,C16)</f>
        <v>0</v>
      </c>
      <c r="F16" s="124">
        <f>SUMIFS('Annual Service Data_rail only'!X:X,'Annual Service Data_rail only'!C:C,C16)</f>
        <v>0</v>
      </c>
      <c r="G16" s="124">
        <f>SUMIFS('Annual Service Data_rail only'!AT:AT,'Annual Service Data_rail only'!C:C,C16)</f>
        <v>0</v>
      </c>
      <c r="H16">
        <f>SUMIFS('Fuel and Energy_rail only'!AD:AD,'Fuel and Energy_rail only'!C:C,C16)</f>
        <v>0</v>
      </c>
      <c r="I16">
        <f>SUMIFS('Fuel and Energy_rail only'!AN:AN,'Fuel and Energy_rail only'!C:C,C16)</f>
        <v>0</v>
      </c>
      <c r="J16" s="21">
        <f t="shared" si="2"/>
        <v>0</v>
      </c>
      <c r="K16" s="21">
        <f t="shared" si="2"/>
        <v>0</v>
      </c>
      <c r="L16" s="128">
        <f t="shared" si="0"/>
        <v>0</v>
      </c>
      <c r="M16" s="129">
        <f t="shared" si="1"/>
        <v>0</v>
      </c>
      <c r="N16" s="129">
        <f t="shared" si="3"/>
        <v>0</v>
      </c>
      <c r="O16" s="129">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0">
        <f t="shared" si="7"/>
        <v>0</v>
      </c>
      <c r="V16" s="130">
        <f t="shared" si="7"/>
        <v>0</v>
      </c>
    </row>
    <row r="17" spans="2:22">
      <c r="B17" s="127" t="s">
        <v>744</v>
      </c>
      <c r="C17" s="127" t="s">
        <v>744</v>
      </c>
      <c r="D17" t="s">
        <v>944</v>
      </c>
      <c r="E17">
        <f>SUMIFS('Annual Service Data_rail only'!N:N,'Annual Service Data_rail only'!C:C,C17)</f>
        <v>129</v>
      </c>
      <c r="F17" s="124">
        <f>SUMIFS('Annual Service Data_rail only'!X:X,'Annual Service Data_rail only'!C:C,C17)</f>
        <v>82234530</v>
      </c>
      <c r="G17" s="124">
        <f>SUMIFS('Annual Service Data_rail only'!AT:AT,'Annual Service Data_rail only'!C:C,C17)</f>
        <v>985922295</v>
      </c>
      <c r="H17">
        <f>SUMIFS('Fuel and Energy_rail only'!AD:AD,'Fuel and Energy_rail only'!C:C,C17)</f>
        <v>0</v>
      </c>
      <c r="I17">
        <f>SUMIFS('Fuel and Energy_rail only'!AN:AN,'Fuel and Energy_rail only'!C:C,C17)</f>
        <v>64920984</v>
      </c>
      <c r="J17" s="21">
        <f t="shared" si="2"/>
        <v>0</v>
      </c>
      <c r="K17" s="21">
        <f t="shared" si="2"/>
        <v>1</v>
      </c>
      <c r="L17" s="128">
        <f t="shared" si="0"/>
        <v>11.9891521846115</v>
      </c>
      <c r="M17" s="129">
        <f t="shared" si="1"/>
        <v>637476.97674418602</v>
      </c>
      <c r="N17" s="129">
        <f t="shared" si="3"/>
        <v>0</v>
      </c>
      <c r="O17" s="129">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0">
        <f t="shared" si="7"/>
        <v>0</v>
      </c>
      <c r="V17" s="130">
        <f t="shared" si="7"/>
        <v>5.0124498137887213E-4</v>
      </c>
    </row>
    <row r="18" spans="2:22">
      <c r="B18" s="127" t="s">
        <v>945</v>
      </c>
      <c r="C18" s="127" t="s">
        <v>766</v>
      </c>
      <c r="D18" t="s">
        <v>946</v>
      </c>
      <c r="E18">
        <f>SUMIFS('Annual Service Data_rail only'!N:N,'Annual Service Data_rail only'!C:C,C18)</f>
        <v>35</v>
      </c>
      <c r="F18" s="124">
        <f>SUMIFS('Annual Service Data_rail only'!X:X,'Annual Service Data_rail only'!C:C,C18)</f>
        <v>11964512</v>
      </c>
      <c r="G18" s="124">
        <f>SUMIFS('Annual Service Data_rail only'!AT:AT,'Annual Service Data_rail only'!C:C,C18)</f>
        <v>203966246</v>
      </c>
      <c r="H18">
        <f>SUMIFS('Fuel and Energy_rail only'!AD:AD,'Fuel and Energy_rail only'!C:C,C18)</f>
        <v>1504489</v>
      </c>
      <c r="I18">
        <f>SUMIFS('Fuel and Energy_rail only'!AN:AN,'Fuel and Energy_rail only'!C:C,C18)</f>
        <v>559892</v>
      </c>
      <c r="J18" s="21">
        <f t="shared" si="2"/>
        <v>0.72878456060194319</v>
      </c>
      <c r="K18" s="21">
        <f t="shared" si="2"/>
        <v>0.27121543939805687</v>
      </c>
      <c r="L18" s="128">
        <f t="shared" si="0"/>
        <v>17.047602610118993</v>
      </c>
      <c r="M18" s="129">
        <f t="shared" si="1"/>
        <v>341843.20000000001</v>
      </c>
      <c r="N18" s="129">
        <f t="shared" si="3"/>
        <v>25.507459621068012</v>
      </c>
      <c r="O18" s="129">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0">
        <f t="shared" si="7"/>
        <v>2.9376125125377459E-4</v>
      </c>
      <c r="V18" s="130">
        <f t="shared" si="7"/>
        <v>2.421406192511685E-4</v>
      </c>
    </row>
    <row r="19" spans="2:22">
      <c r="B19" s="127" t="s">
        <v>947</v>
      </c>
      <c r="C19" s="127" t="s">
        <v>787</v>
      </c>
      <c r="D19" t="s">
        <v>948</v>
      </c>
      <c r="E19">
        <f>SUMIFS('Annual Service Data_rail only'!N:N,'Annual Service Data_rail only'!C:C,C19)</f>
        <v>39</v>
      </c>
      <c r="F19" s="124">
        <f>SUMIFS('Annual Service Data_rail only'!X:X,'Annual Service Data_rail only'!C:C,C19)</f>
        <v>21145309</v>
      </c>
      <c r="G19" s="124">
        <f>SUMIFS('Annual Service Data_rail only'!AT:AT,'Annual Service Data_rail only'!C:C,C19)</f>
        <v>329631085</v>
      </c>
      <c r="H19">
        <f>SUMIFS('Fuel and Energy_rail only'!AD:AD,'Fuel and Energy_rail only'!C:C,C19)</f>
        <v>0</v>
      </c>
      <c r="I19">
        <f>SUMIFS('Fuel and Energy_rail only'!AN:AN,'Fuel and Energy_rail only'!C:C,C19)</f>
        <v>19692749</v>
      </c>
      <c r="J19" s="21">
        <f t="shared" si="2"/>
        <v>0</v>
      </c>
      <c r="K19" s="21">
        <f t="shared" si="2"/>
        <v>1</v>
      </c>
      <c r="L19" s="128">
        <f t="shared" si="0"/>
        <v>15.588851645535186</v>
      </c>
      <c r="M19" s="129">
        <f t="shared" si="1"/>
        <v>542187.41025641025</v>
      </c>
      <c r="N19" s="129">
        <f t="shared" si="3"/>
        <v>0</v>
      </c>
      <c r="O19" s="129">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0">
        <f t="shared" si="7"/>
        <v>0</v>
      </c>
      <c r="V19" s="130">
        <f t="shared" si="7"/>
        <v>1.1560307342071744E-3</v>
      </c>
    </row>
    <row r="20" spans="2:22">
      <c r="B20" s="127" t="s">
        <v>949</v>
      </c>
      <c r="C20" s="127" t="s">
        <v>950</v>
      </c>
      <c r="D20" t="s">
        <v>951</v>
      </c>
      <c r="E20">
        <f>SUMIFS('Annual Service Data_rail only'!N:N,'Annual Service Data_rail only'!C:C,C20)</f>
        <v>0</v>
      </c>
      <c r="F20" s="124">
        <f>SUMIFS('Annual Service Data_rail only'!X:X,'Annual Service Data_rail only'!C:C,C20)</f>
        <v>0</v>
      </c>
      <c r="G20" s="124">
        <f>SUMIFS('Annual Service Data_rail only'!AT:AT,'Annual Service Data_rail only'!C:C,C20)</f>
        <v>0</v>
      </c>
      <c r="H20">
        <f>SUMIFS('Fuel and Energy_rail only'!AD:AD,'Fuel and Energy_rail only'!C:C,C20)</f>
        <v>0</v>
      </c>
      <c r="I20">
        <f>SUMIFS('Fuel and Energy_rail only'!AN:AN,'Fuel and Energy_rail only'!C:C,C20)</f>
        <v>0</v>
      </c>
      <c r="J20" s="21">
        <f t="shared" si="2"/>
        <v>0</v>
      </c>
      <c r="K20" s="21">
        <f t="shared" si="2"/>
        <v>0</v>
      </c>
      <c r="L20" s="128">
        <f t="shared" si="0"/>
        <v>0</v>
      </c>
      <c r="M20" s="129">
        <f t="shared" si="1"/>
        <v>0</v>
      </c>
      <c r="N20" s="129">
        <f t="shared" si="3"/>
        <v>0</v>
      </c>
      <c r="O20" s="129">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0">
        <f t="shared" si="7"/>
        <v>0</v>
      </c>
      <c r="V20" s="130">
        <f t="shared" si="7"/>
        <v>0</v>
      </c>
    </row>
    <row r="21" spans="2:22">
      <c r="B21" s="127" t="s">
        <v>952</v>
      </c>
      <c r="C21" s="127" t="s">
        <v>953</v>
      </c>
      <c r="D21" t="s">
        <v>954</v>
      </c>
      <c r="E21">
        <f>SUMIFS('Annual Service Data_rail only'!N:N,'Annual Service Data_rail only'!C:C,C21)</f>
        <v>0</v>
      </c>
      <c r="F21" s="124">
        <f>SUMIFS('Annual Service Data_rail only'!X:X,'Annual Service Data_rail only'!C:C,C21)</f>
        <v>0</v>
      </c>
      <c r="G21" s="124">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8">
        <f t="shared" si="0"/>
        <v>0</v>
      </c>
      <c r="M21" s="129">
        <f t="shared" si="1"/>
        <v>0</v>
      </c>
      <c r="N21" s="129">
        <f t="shared" si="3"/>
        <v>0</v>
      </c>
      <c r="O21" s="129">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0">
        <f t="shared" si="7"/>
        <v>0</v>
      </c>
      <c r="V21" s="130">
        <f t="shared" si="7"/>
        <v>0</v>
      </c>
    </row>
    <row r="22" spans="2:22">
      <c r="B22" s="127" t="s">
        <v>955</v>
      </c>
      <c r="C22" s="127" t="s">
        <v>747</v>
      </c>
      <c r="D22" t="s">
        <v>956</v>
      </c>
      <c r="E22">
        <f>SUMIFS('Annual Service Data_rail only'!N:N,'Annual Service Data_rail only'!C:C,C22)</f>
        <v>251</v>
      </c>
      <c r="F22" s="124">
        <f>SUMIFS('Annual Service Data_rail only'!X:X,'Annual Service Data_rail only'!C:C,C22)</f>
        <v>102408279</v>
      </c>
      <c r="G22" s="124">
        <f>SUMIFS('Annual Service Data_rail only'!AT:AT,'Annual Service Data_rail only'!C:C,C22)</f>
        <v>839546950</v>
      </c>
      <c r="H22">
        <f>SUMIFS('Fuel and Energy_rail only'!AD:AD,'Fuel and Energy_rail only'!C:C,C22)</f>
        <v>5202961</v>
      </c>
      <c r="I22">
        <f>SUMIFS('Fuel and Energy_rail only'!AN:AN,'Fuel and Energy_rail only'!C:C,C22)</f>
        <v>66917044</v>
      </c>
      <c r="J22" s="21">
        <f t="shared" si="2"/>
        <v>7.2143103706107617E-2</v>
      </c>
      <c r="K22" s="21">
        <f t="shared" si="2"/>
        <v>0.92785689629389234</v>
      </c>
      <c r="L22" s="128">
        <f t="shared" si="0"/>
        <v>8.1980378754338794</v>
      </c>
      <c r="M22" s="129">
        <f t="shared" si="1"/>
        <v>408001.11155378487</v>
      </c>
      <c r="N22" s="129">
        <f t="shared" si="3"/>
        <v>18.107919030233013</v>
      </c>
      <c r="O22" s="129">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0">
        <f t="shared" si="7"/>
        <v>1.2062956097990302E-5</v>
      </c>
      <c r="V22" s="130">
        <f t="shared" si="7"/>
        <v>5.399532412949464E-4</v>
      </c>
    </row>
    <row r="23" spans="2:22">
      <c r="B23" s="127" t="s">
        <v>957</v>
      </c>
      <c r="C23" s="127" t="s">
        <v>832</v>
      </c>
      <c r="D23" t="s">
        <v>958</v>
      </c>
      <c r="E23">
        <f>SUMIFS('Annual Service Data_rail only'!N:N,'Annual Service Data_rail only'!C:C,C23)</f>
        <v>17</v>
      </c>
      <c r="F23" s="124">
        <f>SUMIFS('Annual Service Data_rail only'!X:X,'Annual Service Data_rail only'!C:C,C23)</f>
        <v>3988838</v>
      </c>
      <c r="G23" s="124">
        <f>SUMIFS('Annual Service Data_rail only'!AT:AT,'Annual Service Data_rail only'!C:C,C23)</f>
        <v>32836617</v>
      </c>
      <c r="H23">
        <f>SUMIFS('Fuel and Energy_rail only'!AD:AD,'Fuel and Energy_rail only'!C:C,C23)</f>
        <v>0</v>
      </c>
      <c r="I23">
        <f>SUMIFS('Fuel and Energy_rail only'!AN:AN,'Fuel and Energy_rail only'!C:C,C23)</f>
        <v>3510093</v>
      </c>
      <c r="J23" s="21">
        <f t="shared" si="2"/>
        <v>0</v>
      </c>
      <c r="K23" s="21">
        <f t="shared" si="2"/>
        <v>1</v>
      </c>
      <c r="L23" s="128">
        <f t="shared" si="0"/>
        <v>8.2321259975962917</v>
      </c>
      <c r="M23" s="129">
        <f t="shared" si="1"/>
        <v>234637.5294117647</v>
      </c>
      <c r="N23" s="129">
        <f t="shared" si="3"/>
        <v>0</v>
      </c>
      <c r="O23" s="129">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0">
        <f t="shared" si="7"/>
        <v>0</v>
      </c>
      <c r="V23" s="130">
        <f t="shared" si="7"/>
        <v>5.2998497031797435E-4</v>
      </c>
    </row>
    <row r="24" spans="2:22">
      <c r="B24" s="127" t="s">
        <v>959</v>
      </c>
      <c r="C24" s="127" t="s">
        <v>960</v>
      </c>
      <c r="D24" t="s">
        <v>961</v>
      </c>
      <c r="E24">
        <f>SUMIFS('Annual Service Data_rail only'!N:N,'Annual Service Data_rail only'!C:C,C24)</f>
        <v>0</v>
      </c>
      <c r="F24" s="124">
        <f>SUMIFS('Annual Service Data_rail only'!X:X,'Annual Service Data_rail only'!C:C,C24)</f>
        <v>0</v>
      </c>
      <c r="G24" s="124">
        <f>SUMIFS('Annual Service Data_rail only'!AT:AT,'Annual Service Data_rail only'!C:C,C24)</f>
        <v>0</v>
      </c>
      <c r="H24">
        <f>SUMIFS('Fuel and Energy_rail only'!AD:AD,'Fuel and Energy_rail only'!C:C,C24)</f>
        <v>0</v>
      </c>
      <c r="I24">
        <f>SUMIFS('Fuel and Energy_rail only'!AN:AN,'Fuel and Energy_rail only'!C:C,C24)</f>
        <v>0</v>
      </c>
      <c r="J24" s="21">
        <f t="shared" si="2"/>
        <v>0</v>
      </c>
      <c r="K24" s="21">
        <f t="shared" si="2"/>
        <v>0</v>
      </c>
      <c r="L24" s="128">
        <f t="shared" si="0"/>
        <v>0</v>
      </c>
      <c r="M24" s="129">
        <f t="shared" si="1"/>
        <v>0</v>
      </c>
      <c r="N24" s="129">
        <f t="shared" si="3"/>
        <v>0</v>
      </c>
      <c r="O24" s="129">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0">
        <f t="shared" si="7"/>
        <v>0</v>
      </c>
      <c r="V24" s="130">
        <f t="shared" si="7"/>
        <v>0</v>
      </c>
    </row>
    <row r="25" spans="2:22">
      <c r="B25" s="127" t="s">
        <v>962</v>
      </c>
      <c r="C25" s="127" t="s">
        <v>963</v>
      </c>
      <c r="D25" t="s">
        <v>964</v>
      </c>
      <c r="E25">
        <f>SUMIFS('Annual Service Data_rail only'!N:N,'Annual Service Data_rail only'!C:C,C25)</f>
        <v>0</v>
      </c>
      <c r="F25" s="124">
        <f>SUMIFS('Annual Service Data_rail only'!X:X,'Annual Service Data_rail only'!C:C,C25)</f>
        <v>0</v>
      </c>
      <c r="G25" s="124">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8">
        <f t="shared" si="0"/>
        <v>0</v>
      </c>
      <c r="M25" s="129">
        <f t="shared" si="1"/>
        <v>0</v>
      </c>
      <c r="N25" s="129">
        <f t="shared" si="3"/>
        <v>0</v>
      </c>
      <c r="O25" s="129">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0">
        <f t="shared" si="7"/>
        <v>0</v>
      </c>
      <c r="V25" s="130">
        <f t="shared" si="7"/>
        <v>0</v>
      </c>
    </row>
    <row r="26" spans="2:22">
      <c r="B26" s="127" t="s">
        <v>965</v>
      </c>
      <c r="C26" s="127" t="s">
        <v>966</v>
      </c>
      <c r="D26" t="s">
        <v>967</v>
      </c>
      <c r="E26">
        <f>SUMIFS('Annual Service Data_rail only'!N:N,'Annual Service Data_rail only'!C:C,C26)</f>
        <v>0</v>
      </c>
      <c r="F26" s="124">
        <f>SUMIFS('Annual Service Data_rail only'!X:X,'Annual Service Data_rail only'!C:C,C26)</f>
        <v>0</v>
      </c>
      <c r="G26" s="124">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8">
        <f t="shared" si="0"/>
        <v>0</v>
      </c>
      <c r="M26" s="129">
        <f t="shared" si="1"/>
        <v>0</v>
      </c>
      <c r="N26" s="129">
        <f t="shared" si="3"/>
        <v>0</v>
      </c>
      <c r="O26" s="129">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0">
        <f t="shared" si="7"/>
        <v>0</v>
      </c>
      <c r="V26" s="130">
        <f t="shared" si="7"/>
        <v>0</v>
      </c>
    </row>
    <row r="27" spans="2:22">
      <c r="B27" s="127" t="s">
        <v>968</v>
      </c>
      <c r="C27" s="127" t="s">
        <v>969</v>
      </c>
      <c r="D27" t="s">
        <v>970</v>
      </c>
      <c r="E27">
        <f>SUMIFS('Annual Service Data_rail only'!N:N,'Annual Service Data_rail only'!C:C,C27)</f>
        <v>0</v>
      </c>
      <c r="F27" s="124">
        <f>SUMIFS('Annual Service Data_rail only'!X:X,'Annual Service Data_rail only'!C:C,C27)</f>
        <v>0</v>
      </c>
      <c r="G27" s="124">
        <f>SUMIFS('Annual Service Data_rail only'!AT:AT,'Annual Service Data_rail only'!C:C,C27)</f>
        <v>0</v>
      </c>
      <c r="H27">
        <f>SUMIFS('Fuel and Energy_rail only'!AD:AD,'Fuel and Energy_rail only'!C:C,C27)</f>
        <v>0</v>
      </c>
      <c r="I27">
        <f>SUMIFS('Fuel and Energy_rail only'!AN:AN,'Fuel and Energy_rail only'!C:C,C27)</f>
        <v>0</v>
      </c>
      <c r="J27" s="21">
        <f t="shared" si="2"/>
        <v>0</v>
      </c>
      <c r="K27" s="21">
        <f t="shared" si="2"/>
        <v>0</v>
      </c>
      <c r="L27" s="128">
        <f t="shared" si="0"/>
        <v>0</v>
      </c>
      <c r="M27" s="129">
        <f t="shared" si="1"/>
        <v>0</v>
      </c>
      <c r="N27" s="129">
        <f t="shared" si="3"/>
        <v>0</v>
      </c>
      <c r="O27" s="129">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0">
        <f t="shared" si="7"/>
        <v>0</v>
      </c>
      <c r="V27" s="130">
        <f t="shared" si="7"/>
        <v>0</v>
      </c>
    </row>
    <row r="28" spans="2:22">
      <c r="B28" s="127" t="s">
        <v>971</v>
      </c>
      <c r="C28" s="127" t="s">
        <v>857</v>
      </c>
      <c r="D28" t="s">
        <v>972</v>
      </c>
      <c r="E28">
        <f>SUMIFS('Annual Service Data_rail only'!N:N,'Annual Service Data_rail only'!C:C,C28)</f>
        <v>3</v>
      </c>
      <c r="F28" s="124">
        <f>SUMIFS('Annual Service Data_rail only'!X:X,'Annual Service Data_rail only'!C:C,C28)</f>
        <v>1974842</v>
      </c>
      <c r="G28" s="124">
        <f>SUMIFS('Annual Service Data_rail only'!AT:AT,'Annual Service Data_rail only'!C:C,C28)</f>
        <v>33416609</v>
      </c>
      <c r="H28">
        <f>SUMIFS('Fuel and Energy_rail only'!AD:AD,'Fuel and Energy_rail only'!C:C,C28)</f>
        <v>0</v>
      </c>
      <c r="I28">
        <f>SUMIFS('Fuel and Energy_rail only'!AN:AN,'Fuel and Energy_rail only'!C:C,C28)</f>
        <v>0</v>
      </c>
      <c r="J28" s="21">
        <f t="shared" si="2"/>
        <v>0</v>
      </c>
      <c r="K28" s="21">
        <f t="shared" si="2"/>
        <v>0</v>
      </c>
      <c r="L28" s="128">
        <f t="shared" si="0"/>
        <v>16.921155717773878</v>
      </c>
      <c r="M28" s="129">
        <f t="shared" si="1"/>
        <v>658280.66666666663</v>
      </c>
      <c r="N28" s="129">
        <f t="shared" si="3"/>
        <v>0</v>
      </c>
      <c r="O28" s="129">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0">
        <f t="shared" si="7"/>
        <v>0</v>
      </c>
      <c r="V28" s="130">
        <f t="shared" si="7"/>
        <v>0</v>
      </c>
    </row>
    <row r="29" spans="2:22">
      <c r="B29" s="127" t="s">
        <v>973</v>
      </c>
      <c r="C29" s="127" t="s">
        <v>762</v>
      </c>
      <c r="D29" t="s">
        <v>974</v>
      </c>
      <c r="E29">
        <f>SUMIFS('Annual Service Data_rail only'!N:N,'Annual Service Data_rail only'!C:C,C29)</f>
        <v>55</v>
      </c>
      <c r="F29" s="124">
        <f>SUMIFS('Annual Service Data_rail only'!X:X,'Annual Service Data_rail only'!C:C,C29)</f>
        <v>13332723</v>
      </c>
      <c r="G29" s="124">
        <f>SUMIFS('Annual Service Data_rail only'!AT:AT,'Annual Service Data_rail only'!C:C,C29)</f>
        <v>252169120</v>
      </c>
      <c r="H29">
        <f>SUMIFS('Fuel and Energy_rail only'!AD:AD,'Fuel and Energy_rail only'!C:C,C29)</f>
        <v>764117</v>
      </c>
      <c r="I29">
        <f>SUMIFS('Fuel and Energy_rail only'!AN:AN,'Fuel and Energy_rail only'!C:C,C29)</f>
        <v>2843642</v>
      </c>
      <c r="J29" s="21">
        <f t="shared" si="2"/>
        <v>0.21179823818608726</v>
      </c>
      <c r="K29" s="21">
        <f t="shared" si="2"/>
        <v>0.78820176181391277</v>
      </c>
      <c r="L29" s="128">
        <f t="shared" si="0"/>
        <v>18.913549767740619</v>
      </c>
      <c r="M29" s="129">
        <f t="shared" si="1"/>
        <v>242413.14545454545</v>
      </c>
      <c r="N29" s="129">
        <f t="shared" si="3"/>
        <v>11.648903100234799</v>
      </c>
      <c r="O29" s="129">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0">
        <f t="shared" si="7"/>
        <v>1.0380030837067924E-4</v>
      </c>
      <c r="V29" s="130">
        <f t="shared" si="7"/>
        <v>6.3854094703637049E-4</v>
      </c>
    </row>
    <row r="30" spans="2:22">
      <c r="B30" s="127" t="s">
        <v>975</v>
      </c>
      <c r="C30" s="127" t="s">
        <v>752</v>
      </c>
      <c r="D30" t="s">
        <v>976</v>
      </c>
      <c r="E30">
        <f>SUMIFS('Annual Service Data_rail only'!N:N,'Annual Service Data_rail only'!C:C,C30)</f>
        <v>209</v>
      </c>
      <c r="F30" s="124">
        <f>SUMIFS('Annual Service Data_rail only'!X:X,'Annual Service Data_rail only'!C:C,C30)</f>
        <v>50817429</v>
      </c>
      <c r="G30" s="124">
        <f>SUMIFS('Annual Service Data_rail only'!AT:AT,'Annual Service Data_rail only'!C:C,C30)</f>
        <v>1018614837</v>
      </c>
      <c r="H30">
        <f>SUMIFS('Fuel and Energy_rail only'!AD:AD,'Fuel and Energy_rail only'!C:C,C30)</f>
        <v>4339139</v>
      </c>
      <c r="I30">
        <f>SUMIFS('Fuel and Energy_rail only'!AN:AN,'Fuel and Energy_rail only'!C:C,C30)</f>
        <v>27601749</v>
      </c>
      <c r="J30" s="21">
        <f t="shared" si="2"/>
        <v>0.13584904089078551</v>
      </c>
      <c r="K30" s="21">
        <f t="shared" si="2"/>
        <v>0.86415095910921447</v>
      </c>
      <c r="L30" s="128">
        <f t="shared" si="0"/>
        <v>20.044596057781671</v>
      </c>
      <c r="M30" s="129">
        <f t="shared" si="1"/>
        <v>243145.59330143541</v>
      </c>
      <c r="N30" s="129">
        <f t="shared" si="3"/>
        <v>28.39244954617417</v>
      </c>
      <c r="O30" s="129">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0">
        <f t="shared" si="7"/>
        <v>7.4670943155140035E-5</v>
      </c>
      <c r="V30" s="130">
        <f t="shared" si="7"/>
        <v>1.1454726331202542E-3</v>
      </c>
    </row>
    <row r="31" spans="2:22">
      <c r="B31" s="127" t="s">
        <v>977</v>
      </c>
      <c r="C31" s="127" t="s">
        <v>978</v>
      </c>
      <c r="D31" t="s">
        <v>979</v>
      </c>
      <c r="E31">
        <f>SUMIFS('Annual Service Data_rail only'!N:N,'Annual Service Data_rail only'!C:C,C31)</f>
        <v>0</v>
      </c>
      <c r="F31" s="124">
        <f>SUMIFS('Annual Service Data_rail only'!X:X,'Annual Service Data_rail only'!C:C,C31)</f>
        <v>0</v>
      </c>
      <c r="G31" s="124">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8">
        <f t="shared" si="0"/>
        <v>0</v>
      </c>
      <c r="M31" s="129">
        <f t="shared" si="1"/>
        <v>0</v>
      </c>
      <c r="N31" s="129">
        <f t="shared" si="3"/>
        <v>0</v>
      </c>
      <c r="O31" s="129">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0">
        <f t="shared" si="7"/>
        <v>0</v>
      </c>
      <c r="V31" s="130">
        <f t="shared" si="7"/>
        <v>0</v>
      </c>
    </row>
    <row r="32" spans="2:22">
      <c r="B32" s="127" t="s">
        <v>980</v>
      </c>
      <c r="C32" s="127" t="s">
        <v>794</v>
      </c>
      <c r="D32" t="s">
        <v>981</v>
      </c>
      <c r="E32">
        <f>SUMIFS('Annual Service Data_rail only'!N:N,'Annual Service Data_rail only'!C:C,C32)</f>
        <v>27</v>
      </c>
      <c r="F32" s="124">
        <f>SUMIFS('Annual Service Data_rail only'!X:X,'Annual Service Data_rail only'!C:C,C32)</f>
        <v>4386285</v>
      </c>
      <c r="G32" s="124">
        <f>SUMIFS('Annual Service Data_rail only'!AT:AT,'Annual Service Data_rail only'!C:C,C32)</f>
        <v>44505006</v>
      </c>
      <c r="H32">
        <f>SUMIFS('Fuel and Energy_rail only'!AD:AD,'Fuel and Energy_rail only'!C:C,C32)</f>
        <v>63438</v>
      </c>
      <c r="I32">
        <f>SUMIFS('Fuel and Energy_rail only'!AN:AN,'Fuel and Energy_rail only'!C:C,C32)</f>
        <v>4153269</v>
      </c>
      <c r="J32" s="21">
        <f t="shared" si="2"/>
        <v>1.5044441076887722E-2</v>
      </c>
      <c r="K32" s="21">
        <f t="shared" si="2"/>
        <v>0.98495555892311226</v>
      </c>
      <c r="L32" s="128">
        <f t="shared" si="0"/>
        <v>10.14640088366351</v>
      </c>
      <c r="M32" s="129">
        <f t="shared" si="1"/>
        <v>162455</v>
      </c>
      <c r="N32" s="129">
        <f t="shared" si="3"/>
        <v>0.40619990907596848</v>
      </c>
      <c r="O32" s="129">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0">
        <f t="shared" si="7"/>
        <v>2.2580907296686373E-5</v>
      </c>
      <c r="V32" s="130">
        <f t="shared" si="7"/>
        <v>4.030826293059302E-4</v>
      </c>
    </row>
    <row r="33" spans="2:22">
      <c r="B33" s="127" t="s">
        <v>982</v>
      </c>
      <c r="C33" s="127" t="s">
        <v>983</v>
      </c>
      <c r="D33" t="s">
        <v>984</v>
      </c>
      <c r="E33">
        <f>SUMIFS('Annual Service Data_rail only'!N:N,'Annual Service Data_rail only'!C:C,C33)</f>
        <v>0</v>
      </c>
      <c r="F33" s="124">
        <f>SUMIFS('Annual Service Data_rail only'!X:X,'Annual Service Data_rail only'!C:C,C33)</f>
        <v>0</v>
      </c>
      <c r="G33" s="124">
        <f>SUMIFS('Annual Service Data_rail only'!AT:AT,'Annual Service Data_rail only'!C:C,C33)</f>
        <v>0</v>
      </c>
      <c r="H33">
        <f>SUMIFS('Fuel and Energy_rail only'!AD:AD,'Fuel and Energy_rail only'!C:C,C33)</f>
        <v>0</v>
      </c>
      <c r="I33">
        <f>SUMIFS('Fuel and Energy_rail only'!AN:AN,'Fuel and Energy_rail only'!C:C,C33)</f>
        <v>0</v>
      </c>
      <c r="J33" s="21">
        <f t="shared" si="2"/>
        <v>0</v>
      </c>
      <c r="K33" s="21">
        <f t="shared" si="2"/>
        <v>0</v>
      </c>
      <c r="L33" s="128">
        <f t="shared" si="0"/>
        <v>0</v>
      </c>
      <c r="M33" s="129">
        <f t="shared" si="1"/>
        <v>0</v>
      </c>
      <c r="N33" s="129">
        <f t="shared" si="3"/>
        <v>0</v>
      </c>
      <c r="O33" s="129">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0">
        <f t="shared" si="7"/>
        <v>0</v>
      </c>
      <c r="V33" s="130">
        <f t="shared" si="7"/>
        <v>0</v>
      </c>
    </row>
    <row r="34" spans="2:22">
      <c r="B34" s="127" t="s">
        <v>985</v>
      </c>
      <c r="C34" s="127" t="s">
        <v>801</v>
      </c>
      <c r="D34" t="s">
        <v>986</v>
      </c>
      <c r="E34">
        <f>SUMIFS('Annual Service Data_rail only'!N:N,'Annual Service Data_rail only'!C:C,C34)</f>
        <v>25</v>
      </c>
      <c r="F34" s="124">
        <f>SUMIFS('Annual Service Data_rail only'!X:X,'Annual Service Data_rail only'!C:C,C34)</f>
        <v>5905439</v>
      </c>
      <c r="G34" s="124">
        <f>SUMIFS('Annual Service Data_rail only'!AT:AT,'Annual Service Data_rail only'!C:C,C34)</f>
        <v>70933375</v>
      </c>
      <c r="H34">
        <f>SUMIFS('Fuel and Energy_rail only'!AD:AD,'Fuel and Energy_rail only'!C:C,C34)</f>
        <v>0</v>
      </c>
      <c r="I34">
        <f>SUMIFS('Fuel and Energy_rail only'!AN:AN,'Fuel and Energy_rail only'!C:C,C34)</f>
        <v>5934378</v>
      </c>
      <c r="J34" s="21">
        <f t="shared" si="2"/>
        <v>0</v>
      </c>
      <c r="K34" s="21">
        <f t="shared" si="2"/>
        <v>1</v>
      </c>
      <c r="L34" s="128">
        <f t="shared" si="0"/>
        <v>12.011532927526641</v>
      </c>
      <c r="M34" s="129">
        <f t="shared" si="1"/>
        <v>236217.56</v>
      </c>
      <c r="N34" s="129">
        <f t="shared" si="3"/>
        <v>0</v>
      </c>
      <c r="O34" s="129">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0">
        <f t="shared" si="7"/>
        <v>0</v>
      </c>
      <c r="V34" s="130">
        <f t="shared" si="7"/>
        <v>5.6960888234114198E-4</v>
      </c>
    </row>
    <row r="35" spans="2:22">
      <c r="B35" s="127" t="s">
        <v>987</v>
      </c>
      <c r="C35" s="127" t="s">
        <v>988</v>
      </c>
      <c r="D35" t="s">
        <v>989</v>
      </c>
      <c r="E35">
        <f>SUMIFS('Annual Service Data_rail only'!N:N,'Annual Service Data_rail only'!C:C,C35)</f>
        <v>0</v>
      </c>
      <c r="F35" s="124">
        <f>SUMIFS('Annual Service Data_rail only'!X:X,'Annual Service Data_rail only'!C:C,C35)</f>
        <v>0</v>
      </c>
      <c r="G35" s="124">
        <f>SUMIFS('Annual Service Data_rail only'!AT:AT,'Annual Service Data_rail only'!C:C,C35)</f>
        <v>0</v>
      </c>
      <c r="H35">
        <f>SUMIFS('Fuel and Energy_rail only'!AD:AD,'Fuel and Energy_rail only'!C:C,C35)</f>
        <v>0</v>
      </c>
      <c r="I35">
        <f>SUMIFS('Fuel and Energy_rail only'!AN:AN,'Fuel and Energy_rail only'!C:C,C35)</f>
        <v>0</v>
      </c>
      <c r="J35" s="21">
        <f t="shared" si="2"/>
        <v>0</v>
      </c>
      <c r="K35" s="21">
        <f t="shared" si="2"/>
        <v>0</v>
      </c>
      <c r="L35" s="128">
        <f t="shared" si="0"/>
        <v>0</v>
      </c>
      <c r="M35" s="129">
        <f t="shared" si="1"/>
        <v>0</v>
      </c>
      <c r="N35" s="129">
        <f t="shared" si="3"/>
        <v>0</v>
      </c>
      <c r="O35" s="129">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0">
        <f t="shared" si="7"/>
        <v>0</v>
      </c>
      <c r="V35" s="130">
        <f t="shared" si="7"/>
        <v>0</v>
      </c>
    </row>
    <row r="36" spans="2:22">
      <c r="B36" s="127" t="s">
        <v>990</v>
      </c>
      <c r="C36" s="127" t="s">
        <v>991</v>
      </c>
      <c r="D36" t="s">
        <v>992</v>
      </c>
      <c r="E36">
        <f>SUMIFS('Annual Service Data_rail only'!N:N,'Annual Service Data_rail only'!C:C,C36)</f>
        <v>0</v>
      </c>
      <c r="F36" s="124">
        <f>SUMIFS('Annual Service Data_rail only'!X:X,'Annual Service Data_rail only'!C:C,C36)</f>
        <v>0</v>
      </c>
      <c r="G36" s="124">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8">
        <f t="shared" si="0"/>
        <v>0</v>
      </c>
      <c r="M36" s="129">
        <f t="shared" si="1"/>
        <v>0</v>
      </c>
      <c r="N36" s="129">
        <f t="shared" si="3"/>
        <v>0</v>
      </c>
      <c r="O36" s="129">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0">
        <f t="shared" si="7"/>
        <v>0</v>
      </c>
      <c r="V36" s="130">
        <f t="shared" si="7"/>
        <v>0</v>
      </c>
    </row>
    <row r="37" spans="2:22">
      <c r="B37" s="127" t="s">
        <v>993</v>
      </c>
      <c r="C37" s="127" t="s">
        <v>994</v>
      </c>
      <c r="D37" t="s">
        <v>995</v>
      </c>
      <c r="E37">
        <f>SUMIFS('Annual Service Data_rail only'!N:N,'Annual Service Data_rail only'!C:C,C37)</f>
        <v>0</v>
      </c>
      <c r="F37" s="124">
        <f>SUMIFS('Annual Service Data_rail only'!X:X,'Annual Service Data_rail only'!C:C,C37)</f>
        <v>0</v>
      </c>
      <c r="G37" s="124">
        <f>SUMIFS('Annual Service Data_rail only'!AT:AT,'Annual Service Data_rail only'!C:C,C37)</f>
        <v>0</v>
      </c>
      <c r="H37">
        <f>SUMIFS('Fuel and Energy_rail only'!AD:AD,'Fuel and Energy_rail only'!C:C,C37)</f>
        <v>0</v>
      </c>
      <c r="I37">
        <f>SUMIFS('Fuel and Energy_rail only'!AN:AN,'Fuel and Energy_rail only'!C:C,C37)</f>
        <v>0</v>
      </c>
      <c r="J37" s="21">
        <f t="shared" si="2"/>
        <v>0</v>
      </c>
      <c r="K37" s="21">
        <f t="shared" si="2"/>
        <v>0</v>
      </c>
      <c r="L37" s="128">
        <f t="shared" si="0"/>
        <v>0</v>
      </c>
      <c r="M37" s="129">
        <f t="shared" si="1"/>
        <v>0</v>
      </c>
      <c r="N37" s="129">
        <f t="shared" si="3"/>
        <v>0</v>
      </c>
      <c r="O37" s="129">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0">
        <f t="shared" si="7"/>
        <v>0</v>
      </c>
      <c r="V37" s="130">
        <f t="shared" si="7"/>
        <v>0</v>
      </c>
    </row>
    <row r="38" spans="2:22">
      <c r="B38" s="127" t="s">
        <v>996</v>
      </c>
      <c r="C38" s="127" t="s">
        <v>997</v>
      </c>
      <c r="D38" t="s">
        <v>998</v>
      </c>
      <c r="E38">
        <f>SUMIFS('Annual Service Data_rail only'!N:N,'Annual Service Data_rail only'!C:C,C38)</f>
        <v>0</v>
      </c>
      <c r="F38" s="124">
        <f>SUMIFS('Annual Service Data_rail only'!X:X,'Annual Service Data_rail only'!C:C,C38)</f>
        <v>0</v>
      </c>
      <c r="G38" s="124">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8">
        <f t="shared" si="0"/>
        <v>0</v>
      </c>
      <c r="M38" s="129">
        <f t="shared" si="1"/>
        <v>0</v>
      </c>
      <c r="N38" s="129">
        <f t="shared" si="3"/>
        <v>0</v>
      </c>
      <c r="O38" s="129">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0">
        <f t="shared" si="7"/>
        <v>0</v>
      </c>
      <c r="V38" s="130">
        <f t="shared" si="7"/>
        <v>0</v>
      </c>
    </row>
    <row r="39" spans="2:22">
      <c r="B39" s="127" t="s">
        <v>999</v>
      </c>
      <c r="C39" s="127" t="s">
        <v>733</v>
      </c>
      <c r="D39" t="s">
        <v>1000</v>
      </c>
      <c r="E39">
        <f>SUMIFS('Annual Service Data_rail only'!N:N,'Annual Service Data_rail only'!C:C,C39)</f>
        <v>184</v>
      </c>
      <c r="F39" s="124">
        <f>SUMIFS('Annual Service Data_rail only'!X:X,'Annual Service Data_rail only'!C:C,C39)</f>
        <v>77331686</v>
      </c>
      <c r="G39" s="124">
        <f>SUMIFS('Annual Service Data_rail only'!AT:AT,'Annual Service Data_rail only'!C:C,C39)</f>
        <v>1699013683</v>
      </c>
      <c r="H39">
        <f>SUMIFS('Fuel and Energy_rail only'!AD:AD,'Fuel and Energy_rail only'!C:C,C39)</f>
        <v>2485889</v>
      </c>
      <c r="I39">
        <f>SUMIFS('Fuel and Energy_rail only'!AN:AN,'Fuel and Energy_rail only'!C:C,C39)</f>
        <v>28864827</v>
      </c>
      <c r="J39" s="21">
        <f t="shared" si="2"/>
        <v>7.9292893980475593E-2</v>
      </c>
      <c r="K39" s="21">
        <f t="shared" si="2"/>
        <v>0.92070710601952443</v>
      </c>
      <c r="L39" s="128">
        <f t="shared" si="0"/>
        <v>21.97047253049675</v>
      </c>
      <c r="M39" s="129">
        <f t="shared" si="1"/>
        <v>420280.90217391303</v>
      </c>
      <c r="N39" s="129">
        <f t="shared" si="3"/>
        <v>14.589892492407509</v>
      </c>
      <c r="O39" s="129">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0">
        <f t="shared" si="7"/>
        <v>7.3770398705306041E-5</v>
      </c>
      <c r="V39" s="130">
        <f t="shared" si="7"/>
        <v>8.8285725032966977E-4</v>
      </c>
    </row>
    <row r="40" spans="2:22">
      <c r="B40" s="127" t="s">
        <v>1001</v>
      </c>
      <c r="C40" s="127" t="s">
        <v>837</v>
      </c>
      <c r="D40" t="s">
        <v>1002</v>
      </c>
      <c r="E40">
        <f>SUMIFS('Annual Service Data_rail only'!N:N,'Annual Service Data_rail only'!C:C,C40)</f>
        <v>7</v>
      </c>
      <c r="F40" s="124">
        <f>SUMIFS('Annual Service Data_rail only'!X:X,'Annual Service Data_rail only'!C:C,C40)</f>
        <v>965030</v>
      </c>
      <c r="G40" s="124">
        <f>SUMIFS('Annual Service Data_rail only'!AT:AT,'Annual Service Data_rail only'!C:C,C40)</f>
        <v>24052625</v>
      </c>
      <c r="H40">
        <f>SUMIFS('Fuel and Energy_rail only'!AD:AD,'Fuel and Energy_rail only'!C:C,C40)</f>
        <v>350453</v>
      </c>
      <c r="I40">
        <f>SUMIFS('Fuel and Energy_rail only'!AN:AN,'Fuel and Energy_rail only'!C:C,C40)</f>
        <v>0</v>
      </c>
      <c r="J40" s="21">
        <f t="shared" si="2"/>
        <v>1</v>
      </c>
      <c r="K40" s="21">
        <f t="shared" si="2"/>
        <v>0</v>
      </c>
      <c r="L40" s="128">
        <f t="shared" si="0"/>
        <v>24.924225153622167</v>
      </c>
      <c r="M40" s="129">
        <f t="shared" si="1"/>
        <v>137861.42857142858</v>
      </c>
      <c r="N40" s="129">
        <f t="shared" si="3"/>
        <v>7</v>
      </c>
      <c r="O40" s="129">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0">
        <f t="shared" si="7"/>
        <v>2.1888256201070918E-4</v>
      </c>
      <c r="V40" s="130">
        <f t="shared" si="7"/>
        <v>0</v>
      </c>
    </row>
    <row r="41" spans="2:22">
      <c r="B41" s="127" t="s">
        <v>771</v>
      </c>
      <c r="C41" s="127" t="s">
        <v>725</v>
      </c>
      <c r="D41" t="s">
        <v>1003</v>
      </c>
      <c r="E41">
        <f>SUMIFS('Annual Service Data_rail only'!N:N,'Annual Service Data_rail only'!C:C,C41)</f>
        <v>787</v>
      </c>
      <c r="F41" s="124">
        <f>SUMIFS('Annual Service Data_rail only'!X:X,'Annual Service Data_rail only'!C:C,C41)</f>
        <v>459797967</v>
      </c>
      <c r="G41" s="124">
        <f>SUMIFS('Annual Service Data_rail only'!AT:AT,'Annual Service Data_rail only'!C:C,C41)</f>
        <v>6605805362</v>
      </c>
      <c r="H41">
        <f>SUMIFS('Fuel and Energy_rail only'!AD:AD,'Fuel and Energy_rail only'!C:C,C41)</f>
        <v>757533</v>
      </c>
      <c r="I41">
        <f>SUMIFS('Fuel and Energy_rail only'!AN:AN,'Fuel and Energy_rail only'!C:C,C41)</f>
        <v>433746106</v>
      </c>
      <c r="J41" s="21">
        <f t="shared" si="2"/>
        <v>1.7434445468476271E-3</v>
      </c>
      <c r="K41" s="21">
        <f t="shared" si="2"/>
        <v>0.99825655545315239</v>
      </c>
      <c r="L41" s="128">
        <f t="shared" ref="L41:L59" si="8">IFERROR(G41/F41,0)</f>
        <v>14.366756349751325</v>
      </c>
      <c r="M41" s="129">
        <f t="shared" ref="M41:M59" si="9">IFERROR(F41/E41,0)</f>
        <v>584241.3811944091</v>
      </c>
      <c r="N41" s="129">
        <f t="shared" si="3"/>
        <v>1.3720908583690825</v>
      </c>
      <c r="O41" s="129">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0">
        <f t="shared" si="7"/>
        <v>6.5219945957546822E-6</v>
      </c>
      <c r="V41" s="130">
        <f t="shared" si="7"/>
        <v>7.8215808848957843E-4</v>
      </c>
    </row>
    <row r="42" spans="2:22">
      <c r="B42" s="127" t="s">
        <v>1004</v>
      </c>
      <c r="C42" s="127" t="s">
        <v>810</v>
      </c>
      <c r="D42" t="s">
        <v>1005</v>
      </c>
      <c r="E42">
        <f>SUMIFS('Annual Service Data_rail only'!N:N,'Annual Service Data_rail only'!C:C,C42)</f>
        <v>16</v>
      </c>
      <c r="F42" s="124">
        <f>SUMIFS('Annual Service Data_rail only'!X:X,'Annual Service Data_rail only'!C:C,C42)</f>
        <v>2267166</v>
      </c>
      <c r="G42" s="124">
        <f>SUMIFS('Annual Service Data_rail only'!AT:AT,'Annual Service Data_rail only'!C:C,C42)</f>
        <v>37638865</v>
      </c>
      <c r="H42">
        <f>SUMIFS('Fuel and Energy_rail only'!AD:AD,'Fuel and Energy_rail only'!C:C,C42)</f>
        <v>0</v>
      </c>
      <c r="I42">
        <f>SUMIFS('Fuel and Energy_rail only'!AN:AN,'Fuel and Energy_rail only'!C:C,C42)</f>
        <v>2267804</v>
      </c>
      <c r="J42" s="21">
        <f t="shared" si="2"/>
        <v>0</v>
      </c>
      <c r="K42" s="21">
        <f t="shared" si="2"/>
        <v>1</v>
      </c>
      <c r="L42" s="128">
        <f t="shared" si="8"/>
        <v>16.601724355428761</v>
      </c>
      <c r="M42" s="129">
        <f t="shared" si="9"/>
        <v>141697.875</v>
      </c>
      <c r="N42" s="129">
        <f t="shared" si="3"/>
        <v>0</v>
      </c>
      <c r="O42" s="129">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0">
        <f t="shared" si="7"/>
        <v>0</v>
      </c>
      <c r="V42" s="130">
        <f t="shared" si="7"/>
        <v>6.5712105476848151E-4</v>
      </c>
    </row>
    <row r="43" spans="2:22">
      <c r="B43" s="127" t="s">
        <v>1006</v>
      </c>
      <c r="C43" s="127" t="s">
        <v>1007</v>
      </c>
      <c r="D43" t="s">
        <v>1008</v>
      </c>
      <c r="E43">
        <f>SUMIFS('Annual Service Data_rail only'!N:N,'Annual Service Data_rail only'!C:C,C43)</f>
        <v>0</v>
      </c>
      <c r="F43" s="124">
        <f>SUMIFS('Annual Service Data_rail only'!X:X,'Annual Service Data_rail only'!C:C,C43)</f>
        <v>0</v>
      </c>
      <c r="G43" s="124">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8">
        <f t="shared" si="8"/>
        <v>0</v>
      </c>
      <c r="M43" s="129">
        <f t="shared" si="9"/>
        <v>0</v>
      </c>
      <c r="N43" s="129">
        <f t="shared" si="3"/>
        <v>0</v>
      </c>
      <c r="O43" s="129">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0">
        <f t="shared" si="7"/>
        <v>0</v>
      </c>
      <c r="V43" s="130">
        <f t="shared" si="7"/>
        <v>0</v>
      </c>
    </row>
    <row r="44" spans="2:22">
      <c r="B44" s="127" t="s">
        <v>1009</v>
      </c>
      <c r="C44" s="127" t="s">
        <v>804</v>
      </c>
      <c r="D44" t="s">
        <v>1010</v>
      </c>
      <c r="E44">
        <f>SUMIFS('Annual Service Data_rail only'!N:N,'Annual Service Data_rail only'!C:C,C44)</f>
        <v>14</v>
      </c>
      <c r="F44" s="124">
        <f>SUMIFS('Annual Service Data_rail only'!X:X,'Annual Service Data_rail only'!C:C,C44)</f>
        <v>3017495</v>
      </c>
      <c r="G44" s="124">
        <f>SUMIFS('Annual Service Data_rail only'!AT:AT,'Annual Service Data_rail only'!C:C,C44)</f>
        <v>20427250</v>
      </c>
      <c r="H44">
        <f>SUMIFS('Fuel and Energy_rail only'!AD:AD,'Fuel and Energy_rail only'!C:C,C44)</f>
        <v>0</v>
      </c>
      <c r="I44">
        <f>SUMIFS('Fuel and Energy_rail only'!AN:AN,'Fuel and Energy_rail only'!C:C,C44)</f>
        <v>2921572</v>
      </c>
      <c r="J44" s="21">
        <f t="shared" si="2"/>
        <v>0</v>
      </c>
      <c r="K44" s="21">
        <f t="shared" si="2"/>
        <v>1</v>
      </c>
      <c r="L44" s="128">
        <f t="shared" si="8"/>
        <v>6.769605252038529</v>
      </c>
      <c r="M44" s="129">
        <f t="shared" si="9"/>
        <v>215535.35714285713</v>
      </c>
      <c r="N44" s="129">
        <f t="shared" si="3"/>
        <v>0</v>
      </c>
      <c r="O44" s="129">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0">
        <f t="shared" si="7"/>
        <v>0</v>
      </c>
      <c r="V44" s="130">
        <f t="shared" si="7"/>
        <v>1.8655698073438882E-4</v>
      </c>
    </row>
    <row r="45" spans="2:22">
      <c r="B45" s="127" t="s">
        <v>1011</v>
      </c>
      <c r="C45" s="127" t="s">
        <v>1012</v>
      </c>
      <c r="D45" t="s">
        <v>1013</v>
      </c>
      <c r="E45">
        <f>SUMIFS('Annual Service Data_rail only'!N:N,'Annual Service Data_rail only'!C:C,C45)</f>
        <v>0</v>
      </c>
      <c r="F45" s="124">
        <f>SUMIFS('Annual Service Data_rail only'!X:X,'Annual Service Data_rail only'!C:C,C45)</f>
        <v>0</v>
      </c>
      <c r="G45" s="124">
        <f>SUMIFS('Annual Service Data_rail only'!AT:AT,'Annual Service Data_rail only'!C:C,C45)</f>
        <v>0</v>
      </c>
      <c r="H45">
        <f>SUMIFS('Fuel and Energy_rail only'!AD:AD,'Fuel and Energy_rail only'!C:C,C45)</f>
        <v>0</v>
      </c>
      <c r="I45">
        <f>SUMIFS('Fuel and Energy_rail only'!AN:AN,'Fuel and Energy_rail only'!C:C,C45)</f>
        <v>0</v>
      </c>
      <c r="J45" s="21">
        <f t="shared" si="2"/>
        <v>0</v>
      </c>
      <c r="K45" s="21">
        <f t="shared" si="2"/>
        <v>0</v>
      </c>
      <c r="L45" s="128">
        <f t="shared" si="8"/>
        <v>0</v>
      </c>
      <c r="M45" s="129">
        <f t="shared" si="9"/>
        <v>0</v>
      </c>
      <c r="N45" s="129">
        <f t="shared" si="3"/>
        <v>0</v>
      </c>
      <c r="O45" s="129">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0">
        <f t="shared" si="7"/>
        <v>0</v>
      </c>
      <c r="V45" s="130">
        <f t="shared" si="7"/>
        <v>0</v>
      </c>
    </row>
    <row r="46" spans="2:22">
      <c r="B46" s="127" t="s">
        <v>1014</v>
      </c>
      <c r="C46" s="127" t="s">
        <v>784</v>
      </c>
      <c r="D46" t="s">
        <v>1015</v>
      </c>
      <c r="E46">
        <f>SUMIFS('Annual Service Data_rail only'!N:N,'Annual Service Data_rail only'!C:C,C46)</f>
        <v>55</v>
      </c>
      <c r="F46" s="124">
        <f>SUMIFS('Annual Service Data_rail only'!X:X,'Annual Service Data_rail only'!C:C,C46)</f>
        <v>8981104</v>
      </c>
      <c r="G46" s="124">
        <f>SUMIFS('Annual Service Data_rail only'!AT:AT,'Annual Service Data_rail only'!C:C,C46)</f>
        <v>159458488</v>
      </c>
      <c r="H46">
        <f>SUMIFS('Fuel and Energy_rail only'!AD:AD,'Fuel and Energy_rail only'!C:C,C46)</f>
        <v>0</v>
      </c>
      <c r="I46">
        <f>SUMIFS('Fuel and Energy_rail only'!AN:AN,'Fuel and Energy_rail only'!C:C,C46)</f>
        <v>9045741</v>
      </c>
      <c r="J46" s="21">
        <f t="shared" si="2"/>
        <v>0</v>
      </c>
      <c r="K46" s="21">
        <f t="shared" si="2"/>
        <v>1</v>
      </c>
      <c r="L46" s="128">
        <f t="shared" si="8"/>
        <v>17.754887149731257</v>
      </c>
      <c r="M46" s="129">
        <f t="shared" si="9"/>
        <v>163292.79999999999</v>
      </c>
      <c r="N46" s="129">
        <f t="shared" si="3"/>
        <v>0</v>
      </c>
      <c r="O46" s="129">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0">
        <f t="shared" si="7"/>
        <v>0</v>
      </c>
      <c r="V46" s="130">
        <f t="shared" si="7"/>
        <v>8.5921928610077983E-4</v>
      </c>
    </row>
    <row r="47" spans="2:22">
      <c r="B47" s="127" t="s">
        <v>1016</v>
      </c>
      <c r="C47" s="127" t="s">
        <v>756</v>
      </c>
      <c r="D47" t="s">
        <v>1017</v>
      </c>
      <c r="E47">
        <f>SUMIFS('Annual Service Data_rail only'!N:N,'Annual Service Data_rail only'!C:C,C47)</f>
        <v>176</v>
      </c>
      <c r="F47" s="124">
        <f>SUMIFS('Annual Service Data_rail only'!X:X,'Annual Service Data_rail only'!C:C,C47)</f>
        <v>37294660</v>
      </c>
      <c r="G47" s="124">
        <f>SUMIFS('Annual Service Data_rail only'!AT:AT,'Annual Service Data_rail only'!C:C,C47)</f>
        <v>725134241</v>
      </c>
      <c r="H47">
        <f>SUMIFS('Fuel and Energy_rail only'!AD:AD,'Fuel and Energy_rail only'!C:C,C47)</f>
        <v>0</v>
      </c>
      <c r="I47">
        <f>SUMIFS('Fuel and Energy_rail only'!AN:AN,'Fuel and Energy_rail only'!C:C,C47)</f>
        <v>31752653</v>
      </c>
      <c r="J47" s="21">
        <f t="shared" si="2"/>
        <v>0</v>
      </c>
      <c r="K47" s="21">
        <f t="shared" si="2"/>
        <v>1</v>
      </c>
      <c r="L47" s="128">
        <f t="shared" si="8"/>
        <v>19.443379856526377</v>
      </c>
      <c r="M47" s="129">
        <f t="shared" si="9"/>
        <v>211901.47727272726</v>
      </c>
      <c r="N47" s="129">
        <f t="shared" si="3"/>
        <v>0</v>
      </c>
      <c r="O47" s="129">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0">
        <f t="shared" si="7"/>
        <v>0</v>
      </c>
      <c r="V47" s="130">
        <f t="shared" si="7"/>
        <v>5.6837895145453508E-4</v>
      </c>
    </row>
    <row r="48" spans="2:22">
      <c r="B48" s="127" t="s">
        <v>1018</v>
      </c>
      <c r="C48" s="127" t="s">
        <v>1019</v>
      </c>
      <c r="D48" t="s">
        <v>1020</v>
      </c>
      <c r="E48">
        <f>SUMIFS('Annual Service Data_rail only'!N:N,'Annual Service Data_rail only'!C:C,C48)</f>
        <v>0</v>
      </c>
      <c r="F48" s="124">
        <f>SUMIFS('Annual Service Data_rail only'!X:X,'Annual Service Data_rail only'!C:C,C48)</f>
        <v>0</v>
      </c>
      <c r="G48" s="124">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8">
        <f t="shared" si="8"/>
        <v>0</v>
      </c>
      <c r="M48" s="129">
        <f t="shared" si="9"/>
        <v>0</v>
      </c>
      <c r="N48" s="129">
        <f t="shared" si="3"/>
        <v>0</v>
      </c>
      <c r="O48" s="129">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0">
        <f t="shared" si="7"/>
        <v>0</v>
      </c>
      <c r="V48" s="130">
        <f t="shared" si="7"/>
        <v>0</v>
      </c>
    </row>
    <row r="49" spans="2:24">
      <c r="B49" s="127" t="s">
        <v>1021</v>
      </c>
      <c r="C49" s="127" t="s">
        <v>1022</v>
      </c>
      <c r="D49" t="s">
        <v>1023</v>
      </c>
      <c r="E49">
        <f>SUMIFS('Annual Service Data_rail only'!N:N,'Annual Service Data_rail only'!C:C,C49)</f>
        <v>0</v>
      </c>
      <c r="F49" s="124">
        <f>SUMIFS('Annual Service Data_rail only'!X:X,'Annual Service Data_rail only'!C:C,C49)</f>
        <v>0</v>
      </c>
      <c r="G49" s="124">
        <f>SUMIFS('Annual Service Data_rail only'!AT:AT,'Annual Service Data_rail only'!C:C,C49)</f>
        <v>0</v>
      </c>
      <c r="H49">
        <f>SUMIFS('Fuel and Energy_rail only'!AD:AD,'Fuel and Energy_rail only'!C:C,C49)</f>
        <v>0</v>
      </c>
      <c r="I49">
        <f>SUMIFS('Fuel and Energy_rail only'!AN:AN,'Fuel and Energy_rail only'!C:C,C49)</f>
        <v>0</v>
      </c>
      <c r="J49" s="21">
        <f t="shared" si="2"/>
        <v>0</v>
      </c>
      <c r="K49" s="21">
        <f t="shared" si="2"/>
        <v>0</v>
      </c>
      <c r="L49" s="128">
        <f t="shared" si="8"/>
        <v>0</v>
      </c>
      <c r="M49" s="129">
        <f t="shared" si="9"/>
        <v>0</v>
      </c>
      <c r="N49" s="129">
        <f t="shared" si="3"/>
        <v>0</v>
      </c>
      <c r="O49" s="129">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0">
        <f t="shared" si="7"/>
        <v>0</v>
      </c>
      <c r="V49" s="130">
        <f t="shared" si="7"/>
        <v>0</v>
      </c>
    </row>
    <row r="50" spans="2:24">
      <c r="B50" s="127" t="s">
        <v>1024</v>
      </c>
      <c r="C50" s="127" t="s">
        <v>1025</v>
      </c>
      <c r="D50" t="s">
        <v>1026</v>
      </c>
      <c r="E50">
        <f>SUMIFS('Annual Service Data_rail only'!N:N,'Annual Service Data_rail only'!C:C,C50)</f>
        <v>0</v>
      </c>
      <c r="F50" s="124">
        <f>SUMIFS('Annual Service Data_rail only'!X:X,'Annual Service Data_rail only'!C:C,C50)</f>
        <v>0</v>
      </c>
      <c r="G50" s="124">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8">
        <f t="shared" si="8"/>
        <v>0</v>
      </c>
      <c r="M50" s="129">
        <f t="shared" si="9"/>
        <v>0</v>
      </c>
      <c r="N50" s="129">
        <f t="shared" si="3"/>
        <v>0</v>
      </c>
      <c r="O50" s="129">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0">
        <f t="shared" si="7"/>
        <v>0</v>
      </c>
      <c r="V50" s="130">
        <f t="shared" si="7"/>
        <v>0</v>
      </c>
    </row>
    <row r="51" spans="2:24">
      <c r="B51" s="127" t="s">
        <v>1027</v>
      </c>
      <c r="C51" s="127" t="s">
        <v>843</v>
      </c>
      <c r="D51" t="s">
        <v>1028</v>
      </c>
      <c r="E51">
        <f>SUMIFS('Annual Service Data_rail only'!N:N,'Annual Service Data_rail only'!C:C,C51)</f>
        <v>2</v>
      </c>
      <c r="F51" s="124">
        <f>SUMIFS('Annual Service Data_rail only'!X:X,'Annual Service Data_rail only'!C:C,C51)</f>
        <v>208873</v>
      </c>
      <c r="G51" s="124">
        <f>SUMIFS('Annual Service Data_rail only'!AT:AT,'Annual Service Data_rail only'!C:C,C51)</f>
        <v>3403059</v>
      </c>
      <c r="H51">
        <f>SUMIFS('Fuel and Energy_rail only'!AD:AD,'Fuel and Energy_rail only'!C:C,C51)</f>
        <v>71832</v>
      </c>
      <c r="I51">
        <f>SUMIFS('Fuel and Energy_rail only'!AN:AN,'Fuel and Energy_rail only'!C:C,C51)</f>
        <v>0</v>
      </c>
      <c r="J51" s="21">
        <f t="shared" si="2"/>
        <v>1</v>
      </c>
      <c r="K51" s="21">
        <f t="shared" si="2"/>
        <v>0</v>
      </c>
      <c r="L51" s="128">
        <f t="shared" si="8"/>
        <v>16.292479161978811</v>
      </c>
      <c r="M51" s="129">
        <f t="shared" si="9"/>
        <v>104436.5</v>
      </c>
      <c r="N51" s="129">
        <f t="shared" si="3"/>
        <v>2</v>
      </c>
      <c r="O51" s="129">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0">
        <f t="shared" si="7"/>
        <v>1.2578769435331124E-4</v>
      </c>
      <c r="V51" s="130">
        <f t="shared" si="7"/>
        <v>0</v>
      </c>
    </row>
    <row r="52" spans="2:24">
      <c r="B52" s="127" t="s">
        <v>1029</v>
      </c>
      <c r="C52" s="127" t="s">
        <v>759</v>
      </c>
      <c r="D52" t="s">
        <v>1030</v>
      </c>
      <c r="E52">
        <f>SUMIFS('Annual Service Data_rail only'!N:N,'Annual Service Data_rail only'!C:C,C52)</f>
        <v>81</v>
      </c>
      <c r="F52" s="124">
        <f>SUMIFS('Annual Service Data_rail only'!X:X,'Annual Service Data_rail only'!C:C,C52)</f>
        <v>16971382</v>
      </c>
      <c r="G52" s="124">
        <f>SUMIFS('Annual Service Data_rail only'!AT:AT,'Annual Service Data_rail only'!C:C,C52)</f>
        <v>229087609</v>
      </c>
      <c r="H52">
        <f>SUMIFS('Fuel and Energy_rail only'!AD:AD,'Fuel and Energy_rail only'!C:C,C52)</f>
        <v>2810479</v>
      </c>
      <c r="I52">
        <f>SUMIFS('Fuel and Energy_rail only'!AN:AN,'Fuel and Energy_rail only'!C:C,C52)</f>
        <v>13314833</v>
      </c>
      <c r="J52" s="21">
        <f t="shared" si="2"/>
        <v>0.17428989901094627</v>
      </c>
      <c r="K52" s="21">
        <f t="shared" si="2"/>
        <v>0.82571010098905373</v>
      </c>
      <c r="L52" s="128">
        <f t="shared" si="8"/>
        <v>13.498465180973476</v>
      </c>
      <c r="M52" s="129">
        <f t="shared" si="9"/>
        <v>209523.23456790124</v>
      </c>
      <c r="N52" s="129">
        <f t="shared" si="3"/>
        <v>14.117481819886647</v>
      </c>
      <c r="O52" s="129">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0">
        <f t="shared" si="7"/>
        <v>1.5830993580821838E-4</v>
      </c>
      <c r="V52" s="130">
        <f t="shared" si="7"/>
        <v>4.0480572702220627E-4</v>
      </c>
    </row>
    <row r="53" spans="2:24">
      <c r="B53" s="127" t="s">
        <v>1031</v>
      </c>
      <c r="C53" s="127" t="s">
        <v>776</v>
      </c>
      <c r="D53" t="s">
        <v>1032</v>
      </c>
      <c r="E53">
        <f>SUMIFS('Annual Service Data_rail only'!N:N,'Annual Service Data_rail only'!C:C,C53)</f>
        <v>31</v>
      </c>
      <c r="F53" s="124">
        <f>SUMIFS('Annual Service Data_rail only'!X:X,'Annual Service Data_rail only'!C:C,C53)</f>
        <v>10256420</v>
      </c>
      <c r="G53" s="124">
        <f>SUMIFS('Annual Service Data_rail only'!AT:AT,'Annual Service Data_rail only'!C:C,C53)</f>
        <v>91039641</v>
      </c>
      <c r="H53">
        <f>SUMIFS('Fuel and Energy_rail only'!AD:AD,'Fuel and Energy_rail only'!C:C,C53)</f>
        <v>850933</v>
      </c>
      <c r="I53">
        <f>SUMIFS('Fuel and Energy_rail only'!AN:AN,'Fuel and Energy_rail only'!C:C,C53)</f>
        <v>6307169</v>
      </c>
      <c r="J53" s="21">
        <f t="shared" si="2"/>
        <v>0.11887690340260589</v>
      </c>
      <c r="K53" s="21">
        <f t="shared" si="2"/>
        <v>0.88112309659739407</v>
      </c>
      <c r="L53" s="128">
        <f t="shared" si="8"/>
        <v>8.876356564961263</v>
      </c>
      <c r="M53" s="129">
        <f t="shared" si="9"/>
        <v>330852.25806451612</v>
      </c>
      <c r="N53" s="129">
        <f t="shared" si="3"/>
        <v>3.6851840054807825</v>
      </c>
      <c r="O53" s="129">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0">
        <f t="shared" si="7"/>
        <v>4.0609713939961685E-5</v>
      </c>
      <c r="V53" s="130">
        <f t="shared" si="7"/>
        <v>5.9363480406708256E-4</v>
      </c>
    </row>
    <row r="54" spans="2:24">
      <c r="B54" s="127" t="s">
        <v>1033</v>
      </c>
      <c r="C54" s="127" t="s">
        <v>1034</v>
      </c>
      <c r="D54" t="s">
        <v>1035</v>
      </c>
      <c r="E54">
        <f>SUMIFS('Annual Service Data_rail only'!N:N,'Annual Service Data_rail only'!C:C,C54)</f>
        <v>0</v>
      </c>
      <c r="F54" s="124">
        <f>SUMIFS('Annual Service Data_rail only'!X:X,'Annual Service Data_rail only'!C:C,C54)</f>
        <v>0</v>
      </c>
      <c r="G54" s="124">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8">
        <f t="shared" si="8"/>
        <v>0</v>
      </c>
      <c r="M54" s="129">
        <f t="shared" si="9"/>
        <v>0</v>
      </c>
      <c r="N54" s="129">
        <f t="shared" si="3"/>
        <v>0</v>
      </c>
      <c r="O54" s="129">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0">
        <f t="shared" si="7"/>
        <v>0</v>
      </c>
      <c r="V54" s="130">
        <f t="shared" si="7"/>
        <v>0</v>
      </c>
    </row>
    <row r="55" spans="2:24">
      <c r="B55" s="127" t="s">
        <v>1036</v>
      </c>
      <c r="C55" s="127" t="s">
        <v>807</v>
      </c>
      <c r="D55" t="s">
        <v>1037</v>
      </c>
      <c r="E55">
        <f>SUMIFS('Annual Service Data_rail only'!N:N,'Annual Service Data_rail only'!C:C,C55)</f>
        <v>38</v>
      </c>
      <c r="F55" s="124">
        <f>SUMIFS('Annual Service Data_rail only'!X:X,'Annual Service Data_rail only'!C:C,C55)</f>
        <v>2579467</v>
      </c>
      <c r="G55" s="124">
        <f>SUMIFS('Annual Service Data_rail only'!AT:AT,'Annual Service Data_rail only'!C:C,C55)</f>
        <v>101304307</v>
      </c>
      <c r="H55">
        <f>SUMIFS('Fuel and Energy_rail only'!AD:AD,'Fuel and Energy_rail only'!C:C,C55)</f>
        <v>333956</v>
      </c>
      <c r="I55">
        <f>SUMIFS('Fuel and Energy_rail only'!AN:AN,'Fuel and Energy_rail only'!C:C,C55)</f>
        <v>345837</v>
      </c>
      <c r="J55" s="21">
        <f t="shared" si="2"/>
        <v>0.49126131042832155</v>
      </c>
      <c r="K55" s="21">
        <f t="shared" si="2"/>
        <v>0.50873868957167845</v>
      </c>
      <c r="L55" s="128">
        <f t="shared" si="8"/>
        <v>39.273348718940774</v>
      </c>
      <c r="M55" s="129">
        <f t="shared" si="9"/>
        <v>67880.710526315786</v>
      </c>
      <c r="N55" s="129">
        <f t="shared" si="3"/>
        <v>18.667929796276219</v>
      </c>
      <c r="O55" s="129">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0">
        <f t="shared" si="7"/>
        <v>2.5080388231794913E-4</v>
      </c>
      <c r="V55" s="130">
        <f t="shared" si="7"/>
        <v>4.5521802824377436E-3</v>
      </c>
    </row>
    <row r="56" spans="2:24">
      <c r="B56" s="127" t="s">
        <v>743</v>
      </c>
      <c r="C56" s="127" t="s">
        <v>813</v>
      </c>
      <c r="D56" t="s">
        <v>1038</v>
      </c>
      <c r="E56">
        <f>SUMIFS('Annual Service Data_rail only'!N:N,'Annual Service Data_rail only'!C:C,C56)</f>
        <v>40</v>
      </c>
      <c r="F56" s="124">
        <f>SUMIFS('Annual Service Data_rail only'!X:X,'Annual Service Data_rail only'!C:C,C56)</f>
        <v>5730374</v>
      </c>
      <c r="G56" s="124">
        <f>SUMIFS('Annual Service Data_rail only'!AT:AT,'Annual Service Data_rail only'!C:C,C56)</f>
        <v>81685247</v>
      </c>
      <c r="H56">
        <f>SUMIFS('Fuel and Energy_rail only'!AD:AD,'Fuel and Energy_rail only'!C:C,C56)</f>
        <v>335545</v>
      </c>
      <c r="I56">
        <f>SUMIFS('Fuel and Energy_rail only'!AN:AN,'Fuel and Energy_rail only'!C:C,C56)</f>
        <v>4232555</v>
      </c>
      <c r="J56" s="21">
        <f t="shared" si="2"/>
        <v>7.345395240909787E-2</v>
      </c>
      <c r="K56" s="21">
        <f t="shared" si="2"/>
        <v>0.92654604759090209</v>
      </c>
      <c r="L56" s="128">
        <f t="shared" si="8"/>
        <v>14.254784591721238</v>
      </c>
      <c r="M56" s="129">
        <f t="shared" si="9"/>
        <v>143259.35</v>
      </c>
      <c r="N56" s="129">
        <f t="shared" si="3"/>
        <v>2.9381580963639147</v>
      </c>
      <c r="O56" s="129">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0">
        <f t="shared" si="7"/>
        <v>6.9181573156261154E-5</v>
      </c>
      <c r="V56" s="130">
        <f t="shared" si="7"/>
        <v>1.0897035219714086E-3</v>
      </c>
    </row>
    <row r="57" spans="2:24">
      <c r="B57" s="127" t="s">
        <v>1039</v>
      </c>
      <c r="C57" s="127" t="s">
        <v>1040</v>
      </c>
      <c r="D57" t="s">
        <v>1041</v>
      </c>
      <c r="E57">
        <f>SUMIFS('Annual Service Data_rail only'!N:N,'Annual Service Data_rail only'!C:C,C57)</f>
        <v>0</v>
      </c>
      <c r="F57" s="124">
        <f>SUMIFS('Annual Service Data_rail only'!X:X,'Annual Service Data_rail only'!C:C,C57)</f>
        <v>0</v>
      </c>
      <c r="G57" s="124">
        <f>SUMIFS('Annual Service Data_rail only'!AT:AT,'Annual Service Data_rail only'!C:C,C57)</f>
        <v>0</v>
      </c>
      <c r="H57">
        <f>SUMIFS('Fuel and Energy_rail only'!AD:AD,'Fuel and Energy_rail only'!C:C,C57)</f>
        <v>0</v>
      </c>
      <c r="I57">
        <f>SUMIFS('Fuel and Energy_rail only'!AN:AN,'Fuel and Energy_rail only'!C:C,C57)</f>
        <v>0</v>
      </c>
      <c r="J57" s="21">
        <f t="shared" si="2"/>
        <v>0</v>
      </c>
      <c r="K57" s="21">
        <f t="shared" si="2"/>
        <v>0</v>
      </c>
      <c r="L57" s="128">
        <f t="shared" si="8"/>
        <v>0</v>
      </c>
      <c r="M57" s="129">
        <f t="shared" si="9"/>
        <v>0</v>
      </c>
      <c r="N57" s="129">
        <f t="shared" si="3"/>
        <v>0</v>
      </c>
      <c r="O57" s="129">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0">
        <f t="shared" si="7"/>
        <v>0</v>
      </c>
      <c r="V57" s="130">
        <f t="shared" si="7"/>
        <v>0</v>
      </c>
    </row>
    <row r="58" spans="2:24">
      <c r="B58" s="127" t="s">
        <v>1042</v>
      </c>
      <c r="C58" s="127" t="s">
        <v>1043</v>
      </c>
      <c r="D58" t="s">
        <v>1044</v>
      </c>
      <c r="E58">
        <f>SUMIFS('Annual Service Data_rail only'!N:N,'Annual Service Data_rail only'!C:C,C58)</f>
        <v>0</v>
      </c>
      <c r="F58" s="124">
        <f>SUMIFS('Annual Service Data_rail only'!X:X,'Annual Service Data_rail only'!C:C,C58)</f>
        <v>0</v>
      </c>
      <c r="G58" s="124">
        <f>SUMIFS('Annual Service Data_rail only'!AT:AT,'Annual Service Data_rail only'!C:C,C58)</f>
        <v>0</v>
      </c>
      <c r="H58">
        <f>SUMIFS('Fuel and Energy_rail only'!AD:AD,'Fuel and Energy_rail only'!C:C,C58)</f>
        <v>0</v>
      </c>
      <c r="I58">
        <f>SUMIFS('Fuel and Energy_rail only'!AN:AN,'Fuel and Energy_rail only'!C:C,C58)</f>
        <v>0</v>
      </c>
      <c r="J58" s="21">
        <f t="shared" si="2"/>
        <v>0</v>
      </c>
      <c r="K58" s="21">
        <f t="shared" si="2"/>
        <v>0</v>
      </c>
      <c r="L58" s="128">
        <f t="shared" si="8"/>
        <v>0</v>
      </c>
      <c r="M58" s="129">
        <f t="shared" si="9"/>
        <v>0</v>
      </c>
      <c r="N58" s="129">
        <f t="shared" si="3"/>
        <v>0</v>
      </c>
      <c r="O58" s="129">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0">
        <f t="shared" si="7"/>
        <v>0</v>
      </c>
      <c r="V58" s="130">
        <f t="shared" si="7"/>
        <v>0</v>
      </c>
    </row>
    <row r="59" spans="2:24">
      <c r="B59" s="127" t="s">
        <v>1045</v>
      </c>
      <c r="C59" s="127" t="s">
        <v>1046</v>
      </c>
      <c r="D59" t="s">
        <v>1047</v>
      </c>
      <c r="E59">
        <f>SUMIFS('Annual Service Data_rail only'!N:N,'Annual Service Data_rail only'!C:C,C59)</f>
        <v>0</v>
      </c>
      <c r="F59" s="124">
        <f>SUMIFS('Annual Service Data_rail only'!X:X,'Annual Service Data_rail only'!C:C,C59)</f>
        <v>0</v>
      </c>
      <c r="G59" s="124">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8">
        <f t="shared" si="8"/>
        <v>0</v>
      </c>
      <c r="M59" s="129">
        <f t="shared" si="9"/>
        <v>0</v>
      </c>
      <c r="N59" s="129">
        <f t="shared" si="3"/>
        <v>0</v>
      </c>
      <c r="O59" s="129">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0">
        <f t="shared" si="7"/>
        <v>0</v>
      </c>
      <c r="V59" s="130">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1048</v>
      </c>
      <c r="E62" s="2">
        <f>SUM(E9:E59)</f>
        <v>2740</v>
      </c>
      <c r="F62" s="2">
        <f t="shared" ref="F62:G62" si="11">SUM(F9:F59)</f>
        <v>1083860350</v>
      </c>
      <c r="G62" s="2">
        <f t="shared" si="11"/>
        <v>16634915700</v>
      </c>
      <c r="H62" s="2"/>
      <c r="I62" s="2"/>
      <c r="J62" s="2"/>
      <c r="K62" s="2"/>
      <c r="L62" s="131">
        <f>IFERROR(G62/F62,0)</f>
        <v>15.34784042981183</v>
      </c>
      <c r="M62" s="132">
        <f>IFERROR(F62/E62,0)</f>
        <v>395569.47080291971</v>
      </c>
      <c r="N62" s="132">
        <f>SUM(N9:N59)</f>
        <v>173.39396393169866</v>
      </c>
      <c r="O62" s="132">
        <f>SUM(O9:O59)</f>
        <v>2563.6060360683009</v>
      </c>
      <c r="P62" s="133"/>
      <c r="Q62" s="133"/>
      <c r="R62" s="133"/>
      <c r="S62" s="2">
        <f>SUM(S9:S59)</f>
        <v>14672704890200</v>
      </c>
      <c r="T62" s="2">
        <f>SUM(T9:T59)</f>
        <v>20563855531548.477</v>
      </c>
      <c r="U62" s="134">
        <f>IFERROR(($L62*$M62*N62)/S62,0)</f>
        <v>7.1745362435245036E-5</v>
      </c>
      <c r="V62" s="134">
        <f>IFERROR(($L62*$M62*O62)/T62,0)</f>
        <v>7.5686214263268839E-4</v>
      </c>
      <c r="W62" s="3"/>
      <c r="X62" s="3"/>
    </row>
    <row r="64" spans="2:24">
      <c r="D64" t="s">
        <v>1049</v>
      </c>
      <c r="E64" s="21">
        <f>E62/SUM(N62:O62)</f>
        <v>1.0010960906101574</v>
      </c>
      <c r="G64" s="21">
        <f>L62*M62*SUM(N62:O62)/G62</f>
        <v>0.99890510948905087</v>
      </c>
      <c r="K64" s="71"/>
      <c r="S64" s="21">
        <f>($L62*$M62*N62/U62)/S62</f>
        <v>1</v>
      </c>
      <c r="T64" s="21">
        <f>($L62*$M62*O62/V62)/T62</f>
        <v>1</v>
      </c>
    </row>
  </sheetData>
  <conditionalFormatting sqref="C93:C1048576 C4:C63">
    <cfRule type="duplicateValues" dxfId="0" priority="1"/>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workbookViewId="0">
      <selection activeCell="A22" sqref="A22"/>
    </sheetView>
  </sheetViews>
  <sheetFormatPr defaultRowHeight="14.75"/>
  <cols>
    <col min="1" max="31" width="10.269531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f>'AEO 2023 48'!F1</f>
        <v>2022</v>
      </c>
      <c r="D2">
        <f>'AEO 2023 48'!G1</f>
        <v>2023</v>
      </c>
      <c r="E2">
        <f>'AEO 2023 48'!H1</f>
        <v>2024</v>
      </c>
      <c r="F2">
        <f>'AEO 2023 48'!I1</f>
        <v>2025</v>
      </c>
      <c r="G2">
        <f>'AEO 2023 48'!J1</f>
        <v>2026</v>
      </c>
      <c r="H2">
        <f>'AEO 2023 48'!K1</f>
        <v>2027</v>
      </c>
      <c r="I2">
        <f>'AEO 2023 48'!L1</f>
        <v>2028</v>
      </c>
      <c r="J2">
        <f>'AEO 2023 48'!M1</f>
        <v>2029</v>
      </c>
      <c r="K2">
        <f>'AEO 2023 48'!N1</f>
        <v>2030</v>
      </c>
      <c r="L2">
        <f>'AEO 2023 48'!O1</f>
        <v>2031</v>
      </c>
      <c r="M2">
        <f>'AEO 2023 48'!P1</f>
        <v>2032</v>
      </c>
      <c r="N2">
        <f>'AEO 2023 48'!Q1</f>
        <v>2033</v>
      </c>
      <c r="O2">
        <f>'AEO 2023 48'!R1</f>
        <v>2034</v>
      </c>
      <c r="P2">
        <f>'AEO 2023 48'!S1</f>
        <v>2035</v>
      </c>
      <c r="Q2">
        <f>'AEO 2023 48'!T1</f>
        <v>2036</v>
      </c>
      <c r="R2">
        <f>'AEO 2023 48'!U1</f>
        <v>2037</v>
      </c>
      <c r="S2">
        <f>'AEO 2023 48'!V1</f>
        <v>2038</v>
      </c>
      <c r="T2">
        <f>'AEO 2023 48'!W1</f>
        <v>2039</v>
      </c>
      <c r="U2">
        <f>'AEO 2023 48'!X1</f>
        <v>2040</v>
      </c>
      <c r="V2">
        <f>'AEO 2023 48'!Y1</f>
        <v>2041</v>
      </c>
      <c r="W2">
        <f>'AEO 2023 48'!Z1</f>
        <v>2042</v>
      </c>
      <c r="X2">
        <f>'AEO 2023 48'!AA1</f>
        <v>2043</v>
      </c>
      <c r="Y2">
        <f>'AEO 2023 48'!AB1</f>
        <v>2044</v>
      </c>
      <c r="Z2">
        <f>'AEO 2023 48'!AC1</f>
        <v>2045</v>
      </c>
      <c r="AA2">
        <f>'AEO 2023 48'!AD1</f>
        <v>2046</v>
      </c>
      <c r="AB2">
        <f>'AEO 2023 48'!AE1</f>
        <v>2047</v>
      </c>
      <c r="AC2">
        <f>'AEO 2023 48'!AF1</f>
        <v>2048</v>
      </c>
      <c r="AD2">
        <f>'AEO 2023 48'!AG1</f>
        <v>2049</v>
      </c>
      <c r="AE2">
        <f>'AEO 2023 48'!AH1</f>
        <v>2050</v>
      </c>
    </row>
    <row r="3" spans="1:36">
      <c r="A3" t="s">
        <v>128</v>
      </c>
      <c r="C3">
        <f>('AEO 2023 48'!F70-'AEO 2023 48'!F178)/'AEO 2023 48'!F70</f>
        <v>0.77213254116841057</v>
      </c>
      <c r="D3">
        <f>('AEO 2023 48'!G70-'AEO 2023 48'!G178)/'AEO 2023 48'!G70</f>
        <v>0.88933514835103555</v>
      </c>
      <c r="E3">
        <f>('AEO 2023 48'!H70-'AEO 2023 48'!H178)/'AEO 2023 48'!H70</f>
        <v>0.92087600109298473</v>
      </c>
      <c r="F3">
        <f>('AEO 2023 48'!I70-'AEO 2023 48'!I178)/'AEO 2023 48'!I70</f>
        <v>0.92643694361547047</v>
      </c>
      <c r="G3">
        <f>('AEO 2023 48'!J70-'AEO 2023 48'!J178)/'AEO 2023 48'!J70</f>
        <v>0.93029714969284272</v>
      </c>
      <c r="H3">
        <f>('AEO 2023 48'!K70-'AEO 2023 48'!K178)/'AEO 2023 48'!K70</f>
        <v>0.93282335871244138</v>
      </c>
      <c r="I3">
        <f>('AEO 2023 48'!L70-'AEO 2023 48'!L178)/'AEO 2023 48'!L70</f>
        <v>0.93498868255087331</v>
      </c>
      <c r="J3">
        <f>('AEO 2023 48'!M70-'AEO 2023 48'!M178)/'AEO 2023 48'!M70</f>
        <v>0.93713946140143756</v>
      </c>
      <c r="K3">
        <f>('AEO 2023 48'!N70-'AEO 2023 48'!N178)/'AEO 2023 48'!N70</f>
        <v>0.9392600856057034</v>
      </c>
      <c r="L3">
        <f>('AEO 2023 48'!O70-'AEO 2023 48'!O178)/'AEO 2023 48'!O70</f>
        <v>0.9413395077522464</v>
      </c>
      <c r="M3">
        <f>('AEO 2023 48'!P70-'AEO 2023 48'!P178)/'AEO 2023 48'!P70</f>
        <v>0.94335871372742264</v>
      </c>
      <c r="N3">
        <f>('AEO 2023 48'!Q70-'AEO 2023 48'!Q178)/'AEO 2023 48'!Q70</f>
        <v>0.94531086681276733</v>
      </c>
      <c r="O3">
        <f>('AEO 2023 48'!R70-'AEO 2023 48'!R178)/'AEO 2023 48'!R70</f>
        <v>0.9471951672807547</v>
      </c>
      <c r="P3">
        <f>('AEO 2023 48'!S70-'AEO 2023 48'!S178)/'AEO 2023 48'!S70</f>
        <v>0.94901177442071949</v>
      </c>
      <c r="Q3">
        <f>('AEO 2023 48'!T70-'AEO 2023 48'!T178)/'AEO 2023 48'!T70</f>
        <v>0.95077987054419311</v>
      </c>
      <c r="R3">
        <f>('AEO 2023 48'!U70-'AEO 2023 48'!U178)/'AEO 2023 48'!U70</f>
        <v>0.9524842310779349</v>
      </c>
      <c r="S3">
        <f>('AEO 2023 48'!V70-'AEO 2023 48'!V178)/'AEO 2023 48'!V70</f>
        <v>0.95412346413599314</v>
      </c>
      <c r="T3">
        <f>('AEO 2023 48'!W70-'AEO 2023 48'!W178)/'AEO 2023 48'!W70</f>
        <v>0.95569870706585602</v>
      </c>
      <c r="U3">
        <f>('AEO 2023 48'!X70-'AEO 2023 48'!X178)/'AEO 2023 48'!X70</f>
        <v>0.95721227004289489</v>
      </c>
      <c r="V3">
        <f>('AEO 2023 48'!Y70-'AEO 2023 48'!Y178)/'AEO 2023 48'!Y70</f>
        <v>0.95867860233902413</v>
      </c>
      <c r="W3">
        <f>('AEO 2023 48'!Z70-'AEO 2023 48'!Z178)/'AEO 2023 48'!Z70</f>
        <v>0.96008729663561421</v>
      </c>
      <c r="X3">
        <f>('AEO 2023 48'!AA70-'AEO 2023 48'!AA178)/'AEO 2023 48'!AA70</f>
        <v>0.96143916614783365</v>
      </c>
      <c r="Y3">
        <f>('AEO 2023 48'!AB70-'AEO 2023 48'!AB178)/'AEO 2023 48'!AB70</f>
        <v>0.96273653509540569</v>
      </c>
      <c r="Z3">
        <f>('AEO 2023 48'!AC70-'AEO 2023 48'!AC178)/'AEO 2023 48'!AC70</f>
        <v>0.96398250062767687</v>
      </c>
      <c r="AA3">
        <f>('AEO 2023 48'!AD70-'AEO 2023 48'!AD178)/'AEO 2023 48'!AD70</f>
        <v>0.96518615411565822</v>
      </c>
      <c r="AB3">
        <f>('AEO 2023 48'!AE70-'AEO 2023 48'!AE178)/'AEO 2023 48'!AE70</f>
        <v>0.96634163717768629</v>
      </c>
      <c r="AC3">
        <f>('AEO 2023 48'!AF70-'AEO 2023 48'!AF178)/'AEO 2023 48'!AF70</f>
        <v>0.96745033110492351</v>
      </c>
      <c r="AD3">
        <f>('AEO 2023 48'!AG70-'AEO 2023 48'!AG178)/'AEO 2023 48'!AG70</f>
        <v>0.96851424870119418</v>
      </c>
      <c r="AE3">
        <f>('AEO 2023 48'!AH70-'AEO 2023 48'!AH178)/'AEO 2023 48'!AH70</f>
        <v>0.96953592176213643</v>
      </c>
    </row>
    <row r="4" spans="1:36">
      <c r="A4" t="s">
        <v>129</v>
      </c>
      <c r="C4">
        <f>'AEO 2023 48'!F178/'AEO 2023 48'!F70</f>
        <v>0.22786745883158938</v>
      </c>
      <c r="D4">
        <f>'AEO 2023 48'!G178/'AEO 2023 48'!G70</f>
        <v>0.11066485164896439</v>
      </c>
      <c r="E4">
        <f>'AEO 2023 48'!H178/'AEO 2023 48'!H70</f>
        <v>7.9123998907015214E-2</v>
      </c>
      <c r="F4">
        <f>'AEO 2023 48'!I178/'AEO 2023 48'!I70</f>
        <v>7.3563056384529465E-2</v>
      </c>
      <c r="G4">
        <f>'AEO 2023 48'!J178/'AEO 2023 48'!J70</f>
        <v>6.9702850307157213E-2</v>
      </c>
      <c r="H4">
        <f>'AEO 2023 48'!K178/'AEO 2023 48'!K70</f>
        <v>6.7176641287558597E-2</v>
      </c>
      <c r="I4">
        <f>'AEO 2023 48'!L178/'AEO 2023 48'!L70</f>
        <v>6.5011317449126638E-2</v>
      </c>
      <c r="J4">
        <f>'AEO 2023 48'!M178/'AEO 2023 48'!M70</f>
        <v>6.286053859856236E-2</v>
      </c>
      <c r="K4">
        <f>'AEO 2023 48'!N178/'AEO 2023 48'!N70</f>
        <v>6.073991439429656E-2</v>
      </c>
      <c r="L4">
        <f>'AEO 2023 48'!O178/'AEO 2023 48'!O70</f>
        <v>5.8660492247753604E-2</v>
      </c>
      <c r="M4">
        <f>'AEO 2023 48'!P178/'AEO 2023 48'!P70</f>
        <v>5.6641286272577356E-2</v>
      </c>
      <c r="N4">
        <f>'AEO 2023 48'!Q178/'AEO 2023 48'!Q70</f>
        <v>5.4689133187232591E-2</v>
      </c>
      <c r="O4">
        <f>'AEO 2023 48'!R178/'AEO 2023 48'!R70</f>
        <v>5.2804832719245305E-2</v>
      </c>
      <c r="P4">
        <f>'AEO 2023 48'!S178/'AEO 2023 48'!S70</f>
        <v>5.098822557928042E-2</v>
      </c>
      <c r="Q4">
        <f>'AEO 2023 48'!T178/'AEO 2023 48'!T70</f>
        <v>4.922012945580681E-2</v>
      </c>
      <c r="R4">
        <f>'AEO 2023 48'!U178/'AEO 2023 48'!U70</f>
        <v>4.7515768922065091E-2</v>
      </c>
      <c r="S4">
        <f>'AEO 2023 48'!V178/'AEO 2023 48'!V70</f>
        <v>4.5876535864006793E-2</v>
      </c>
      <c r="T4">
        <f>'AEO 2023 48'!W178/'AEO 2023 48'!W70</f>
        <v>4.4301292934143963E-2</v>
      </c>
      <c r="U4">
        <f>'AEO 2023 48'!X178/'AEO 2023 48'!X70</f>
        <v>4.2787729957105065E-2</v>
      </c>
      <c r="V4">
        <f>'AEO 2023 48'!Y178/'AEO 2023 48'!Y70</f>
        <v>4.1321397660975881E-2</v>
      </c>
      <c r="W4">
        <f>'AEO 2023 48'!Z178/'AEO 2023 48'!Z70</f>
        <v>3.9912703364385745E-2</v>
      </c>
      <c r="X4">
        <f>'AEO 2023 48'!AA178/'AEO 2023 48'!AA70</f>
        <v>3.8560833852166305E-2</v>
      </c>
      <c r="Y4">
        <f>'AEO 2023 48'!AB178/'AEO 2023 48'!AB70</f>
        <v>3.7263464904594312E-2</v>
      </c>
      <c r="Z4">
        <f>'AEO 2023 48'!AC178/'AEO 2023 48'!AC70</f>
        <v>3.6017499372323084E-2</v>
      </c>
      <c r="AA4">
        <f>'AEO 2023 48'!AD178/'AEO 2023 48'!AD70</f>
        <v>3.4813845884341769E-2</v>
      </c>
      <c r="AB4">
        <f>'AEO 2023 48'!AE178/'AEO 2023 48'!AE70</f>
        <v>3.3658362822313721E-2</v>
      </c>
      <c r="AC4">
        <f>'AEO 2023 48'!AF178/'AEO 2023 48'!AF70</f>
        <v>3.2549668895076475E-2</v>
      </c>
      <c r="AD4">
        <f>'AEO 2023 48'!AG178/'AEO 2023 48'!AG70</f>
        <v>3.1485751298805743E-2</v>
      </c>
      <c r="AE4">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61">
        <v>111.39416306433705</v>
      </c>
    </row>
    <row r="20" spans="1:5">
      <c r="A20" t="s">
        <v>521</v>
      </c>
      <c r="B20" s="61">
        <v>41.989116133258747</v>
      </c>
    </row>
    <row r="21" spans="1:5">
      <c r="A21" t="s">
        <v>160</v>
      </c>
      <c r="B21" s="61">
        <v>48.656731685074099</v>
      </c>
    </row>
    <row r="22" spans="1:5">
      <c r="A22" t="s">
        <v>190</v>
      </c>
      <c r="B22" s="61">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7">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8">
        <f>SUM('AEO 2023 36'!H88,'AEO 2023 36'!H93,'AEO 2023 36'!H95)*10^12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8">
        <f>SUM('AEO 2023 36'!H89,'AEO 2023 36'!H96)*10^12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64B6A-DE2F-4E51-AAE4-F6FBC625A062}">
  <dimension ref="B1:E16"/>
  <sheetViews>
    <sheetView workbookViewId="0">
      <selection activeCell="C15" sqref="C15"/>
    </sheetView>
  </sheetViews>
  <sheetFormatPr defaultRowHeight="14.75"/>
  <cols>
    <col min="2" max="2" width="20" bestFit="1" customWidth="1"/>
    <col min="3" max="3" width="20.1796875" bestFit="1" customWidth="1"/>
    <col min="4" max="5" width="12" bestFit="1" customWidth="1"/>
  </cols>
  <sheetData>
    <row r="1" spans="2:5">
      <c r="C1">
        <v>2023</v>
      </c>
      <c r="D1">
        <v>2024</v>
      </c>
    </row>
    <row r="2" spans="2:5">
      <c r="B2" s="1" t="s">
        <v>2806</v>
      </c>
      <c r="C2" s="1">
        <f>'AEO 2023 7'!D65*10^15</f>
        <v>3008168000000000</v>
      </c>
      <c r="D2" s="1">
        <f>'AEO 2025 Table 7 Alt T'!F54*10^15</f>
        <v>3268324000000000</v>
      </c>
      <c r="E2" s="21"/>
    </row>
    <row r="3" spans="2:5">
      <c r="B3" s="1" t="s">
        <v>3065</v>
      </c>
      <c r="C3" s="21">
        <f>'EPA-Annex3-Table A94'!E100/SUM('EPA-Annex3-Table A94'!$E$100:$E$101)</f>
        <v>0.67140255009107463</v>
      </c>
      <c r="D3" s="16">
        <f>C3</f>
        <v>0.67140255009107463</v>
      </c>
      <c r="E3" s="21"/>
    </row>
    <row r="4" spans="2:5">
      <c r="B4" s="203" t="s">
        <v>3066</v>
      </c>
      <c r="C4" s="204">
        <f>C2*C3</f>
        <v>2019691666302367.8</v>
      </c>
      <c r="D4" s="204">
        <f>D2*D3</f>
        <v>2194361068123861.5</v>
      </c>
      <c r="E4" s="21"/>
    </row>
    <row r="5" spans="2:5">
      <c r="B5" t="s">
        <v>3025</v>
      </c>
      <c r="C5" s="124">
        <f>'SYVbT-passenger'!E4</f>
        <v>6646</v>
      </c>
      <c r="D5" s="205">
        <v>6646.0996089999999</v>
      </c>
    </row>
    <row r="6" spans="2:5">
      <c r="B6" t="s">
        <v>3026</v>
      </c>
      <c r="C6" s="124">
        <f>'SYVbT-freight'!E4</f>
        <v>1069</v>
      </c>
      <c r="D6" s="205">
        <v>1068.7120359999999</v>
      </c>
    </row>
    <row r="7" spans="2:5">
      <c r="B7" t="s">
        <v>3027</v>
      </c>
      <c r="C7">
        <f>'AVLo-passengers'!B4</f>
        <v>111.39416306433705</v>
      </c>
      <c r="D7">
        <f>'AVLo-passengers'!C4</f>
        <v>111.39416306433705</v>
      </c>
    </row>
    <row r="8" spans="2:5">
      <c r="B8" t="s">
        <v>3028</v>
      </c>
      <c r="C8">
        <f>'AVLo-freight'!B4</f>
        <v>41.989116133258747</v>
      </c>
      <c r="D8">
        <f>'AVLo-freight'!C4</f>
        <v>41.989116133258747</v>
      </c>
    </row>
    <row r="9" spans="2:5">
      <c r="B9" t="s">
        <v>3029</v>
      </c>
      <c r="C9" s="67">
        <f>'BAADTbVT-passenger'!B4</f>
        <v>1006949</v>
      </c>
      <c r="D9" s="67">
        <f>'BAADTbVT-passenger'!C4</f>
        <v>1006949</v>
      </c>
    </row>
    <row r="10" spans="2:5">
      <c r="B10" t="s">
        <v>3030</v>
      </c>
      <c r="C10">
        <f>'BAADTbVT-frgt'!B4</f>
        <v>1066931</v>
      </c>
      <c r="D10">
        <f>'BAADTbVT-frgt'!C4</f>
        <v>1066931</v>
      </c>
    </row>
    <row r="11" spans="2:5">
      <c r="B11" t="s">
        <v>3031</v>
      </c>
      <c r="C11" s="21">
        <f>C5/SUM(C$5:C$6)</f>
        <v>0.86143875567077122</v>
      </c>
      <c r="D11" s="21">
        <f>D5/SUM(D$5:D$6)</f>
        <v>0.86147269885809374</v>
      </c>
    </row>
    <row r="12" spans="2:5">
      <c r="B12" t="s">
        <v>3032</v>
      </c>
      <c r="C12" s="21">
        <f>C6/SUM(C$5:C$6)</f>
        <v>0.13856124432922878</v>
      </c>
      <c r="D12" s="21">
        <f>D6/SUM(D$5:D$6)</f>
        <v>0.13852730114190623</v>
      </c>
    </row>
    <row r="13" spans="2:5">
      <c r="B13" t="s">
        <v>3033</v>
      </c>
      <c r="C13" s="30">
        <f>C11*C$4</f>
        <v>1739840675858138.3</v>
      </c>
      <c r="D13" s="30">
        <f>D11*D$4</f>
        <v>1890382151625792.3</v>
      </c>
    </row>
    <row r="14" spans="2:5">
      <c r="B14" t="s">
        <v>3034</v>
      </c>
      <c r="C14" s="30">
        <f>C12*C$4</f>
        <v>279850990444229.59</v>
      </c>
      <c r="D14" s="30">
        <f>D12*D$4</f>
        <v>303978916498069.19</v>
      </c>
    </row>
    <row r="15" spans="2:5">
      <c r="B15" s="184" t="s">
        <v>3035</v>
      </c>
      <c r="C15" s="185">
        <f>C5*C7*C9/C13</f>
        <v>4.2847034255362628E-4</v>
      </c>
      <c r="D15" s="185">
        <f>D5*D7*D9/D13</f>
        <v>3.9435481481818805E-4</v>
      </c>
      <c r="E15" s="21"/>
    </row>
    <row r="16" spans="2:5">
      <c r="B16" s="184" t="s">
        <v>3036</v>
      </c>
      <c r="C16" s="185">
        <f>C6*C8*C10/C14</f>
        <v>1.7112912259502911E-4</v>
      </c>
      <c r="D16" s="185">
        <f>D6*D8*D10/D14</f>
        <v>1.5750353466416494E-4</v>
      </c>
      <c r="E16" s="2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I39"/>
  <sheetViews>
    <sheetView tabSelected="1" topLeftCell="A7" workbookViewId="0">
      <selection activeCell="F14" sqref="F14"/>
    </sheetView>
  </sheetViews>
  <sheetFormatPr defaultRowHeight="14.75"/>
  <cols>
    <col min="2" max="2" width="22.86328125" customWidth="1"/>
    <col min="3" max="5" width="11.1328125" customWidth="1"/>
    <col min="6" max="6" width="13.1328125" customWidth="1"/>
    <col min="7" max="7" width="11.1328125" customWidth="1"/>
    <col min="8" max="8" width="13" bestFit="1" customWidth="1"/>
    <col min="9" max="9" width="11.1328125" customWidth="1"/>
  </cols>
  <sheetData>
    <row r="1" spans="1:9">
      <c r="A1" s="1" t="s">
        <v>1058</v>
      </c>
    </row>
    <row r="2" spans="1:9" ht="44.25">
      <c r="B2" s="5" t="s">
        <v>270</v>
      </c>
      <c r="C2" s="167" t="s">
        <v>111</v>
      </c>
      <c r="D2" s="167" t="s">
        <v>112</v>
      </c>
      <c r="E2" s="167" t="s">
        <v>113</v>
      </c>
      <c r="F2" s="167" t="s">
        <v>114</v>
      </c>
      <c r="G2" s="167" t="s">
        <v>115</v>
      </c>
      <c r="H2" s="167" t="s">
        <v>257</v>
      </c>
      <c r="I2" s="167" t="s">
        <v>258</v>
      </c>
    </row>
    <row r="3" spans="1:9">
      <c r="B3" t="s">
        <v>219</v>
      </c>
      <c r="C3" s="165">
        <f>SUMIFS('AEO 2023 41'!$E:$E,'AEO 2023 41'!$B:$B,calcs!C2)/SUMIFS('AEO 2023 37'!$H:$H,'AEO 2023 37'!$A:$A,C2)/1000*'Calculations Etc'!$B$15*'Calibration Adjustments'!$B$19</f>
        <v>1.1869958916684679E-3</v>
      </c>
      <c r="D3" s="165">
        <f>SUMIFS('AEO 2023 41'!$E:$E,'AEO 2023 41'!$B:$B,calcs!D2)/SUMIFS('AEO 2023 37'!$H:$H,'AEO 2023 37'!$A:$A,D2)/1000*'Calculations Etc'!$B$15*'Calibration Adjustments'!$B$19</f>
        <v>3.0452303698896816E-4</v>
      </c>
      <c r="E3" s="165">
        <f>SUMIFS('AEO 2023 41'!$E:$E,'AEO 2023 41'!$B:$B,calcs!E2)/SUMIFS('AEO 2023 37'!$H:$H,'AEO 2023 37'!$A:$A,E2)/1000*'Calculations Etc'!$B$15*'Calibration Adjustments'!$B$19</f>
        <v>3.2946599147066076E-4</v>
      </c>
      <c r="F3" s="165">
        <f>SUMIFS('AEO 2023 41'!$E:$E,'AEO 2023 41'!$B:$B,calcs!F2)/SUMIFS('AEO 2023 37'!$H:$H,'AEO 2023 37'!$A:$A,F2)/1000*'Calculations Etc'!$B$15*'Calibration Adjustments'!$B$19</f>
        <v>3.9204179367786397E-4</v>
      </c>
      <c r="G3" s="165">
        <f>SUMIFS('AEO 2023 41'!$E:$E,'AEO 2023 41'!$B:$B,calcs!G2)/SUMIFS('AEO 2023 37'!$H:$H,'AEO 2023 37'!$A:$A,G2)/1000*'Calculations Etc'!$B$15*'Calibration Adjustments'!$B$19</f>
        <v>6.0116405303191475E-4</v>
      </c>
      <c r="H3" s="165">
        <f>SUMIFS('AEO 2023 41'!$E:$E,'AEO 2023 41'!$B:$B,calcs!H2)/SUMIFS('AEO 2023 37'!$H:$H,'AEO 2023 37'!$A:$A,H2)/1000*'Calculations Etc'!$B$15*'Calibration Adjustments'!$B$19</f>
        <v>2.3340357187499688E-4</v>
      </c>
      <c r="I3" s="165">
        <f>SUMIFS('AEO 2023 41'!$E:$E,'AEO 2023 41'!$B:$B,calcs!I2)/SUMIFS('AEO 2023 37'!$H:$H,'AEO 2023 37'!$A:$A,I2)/1000*'Calculations Etc'!$B$15*'Calibration Adjustments'!$B$19</f>
        <v>5.8116746400402948E-4</v>
      </c>
    </row>
    <row r="4" spans="1:9">
      <c r="B4" t="s">
        <v>134</v>
      </c>
      <c r="C4" s="165">
        <f>$F4/(1-'Calculations Etc'!$B$9)*'Calibration Adjustments'!B20</f>
        <v>3.2473412441950682E-3</v>
      </c>
      <c r="D4" s="165">
        <f>'estimated bus energy use'!I8</f>
        <v>2.5184995531410443E-3</v>
      </c>
      <c r="E4" s="165">
        <f>'estimated bus energy use'!I4</f>
        <v>9.250377422058715E-4</v>
      </c>
      <c r="F4" s="165">
        <f>'estimated bus energy use'!I6</f>
        <v>1.0105389360616456E-3</v>
      </c>
      <c r="G4" s="165">
        <f>$F4/(1-'Calculations Etc'!$B$9)*'Calculations Etc'!$B$12+$F4*(1-'Calculations Etc'!$B$12)*'Calibration Adjustments'!F20</f>
        <v>2.2407802055350282E-3</v>
      </c>
      <c r="H4" s="165">
        <f>('SYVbT-passenger'!G3*'BAADTbVT-passenger'!$B$3*'Calculations Etc'!$B$17)/(SUMIFS('AEO 2023 36'!H$63:$H$85,'AEO 2023 36'!$A$63:$A$85,H2)*1000000000000)*'Calibration Adjustments'!G20</f>
        <v>1.6954707688479299E-3</v>
      </c>
      <c r="I4" s="165">
        <f>$F4*'Calculations Etc'!$B$35*'Calibration Adjustments'!H20</f>
        <v>3.0316168081849361E-3</v>
      </c>
    </row>
    <row r="5" spans="1:9">
      <c r="B5" t="s">
        <v>131</v>
      </c>
      <c r="C5" s="165">
        <f>$F5/(1-'Calculations Etc'!$B$9)*'Calibration Adjustments'!B21</f>
        <v>1.3768785799698285E-3</v>
      </c>
      <c r="D5" s="165">
        <f>$F5*'Calibration Adjustments'!C21</f>
        <v>4.2847034255362628E-4</v>
      </c>
      <c r="E5" s="165">
        <f>$F5*'Calibration Adjustments'!D21</f>
        <v>4.2847034255362628E-4</v>
      </c>
      <c r="F5" s="28">
        <f>air!C15</f>
        <v>4.2847034255362628E-4</v>
      </c>
      <c r="G5" s="165">
        <v>0</v>
      </c>
      <c r="H5" s="165">
        <v>0</v>
      </c>
      <c r="I5" s="165">
        <f>$F5*'Calculations Etc'!$B$35*'Calibration Adjustments'!H21</f>
        <v>1.2854110276608786E-3</v>
      </c>
    </row>
    <row r="6" spans="1:9">
      <c r="B6" t="s">
        <v>220</v>
      </c>
      <c r="C6" s="165">
        <f>'psgr rail calcs'!V62</f>
        <v>7.5686214263268839E-4</v>
      </c>
      <c r="D6" s="165">
        <f>$F6*'Calibration Adjustments'!C22</f>
        <v>7.1745362435245036E-5</v>
      </c>
      <c r="E6" s="165">
        <f>$F6*'Calibration Adjustments'!D22</f>
        <v>7.1745362435245036E-5</v>
      </c>
      <c r="F6" s="165">
        <f>'psgr rail calcs'!U62</f>
        <v>7.1745362435245036E-5</v>
      </c>
      <c r="G6" s="165">
        <v>0</v>
      </c>
      <c r="H6" s="165">
        <v>0</v>
      </c>
      <c r="I6" s="165">
        <f>$F6*'Calculations Etc'!$B$35*'Calibration Adjustments'!H22</f>
        <v>2.1523608730573507E-4</v>
      </c>
    </row>
    <row r="7" spans="1:9">
      <c r="B7" t="s">
        <v>221</v>
      </c>
      <c r="C7" s="165">
        <f>$F7/(1-'Calculations Etc'!$B$9)*'Calibration Adjustments'!B23</f>
        <v>3.9768826588502888E-5</v>
      </c>
      <c r="D7" s="165">
        <v>0</v>
      </c>
      <c r="E7" s="165">
        <f>('SYVbT-passenger'!D6*'BAADTbVT-passenger'!$B$6*1)/(SUMIFS('AEO 2023 36'!H100:H101,'AEO 2023 36'!$A$100:$A$101,calcs!E2)*1000000000000)*'Calibration Adjustments'!D23</f>
        <v>1.2375644276775558E-5</v>
      </c>
      <c r="F7" s="165">
        <f>('SYVbT-passenger'!E6*'BAADTbVT-passenger'!$B$6*1)/(SUMIFS('AEO 2023 36'!H100:H101,'AEO 2023 36'!$A$100:$A$101,calcs!F2)*1000000000000)*'Calibration Adjustments'!E23</f>
        <v>1.2375646625067684E-5</v>
      </c>
      <c r="G7" s="165">
        <v>0</v>
      </c>
      <c r="H7" s="165">
        <v>0</v>
      </c>
      <c r="I7" s="165">
        <f>$F7*'Calculations Etc'!$B$35*'Calibration Adjustments'!H23</f>
        <v>3.7126939875203046E-5</v>
      </c>
    </row>
    <row r="8" spans="1:9">
      <c r="B8" t="s">
        <v>222</v>
      </c>
      <c r="C8" s="165">
        <f>$E8/(1-'Calculations Etc'!$B$8)*'Calibration Adjustments'!B24</f>
        <v>2.0727097350644572E-2</v>
      </c>
      <c r="D8" s="165">
        <f>$E8*'Calibration Adjustments'!C24</f>
        <v>6.5093363580536684E-3</v>
      </c>
      <c r="E8" s="165">
        <f>('SYVbT-passenger'!D7*'BAADTbVT-passenger'!B7*'Calculations Etc'!B22)/(INDEX('AEO 2023 35'!20:20,MATCH(About!$B$88,'AEO 2023 35'!1:1,0))*10^12)*'Calibration Adjustments'!D24</f>
        <v>6.5093363580536684E-3</v>
      </c>
      <c r="F8" s="165">
        <f>$E8*'Calibration Adjustments'!E24</f>
        <v>6.5093363580536684E-3</v>
      </c>
      <c r="G8" s="165">
        <f>$E8/(1-'Calculations Etc'!$B$8)*'Calculations Etc'!$B$12+$E8*(1-'Calculations Etc'!$B$12)*'Calibration Adjustments'!F24</f>
        <v>1.4329104903978667E-2</v>
      </c>
      <c r="H8" s="165">
        <f>$E8*'Calculations Etc'!$B$39*'Calibration Adjustments'!G24</f>
        <v>5.0447356774915931E-3</v>
      </c>
      <c r="I8" s="165">
        <f>E8*'Calculations Etc'!$B$35</f>
        <v>1.9528009074161003E-2</v>
      </c>
    </row>
    <row r="10" spans="1:9">
      <c r="A10" s="1" t="s">
        <v>1059</v>
      </c>
    </row>
    <row r="11" spans="1:9" ht="29.5">
      <c r="B11" s="5" t="s">
        <v>271</v>
      </c>
      <c r="C11" s="12" t="s">
        <v>111</v>
      </c>
      <c r="D11" s="12" t="s">
        <v>112</v>
      </c>
      <c r="E11" s="12" t="s">
        <v>113</v>
      </c>
      <c r="F11" s="12" t="s">
        <v>114</v>
      </c>
      <c r="G11" s="12" t="s">
        <v>115</v>
      </c>
      <c r="H11" s="12" t="s">
        <v>257</v>
      </c>
      <c r="I11" s="12" t="s">
        <v>258</v>
      </c>
    </row>
    <row r="12" spans="1:9">
      <c r="B12" t="s">
        <v>219</v>
      </c>
      <c r="C12">
        <f>'freight LDV calcs'!B13</f>
        <v>1.3226441773833212E-4</v>
      </c>
      <c r="D12">
        <f>'freight LDV calcs'!C13</f>
        <v>7.0204850469879831E-5</v>
      </c>
      <c r="E12">
        <f>'freight LDV calcs'!D13</f>
        <v>9.2955581997260681E-5</v>
      </c>
      <c r="F12">
        <f>'freight LDV calcs'!E13</f>
        <v>1.0087912753938768E-4</v>
      </c>
      <c r="G12">
        <f>'freight LDV calcs'!F13</f>
        <v>1.7525323807361898E-4</v>
      </c>
      <c r="H12">
        <f>'freight LDV calcs'!G13</f>
        <v>5.5270584840087177E-5</v>
      </c>
      <c r="I12">
        <f>'freight LDV calcs'!H13</f>
        <v>8.379890176963306E-5</v>
      </c>
    </row>
    <row r="13" spans="1:9">
      <c r="B13" t="s">
        <v>134</v>
      </c>
      <c r="C13">
        <f>'AEO 2023 49'!H126/'Calculations Etc'!B26*'Calculations Etc'!B18</f>
        <v>1.421389052178215E-3</v>
      </c>
      <c r="D13">
        <f>'AEO 2023 49'!H124/'Calculations Etc'!B25*'Calculations Etc'!B18</f>
        <v>7.9458999302765691E-4</v>
      </c>
      <c r="E13">
        <f>'AEO 2023 49'!H122/'Calculations Etc'!B25*'Calculations Etc'!B18</f>
        <v>7.5502679371825096E-4</v>
      </c>
      <c r="F13">
        <f>'AEO 2023 49'!H121/'Calculations Etc'!B26*'Calculations Etc'!B18</f>
        <v>7.2905101417222013E-4</v>
      </c>
      <c r="G13">
        <f>'AEO 2023 49'!H127/'Calculations Etc'!B26*'Calculations Etc'!B18</f>
        <v>0</v>
      </c>
      <c r="H13">
        <f>'AEO 2023 49'!H123/'Calculations Etc'!B25*'Calculations Etc'!B18</f>
        <v>8.0334858395033032E-4</v>
      </c>
      <c r="I13">
        <f>'AEO 2023 49'!H129/'Calculations Etc'!B26*'Calculations Etc'!B18</f>
        <v>0</v>
      </c>
    </row>
    <row r="14" spans="1:9">
      <c r="B14" t="s">
        <v>131</v>
      </c>
      <c r="C14">
        <f>$F14/(1-'Calculations Etc'!$B$9)*'Calibration Adjustments'!B30</f>
        <v>5.4991909569712227E-4</v>
      </c>
      <c r="D14">
        <f>$F14*'Calibration Adjustments'!C30</f>
        <v>1.7112912259502911E-4</v>
      </c>
      <c r="E14">
        <f>$F14*'Calibration Adjustments'!D30</f>
        <v>1.7112912259502911E-4</v>
      </c>
      <c r="F14" s="30">
        <f>air!C16</f>
        <v>1.7112912259502911E-4</v>
      </c>
      <c r="G14">
        <v>0</v>
      </c>
      <c r="H14">
        <v>0</v>
      </c>
      <c r="I14">
        <f>$F14*'Calculations Etc'!$B$35*'Calibration Adjustments'!H30</f>
        <v>5.1338736778508724E-4</v>
      </c>
    </row>
    <row r="15" spans="1:9">
      <c r="B15" t="s">
        <v>220</v>
      </c>
      <c r="C15">
        <f>$F15/(1-'Calculations Etc'!$B$9)*'Calibration Adjustments'!B31</f>
        <v>1.0829065696442089E-2</v>
      </c>
      <c r="D15">
        <f>$F15*'Calibration Adjustments'!C31</f>
        <v>3.3698929999999997E-3</v>
      </c>
      <c r="E15">
        <f>$F15*'Calibration Adjustments'!D31</f>
        <v>3.3698929999999997E-3</v>
      </c>
      <c r="F15">
        <f>INDEX('AEO 2023 7'!$51:$51,MATCH(About!$B$88,'AEO 2023 7'!$1:$1,0))/10^3*'Calibration Adjustments'!E31</f>
        <v>3.3698929999999997E-3</v>
      </c>
      <c r="G15">
        <v>0</v>
      </c>
      <c r="H15">
        <v>0</v>
      </c>
      <c r="I15">
        <f>$F15*'Calculations Etc'!$B$35*'Calibration Adjustments'!H31</f>
        <v>1.0109678999999998E-2</v>
      </c>
    </row>
    <row r="16" spans="1:9">
      <c r="B16" t="s">
        <v>221</v>
      </c>
      <c r="C16">
        <f>$F16/(1-'Calculations Etc'!$B$9)*'Calibration Adjustments'!B32</f>
        <v>1.5549894526873581E-2</v>
      </c>
      <c r="D16">
        <f>$F16*'Calibration Adjustments'!C32</f>
        <v>4.8389660000000001E-3</v>
      </c>
      <c r="E16">
        <f>$F16*'Calibration Adjustments'!D32</f>
        <v>4.8389660000000001E-3</v>
      </c>
      <c r="F16">
        <f>INDEX('AEO 2023 7'!$52:$52,MATCH(About!$B$88,'AEO 2023 7'!$1:$1,0))/10^3*'Calibration Adjustments'!E32</f>
        <v>4.8389660000000001E-3</v>
      </c>
      <c r="G16">
        <v>0</v>
      </c>
      <c r="H16">
        <v>0</v>
      </c>
      <c r="I16">
        <f>$F16*'Calculations Etc'!$B$35*'Calibration Adjustments'!H32</f>
        <v>1.4516897999999999E-2</v>
      </c>
    </row>
    <row r="17" spans="2:9">
      <c r="B17" t="s">
        <v>222</v>
      </c>
      <c r="C17">
        <v>0</v>
      </c>
      <c r="D17">
        <v>0</v>
      </c>
      <c r="E17">
        <v>0</v>
      </c>
      <c r="F17">
        <v>0</v>
      </c>
      <c r="G17">
        <v>0</v>
      </c>
      <c r="H17">
        <v>0</v>
      </c>
      <c r="I17">
        <v>0</v>
      </c>
    </row>
    <row r="20" spans="2:9">
      <c r="G20" s="124"/>
      <c r="H20" s="124"/>
    </row>
    <row r="23" spans="2:9">
      <c r="F23" s="168"/>
    </row>
    <row r="25" spans="2:9">
      <c r="F25" s="1"/>
    </row>
    <row r="31" spans="2:9">
      <c r="C31" s="21"/>
      <c r="D31" s="21"/>
      <c r="E31" s="21"/>
      <c r="F31" s="21"/>
      <c r="G31" s="21"/>
      <c r="H31" s="21"/>
      <c r="I31" s="21"/>
    </row>
    <row r="32" spans="2:9">
      <c r="C32" s="21"/>
      <c r="D32" s="21"/>
      <c r="E32" s="21"/>
      <c r="F32" s="21"/>
      <c r="G32" s="21"/>
      <c r="H32" s="21"/>
      <c r="I32" s="21"/>
    </row>
    <row r="33" spans="2:9">
      <c r="C33" s="21"/>
      <c r="D33" s="21"/>
      <c r="E33" s="21"/>
      <c r="F33" s="21"/>
      <c r="G33" s="21"/>
      <c r="H33" s="21"/>
      <c r="I33" s="21"/>
    </row>
    <row r="34" spans="2:9">
      <c r="B34" s="21"/>
      <c r="C34" s="21"/>
      <c r="D34" s="21"/>
      <c r="E34" s="21"/>
      <c r="F34" s="21"/>
      <c r="G34" s="21"/>
      <c r="H34" s="21"/>
      <c r="I34" s="21"/>
    </row>
    <row r="35" spans="2:9">
      <c r="B35" s="21"/>
      <c r="C35" s="21"/>
      <c r="D35" s="21"/>
      <c r="E35" s="21"/>
      <c r="F35" s="21"/>
      <c r="G35" s="21"/>
      <c r="H35" s="21"/>
      <c r="I35" s="21"/>
    </row>
    <row r="36" spans="2:9">
      <c r="B36" s="21"/>
      <c r="C36" s="21"/>
      <c r="D36" s="21"/>
      <c r="E36" s="21"/>
      <c r="F36" s="21"/>
      <c r="G36" s="21"/>
      <c r="H36" s="21"/>
      <c r="I36" s="21"/>
    </row>
    <row r="37" spans="2:9">
      <c r="B37" s="21"/>
      <c r="C37" s="21"/>
      <c r="D37" s="21"/>
      <c r="E37" s="21"/>
      <c r="F37" s="21"/>
      <c r="G37" s="21"/>
      <c r="H37" s="21"/>
      <c r="I37" s="21"/>
    </row>
    <row r="38" spans="2:9">
      <c r="B38" s="21"/>
      <c r="C38" s="21"/>
      <c r="D38" s="21"/>
      <c r="E38" s="21"/>
      <c r="F38" s="21"/>
      <c r="G38" s="21"/>
      <c r="H38" s="21"/>
      <c r="I38" s="21"/>
    </row>
    <row r="39" spans="2:9">
      <c r="B39" s="21"/>
      <c r="C39" s="21"/>
      <c r="D39" s="21"/>
      <c r="E39" s="21"/>
      <c r="F39" s="21"/>
      <c r="G39" s="21"/>
      <c r="H39" s="21"/>
      <c r="I39" s="2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election activeCell="A10" sqref="A10"/>
    </sheetView>
  </sheetViews>
  <sheetFormatPr defaultRowHeight="14.75"/>
  <cols>
    <col min="1" max="1" width="22.40625" customWidth="1"/>
    <col min="2" max="8" width="12" customWidth="1"/>
  </cols>
  <sheetData>
    <row r="1" spans="1:8">
      <c r="A1" t="s">
        <v>270</v>
      </c>
      <c r="B1" t="s">
        <v>111</v>
      </c>
      <c r="C1" t="s">
        <v>112</v>
      </c>
      <c r="D1" t="s">
        <v>113</v>
      </c>
      <c r="E1" t="s">
        <v>114</v>
      </c>
      <c r="F1" t="s">
        <v>115</v>
      </c>
      <c r="G1" t="s">
        <v>257</v>
      </c>
      <c r="H1" t="s">
        <v>258</v>
      </c>
    </row>
    <row r="2" spans="1:8">
      <c r="A2" t="s">
        <v>219</v>
      </c>
      <c r="B2">
        <f>IFERROR(calcs!C3,0)</f>
        <v>1.1869958916684679E-3</v>
      </c>
      <c r="C2">
        <f>IFERROR(calcs!D3,0)</f>
        <v>3.0452303698896816E-4</v>
      </c>
      <c r="D2">
        <f>IFERROR(calcs!E3,0)</f>
        <v>3.2946599147066076E-4</v>
      </c>
      <c r="E2">
        <f>IFERROR(calcs!F3,0)</f>
        <v>3.9204179367786397E-4</v>
      </c>
      <c r="F2">
        <f>IFERROR(calcs!G3,0)</f>
        <v>6.0116405303191475E-4</v>
      </c>
      <c r="G2">
        <f>IFERROR(calcs!H3,0)</f>
        <v>2.3340357187499688E-4</v>
      </c>
      <c r="H2">
        <f>IFERROR(calcs!I3,0)</f>
        <v>5.8116746400402948E-4</v>
      </c>
    </row>
    <row r="3" spans="1:8">
      <c r="A3" t="s">
        <v>134</v>
      </c>
      <c r="B3">
        <f>IFERROR(calcs!C4,0)</f>
        <v>3.2473412441950682E-3</v>
      </c>
      <c r="C3">
        <f>IFERROR(calcs!D4,0)</f>
        <v>2.5184995531410443E-3</v>
      </c>
      <c r="D3">
        <f>IFERROR(calcs!E4,0)</f>
        <v>9.250377422058715E-4</v>
      </c>
      <c r="E3">
        <f>IFERROR(calcs!F4,0)</f>
        <v>1.0105389360616456E-3</v>
      </c>
      <c r="F3">
        <f>IFERROR(calcs!G4,0)</f>
        <v>2.2407802055350282E-3</v>
      </c>
      <c r="G3">
        <f>IFERROR(calcs!H4,0)</f>
        <v>1.6954707688479299E-3</v>
      </c>
      <c r="H3">
        <f>IFERROR(calcs!I4,0)</f>
        <v>3.0316168081849361E-3</v>
      </c>
    </row>
    <row r="4" spans="1:8">
      <c r="A4" t="s">
        <v>131</v>
      </c>
      <c r="B4">
        <f>IFERROR(calcs!C5,0)</f>
        <v>1.3768785799698285E-3</v>
      </c>
      <c r="C4">
        <f>IFERROR(calcs!D5,0)</f>
        <v>4.2847034255362628E-4</v>
      </c>
      <c r="D4">
        <f>IFERROR(calcs!E5,0)</f>
        <v>4.2847034255362628E-4</v>
      </c>
      <c r="E4">
        <f>IFERROR(calcs!F5,0)</f>
        <v>4.2847034255362628E-4</v>
      </c>
      <c r="F4">
        <f>IFERROR(calcs!G5,0)</f>
        <v>0</v>
      </c>
      <c r="G4">
        <f>IFERROR(calcs!H5,0)</f>
        <v>0</v>
      </c>
      <c r="H4">
        <f>IFERROR(calcs!I5,0)</f>
        <v>1.2854110276608786E-3</v>
      </c>
    </row>
    <row r="5" spans="1:8">
      <c r="A5" t="s">
        <v>220</v>
      </c>
      <c r="B5">
        <f>IFERROR(calcs!C6,0)</f>
        <v>7.5686214263268839E-4</v>
      </c>
      <c r="C5">
        <f>IFERROR(calcs!D6,0)</f>
        <v>7.1745362435245036E-5</v>
      </c>
      <c r="D5">
        <f>IFERROR(calcs!E6,0)</f>
        <v>7.1745362435245036E-5</v>
      </c>
      <c r="E5">
        <f>IFERROR(calcs!F6,0)</f>
        <v>7.1745362435245036E-5</v>
      </c>
      <c r="F5">
        <f>IFERROR(calcs!G6,0)</f>
        <v>0</v>
      </c>
      <c r="G5">
        <f>IFERROR(calcs!H6,0)</f>
        <v>0</v>
      </c>
      <c r="H5">
        <f>IFERROR(calcs!I6,0)</f>
        <v>2.1523608730573507E-4</v>
      </c>
    </row>
    <row r="6" spans="1:8">
      <c r="A6" t="s">
        <v>221</v>
      </c>
      <c r="B6">
        <f>IFERROR(calcs!C7,0)</f>
        <v>3.9768826588502888E-5</v>
      </c>
      <c r="C6">
        <f>IFERROR(calcs!D7,0)</f>
        <v>0</v>
      </c>
      <c r="D6">
        <f>IFERROR(calcs!E7,0)</f>
        <v>1.2375644276775558E-5</v>
      </c>
      <c r="E6">
        <f>IFERROR(calcs!F7,0)</f>
        <v>1.2375646625067684E-5</v>
      </c>
      <c r="F6">
        <f>IFERROR(calcs!G7,0)</f>
        <v>0</v>
      </c>
      <c r="G6">
        <f>IFERROR(calcs!H7,0)</f>
        <v>0</v>
      </c>
      <c r="H6">
        <f>IFERROR(calcs!I7,0)</f>
        <v>3.7126939875203046E-5</v>
      </c>
    </row>
    <row r="7" spans="1:8">
      <c r="A7" t="s">
        <v>222</v>
      </c>
      <c r="B7">
        <f>IFERROR(calcs!C8,0)</f>
        <v>2.0727097350644572E-2</v>
      </c>
      <c r="C7">
        <f>IFERROR(calcs!D8,0)</f>
        <v>6.5093363580536684E-3</v>
      </c>
      <c r="D7">
        <f>IFERROR(calcs!E8,0)</f>
        <v>6.5093363580536684E-3</v>
      </c>
      <c r="E7">
        <f>IFERROR(calcs!F8,0)</f>
        <v>6.5093363580536684E-3</v>
      </c>
      <c r="F7">
        <f>IFERROR(calcs!G8,0)</f>
        <v>1.4329104903978667E-2</v>
      </c>
      <c r="G7">
        <f>IFERROR(calcs!H8,0)</f>
        <v>5.0447356774915931E-3</v>
      </c>
      <c r="H7">
        <f>IFERROR(calcs!I8,0)</f>
        <v>1.9528009074161003E-2</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A8" sqref="A8"/>
    </sheetView>
  </sheetViews>
  <sheetFormatPr defaultRowHeight="14.75"/>
  <cols>
    <col min="1" max="1" width="21.40625" customWidth="1"/>
    <col min="2" max="8" width="14.40625" customWidth="1"/>
  </cols>
  <sheetData>
    <row r="1" spans="1:8">
      <c r="A1" t="s">
        <v>271</v>
      </c>
      <c r="B1" t="s">
        <v>111</v>
      </c>
      <c r="C1" t="s">
        <v>112</v>
      </c>
      <c r="D1" t="s">
        <v>113</v>
      </c>
      <c r="E1" t="s">
        <v>114</v>
      </c>
      <c r="F1" t="s">
        <v>115</v>
      </c>
      <c r="G1" t="s">
        <v>257</v>
      </c>
      <c r="H1" t="s">
        <v>258</v>
      </c>
    </row>
    <row r="2" spans="1:8">
      <c r="A2" t="s">
        <v>219</v>
      </c>
      <c r="B2">
        <f>IFERROR(calcs!C12,0)</f>
        <v>1.3226441773833212E-4</v>
      </c>
      <c r="C2">
        <f>IFERROR(calcs!D12,0)</f>
        <v>7.0204850469879831E-5</v>
      </c>
      <c r="D2">
        <f>IFERROR(calcs!E12,0)</f>
        <v>9.2955581997260681E-5</v>
      </c>
      <c r="E2">
        <f>IFERROR(calcs!F12,0)</f>
        <v>1.0087912753938768E-4</v>
      </c>
      <c r="F2">
        <f>IFERROR(calcs!G12,0)</f>
        <v>1.7525323807361898E-4</v>
      </c>
      <c r="G2">
        <f>IFERROR(calcs!H12,0)</f>
        <v>5.5270584840087177E-5</v>
      </c>
      <c r="H2">
        <f>IFERROR(calcs!I12,0)</f>
        <v>8.379890176963306E-5</v>
      </c>
    </row>
    <row r="3" spans="1:8">
      <c r="A3" t="s">
        <v>134</v>
      </c>
      <c r="B3">
        <f>IFERROR(calcs!C13,0)</f>
        <v>1.421389052178215E-3</v>
      </c>
      <c r="C3">
        <f>IFERROR(calcs!D13,0)</f>
        <v>7.9458999302765691E-4</v>
      </c>
      <c r="D3">
        <f>IFERROR(calcs!E13,0)</f>
        <v>7.5502679371825096E-4</v>
      </c>
      <c r="E3">
        <f>IFERROR(calcs!F13,0)</f>
        <v>7.2905101417222013E-4</v>
      </c>
      <c r="F3">
        <f>IFERROR(calcs!G13,0)</f>
        <v>0</v>
      </c>
      <c r="G3">
        <f>IFERROR(calcs!H13,0)</f>
        <v>8.0334858395033032E-4</v>
      </c>
      <c r="H3">
        <f>IFERROR(calcs!I13,0)</f>
        <v>0</v>
      </c>
    </row>
    <row r="4" spans="1:8">
      <c r="A4" t="s">
        <v>131</v>
      </c>
      <c r="B4">
        <f>IFERROR(calcs!C14,0)</f>
        <v>5.4991909569712227E-4</v>
      </c>
      <c r="C4">
        <f>IFERROR(calcs!D14,0)</f>
        <v>1.7112912259502911E-4</v>
      </c>
      <c r="D4">
        <f>IFERROR(calcs!E14,0)</f>
        <v>1.7112912259502911E-4</v>
      </c>
      <c r="E4">
        <f>IFERROR(calcs!F14,0)</f>
        <v>1.7112912259502911E-4</v>
      </c>
      <c r="F4">
        <f>IFERROR(calcs!G14,0)</f>
        <v>0</v>
      </c>
      <c r="G4">
        <f>IFERROR(calcs!H14,0)</f>
        <v>0</v>
      </c>
      <c r="H4">
        <f>IFERROR(calcs!I14,0)</f>
        <v>5.1338736778508724E-4</v>
      </c>
    </row>
    <row r="5" spans="1:8">
      <c r="A5" t="s">
        <v>220</v>
      </c>
      <c r="B5">
        <f>IFERROR(calcs!C15,0)</f>
        <v>1.0829065696442089E-2</v>
      </c>
      <c r="C5">
        <f>IFERROR(calcs!D15,0)</f>
        <v>3.3698929999999997E-3</v>
      </c>
      <c r="D5">
        <f>IFERROR(calcs!E15,0)</f>
        <v>3.3698929999999997E-3</v>
      </c>
      <c r="E5">
        <f>IFERROR(calcs!F15,0)</f>
        <v>3.3698929999999997E-3</v>
      </c>
      <c r="F5">
        <f>IFERROR(calcs!G15,0)</f>
        <v>0</v>
      </c>
      <c r="G5">
        <f>IFERROR(calcs!H15,0)</f>
        <v>0</v>
      </c>
      <c r="H5">
        <f>IFERROR(calcs!I15,0)</f>
        <v>1.0109678999999998E-2</v>
      </c>
    </row>
    <row r="6" spans="1:8">
      <c r="A6" t="s">
        <v>221</v>
      </c>
      <c r="B6">
        <f>IFERROR(calcs!C16,0)</f>
        <v>1.5549894526873581E-2</v>
      </c>
      <c r="C6">
        <f>IFERROR(calcs!D16,0)</f>
        <v>4.8389660000000001E-3</v>
      </c>
      <c r="D6">
        <f>IFERROR(calcs!E16,0)</f>
        <v>4.8389660000000001E-3</v>
      </c>
      <c r="E6">
        <f>IFERROR(calcs!F16,0)</f>
        <v>4.8389660000000001E-3</v>
      </c>
      <c r="F6">
        <f>IFERROR(calcs!G16,0)</f>
        <v>0</v>
      </c>
      <c r="G6">
        <f>IFERROR(calcs!H16,0)</f>
        <v>0</v>
      </c>
      <c r="H6">
        <f>IFERROR(calcs!I16,0)</f>
        <v>1.4516897999999999E-2</v>
      </c>
    </row>
    <row r="7" spans="1:8">
      <c r="A7" t="s">
        <v>222</v>
      </c>
      <c r="B7">
        <f>IFERROR(calcs!C17,0)</f>
        <v>0</v>
      </c>
      <c r="C7">
        <f>IFERROR(calcs!D17,0)</f>
        <v>0</v>
      </c>
      <c r="D7">
        <f>IFERROR(calcs!E17,0)</f>
        <v>0</v>
      </c>
      <c r="E7">
        <f>IFERROR(calcs!F17,0)</f>
        <v>0</v>
      </c>
      <c r="F7">
        <f>IFERROR(calcs!G17,0)</f>
        <v>0</v>
      </c>
      <c r="G7">
        <f>IFERROR(calcs!H17,0)</f>
        <v>0</v>
      </c>
      <c r="H7">
        <f>IFERROR(calcs!I17,0)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vt:i4>
      </vt:variant>
    </vt:vector>
  </HeadingPairs>
  <TitlesOfParts>
    <vt:vector size="38" baseType="lpstr">
      <vt:lpstr>About</vt:lpstr>
      <vt:lpstr>source data&gt;</vt:lpstr>
      <vt:lpstr>EPA_Table 3-13</vt:lpstr>
      <vt:lpstr>estimated bus energy use</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AEO 2025 Table 7 Alt T</vt:lpstr>
      <vt:lpstr>SYVbT-passenger</vt:lpstr>
      <vt:lpstr>SYVbT-freight</vt:lpstr>
      <vt:lpstr>BAADTbVT-passenger</vt:lpstr>
      <vt:lpstr>BAADTbVT-frgt</vt:lpstr>
      <vt:lpstr>NTS 1-40</vt:lpstr>
      <vt:lpstr>NRBS 40</vt:lpstr>
      <vt:lpstr>Annual Service Data_rail only</vt:lpstr>
      <vt:lpstr>EPA-Annex3-Table A94</vt:lpstr>
      <vt:lpstr>Fuel and Energy_rail only</vt:lpstr>
      <vt:lpstr>calcs&gt;</vt:lpstr>
      <vt:lpstr>Calibration Adjustments</vt:lpstr>
      <vt:lpstr>freight LDV calcs</vt:lpstr>
      <vt:lpstr>psgr rail calcs</vt:lpstr>
      <vt:lpstr>Calculations Etc</vt:lpstr>
      <vt:lpstr>air</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2026-01-08T23:33:46Z</dcterms:modified>
</cp:coreProperties>
</file>